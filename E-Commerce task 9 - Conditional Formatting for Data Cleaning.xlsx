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731" documentId="8_{8C88C624-D8D3-436F-B17D-02148EF94C35}" xr6:coauthVersionLast="47" xr6:coauthVersionMax="47" xr10:uidLastSave="{5FE8358E-0238-487B-A313-9C9C6BB30C82}"/>
  <bookViews>
    <workbookView xWindow="-120" yWindow="-120" windowWidth="20730" windowHeight="11040" firstSheet="1" activeTab="1" xr2:uid="{3BC30A1A-068A-4F53-B0CA-C34CE1B7B5BE}"/>
  </bookViews>
  <sheets>
    <sheet name="orders" sheetId="1" r:id="rId1"/>
    <sheet name="Dataset cleaning" sheetId="5" r:id="rId2"/>
    <sheet name="Obsevation" sheetId="6" r:id="rId3"/>
  </sheets>
  <definedNames>
    <definedName name="_xlnm._FilterDatabase" localSheetId="1" hidden="1">'Dataset cleaning'!$A$1:$T$568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5" l="1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P3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T568" i="5"/>
  <c r="S568" i="5"/>
  <c r="R568" i="5"/>
  <c r="Q568" i="5"/>
  <c r="P568" i="5"/>
  <c r="T567" i="5"/>
  <c r="S567" i="5"/>
  <c r="R567" i="5"/>
  <c r="Q567" i="5"/>
  <c r="P567" i="5"/>
  <c r="T566" i="5"/>
  <c r="S566" i="5"/>
  <c r="R566" i="5"/>
  <c r="Q566" i="5"/>
  <c r="P566" i="5"/>
  <c r="T565" i="5"/>
  <c r="S565" i="5"/>
  <c r="R565" i="5"/>
  <c r="Q565" i="5"/>
  <c r="P565" i="5"/>
  <c r="T564" i="5"/>
  <c r="S564" i="5"/>
  <c r="R564" i="5"/>
  <c r="Q564" i="5"/>
  <c r="P564" i="5"/>
  <c r="T563" i="5"/>
  <c r="S563" i="5"/>
  <c r="R563" i="5"/>
  <c r="Q563" i="5"/>
  <c r="P563" i="5"/>
  <c r="T562" i="5"/>
  <c r="S562" i="5"/>
  <c r="R562" i="5"/>
  <c r="Q562" i="5"/>
  <c r="P562" i="5"/>
  <c r="T561" i="5"/>
  <c r="S561" i="5"/>
  <c r="R561" i="5"/>
  <c r="Q561" i="5"/>
  <c r="P561" i="5"/>
  <c r="T560" i="5"/>
  <c r="S560" i="5"/>
  <c r="R560" i="5"/>
  <c r="Q560" i="5"/>
  <c r="P560" i="5"/>
  <c r="T559" i="5"/>
  <c r="S559" i="5"/>
  <c r="R559" i="5"/>
  <c r="Q559" i="5"/>
  <c r="P559" i="5"/>
  <c r="T558" i="5"/>
  <c r="S558" i="5"/>
  <c r="R558" i="5"/>
  <c r="Q558" i="5"/>
  <c r="P558" i="5"/>
  <c r="T557" i="5"/>
  <c r="S557" i="5"/>
  <c r="R557" i="5"/>
  <c r="Q557" i="5"/>
  <c r="P557" i="5"/>
  <c r="T556" i="5"/>
  <c r="S556" i="5"/>
  <c r="R556" i="5"/>
  <c r="Q556" i="5"/>
  <c r="P556" i="5"/>
  <c r="T555" i="5"/>
  <c r="S555" i="5"/>
  <c r="R555" i="5"/>
  <c r="Q555" i="5"/>
  <c r="P555" i="5"/>
  <c r="T554" i="5"/>
  <c r="S554" i="5"/>
  <c r="R554" i="5"/>
  <c r="Q554" i="5"/>
  <c r="P554" i="5"/>
  <c r="T553" i="5"/>
  <c r="S553" i="5"/>
  <c r="R553" i="5"/>
  <c r="Q553" i="5"/>
  <c r="P553" i="5"/>
  <c r="T552" i="5"/>
  <c r="S552" i="5"/>
  <c r="R552" i="5"/>
  <c r="Q552" i="5"/>
  <c r="P552" i="5"/>
  <c r="T551" i="5"/>
  <c r="S551" i="5"/>
  <c r="R551" i="5"/>
  <c r="Q551" i="5"/>
  <c r="P551" i="5"/>
  <c r="T550" i="5"/>
  <c r="S550" i="5"/>
  <c r="R550" i="5"/>
  <c r="Q550" i="5"/>
  <c r="P550" i="5"/>
  <c r="T549" i="5"/>
  <c r="S549" i="5"/>
  <c r="R549" i="5"/>
  <c r="Q549" i="5"/>
  <c r="P549" i="5"/>
  <c r="T548" i="5"/>
  <c r="S548" i="5"/>
  <c r="R548" i="5"/>
  <c r="Q548" i="5"/>
  <c r="P548" i="5"/>
  <c r="T547" i="5"/>
  <c r="S547" i="5"/>
  <c r="R547" i="5"/>
  <c r="Q547" i="5"/>
  <c r="P547" i="5"/>
  <c r="T546" i="5"/>
  <c r="S546" i="5"/>
  <c r="R546" i="5"/>
  <c r="Q546" i="5"/>
  <c r="P546" i="5"/>
  <c r="T545" i="5"/>
  <c r="S545" i="5"/>
  <c r="R545" i="5"/>
  <c r="Q545" i="5"/>
  <c r="P545" i="5"/>
  <c r="T544" i="5"/>
  <c r="S544" i="5"/>
  <c r="R544" i="5"/>
  <c r="Q544" i="5"/>
  <c r="P544" i="5"/>
  <c r="T543" i="5"/>
  <c r="S543" i="5"/>
  <c r="R543" i="5"/>
  <c r="Q543" i="5"/>
  <c r="P543" i="5"/>
  <c r="T542" i="5"/>
  <c r="S542" i="5"/>
  <c r="R542" i="5"/>
  <c r="Q542" i="5"/>
  <c r="P542" i="5"/>
  <c r="T541" i="5"/>
  <c r="S541" i="5"/>
  <c r="R541" i="5"/>
  <c r="Q541" i="5"/>
  <c r="P541" i="5"/>
  <c r="T540" i="5"/>
  <c r="S540" i="5"/>
  <c r="R540" i="5"/>
  <c r="Q540" i="5"/>
  <c r="P540" i="5"/>
  <c r="T539" i="5"/>
  <c r="S539" i="5"/>
  <c r="R539" i="5"/>
  <c r="Q539" i="5"/>
  <c r="P539" i="5"/>
  <c r="T538" i="5"/>
  <c r="S538" i="5"/>
  <c r="R538" i="5"/>
  <c r="Q538" i="5"/>
  <c r="P538" i="5"/>
  <c r="T537" i="5"/>
  <c r="S537" i="5"/>
  <c r="R537" i="5"/>
  <c r="Q537" i="5"/>
  <c r="P537" i="5"/>
  <c r="T536" i="5"/>
  <c r="S536" i="5"/>
  <c r="R536" i="5"/>
  <c r="Q536" i="5"/>
  <c r="P536" i="5"/>
  <c r="T535" i="5"/>
  <c r="S535" i="5"/>
  <c r="R535" i="5"/>
  <c r="Q535" i="5"/>
  <c r="P535" i="5"/>
  <c r="T534" i="5"/>
  <c r="S534" i="5"/>
  <c r="R534" i="5"/>
  <c r="Q534" i="5"/>
  <c r="P534" i="5"/>
  <c r="T533" i="5"/>
  <c r="S533" i="5"/>
  <c r="R533" i="5"/>
  <c r="Q533" i="5"/>
  <c r="P533" i="5"/>
  <c r="T532" i="5"/>
  <c r="S532" i="5"/>
  <c r="R532" i="5"/>
  <c r="Q532" i="5"/>
  <c r="P532" i="5"/>
  <c r="T531" i="5"/>
  <c r="S531" i="5"/>
  <c r="R531" i="5"/>
  <c r="Q531" i="5"/>
  <c r="P531" i="5"/>
  <c r="T530" i="5"/>
  <c r="S530" i="5"/>
  <c r="R530" i="5"/>
  <c r="Q530" i="5"/>
  <c r="P530" i="5"/>
  <c r="T529" i="5"/>
  <c r="S529" i="5"/>
  <c r="R529" i="5"/>
  <c r="Q529" i="5"/>
  <c r="P529" i="5"/>
  <c r="T528" i="5"/>
  <c r="S528" i="5"/>
  <c r="R528" i="5"/>
  <c r="Q528" i="5"/>
  <c r="P528" i="5"/>
  <c r="T527" i="5"/>
  <c r="S527" i="5"/>
  <c r="R527" i="5"/>
  <c r="Q527" i="5"/>
  <c r="P527" i="5"/>
  <c r="T526" i="5"/>
  <c r="S526" i="5"/>
  <c r="R526" i="5"/>
  <c r="Q526" i="5"/>
  <c r="P526" i="5"/>
  <c r="T525" i="5"/>
  <c r="S525" i="5"/>
  <c r="R525" i="5"/>
  <c r="Q525" i="5"/>
  <c r="P525" i="5"/>
  <c r="T524" i="5"/>
  <c r="S524" i="5"/>
  <c r="R524" i="5"/>
  <c r="Q524" i="5"/>
  <c r="P524" i="5"/>
  <c r="T523" i="5"/>
  <c r="S523" i="5"/>
  <c r="R523" i="5"/>
  <c r="Q523" i="5"/>
  <c r="P523" i="5"/>
  <c r="T522" i="5"/>
  <c r="S522" i="5"/>
  <c r="R522" i="5"/>
  <c r="Q522" i="5"/>
  <c r="P522" i="5"/>
  <c r="T521" i="5"/>
  <c r="S521" i="5"/>
  <c r="R521" i="5"/>
  <c r="Q521" i="5"/>
  <c r="P521" i="5"/>
  <c r="T520" i="5"/>
  <c r="S520" i="5"/>
  <c r="R520" i="5"/>
  <c r="Q520" i="5"/>
  <c r="P520" i="5"/>
  <c r="T519" i="5"/>
  <c r="S519" i="5"/>
  <c r="R519" i="5"/>
  <c r="Q519" i="5"/>
  <c r="P519" i="5"/>
  <c r="T518" i="5"/>
  <c r="S518" i="5"/>
  <c r="R518" i="5"/>
  <c r="Q518" i="5"/>
  <c r="P518" i="5"/>
  <c r="T517" i="5"/>
  <c r="S517" i="5"/>
  <c r="R517" i="5"/>
  <c r="Q517" i="5"/>
  <c r="P517" i="5"/>
  <c r="T516" i="5"/>
  <c r="S516" i="5"/>
  <c r="R516" i="5"/>
  <c r="Q516" i="5"/>
  <c r="P516" i="5"/>
  <c r="T515" i="5"/>
  <c r="S515" i="5"/>
  <c r="R515" i="5"/>
  <c r="Q515" i="5"/>
  <c r="P515" i="5"/>
  <c r="T514" i="5"/>
  <c r="S514" i="5"/>
  <c r="R514" i="5"/>
  <c r="Q514" i="5"/>
  <c r="P514" i="5"/>
  <c r="T513" i="5"/>
  <c r="S513" i="5"/>
  <c r="R513" i="5"/>
  <c r="Q513" i="5"/>
  <c r="P513" i="5"/>
  <c r="T512" i="5"/>
  <c r="S512" i="5"/>
  <c r="R512" i="5"/>
  <c r="Q512" i="5"/>
  <c r="P512" i="5"/>
  <c r="T511" i="5"/>
  <c r="S511" i="5"/>
  <c r="R511" i="5"/>
  <c r="Q511" i="5"/>
  <c r="P511" i="5"/>
  <c r="T510" i="5"/>
  <c r="S510" i="5"/>
  <c r="R510" i="5"/>
  <c r="Q510" i="5"/>
  <c r="P510" i="5"/>
  <c r="T509" i="5"/>
  <c r="S509" i="5"/>
  <c r="R509" i="5"/>
  <c r="Q509" i="5"/>
  <c r="P509" i="5"/>
  <c r="T508" i="5"/>
  <c r="S508" i="5"/>
  <c r="R508" i="5"/>
  <c r="Q508" i="5"/>
  <c r="P508" i="5"/>
  <c r="T507" i="5"/>
  <c r="S507" i="5"/>
  <c r="R507" i="5"/>
  <c r="Q507" i="5"/>
  <c r="P507" i="5"/>
  <c r="T506" i="5"/>
  <c r="S506" i="5"/>
  <c r="R506" i="5"/>
  <c r="Q506" i="5"/>
  <c r="P506" i="5"/>
  <c r="T505" i="5"/>
  <c r="S505" i="5"/>
  <c r="R505" i="5"/>
  <c r="Q505" i="5"/>
  <c r="P505" i="5"/>
  <c r="T504" i="5"/>
  <c r="S504" i="5"/>
  <c r="R504" i="5"/>
  <c r="Q504" i="5"/>
  <c r="P504" i="5"/>
  <c r="T503" i="5"/>
  <c r="S503" i="5"/>
  <c r="R503" i="5"/>
  <c r="Q503" i="5"/>
  <c r="P503" i="5"/>
  <c r="T502" i="5"/>
  <c r="S502" i="5"/>
  <c r="R502" i="5"/>
  <c r="Q502" i="5"/>
  <c r="P502" i="5"/>
  <c r="T501" i="5"/>
  <c r="S501" i="5"/>
  <c r="R501" i="5"/>
  <c r="Q501" i="5"/>
  <c r="P501" i="5"/>
  <c r="T500" i="5"/>
  <c r="S500" i="5"/>
  <c r="R500" i="5"/>
  <c r="Q500" i="5"/>
  <c r="P500" i="5"/>
  <c r="T499" i="5"/>
  <c r="S499" i="5"/>
  <c r="R499" i="5"/>
  <c r="Q499" i="5"/>
  <c r="P499" i="5"/>
  <c r="T498" i="5"/>
  <c r="S498" i="5"/>
  <c r="R498" i="5"/>
  <c r="Q498" i="5"/>
  <c r="P498" i="5"/>
  <c r="T497" i="5"/>
  <c r="S497" i="5"/>
  <c r="R497" i="5"/>
  <c r="Q497" i="5"/>
  <c r="P497" i="5"/>
  <c r="T496" i="5"/>
  <c r="S496" i="5"/>
  <c r="R496" i="5"/>
  <c r="Q496" i="5"/>
  <c r="P496" i="5"/>
  <c r="T495" i="5"/>
  <c r="S495" i="5"/>
  <c r="R495" i="5"/>
  <c r="Q495" i="5"/>
  <c r="P495" i="5"/>
  <c r="T494" i="5"/>
  <c r="S494" i="5"/>
  <c r="R494" i="5"/>
  <c r="Q494" i="5"/>
  <c r="P494" i="5"/>
  <c r="T493" i="5"/>
  <c r="S493" i="5"/>
  <c r="R493" i="5"/>
  <c r="Q493" i="5"/>
  <c r="P493" i="5"/>
  <c r="T492" i="5"/>
  <c r="S492" i="5"/>
  <c r="R492" i="5"/>
  <c r="Q492" i="5"/>
  <c r="P492" i="5"/>
  <c r="T491" i="5"/>
  <c r="S491" i="5"/>
  <c r="R491" i="5"/>
  <c r="Q491" i="5"/>
  <c r="P491" i="5"/>
  <c r="T490" i="5"/>
  <c r="S490" i="5"/>
  <c r="R490" i="5"/>
  <c r="Q490" i="5"/>
  <c r="P490" i="5"/>
  <c r="T489" i="5"/>
  <c r="S489" i="5"/>
  <c r="R489" i="5"/>
  <c r="Q489" i="5"/>
  <c r="P489" i="5"/>
  <c r="T488" i="5"/>
  <c r="S488" i="5"/>
  <c r="R488" i="5"/>
  <c r="Q488" i="5"/>
  <c r="P488" i="5"/>
  <c r="T487" i="5"/>
  <c r="S487" i="5"/>
  <c r="R487" i="5"/>
  <c r="Q487" i="5"/>
  <c r="P487" i="5"/>
  <c r="T486" i="5"/>
  <c r="S486" i="5"/>
  <c r="R486" i="5"/>
  <c r="Q486" i="5"/>
  <c r="P486" i="5"/>
  <c r="T485" i="5"/>
  <c r="S485" i="5"/>
  <c r="R485" i="5"/>
  <c r="Q485" i="5"/>
  <c r="P485" i="5"/>
  <c r="T484" i="5"/>
  <c r="S484" i="5"/>
  <c r="R484" i="5"/>
  <c r="Q484" i="5"/>
  <c r="P484" i="5"/>
  <c r="T483" i="5"/>
  <c r="S483" i="5"/>
  <c r="R483" i="5"/>
  <c r="Q483" i="5"/>
  <c r="P483" i="5"/>
  <c r="T482" i="5"/>
  <c r="S482" i="5"/>
  <c r="R482" i="5"/>
  <c r="Q482" i="5"/>
  <c r="P482" i="5"/>
  <c r="T481" i="5"/>
  <c r="S481" i="5"/>
  <c r="R481" i="5"/>
  <c r="Q481" i="5"/>
  <c r="P481" i="5"/>
  <c r="T480" i="5"/>
  <c r="S480" i="5"/>
  <c r="R480" i="5"/>
  <c r="Q480" i="5"/>
  <c r="P480" i="5"/>
  <c r="T479" i="5"/>
  <c r="S479" i="5"/>
  <c r="R479" i="5"/>
  <c r="Q479" i="5"/>
  <c r="P479" i="5"/>
  <c r="T478" i="5"/>
  <c r="S478" i="5"/>
  <c r="R478" i="5"/>
  <c r="Q478" i="5"/>
  <c r="P478" i="5"/>
  <c r="T477" i="5"/>
  <c r="S477" i="5"/>
  <c r="R477" i="5"/>
  <c r="Q477" i="5"/>
  <c r="P477" i="5"/>
  <c r="T476" i="5"/>
  <c r="S476" i="5"/>
  <c r="R476" i="5"/>
  <c r="Q476" i="5"/>
  <c r="P476" i="5"/>
  <c r="T475" i="5"/>
  <c r="S475" i="5"/>
  <c r="R475" i="5"/>
  <c r="Q475" i="5"/>
  <c r="P475" i="5"/>
  <c r="T474" i="5"/>
  <c r="S474" i="5"/>
  <c r="R474" i="5"/>
  <c r="Q474" i="5"/>
  <c r="P474" i="5"/>
  <c r="T473" i="5"/>
  <c r="S473" i="5"/>
  <c r="R473" i="5"/>
  <c r="Q473" i="5"/>
  <c r="P473" i="5"/>
  <c r="T472" i="5"/>
  <c r="S472" i="5"/>
  <c r="R472" i="5"/>
  <c r="Q472" i="5"/>
  <c r="P472" i="5"/>
  <c r="T471" i="5"/>
  <c r="S471" i="5"/>
  <c r="R471" i="5"/>
  <c r="Q471" i="5"/>
  <c r="P471" i="5"/>
  <c r="T470" i="5"/>
  <c r="S470" i="5"/>
  <c r="R470" i="5"/>
  <c r="Q470" i="5"/>
  <c r="P470" i="5"/>
  <c r="T469" i="5"/>
  <c r="S469" i="5"/>
  <c r="R469" i="5"/>
  <c r="Q469" i="5"/>
  <c r="P469" i="5"/>
  <c r="T468" i="5"/>
  <c r="S468" i="5"/>
  <c r="R468" i="5"/>
  <c r="Q468" i="5"/>
  <c r="P468" i="5"/>
  <c r="T467" i="5"/>
  <c r="S467" i="5"/>
  <c r="R467" i="5"/>
  <c r="Q467" i="5"/>
  <c r="P467" i="5"/>
  <c r="T466" i="5"/>
  <c r="S466" i="5"/>
  <c r="R466" i="5"/>
  <c r="Q466" i="5"/>
  <c r="P466" i="5"/>
  <c r="T465" i="5"/>
  <c r="S465" i="5"/>
  <c r="R465" i="5"/>
  <c r="Q465" i="5"/>
  <c r="P465" i="5"/>
  <c r="T464" i="5"/>
  <c r="S464" i="5"/>
  <c r="R464" i="5"/>
  <c r="Q464" i="5"/>
  <c r="P464" i="5"/>
  <c r="T463" i="5"/>
  <c r="S463" i="5"/>
  <c r="R463" i="5"/>
  <c r="Q463" i="5"/>
  <c r="P463" i="5"/>
  <c r="T462" i="5"/>
  <c r="S462" i="5"/>
  <c r="R462" i="5"/>
  <c r="Q462" i="5"/>
  <c r="P462" i="5"/>
  <c r="T461" i="5"/>
  <c r="S461" i="5"/>
  <c r="R461" i="5"/>
  <c r="Q461" i="5"/>
  <c r="P461" i="5"/>
  <c r="T460" i="5"/>
  <c r="S460" i="5"/>
  <c r="R460" i="5"/>
  <c r="Q460" i="5"/>
  <c r="P460" i="5"/>
  <c r="T459" i="5"/>
  <c r="S459" i="5"/>
  <c r="R459" i="5"/>
  <c r="Q459" i="5"/>
  <c r="P459" i="5"/>
  <c r="T458" i="5"/>
  <c r="S458" i="5"/>
  <c r="R458" i="5"/>
  <c r="Q458" i="5"/>
  <c r="P458" i="5"/>
  <c r="T457" i="5"/>
  <c r="S457" i="5"/>
  <c r="R457" i="5"/>
  <c r="Q457" i="5"/>
  <c r="P457" i="5"/>
  <c r="T456" i="5"/>
  <c r="S456" i="5"/>
  <c r="R456" i="5"/>
  <c r="Q456" i="5"/>
  <c r="P456" i="5"/>
  <c r="T455" i="5"/>
  <c r="S455" i="5"/>
  <c r="R455" i="5"/>
  <c r="Q455" i="5"/>
  <c r="P455" i="5"/>
  <c r="T454" i="5"/>
  <c r="S454" i="5"/>
  <c r="R454" i="5"/>
  <c r="Q454" i="5"/>
  <c r="P454" i="5"/>
  <c r="T453" i="5"/>
  <c r="S453" i="5"/>
  <c r="R453" i="5"/>
  <c r="Q453" i="5"/>
  <c r="P453" i="5"/>
  <c r="T452" i="5"/>
  <c r="S452" i="5"/>
  <c r="R452" i="5"/>
  <c r="Q452" i="5"/>
  <c r="P452" i="5"/>
  <c r="T451" i="5"/>
  <c r="S451" i="5"/>
  <c r="R451" i="5"/>
  <c r="Q451" i="5"/>
  <c r="P451" i="5"/>
  <c r="T450" i="5"/>
  <c r="S450" i="5"/>
  <c r="R450" i="5"/>
  <c r="Q450" i="5"/>
  <c r="P450" i="5"/>
  <c r="T449" i="5"/>
  <c r="S449" i="5"/>
  <c r="R449" i="5"/>
  <c r="Q449" i="5"/>
  <c r="P449" i="5"/>
  <c r="T448" i="5"/>
  <c r="S448" i="5"/>
  <c r="R448" i="5"/>
  <c r="Q448" i="5"/>
  <c r="P448" i="5"/>
  <c r="T447" i="5"/>
  <c r="S447" i="5"/>
  <c r="R447" i="5"/>
  <c r="Q447" i="5"/>
  <c r="P447" i="5"/>
  <c r="T446" i="5"/>
  <c r="S446" i="5"/>
  <c r="R446" i="5"/>
  <c r="Q446" i="5"/>
  <c r="P446" i="5"/>
  <c r="T445" i="5"/>
  <c r="S445" i="5"/>
  <c r="R445" i="5"/>
  <c r="Q445" i="5"/>
  <c r="P445" i="5"/>
  <c r="T444" i="5"/>
  <c r="S444" i="5"/>
  <c r="R444" i="5"/>
  <c r="Q444" i="5"/>
  <c r="P444" i="5"/>
  <c r="T443" i="5"/>
  <c r="S443" i="5"/>
  <c r="R443" i="5"/>
  <c r="Q443" i="5"/>
  <c r="P443" i="5"/>
  <c r="T442" i="5"/>
  <c r="S442" i="5"/>
  <c r="R442" i="5"/>
  <c r="Q442" i="5"/>
  <c r="P442" i="5"/>
  <c r="T441" i="5"/>
  <c r="S441" i="5"/>
  <c r="R441" i="5"/>
  <c r="Q441" i="5"/>
  <c r="P441" i="5"/>
  <c r="T440" i="5"/>
  <c r="S440" i="5"/>
  <c r="R440" i="5"/>
  <c r="Q440" i="5"/>
  <c r="P440" i="5"/>
  <c r="T439" i="5"/>
  <c r="S439" i="5"/>
  <c r="R439" i="5"/>
  <c r="Q439" i="5"/>
  <c r="P439" i="5"/>
  <c r="T438" i="5"/>
  <c r="S438" i="5"/>
  <c r="R438" i="5"/>
  <c r="Q438" i="5"/>
  <c r="P438" i="5"/>
  <c r="T437" i="5"/>
  <c r="S437" i="5"/>
  <c r="R437" i="5"/>
  <c r="Q437" i="5"/>
  <c r="P437" i="5"/>
  <c r="T436" i="5"/>
  <c r="S436" i="5"/>
  <c r="R436" i="5"/>
  <c r="Q436" i="5"/>
  <c r="P436" i="5"/>
  <c r="T435" i="5"/>
  <c r="S435" i="5"/>
  <c r="R435" i="5"/>
  <c r="Q435" i="5"/>
  <c r="P435" i="5"/>
  <c r="T434" i="5"/>
  <c r="S434" i="5"/>
  <c r="R434" i="5"/>
  <c r="Q434" i="5"/>
  <c r="P434" i="5"/>
  <c r="T433" i="5"/>
  <c r="S433" i="5"/>
  <c r="R433" i="5"/>
  <c r="Q433" i="5"/>
  <c r="P433" i="5"/>
  <c r="T432" i="5"/>
  <c r="S432" i="5"/>
  <c r="R432" i="5"/>
  <c r="Q432" i="5"/>
  <c r="P432" i="5"/>
  <c r="T431" i="5"/>
  <c r="S431" i="5"/>
  <c r="R431" i="5"/>
  <c r="Q431" i="5"/>
  <c r="P431" i="5"/>
  <c r="T430" i="5"/>
  <c r="S430" i="5"/>
  <c r="R430" i="5"/>
  <c r="Q430" i="5"/>
  <c r="P430" i="5"/>
  <c r="T429" i="5"/>
  <c r="S429" i="5"/>
  <c r="R429" i="5"/>
  <c r="Q429" i="5"/>
  <c r="P429" i="5"/>
  <c r="T428" i="5"/>
  <c r="S428" i="5"/>
  <c r="R428" i="5"/>
  <c r="Q428" i="5"/>
  <c r="P428" i="5"/>
  <c r="T427" i="5"/>
  <c r="S427" i="5"/>
  <c r="R427" i="5"/>
  <c r="Q427" i="5"/>
  <c r="P427" i="5"/>
  <c r="T426" i="5"/>
  <c r="S426" i="5"/>
  <c r="R426" i="5"/>
  <c r="Q426" i="5"/>
  <c r="P426" i="5"/>
  <c r="T425" i="5"/>
  <c r="S425" i="5"/>
  <c r="R425" i="5"/>
  <c r="Q425" i="5"/>
  <c r="P425" i="5"/>
  <c r="T424" i="5"/>
  <c r="S424" i="5"/>
  <c r="R424" i="5"/>
  <c r="Q424" i="5"/>
  <c r="P424" i="5"/>
  <c r="T423" i="5"/>
  <c r="S423" i="5"/>
  <c r="R423" i="5"/>
  <c r="Q423" i="5"/>
  <c r="P423" i="5"/>
  <c r="T422" i="5"/>
  <c r="S422" i="5"/>
  <c r="R422" i="5"/>
  <c r="Q422" i="5"/>
  <c r="P422" i="5"/>
  <c r="T421" i="5"/>
  <c r="S421" i="5"/>
  <c r="R421" i="5"/>
  <c r="Q421" i="5"/>
  <c r="P421" i="5"/>
  <c r="T420" i="5"/>
  <c r="S420" i="5"/>
  <c r="R420" i="5"/>
  <c r="Q420" i="5"/>
  <c r="P420" i="5"/>
  <c r="T419" i="5"/>
  <c r="S419" i="5"/>
  <c r="R419" i="5"/>
  <c r="Q419" i="5"/>
  <c r="P419" i="5"/>
  <c r="T418" i="5"/>
  <c r="S418" i="5"/>
  <c r="R418" i="5"/>
  <c r="Q418" i="5"/>
  <c r="P418" i="5"/>
  <c r="T417" i="5"/>
  <c r="S417" i="5"/>
  <c r="R417" i="5"/>
  <c r="Q417" i="5"/>
  <c r="P417" i="5"/>
  <c r="T416" i="5"/>
  <c r="S416" i="5"/>
  <c r="R416" i="5"/>
  <c r="Q416" i="5"/>
  <c r="P416" i="5"/>
  <c r="T415" i="5"/>
  <c r="S415" i="5"/>
  <c r="R415" i="5"/>
  <c r="Q415" i="5"/>
  <c r="P415" i="5"/>
  <c r="T414" i="5"/>
  <c r="S414" i="5"/>
  <c r="R414" i="5"/>
  <c r="Q414" i="5"/>
  <c r="P414" i="5"/>
  <c r="T413" i="5"/>
  <c r="S413" i="5"/>
  <c r="R413" i="5"/>
  <c r="Q413" i="5"/>
  <c r="P413" i="5"/>
  <c r="T412" i="5"/>
  <c r="S412" i="5"/>
  <c r="R412" i="5"/>
  <c r="Q412" i="5"/>
  <c r="P412" i="5"/>
  <c r="T411" i="5"/>
  <c r="S411" i="5"/>
  <c r="R411" i="5"/>
  <c r="Q411" i="5"/>
  <c r="P411" i="5"/>
  <c r="T410" i="5"/>
  <c r="S410" i="5"/>
  <c r="R410" i="5"/>
  <c r="Q410" i="5"/>
  <c r="P410" i="5"/>
  <c r="T409" i="5"/>
  <c r="S409" i="5"/>
  <c r="R409" i="5"/>
  <c r="Q409" i="5"/>
  <c r="P409" i="5"/>
  <c r="T408" i="5"/>
  <c r="S408" i="5"/>
  <c r="R408" i="5"/>
  <c r="Q408" i="5"/>
  <c r="P408" i="5"/>
  <c r="T407" i="5"/>
  <c r="S407" i="5"/>
  <c r="R407" i="5"/>
  <c r="Q407" i="5"/>
  <c r="P407" i="5"/>
  <c r="T406" i="5"/>
  <c r="S406" i="5"/>
  <c r="R406" i="5"/>
  <c r="Q406" i="5"/>
  <c r="P406" i="5"/>
  <c r="T405" i="5"/>
  <c r="S405" i="5"/>
  <c r="R405" i="5"/>
  <c r="Q405" i="5"/>
  <c r="P405" i="5"/>
  <c r="T404" i="5"/>
  <c r="S404" i="5"/>
  <c r="R404" i="5"/>
  <c r="Q404" i="5"/>
  <c r="P404" i="5"/>
  <c r="T403" i="5"/>
  <c r="S403" i="5"/>
  <c r="R403" i="5"/>
  <c r="Q403" i="5"/>
  <c r="P403" i="5"/>
  <c r="T402" i="5"/>
  <c r="S402" i="5"/>
  <c r="R402" i="5"/>
  <c r="Q402" i="5"/>
  <c r="P402" i="5"/>
  <c r="T401" i="5"/>
  <c r="S401" i="5"/>
  <c r="R401" i="5"/>
  <c r="Q401" i="5"/>
  <c r="P401" i="5"/>
  <c r="T400" i="5"/>
  <c r="S400" i="5"/>
  <c r="R400" i="5"/>
  <c r="Q400" i="5"/>
  <c r="P400" i="5"/>
  <c r="T399" i="5"/>
  <c r="S399" i="5"/>
  <c r="R399" i="5"/>
  <c r="Q399" i="5"/>
  <c r="P399" i="5"/>
  <c r="T398" i="5"/>
  <c r="S398" i="5"/>
  <c r="R398" i="5"/>
  <c r="Q398" i="5"/>
  <c r="P398" i="5"/>
  <c r="T397" i="5"/>
  <c r="S397" i="5"/>
  <c r="R397" i="5"/>
  <c r="Q397" i="5"/>
  <c r="P397" i="5"/>
  <c r="T396" i="5"/>
  <c r="S396" i="5"/>
  <c r="R396" i="5"/>
  <c r="Q396" i="5"/>
  <c r="P396" i="5"/>
  <c r="T395" i="5"/>
  <c r="S395" i="5"/>
  <c r="R395" i="5"/>
  <c r="Q395" i="5"/>
  <c r="P395" i="5"/>
  <c r="T394" i="5"/>
  <c r="S394" i="5"/>
  <c r="R394" i="5"/>
  <c r="Q394" i="5"/>
  <c r="P394" i="5"/>
  <c r="T393" i="5"/>
  <c r="S393" i="5"/>
  <c r="R393" i="5"/>
  <c r="Q393" i="5"/>
  <c r="P393" i="5"/>
  <c r="T392" i="5"/>
  <c r="S392" i="5"/>
  <c r="R392" i="5"/>
  <c r="Q392" i="5"/>
  <c r="P392" i="5"/>
  <c r="T391" i="5"/>
  <c r="S391" i="5"/>
  <c r="R391" i="5"/>
  <c r="Q391" i="5"/>
  <c r="P391" i="5"/>
  <c r="T390" i="5"/>
  <c r="S390" i="5"/>
  <c r="R390" i="5"/>
  <c r="Q390" i="5"/>
  <c r="P390" i="5"/>
  <c r="T389" i="5"/>
  <c r="S389" i="5"/>
  <c r="R389" i="5"/>
  <c r="Q389" i="5"/>
  <c r="P389" i="5"/>
  <c r="T388" i="5"/>
  <c r="S388" i="5"/>
  <c r="R388" i="5"/>
  <c r="Q388" i="5"/>
  <c r="P388" i="5"/>
  <c r="T387" i="5"/>
  <c r="S387" i="5"/>
  <c r="R387" i="5"/>
  <c r="Q387" i="5"/>
  <c r="P387" i="5"/>
  <c r="T386" i="5"/>
  <c r="S386" i="5"/>
  <c r="R386" i="5"/>
  <c r="Q386" i="5"/>
  <c r="P386" i="5"/>
  <c r="T385" i="5"/>
  <c r="S385" i="5"/>
  <c r="R385" i="5"/>
  <c r="Q385" i="5"/>
  <c r="P385" i="5"/>
  <c r="T384" i="5"/>
  <c r="S384" i="5"/>
  <c r="R384" i="5"/>
  <c r="Q384" i="5"/>
  <c r="P384" i="5"/>
  <c r="T383" i="5"/>
  <c r="S383" i="5"/>
  <c r="R383" i="5"/>
  <c r="Q383" i="5"/>
  <c r="P383" i="5"/>
  <c r="T382" i="5"/>
  <c r="S382" i="5"/>
  <c r="R382" i="5"/>
  <c r="Q382" i="5"/>
  <c r="P382" i="5"/>
  <c r="T381" i="5"/>
  <c r="S381" i="5"/>
  <c r="R381" i="5"/>
  <c r="Q381" i="5"/>
  <c r="P381" i="5"/>
  <c r="T380" i="5"/>
  <c r="S380" i="5"/>
  <c r="R380" i="5"/>
  <c r="Q380" i="5"/>
  <c r="P380" i="5"/>
  <c r="T379" i="5"/>
  <c r="S379" i="5"/>
  <c r="R379" i="5"/>
  <c r="Q379" i="5"/>
  <c r="P379" i="5"/>
  <c r="T378" i="5"/>
  <c r="S378" i="5"/>
  <c r="R378" i="5"/>
  <c r="Q378" i="5"/>
  <c r="P378" i="5"/>
  <c r="T377" i="5"/>
  <c r="S377" i="5"/>
  <c r="R377" i="5"/>
  <c r="Q377" i="5"/>
  <c r="P377" i="5"/>
  <c r="T376" i="5"/>
  <c r="S376" i="5"/>
  <c r="R376" i="5"/>
  <c r="Q376" i="5"/>
  <c r="P376" i="5"/>
  <c r="T375" i="5"/>
  <c r="S375" i="5"/>
  <c r="R375" i="5"/>
  <c r="Q375" i="5"/>
  <c r="P375" i="5"/>
  <c r="T374" i="5"/>
  <c r="S374" i="5"/>
  <c r="R374" i="5"/>
  <c r="Q374" i="5"/>
  <c r="P374" i="5"/>
  <c r="T373" i="5"/>
  <c r="S373" i="5"/>
  <c r="R373" i="5"/>
  <c r="Q373" i="5"/>
  <c r="P373" i="5"/>
  <c r="T372" i="5"/>
  <c r="S372" i="5"/>
  <c r="R372" i="5"/>
  <c r="Q372" i="5"/>
  <c r="P372" i="5"/>
  <c r="T371" i="5"/>
  <c r="S371" i="5"/>
  <c r="R371" i="5"/>
  <c r="Q371" i="5"/>
  <c r="P371" i="5"/>
  <c r="T370" i="5"/>
  <c r="S370" i="5"/>
  <c r="R370" i="5"/>
  <c r="Q370" i="5"/>
  <c r="P370" i="5"/>
  <c r="T369" i="5"/>
  <c r="S369" i="5"/>
  <c r="R369" i="5"/>
  <c r="Q369" i="5"/>
  <c r="P369" i="5"/>
  <c r="T368" i="5"/>
  <c r="S368" i="5"/>
  <c r="R368" i="5"/>
  <c r="Q368" i="5"/>
  <c r="P368" i="5"/>
  <c r="T367" i="5"/>
  <c r="S367" i="5"/>
  <c r="R367" i="5"/>
  <c r="Q367" i="5"/>
  <c r="P367" i="5"/>
  <c r="T366" i="5"/>
  <c r="S366" i="5"/>
  <c r="R366" i="5"/>
  <c r="Q366" i="5"/>
  <c r="P366" i="5"/>
  <c r="T365" i="5"/>
  <c r="S365" i="5"/>
  <c r="R365" i="5"/>
  <c r="Q365" i="5"/>
  <c r="P365" i="5"/>
  <c r="T364" i="5"/>
  <c r="S364" i="5"/>
  <c r="R364" i="5"/>
  <c r="Q364" i="5"/>
  <c r="P364" i="5"/>
  <c r="T363" i="5"/>
  <c r="S363" i="5"/>
  <c r="R363" i="5"/>
  <c r="Q363" i="5"/>
  <c r="P363" i="5"/>
  <c r="T362" i="5"/>
  <c r="S362" i="5"/>
  <c r="R362" i="5"/>
  <c r="Q362" i="5"/>
  <c r="P362" i="5"/>
  <c r="T361" i="5"/>
  <c r="S361" i="5"/>
  <c r="R361" i="5"/>
  <c r="Q361" i="5"/>
  <c r="P361" i="5"/>
  <c r="T360" i="5"/>
  <c r="S360" i="5"/>
  <c r="R360" i="5"/>
  <c r="Q360" i="5"/>
  <c r="P360" i="5"/>
  <c r="T359" i="5"/>
  <c r="S359" i="5"/>
  <c r="R359" i="5"/>
  <c r="Q359" i="5"/>
  <c r="P359" i="5"/>
  <c r="T358" i="5"/>
  <c r="S358" i="5"/>
  <c r="R358" i="5"/>
  <c r="Q358" i="5"/>
  <c r="P358" i="5"/>
  <c r="T357" i="5"/>
  <c r="S357" i="5"/>
  <c r="R357" i="5"/>
  <c r="Q357" i="5"/>
  <c r="P357" i="5"/>
  <c r="T356" i="5"/>
  <c r="S356" i="5"/>
  <c r="R356" i="5"/>
  <c r="Q356" i="5"/>
  <c r="P356" i="5"/>
  <c r="T355" i="5"/>
  <c r="S355" i="5"/>
  <c r="R355" i="5"/>
  <c r="Q355" i="5"/>
  <c r="P355" i="5"/>
  <c r="T354" i="5"/>
  <c r="S354" i="5"/>
  <c r="R354" i="5"/>
  <c r="Q354" i="5"/>
  <c r="P354" i="5"/>
  <c r="T353" i="5"/>
  <c r="S353" i="5"/>
  <c r="R353" i="5"/>
  <c r="Q353" i="5"/>
  <c r="P353" i="5"/>
  <c r="T352" i="5"/>
  <c r="S352" i="5"/>
  <c r="R352" i="5"/>
  <c r="Q352" i="5"/>
  <c r="P352" i="5"/>
  <c r="T351" i="5"/>
  <c r="S351" i="5"/>
  <c r="R351" i="5"/>
  <c r="Q351" i="5"/>
  <c r="P351" i="5"/>
  <c r="T350" i="5"/>
  <c r="S350" i="5"/>
  <c r="R350" i="5"/>
  <c r="Q350" i="5"/>
  <c r="P350" i="5"/>
  <c r="T349" i="5"/>
  <c r="S349" i="5"/>
  <c r="R349" i="5"/>
  <c r="Q349" i="5"/>
  <c r="P349" i="5"/>
  <c r="T348" i="5"/>
  <c r="S348" i="5"/>
  <c r="R348" i="5"/>
  <c r="Q348" i="5"/>
  <c r="P348" i="5"/>
  <c r="T347" i="5"/>
  <c r="S347" i="5"/>
  <c r="R347" i="5"/>
  <c r="Q347" i="5"/>
  <c r="P347" i="5"/>
  <c r="T346" i="5"/>
  <c r="S346" i="5"/>
  <c r="R346" i="5"/>
  <c r="Q346" i="5"/>
  <c r="P346" i="5"/>
  <c r="T345" i="5"/>
  <c r="S345" i="5"/>
  <c r="R345" i="5"/>
  <c r="Q345" i="5"/>
  <c r="P345" i="5"/>
  <c r="T344" i="5"/>
  <c r="S344" i="5"/>
  <c r="R344" i="5"/>
  <c r="Q344" i="5"/>
  <c r="P344" i="5"/>
  <c r="T343" i="5"/>
  <c r="S343" i="5"/>
  <c r="R343" i="5"/>
  <c r="Q343" i="5"/>
  <c r="P343" i="5"/>
  <c r="T342" i="5"/>
  <c r="S342" i="5"/>
  <c r="R342" i="5"/>
  <c r="Q342" i="5"/>
  <c r="P342" i="5"/>
  <c r="T341" i="5"/>
  <c r="S341" i="5"/>
  <c r="R341" i="5"/>
  <c r="Q341" i="5"/>
  <c r="P341" i="5"/>
  <c r="T340" i="5"/>
  <c r="S340" i="5"/>
  <c r="R340" i="5"/>
  <c r="Q340" i="5"/>
  <c r="P340" i="5"/>
  <c r="T339" i="5"/>
  <c r="S339" i="5"/>
  <c r="R339" i="5"/>
  <c r="Q339" i="5"/>
  <c r="P339" i="5"/>
  <c r="T338" i="5"/>
  <c r="S338" i="5"/>
  <c r="R338" i="5"/>
  <c r="Q338" i="5"/>
  <c r="P338" i="5"/>
  <c r="T337" i="5"/>
  <c r="S337" i="5"/>
  <c r="R337" i="5"/>
  <c r="Q337" i="5"/>
  <c r="P337" i="5"/>
  <c r="T336" i="5"/>
  <c r="S336" i="5"/>
  <c r="R336" i="5"/>
  <c r="Q336" i="5"/>
  <c r="P336" i="5"/>
  <c r="T335" i="5"/>
  <c r="S335" i="5"/>
  <c r="R335" i="5"/>
  <c r="Q335" i="5"/>
  <c r="P335" i="5"/>
  <c r="T334" i="5"/>
  <c r="S334" i="5"/>
  <c r="R334" i="5"/>
  <c r="Q334" i="5"/>
  <c r="P334" i="5"/>
  <c r="T333" i="5"/>
  <c r="S333" i="5"/>
  <c r="R333" i="5"/>
  <c r="Q333" i="5"/>
  <c r="P333" i="5"/>
  <c r="T332" i="5"/>
  <c r="S332" i="5"/>
  <c r="R332" i="5"/>
  <c r="Q332" i="5"/>
  <c r="P332" i="5"/>
  <c r="T331" i="5"/>
  <c r="S331" i="5"/>
  <c r="R331" i="5"/>
  <c r="Q331" i="5"/>
  <c r="P331" i="5"/>
  <c r="T330" i="5"/>
  <c r="S330" i="5"/>
  <c r="R330" i="5"/>
  <c r="Q330" i="5"/>
  <c r="P330" i="5"/>
  <c r="T329" i="5"/>
  <c r="S329" i="5"/>
  <c r="R329" i="5"/>
  <c r="Q329" i="5"/>
  <c r="P329" i="5"/>
  <c r="T328" i="5"/>
  <c r="S328" i="5"/>
  <c r="R328" i="5"/>
  <c r="Q328" i="5"/>
  <c r="P328" i="5"/>
  <c r="T327" i="5"/>
  <c r="S327" i="5"/>
  <c r="R327" i="5"/>
  <c r="Q327" i="5"/>
  <c r="P327" i="5"/>
  <c r="T326" i="5"/>
  <c r="S326" i="5"/>
  <c r="R326" i="5"/>
  <c r="Q326" i="5"/>
  <c r="P326" i="5"/>
  <c r="T325" i="5"/>
  <c r="S325" i="5"/>
  <c r="R325" i="5"/>
  <c r="Q325" i="5"/>
  <c r="P325" i="5"/>
  <c r="T324" i="5"/>
  <c r="S324" i="5"/>
  <c r="R324" i="5"/>
  <c r="Q324" i="5"/>
  <c r="P324" i="5"/>
  <c r="T323" i="5"/>
  <c r="S323" i="5"/>
  <c r="R323" i="5"/>
  <c r="Q323" i="5"/>
  <c r="P323" i="5"/>
  <c r="T322" i="5"/>
  <c r="S322" i="5"/>
  <c r="R322" i="5"/>
  <c r="Q322" i="5"/>
  <c r="P322" i="5"/>
  <c r="T321" i="5"/>
  <c r="S321" i="5"/>
  <c r="R321" i="5"/>
  <c r="Q321" i="5"/>
  <c r="P321" i="5"/>
  <c r="T320" i="5"/>
  <c r="S320" i="5"/>
  <c r="R320" i="5"/>
  <c r="Q320" i="5"/>
  <c r="P320" i="5"/>
  <c r="T319" i="5"/>
  <c r="S319" i="5"/>
  <c r="R319" i="5"/>
  <c r="Q319" i="5"/>
  <c r="P319" i="5"/>
  <c r="T318" i="5"/>
  <c r="S318" i="5"/>
  <c r="R318" i="5"/>
  <c r="Q318" i="5"/>
  <c r="P318" i="5"/>
  <c r="T317" i="5"/>
  <c r="S317" i="5"/>
  <c r="R317" i="5"/>
  <c r="Q317" i="5"/>
  <c r="P317" i="5"/>
  <c r="T316" i="5"/>
  <c r="S316" i="5"/>
  <c r="R316" i="5"/>
  <c r="Q316" i="5"/>
  <c r="P316" i="5"/>
  <c r="T315" i="5"/>
  <c r="S315" i="5"/>
  <c r="R315" i="5"/>
  <c r="Q315" i="5"/>
  <c r="P315" i="5"/>
  <c r="T314" i="5"/>
  <c r="S314" i="5"/>
  <c r="R314" i="5"/>
  <c r="Q314" i="5"/>
  <c r="P314" i="5"/>
  <c r="T313" i="5"/>
  <c r="S313" i="5"/>
  <c r="R313" i="5"/>
  <c r="Q313" i="5"/>
  <c r="P313" i="5"/>
  <c r="N313" i="5" a="1"/>
  <c r="N313" i="5" s="1"/>
  <c r="T312" i="5"/>
  <c r="S312" i="5"/>
  <c r="R312" i="5"/>
  <c r="Q312" i="5"/>
  <c r="P312" i="5"/>
  <c r="T311" i="5"/>
  <c r="S311" i="5"/>
  <c r="R311" i="5"/>
  <c r="Q311" i="5"/>
  <c r="P311" i="5"/>
  <c r="T310" i="5"/>
  <c r="S310" i="5"/>
  <c r="R310" i="5"/>
  <c r="Q310" i="5"/>
  <c r="P310" i="5"/>
  <c r="T309" i="5"/>
  <c r="S309" i="5"/>
  <c r="R309" i="5"/>
  <c r="Q309" i="5"/>
  <c r="P309" i="5"/>
  <c r="T308" i="5"/>
  <c r="S308" i="5"/>
  <c r="R308" i="5"/>
  <c r="Q308" i="5"/>
  <c r="P308" i="5"/>
  <c r="T307" i="5"/>
  <c r="S307" i="5"/>
  <c r="R307" i="5"/>
  <c r="Q307" i="5"/>
  <c r="P307" i="5"/>
  <c r="T306" i="5"/>
  <c r="S306" i="5"/>
  <c r="R306" i="5"/>
  <c r="Q306" i="5"/>
  <c r="P306" i="5"/>
  <c r="T305" i="5"/>
  <c r="S305" i="5"/>
  <c r="R305" i="5"/>
  <c r="Q305" i="5"/>
  <c r="P305" i="5"/>
  <c r="T304" i="5"/>
  <c r="S304" i="5"/>
  <c r="R304" i="5"/>
  <c r="Q304" i="5"/>
  <c r="P304" i="5"/>
  <c r="T303" i="5"/>
  <c r="S303" i="5"/>
  <c r="R303" i="5"/>
  <c r="Q303" i="5"/>
  <c r="P303" i="5"/>
  <c r="T302" i="5"/>
  <c r="S302" i="5"/>
  <c r="R302" i="5"/>
  <c r="Q302" i="5"/>
  <c r="P302" i="5"/>
  <c r="T301" i="5"/>
  <c r="S301" i="5"/>
  <c r="R301" i="5"/>
  <c r="Q301" i="5"/>
  <c r="P301" i="5"/>
  <c r="T300" i="5"/>
  <c r="S300" i="5"/>
  <c r="R300" i="5"/>
  <c r="Q300" i="5"/>
  <c r="P300" i="5"/>
  <c r="T299" i="5"/>
  <c r="S299" i="5"/>
  <c r="R299" i="5"/>
  <c r="Q299" i="5"/>
  <c r="P299" i="5"/>
  <c r="T298" i="5"/>
  <c r="S298" i="5"/>
  <c r="R298" i="5"/>
  <c r="Q298" i="5"/>
  <c r="P298" i="5"/>
  <c r="T297" i="5"/>
  <c r="S297" i="5"/>
  <c r="R297" i="5"/>
  <c r="Q297" i="5"/>
  <c r="P297" i="5"/>
  <c r="T296" i="5"/>
  <c r="S296" i="5"/>
  <c r="R296" i="5"/>
  <c r="Q296" i="5"/>
  <c r="P296" i="5"/>
  <c r="T295" i="5"/>
  <c r="S295" i="5"/>
  <c r="R295" i="5"/>
  <c r="Q295" i="5"/>
  <c r="P295" i="5"/>
  <c r="T294" i="5"/>
  <c r="S294" i="5"/>
  <c r="R294" i="5"/>
  <c r="Q294" i="5"/>
  <c r="P294" i="5"/>
  <c r="T293" i="5"/>
  <c r="S293" i="5"/>
  <c r="R293" i="5"/>
  <c r="Q293" i="5"/>
  <c r="P293" i="5"/>
  <c r="T292" i="5"/>
  <c r="S292" i="5"/>
  <c r="R292" i="5"/>
  <c r="Q292" i="5"/>
  <c r="P292" i="5"/>
  <c r="T291" i="5"/>
  <c r="S291" i="5"/>
  <c r="R291" i="5"/>
  <c r="Q291" i="5"/>
  <c r="P291" i="5"/>
  <c r="T290" i="5"/>
  <c r="S290" i="5"/>
  <c r="R290" i="5"/>
  <c r="Q290" i="5"/>
  <c r="P290" i="5"/>
  <c r="T289" i="5"/>
  <c r="S289" i="5"/>
  <c r="R289" i="5"/>
  <c r="Q289" i="5"/>
  <c r="P289" i="5"/>
  <c r="T288" i="5"/>
  <c r="S288" i="5"/>
  <c r="R288" i="5"/>
  <c r="Q288" i="5"/>
  <c r="P288" i="5"/>
  <c r="T287" i="5"/>
  <c r="S287" i="5"/>
  <c r="R287" i="5"/>
  <c r="Q287" i="5"/>
  <c r="P287" i="5"/>
  <c r="T286" i="5"/>
  <c r="S286" i="5"/>
  <c r="R286" i="5"/>
  <c r="Q286" i="5"/>
  <c r="P286" i="5"/>
  <c r="T285" i="5"/>
  <c r="S285" i="5"/>
  <c r="R285" i="5"/>
  <c r="Q285" i="5"/>
  <c r="P285" i="5"/>
  <c r="T284" i="5"/>
  <c r="S284" i="5"/>
  <c r="R284" i="5"/>
  <c r="Q284" i="5"/>
  <c r="P284" i="5"/>
  <c r="T283" i="5"/>
  <c r="S283" i="5"/>
  <c r="R283" i="5"/>
  <c r="Q283" i="5"/>
  <c r="P283" i="5"/>
  <c r="T282" i="5"/>
  <c r="S282" i="5"/>
  <c r="R282" i="5"/>
  <c r="Q282" i="5"/>
  <c r="P282" i="5"/>
  <c r="T281" i="5"/>
  <c r="S281" i="5"/>
  <c r="R281" i="5"/>
  <c r="Q281" i="5"/>
  <c r="P281" i="5"/>
  <c r="T280" i="5"/>
  <c r="S280" i="5"/>
  <c r="R280" i="5"/>
  <c r="Q280" i="5"/>
  <c r="P280" i="5"/>
  <c r="T279" i="5"/>
  <c r="S279" i="5"/>
  <c r="R279" i="5"/>
  <c r="Q279" i="5"/>
  <c r="P279" i="5"/>
  <c r="T278" i="5"/>
  <c r="S278" i="5"/>
  <c r="R278" i="5"/>
  <c r="Q278" i="5"/>
  <c r="P278" i="5"/>
  <c r="T277" i="5"/>
  <c r="S277" i="5"/>
  <c r="R277" i="5"/>
  <c r="Q277" i="5"/>
  <c r="P277" i="5"/>
  <c r="T276" i="5"/>
  <c r="S276" i="5"/>
  <c r="R276" i="5"/>
  <c r="Q276" i="5"/>
  <c r="P276" i="5"/>
  <c r="T275" i="5"/>
  <c r="S275" i="5"/>
  <c r="R275" i="5"/>
  <c r="Q275" i="5"/>
  <c r="P275" i="5"/>
  <c r="T274" i="5"/>
  <c r="S274" i="5"/>
  <c r="R274" i="5"/>
  <c r="Q274" i="5"/>
  <c r="P274" i="5"/>
  <c r="T273" i="5"/>
  <c r="S273" i="5"/>
  <c r="R273" i="5"/>
  <c r="Q273" i="5"/>
  <c r="P273" i="5"/>
  <c r="T272" i="5"/>
  <c r="S272" i="5"/>
  <c r="R272" i="5"/>
  <c r="Q272" i="5"/>
  <c r="P272" i="5"/>
  <c r="T271" i="5"/>
  <c r="S271" i="5"/>
  <c r="R271" i="5"/>
  <c r="Q271" i="5"/>
  <c r="P271" i="5"/>
  <c r="T270" i="5"/>
  <c r="S270" i="5"/>
  <c r="R270" i="5"/>
  <c r="Q270" i="5"/>
  <c r="P270" i="5"/>
  <c r="T269" i="5"/>
  <c r="S269" i="5"/>
  <c r="R269" i="5"/>
  <c r="Q269" i="5"/>
  <c r="P269" i="5"/>
  <c r="T268" i="5"/>
  <c r="S268" i="5"/>
  <c r="R268" i="5"/>
  <c r="Q268" i="5"/>
  <c r="P268" i="5"/>
  <c r="T267" i="5"/>
  <c r="S267" i="5"/>
  <c r="R267" i="5"/>
  <c r="Q267" i="5"/>
  <c r="P267" i="5"/>
  <c r="T266" i="5"/>
  <c r="S266" i="5"/>
  <c r="R266" i="5"/>
  <c r="Q266" i="5"/>
  <c r="P266" i="5"/>
  <c r="T265" i="5"/>
  <c r="S265" i="5"/>
  <c r="R265" i="5"/>
  <c r="Q265" i="5"/>
  <c r="P265" i="5"/>
  <c r="T264" i="5"/>
  <c r="S264" i="5"/>
  <c r="R264" i="5"/>
  <c r="Q264" i="5"/>
  <c r="P264" i="5"/>
  <c r="T263" i="5"/>
  <c r="S263" i="5"/>
  <c r="R263" i="5"/>
  <c r="Q263" i="5"/>
  <c r="P263" i="5"/>
  <c r="T262" i="5"/>
  <c r="S262" i="5"/>
  <c r="R262" i="5"/>
  <c r="Q262" i="5"/>
  <c r="P262" i="5"/>
  <c r="T261" i="5"/>
  <c r="S261" i="5"/>
  <c r="R261" i="5"/>
  <c r="Q261" i="5"/>
  <c r="P261" i="5"/>
  <c r="T260" i="5"/>
  <c r="S260" i="5"/>
  <c r="R260" i="5"/>
  <c r="Q260" i="5"/>
  <c r="P260" i="5"/>
  <c r="T259" i="5"/>
  <c r="S259" i="5"/>
  <c r="R259" i="5"/>
  <c r="Q259" i="5"/>
  <c r="P259" i="5"/>
  <c r="T258" i="5"/>
  <c r="S258" i="5"/>
  <c r="R258" i="5"/>
  <c r="Q258" i="5"/>
  <c r="P258" i="5"/>
  <c r="T257" i="5"/>
  <c r="S257" i="5"/>
  <c r="R257" i="5"/>
  <c r="Q257" i="5"/>
  <c r="P257" i="5"/>
  <c r="T256" i="5"/>
  <c r="S256" i="5"/>
  <c r="R256" i="5"/>
  <c r="Q256" i="5"/>
  <c r="P256" i="5"/>
  <c r="T255" i="5"/>
  <c r="S255" i="5"/>
  <c r="R255" i="5"/>
  <c r="Q255" i="5"/>
  <c r="P255" i="5"/>
  <c r="T254" i="5"/>
  <c r="S254" i="5"/>
  <c r="R254" i="5"/>
  <c r="Q254" i="5"/>
  <c r="P254" i="5"/>
  <c r="T253" i="5"/>
  <c r="S253" i="5"/>
  <c r="R253" i="5"/>
  <c r="Q253" i="5"/>
  <c r="P253" i="5"/>
  <c r="T252" i="5"/>
  <c r="S252" i="5"/>
  <c r="R252" i="5"/>
  <c r="Q252" i="5"/>
  <c r="P252" i="5"/>
  <c r="T251" i="5"/>
  <c r="S251" i="5"/>
  <c r="R251" i="5"/>
  <c r="Q251" i="5"/>
  <c r="P251" i="5"/>
  <c r="T250" i="5"/>
  <c r="S250" i="5"/>
  <c r="R250" i="5"/>
  <c r="Q250" i="5"/>
  <c r="P250" i="5"/>
  <c r="T249" i="5"/>
  <c r="S249" i="5"/>
  <c r="R249" i="5"/>
  <c r="Q249" i="5"/>
  <c r="P249" i="5"/>
  <c r="T248" i="5"/>
  <c r="S248" i="5"/>
  <c r="R248" i="5"/>
  <c r="Q248" i="5"/>
  <c r="P248" i="5"/>
  <c r="T247" i="5"/>
  <c r="S247" i="5"/>
  <c r="R247" i="5"/>
  <c r="Q247" i="5"/>
  <c r="P247" i="5"/>
  <c r="T246" i="5"/>
  <c r="S246" i="5"/>
  <c r="R246" i="5"/>
  <c r="Q246" i="5"/>
  <c r="P246" i="5"/>
  <c r="T245" i="5"/>
  <c r="S245" i="5"/>
  <c r="R245" i="5"/>
  <c r="Q245" i="5"/>
  <c r="P245" i="5"/>
  <c r="T244" i="5"/>
  <c r="S244" i="5"/>
  <c r="R244" i="5"/>
  <c r="Q244" i="5"/>
  <c r="P244" i="5"/>
  <c r="T243" i="5"/>
  <c r="S243" i="5"/>
  <c r="R243" i="5"/>
  <c r="Q243" i="5"/>
  <c r="P243" i="5"/>
  <c r="T242" i="5"/>
  <c r="S242" i="5"/>
  <c r="R242" i="5"/>
  <c r="Q242" i="5"/>
  <c r="P242" i="5"/>
  <c r="T241" i="5"/>
  <c r="S241" i="5"/>
  <c r="R241" i="5"/>
  <c r="Q241" i="5"/>
  <c r="P241" i="5"/>
  <c r="T240" i="5"/>
  <c r="S240" i="5"/>
  <c r="R240" i="5"/>
  <c r="Q240" i="5"/>
  <c r="P240" i="5"/>
  <c r="T239" i="5"/>
  <c r="S239" i="5"/>
  <c r="R239" i="5"/>
  <c r="Q239" i="5"/>
  <c r="P239" i="5"/>
  <c r="T238" i="5"/>
  <c r="S238" i="5"/>
  <c r="R238" i="5"/>
  <c r="Q238" i="5"/>
  <c r="P238" i="5"/>
  <c r="T237" i="5"/>
  <c r="S237" i="5"/>
  <c r="R237" i="5"/>
  <c r="Q237" i="5"/>
  <c r="P237" i="5"/>
  <c r="T236" i="5"/>
  <c r="S236" i="5"/>
  <c r="R236" i="5"/>
  <c r="Q236" i="5"/>
  <c r="P236" i="5"/>
  <c r="T235" i="5"/>
  <c r="S235" i="5"/>
  <c r="R235" i="5"/>
  <c r="Q235" i="5"/>
  <c r="P235" i="5"/>
  <c r="T234" i="5"/>
  <c r="S234" i="5"/>
  <c r="R234" i="5"/>
  <c r="Q234" i="5"/>
  <c r="P234" i="5"/>
  <c r="T233" i="5"/>
  <c r="S233" i="5"/>
  <c r="R233" i="5"/>
  <c r="Q233" i="5"/>
  <c r="P233" i="5"/>
  <c r="T232" i="5"/>
  <c r="S232" i="5"/>
  <c r="R232" i="5"/>
  <c r="Q232" i="5"/>
  <c r="P232" i="5"/>
  <c r="T231" i="5"/>
  <c r="S231" i="5"/>
  <c r="R231" i="5"/>
  <c r="Q231" i="5"/>
  <c r="P231" i="5"/>
  <c r="T230" i="5"/>
  <c r="S230" i="5"/>
  <c r="R230" i="5"/>
  <c r="Q230" i="5"/>
  <c r="P230" i="5"/>
  <c r="T229" i="5"/>
  <c r="S229" i="5"/>
  <c r="R229" i="5"/>
  <c r="Q229" i="5"/>
  <c r="P229" i="5"/>
  <c r="T228" i="5"/>
  <c r="S228" i="5"/>
  <c r="R228" i="5"/>
  <c r="Q228" i="5"/>
  <c r="P228" i="5"/>
  <c r="T227" i="5"/>
  <c r="S227" i="5"/>
  <c r="R227" i="5"/>
  <c r="Q227" i="5"/>
  <c r="P227" i="5"/>
  <c r="T226" i="5"/>
  <c r="S226" i="5"/>
  <c r="R226" i="5"/>
  <c r="Q226" i="5"/>
  <c r="P226" i="5"/>
  <c r="T225" i="5"/>
  <c r="S225" i="5"/>
  <c r="R225" i="5"/>
  <c r="Q225" i="5"/>
  <c r="P225" i="5"/>
  <c r="T224" i="5"/>
  <c r="S224" i="5"/>
  <c r="R224" i="5"/>
  <c r="Q224" i="5"/>
  <c r="P224" i="5"/>
  <c r="T223" i="5"/>
  <c r="S223" i="5"/>
  <c r="R223" i="5"/>
  <c r="Q223" i="5"/>
  <c r="P223" i="5"/>
  <c r="T222" i="5"/>
  <c r="S222" i="5"/>
  <c r="R222" i="5"/>
  <c r="Q222" i="5"/>
  <c r="P222" i="5"/>
  <c r="T221" i="5"/>
  <c r="S221" i="5"/>
  <c r="R221" i="5"/>
  <c r="Q221" i="5"/>
  <c r="P221" i="5"/>
  <c r="T220" i="5"/>
  <c r="S220" i="5"/>
  <c r="R220" i="5"/>
  <c r="Q220" i="5"/>
  <c r="P220" i="5"/>
  <c r="T219" i="5"/>
  <c r="S219" i="5"/>
  <c r="R219" i="5"/>
  <c r="Q219" i="5"/>
  <c r="P219" i="5"/>
  <c r="T218" i="5"/>
  <c r="S218" i="5"/>
  <c r="R218" i="5"/>
  <c r="Q218" i="5"/>
  <c r="P218" i="5"/>
  <c r="T217" i="5"/>
  <c r="S217" i="5"/>
  <c r="R217" i="5"/>
  <c r="Q217" i="5"/>
  <c r="P217" i="5"/>
  <c r="T216" i="5"/>
  <c r="S216" i="5"/>
  <c r="R216" i="5"/>
  <c r="Q216" i="5"/>
  <c r="P216" i="5"/>
  <c r="T215" i="5"/>
  <c r="S215" i="5"/>
  <c r="R215" i="5"/>
  <c r="Q215" i="5"/>
  <c r="P215" i="5"/>
  <c r="T214" i="5"/>
  <c r="S214" i="5"/>
  <c r="R214" i="5"/>
  <c r="Q214" i="5"/>
  <c r="P214" i="5"/>
  <c r="T213" i="5"/>
  <c r="S213" i="5"/>
  <c r="R213" i="5"/>
  <c r="Q213" i="5"/>
  <c r="P213" i="5"/>
  <c r="T212" i="5"/>
  <c r="S212" i="5"/>
  <c r="R212" i="5"/>
  <c r="Q212" i="5"/>
  <c r="P212" i="5"/>
  <c r="T211" i="5"/>
  <c r="S211" i="5"/>
  <c r="R211" i="5"/>
  <c r="Q211" i="5"/>
  <c r="P211" i="5"/>
  <c r="T210" i="5"/>
  <c r="S210" i="5"/>
  <c r="R210" i="5"/>
  <c r="Q210" i="5"/>
  <c r="P210" i="5"/>
  <c r="T209" i="5"/>
  <c r="S209" i="5"/>
  <c r="R209" i="5"/>
  <c r="Q209" i="5"/>
  <c r="P209" i="5"/>
  <c r="T208" i="5"/>
  <c r="S208" i="5"/>
  <c r="R208" i="5"/>
  <c r="Q208" i="5"/>
  <c r="P208" i="5"/>
  <c r="T207" i="5"/>
  <c r="S207" i="5"/>
  <c r="R207" i="5"/>
  <c r="Q207" i="5"/>
  <c r="P207" i="5"/>
  <c r="T206" i="5"/>
  <c r="S206" i="5"/>
  <c r="R206" i="5"/>
  <c r="Q206" i="5"/>
  <c r="P206" i="5"/>
  <c r="T205" i="5"/>
  <c r="S205" i="5"/>
  <c r="R205" i="5"/>
  <c r="Q205" i="5"/>
  <c r="P205" i="5"/>
  <c r="T204" i="5"/>
  <c r="S204" i="5"/>
  <c r="R204" i="5"/>
  <c r="Q204" i="5"/>
  <c r="P204" i="5"/>
  <c r="T203" i="5"/>
  <c r="S203" i="5"/>
  <c r="R203" i="5"/>
  <c r="Q203" i="5"/>
  <c r="P203" i="5"/>
  <c r="T202" i="5"/>
  <c r="S202" i="5"/>
  <c r="R202" i="5"/>
  <c r="Q202" i="5"/>
  <c r="P202" i="5"/>
  <c r="T201" i="5"/>
  <c r="S201" i="5"/>
  <c r="R201" i="5"/>
  <c r="Q201" i="5"/>
  <c r="P201" i="5"/>
  <c r="T200" i="5"/>
  <c r="S200" i="5"/>
  <c r="R200" i="5"/>
  <c r="Q200" i="5"/>
  <c r="P200" i="5"/>
  <c r="T199" i="5"/>
  <c r="S199" i="5"/>
  <c r="R199" i="5"/>
  <c r="Q199" i="5"/>
  <c r="P199" i="5"/>
  <c r="T198" i="5"/>
  <c r="S198" i="5"/>
  <c r="R198" i="5"/>
  <c r="Q198" i="5"/>
  <c r="P198" i="5"/>
  <c r="T197" i="5"/>
  <c r="S197" i="5"/>
  <c r="R197" i="5"/>
  <c r="Q197" i="5"/>
  <c r="P197" i="5"/>
  <c r="T196" i="5"/>
  <c r="S196" i="5"/>
  <c r="R196" i="5"/>
  <c r="Q196" i="5"/>
  <c r="P196" i="5"/>
  <c r="T195" i="5"/>
  <c r="S195" i="5"/>
  <c r="R195" i="5"/>
  <c r="Q195" i="5"/>
  <c r="P195" i="5"/>
  <c r="T194" i="5"/>
  <c r="S194" i="5"/>
  <c r="R194" i="5"/>
  <c r="Q194" i="5"/>
  <c r="P194" i="5"/>
  <c r="T193" i="5"/>
  <c r="S193" i="5"/>
  <c r="R193" i="5"/>
  <c r="Q193" i="5"/>
  <c r="P193" i="5"/>
  <c r="T192" i="5"/>
  <c r="S192" i="5"/>
  <c r="R192" i="5"/>
  <c r="Q192" i="5"/>
  <c r="P192" i="5"/>
  <c r="T191" i="5"/>
  <c r="S191" i="5"/>
  <c r="R191" i="5"/>
  <c r="Q191" i="5"/>
  <c r="P191" i="5"/>
  <c r="T190" i="5"/>
  <c r="S190" i="5"/>
  <c r="R190" i="5"/>
  <c r="Q190" i="5"/>
  <c r="P190" i="5"/>
  <c r="T189" i="5"/>
  <c r="S189" i="5"/>
  <c r="R189" i="5"/>
  <c r="Q189" i="5"/>
  <c r="P189" i="5"/>
  <c r="T188" i="5"/>
  <c r="S188" i="5"/>
  <c r="R188" i="5"/>
  <c r="Q188" i="5"/>
  <c r="P188" i="5"/>
  <c r="T187" i="5"/>
  <c r="S187" i="5"/>
  <c r="R187" i="5"/>
  <c r="Q187" i="5"/>
  <c r="P187" i="5"/>
  <c r="T186" i="5"/>
  <c r="S186" i="5"/>
  <c r="R186" i="5"/>
  <c r="Q186" i="5"/>
  <c r="P186" i="5"/>
  <c r="T185" i="5"/>
  <c r="S185" i="5"/>
  <c r="R185" i="5"/>
  <c r="Q185" i="5"/>
  <c r="P185" i="5"/>
  <c r="T184" i="5"/>
  <c r="S184" i="5"/>
  <c r="R184" i="5"/>
  <c r="Q184" i="5"/>
  <c r="P184" i="5"/>
  <c r="T183" i="5"/>
  <c r="S183" i="5"/>
  <c r="R183" i="5"/>
  <c r="Q183" i="5"/>
  <c r="P183" i="5"/>
  <c r="T182" i="5"/>
  <c r="S182" i="5"/>
  <c r="R182" i="5"/>
  <c r="Q182" i="5"/>
  <c r="P182" i="5"/>
  <c r="T181" i="5"/>
  <c r="S181" i="5"/>
  <c r="R181" i="5"/>
  <c r="Q181" i="5"/>
  <c r="P181" i="5"/>
  <c r="T180" i="5"/>
  <c r="S180" i="5"/>
  <c r="R180" i="5"/>
  <c r="Q180" i="5"/>
  <c r="P180" i="5"/>
  <c r="T179" i="5"/>
  <c r="S179" i="5"/>
  <c r="R179" i="5"/>
  <c r="Q179" i="5"/>
  <c r="P179" i="5"/>
  <c r="T178" i="5"/>
  <c r="S178" i="5"/>
  <c r="R178" i="5"/>
  <c r="Q178" i="5"/>
  <c r="P178" i="5"/>
  <c r="T177" i="5"/>
  <c r="S177" i="5"/>
  <c r="R177" i="5"/>
  <c r="Q177" i="5"/>
  <c r="P177" i="5"/>
  <c r="T176" i="5"/>
  <c r="S176" i="5"/>
  <c r="R176" i="5"/>
  <c r="Q176" i="5"/>
  <c r="P176" i="5"/>
  <c r="T175" i="5"/>
  <c r="S175" i="5"/>
  <c r="R175" i="5"/>
  <c r="Q175" i="5"/>
  <c r="P175" i="5"/>
  <c r="T174" i="5"/>
  <c r="S174" i="5"/>
  <c r="R174" i="5"/>
  <c r="Q174" i="5"/>
  <c r="P174" i="5"/>
  <c r="T173" i="5"/>
  <c r="S173" i="5"/>
  <c r="R173" i="5"/>
  <c r="Q173" i="5"/>
  <c r="P173" i="5"/>
  <c r="T172" i="5"/>
  <c r="S172" i="5"/>
  <c r="R172" i="5"/>
  <c r="Q172" i="5"/>
  <c r="P172" i="5"/>
  <c r="T171" i="5"/>
  <c r="S171" i="5"/>
  <c r="R171" i="5"/>
  <c r="Q171" i="5"/>
  <c r="P171" i="5"/>
  <c r="T170" i="5"/>
  <c r="S170" i="5"/>
  <c r="R170" i="5"/>
  <c r="Q170" i="5"/>
  <c r="P170" i="5"/>
  <c r="T169" i="5"/>
  <c r="S169" i="5"/>
  <c r="R169" i="5"/>
  <c r="Q169" i="5"/>
  <c r="P169" i="5"/>
  <c r="T168" i="5"/>
  <c r="S168" i="5"/>
  <c r="R168" i="5"/>
  <c r="Q168" i="5"/>
  <c r="P168" i="5"/>
  <c r="T167" i="5"/>
  <c r="S167" i="5"/>
  <c r="R167" i="5"/>
  <c r="Q167" i="5"/>
  <c r="P167" i="5"/>
  <c r="T166" i="5"/>
  <c r="S166" i="5"/>
  <c r="R166" i="5"/>
  <c r="Q166" i="5"/>
  <c r="P166" i="5"/>
  <c r="T165" i="5"/>
  <c r="S165" i="5"/>
  <c r="R165" i="5"/>
  <c r="Q165" i="5"/>
  <c r="P165" i="5"/>
  <c r="T164" i="5"/>
  <c r="S164" i="5"/>
  <c r="R164" i="5"/>
  <c r="Q164" i="5"/>
  <c r="P164" i="5"/>
  <c r="T163" i="5"/>
  <c r="S163" i="5"/>
  <c r="R163" i="5"/>
  <c r="Q163" i="5"/>
  <c r="P163" i="5"/>
  <c r="T162" i="5"/>
  <c r="S162" i="5"/>
  <c r="R162" i="5"/>
  <c r="Q162" i="5"/>
  <c r="P162" i="5"/>
  <c r="T161" i="5"/>
  <c r="S161" i="5"/>
  <c r="R161" i="5"/>
  <c r="Q161" i="5"/>
  <c r="P161" i="5"/>
  <c r="T160" i="5"/>
  <c r="S160" i="5"/>
  <c r="R160" i="5"/>
  <c r="Q160" i="5"/>
  <c r="P160" i="5"/>
  <c r="T159" i="5"/>
  <c r="S159" i="5"/>
  <c r="R159" i="5"/>
  <c r="Q159" i="5"/>
  <c r="P159" i="5"/>
  <c r="T158" i="5"/>
  <c r="S158" i="5"/>
  <c r="R158" i="5"/>
  <c r="Q158" i="5"/>
  <c r="P158" i="5"/>
  <c r="T157" i="5"/>
  <c r="S157" i="5"/>
  <c r="R157" i="5"/>
  <c r="Q157" i="5"/>
  <c r="P157" i="5"/>
  <c r="T156" i="5"/>
  <c r="S156" i="5"/>
  <c r="R156" i="5"/>
  <c r="Q156" i="5"/>
  <c r="P156" i="5"/>
  <c r="T155" i="5"/>
  <c r="S155" i="5"/>
  <c r="R155" i="5"/>
  <c r="Q155" i="5"/>
  <c r="P155" i="5"/>
  <c r="T154" i="5"/>
  <c r="S154" i="5"/>
  <c r="R154" i="5"/>
  <c r="Q154" i="5"/>
  <c r="P154" i="5"/>
  <c r="T153" i="5"/>
  <c r="S153" i="5"/>
  <c r="R153" i="5"/>
  <c r="Q153" i="5"/>
  <c r="P153" i="5"/>
  <c r="T152" i="5"/>
  <c r="S152" i="5"/>
  <c r="R152" i="5"/>
  <c r="Q152" i="5"/>
  <c r="P152" i="5"/>
  <c r="T151" i="5"/>
  <c r="S151" i="5"/>
  <c r="R151" i="5"/>
  <c r="Q151" i="5"/>
  <c r="P151" i="5"/>
  <c r="T150" i="5"/>
  <c r="S150" i="5"/>
  <c r="R150" i="5"/>
  <c r="Q150" i="5"/>
  <c r="P150" i="5"/>
  <c r="T149" i="5"/>
  <c r="S149" i="5"/>
  <c r="R149" i="5"/>
  <c r="Q149" i="5"/>
  <c r="P149" i="5"/>
  <c r="T148" i="5"/>
  <c r="S148" i="5"/>
  <c r="R148" i="5"/>
  <c r="Q148" i="5"/>
  <c r="P148" i="5"/>
  <c r="T147" i="5"/>
  <c r="S147" i="5"/>
  <c r="R147" i="5"/>
  <c r="Q147" i="5"/>
  <c r="P147" i="5"/>
  <c r="T146" i="5"/>
  <c r="S146" i="5"/>
  <c r="R146" i="5"/>
  <c r="Q146" i="5"/>
  <c r="P146" i="5"/>
  <c r="T145" i="5"/>
  <c r="S145" i="5"/>
  <c r="R145" i="5"/>
  <c r="Q145" i="5"/>
  <c r="P145" i="5"/>
  <c r="T144" i="5"/>
  <c r="S144" i="5"/>
  <c r="R144" i="5"/>
  <c r="Q144" i="5"/>
  <c r="P144" i="5"/>
  <c r="T143" i="5"/>
  <c r="S143" i="5"/>
  <c r="R143" i="5"/>
  <c r="Q143" i="5"/>
  <c r="P143" i="5"/>
  <c r="T142" i="5"/>
  <c r="S142" i="5"/>
  <c r="R142" i="5"/>
  <c r="Q142" i="5"/>
  <c r="P142" i="5"/>
  <c r="T141" i="5"/>
  <c r="S141" i="5"/>
  <c r="R141" i="5"/>
  <c r="Q141" i="5"/>
  <c r="P141" i="5"/>
  <c r="T140" i="5"/>
  <c r="S140" i="5"/>
  <c r="R140" i="5"/>
  <c r="Q140" i="5"/>
  <c r="P140" i="5"/>
  <c r="T139" i="5"/>
  <c r="S139" i="5"/>
  <c r="R139" i="5"/>
  <c r="Q139" i="5"/>
  <c r="P139" i="5"/>
  <c r="T138" i="5"/>
  <c r="S138" i="5"/>
  <c r="R138" i="5"/>
  <c r="Q138" i="5"/>
  <c r="P138" i="5"/>
  <c r="T137" i="5"/>
  <c r="S137" i="5"/>
  <c r="R137" i="5"/>
  <c r="Q137" i="5"/>
  <c r="P137" i="5"/>
  <c r="T136" i="5"/>
  <c r="S136" i="5"/>
  <c r="R136" i="5"/>
  <c r="Q136" i="5"/>
  <c r="P136" i="5"/>
  <c r="T135" i="5"/>
  <c r="S135" i="5"/>
  <c r="R135" i="5"/>
  <c r="Q135" i="5"/>
  <c r="P135" i="5"/>
  <c r="T134" i="5"/>
  <c r="S134" i="5"/>
  <c r="R134" i="5"/>
  <c r="Q134" i="5"/>
  <c r="P134" i="5"/>
  <c r="T133" i="5"/>
  <c r="S133" i="5"/>
  <c r="R133" i="5"/>
  <c r="Q133" i="5"/>
  <c r="P133" i="5"/>
  <c r="T132" i="5"/>
  <c r="S132" i="5"/>
  <c r="R132" i="5"/>
  <c r="Q132" i="5"/>
  <c r="P132" i="5"/>
  <c r="T131" i="5"/>
  <c r="S131" i="5"/>
  <c r="R131" i="5"/>
  <c r="Q131" i="5"/>
  <c r="P131" i="5"/>
  <c r="T130" i="5"/>
  <c r="S130" i="5"/>
  <c r="R130" i="5"/>
  <c r="Q130" i="5"/>
  <c r="P130" i="5"/>
  <c r="T129" i="5"/>
  <c r="S129" i="5"/>
  <c r="R129" i="5"/>
  <c r="Q129" i="5"/>
  <c r="P129" i="5"/>
  <c r="T128" i="5"/>
  <c r="S128" i="5"/>
  <c r="R128" i="5"/>
  <c r="Q128" i="5"/>
  <c r="P128" i="5"/>
  <c r="T127" i="5"/>
  <c r="S127" i="5"/>
  <c r="R127" i="5"/>
  <c r="Q127" i="5"/>
  <c r="P127" i="5"/>
  <c r="T126" i="5"/>
  <c r="S126" i="5"/>
  <c r="R126" i="5"/>
  <c r="Q126" i="5"/>
  <c r="P126" i="5"/>
  <c r="T125" i="5"/>
  <c r="S125" i="5"/>
  <c r="R125" i="5"/>
  <c r="Q125" i="5"/>
  <c r="P125" i="5"/>
  <c r="T124" i="5"/>
  <c r="S124" i="5"/>
  <c r="R124" i="5"/>
  <c r="Q124" i="5"/>
  <c r="P124" i="5"/>
  <c r="T123" i="5"/>
  <c r="S123" i="5"/>
  <c r="R123" i="5"/>
  <c r="Q123" i="5"/>
  <c r="P123" i="5"/>
  <c r="T122" i="5"/>
  <c r="S122" i="5"/>
  <c r="R122" i="5"/>
  <c r="Q122" i="5"/>
  <c r="P122" i="5"/>
  <c r="T121" i="5"/>
  <c r="S121" i="5"/>
  <c r="R121" i="5"/>
  <c r="Q121" i="5"/>
  <c r="P121" i="5"/>
  <c r="T120" i="5"/>
  <c r="S120" i="5"/>
  <c r="R120" i="5"/>
  <c r="Q120" i="5"/>
  <c r="P120" i="5"/>
  <c r="T119" i="5"/>
  <c r="S119" i="5"/>
  <c r="R119" i="5"/>
  <c r="Q119" i="5"/>
  <c r="P119" i="5"/>
  <c r="T118" i="5"/>
  <c r="S118" i="5"/>
  <c r="R118" i="5"/>
  <c r="Q118" i="5"/>
  <c r="P118" i="5"/>
  <c r="T117" i="5"/>
  <c r="S117" i="5"/>
  <c r="R117" i="5"/>
  <c r="Q117" i="5"/>
  <c r="P117" i="5"/>
  <c r="T116" i="5"/>
  <c r="S116" i="5"/>
  <c r="R116" i="5"/>
  <c r="Q116" i="5"/>
  <c r="P116" i="5"/>
  <c r="T115" i="5"/>
  <c r="S115" i="5"/>
  <c r="R115" i="5"/>
  <c r="Q115" i="5"/>
  <c r="P115" i="5"/>
  <c r="T114" i="5"/>
  <c r="S114" i="5"/>
  <c r="R114" i="5"/>
  <c r="Q114" i="5"/>
  <c r="P114" i="5"/>
  <c r="T113" i="5"/>
  <c r="S113" i="5"/>
  <c r="R113" i="5"/>
  <c r="Q113" i="5"/>
  <c r="P113" i="5"/>
  <c r="T112" i="5"/>
  <c r="S112" i="5"/>
  <c r="R112" i="5"/>
  <c r="Q112" i="5"/>
  <c r="P112" i="5"/>
  <c r="T111" i="5"/>
  <c r="S111" i="5"/>
  <c r="R111" i="5"/>
  <c r="Q111" i="5"/>
  <c r="P111" i="5"/>
  <c r="T110" i="5"/>
  <c r="S110" i="5"/>
  <c r="R110" i="5"/>
  <c r="Q110" i="5"/>
  <c r="P110" i="5"/>
  <c r="T109" i="5"/>
  <c r="S109" i="5"/>
  <c r="R109" i="5"/>
  <c r="Q109" i="5"/>
  <c r="P109" i="5"/>
  <c r="T108" i="5"/>
  <c r="S108" i="5"/>
  <c r="R108" i="5"/>
  <c r="Q108" i="5"/>
  <c r="P108" i="5"/>
  <c r="T107" i="5"/>
  <c r="S107" i="5"/>
  <c r="R107" i="5"/>
  <c r="Q107" i="5"/>
  <c r="P107" i="5"/>
  <c r="T106" i="5"/>
  <c r="S106" i="5"/>
  <c r="R106" i="5"/>
  <c r="Q106" i="5"/>
  <c r="P106" i="5"/>
  <c r="T105" i="5"/>
  <c r="S105" i="5"/>
  <c r="R105" i="5"/>
  <c r="Q105" i="5"/>
  <c r="P105" i="5"/>
  <c r="T104" i="5"/>
  <c r="S104" i="5"/>
  <c r="R104" i="5"/>
  <c r="Q104" i="5"/>
  <c r="P104" i="5"/>
  <c r="T103" i="5"/>
  <c r="S103" i="5"/>
  <c r="R103" i="5"/>
  <c r="Q103" i="5"/>
  <c r="P103" i="5"/>
  <c r="T102" i="5"/>
  <c r="S102" i="5"/>
  <c r="R102" i="5"/>
  <c r="Q102" i="5"/>
  <c r="P102" i="5"/>
  <c r="T101" i="5"/>
  <c r="S101" i="5"/>
  <c r="R101" i="5"/>
  <c r="Q101" i="5"/>
  <c r="P101" i="5"/>
  <c r="T100" i="5"/>
  <c r="S100" i="5"/>
  <c r="R100" i="5"/>
  <c r="Q100" i="5"/>
  <c r="P100" i="5"/>
  <c r="T99" i="5"/>
  <c r="S99" i="5"/>
  <c r="R99" i="5"/>
  <c r="Q99" i="5"/>
  <c r="P99" i="5"/>
  <c r="T98" i="5"/>
  <c r="S98" i="5"/>
  <c r="R98" i="5"/>
  <c r="Q98" i="5"/>
  <c r="P98" i="5"/>
  <c r="T97" i="5"/>
  <c r="S97" i="5"/>
  <c r="R97" i="5"/>
  <c r="Q97" i="5"/>
  <c r="P97" i="5"/>
  <c r="T96" i="5"/>
  <c r="S96" i="5"/>
  <c r="R96" i="5"/>
  <c r="Q96" i="5"/>
  <c r="P96" i="5"/>
  <c r="T95" i="5"/>
  <c r="S95" i="5"/>
  <c r="R95" i="5"/>
  <c r="Q95" i="5"/>
  <c r="P95" i="5"/>
  <c r="T94" i="5"/>
  <c r="S94" i="5"/>
  <c r="R94" i="5"/>
  <c r="Q94" i="5"/>
  <c r="P94" i="5"/>
  <c r="T93" i="5"/>
  <c r="S93" i="5"/>
  <c r="R93" i="5"/>
  <c r="Q93" i="5"/>
  <c r="P93" i="5"/>
  <c r="T92" i="5"/>
  <c r="S92" i="5"/>
  <c r="R92" i="5"/>
  <c r="Q92" i="5"/>
  <c r="P92" i="5"/>
  <c r="T91" i="5"/>
  <c r="S91" i="5"/>
  <c r="R91" i="5"/>
  <c r="Q91" i="5"/>
  <c r="P91" i="5"/>
  <c r="T90" i="5"/>
  <c r="S90" i="5"/>
  <c r="R90" i="5"/>
  <c r="Q90" i="5"/>
  <c r="P90" i="5"/>
  <c r="T89" i="5"/>
  <c r="S89" i="5"/>
  <c r="R89" i="5"/>
  <c r="Q89" i="5"/>
  <c r="P89" i="5"/>
  <c r="T88" i="5"/>
  <c r="S88" i="5"/>
  <c r="R88" i="5"/>
  <c r="Q88" i="5"/>
  <c r="P88" i="5"/>
  <c r="T87" i="5"/>
  <c r="S87" i="5"/>
  <c r="R87" i="5"/>
  <c r="Q87" i="5"/>
  <c r="P87" i="5"/>
  <c r="T86" i="5"/>
  <c r="S86" i="5"/>
  <c r="R86" i="5"/>
  <c r="Q86" i="5"/>
  <c r="P86" i="5"/>
  <c r="T85" i="5"/>
  <c r="S85" i="5"/>
  <c r="R85" i="5"/>
  <c r="Q85" i="5"/>
  <c r="P85" i="5"/>
  <c r="T84" i="5"/>
  <c r="S84" i="5"/>
  <c r="R84" i="5"/>
  <c r="Q84" i="5"/>
  <c r="P84" i="5"/>
  <c r="T83" i="5"/>
  <c r="S83" i="5"/>
  <c r="R83" i="5"/>
  <c r="Q83" i="5"/>
  <c r="P83" i="5"/>
  <c r="T82" i="5"/>
  <c r="S82" i="5"/>
  <c r="R82" i="5"/>
  <c r="Q82" i="5"/>
  <c r="P82" i="5"/>
  <c r="T81" i="5"/>
  <c r="S81" i="5"/>
  <c r="R81" i="5"/>
  <c r="Q81" i="5"/>
  <c r="P81" i="5"/>
  <c r="T80" i="5"/>
  <c r="S80" i="5"/>
  <c r="R80" i="5"/>
  <c r="Q80" i="5"/>
  <c r="P80" i="5"/>
  <c r="T79" i="5"/>
  <c r="S79" i="5"/>
  <c r="R79" i="5"/>
  <c r="Q79" i="5"/>
  <c r="P79" i="5"/>
  <c r="T78" i="5"/>
  <c r="S78" i="5"/>
  <c r="R78" i="5"/>
  <c r="Q78" i="5"/>
  <c r="P78" i="5"/>
  <c r="T77" i="5"/>
  <c r="S77" i="5"/>
  <c r="R77" i="5"/>
  <c r="Q77" i="5"/>
  <c r="P77" i="5"/>
  <c r="T76" i="5"/>
  <c r="S76" i="5"/>
  <c r="R76" i="5"/>
  <c r="Q76" i="5"/>
  <c r="P76" i="5"/>
  <c r="T75" i="5"/>
  <c r="S75" i="5"/>
  <c r="R75" i="5"/>
  <c r="Q75" i="5"/>
  <c r="P75" i="5"/>
  <c r="T74" i="5"/>
  <c r="S74" i="5"/>
  <c r="R74" i="5"/>
  <c r="Q74" i="5"/>
  <c r="P74" i="5"/>
  <c r="T73" i="5"/>
  <c r="S73" i="5"/>
  <c r="R73" i="5"/>
  <c r="Q73" i="5"/>
  <c r="P73" i="5"/>
  <c r="T72" i="5"/>
  <c r="S72" i="5"/>
  <c r="R72" i="5"/>
  <c r="Q72" i="5"/>
  <c r="P72" i="5"/>
  <c r="T71" i="5"/>
  <c r="S71" i="5"/>
  <c r="R71" i="5"/>
  <c r="Q71" i="5"/>
  <c r="P71" i="5"/>
  <c r="T70" i="5"/>
  <c r="S70" i="5"/>
  <c r="R70" i="5"/>
  <c r="Q70" i="5"/>
  <c r="P70" i="5"/>
  <c r="T69" i="5"/>
  <c r="S69" i="5"/>
  <c r="R69" i="5"/>
  <c r="Q69" i="5"/>
  <c r="P69" i="5"/>
  <c r="T68" i="5"/>
  <c r="S68" i="5"/>
  <c r="R68" i="5"/>
  <c r="Q68" i="5"/>
  <c r="P68" i="5"/>
  <c r="T67" i="5"/>
  <c r="S67" i="5"/>
  <c r="R67" i="5"/>
  <c r="Q67" i="5"/>
  <c r="P67" i="5"/>
  <c r="T66" i="5"/>
  <c r="S66" i="5"/>
  <c r="R66" i="5"/>
  <c r="Q66" i="5"/>
  <c r="P66" i="5"/>
  <c r="T65" i="5"/>
  <c r="S65" i="5"/>
  <c r="R65" i="5"/>
  <c r="Q65" i="5"/>
  <c r="P65" i="5"/>
  <c r="T64" i="5"/>
  <c r="S64" i="5"/>
  <c r="R64" i="5"/>
  <c r="Q64" i="5"/>
  <c r="P64" i="5"/>
  <c r="T63" i="5"/>
  <c r="S63" i="5"/>
  <c r="R63" i="5"/>
  <c r="Q63" i="5"/>
  <c r="P63" i="5"/>
  <c r="T62" i="5"/>
  <c r="S62" i="5"/>
  <c r="R62" i="5"/>
  <c r="Q62" i="5"/>
  <c r="P62" i="5"/>
  <c r="T61" i="5"/>
  <c r="S61" i="5"/>
  <c r="R61" i="5"/>
  <c r="Q61" i="5"/>
  <c r="P61" i="5"/>
  <c r="T60" i="5"/>
  <c r="S60" i="5"/>
  <c r="R60" i="5"/>
  <c r="Q60" i="5"/>
  <c r="P60" i="5"/>
  <c r="T59" i="5"/>
  <c r="S59" i="5"/>
  <c r="R59" i="5"/>
  <c r="Q59" i="5"/>
  <c r="P59" i="5"/>
  <c r="T58" i="5"/>
  <c r="S58" i="5"/>
  <c r="R58" i="5"/>
  <c r="Q58" i="5"/>
  <c r="P58" i="5"/>
  <c r="T57" i="5"/>
  <c r="S57" i="5"/>
  <c r="R57" i="5"/>
  <c r="Q57" i="5"/>
  <c r="P57" i="5"/>
  <c r="T56" i="5"/>
  <c r="S56" i="5"/>
  <c r="R56" i="5"/>
  <c r="Q56" i="5"/>
  <c r="P56" i="5"/>
  <c r="T55" i="5"/>
  <c r="S55" i="5"/>
  <c r="R55" i="5"/>
  <c r="Q55" i="5"/>
  <c r="P55" i="5"/>
  <c r="T54" i="5"/>
  <c r="S54" i="5"/>
  <c r="R54" i="5"/>
  <c r="Q54" i="5"/>
  <c r="P54" i="5"/>
  <c r="T53" i="5"/>
  <c r="S53" i="5"/>
  <c r="R53" i="5"/>
  <c r="Q53" i="5"/>
  <c r="P53" i="5"/>
  <c r="T52" i="5"/>
  <c r="S52" i="5"/>
  <c r="R52" i="5"/>
  <c r="Q52" i="5"/>
  <c r="P52" i="5"/>
  <c r="T51" i="5"/>
  <c r="S51" i="5"/>
  <c r="R51" i="5"/>
  <c r="Q51" i="5"/>
  <c r="P51" i="5"/>
  <c r="T50" i="5"/>
  <c r="S50" i="5"/>
  <c r="R50" i="5"/>
  <c r="Q50" i="5"/>
  <c r="P50" i="5"/>
  <c r="T49" i="5"/>
  <c r="S49" i="5"/>
  <c r="R49" i="5"/>
  <c r="Q49" i="5"/>
  <c r="P49" i="5"/>
  <c r="T48" i="5"/>
  <c r="S48" i="5"/>
  <c r="R48" i="5"/>
  <c r="Q48" i="5"/>
  <c r="P48" i="5"/>
  <c r="T47" i="5"/>
  <c r="S47" i="5"/>
  <c r="R47" i="5"/>
  <c r="Q47" i="5"/>
  <c r="P47" i="5"/>
  <c r="T46" i="5"/>
  <c r="S46" i="5"/>
  <c r="R46" i="5"/>
  <c r="Q46" i="5"/>
  <c r="P46" i="5"/>
  <c r="T45" i="5"/>
  <c r="S45" i="5"/>
  <c r="R45" i="5"/>
  <c r="Q45" i="5"/>
  <c r="P45" i="5"/>
  <c r="T44" i="5"/>
  <c r="S44" i="5"/>
  <c r="R44" i="5"/>
  <c r="Q44" i="5"/>
  <c r="P44" i="5"/>
  <c r="T43" i="5"/>
  <c r="S43" i="5"/>
  <c r="R43" i="5"/>
  <c r="Q43" i="5"/>
  <c r="P43" i="5"/>
  <c r="T42" i="5"/>
  <c r="S42" i="5"/>
  <c r="R42" i="5"/>
  <c r="Q42" i="5"/>
  <c r="P42" i="5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P20" i="5"/>
  <c r="T19" i="5"/>
  <c r="S19" i="5"/>
  <c r="R19" i="5"/>
  <c r="Q19" i="5"/>
  <c r="P19" i="5"/>
  <c r="T18" i="5"/>
  <c r="S18" i="5"/>
  <c r="R18" i="5"/>
  <c r="Q18" i="5"/>
  <c r="P18" i="5"/>
  <c r="T17" i="5"/>
  <c r="S17" i="5"/>
  <c r="R17" i="5"/>
  <c r="Q17" i="5"/>
  <c r="P17" i="5"/>
  <c r="T16" i="5"/>
  <c r="S16" i="5"/>
  <c r="R16" i="5"/>
  <c r="Q16" i="5"/>
  <c r="P16" i="5"/>
  <c r="T15" i="5"/>
  <c r="S15" i="5"/>
  <c r="R15" i="5"/>
  <c r="Q15" i="5"/>
  <c r="P15" i="5"/>
  <c r="T14" i="5"/>
  <c r="S14" i="5"/>
  <c r="R14" i="5"/>
  <c r="Q14" i="5"/>
  <c r="P14" i="5"/>
  <c r="T13" i="5"/>
  <c r="S13" i="5"/>
  <c r="R13" i="5"/>
  <c r="Q13" i="5"/>
  <c r="P13" i="5"/>
  <c r="T12" i="5"/>
  <c r="S12" i="5"/>
  <c r="R12" i="5"/>
  <c r="Q12" i="5"/>
  <c r="P12" i="5"/>
  <c r="T11" i="5"/>
  <c r="S11" i="5"/>
  <c r="R11" i="5"/>
  <c r="Q11" i="5"/>
  <c r="P11" i="5"/>
  <c r="T2" i="5"/>
  <c r="T3" i="5"/>
  <c r="T4" i="5"/>
  <c r="T5" i="5"/>
  <c r="T6" i="5"/>
  <c r="T7" i="5"/>
  <c r="T8" i="5"/>
  <c r="T9" i="5"/>
  <c r="T10" i="5"/>
  <c r="S2" i="5"/>
  <c r="S3" i="5"/>
  <c r="S4" i="5"/>
  <c r="S5" i="5"/>
  <c r="S6" i="5"/>
  <c r="S7" i="5"/>
  <c r="S8" i="5"/>
  <c r="S9" i="5"/>
  <c r="S10" i="5"/>
  <c r="R2" i="5"/>
  <c r="R3" i="5"/>
  <c r="R4" i="5"/>
  <c r="R5" i="5"/>
  <c r="R6" i="5"/>
  <c r="R7" i="5"/>
  <c r="R8" i="5"/>
  <c r="R9" i="5"/>
  <c r="R10" i="5"/>
  <c r="Q2" i="5"/>
  <c r="Q3" i="5"/>
  <c r="Q4" i="5"/>
  <c r="Q5" i="5"/>
  <c r="Q6" i="5"/>
  <c r="Q7" i="5"/>
  <c r="Q8" i="5"/>
  <c r="Q9" i="5"/>
  <c r="Q10" i="5"/>
  <c r="P2" i="5"/>
  <c r="P4" i="5"/>
  <c r="P5" i="5"/>
  <c r="P6" i="5"/>
  <c r="P7" i="5"/>
  <c r="P8" i="5"/>
  <c r="P9" i="5"/>
  <c r="P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<sst xmlns="http://schemas.openxmlformats.org/spreadsheetml/2006/main" count="14246" uniqueCount="3201">
  <si>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</si>
  <si>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</si>
  <si>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</si>
  <si>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</si>
  <si>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</si>
  <si>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</si>
  <si>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</si>
  <si>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</si>
  <si>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</si>
  <si>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</si>
  <si>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</si>
  <si>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</si>
  <si>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</si>
  <si>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</si>
  <si>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</si>
  <si>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</si>
  <si>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</si>
  <si>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</si>
  <si>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</si>
  <si>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</si>
  <si>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</si>
  <si>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</si>
  <si>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</si>
  <si>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</si>
  <si>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</si>
  <si>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</si>
  <si>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</si>
  <si>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</si>
  <si>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</si>
  <si>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</si>
  <si>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</si>
  <si>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</si>
  <si>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</si>
  <si>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</si>
  <si>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</si>
  <si>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</si>
  <si>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</si>
  <si>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</si>
  <si>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</si>
  <si>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</si>
  <si>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</si>
  <si>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</si>
  <si>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</si>
  <si>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</si>
  <si>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</si>
  <si>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</si>
  <si>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</si>
  <si>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</si>
  <si>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</si>
  <si>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</si>
  <si>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</si>
  <si>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</si>
  <si>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</si>
  <si>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</si>
  <si>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</si>
  <si>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</si>
  <si>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</si>
  <si>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</si>
  <si>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</si>
  <si>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</si>
  <si>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</si>
  <si>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</si>
  <si>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</si>
  <si>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</si>
  <si>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</si>
  <si>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</si>
  <si>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</si>
  <si>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</si>
  <si>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</si>
  <si>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</si>
  <si>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</si>
  <si>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</si>
  <si>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</si>
  <si>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</si>
  <si>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</si>
  <si>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</si>
  <si>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</si>
  <si>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</si>
  <si>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</si>
  <si>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</si>
  <si>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</si>
  <si>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</si>
  <si>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</si>
  <si>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</si>
  <si>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</si>
  <si>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</si>
  <si>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</si>
  <si>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</si>
  <si>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</si>
  <si>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</si>
  <si>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</si>
  <si>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</si>
  <si>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</si>
  <si>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</si>
  <si>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</si>
  <si>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</si>
  <si>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</si>
  <si>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</si>
  <si>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</si>
  <si>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</si>
  <si>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</si>
  <si>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</si>
  <si>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</si>
  <si>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</si>
  <si>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</si>
  <si>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</si>
  <si>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</si>
  <si>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</si>
  <si>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</si>
  <si>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</si>
  <si>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</si>
  <si>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</si>
  <si>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</si>
  <si>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</si>
  <si>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</si>
  <si>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</si>
  <si>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</si>
  <si>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</si>
  <si>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</si>
  <si>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</si>
  <si>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</si>
  <si>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</si>
  <si>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</si>
  <si>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</si>
  <si>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</si>
  <si>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</si>
  <si>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</si>
  <si>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</si>
  <si>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</si>
  <si>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</si>
  <si>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</si>
  <si>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</si>
  <si>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</si>
  <si>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</si>
  <si>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</si>
  <si>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</si>
  <si>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</si>
  <si>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</si>
  <si>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</si>
  <si>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</si>
  <si>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</si>
  <si>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</si>
  <si>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</si>
  <si>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</si>
  <si>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</si>
  <si>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</si>
  <si>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</si>
  <si>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</si>
  <si>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</si>
  <si>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</si>
  <si>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</si>
  <si>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</si>
  <si>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</si>
  <si>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</si>
  <si>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</si>
  <si>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</si>
  <si>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</si>
  <si>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</si>
  <si>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</si>
  <si>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</si>
  <si>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</si>
  <si>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</si>
  <si>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</si>
  <si>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</si>
  <si>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</si>
  <si>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</si>
  <si>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</si>
  <si>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</si>
  <si>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</si>
  <si>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</si>
  <si>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</si>
  <si>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</si>
  <si>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</si>
  <si>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</si>
  <si>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</si>
  <si>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</si>
  <si>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</si>
  <si>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</si>
  <si>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</si>
  <si>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</si>
  <si>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</si>
  <si>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</si>
  <si>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</si>
  <si>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</si>
  <si>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</si>
  <si>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</si>
  <si>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</si>
  <si>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</si>
  <si>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</si>
  <si>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</si>
  <si>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</si>
  <si>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</si>
  <si>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</si>
  <si>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</si>
  <si>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</si>
  <si>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</si>
  <si>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</si>
  <si>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</si>
  <si>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</si>
  <si>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</si>
  <si>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</si>
  <si>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</si>
  <si>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</si>
  <si>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</si>
  <si>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</si>
  <si>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</si>
  <si>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</si>
  <si>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</si>
  <si>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</si>
  <si>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</si>
  <si>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</si>
  <si>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</si>
  <si>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</si>
  <si>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</si>
  <si>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</si>
  <si>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</si>
  <si>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</si>
  <si>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</si>
  <si>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</si>
  <si>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</si>
  <si>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</si>
  <si>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</si>
  <si>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</si>
  <si>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</si>
  <si>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</si>
  <si>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</si>
  <si>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</si>
  <si>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</si>
  <si>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</si>
  <si>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</si>
  <si>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</si>
  <si>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</si>
  <si>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</si>
  <si>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</si>
  <si>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</si>
  <si>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</si>
  <si>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</si>
  <si>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</si>
  <si>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</si>
  <si>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</si>
  <si>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</si>
  <si>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</si>
  <si>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</si>
  <si>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</si>
  <si>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</si>
  <si>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</si>
  <si>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</si>
  <si>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</si>
  <si>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</si>
  <si>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</si>
  <si>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</si>
  <si>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</si>
  <si>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</si>
  <si>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</si>
  <si>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</si>
  <si>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</si>
  <si>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</si>
  <si>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</si>
  <si>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</si>
  <si>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</si>
  <si>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</si>
  <si>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</si>
  <si>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</si>
  <si>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</si>
  <si>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</si>
  <si>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</si>
  <si>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</si>
  <si>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</si>
  <si>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</si>
  <si>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</si>
  <si>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</si>
  <si>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</si>
  <si>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</si>
  <si>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</si>
  <si>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</si>
  <si>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</si>
  <si>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</si>
  <si>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</si>
  <si>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</si>
  <si>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</si>
  <si>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</si>
  <si>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</si>
  <si>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</si>
  <si>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</si>
  <si>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</si>
  <si>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</si>
  <si>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</si>
  <si>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</si>
  <si>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</si>
  <si>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</si>
  <si>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</si>
  <si>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</si>
  <si>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</si>
  <si>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</si>
  <si>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</si>
  <si>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</si>
  <si>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</si>
  <si>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</si>
  <si>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</si>
  <si>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</si>
  <si>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</si>
  <si>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</si>
  <si>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</si>
  <si>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</si>
  <si>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</si>
  <si>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</si>
  <si>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</si>
  <si>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</si>
  <si>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</si>
  <si>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</si>
  <si>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</si>
  <si>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</si>
  <si>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</si>
  <si>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</si>
  <si>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</si>
  <si>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</si>
  <si>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</si>
  <si>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</si>
  <si>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</si>
  <si>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</si>
  <si>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</si>
  <si>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</si>
  <si>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</si>
  <si>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</si>
  <si>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</si>
  <si>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</si>
  <si>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</si>
  <si>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</si>
  <si>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</si>
  <si>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</si>
  <si>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</si>
  <si>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</si>
  <si>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</si>
  <si>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</si>
  <si>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</si>
  <si>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</si>
  <si>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</si>
  <si>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</si>
  <si>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</si>
  <si>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</si>
  <si>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</si>
  <si>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</si>
  <si>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</si>
  <si>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</si>
  <si>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</si>
  <si>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</si>
  <si>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</si>
  <si>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</si>
  <si>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</si>
  <si>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</si>
  <si>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</si>
  <si>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</si>
  <si>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</si>
  <si>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</si>
  <si>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</si>
  <si>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</si>
  <si>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</si>
  <si>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</si>
  <si>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</si>
  <si>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</si>
  <si>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</si>
  <si>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</si>
  <si>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</si>
  <si>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</si>
  <si>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</si>
  <si>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</si>
  <si>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</si>
  <si>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</si>
  <si>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</si>
  <si>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</si>
  <si>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</si>
  <si>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</si>
  <si>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</si>
  <si>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</si>
  <si>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</si>
  <si>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</si>
  <si>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</si>
  <si>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</si>
  <si>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</si>
  <si>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</si>
  <si>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</si>
  <si>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</si>
  <si>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</si>
  <si>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</si>
  <si>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</si>
  <si>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</si>
  <si>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</si>
  <si>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</si>
  <si>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</si>
  <si>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</si>
  <si>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</si>
  <si>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</si>
  <si>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</si>
  <si>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</si>
  <si>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</si>
  <si>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</si>
  <si>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</si>
  <si>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</si>
  <si>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</si>
  <si>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</si>
  <si>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</si>
  <si>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</si>
  <si>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</si>
  <si>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</si>
  <si>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</si>
  <si>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</si>
  <si>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</si>
  <si>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</si>
  <si>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</si>
  <si>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</si>
  <si>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</si>
  <si>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</si>
  <si>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</si>
  <si>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</si>
  <si>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</si>
  <si>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</si>
  <si>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</si>
  <si>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</si>
  <si>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</si>
  <si>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</si>
  <si>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</si>
  <si>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</si>
  <si>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</si>
  <si>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</si>
  <si>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</si>
  <si>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</si>
  <si>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</si>
  <si>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</si>
  <si>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</si>
  <si>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</si>
  <si>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</si>
  <si>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</si>
  <si>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</si>
  <si>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</si>
  <si>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</si>
  <si>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</si>
  <si>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</si>
  <si>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</si>
  <si>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</si>
  <si>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</si>
  <si>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</si>
  <si>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</si>
  <si>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</si>
  <si>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</si>
  <si>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</si>
  <si>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</si>
  <si>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</si>
  <si>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</si>
  <si>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</si>
  <si>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</si>
  <si>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</si>
  <si>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</si>
  <si>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</si>
  <si>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</si>
  <si>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</si>
  <si>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</si>
  <si>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</si>
  <si>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</si>
  <si>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</si>
  <si>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</si>
  <si>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</si>
  <si>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</si>
  <si>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</si>
  <si>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</si>
  <si>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</si>
  <si>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</si>
  <si>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</si>
  <si>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</si>
  <si>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</si>
  <si>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</si>
  <si>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</si>
  <si>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</si>
  <si>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</si>
  <si>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</si>
  <si>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</si>
  <si>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</si>
  <si>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</si>
  <si>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</si>
  <si>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</si>
  <si>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</si>
  <si>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</si>
  <si>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</si>
  <si>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</si>
  <si>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</si>
  <si>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</si>
  <si>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</si>
  <si>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</si>
  <si>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</si>
  <si>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</si>
  <si>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</si>
  <si>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</si>
  <si>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</si>
  <si>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</si>
  <si>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</si>
  <si>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</si>
  <si>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</si>
  <si>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</si>
  <si>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</si>
  <si>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</si>
  <si>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</si>
  <si>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</si>
  <si>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</si>
  <si>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</si>
  <si>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</si>
  <si>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</si>
  <si>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</si>
  <si>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</si>
  <si>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</si>
  <si>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</si>
  <si>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</si>
  <si>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</si>
  <si>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</si>
  <si>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</si>
  <si>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</si>
  <si>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</si>
  <si>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</si>
  <si>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</si>
  <si>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</si>
  <si>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</si>
  <si>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</si>
  <si>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</si>
  <si>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</si>
  <si>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</si>
  <si>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</si>
  <si>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</si>
  <si>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</si>
  <si>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</si>
  <si>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</si>
  <si>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</si>
  <si>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</si>
  <si>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</si>
  <si>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</si>
  <si>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</si>
  <si>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</si>
  <si>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</si>
  <si>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</si>
  <si>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</si>
  <si>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</si>
  <si>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</si>
  <si>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</si>
  <si>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</si>
  <si>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</si>
  <si>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</si>
  <si>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</si>
  <si>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</si>
  <si>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</si>
  <si>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</si>
  <si>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</si>
  <si>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</si>
  <si>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</si>
  <si>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</si>
  <si>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</si>
  <si>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</si>
  <si>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</si>
  <si>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</si>
  <si>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</si>
  <si>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</si>
  <si>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</si>
  <si>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</si>
  <si>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</si>
  <si>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</si>
  <si>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</si>
  <si>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</si>
  <si>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</si>
  <si>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</si>
  <si>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</si>
  <si>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</si>
  <si>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</si>
  <si>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</si>
  <si>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</si>
  <si>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</si>
  <si>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</si>
  <si>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</si>
  <si>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</si>
  <si>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</si>
  <si>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</si>
  <si>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</si>
  <si>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</si>
  <si>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</si>
  <si>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</si>
  <si>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</si>
  <si>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</si>
  <si>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</si>
  <si>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</si>
  <si>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</si>
  <si>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</si>
  <si>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</si>
  <si>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</si>
  <si>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</si>
  <si>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</si>
  <si>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</si>
  <si>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</si>
  <si>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</si>
  <si>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</si>
  <si>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</si>
  <si>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</si>
  <si>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</si>
  <si>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</si>
  <si>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</si>
  <si>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</si>
  <si>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</si>
  <si>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</si>
  <si>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</si>
  <si>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</si>
  <si>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</si>
  <si>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</si>
  <si>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</si>
  <si>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</si>
  <si>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</si>
  <si>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</si>
  <si>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</si>
  <si>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</si>
  <si>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</si>
  <si>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</si>
  <si>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</si>
  <si>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</si>
  <si>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</si>
  <si>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</si>
  <si>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</si>
  <si>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</si>
  <si>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</si>
  <si>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</si>
  <si>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</si>
  <si>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</si>
  <si>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</si>
  <si>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</si>
  <si>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</si>
  <si>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</si>
  <si>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</si>
  <si>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</si>
  <si>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</si>
  <si>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</si>
  <si>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</si>
  <si>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</si>
  <si>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</si>
  <si>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</si>
  <si>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</si>
  <si>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</si>
  <si>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</si>
  <si>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</si>
  <si>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</si>
  <si>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</si>
  <si>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</si>
  <si>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</si>
  <si>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</si>
  <si>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</si>
  <si>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</si>
  <si>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</si>
  <si>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</si>
  <si>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</si>
  <si>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</si>
  <si>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</si>
  <si>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</si>
  <si>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</si>
  <si>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</si>
  <si>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</si>
  <si>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</si>
  <si>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</si>
  <si>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</si>
  <si>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</si>
  <si>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</si>
  <si>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</si>
  <si>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</si>
  <si>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</si>
  <si>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</si>
  <si>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</si>
  <si>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</si>
  <si>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</si>
  <si>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</si>
  <si>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</si>
  <si>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</si>
  <si>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</si>
  <si>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</si>
  <si>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</si>
  <si>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</si>
  <si>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</si>
  <si>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</si>
  <si>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</si>
  <si>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</si>
  <si>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</si>
  <si>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</si>
  <si>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</si>
  <si>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</si>
  <si>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</si>
  <si>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</si>
  <si>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</si>
  <si>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</si>
  <si>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</si>
  <si>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</si>
  <si>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</si>
  <si>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</si>
  <si>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</si>
  <si>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</si>
  <si>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</si>
  <si>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</si>
  <si>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</si>
  <si>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</si>
  <si>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</si>
  <si>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</si>
  <si>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</si>
  <si>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</si>
  <si>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</si>
  <si>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</si>
  <si>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</si>
  <si>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</si>
  <si>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</si>
  <si>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</si>
  <si>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</si>
  <si>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</si>
  <si>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</si>
  <si>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</si>
  <si>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</si>
  <si>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</si>
  <si>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</si>
  <si>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</si>
  <si>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</si>
  <si>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</si>
  <si>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</si>
  <si>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</si>
  <si>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</si>
  <si>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</si>
  <si>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</si>
  <si>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</si>
  <si>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</si>
  <si>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</si>
  <si>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</si>
  <si>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</si>
  <si>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</si>
  <si>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</si>
  <si>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</si>
  <si>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</si>
  <si>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</si>
  <si>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</si>
  <si>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</si>
  <si>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</si>
  <si>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</si>
  <si>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</si>
  <si>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</si>
  <si>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</si>
  <si>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</si>
  <si>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</si>
  <si>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</si>
  <si>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</si>
  <si>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</si>
  <si>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</si>
  <si>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</si>
  <si>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</si>
  <si>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</si>
  <si>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</si>
  <si>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</si>
  <si>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</si>
  <si>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</si>
  <si>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</si>
  <si>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</si>
  <si>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</si>
  <si>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</si>
  <si>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</si>
  <si>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</si>
  <si>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</si>
  <si>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</si>
  <si>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</si>
  <si>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</si>
  <si>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</si>
  <si>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</si>
  <si>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</si>
  <si>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</si>
  <si>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</si>
  <si>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</si>
  <si>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</si>
  <si>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</si>
  <si>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</si>
  <si>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</si>
  <si>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</si>
  <si>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</si>
  <si>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</si>
  <si>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</si>
  <si>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</si>
  <si>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</si>
  <si>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</si>
  <si>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</si>
  <si>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</si>
  <si>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</si>
  <si>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</si>
  <si>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</si>
  <si>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</si>
  <si>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</si>
  <si>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</si>
  <si>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</si>
  <si>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</si>
  <si>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</si>
  <si>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</si>
  <si>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</si>
  <si>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</si>
  <si>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</si>
  <si>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</si>
  <si>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</si>
  <si>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</si>
  <si>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</si>
  <si>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</si>
  <si>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</si>
  <si>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</si>
  <si>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</si>
  <si>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</si>
  <si>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</si>
  <si>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</si>
  <si>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</si>
  <si>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</si>
  <si>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</si>
  <si>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</si>
  <si>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</si>
  <si>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</si>
  <si>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</si>
  <si>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</si>
  <si>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</si>
  <si>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</si>
  <si>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</si>
  <si>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</si>
  <si>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</si>
  <si>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</si>
  <si>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</si>
  <si>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</si>
  <si>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</si>
  <si>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</si>
  <si>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</si>
  <si>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</si>
  <si>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</si>
  <si>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</si>
  <si>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</si>
  <si>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</si>
  <si>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</si>
  <si>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</si>
  <si>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</si>
  <si>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</si>
  <si>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</si>
  <si>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</si>
  <si>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</si>
  <si>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</si>
  <si>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</si>
  <si>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</si>
  <si>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</si>
  <si>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</si>
  <si>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</si>
  <si>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</si>
  <si>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</si>
  <si>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</si>
  <si>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</si>
  <si>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</si>
  <si>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</si>
  <si>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</si>
  <si>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</si>
  <si>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</si>
  <si>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</si>
  <si>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</si>
  <si>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</si>
  <si>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</si>
  <si>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</si>
  <si>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</si>
  <si>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</si>
  <si>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</si>
  <si>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</si>
  <si>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</si>
  <si>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</si>
  <si>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</si>
  <si>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</si>
  <si>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</si>
  <si>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</si>
  <si>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</si>
  <si>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</si>
  <si>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</si>
  <si>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</si>
  <si>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</si>
  <si>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</si>
  <si>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</si>
  <si>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</si>
  <si>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</si>
  <si>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</si>
  <si>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</si>
  <si>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</si>
  <si>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</si>
  <si>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</si>
  <si>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</si>
  <si>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</si>
  <si>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</si>
  <si>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</si>
  <si>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</si>
  <si>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</si>
  <si>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</si>
  <si>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</si>
  <si>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</si>
  <si>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</si>
  <si>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</si>
  <si>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</si>
  <si>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</si>
  <si>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</si>
  <si>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</si>
  <si>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</si>
  <si>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</si>
  <si>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</si>
  <si>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</si>
  <si>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</si>
  <si>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</si>
  <si>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</si>
  <si>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</si>
  <si>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</si>
  <si>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</si>
  <si>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</si>
  <si>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</si>
  <si>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</si>
  <si>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</si>
  <si>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</si>
  <si>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</si>
  <si>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</si>
  <si>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</si>
  <si>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</si>
  <si>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</si>
  <si>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</si>
  <si>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</si>
  <si>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</si>
  <si>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</si>
  <si>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</si>
  <si>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</si>
  <si>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</si>
  <si>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</si>
  <si>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</si>
  <si>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</si>
  <si>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</si>
  <si>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</si>
  <si>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</si>
  <si>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</si>
  <si>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</si>
  <si>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</si>
  <si>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</si>
  <si>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</si>
  <si>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</si>
  <si>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</si>
  <si>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</si>
  <si>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</si>
  <si>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</si>
  <si>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</si>
  <si>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</si>
  <si>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</si>
  <si>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</si>
  <si>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</si>
  <si>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</si>
  <si>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</si>
  <si>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</si>
  <si>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</si>
  <si>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</si>
  <si>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</si>
  <si>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</si>
  <si>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</si>
  <si>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</si>
  <si>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</si>
  <si>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</si>
  <si>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</si>
  <si>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</si>
  <si>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</si>
  <si>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</si>
  <si>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</si>
  <si>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</si>
  <si>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</si>
  <si>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</si>
  <si>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</si>
  <si>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</si>
  <si>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</si>
  <si>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</si>
  <si>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</si>
  <si>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</si>
  <si>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</si>
  <si>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</si>
  <si>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</si>
  <si>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</si>
  <si>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</si>
  <si>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</si>
  <si>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</si>
  <si>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</si>
  <si>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</si>
  <si>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</si>
  <si>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</si>
  <si>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</si>
  <si>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</si>
  <si>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</si>
  <si>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</si>
  <si>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</si>
  <si>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</si>
  <si>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</si>
  <si>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</si>
  <si>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</si>
  <si>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</si>
  <si>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</si>
  <si>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</si>
  <si>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</si>
  <si>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</si>
  <si>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</si>
  <si>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</si>
  <si>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</si>
  <si>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</si>
  <si>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</si>
  <si>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</si>
  <si>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</si>
  <si>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</si>
  <si>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</si>
  <si>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</si>
  <si>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</si>
  <si>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</si>
  <si>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</si>
  <si>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</si>
  <si>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</si>
  <si>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</si>
  <si>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</si>
  <si>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</si>
  <si>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</si>
  <si>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</si>
  <si>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</si>
  <si>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</si>
  <si>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</si>
  <si>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</si>
  <si>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</si>
  <si>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</si>
  <si>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</si>
  <si>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</si>
  <si>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</si>
  <si>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</si>
  <si>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</si>
  <si>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</si>
  <si>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</si>
  <si>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</si>
  <si>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</si>
  <si>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</si>
  <si>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</si>
  <si>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</si>
  <si>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</si>
  <si>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</si>
  <si>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</si>
  <si>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</si>
  <si>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</si>
  <si>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</si>
  <si>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</si>
  <si>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</si>
  <si>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</si>
  <si>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</si>
  <si>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</si>
  <si>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</si>
  <si>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</si>
  <si>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</si>
  <si>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</si>
  <si>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</si>
  <si>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</si>
  <si>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</si>
  <si>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</si>
  <si>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</si>
  <si>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</si>
  <si>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</si>
  <si>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</si>
  <si>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</si>
  <si>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</si>
  <si>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</si>
  <si>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</si>
  <si>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</si>
  <si>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</si>
  <si>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</si>
  <si>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</si>
  <si>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</si>
  <si>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</si>
  <si>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</si>
  <si>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</si>
  <si>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</si>
  <si>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</si>
  <si>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</si>
  <si>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</si>
  <si>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</si>
  <si>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</si>
  <si>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</si>
  <si>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</si>
  <si>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</si>
  <si>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</si>
  <si>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</si>
  <si>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</si>
  <si>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</si>
  <si>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</si>
  <si>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</si>
  <si>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</si>
  <si>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</si>
  <si>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</si>
  <si>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</si>
  <si>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</si>
  <si>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</si>
  <si>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</si>
  <si>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</si>
  <si>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</si>
  <si>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</si>
  <si>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</si>
  <si>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</si>
  <si>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</si>
  <si>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</si>
  <si>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</si>
  <si>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</si>
  <si>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</si>
  <si>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</si>
  <si>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</si>
  <si>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</si>
  <si>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</si>
  <si>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</si>
  <si>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</si>
  <si>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</si>
  <si>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</si>
  <si>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</si>
  <si>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</si>
  <si>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</si>
  <si>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</si>
  <si>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</si>
  <si>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</si>
  <si>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</si>
  <si>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</si>
  <si>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</si>
  <si>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</si>
  <si>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</si>
  <si>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</si>
  <si>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</si>
  <si>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</si>
  <si>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</si>
  <si>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</si>
  <si>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</si>
  <si>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</si>
  <si>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</si>
  <si>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</si>
  <si>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</si>
  <si>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</si>
  <si>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</si>
  <si>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</si>
  <si>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</si>
  <si>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</si>
  <si>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</si>
  <si>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</si>
  <si>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</si>
  <si>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</si>
  <si>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</si>
  <si>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</si>
  <si>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</si>
  <si>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</si>
  <si>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</si>
  <si>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</si>
  <si>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</si>
  <si>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</si>
  <si>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</si>
  <si>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</si>
  <si>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</si>
  <si>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</si>
  <si>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</si>
  <si>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</si>
  <si>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</si>
  <si>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</si>
  <si>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</si>
  <si>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</si>
  <si>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</si>
  <si>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</si>
  <si>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</si>
  <si>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</si>
  <si>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</si>
  <si>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</si>
  <si>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</si>
  <si>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</si>
  <si>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</si>
  <si>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</si>
  <si>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</si>
  <si>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</si>
  <si>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</si>
  <si>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</si>
  <si>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</si>
  <si>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</si>
  <si>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</si>
  <si>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</si>
  <si>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</si>
  <si>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</si>
  <si>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</si>
  <si>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</si>
  <si>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</si>
  <si>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</si>
  <si>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</si>
  <si>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</si>
  <si>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</si>
  <si>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</si>
  <si>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</si>
  <si>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</si>
  <si>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</si>
  <si>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</si>
  <si>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</si>
  <si>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</si>
  <si>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</si>
  <si>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</si>
  <si>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</si>
  <si>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</si>
  <si>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</si>
  <si>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</si>
  <si>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</si>
  <si>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</si>
  <si>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</si>
  <si>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</si>
  <si>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</si>
  <si>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</si>
  <si>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</si>
  <si>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</si>
  <si>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</si>
  <si>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</si>
  <si>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</si>
  <si>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</si>
  <si>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</si>
  <si>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</si>
  <si>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</si>
  <si>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</si>
  <si>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</si>
  <si>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</si>
  <si>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</si>
  <si>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</si>
  <si>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</si>
  <si>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</si>
  <si>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</si>
  <si>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</si>
  <si>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</si>
  <si>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</si>
  <si>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</si>
  <si>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</si>
  <si>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</si>
  <si>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</si>
  <si>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</si>
  <si>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</si>
  <si>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</si>
  <si>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</si>
  <si>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</si>
  <si>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</si>
  <si>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</si>
  <si>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</si>
  <si>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</si>
  <si>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</si>
  <si>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</si>
  <si>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</si>
  <si>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</si>
  <si>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</si>
  <si>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</si>
  <si>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</si>
  <si>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</si>
  <si>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</si>
  <si>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</si>
  <si>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</si>
  <si>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</si>
  <si>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</si>
  <si>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</si>
  <si>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</si>
  <si>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</si>
  <si>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</si>
  <si>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</si>
  <si>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</si>
  <si>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</si>
  <si>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</si>
  <si>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</si>
  <si>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</si>
  <si>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</si>
  <si>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</si>
  <si>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</si>
  <si>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</si>
  <si>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</si>
  <si>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</si>
  <si>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</si>
  <si>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</si>
  <si>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</si>
  <si>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</si>
  <si>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</si>
  <si>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</si>
  <si>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</si>
  <si>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</si>
  <si>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</si>
  <si>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</si>
  <si>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</si>
  <si>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</si>
  <si>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</si>
  <si>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</si>
  <si>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</si>
  <si>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</si>
  <si>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</si>
  <si>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</si>
  <si>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</si>
  <si>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</si>
  <si>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</si>
  <si>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</si>
  <si>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</si>
  <si>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</si>
  <si>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</si>
  <si>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</si>
  <si>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</si>
  <si>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</si>
  <si>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</si>
  <si>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</si>
  <si>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</si>
  <si>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</si>
  <si>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</si>
  <si>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</si>
  <si>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</si>
  <si>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</si>
  <si>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</si>
  <si>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</si>
  <si>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</si>
  <si>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</si>
  <si>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</si>
  <si>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</si>
  <si>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</si>
  <si>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</si>
  <si>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</si>
  <si>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</si>
  <si>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</si>
  <si>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</si>
  <si>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</si>
  <si>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</si>
  <si>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</si>
  <si>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</si>
  <si>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</si>
  <si>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</si>
  <si>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</si>
  <si>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</si>
  <si>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</si>
  <si>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</si>
  <si>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</si>
  <si>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</si>
  <si>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</si>
  <si>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</si>
  <si>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</si>
  <si>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</si>
  <si>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</si>
  <si>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</si>
  <si>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</si>
  <si>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</si>
  <si>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</si>
  <si>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</si>
  <si>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</si>
  <si>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</si>
  <si>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</si>
  <si>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</si>
  <si>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</si>
  <si>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</si>
  <si>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</si>
  <si>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</si>
  <si>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</si>
  <si>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</si>
  <si>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</si>
  <si>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</si>
  <si>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</si>
  <si>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</si>
  <si>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</si>
  <si>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</si>
  <si>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</si>
  <si>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</si>
  <si>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</si>
  <si>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</si>
  <si>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</si>
  <si>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</si>
  <si>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</si>
  <si>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</si>
  <si>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</si>
  <si>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</si>
  <si>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</si>
  <si>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</si>
  <si>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</si>
  <si>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</si>
  <si>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</si>
  <si>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</si>
  <si>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</si>
  <si>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</si>
  <si>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</si>
  <si>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</si>
  <si>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</si>
  <si>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</si>
  <si>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</si>
  <si>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</si>
  <si>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</si>
  <si>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</si>
  <si>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</si>
  <si>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</si>
  <si>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</si>
  <si>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</si>
  <si>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</si>
  <si>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</si>
  <si>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</si>
  <si>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</si>
  <si>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</si>
  <si>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</si>
  <si>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</si>
  <si>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</si>
  <si>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</si>
  <si>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</si>
  <si>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</si>
  <si>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</si>
  <si>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</si>
  <si>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</si>
  <si>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</si>
  <si>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</si>
  <si>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</si>
  <si>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</si>
  <si>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</si>
  <si>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</si>
  <si>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</si>
  <si>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</si>
  <si>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</si>
  <si>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</si>
  <si>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</si>
  <si>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</si>
  <si>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</si>
  <si>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</si>
  <si>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</si>
  <si>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</si>
  <si>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</si>
  <si>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</si>
  <si>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</si>
  <si>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</si>
  <si>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</si>
  <si>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</si>
  <si>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</si>
  <si>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</si>
  <si>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</si>
  <si>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</si>
  <si>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</si>
  <si>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</si>
  <si>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</si>
  <si>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</si>
  <si>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</si>
  <si>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</si>
  <si>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</si>
  <si>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</si>
  <si>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</si>
  <si>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</si>
  <si>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</si>
  <si>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</si>
  <si>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</si>
  <si>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</si>
  <si>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</si>
  <si>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</si>
  <si>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</si>
  <si>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</si>
  <si>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</si>
  <si>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</si>
  <si>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</si>
  <si>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</si>
  <si>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</si>
  <si>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</si>
  <si>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</si>
  <si>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</si>
  <si>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</si>
  <si>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</si>
  <si>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</si>
  <si>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</si>
  <si>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</si>
  <si>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</si>
  <si>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</si>
  <si>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</si>
  <si>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</si>
  <si>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</si>
  <si>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</si>
  <si>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</si>
  <si>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</si>
  <si>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</si>
  <si>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</si>
  <si>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</si>
  <si>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</si>
  <si>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</si>
  <si>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</si>
  <si>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</si>
  <si>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</si>
  <si>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</si>
  <si>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</si>
  <si>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</si>
  <si>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</si>
  <si>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</si>
  <si>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</si>
  <si>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</si>
  <si>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</si>
  <si>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</si>
  <si>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</si>
  <si>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</si>
  <si>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</si>
  <si>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</si>
  <si>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</si>
  <si>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</si>
  <si>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</si>
  <si>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</si>
  <si>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</si>
  <si>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</si>
  <si>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</si>
  <si>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</si>
  <si>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</si>
  <si>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</si>
  <si>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</si>
  <si>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</si>
  <si>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</si>
  <si>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</si>
  <si>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</si>
  <si>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</si>
  <si>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</si>
  <si>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</si>
  <si>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</si>
  <si>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</si>
  <si>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</si>
  <si>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</si>
  <si>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</si>
  <si>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</si>
  <si>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</si>
  <si>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</si>
  <si>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</si>
  <si>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</si>
  <si>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</si>
  <si>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</si>
  <si>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</si>
  <si>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</si>
  <si>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</si>
  <si>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</si>
  <si>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</si>
  <si>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</si>
  <si>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</si>
  <si>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</si>
  <si>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</si>
  <si>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</si>
  <si>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</si>
  <si>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</si>
  <si>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</si>
  <si>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</si>
  <si>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</si>
  <si>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</si>
  <si>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</si>
  <si>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</si>
  <si>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</si>
  <si>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</si>
  <si>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</si>
  <si>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</si>
  <si>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</si>
  <si>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</si>
  <si>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</si>
  <si>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</si>
  <si>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</si>
  <si>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</si>
  <si>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</si>
  <si>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</si>
  <si>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</si>
  <si>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</si>
  <si>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</si>
  <si>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</si>
  <si>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</si>
  <si>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</si>
  <si>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</si>
  <si>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</si>
  <si>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</si>
  <si>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</si>
  <si>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</si>
  <si>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</si>
  <si>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</si>
  <si>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</si>
  <si>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</si>
  <si>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</si>
  <si>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</si>
  <si>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</si>
  <si>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</si>
  <si>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</si>
  <si>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</si>
  <si>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</si>
  <si>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</si>
  <si>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</si>
  <si>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</si>
  <si>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</si>
  <si>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</si>
  <si>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</si>
  <si>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</si>
  <si>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</si>
  <si>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</si>
  <si>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</si>
  <si>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</si>
  <si>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</si>
  <si>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</si>
  <si>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</si>
  <si>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</si>
  <si>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</si>
  <si>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</si>
  <si>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</si>
  <si>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</si>
  <si>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</si>
  <si>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</si>
  <si>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</si>
  <si>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</si>
  <si>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</si>
  <si>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</si>
  <si>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</si>
  <si>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</si>
  <si>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</si>
  <si>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</si>
  <si>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</si>
  <si>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</si>
  <si>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</si>
  <si>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</si>
  <si>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</si>
  <si>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</si>
  <si>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</si>
  <si>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</si>
  <si>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</si>
  <si>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</si>
  <si>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</si>
  <si>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</si>
  <si>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</si>
  <si>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</si>
  <si>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</si>
  <si>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</si>
  <si>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</si>
  <si>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</si>
  <si>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</si>
  <si>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</si>
  <si>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</si>
  <si>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</si>
  <si>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</si>
  <si>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</si>
  <si>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</si>
  <si>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</si>
  <si>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</si>
  <si>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</si>
  <si>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</si>
  <si>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</si>
  <si>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</si>
  <si>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</si>
  <si>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</si>
  <si>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</si>
  <si>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</si>
  <si>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</si>
  <si>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</si>
  <si>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</si>
  <si>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</si>
  <si>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</si>
  <si>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</si>
  <si>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</si>
  <si>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</si>
  <si>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</si>
  <si>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</si>
  <si>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</si>
  <si>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</si>
  <si>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</si>
  <si>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</si>
  <si>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</si>
  <si>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</si>
  <si>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</si>
  <si>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</si>
  <si>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</si>
  <si>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</si>
  <si>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</si>
  <si>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</si>
  <si>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</si>
  <si>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</si>
  <si>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</si>
  <si>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</si>
  <si>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</si>
  <si>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</si>
  <si>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</si>
  <si>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</si>
  <si>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</si>
  <si>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</si>
  <si>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</si>
  <si>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</si>
  <si>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</si>
  <si>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</si>
  <si>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</si>
  <si>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</si>
  <si>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CA-2012-TB21400140-40943</t>
  </si>
  <si>
    <t>IN-2015-NZ1856511-42096</t>
  </si>
  <si>
    <t>NI-2015-PB880595-42249</t>
  </si>
  <si>
    <t>CA-2015-TB21400140-42167</t>
  </si>
  <si>
    <t>NI-2012-PO918095-41230</t>
  </si>
  <si>
    <t>AG-2014-RD95853-41712</t>
  </si>
  <si>
    <t>US-2014-RB1964554-41979</t>
  </si>
  <si>
    <t>NI-2012-RF984095-41233</t>
  </si>
  <si>
    <t>US-2015-TB21400140-42094</t>
  </si>
  <si>
    <t>ID-2013-SC20260102-41431</t>
  </si>
  <si>
    <t>CA-2015-TP21415140-42234</t>
  </si>
  <si>
    <t>CA-2012-TP1141523-40968</t>
  </si>
  <si>
    <t>IR-2013-SC1080060-41529</t>
  </si>
  <si>
    <t>CA-2013-TP21415140-41606</t>
  </si>
  <si>
    <t>MX-2015-TD2099582-42369</t>
  </si>
  <si>
    <t>MX-2015-DB1312028-42285</t>
  </si>
  <si>
    <t>MX-2014-HG1496551-41986</t>
  </si>
  <si>
    <t>US-2014-MS179805-41748</t>
  </si>
  <si>
    <t>US-2014-RD1972054-41815</t>
  </si>
  <si>
    <t>US-2014-TZ2144554-41852</t>
  </si>
  <si>
    <t>MX-2012-KD1649582-41202</t>
  </si>
  <si>
    <t>MX-2015-CA1205582-42276</t>
  </si>
  <si>
    <t>MX-2012-LS1724528-40999</t>
  </si>
  <si>
    <t>MX-2013-ML1741039-41574</t>
  </si>
  <si>
    <t>MX-2013-SE2011026-41588</t>
  </si>
  <si>
    <t>US-2015-JL151755-42154</t>
  </si>
  <si>
    <t>MX-2014-RH1949518-41670</t>
  </si>
  <si>
    <t>MX-2013-HL1504051-41597</t>
  </si>
  <si>
    <t>MX-2013-JC1538518-41384</t>
  </si>
  <si>
    <t>IT-2015-AB1001548-42074</t>
  </si>
  <si>
    <t>KZ-2014-AR40568-41684</t>
  </si>
  <si>
    <t>EG-2015-AP72038-42332</t>
  </si>
  <si>
    <t>MO-2014-AP72086-41849</t>
  </si>
  <si>
    <t>CG-2015-AJ78033-42158</t>
  </si>
  <si>
    <t>CA-2015-TP21415140-42045</t>
  </si>
  <si>
    <t>ID-2014-BE11410102-41755</t>
  </si>
  <si>
    <t>CA-2014-TP21415140-41880</t>
  </si>
  <si>
    <t>IR-2013-CJ187560-41539</t>
  </si>
  <si>
    <t>MO-2012-CJ201086-41227</t>
  </si>
  <si>
    <t>CA-2015-TP21415140-42265</t>
  </si>
  <si>
    <t>IS-2015-DD357063-42069</t>
  </si>
  <si>
    <t>NI-2014-EK379595-41794</t>
  </si>
  <si>
    <t>IR-2015-EM406560-42317</t>
  </si>
  <si>
    <t>ZA-2015-EH4125147-42307</t>
  </si>
  <si>
    <t>CA-2012-TS21430140-41119</t>
  </si>
  <si>
    <t>IN-2012-GT1475558-40997</t>
  </si>
  <si>
    <t>TU-2015-IM5055134-42237</t>
  </si>
  <si>
    <t>TU-2015-JG5115134-42364</t>
  </si>
  <si>
    <t>ES-2015-JA15970139-42184</t>
  </si>
  <si>
    <t>RS-2014-KB6240108-41908</t>
  </si>
  <si>
    <t>CA-2012-TS21430140-41223</t>
  </si>
  <si>
    <t>TU-2014-KL6645134-41818</t>
  </si>
  <si>
    <t>TU-2012-LR6915134-41233</t>
  </si>
  <si>
    <t>AG-2013-LM70653-41352</t>
  </si>
  <si>
    <t>ID-2013-LH1715559-41417</t>
  </si>
  <si>
    <t>US-2014-TS21430140-41878</t>
  </si>
  <si>
    <t>CA-2014-TS21430140-41957</t>
  </si>
  <si>
    <t>CA-2015-TS21430140-42197</t>
  </si>
  <si>
    <t>ES-2015-MG1769545-42263</t>
  </si>
  <si>
    <t>CA-2014-TZ1144523-41985</t>
  </si>
  <si>
    <t>ES-2014-NC18535120-41686</t>
  </si>
  <si>
    <t>CA-2013-TZ1144523-41502</t>
  </si>
  <si>
    <t>ES-2014-PS1904545-41845</t>
  </si>
  <si>
    <t>AU-2015-PF91208-42181</t>
  </si>
  <si>
    <t>IN-2014-PF1916566-41726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</si>
  <si>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</si>
  <si>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</si>
  <si>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</si>
  <si>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</si>
  <si>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</si>
  <si>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</si>
  <si>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</si>
  <si>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MZ-2012-SC1005087-41144</t>
  </si>
  <si>
    <t>IN-2014-SE2011066-41772</t>
  </si>
  <si>
    <t>US-2015-TT21460140-42068</t>
  </si>
  <si>
    <t>ES-2015-SH2063545-42339</t>
  </si>
  <si>
    <t>NG-2014-SC1068094-41864</t>
  </si>
  <si>
    <t>UP-2012-SV10785137-41093</t>
  </si>
  <si>
    <t>IT-2013-SP20860124-41389</t>
  </si>
  <si>
    <t>NI-2012-SP1086095-41090</t>
  </si>
  <si>
    <t>CA-2014-TT21460140-41752</t>
  </si>
  <si>
    <t>IT-2015-TB2105545-42334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</si>
  <si>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</si>
  <si>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</si>
  <si>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</si>
  <si>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</si>
  <si>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</si>
  <si>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</si>
  <si>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</si>
  <si>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IZ-2014-TB1159561-41709</t>
  </si>
  <si>
    <t>UP-2015-XP11865137-42209</t>
  </si>
  <si>
    <t>TU-2012-YS11880134-41138</t>
  </si>
  <si>
    <t>US-2015-TT21460140-42237</t>
  </si>
  <si>
    <t>MX-2013-RS1976593-41408#</t>
  </si>
  <si>
    <t>US-2013-TS2161036-41486</t>
  </si>
  <si>
    <t>US-2015-HK1489055-42157</t>
  </si>
  <si>
    <t>MX-2014-KN1639039-41801</t>
  </si>
  <si>
    <t>MX-2014-EH1376518-41828</t>
  </si>
  <si>
    <t>US-2014-NF1847555-41747</t>
  </si>
  <si>
    <t>MX-2013-AW1084093-41392</t>
  </si>
  <si>
    <t>04/28/2013</t>
  </si>
  <si>
    <t>US-2014-PO1918055-41969</t>
  </si>
  <si>
    <t>MX-2013-CS1213018-41427</t>
  </si>
  <si>
    <t>MX-2015-DO1343536-42224</t>
  </si>
  <si>
    <t>US-2015-VP2176082-42082</t>
  </si>
  <si>
    <t>MX-2013-DP1339082-41629</t>
  </si>
  <si>
    <t xml:space="preserve"> MX-2014-ML1775531-41747 </t>
  </si>
  <si>
    <t>MX-2013-NK1849018-41415</t>
  </si>
  <si>
    <t>MX-2014-RB1933082-41797</t>
  </si>
  <si>
    <t>KZ-2015-AH12068-42348</t>
  </si>
  <si>
    <t>CA-2015-TT21460140-42357#</t>
  </si>
  <si>
    <t>RS-2013-AG300108-41542</t>
  </si>
  <si>
    <t>CG-2015-AR54033-42010</t>
  </si>
  <si>
    <t>IN-2012-AG10675102-41237</t>
  </si>
  <si>
    <t>CA-2015-TC21475140-42097</t>
  </si>
  <si>
    <t>CA-2014-TC1147523-41642</t>
  </si>
  <si>
    <t>TU-2015-BC1125134-42238</t>
  </si>
  <si>
    <t>SG-2015-BC1125111-42340</t>
  </si>
  <si>
    <t>NI-2012-BP123095-41122</t>
  </si>
  <si>
    <t>SA-2015-BF1275110-42197</t>
  </si>
  <si>
    <t>IN-2015-BM11575102-42211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</si>
  <si>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</si>
  <si>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</si>
  <si>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</si>
  <si>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</si>
  <si>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</si>
  <si>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</si>
  <si>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</si>
  <si>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</si>
  <si>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UP-2012-DE3255137-41107</t>
  </si>
  <si>
    <t>TU-2013-DJ3630134-41335</t>
  </si>
  <si>
    <t>MO-2015-FA423086-42185</t>
  </si>
  <si>
    <t>IN-2015-GK14620130-42357</t>
  </si>
  <si>
    <t>CA-2014-TC21475140-41989</t>
  </si>
  <si>
    <t>2015-30-31</t>
  </si>
  <si>
    <t>IN-2014-HW149357-41797</t>
  </si>
  <si>
    <t>EG-2012-HG502538-41012</t>
  </si>
  <si>
    <t>ID-2015-HL1504097-42132</t>
  </si>
  <si>
    <t>NI-2013-IG508595-41433</t>
  </si>
  <si>
    <t>SU-2015-JM5250122-42006</t>
  </si>
  <si>
    <t>ES-2014-JK1537048-41957</t>
  </si>
  <si>
    <t>CA-2015-TM21490140-42239</t>
  </si>
  <si>
    <t>IN-2015-JK1562558-42172</t>
  </si>
  <si>
    <t>SA-2013-JP6135110-41439</t>
  </si>
  <si>
    <t>CA-2015-TM21490140-42213</t>
  </si>
  <si>
    <t>IN-2014-KM166607-41783</t>
  </si>
  <si>
    <t>CA-2014-TS21505140-41908</t>
  </si>
  <si>
    <t>CA-2015-TS21505140-42316</t>
  </si>
  <si>
    <t>CA-2015-TS21505140-42189</t>
  </si>
  <si>
    <t>MO-2014-LC696086-41660</t>
  </si>
  <si>
    <t>ES-2012-LM1706584-41138</t>
  </si>
  <si>
    <t>CA-2015-TS21505140-42266</t>
  </si>
  <si>
    <t>CA-2015-TS21505140-42358</t>
  </si>
  <si>
    <t>IN-2015-MJ1774027-42060</t>
  </si>
  <si>
    <t>CA-2012-TS21505140-41262</t>
  </si>
  <si>
    <t>IR-2014-MK816060-41873</t>
  </si>
  <si>
    <t>IT-2013-MV18190124-41454</t>
  </si>
  <si>
    <t>ID-2015-MG1820592-42343</t>
  </si>
  <si>
    <t>KZ-2014-NP832568-41907</t>
  </si>
  <si>
    <t>ES-2014-PO1886545-41971</t>
  </si>
  <si>
    <t>ES-2013-PL18925139-41410</t>
  </si>
  <si>
    <t>09/26/2014</t>
  </si>
  <si>
    <t>NI-2015-PB921095-42052</t>
  </si>
  <si>
    <t>TU-2013-RH9510134-41403</t>
  </si>
  <si>
    <t>TU-2014-RD9660134-41868</t>
  </si>
  <si>
    <t>ES-2012-SM2090545-41206</t>
  </si>
  <si>
    <t>GH-2013-TS1116049-41502</t>
  </si>
  <si>
    <t>ES-2012-TB21190139-40992</t>
  </si>
  <si>
    <t>ES-2015-TM21490139-42223</t>
  </si>
  <si>
    <t>IN-2012-TS2150559-40990</t>
  </si>
  <si>
    <t>US-2013-TB21520140-41534</t>
  </si>
  <si>
    <t>CA-2012-TB21520140-41202</t>
  </si>
  <si>
    <t>MX-2013-MS178305-41487</t>
  </si>
  <si>
    <t>MX-2014-CP1234018-41804</t>
  </si>
  <si>
    <t>US-2015-JF1549082-42304</t>
  </si>
  <si>
    <t>US-2013-LH1690018-41520</t>
  </si>
  <si>
    <t>US-2015-TT2146036-42276</t>
  </si>
  <si>
    <t>US-2013-TH2155054-41578</t>
  </si>
  <si>
    <t>MX-2014-CJ118755-41783</t>
  </si>
  <si>
    <t>MX-2014-JB1600028-41681</t>
  </si>
  <si>
    <t>US-2015-TT2126518-42163</t>
  </si>
  <si>
    <t>MX-2012-MC1813082-41227</t>
  </si>
  <si>
    <t>MX-2013-NS1850536-41419</t>
  </si>
  <si>
    <t>MX-2015-NF1859536-42358</t>
  </si>
  <si>
    <t>US-2014-TB2135555-41860</t>
  </si>
  <si>
    <t>MX-2013-AG1039018-41636</t>
  </si>
  <si>
    <t>MX-2012-EB1397551-41112</t>
  </si>
  <si>
    <t>MX-2014-DV1304582-41866</t>
  </si>
  <si>
    <t>US-2014-MO1750018-41720</t>
  </si>
  <si>
    <t>MX-2013-TS2161031-41431</t>
  </si>
  <si>
    <t>TU-2013-AR510134-41457</t>
  </si>
  <si>
    <t>NI-2013-AJ78095-41413</t>
  </si>
  <si>
    <t>TZ-2015-AF870129-42259</t>
  </si>
  <si>
    <t>MO-2012-BF108068-41207</t>
  </si>
  <si>
    <t>IT-2015-BD1163591-42349</t>
  </si>
  <si>
    <t>NI-2014-BD163595-41695</t>
  </si>
  <si>
    <t>IR-2014-BS166560-41793</t>
  </si>
  <si>
    <t>CA-2012-TB21520140-41268</t>
  </si>
  <si>
    <t>TZ-2015-CM2115129-42349</t>
  </si>
  <si>
    <t>NI-2015-CM223595-42318</t>
  </si>
  <si>
    <t>ES-2015-CA1226545-42318</t>
  </si>
  <si>
    <t>CA-2013-TB21520140-41543</t>
  </si>
  <si>
    <t>ES-2015-CB1253545-42229</t>
  </si>
  <si>
    <t xml:space="preserve"> 2015-08-13 </t>
  </si>
  <si>
    <t>TU-2015-CL2565134-42327</t>
  </si>
  <si>
    <t>CA-2012-TB21520140-41198</t>
  </si>
  <si>
    <t>NI-2014-DL292595-41653</t>
  </si>
  <si>
    <t>IR-2013-DW319560-41306</t>
  </si>
  <si>
    <t>IN-2015-DB1327059-42336</t>
  </si>
  <si>
    <t>CG-2012-DA345033-41002</t>
  </si>
  <si>
    <t>CA-2015-TB21520140-42209</t>
  </si>
  <si>
    <t>NI-2015-DW354095-42315</t>
  </si>
  <si>
    <t>SU-2015-DB3555122-42364</t>
  </si>
  <si>
    <t>ES-2014-EM13810139-41725</t>
  </si>
  <si>
    <t>NI-2014-EB411095-41950</t>
  </si>
  <si>
    <t>SO-2013-EH4125116-41534</t>
  </si>
  <si>
    <t>TU-2015-EM4140134-42276</t>
  </si>
  <si>
    <t>MX-2014-FP1432082-41996</t>
  </si>
  <si>
    <t>CA-2013-TB21520140-41566</t>
  </si>
  <si>
    <t>ES-2015-GT1471048-42300</t>
  </si>
  <si>
    <t>2015-10-32</t>
  </si>
  <si>
    <t>TU-2013-HR4830134-41482</t>
  </si>
  <si>
    <t>IN-2015-JH1543078-42363</t>
  </si>
  <si>
    <t>CA-2015-TB21520140-42262</t>
  </si>
  <si>
    <t>IS-2014-JF556563-41917#</t>
  </si>
  <si>
    <t>TZ-2014-JJ5760129-41878</t>
  </si>
  <si>
    <t>MX-2013-KB1640518-41530</t>
  </si>
  <si>
    <t>NI-2012-KT648095-41026</t>
  </si>
  <si>
    <t>IN-2013-KH166907-41437</t>
  </si>
  <si>
    <t>ID-2014-LB1673559-41797</t>
  </si>
  <si>
    <t xml:space="preserve"> 2014-02-04 </t>
  </si>
  <si>
    <t>CA-2014-TC21535140-41840</t>
  </si>
  <si>
    <t>CA-2014-TC21535140-41962</t>
  </si>
  <si>
    <t>ID-2015-LS1694559-42149</t>
  </si>
  <si>
    <t>TU-2015-LO7170134-42271</t>
  </si>
  <si>
    <t>NI-2015-MC757595-42354</t>
  </si>
  <si>
    <t>IN-2013-MG1768011-41502</t>
  </si>
  <si>
    <t xml:space="preserve"> 2013-08-16 </t>
  </si>
  <si>
    <t>CA-2013-TC21535140-41536</t>
  </si>
  <si>
    <t>CA-2015-TC21535140-42346</t>
  </si>
  <si>
    <t>NI-2014-MM805595-41730</t>
  </si>
  <si>
    <t>US-2013-TC21535140-41429</t>
  </si>
  <si>
    <t>CA-2012-TC21535140-41215</t>
  </si>
  <si>
    <t>ES-2014-NC1862545-41839</t>
  </si>
  <si>
    <t>GG-2014-NP867047-41649</t>
  </si>
  <si>
    <t>IR-2015-PN877560-42316</t>
  </si>
  <si>
    <t>TU-2012-PM8940134-41130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</si>
  <si>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</si>
  <si>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</si>
  <si>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</si>
  <si>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</si>
  <si>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</si>
  <si>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EG-2014-RD990038-41868</t>
  </si>
  <si>
    <t>NI-2015-SH997595-42305</t>
  </si>
  <si>
    <t>RS-2014-SM10005108-41651</t>
  </si>
  <si>
    <t>TU-2014-SC10020134-41901</t>
  </si>
  <si>
    <t>IT-2012-SF2006548-41201</t>
  </si>
  <si>
    <t>ES-2014-SC20095139-41879</t>
  </si>
  <si>
    <t>CA-2013-TH21550140-41410</t>
  </si>
  <si>
    <t>UP-2013-SJ10125137-41504</t>
  </si>
  <si>
    <t>TU-2015-SB10170134-42256</t>
  </si>
  <si>
    <t>NI-2014-SW1045595-41691</t>
  </si>
  <si>
    <t>NI-2012-SN1056095-41065</t>
  </si>
  <si>
    <t>IN-2014-SP2062058-41782</t>
  </si>
  <si>
    <t>MO-2014-TC1114586-41790</t>
  </si>
  <si>
    <t>NI-2012-TS1137095-41187</t>
  </si>
  <si>
    <t>SA-2015-TM11490110-42314</t>
  </si>
  <si>
    <t>ES-2014-VP21730139-41892</t>
  </si>
  <si>
    <t>ID-2015-VG217907-42219</t>
  </si>
  <si>
    <t>MX-2015-BE1133531-42179</t>
  </si>
  <si>
    <t>US-2015-MN1793518-42250</t>
  </si>
  <si>
    <t>US-2015-RR1952598-42069</t>
  </si>
  <si>
    <t>US-2015-SS208755-42204</t>
  </si>
  <si>
    <t xml:space="preserve"> 2014-05-27 </t>
  </si>
  <si>
    <t>MX-2014-JD1601551-41842</t>
  </si>
  <si>
    <t>MX-2012-ME1732018-41164</t>
  </si>
  <si>
    <t>US-2013-MH1811598-41535</t>
  </si>
  <si>
    <t>MX-2015-GM1450018-42136</t>
  </si>
  <si>
    <t>MX-2014-DC1328518-41751</t>
  </si>
  <si>
    <t>MX-2014-ML1804093-41935</t>
  </si>
  <si>
    <t>MX-2014-GT1471031-41787</t>
  </si>
  <si>
    <t>MX-2015-KH1636018-42322</t>
  </si>
  <si>
    <t>MX-2014-TB2117531-41814</t>
  </si>
  <si>
    <t>US-2013-DR1288018-41578</t>
  </si>
  <si>
    <t>ZA-2013-AB10060147-41509</t>
  </si>
  <si>
    <t>CA-2015-TH21550140-42238</t>
  </si>
  <si>
    <t>ES-2015-AS1024064-42297</t>
  </si>
  <si>
    <t>NG-2014-AY55594-41978</t>
  </si>
  <si>
    <t>IN-2012-AC1066027-41187</t>
  </si>
  <si>
    <t>CA-2012-TH21550140-41003</t>
  </si>
  <si>
    <t>CA-2013-TH21550140-41478</t>
  </si>
  <si>
    <t>TU-2014-BP1050134-41823</t>
  </si>
  <si>
    <t>TU-2015-BT1440134-42276</t>
  </si>
  <si>
    <t>IN-2015-BD1156058-42325</t>
  </si>
  <si>
    <t>ES-2012-BS1159045-41020</t>
  </si>
  <si>
    <t>CA-2014-TH1155023-41907</t>
  </si>
  <si>
    <t>ES-2013-BD116208-41521</t>
  </si>
  <si>
    <t>IT-2014-BS1166562-41864</t>
  </si>
  <si>
    <t>CA-2015-TH21550140-42182</t>
  </si>
  <si>
    <t>ES-2015-CH1207045-42173</t>
  </si>
  <si>
    <t>ES-2014-CS1246048-41867</t>
  </si>
  <si>
    <t>CA-2014-TP21565140-41948</t>
  </si>
  <si>
    <t>TU-2012-DS3030134-41219</t>
  </si>
  <si>
    <t>TU-2013-DF3135134-41444</t>
  </si>
  <si>
    <t>TU-2015-DK3150134-42024</t>
  </si>
  <si>
    <t>CA-2014-TP21565140-41948#</t>
  </si>
  <si>
    <t>ES-2015-FM14215120-42220</t>
  </si>
  <si>
    <t>KZ-2015-FM438068-42178</t>
  </si>
  <si>
    <t>CG-2015-GZ447033-42220</t>
  </si>
  <si>
    <t>TU-2015-GA4725134-42299</t>
  </si>
  <si>
    <t>RS-2014-HE4800108-41863</t>
  </si>
  <si>
    <t>AU-2012-JL51308-41118</t>
  </si>
  <si>
    <t>US-2015-TP21565140-42019</t>
  </si>
  <si>
    <t>KZ-2012-JM553568-41023</t>
  </si>
  <si>
    <t>CA-2013-TP21565140-41334</t>
  </si>
  <si>
    <t>IZ-2013-JE571561-41572</t>
  </si>
  <si>
    <t>ES-2015-JD1589545-42287</t>
  </si>
  <si>
    <t>CA-2014-TP21565140-41916</t>
  </si>
  <si>
    <t>ID-2014-JH1618059-41969</t>
  </si>
  <si>
    <t>KZ-2015-KC625568-42217</t>
  </si>
  <si>
    <t>ES-2013-KL165558-41285</t>
  </si>
  <si>
    <t>EG-2012-KW657038-40947</t>
  </si>
  <si>
    <t>ES-2015-LW16825139-42218</t>
  </si>
  <si>
    <t>ZA-2014-LS6945147-41672</t>
  </si>
  <si>
    <t>CA-2012-TZ21580140-41223</t>
  </si>
  <si>
    <t>US-2014-TZ21580140-41692</t>
  </si>
  <si>
    <t>IZ-2015-MS771061-42088</t>
  </si>
  <si>
    <t>IN-2013-MF1825027-41623</t>
  </si>
  <si>
    <t>ID-2015-NP187007-42167</t>
  </si>
  <si>
    <t>EG-2015-PC874538-42312</t>
  </si>
  <si>
    <t>ID-2013-RM193757-41429</t>
  </si>
  <si>
    <t>CA-2013-TZ21580140-41612</t>
  </si>
  <si>
    <t>IN-2012-RB1964559-41271</t>
  </si>
  <si>
    <t>ES-2015-RF19735139-42188</t>
  </si>
  <si>
    <t>IR-2013-RD993060-41608</t>
  </si>
  <si>
    <t>NI-2014-SC1009595-41732</t>
  </si>
  <si>
    <t>CA-2015-TZ21580140-42334</t>
  </si>
  <si>
    <t>IN-2012-SB20290144-41087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</si>
  <si>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</si>
  <si>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</si>
  <si>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</si>
  <si>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</si>
  <si>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</si>
  <si>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</si>
  <si>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</si>
  <si>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>IT-2014-VD21670139-41999</t>
  </si>
  <si>
    <t xml:space="preserve"> US-2015-TS2137055-42173 </t>
  </si>
  <si>
    <t>MX-2015-JM1558018-42250</t>
  </si>
  <si>
    <t>US-2015-AH1021036-42117</t>
  </si>
  <si>
    <t>US-2015-TG216405-42343</t>
  </si>
  <si>
    <t>MX-2014-JJ1544582-41969</t>
  </si>
  <si>
    <t>US-2012-PO1919518-41185#</t>
  </si>
  <si>
    <t>US-2014-DP13000184-1909</t>
  </si>
  <si>
    <t>MX-2012-LH1675039-41112</t>
  </si>
  <si>
    <t>US-2012-TB21595140-40958#</t>
  </si>
  <si>
    <t>IN-2015-AS1022527-42013</t>
  </si>
  <si>
    <t>JO-2013-AG30067-41629</t>
  </si>
  <si>
    <t>ID-2012-AG10330102-41240</t>
  </si>
  <si>
    <t>TU-2015-AA375134-42116</t>
  </si>
  <si>
    <t>SU-2014-AJ795122-41906</t>
  </si>
  <si>
    <t>CA-2015-TB21595140-42084</t>
  </si>
  <si>
    <t>NI-2013-BF97595-41303</t>
  </si>
  <si>
    <t xml:space="preserve"> CA-2014-TS21610140-41900 </t>
  </si>
  <si>
    <t>SO-2012-CS1860116-41258</t>
  </si>
  <si>
    <t>CA-2012-TS21610140-41136</t>
  </si>
  <si>
    <t>US-2015-TS21610140-42314</t>
  </si>
  <si>
    <t>CA-2015-TS21610140-42291</t>
  </si>
  <si>
    <t>ES-2015-DK1283534-42192</t>
  </si>
  <si>
    <t>IR-2012-DB306060-41270</t>
  </si>
  <si>
    <t>NI-2013-DG330095-41616</t>
  </si>
  <si>
    <t>NI-2015-DW358595-42173</t>
  </si>
  <si>
    <t>NI-2015-EL373595-42279</t>
  </si>
  <si>
    <t>ES-2015-EN1378045-42024</t>
  </si>
  <si>
    <t>ID-2014-EP13915102-41990</t>
  </si>
  <si>
    <t>IN-2012-EC140507-41174</t>
  </si>
  <si>
    <t>ES-2012-FM1421548-40933</t>
  </si>
  <si>
    <t>IN-2014-FW1439559-41836</t>
  </si>
  <si>
    <t>ES-2015-GM14695139-42025</t>
  </si>
  <si>
    <t>SF-2014-HD4785117-41832</t>
  </si>
  <si>
    <t xml:space="preserve"> 2014-07-12 </t>
  </si>
  <si>
    <t>CA-2014-TS21610140-41892</t>
  </si>
  <si>
    <t>IT-2012-HF1499545-40936</t>
  </si>
  <si>
    <t>TU-2013-IM5070134-41440</t>
  </si>
  <si>
    <t>CA-2015-TS21610140-42168</t>
  </si>
  <si>
    <t>IN-2015-JM156557-42154</t>
  </si>
  <si>
    <t>ID-2013-JD1601559-41607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</si>
  <si>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</si>
  <si>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</si>
  <si>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</si>
  <si>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</si>
  <si>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</si>
  <si>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</si>
  <si>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ES-2012-MH1729048-41214</t>
  </si>
  <si>
    <t>IN-2013-MZ173357-41577</t>
  </si>
  <si>
    <t>IT-2014-MA17560124-41675</t>
  </si>
  <si>
    <t>ID-2012-MS1798059-41234</t>
  </si>
  <si>
    <t>CA-2013-TB21625140-41572</t>
  </si>
  <si>
    <t>CA-2012-TB21625140-41126</t>
  </si>
  <si>
    <t>CA-2013-TB21625140-41422</t>
  </si>
  <si>
    <t>NI-2015-MG814595-42088</t>
  </si>
  <si>
    <t>MK-2013-NF847576-41510</t>
  </si>
  <si>
    <t>IN-2015-NH1861059-42349</t>
  </si>
  <si>
    <t>ES-2013-PJ19015139-41536</t>
  </si>
  <si>
    <t>CA-2014-TB21625140-41768</t>
  </si>
  <si>
    <t>SF-2015-RS9420117-42118</t>
  </si>
  <si>
    <t>CA-2013-TB21265140-41639</t>
  </si>
  <si>
    <t>NI-2014-SC1030595-41866</t>
  </si>
  <si>
    <t>ES-2015-SA208308-42201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</si>
  <si>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</si>
  <si>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</si>
  <si>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</si>
  <si>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</si>
  <si>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</si>
  <si>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</si>
  <si>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</si>
  <si>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</si>
  <si>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MX-2014-SW2075528-41901</t>
  </si>
  <si>
    <t>US-2012-BB1099055-41079</t>
  </si>
  <si>
    <t>MX-2015-SE2011031-42132</t>
  </si>
  <si>
    <t>MX-2012-MS1753051-41208</t>
  </si>
  <si>
    <t xml:space="preserve"> 2012-10-26 </t>
  </si>
  <si>
    <t>US-2013-FM1421518-41321</t>
  </si>
  <si>
    <t>MX-2015-AG1030098-42120</t>
  </si>
  <si>
    <t>MX-2014-EM1406593-41702</t>
  </si>
  <si>
    <t>CA-2015-TG1164023-42339#</t>
  </si>
  <si>
    <t>ES-2014-AR1040534-41906</t>
  </si>
  <si>
    <t>NI-2012-AA64595-41247</t>
  </si>
  <si>
    <t>CA-2015-TG21640140-42255</t>
  </si>
  <si>
    <t>TU-2012-AJ960134-41194</t>
  </si>
  <si>
    <t>IZ-2014-BD132061-41852</t>
  </si>
  <si>
    <t>CA-2013-TG21640140-41535</t>
  </si>
  <si>
    <t>SA-2012-CM2385110-41250</t>
  </si>
  <si>
    <t>MX-2012-CM1244582-41077</t>
  </si>
  <si>
    <t>TU-2013-CR2730134-41324</t>
  </si>
  <si>
    <t>BN-2014-CY274515-41877</t>
  </si>
  <si>
    <t>IZ-2014-DM301561-42004</t>
  </si>
  <si>
    <t>TU-2014-EM4065134-41891</t>
  </si>
  <si>
    <t>TU-2014-HM4980134-41854</t>
  </si>
  <si>
    <t>TU-2015-JE5745134-42175</t>
  </si>
  <si>
    <t>LY-2015-MS736574-42145</t>
  </si>
  <si>
    <t>CA-2015-TS21655140-42007</t>
  </si>
  <si>
    <t>CA-2013-TS21655140-41310</t>
  </si>
  <si>
    <t>IN-2015-MM1792058-42299</t>
  </si>
  <si>
    <t>CA-2014-TS21655140-41999</t>
  </si>
  <si>
    <t>CA-2015-TS21655140-42131</t>
  </si>
  <si>
    <t>CA-2013-TS21655140-41389</t>
  </si>
  <si>
    <t>MX-2013-TW2102582-41587</t>
  </si>
  <si>
    <t>IN-2014-AC1061558-41808</t>
  </si>
  <si>
    <t>IN-2015-BP1123027-42263</t>
  </si>
  <si>
    <t>ES-2015-BT1139545-42341</t>
  </si>
  <si>
    <t>US-2013-CD1198055-41473</t>
  </si>
  <si>
    <t>CA-2013-TS26155140-41389</t>
  </si>
  <si>
    <t>IN-2012-CC1214592-41142</t>
  </si>
  <si>
    <t>NI-2015-CV229595-42259</t>
  </si>
  <si>
    <t>IN-2015-DR129407-42207</t>
  </si>
  <si>
    <t>NI-2012-DV304595-41121</t>
  </si>
  <si>
    <t>KG-2015-DB327070-42321</t>
  </si>
  <si>
    <t>IN-2012-Dl13600130-41159</t>
  </si>
  <si>
    <t>ES-2015-ER1385545-42062</t>
  </si>
  <si>
    <t>NI-2015-EB411095-42312</t>
  </si>
  <si>
    <t>ES-2015-GD1459048-42026</t>
  </si>
  <si>
    <t xml:space="preserve"> 2015-01-22 </t>
  </si>
  <si>
    <t>EG-2014-JF556538-41949</t>
  </si>
  <si>
    <t>IZ-2014-JH618061-41741</t>
  </si>
  <si>
    <t>ID-2014-KH1633059-41730</t>
  </si>
  <si>
    <t>IN-2015-LW1682527-42261</t>
  </si>
  <si>
    <t>IT-2015-MH1744048-42325</t>
  </si>
  <si>
    <t>CA-2012-VD21670140-41124</t>
  </si>
  <si>
    <t>CA-2013-VD21670140-41579</t>
  </si>
  <si>
    <t>ID-2012-NB1858092-41241</t>
  </si>
  <si>
    <t>IN-2013-PB19150130-41599</t>
  </si>
  <si>
    <t xml:space="preserve"> 2013-11-21 </t>
  </si>
  <si>
    <t>CA-2013-VD21670140-41583</t>
  </si>
  <si>
    <t>NI-2015-RL961595-42104</t>
  </si>
  <si>
    <t>TU-2013-RO9780134-41364</t>
  </si>
  <si>
    <t>UP-2012-RD9900137-40968</t>
  </si>
  <si>
    <t>IN-2014-SF2006558-41773</t>
  </si>
  <si>
    <t>ES-2013-SC20770139-41391</t>
  </si>
  <si>
    <t>AU-2013-SV108158-41629</t>
  </si>
  <si>
    <t>ES-2013-TS210858-41392</t>
  </si>
  <si>
    <t>IN-2012-TH211151-41003</t>
  </si>
  <si>
    <t>TU-2015-TP11130134-42077</t>
  </si>
  <si>
    <t>ES-2014-TS2137045-41866</t>
  </si>
  <si>
    <t>TU-2015-TB11520134-42263</t>
  </si>
  <si>
    <t>US-2013-VD21670140-41332</t>
  </si>
  <si>
    <t>CA-2014-VD21670140-41788</t>
  </si>
  <si>
    <t>MX-2015-AM1036018-42273</t>
  </si>
  <si>
    <t>MX-2015-JG1531082-42109</t>
  </si>
  <si>
    <t>MX-2014-TN2104028-41672</t>
  </si>
  <si>
    <t>US-2013-DJ134205-41285</t>
  </si>
  <si>
    <t>MX-2014-RH1949582-41976</t>
  </si>
  <si>
    <t>US-2014-SC2005018-41783</t>
  </si>
  <si>
    <t>MX-2012-CA1196582-41010</t>
  </si>
  <si>
    <t>MX-2012-SH2039582-41124</t>
  </si>
  <si>
    <t>MX-2014-DP1300018-41909</t>
  </si>
  <si>
    <t>MX-2012-LP1709551-41116</t>
  </si>
  <si>
    <t>MX-2014-MS1771039-41746</t>
  </si>
  <si>
    <t>MX-2014-JG1531031-41780</t>
  </si>
  <si>
    <t>MX-2013-DM1295531-41386</t>
  </si>
  <si>
    <t>US-2014-MA1756055-41949</t>
  </si>
  <si>
    <t>MX-2012-PM1894031-41208</t>
  </si>
  <si>
    <t>US-2014-CM1216055-41935</t>
  </si>
  <si>
    <t>US-2014-GK14620101-41744</t>
  </si>
  <si>
    <t>MX-2014-SS2041082-41912</t>
  </si>
  <si>
    <t xml:space="preserve"> TU-2015-AB10060134-42236 </t>
  </si>
  <si>
    <t>TU-2015-AD180134-42364</t>
  </si>
  <si>
    <t>EN-2014-AH19542-41663</t>
  </si>
  <si>
    <t>ES-2015-AS1024014-42073</t>
  </si>
  <si>
    <t>ID-2015-AH1058559-42182</t>
  </si>
  <si>
    <t>ID-2013-BF1100592-41471</t>
  </si>
  <si>
    <t>ID-2015-CM1183097-42019</t>
  </si>
  <si>
    <t>SA-2013-CC2220110-41594</t>
  </si>
  <si>
    <t>TU-2015-CR2820134-42129</t>
  </si>
  <si>
    <t>NI-2012-DB312095-41181</t>
  </si>
  <si>
    <t>ID-2013-DF1313592-41513</t>
  </si>
  <si>
    <t>US-2014-VM21685140-41736</t>
  </si>
  <si>
    <t>ES-2014-DB1336045-41989</t>
  </si>
  <si>
    <t>US-2015-VM21685140-42080</t>
  </si>
  <si>
    <t>CA-2014-VM21685140-41891</t>
  </si>
  <si>
    <t>CM-2015-GM444022-42308</t>
  </si>
  <si>
    <t>CA-2013-VM21685140-41579</t>
  </si>
  <si>
    <t>EG-2014-GB457538-41951</t>
  </si>
  <si>
    <t>CA-2012-VM21685140-41005</t>
  </si>
  <si>
    <t>IN-2015-JF1519027-42129</t>
  </si>
  <si>
    <t>ES-2014-JG1580564-41962</t>
  </si>
  <si>
    <t>ID-2013-JP1613559-41412</t>
  </si>
  <si>
    <t>CA-2015-VM21685140-42202</t>
  </si>
  <si>
    <t>CA-2013-VT21700140-41369</t>
  </si>
  <si>
    <t>ID-2015-LC1693097-42264</t>
  </si>
  <si>
    <t>IN-2013-MM172607-41438</t>
  </si>
  <si>
    <t xml:space="preserve"> 2013-06-13 </t>
  </si>
  <si>
    <t>IN-2015-MH1744027-42334</t>
  </si>
  <si>
    <t>CA-2012-VT21700140-41065</t>
  </si>
  <si>
    <t>BO-2015-MS798013-42091</t>
  </si>
  <si>
    <t>ID-2015-MC181007-42252</t>
  </si>
  <si>
    <t>ES-2015-MW18235139-42173</t>
  </si>
  <si>
    <t>PL-2013-MF8250103-41535</t>
  </si>
  <si>
    <t>NI-2014-RE945095-41991</t>
  </si>
  <si>
    <t>SA-2015-RE9450110-42168</t>
  </si>
  <si>
    <t>SA-2014-SJ10125110-41944#</t>
  </si>
  <si>
    <t>NI-2013-SP1065095-41430</t>
  </si>
  <si>
    <t>CA-2012-VF21715140-40968</t>
  </si>
  <si>
    <t>ID-2015-TP21130130-42221</t>
  </si>
  <si>
    <t>TZ-2015-TB11175129-42153</t>
  </si>
  <si>
    <t>CA-2015-VF21715140-42194</t>
  </si>
  <si>
    <t>NI-2015-TB1135595-42256</t>
  </si>
  <si>
    <t>ID-2013-TC21535130-41552</t>
  </si>
  <si>
    <t>CG-2012-TH1155033-40964</t>
  </si>
  <si>
    <t>US-2014-GK1462055-41898</t>
  </si>
  <si>
    <t>MX-2015-CK1232531-42145</t>
  </si>
  <si>
    <t>MX-2015-RD1909036-42337</t>
  </si>
  <si>
    <t>MX-2014-DD1357082-41803</t>
  </si>
  <si>
    <t>MX-2013-MO1750018-41442</t>
  </si>
  <si>
    <t>MX-2015-PB1910528-42231</t>
  </si>
  <si>
    <t>MX-2013-AA1037582-41367</t>
  </si>
  <si>
    <t>MX-2015-CC1210082-42318</t>
  </si>
  <si>
    <t>03/22/2014</t>
  </si>
  <si>
    <t>US-2013-EM1381036-41459</t>
  </si>
  <si>
    <t>MX-2013-YC2189518-41368</t>
  </si>
  <si>
    <t>MX-2014-AW1084082-41942</t>
  </si>
  <si>
    <t>CA-2015-VF21715140-42356</t>
  </si>
  <si>
    <t>ZA-2015-AP720147-42264</t>
  </si>
  <si>
    <t>MZ-2015-AZ75087-42179</t>
  </si>
  <si>
    <t>ES-2014-BP1105048-41774</t>
  </si>
  <si>
    <t>UG-2014-BP1185136-41870</t>
  </si>
  <si>
    <t>CA-2012-VF21715140-41114</t>
  </si>
  <si>
    <t>TU-2015-BB1545134-42216</t>
  </si>
  <si>
    <t>CA-2015-VF21715140-42147</t>
  </si>
  <si>
    <t>IN-2014-Co1264066-41833</t>
  </si>
  <si>
    <t>NI-2014-DV304595-41739</t>
  </si>
  <si>
    <t>IZ-2015-DB306061-42089</t>
  </si>
  <si>
    <t>NI-2012-DP316595-40938</t>
  </si>
  <si>
    <t>NI-2015-DO343595-42333</t>
  </si>
  <si>
    <t>IT-2015-DO13645139-42026</t>
  </si>
  <si>
    <t>KZ-2013-FG426068-41426</t>
  </si>
  <si>
    <t>CA-2015-VP21730140-42339</t>
  </si>
  <si>
    <t>CA-2015-VP21730140-42186</t>
  </si>
  <si>
    <t>NI-2015-JF529595-42306</t>
  </si>
  <si>
    <t>SF-2015-JH5430117-42293</t>
  </si>
  <si>
    <t>NI-2012-JM558095-41270</t>
  </si>
  <si>
    <t>CA-2013-VP21730140-41460</t>
  </si>
  <si>
    <t>CA-2014-VB21745140-41941</t>
  </si>
  <si>
    <t>IN-2013-MH1729058-41576</t>
  </si>
  <si>
    <t>CA-2015-VB21745140-42072</t>
  </si>
  <si>
    <t>CA-2013-VB21745140-41601</t>
  </si>
  <si>
    <t>ID-2015-MS17770118-42171</t>
  </si>
  <si>
    <t>KZ-2012-MM805568-41109</t>
  </si>
  <si>
    <t>TX-2013-MK8160135-41276</t>
  </si>
  <si>
    <t>IN-2014-NW1840027-41872</t>
  </si>
  <si>
    <t>UZ-2015-NM8520142-42211</t>
  </si>
  <si>
    <t>ES-2015-ON1871548-42318</t>
  </si>
  <si>
    <t>CA-2014-VB21745140-41971</t>
  </si>
  <si>
    <t>IT-2012-RB1957091-41240</t>
  </si>
  <si>
    <t>CA-2013-VB21745140-41472</t>
  </si>
  <si>
    <t>IN-2015-SC2030558-42283#</t>
  </si>
  <si>
    <t>NI-2012-SH1039595-41129</t>
  </si>
  <si>
    <t>NI-2015-SP1062095-42230</t>
  </si>
  <si>
    <t>ES-2013-SC2072548-41454</t>
  </si>
  <si>
    <t>CA-2015-VB21745140-42315</t>
  </si>
  <si>
    <t>CA-2013-VB217451404-1601</t>
  </si>
  <si>
    <t>NI-2015-TC1098095-42033</t>
  </si>
  <si>
    <t>CA-2013-VP21760140-41423</t>
  </si>
  <si>
    <t>NI-2013-VD1167095-41331</t>
  </si>
  <si>
    <t>KG-2013-VM1168570-41383</t>
  </si>
  <si>
    <t>US-2012-CC1222018-41202</t>
  </si>
  <si>
    <t>MX-2015-TC2129539-42228</t>
  </si>
  <si>
    <t>MX-2013-SC2030593-41571</t>
  </si>
  <si>
    <t>US-2015-SS20410143-42248</t>
  </si>
  <si>
    <t>MX-2015-BT1148551-42272</t>
  </si>
  <si>
    <t>US-2013-HD1478555-41565</t>
  </si>
  <si>
    <t>MX-2014-MC1742582-41902</t>
  </si>
  <si>
    <t>MX-2012-TB2128028-41062</t>
  </si>
  <si>
    <t>US-2013-AG1033054-41559</t>
  </si>
  <si>
    <t>MX-2012-HK1489039-41089</t>
  </si>
  <si>
    <t>US-2015-LR16915101-42180</t>
  </si>
  <si>
    <t>MX-2015-SC2057582-42117</t>
  </si>
  <si>
    <t>MX-2013-KM1637593-41636</t>
  </si>
  <si>
    <t>US-2012-PO1919518-41185</t>
  </si>
  <si>
    <t>MX-2013-RD1993031-41426</t>
  </si>
  <si>
    <t>CA-2015-VP21760140-42294</t>
  </si>
  <si>
    <t>CA-2013-VP21760140-41593</t>
  </si>
  <si>
    <t>TU-2015-AR345134-42228</t>
  </si>
  <si>
    <t>TU-2015-AZ750134-42132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</si>
  <si>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</si>
  <si>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</si>
  <si>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</si>
  <si>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</si>
  <si>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</si>
  <si>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UG-2015-CM2655136-42319</t>
  </si>
  <si>
    <t>IN-2015-DK12985144-42112</t>
  </si>
  <si>
    <t>ID-2012-DJ1363059-41228</t>
  </si>
  <si>
    <t>ZA-2013-DN3690147-41429</t>
  </si>
  <si>
    <t>CA-2012-VP21760140-41251</t>
  </si>
  <si>
    <t>BO-2012-ES402013-41147</t>
  </si>
  <si>
    <t>TU-2015-FM4215134-42273</t>
  </si>
  <si>
    <t>TU-2015-JO5145134-42364</t>
  </si>
  <si>
    <t>TU-2015-JE5475134-42284</t>
  </si>
  <si>
    <t>CA-2015-VW21775140-42341</t>
  </si>
  <si>
    <t>IN-2014-JH1582027-41986</t>
  </si>
  <si>
    <t>EG-2015-JH582038-42252</t>
  </si>
  <si>
    <t>TU-2014-JA5970134-41856</t>
  </si>
  <si>
    <t>CA-2014-VW21775140-41934</t>
  </si>
  <si>
    <t>CA-2013-VW21775140-41275</t>
  </si>
  <si>
    <t>SF-2014-KE6420117-41801</t>
  </si>
  <si>
    <t>SA-2012-LC6870110-41121</t>
  </si>
  <si>
    <t>CA-2015-VW21775140-42326</t>
  </si>
  <si>
    <t>IT-2014-LT1711091-41803</t>
  </si>
  <si>
    <t>ID-2015-LS1720059-42308</t>
  </si>
  <si>
    <t>IT-2014-MZ1751545-41781</t>
  </si>
  <si>
    <t>CA-2014-VW21775140-41937</t>
  </si>
  <si>
    <t>2012-12-61</t>
  </si>
  <si>
    <t>ID-2013-PC1874597-41559</t>
  </si>
  <si>
    <t>IN-2012-PN1877527-41129</t>
  </si>
  <si>
    <t>NI-2015-PB915095-42007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</si>
  <si>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</si>
  <si>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</si>
  <si>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</si>
  <si>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</si>
  <si>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</si>
  <si>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UZ-2012-RS9420142-41193</t>
  </si>
  <si>
    <t>NI-2015-RE945095-42274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</si>
  <si>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</si>
  <si>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</si>
  <si>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</si>
  <si>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</si>
  <si>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</si>
  <si>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</si>
  <si>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IN-2012-TB213557-41066</t>
  </si>
  <si>
    <t>CA-2014-VG21790140-41858</t>
  </si>
  <si>
    <t>IN-2013-TH2155027-41409</t>
  </si>
  <si>
    <t>NI-2014-VT1170095-41908</t>
  </si>
  <si>
    <t>MX-2013-AF1087051-41489</t>
  </si>
  <si>
    <t>US-2015-SG2008054-42366</t>
  </si>
  <si>
    <t>US-2015-DC12850101-42159</t>
  </si>
  <si>
    <t>US-2015-TT2146018-42276</t>
  </si>
  <si>
    <t>US-2014-BP1129098-41919</t>
  </si>
  <si>
    <t>MX-2015-BT1153098-42215</t>
  </si>
  <si>
    <t>MX-2015-AH1021036-42301</t>
  </si>
  <si>
    <t>MX-2015-FW143955-42306</t>
  </si>
  <si>
    <t>US-2014-GA1451555-41935</t>
  </si>
  <si>
    <t>US-2013-BE1145536-41544</t>
  </si>
  <si>
    <t>US-2015-PL18925101-42311</t>
  </si>
  <si>
    <t>MX-2014-KH1669031-41929</t>
  </si>
  <si>
    <t>US-2015-PS1904598-42349</t>
  </si>
  <si>
    <t>MX-2013-AT1073518-41632</t>
  </si>
  <si>
    <t>US-2015-MM1828098-42357</t>
  </si>
  <si>
    <t>MX-2015-RM1975082-42351</t>
  </si>
  <si>
    <t>CA-2015-VG21790140-42194</t>
  </si>
  <si>
    <t>CA-2012-VG21790140-41128</t>
  </si>
  <si>
    <t>TU-2014-AR825134-41807</t>
  </si>
  <si>
    <t>EG-2013-AJ96038-41616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</si>
  <si>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</si>
  <si>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</si>
  <si>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</si>
  <si>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</si>
  <si>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</si>
  <si>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</si>
  <si>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</si>
  <si>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</si>
  <si>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ES-2015-DC1285045-42111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</si>
  <si>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</si>
  <si>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</si>
  <si>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</si>
  <si>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</si>
  <si>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</si>
  <si>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NI-2013-EB387095-41352</t>
  </si>
  <si>
    <t>AE-2014-EB4110138-41926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</si>
  <si>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</si>
  <si>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</si>
  <si>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</si>
  <si>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</si>
  <si>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</si>
  <si>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</si>
  <si>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</si>
  <si>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TZ-2015-KH6690129-42131</t>
  </si>
  <si>
    <t>CA-2014-VM21835140-41805</t>
  </si>
  <si>
    <t>IR-2013-LC687060-41585</t>
  </si>
  <si>
    <t>ID-2015-MG1789099-42151</t>
  </si>
  <si>
    <t>CA-2015-VM1183523-42361</t>
  </si>
  <si>
    <t xml:space="preserve"> US-2013-ML1804018-41479 </t>
  </si>
  <si>
    <t>GB-2015-ML804046-42325</t>
  </si>
  <si>
    <t>SA-2012-MH8115110-41178</t>
  </si>
  <si>
    <t>NI-2013-MW822095-41431</t>
  </si>
  <si>
    <t>US-2015-VM21835140-42252</t>
  </si>
  <si>
    <t>US-2012-VM21835140-40989</t>
  </si>
  <si>
    <t>03/21/2012</t>
  </si>
  <si>
    <t>IR-2012-NB865560-41128</t>
  </si>
  <si>
    <t>ES-2015-NP1867048-42178</t>
  </si>
  <si>
    <t>UP-2013-ON8715137-41287</t>
  </si>
  <si>
    <t>CA-2015-WB21850140-42185</t>
  </si>
  <si>
    <t>ML-2014-RK930079-42003</t>
  </si>
  <si>
    <t>IT-2015-RS19420139-42087</t>
  </si>
  <si>
    <t>TU-2014-RR9525134-41878</t>
  </si>
  <si>
    <t>CA-2014-WB21850140-41985</t>
  </si>
  <si>
    <t>IN-2014-RA1991527-41782</t>
  </si>
  <si>
    <t>IR-2014-RA991560-41782</t>
  </si>
  <si>
    <t>NI-2015-SF1006595-42035</t>
  </si>
  <si>
    <t>IV-2012-SL1015529-41212</t>
  </si>
  <si>
    <t>PL-2014-SC10680103-41659</t>
  </si>
  <si>
    <t>US-2013-WB21850140-41496</t>
  </si>
  <si>
    <t>TU-2015-SC10770134-42185</t>
  </si>
  <si>
    <t>ES-2014-SC2084548-41771</t>
  </si>
  <si>
    <t>CA-2012-WB21850140-41216</t>
  </si>
  <si>
    <t>NI-2013-SV1093595-41542</t>
  </si>
  <si>
    <t>RS-2015-TB11250108-42040</t>
  </si>
  <si>
    <t>IN-2015-VT2170059-42281</t>
  </si>
  <si>
    <t>MX-2015-DB1355518-42171</t>
  </si>
  <si>
    <t>US-2013-KT1646555-41538</t>
  </si>
  <si>
    <t>MX-2014-TB2125018-41812</t>
  </si>
  <si>
    <t>US-2014-SC2005055-41783</t>
  </si>
  <si>
    <t>SF-2013-AS10045117-41593</t>
  </si>
  <si>
    <t>IN-2014-AC10420130-41874</t>
  </si>
  <si>
    <t>ZA-2015-BS1380147-42087</t>
  </si>
  <si>
    <t>PL-2012-BD1560103-41254</t>
  </si>
  <si>
    <t>ZA-2014-CK2325147-41830</t>
  </si>
  <si>
    <t>ES-2015-DR12940120-42279</t>
  </si>
  <si>
    <t xml:space="preserve"> 2015-10-02 </t>
  </si>
  <si>
    <t>IR-2013-DB297060-41639</t>
  </si>
  <si>
    <t>IS-2013-DV304563-41427</t>
  </si>
  <si>
    <t>UP-2015-DP3390137-42357</t>
  </si>
  <si>
    <t>IZ-2014-DJ351061-41951</t>
  </si>
  <si>
    <t>IN-2014-EM1381092-41892</t>
  </si>
  <si>
    <t>IN-2014-EB139307-41914</t>
  </si>
  <si>
    <t>ES-2012-EM1396064-40919</t>
  </si>
  <si>
    <t>SA-2012-EH4125110-41153</t>
  </si>
  <si>
    <t>BU-2012-HR477019-41114</t>
  </si>
  <si>
    <t>CA-2013-WB21850140-41608</t>
  </si>
  <si>
    <t>ES-2015-IM1505545-42063</t>
  </si>
  <si>
    <t>02/28/2015</t>
  </si>
  <si>
    <t>ES-2015-IG1508545-42032#</t>
  </si>
  <si>
    <t>IR-2015-JB540060-42287</t>
  </si>
  <si>
    <t>IT-2014-JS1559548-41665</t>
  </si>
  <si>
    <t>MO-2013-JH591086-41620</t>
  </si>
  <si>
    <t>ES-2012-JD1606045-40961</t>
  </si>
  <si>
    <t>US-2015-WB21850140-42349</t>
  </si>
  <si>
    <t>CG-2013-JD606033-41502</t>
  </si>
  <si>
    <t>IN-2013-JW1607558-41444</t>
  </si>
  <si>
    <t>TU-2012-KH6690134-41073</t>
  </si>
  <si>
    <t>TU-2012-LB6795134-41034</t>
  </si>
  <si>
    <t>TU-2015-LC6960134-42178</t>
  </si>
  <si>
    <t>ZA-2015-LR7035146-42228</t>
  </si>
  <si>
    <t>ES-2015-LP17080120-42042</t>
  </si>
  <si>
    <t>ID-2012-LO1717092-41034</t>
  </si>
  <si>
    <t>ZA-2014-ND8460147-41670</t>
  </si>
  <si>
    <t>IN-2013-RE1940527-41488</t>
  </si>
  <si>
    <t>NI-2012-RH951095-41086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</si>
  <si>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</si>
  <si>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</si>
  <si>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</si>
  <si>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</si>
  <si>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</si>
  <si>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IN-2015-SJ202157-42007</t>
  </si>
  <si>
    <t>RS-2015-SB10290108-42082</t>
  </si>
  <si>
    <t>TU-2015-SW10350134-42024</t>
  </si>
  <si>
    <t>IN-2012-SC2077058-41256</t>
  </si>
  <si>
    <t>CA-2014-WB21850140-41923</t>
  </si>
  <si>
    <t>CA-2012-WB21850140-41262</t>
  </si>
  <si>
    <t>NI-2015-TA1138595-42326</t>
  </si>
  <si>
    <t>MX-2012-KM1672018-41242</t>
  </si>
  <si>
    <t>MX-2015-CS1213018-42285</t>
  </si>
  <si>
    <t>MX-2013-DD1357018-41576</t>
  </si>
  <si>
    <t>MX-2013-BF1121531-41537</t>
  </si>
  <si>
    <t>MX-2013-AB1025518-41637</t>
  </si>
  <si>
    <t>US-2013-SJ2021582-41543</t>
  </si>
  <si>
    <t>MX-2012-BS11380143-41206</t>
  </si>
  <si>
    <t>US-2012-CK123255-41081</t>
  </si>
  <si>
    <t>MX-2014-PA1906036-41671</t>
  </si>
  <si>
    <t>US-2012-KT1646518-41017</t>
  </si>
  <si>
    <t>US-2015-SJ202155-42287</t>
  </si>
  <si>
    <t>MX-2015-AA1064593-42306</t>
  </si>
  <si>
    <t>MX-2015-BT1153082-42311</t>
  </si>
  <si>
    <t>IN-2013-AD101807-41552</t>
  </si>
  <si>
    <t>ID-2013-AC10420102-41555</t>
  </si>
  <si>
    <t>ES-2012-AG1049564-41254</t>
  </si>
  <si>
    <t>CA-2015-WB21850140-42320</t>
  </si>
  <si>
    <t>CG-2015-BT144033-42067</t>
  </si>
  <si>
    <t>IN-2014-BT116807-41764</t>
  </si>
  <si>
    <t>NI-2014-CM183095-41796</t>
  </si>
  <si>
    <t>CA-2014-WB21850140-41654#</t>
  </si>
  <si>
    <t>SU-2012-CS2460122-41121</t>
  </si>
  <si>
    <t>SF-2012-CC2685117-41263</t>
  </si>
  <si>
    <t>NI-2015-CR273095-42364</t>
  </si>
  <si>
    <t>IN-2015-DV1304559-42321</t>
  </si>
  <si>
    <t>CA-2012-WB21851040-41262</t>
  </si>
  <si>
    <t>IT-2013-DB1361548-41434</t>
  </si>
  <si>
    <t xml:space="preserve"> 2013-06-09 </t>
  </si>
  <si>
    <t>AG-2014-ES40803-41948#</t>
  </si>
  <si>
    <t>SA-2015-EJ4155110-42139</t>
  </si>
  <si>
    <t>IT-2013-GG1465045-41475</t>
  </si>
  <si>
    <t>IN-2014-HE1480059-41811</t>
  </si>
  <si>
    <t>ID-2014-HE14800130-41955</t>
  </si>
  <si>
    <t>IT-2013-HG1484591-41348</t>
  </si>
  <si>
    <t>RS-2012-HJ4875108-41164</t>
  </si>
  <si>
    <t>IN-2013-JD1579027-41355</t>
  </si>
  <si>
    <t>IT-2013-JK16090124-41434</t>
  </si>
  <si>
    <t>CA-2012-XP21865140-41179</t>
  </si>
  <si>
    <t>CA-2014-XP21865140-41878</t>
  </si>
  <si>
    <t>CA-2014-XP21865140-41947</t>
  </si>
  <si>
    <t>US-2013-KH1663082-41588</t>
  </si>
  <si>
    <t>RO-2012-LC6870107-41132</t>
  </si>
  <si>
    <t>IT-2014-LF1718562-41902</t>
  </si>
  <si>
    <t>KZ-2014-MS735068-41711</t>
  </si>
  <si>
    <t>CA-2015-XP21865140-42326</t>
  </si>
  <si>
    <t>NI-2015-MK790595-42144</t>
  </si>
  <si>
    <t>TU-2014-MN7935134-41682</t>
  </si>
  <si>
    <t>CA-2012-XP21865140-40929</t>
  </si>
  <si>
    <t>ID-2012-NG1843059-41219</t>
  </si>
  <si>
    <t>MO-2014-PG889586-41664</t>
  </si>
  <si>
    <t>CG-2014-PK907533-41875</t>
  </si>
  <si>
    <t>RO-2012-PB9210107-41131</t>
  </si>
  <si>
    <t>NI-2015-RA928595-42115</t>
  </si>
  <si>
    <t>US-2015-XP21865140-42323</t>
  </si>
  <si>
    <t>ID-2012-RS194207-41142</t>
  </si>
  <si>
    <t>ID-2015-RB1943559-42301</t>
  </si>
  <si>
    <t>ID-2012-SG2008059-41172</t>
  </si>
  <si>
    <t>LH-2012-SW1027575-41012</t>
  </si>
  <si>
    <t>US-2015-XP21865140-42287</t>
  </si>
  <si>
    <t>ES-2013-TC2129545-41611</t>
  </si>
  <si>
    <t>CA-2013-XP21865140-41620</t>
  </si>
  <si>
    <t>US-2014-GB1457598-42003</t>
  </si>
  <si>
    <t>MX-2015-HD1478582-42270</t>
  </si>
  <si>
    <t>MX-2012-MG1787582-41237</t>
  </si>
  <si>
    <t>MX-2013-DK1337582-41530</t>
  </si>
  <si>
    <t>MX-2013-HG1502593-41532</t>
  </si>
  <si>
    <t>MX-2013-JK1520582-41520</t>
  </si>
  <si>
    <t>MX-2014-MC1760593-41975</t>
  </si>
  <si>
    <t>US-2012-CC1222055-40970</t>
  </si>
  <si>
    <t>MX-2012-RP1939082-41257</t>
  </si>
  <si>
    <t>CA-2014-XP21865140-41945</t>
  </si>
  <si>
    <t>IR-2012-AR82560-41024</t>
  </si>
  <si>
    <t>ID-2015-BE11455102-42077</t>
  </si>
  <si>
    <t>UP-2014-BM1575137-41905</t>
  </si>
  <si>
    <t>HU-2014-CH207057-41871</t>
  </si>
  <si>
    <t>IN-2015-CM122357-42171</t>
  </si>
  <si>
    <t>ES-2013-CA1231045-41303</t>
  </si>
  <si>
    <t>AG-2013-CC24303-41517</t>
  </si>
  <si>
    <t>IR-2012-CM265560-41126</t>
  </si>
  <si>
    <t>ZA-2012-DC2850146-41136</t>
  </si>
  <si>
    <t xml:space="preserve"> 2012-08-15 </t>
  </si>
  <si>
    <t>CA-2012-XP21865140-41187</t>
  </si>
  <si>
    <t>ID-2013-DV1346559-41361</t>
  </si>
  <si>
    <t>ID-2014-EJ137207-41741</t>
  </si>
  <si>
    <t>ZA-2013-EM3810147-41525</t>
  </si>
  <si>
    <t>CA-2015-XP21865140-42284</t>
  </si>
  <si>
    <t>IN-2013-JW152207-41355</t>
  </si>
  <si>
    <t>NI-2013-JF535595-41509</t>
  </si>
  <si>
    <t>ZA-2015-JC5775147-42356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</si>
  <si>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</si>
  <si>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</si>
  <si>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</si>
  <si>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</si>
  <si>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</si>
  <si>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IN-2014-LM1706566-41893</t>
  </si>
  <si>
    <t>ES-2013-ML1741048-41493</t>
  </si>
  <si>
    <t>NI-2013-MZ751595-41356</t>
  </si>
  <si>
    <t>ES-2012-MF1766545-41257</t>
  </si>
  <si>
    <t>IT-2014-MB1808545-41783</t>
  </si>
  <si>
    <t>CA-2013-YS21880140-41480</t>
  </si>
  <si>
    <t>ES-2013-HR1960045-41446</t>
  </si>
  <si>
    <t>MO-2012-RS987086-41062</t>
  </si>
  <si>
    <t>MG-2013-SS1014084-41503</t>
  </si>
  <si>
    <t>ID-2012-SH2039592-41224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</si>
  <si>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</si>
  <si>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</si>
  <si>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</si>
  <si>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</si>
  <si>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</si>
  <si>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</si>
  <si>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</si>
  <si>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</si>
  <si>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</si>
  <si>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MX-2013-DW1348018-41571</t>
  </si>
  <si>
    <t>US-2014-KM1637555-41952</t>
  </si>
  <si>
    <t>US-2013-KW1657018-41562</t>
  </si>
  <si>
    <t>MX-2014-TD2099582-41914</t>
  </si>
  <si>
    <t>US-2013-PC1874555-41427</t>
  </si>
  <si>
    <t>US-2013-TS2120536-41444</t>
  </si>
  <si>
    <t>MX-2015-JD1601582-42154</t>
  </si>
  <si>
    <t>MX-2015-SA2083082-42190</t>
  </si>
  <si>
    <t>US-2014-AS10225143-41793</t>
  </si>
  <si>
    <t>MX-2013-DS1318082-41431</t>
  </si>
  <si>
    <t>US-2014-RS1987018-41958</t>
  </si>
  <si>
    <t>MX-2013-BN1151531-41552</t>
  </si>
  <si>
    <t>IN-2014-AS1013558-41817</t>
  </si>
  <si>
    <t>NI-2015-AS22595-42350</t>
  </si>
  <si>
    <t>UP-2015-AR510137-42106</t>
  </si>
  <si>
    <t>IN-2013-AR1057058-41441</t>
  </si>
  <si>
    <t>IN-2015-AF1087058-42111</t>
  </si>
  <si>
    <t>ID-2014-BP1115559-41849</t>
  </si>
  <si>
    <t>ID-2041-BD116207-41791</t>
  </si>
  <si>
    <t>IN-2013-CA1196527-41615</t>
  </si>
  <si>
    <t>IN-2013-CC1261027-41286</t>
  </si>
  <si>
    <t>CA-2013-YC21895140-41590</t>
  </si>
  <si>
    <t>KZ-2012-DF313568-41077</t>
  </si>
  <si>
    <t>MO-2015-DL331586-42322</t>
  </si>
  <si>
    <t>CA-2012-ZC21910140-41194</t>
  </si>
  <si>
    <t>CA-2013-ZC21910140-41530</t>
  </si>
  <si>
    <t>ES-2015-GB1457591-42284</t>
  </si>
  <si>
    <t>CA-2013-ZC21910140-41377</t>
  </si>
  <si>
    <t>ES-2014-GM14695139-41835</t>
  </si>
  <si>
    <t>ES-2015-HZ149508-42192</t>
  </si>
  <si>
    <t>GG-2012-JF549047-40975</t>
  </si>
  <si>
    <t>IN-2014-JH1582097-41655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</si>
  <si>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</si>
  <si>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</si>
  <si>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</si>
  <si>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</si>
  <si>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</si>
  <si>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</si>
  <si>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</si>
  <si>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MO-2015-MZ733586-42059</t>
  </si>
  <si>
    <t>US-2015-ZC21910140-42175</t>
  </si>
  <si>
    <t>NI-2014-MP796595-41916</t>
  </si>
  <si>
    <t>US-2014-ZC21910140-41719</t>
  </si>
  <si>
    <t>MX-2013-MG1820518-41447</t>
  </si>
  <si>
    <t>ZA-2015-NG8430147-42332</t>
  </si>
  <si>
    <t>TU-2014-ON8715134-41910</t>
  </si>
  <si>
    <t>ID-2015-PC19000102-42348</t>
  </si>
  <si>
    <t>IR-2014-PF912060-41727</t>
  </si>
  <si>
    <t>GH-2014-PB915049-41807</t>
  </si>
  <si>
    <t>ID-2012-RR1952559-40979</t>
  </si>
  <si>
    <t>CA-2012-ZC21910140-41271</t>
  </si>
  <si>
    <t>CA-2015-ZC21910140-42136</t>
  </si>
  <si>
    <t>TU-2015-TB11520134-42351</t>
  </si>
  <si>
    <t>US-2013-SV209355-41601</t>
  </si>
  <si>
    <t>US-2012-MH1811555-41126</t>
  </si>
  <si>
    <t>NI-2013-AA64595-41434</t>
  </si>
  <si>
    <t>ES-2013-AZ1075045-41287</t>
  </si>
  <si>
    <t>TU-2013-CR2730134-41597</t>
  </si>
  <si>
    <t>CA-2015-ZC21910140-42315</t>
  </si>
  <si>
    <t>IN-2015-EJ13720118-42320</t>
  </si>
  <si>
    <t>US-2014-GK1462036-41989</t>
  </si>
  <si>
    <t>NI-2015-JR570095-42356</t>
  </si>
  <si>
    <t>KZ-2012-LS723068-41261</t>
  </si>
  <si>
    <t>IN-2012-MV1748597-41215</t>
  </si>
  <si>
    <t>EG-2014-PM894038-41846</t>
  </si>
  <si>
    <t xml:space="preserve"> 2014-07-26 </t>
  </si>
  <si>
    <t>IN-2014-RE194507-41846</t>
  </si>
  <si>
    <t>CA-2013-ZC21910140-41545</t>
  </si>
  <si>
    <t>MX-2015-BG1169518-42360</t>
  </si>
  <si>
    <t>CA-2015-ZC21910140-42167</t>
  </si>
  <si>
    <t>RS-2015-DP3000108-42355</t>
  </si>
  <si>
    <t>ID-2014-JF15355118-41870</t>
  </si>
  <si>
    <t>ID-2015-JE1561097-42193</t>
  </si>
  <si>
    <t>ES-2015-MM17920139-42147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</si>
  <si>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</si>
  <si>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</si>
  <si>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</si>
  <si>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</si>
  <si>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</si>
  <si>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</si>
  <si>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</si>
  <si>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ES-2012-MM18055139-41038</t>
  </si>
  <si>
    <t>ES-2015-NM1852045-42221</t>
  </si>
  <si>
    <t xml:space="preserve"> MX-2015-SL2015518-42258 </t>
  </si>
  <si>
    <t>ZA-2012-AS285147-40988</t>
  </si>
  <si>
    <t>NI-2012-PO886595-41159</t>
  </si>
  <si>
    <t>MX-2015-HG1502518-42164</t>
  </si>
  <si>
    <t>IN-2015-DB132707-42221</t>
  </si>
  <si>
    <t>IN-2015-KH1633058-42154</t>
  </si>
  <si>
    <t>IN-2015-KE1642066-42174</t>
  </si>
  <si>
    <t>US-2014-ZD21925140-41765</t>
  </si>
  <si>
    <t>MX-2013-RB1979518-41322</t>
  </si>
  <si>
    <t>MX-2013-MC1810093-41416</t>
  </si>
  <si>
    <t>Order Type</t>
  </si>
  <si>
    <t>Cleaned Names</t>
  </si>
  <si>
    <t>Short Country Code</t>
  </si>
  <si>
    <t>Extract Middle Code</t>
  </si>
  <si>
    <t>Priority Caps</t>
  </si>
  <si>
    <t>Small Case Categories</t>
  </si>
  <si>
    <t xml:space="preserve"> Numeric Order Code</t>
  </si>
  <si>
    <t>Order Code</t>
  </si>
  <si>
    <t>Country Code</t>
  </si>
  <si>
    <t>Order ID3</t>
  </si>
  <si>
    <t>Order Code2</t>
  </si>
  <si>
    <t>ID Number</t>
  </si>
  <si>
    <t>Trimmed Order ID</t>
  </si>
  <si>
    <t>Normal Order</t>
  </si>
  <si>
    <t>JM156557</t>
  </si>
  <si>
    <t>IN</t>
  </si>
  <si>
    <t>AB10015140</t>
  </si>
  <si>
    <t>CA</t>
  </si>
  <si>
    <t>NP1832582</t>
  </si>
  <si>
    <t>US</t>
  </si>
  <si>
    <t>DP131057</t>
  </si>
  <si>
    <t>AH10030140</t>
  </si>
  <si>
    <t>DL128657</t>
  </si>
  <si>
    <t>EB1384045</t>
  </si>
  <si>
    <t>IT</t>
  </si>
  <si>
    <t>SG2047058</t>
  </si>
  <si>
    <t>GP1474058</t>
  </si>
  <si>
    <t>DK13090120</t>
  </si>
  <si>
    <t>EM1420082</t>
  </si>
  <si>
    <t>MX</t>
  </si>
  <si>
    <t>JH158207</t>
  </si>
  <si>
    <t>AB25586</t>
  </si>
  <si>
    <t>MO</t>
  </si>
  <si>
    <t>GP1474085</t>
  </si>
  <si>
    <t>AS10045140</t>
  </si>
  <si>
    <t>LC168857</t>
  </si>
  <si>
    <t>VS2182027</t>
  </si>
  <si>
    <t>AB10060140</t>
  </si>
  <si>
    <t>JK153257</t>
  </si>
  <si>
    <t>ID</t>
  </si>
  <si>
    <t>DW1354078</t>
  </si>
  <si>
    <t>LH1702027</t>
  </si>
  <si>
    <t>RF197357</t>
  </si>
  <si>
    <t>JH1582048</t>
  </si>
  <si>
    <t>ES</t>
  </si>
  <si>
    <t>41306#</t>
  </si>
  <si>
    <t xml:space="preserve"> US</t>
  </si>
  <si>
    <t>BE1133582</t>
  </si>
  <si>
    <t>RL196157</t>
  </si>
  <si>
    <t>BW1111027</t>
  </si>
  <si>
    <t>JM1558082</t>
  </si>
  <si>
    <t>AH10075140</t>
  </si>
  <si>
    <t>AG1033059</t>
  </si>
  <si>
    <t>NF1847548</t>
  </si>
  <si>
    <t>NM1844527</t>
  </si>
  <si>
    <t>KB1658527</t>
  </si>
  <si>
    <t>41488#</t>
  </si>
  <si>
    <t>LH1715545</t>
  </si>
  <si>
    <t>AH1007523</t>
  </si>
  <si>
    <t>SC20305120</t>
  </si>
  <si>
    <t>BG1174078</t>
  </si>
  <si>
    <t>AP1072058</t>
  </si>
  <si>
    <t>TW2102545</t>
  </si>
  <si>
    <t>RB1933045</t>
  </si>
  <si>
    <t>AB10060117</t>
  </si>
  <si>
    <t>SF</t>
  </si>
  <si>
    <t>JL58359</t>
  </si>
  <si>
    <t>AJ</t>
  </si>
  <si>
    <t>CM1265545</t>
  </si>
  <si>
    <t>JL1517518</t>
  </si>
  <si>
    <t>CS1246093</t>
  </si>
  <si>
    <t>HA1492027</t>
  </si>
  <si>
    <t>BH1171048</t>
  </si>
  <si>
    <t>SC208458</t>
  </si>
  <si>
    <t>TM2149031</t>
  </si>
  <si>
    <t>BM1178582</t>
  </si>
  <si>
    <t>AS10090140</t>
  </si>
  <si>
    <t>CC1210082</t>
  </si>
  <si>
    <t>MV8190117</t>
  </si>
  <si>
    <t>FM1421551</t>
  </si>
  <si>
    <t>KD1649527</t>
  </si>
  <si>
    <t>EM1382566</t>
  </si>
  <si>
    <t>CA1231045</t>
  </si>
  <si>
    <t>PK190757</t>
  </si>
  <si>
    <t>SJ2050045</t>
  </si>
  <si>
    <t>BG1103544</t>
  </si>
  <si>
    <t>HW1493545</t>
  </si>
  <si>
    <t>VG2180527</t>
  </si>
  <si>
    <t>JD606049</t>
  </si>
  <si>
    <t>GH</t>
  </si>
  <si>
    <t>MG17680144</t>
  </si>
  <si>
    <t>CD1228058</t>
  </si>
  <si>
    <t>BN11470130</t>
  </si>
  <si>
    <t>EM1406548</t>
  </si>
  <si>
    <t>CK1220564</t>
  </si>
  <si>
    <t>CC2550137</t>
  </si>
  <si>
    <t>UP</t>
  </si>
  <si>
    <t>MS17830139</t>
  </si>
  <si>
    <t>GT14710120</t>
  </si>
  <si>
    <t>JC157757</t>
  </si>
  <si>
    <t>MG1820558</t>
  </si>
  <si>
    <t>PB1880593</t>
  </si>
  <si>
    <t>BP123022</t>
  </si>
  <si>
    <t>CM</t>
  </si>
  <si>
    <t>41173#</t>
  </si>
  <si>
    <t>DB3360146</t>
  </si>
  <si>
    <t>ZA</t>
  </si>
  <si>
    <t>NF1847527</t>
  </si>
  <si>
    <t>LC1705092</t>
  </si>
  <si>
    <t>RA1988527</t>
  </si>
  <si>
    <t>AB10105140</t>
  </si>
  <si>
    <t>EM1396058</t>
  </si>
  <si>
    <t>SV2078545</t>
  </si>
  <si>
    <t>CS121307</t>
  </si>
  <si>
    <t>MG768060</t>
  </si>
  <si>
    <t>IR</t>
  </si>
  <si>
    <t>CC1247558</t>
  </si>
  <si>
    <t>SL2015582</t>
  </si>
  <si>
    <t>NC834073</t>
  </si>
  <si>
    <t>LI</t>
  </si>
  <si>
    <t>PS1897028</t>
  </si>
  <si>
    <t>CB2025103</t>
  </si>
  <si>
    <t>PL</t>
  </si>
  <si>
    <t>SC200507</t>
  </si>
  <si>
    <t>AM10705125</t>
  </si>
  <si>
    <t>TC21295130</t>
  </si>
  <si>
    <t>NF1838511</t>
  </si>
  <si>
    <t>AS10090139</t>
  </si>
  <si>
    <t>LT1676558</t>
  </si>
  <si>
    <t>BP11230120</t>
  </si>
  <si>
    <t>DM1352558</t>
  </si>
  <si>
    <t>TS2134018</t>
  </si>
  <si>
    <t>JB1540051</t>
  </si>
  <si>
    <t>SF2020039</t>
  </si>
  <si>
    <t>KH16510102</t>
  </si>
  <si>
    <t>42052#</t>
  </si>
  <si>
    <t>DL1333058</t>
  </si>
  <si>
    <t>SV2093527</t>
  </si>
  <si>
    <t>JE1561058</t>
  </si>
  <si>
    <t>GH1442527</t>
  </si>
  <si>
    <t>SW2027558</t>
  </si>
  <si>
    <t>PM913560</t>
  </si>
  <si>
    <t>SC2084527</t>
  </si>
  <si>
    <t>CR1273028</t>
  </si>
  <si>
    <t>AH100308</t>
  </si>
  <si>
    <t>AG6758</t>
  </si>
  <si>
    <t>AU</t>
  </si>
  <si>
    <t>SW2075545</t>
  </si>
  <si>
    <t>MP18175144</t>
  </si>
  <si>
    <t>MC7275137</t>
  </si>
  <si>
    <t>AB10523</t>
  </si>
  <si>
    <t>EJ13720113</t>
  </si>
  <si>
    <t>AH10120140</t>
  </si>
  <si>
    <t>RB19330120</t>
  </si>
  <si>
    <t>LW1682558</t>
  </si>
  <si>
    <t>MY1829593</t>
  </si>
  <si>
    <t>BS1166545</t>
  </si>
  <si>
    <t>JK5730108</t>
  </si>
  <si>
    <t>RS</t>
  </si>
  <si>
    <t>HZ1495045</t>
  </si>
  <si>
    <t>TC2114582</t>
  </si>
  <si>
    <t>DG1330082</t>
  </si>
  <si>
    <t>Dl1360045</t>
  </si>
  <si>
    <t>JR1567048</t>
  </si>
  <si>
    <t>FM1429065</t>
  </si>
  <si>
    <t>CK1259592</t>
  </si>
  <si>
    <t>GM1444027</t>
  </si>
  <si>
    <t>MM1726027</t>
  </si>
  <si>
    <t>ME17320139</t>
  </si>
  <si>
    <t>PC1900078</t>
  </si>
  <si>
    <t>DK337533</t>
  </si>
  <si>
    <t>CG</t>
  </si>
  <si>
    <t>AH100757</t>
  </si>
  <si>
    <t xml:space="preserve"> ID</t>
  </si>
  <si>
    <t>VS218207</t>
  </si>
  <si>
    <t>JR1567027</t>
  </si>
  <si>
    <t>AS10135140</t>
  </si>
  <si>
    <t>EB13930139</t>
  </si>
  <si>
    <t>MV1748545</t>
  </si>
  <si>
    <t>AB10150140</t>
  </si>
  <si>
    <t>AH1021018</t>
  </si>
  <si>
    <t>TS21610139</t>
  </si>
  <si>
    <t>LC1705051</t>
  </si>
  <si>
    <t>SH2063548</t>
  </si>
  <si>
    <t>DR1294058</t>
  </si>
  <si>
    <t>IM5055106</t>
  </si>
  <si>
    <t>CF</t>
  </si>
  <si>
    <t>DK1298539</t>
  </si>
  <si>
    <t xml:space="preserve"> MX</t>
  </si>
  <si>
    <t>RW1954096</t>
  </si>
  <si>
    <t>EH418561</t>
  </si>
  <si>
    <t>IZ</t>
  </si>
  <si>
    <t>ML1739559</t>
  </si>
  <si>
    <t>KN164507</t>
  </si>
  <si>
    <t>CK1276045</t>
  </si>
  <si>
    <t>PB192107</t>
  </si>
  <si>
    <t>AA1048031</t>
  </si>
  <si>
    <t>RO97803</t>
  </si>
  <si>
    <t>AG</t>
  </si>
  <si>
    <t>AB10165140</t>
  </si>
  <si>
    <t>MR175457</t>
  </si>
  <si>
    <t>AH1046593</t>
  </si>
  <si>
    <t>MW8220110</t>
  </si>
  <si>
    <t>SA</t>
  </si>
  <si>
    <t>AH21038</t>
  </si>
  <si>
    <t>EG</t>
  </si>
  <si>
    <t>ML1741027</t>
  </si>
  <si>
    <t>MC7575110</t>
  </si>
  <si>
    <t>SW2027564</t>
  </si>
  <si>
    <t>PS18970118</t>
  </si>
  <si>
    <t>QJ1925564</t>
  </si>
  <si>
    <t xml:space="preserve"> ES</t>
  </si>
  <si>
    <t>CS118608</t>
  </si>
  <si>
    <t>MT1807045</t>
  </si>
  <si>
    <t>AB60042</t>
  </si>
  <si>
    <t>EN</t>
  </si>
  <si>
    <t>PS189707</t>
  </si>
  <si>
    <t>EB13975139</t>
  </si>
  <si>
    <t>AF1087018</t>
  </si>
  <si>
    <t>CC1268558</t>
  </si>
  <si>
    <t>LC1688582</t>
  </si>
  <si>
    <t>SW2035059</t>
  </si>
  <si>
    <t>CS1184527</t>
  </si>
  <si>
    <t>CR1273018</t>
  </si>
  <si>
    <t>SW207557</t>
  </si>
  <si>
    <t>MH744033</t>
  </si>
  <si>
    <t>MC1784558</t>
  </si>
  <si>
    <t>PW19030139</t>
  </si>
  <si>
    <t>AD10180140</t>
  </si>
  <si>
    <t>TB2119058</t>
  </si>
  <si>
    <t>KD1627059</t>
  </si>
  <si>
    <t>AH1003082</t>
  </si>
  <si>
    <t>VP21760120</t>
  </si>
  <si>
    <t>LR1691558</t>
  </si>
  <si>
    <t>HD1478527</t>
  </si>
  <si>
    <t>TP2113027</t>
  </si>
  <si>
    <t>JL1523536</t>
  </si>
  <si>
    <t>RK1930018</t>
  </si>
  <si>
    <t>CC1267064</t>
  </si>
  <si>
    <t xml:space="preserve"> CA</t>
  </si>
  <si>
    <t>PS1904518</t>
  </si>
  <si>
    <t>BT11391539</t>
  </si>
  <si>
    <t>MG1820518</t>
  </si>
  <si>
    <t>NW1840082</t>
  </si>
  <si>
    <t>AH10195140</t>
  </si>
  <si>
    <t>AG27032</t>
  </si>
  <si>
    <t>EZ</t>
  </si>
  <si>
    <t>FM1421545</t>
  </si>
  <si>
    <t>NL1831027</t>
  </si>
  <si>
    <t>BD116057</t>
  </si>
  <si>
    <t>SC2057582</t>
  </si>
  <si>
    <t>AH10210140</t>
  </si>
  <si>
    <t>BS1136518</t>
  </si>
  <si>
    <t>KM672060</t>
  </si>
  <si>
    <t>BF1097527</t>
  </si>
  <si>
    <t>MM1805548</t>
  </si>
  <si>
    <t>NC8415137</t>
  </si>
  <si>
    <t>GR1456096</t>
  </si>
  <si>
    <t>AY10555139</t>
  </si>
  <si>
    <t>CP1234036</t>
  </si>
  <si>
    <t>MP1747093</t>
  </si>
  <si>
    <t>PJ19015139</t>
  </si>
  <si>
    <t>NC1841593</t>
  </si>
  <si>
    <t>LW1682545</t>
  </si>
  <si>
    <t>CS1184516</t>
  </si>
  <si>
    <t>KC1667548</t>
  </si>
  <si>
    <t>PN1877527</t>
  </si>
  <si>
    <t>EH1412578</t>
  </si>
  <si>
    <t>AG1090045</t>
  </si>
  <si>
    <t>BH1171039</t>
  </si>
  <si>
    <t>SC2080058</t>
  </si>
  <si>
    <t>AP1091527</t>
  </si>
  <si>
    <t>MP1817545</t>
  </si>
  <si>
    <t>TT114602</t>
  </si>
  <si>
    <t>AL</t>
  </si>
  <si>
    <t>RR1952527</t>
  </si>
  <si>
    <t>TR11325129</t>
  </si>
  <si>
    <t>TZ</t>
  </si>
  <si>
    <t>SC2044082</t>
  </si>
  <si>
    <t>BE11335139</t>
  </si>
  <si>
    <t>JB15925484</t>
  </si>
  <si>
    <t>TW21025139</t>
  </si>
  <si>
    <t>LR1691544</t>
  </si>
  <si>
    <t>AS10225140</t>
  </si>
  <si>
    <t>FO1430545</t>
  </si>
  <si>
    <t>RP19855130</t>
  </si>
  <si>
    <t>CR127307</t>
  </si>
  <si>
    <t>PF1912027</t>
  </si>
  <si>
    <t>RH9555129</t>
  </si>
  <si>
    <t>JK1532527</t>
  </si>
  <si>
    <t>VD2167039</t>
  </si>
  <si>
    <t>BS1136545</t>
  </si>
  <si>
    <t>AH1003014</t>
  </si>
  <si>
    <t>AH1003033</t>
  </si>
  <si>
    <t>JB1600059</t>
  </si>
  <si>
    <t>BF1100558</t>
  </si>
  <si>
    <t>VG2180558</t>
  </si>
  <si>
    <t>GT14710139</t>
  </si>
  <si>
    <t>ZC2191048</t>
  </si>
  <si>
    <t>JH15820141</t>
  </si>
  <si>
    <t>TG1164060</t>
  </si>
  <si>
    <t>MW182207</t>
  </si>
  <si>
    <t>MS1798048</t>
  </si>
  <si>
    <t>DB1340527</t>
  </si>
  <si>
    <t>AS1022527</t>
  </si>
  <si>
    <t>ST2053093</t>
  </si>
  <si>
    <t>SZ2003527</t>
  </si>
  <si>
    <t>DP310586</t>
  </si>
  <si>
    <t>BK1126011</t>
  </si>
  <si>
    <t>SC20695102</t>
  </si>
  <si>
    <t>NZ185657</t>
  </si>
  <si>
    <t>PM1984045</t>
  </si>
  <si>
    <t>MZ1733545</t>
  </si>
  <si>
    <t>RW195407</t>
  </si>
  <si>
    <t>DB130607</t>
  </si>
  <si>
    <t>VM2168591</t>
  </si>
  <si>
    <t>DM1352548</t>
  </si>
  <si>
    <t>ON1871545</t>
  </si>
  <si>
    <t>CM121157</t>
  </si>
  <si>
    <t>RP1927045</t>
  </si>
  <si>
    <t>GM1444037</t>
  </si>
  <si>
    <t>42265#</t>
  </si>
  <si>
    <t>JK1612059</t>
  </si>
  <si>
    <t>EM14200130</t>
  </si>
  <si>
    <t>PM1894059</t>
  </si>
  <si>
    <t>PV1898518</t>
  </si>
  <si>
    <t>SM10005116</t>
  </si>
  <si>
    <t>SO</t>
  </si>
  <si>
    <t>KH1633059</t>
  </si>
  <si>
    <t>CR126257</t>
  </si>
  <si>
    <t>DB1306048</t>
  </si>
  <si>
    <t>DM1295551</t>
  </si>
  <si>
    <t>SO2033527</t>
  </si>
  <si>
    <t>LC7050110</t>
  </si>
  <si>
    <t>AD1018059</t>
  </si>
  <si>
    <t>BP11155139</t>
  </si>
  <si>
    <t>JF15295120</t>
  </si>
  <si>
    <t>DJ3510137</t>
  </si>
  <si>
    <t>MF1825045</t>
  </si>
  <si>
    <t>EH1412545</t>
  </si>
  <si>
    <t>AM10360139</t>
  </si>
  <si>
    <t>DR129407</t>
  </si>
  <si>
    <t>NB1865548</t>
  </si>
  <si>
    <t>LH1675036</t>
  </si>
  <si>
    <t>DK1309027</t>
  </si>
  <si>
    <t>EB13840139</t>
  </si>
  <si>
    <t>MS17770139</t>
  </si>
  <si>
    <t>JC610575</t>
  </si>
  <si>
    <t>LH</t>
  </si>
  <si>
    <t>GB145307</t>
  </si>
  <si>
    <t>JH161805</t>
  </si>
  <si>
    <t>DK1289559</t>
  </si>
  <si>
    <t>KD1627018</t>
  </si>
  <si>
    <t>HL150407</t>
  </si>
  <si>
    <t>CT1199566</t>
  </si>
  <si>
    <t>GR456072</t>
  </si>
  <si>
    <t>LT</t>
  </si>
  <si>
    <t>SG10605107</t>
  </si>
  <si>
    <t>RO</t>
  </si>
  <si>
    <t>FH1436582</t>
  </si>
  <si>
    <t>JW5220111</t>
  </si>
  <si>
    <t>SG</t>
  </si>
  <si>
    <t>RD1993092</t>
  </si>
  <si>
    <t>CS12175130</t>
  </si>
  <si>
    <t>JD16060120</t>
  </si>
  <si>
    <t>TS212057</t>
  </si>
  <si>
    <t>PS1876059</t>
  </si>
  <si>
    <t>CA1277558</t>
  </si>
  <si>
    <t>CD1279048</t>
  </si>
  <si>
    <t>KB1660058</t>
  </si>
  <si>
    <t>MG1769564</t>
  </si>
  <si>
    <t>BP11290113</t>
  </si>
  <si>
    <t>BS1180059</t>
  </si>
  <si>
    <t>DV1346539</t>
  </si>
  <si>
    <t>DB3660107</t>
  </si>
  <si>
    <t>KB1631578</t>
  </si>
  <si>
    <t>CS121757</t>
  </si>
  <si>
    <t>41473#</t>
  </si>
  <si>
    <t>DM1295545</t>
  </si>
  <si>
    <t>CC1261048</t>
  </si>
  <si>
    <t>TG2164014</t>
  </si>
  <si>
    <t>SN2056097</t>
  </si>
  <si>
    <t>CC125507</t>
  </si>
  <si>
    <t>SV2078559</t>
  </si>
  <si>
    <t>AS1028558</t>
  </si>
  <si>
    <t>DB1306027</t>
  </si>
  <si>
    <t>JW522087</t>
  </si>
  <si>
    <t>MZ</t>
  </si>
  <si>
    <t>LH1690018</t>
  </si>
  <si>
    <t>BT1153058</t>
  </si>
  <si>
    <t>SJ2021582</t>
  </si>
  <si>
    <t>DK1315048</t>
  </si>
  <si>
    <t>RW9540117</t>
  </si>
  <si>
    <t>CJ1201027</t>
  </si>
  <si>
    <t>BB1154548</t>
  </si>
  <si>
    <t>SP20920130</t>
  </si>
  <si>
    <t>NZ1856558</t>
  </si>
  <si>
    <t>41398#</t>
  </si>
  <si>
    <t>BS1138059</t>
  </si>
  <si>
    <t>EL137357</t>
  </si>
  <si>
    <t>FH1427559</t>
  </si>
  <si>
    <t>TS1143085</t>
  </si>
  <si>
    <t>MW</t>
  </si>
  <si>
    <t>CM1181597</t>
  </si>
  <si>
    <t>KN670560</t>
  </si>
  <si>
    <t>GM1444091</t>
  </si>
  <si>
    <t>JF1529531</t>
  </si>
  <si>
    <t>MD178607</t>
  </si>
  <si>
    <t>JM1586582</t>
  </si>
  <si>
    <t>JK1609058</t>
  </si>
  <si>
    <t>SM2032036</t>
  </si>
  <si>
    <t>DH367577</t>
  </si>
  <si>
    <t>MA</t>
  </si>
  <si>
    <t>JM1586597</t>
  </si>
  <si>
    <t>CM1211564</t>
  </si>
  <si>
    <t>AG1049527</t>
  </si>
  <si>
    <t>AG1090082</t>
  </si>
  <si>
    <t xml:space="preserve"> IT</t>
  </si>
  <si>
    <t>MS1736539</t>
  </si>
  <si>
    <t>SB2017027</t>
  </si>
  <si>
    <t>BC1112592</t>
  </si>
  <si>
    <t>NF1859527</t>
  </si>
  <si>
    <t>RD19585120</t>
  </si>
  <si>
    <t>MD7860137</t>
  </si>
  <si>
    <t>CC1214548</t>
  </si>
  <si>
    <t>XP2186539</t>
  </si>
  <si>
    <t>ML1741031</t>
  </si>
  <si>
    <t>QJ1925527</t>
  </si>
  <si>
    <t>CP2085117</t>
  </si>
  <si>
    <t>EH14005120</t>
  </si>
  <si>
    <t>JR1570058</t>
  </si>
  <si>
    <t>PL1892588</t>
  </si>
  <si>
    <t>SC2009545</t>
  </si>
  <si>
    <t>GP474086</t>
  </si>
  <si>
    <t>CM1216027</t>
  </si>
  <si>
    <t>DL129257</t>
  </si>
  <si>
    <t>CM1183045</t>
  </si>
  <si>
    <t>CS1249082</t>
  </si>
  <si>
    <t>MC1763536</t>
  </si>
  <si>
    <t>VT2170018</t>
  </si>
  <si>
    <t>CD1192027</t>
  </si>
  <si>
    <t>TA21385102</t>
  </si>
  <si>
    <t>DJ88887148</t>
  </si>
  <si>
    <t>AR1051064</t>
  </si>
  <si>
    <t>JH1591066</t>
  </si>
  <si>
    <t>CM12235139</t>
  </si>
  <si>
    <t>NM18520120</t>
  </si>
  <si>
    <t>CL1189018</t>
  </si>
  <si>
    <t>CA12265139</t>
  </si>
  <si>
    <t>AS13523</t>
  </si>
  <si>
    <t>FM1421564</t>
  </si>
  <si>
    <t>PO1919527</t>
  </si>
  <si>
    <t>KD1634558</t>
  </si>
  <si>
    <t>DJ1342045</t>
  </si>
  <si>
    <t>HH5010129</t>
  </si>
  <si>
    <t>NF1838582</t>
  </si>
  <si>
    <t>AF1087048</t>
  </si>
  <si>
    <t>AS285108</t>
  </si>
  <si>
    <t>MB730533</t>
  </si>
  <si>
    <t>AB16523</t>
  </si>
  <si>
    <t>AG52560</t>
  </si>
  <si>
    <t>FC142457</t>
  </si>
  <si>
    <t>TH212357</t>
  </si>
  <si>
    <t>TW2102527</t>
  </si>
  <si>
    <t>LT7110117</t>
  </si>
  <si>
    <t>KN16390139</t>
  </si>
  <si>
    <t>HD1478548</t>
  </si>
  <si>
    <t>BE114557</t>
  </si>
  <si>
    <t>CR1282051</t>
  </si>
  <si>
    <t>HM14860125</t>
  </si>
  <si>
    <t>CM1219045</t>
  </si>
  <si>
    <t>SB2018518</t>
  </si>
  <si>
    <t>JF15415139</t>
  </si>
  <si>
    <t>MT807095</t>
  </si>
  <si>
    <t>NI</t>
  </si>
  <si>
    <t>ES14020120</t>
  </si>
  <si>
    <t>EH4125134</t>
  </si>
  <si>
    <t>TU</t>
  </si>
  <si>
    <t>IM1507059</t>
  </si>
  <si>
    <t>DA1345055</t>
  </si>
  <si>
    <t>DB1306045</t>
  </si>
  <si>
    <t>TC2098045</t>
  </si>
  <si>
    <t>CM1830117</t>
  </si>
  <si>
    <t>MO1780051</t>
  </si>
  <si>
    <t>HG1496597</t>
  </si>
  <si>
    <t>DC1328551</t>
  </si>
  <si>
    <t>TH21235125</t>
  </si>
  <si>
    <t>JK15370100</t>
  </si>
  <si>
    <t>CH207060</t>
  </si>
  <si>
    <t>DO1343558</t>
  </si>
  <si>
    <t>SG2089051</t>
  </si>
  <si>
    <t>TC11145108</t>
  </si>
  <si>
    <t>DM1334558</t>
  </si>
  <si>
    <t>BG1103564</t>
  </si>
  <si>
    <t>MG1789097</t>
  </si>
  <si>
    <t>MM1726078</t>
  </si>
  <si>
    <t>CC1237011</t>
  </si>
  <si>
    <t>CB1202559</t>
  </si>
  <si>
    <t>SJ2050051</t>
  </si>
  <si>
    <t>MC1784545</t>
  </si>
  <si>
    <t>VG217905</t>
  </si>
  <si>
    <t>41800#</t>
  </si>
  <si>
    <t>SS2041045</t>
  </si>
  <si>
    <t>41992#</t>
  </si>
  <si>
    <t>AH19523</t>
  </si>
  <si>
    <t>AG1052582</t>
  </si>
  <si>
    <t>AB1001545</t>
  </si>
  <si>
    <t>DO343515</t>
  </si>
  <si>
    <t>BN</t>
  </si>
  <si>
    <t>NS1850582</t>
  </si>
  <si>
    <t>TS2143045</t>
  </si>
  <si>
    <t>AZ1075093</t>
  </si>
  <si>
    <t>SP2086045</t>
  </si>
  <si>
    <t>KM162257</t>
  </si>
  <si>
    <t>BV11245120</t>
  </si>
  <si>
    <t>KB1658548</t>
  </si>
  <si>
    <t>EM1414058</t>
  </si>
  <si>
    <t>CM1211578</t>
  </si>
  <si>
    <t>AB10150139</t>
  </si>
  <si>
    <t>AS28560</t>
  </si>
  <si>
    <t>I</t>
  </si>
  <si>
    <t>R2014</t>
  </si>
  <si>
    <t>SV208157</t>
  </si>
  <si>
    <t>PS1876048</t>
  </si>
  <si>
    <t>CG1204092</t>
  </si>
  <si>
    <t>CR12580144</t>
  </si>
  <si>
    <t>DC1328582</t>
  </si>
  <si>
    <t>JE1574531</t>
  </si>
  <si>
    <t>LS1720080</t>
  </si>
  <si>
    <t>JF1541527</t>
  </si>
  <si>
    <r>
      <t>Conditional formatting application - automated audit setup:</t>
    </r>
    <r>
      <rPr>
        <sz val="14"/>
        <color theme="8" tint="-0.499984740745262"/>
        <rFont val="Aptos Narrow"/>
        <family val="2"/>
        <scheme val="minor"/>
      </rPr>
      <t xml:space="preserve"> Configured conditional formatting rules across the dataset to automatically flag data entry errors.</t>
    </r>
  </si>
  <si>
    <r>
      <t>Missing value detection - visual alert implementation:</t>
    </r>
    <r>
      <rPr>
        <sz val="14"/>
        <color theme="8" tint="-0.499984740745262"/>
        <rFont val="Aptos Narrow"/>
      </rPr>
      <t xml:space="preserve"> Applied light yellow highlighting on missing string entries within numerical sales records.</t>
    </r>
  </si>
  <si>
    <r>
      <t>Duplicate record identification - primary key validation:</t>
    </r>
    <r>
      <rPr>
        <sz val="14"/>
        <color theme="8" tint="-0.499984740745262"/>
        <rFont val="Aptos Narrow"/>
      </rPr>
      <t xml:space="preserve"> Used duplicate formatting rules on order id attributes to highlight repeating data records.</t>
    </r>
  </si>
  <si>
    <r>
      <t>Numeric threshold filtering - outlier detection:</t>
    </r>
    <r>
      <rPr>
        <sz val="14"/>
        <color theme="8" tint="-0.499984740745262"/>
        <rFont val="Aptos Narrow"/>
        <family val="2"/>
        <scheme val="minor"/>
      </rPr>
      <t xml:space="preserve"> Highlighted high sales amounts exceeding threshold limits using visual green fill alerts.</t>
    </r>
  </si>
  <si>
    <r>
      <t>Header exclusion adjustment - formatting rule refinement:</t>
    </r>
    <r>
      <rPr>
        <sz val="14"/>
        <color theme="8" tint="-0.499984740745262"/>
        <rFont val="Aptos Narrow"/>
        <family val="2"/>
        <scheme val="minor"/>
      </rPr>
      <t xml:space="preserve"> Excluded table header cells from conditional formatting rules to ensure clean column formatting.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</si>
</sst>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0000"/>
      <name val="Aptos Narrow"/>
      <charset val="1"/>
    </font>
    <font>
      <b/>
      <sz val="12"/>
      <color theme="0"/>
      <name val="Aptos Narrow"/>
      <scheme val="minor"/>
    </font>
    <font>
      <sz val="14"/>
      <color theme="8" tint="-0.499984740745262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4"/>
      <color theme="8" tint="-0.499984740745262"/>
      <name val="Aptos Narrow"/>
      <family val="2"/>
      <scheme val="minor"/>
    </font>
    <font>
      <b/>
      <sz val="14"/>
      <color theme="8" tint="-0.499984740745262"/>
      <name val="Aptos Narrow"/>
    </font>
    <font>
      <sz val="14"/>
      <color theme="8" tint="-0.499984740745262"/>
      <name val="Aptos Narrow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2" fontId="18" fillId="35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0" fontId="19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22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/>
    <xf numFmtId="0" fontId="18" fillId="0" borderId="10" xfId="0" applyFont="1" applyBorder="1" applyAlignment="1">
      <alignment horizontal="center"/>
    </xf>
    <xf numFmtId="14" fontId="18" fillId="35" borderId="10" xfId="0" applyNumberFormat="1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9" fontId="18" fillId="35" borderId="10" xfId="42" applyNumberFormat="1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9" fontId="18" fillId="0" borderId="10" xfId="42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20" fillId="33" borderId="16" xfId="0" applyFont="1" applyFill="1" applyBorder="1" applyAlignment="1">
      <alignment horizontal="center" vertical="center"/>
    </xf>
    <xf numFmtId="0" fontId="20" fillId="33" borderId="0" xfId="0" applyFont="1" applyFill="1" applyBorder="1" applyAlignment="1">
      <alignment horizontal="center" vertical="center"/>
    </xf>
    <xf numFmtId="0" fontId="20" fillId="34" borderId="0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/>
    </xf>
    <xf numFmtId="1" fontId="20" fillId="34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36" borderId="12" xfId="0" applyFont="1" applyFill="1" applyBorder="1"/>
    <xf numFmtId="0" fontId="17" fillId="36" borderId="13" xfId="0" applyFont="1" applyFill="1" applyBorder="1"/>
    <xf numFmtId="0" fontId="17" fillId="36" borderId="15" xfId="0" applyFont="1" applyFill="1" applyBorder="1"/>
    <xf numFmtId="0" fontId="17" fillId="36" borderId="0" xfId="0" applyFont="1" applyFill="1"/>
    <xf numFmtId="1" fontId="17" fillId="36" borderId="0" xfId="0" applyNumberFormat="1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22" fillId="33" borderId="0" xfId="0" applyFont="1" applyFill="1" applyBorder="1" applyAlignment="1">
      <alignment horizontal="center" vertical="center"/>
    </xf>
    <xf numFmtId="0" fontId="23" fillId="37" borderId="0" xfId="0" applyFont="1" applyFill="1"/>
    <xf numFmtId="0" fontId="24" fillId="37" borderId="0" xfId="0" applyFont="1" applyFill="1"/>
    <xf numFmtId="0" fontId="25" fillId="37" borderId="0" xfId="0" applyFont="1" applyFill="1"/>
    <xf numFmtId="0" fontId="26" fillId="37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  <alignment horizontal="center"/>
    </dxf>
    <dxf>
      <alignment horizontal="center"/>
    </dxf>
    <dxf>
      <numFmt numFmtId="1" formatCode="0"/>
      <alignment horizontal="center"/>
    </dxf>
    <dxf>
      <alignment horizontal="center"/>
    </dxf>
    <dxf>
      <numFmt numFmtId="0" formatCode="General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566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81310-9DDF-4BF9-AD32-58AF6A5C7148}" name="Table1" displayName="Table1" ref="A1:Z879" totalsRowShown="0" headerRowDxfId="6" tableBorderDxfId="5">
  <autoFilter ref="A1:Z879" xr:uid="{EB281310-9DDF-4BF9-AD32-58AF6A5C7148}"/>
  <tableColumns count="26">
    <tableColumn id="1" xr3:uid="{72F4318B-0403-4752-AA47-123256E19317}" name="Order ID"/>
    <tableColumn id="2" xr3:uid="{8F73C472-06C8-41CF-A20C-A24BF049F129}" name="Order Date"/>
    <tableColumn id="3" xr3:uid="{9751987E-B867-4A73-A006-CA096717119E}" name="Ship Date"/>
    <tableColumn id="4" xr3:uid="{E01D4731-B0BF-47CC-B43B-783D2131F8A9}" name="Customer Name"/>
    <tableColumn id="5" xr3:uid="{0B8808D4-71B3-40F4-8E9F-D9C87D7E7188}" name="Country"/>
    <tableColumn id="6" xr3:uid="{92E67219-0210-46A3-8FF1-E877DE22ADFE}" name="Region"/>
    <tableColumn id="7" xr3:uid="{A6AA3575-CE94-414E-B3FD-DA26A5442A84}" name="Category"/>
    <tableColumn id="8" xr3:uid="{27D4EC6A-8BA4-41E6-B148-830180FEB62B}" name="Sub-Category"/>
    <tableColumn id="9" xr3:uid="{0987938B-3FBE-49CD-B2AB-3B18A93F7DBE}" name="Sales"/>
    <tableColumn id="10" xr3:uid="{F355D4C7-AD1F-4ED9-AF56-A82F61958249}" name="Quantity"/>
    <tableColumn id="11" xr3:uid="{32D0772B-B05D-4D59-97C7-C37144FBF0A5}" name="Discount"/>
    <tableColumn id="12" xr3:uid="{F2F0404E-2306-4A40-BB5C-8591A5BAE367}" name="Profit"/>
    <tableColumn id="13" xr3:uid="{75E39AB9-96C7-4DD5-BA41-03082DFE0B9F}" name="Order Priority"/>
    <tableColumn id="14" xr3:uid="{2F84496B-86BA-4B17-9154-60FAD5615A42}" name="Order Type"/>
    <tableColumn id="15" xr3:uid="{44F04F96-3551-4C07-B368-A2A4C847E56E}" name="Cleaned Names"/>
    <tableColumn id="16" xr3:uid="{4D16FD25-2BBF-4EC9-ACC6-FB329DE25F24}" name="Short Country Code"/>
    <tableColumn id="17" xr3:uid="{FA524941-F1C9-4CB5-A5C8-40C73CD5E78F}" name="Extract Middle Code"/>
    <tableColumn id="18" xr3:uid="{B904C82B-8E4D-4725-950F-B0195129D8D6}" name="Priority Caps"/>
    <tableColumn id="19" xr3:uid="{00B22EB6-F438-4AAB-AB64-68560770ABE1}" name="Small Case Categories"/>
    <tableColumn id="20" xr3:uid="{0C460BB4-541F-4B6D-A97D-35CB1E6A5DB0}" name=" Numeric Order Code"/>
    <tableColumn id="21" xr3:uid="{A1B43B3F-FEAD-49B7-AE4C-AD822D28DCB9}" name="Order Code" dataDxfId="4"/>
    <tableColumn id="22" xr3:uid="{A9F2C701-5423-4EE2-A657-8E1E24A2C9EC}" name="Country Code" dataDxfId="3"/>
    <tableColumn id="23" xr3:uid="{949AC7A5-EB3F-4489-A095-4357FE79AEB2}" name="Order ID3" dataDxfId="2"/>
    <tableColumn id="24" xr3:uid="{37A4FF73-FA1C-4086-8450-8DFC2FDE0CAE}" name="Order Code2"/>
    <tableColumn id="25" xr3:uid="{0724EB80-B62B-46B8-A2E8-4F62F95C3AC5}" name="ID Number" dataDxfId="1"/>
    <tableColumn id="26" xr3:uid="{AE7EC1B5-8DCE-40DC-898F-BBC00E7512F9}" name="Trimmed Order ID" dataDxfId="0">
      <calculatedColumnFormula>TRIM(A2)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>
      <c r="A31" t="s">
        <v>121</v>
      </c>
      <c r="B31" s="1">
        <v>41472</v>
      </c>
      <c r="C31" s="1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>
      <c r="A32" t="s">
        <v>123</v>
      </c>
      <c r="B32" s="1">
        <v>41635</v>
      </c>
      <c r="C32" s="1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>
      <c r="A33" t="s">
        <v>124</v>
      </c>
      <c r="B33" t="s">
        <v>125</v>
      </c>
      <c r="C33" s="1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>
      <c r="A34" t="s">
        <v>128</v>
      </c>
      <c r="B34" s="1">
        <v>41635</v>
      </c>
      <c r="C34" s="1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>
      <c r="A35" t="s">
        <v>129</v>
      </c>
      <c r="B35" s="1">
        <v>41165</v>
      </c>
      <c r="C35" s="1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>
      <c r="A36" t="s">
        <v>133</v>
      </c>
      <c r="B36" s="1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>
      <c r="A39" t="s">
        <v>137</v>
      </c>
      <c r="B39" s="1">
        <v>40918</v>
      </c>
      <c r="C39" s="1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>
      <c r="A40" t="s">
        <v>139</v>
      </c>
      <c r="B40" s="1">
        <v>41873</v>
      </c>
      <c r="C40" s="1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>
      <c r="A41" t="s">
        <v>143</v>
      </c>
      <c r="B41" s="1">
        <v>42319</v>
      </c>
      <c r="C41" s="1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>
      <c r="A42" t="s">
        <v>145</v>
      </c>
      <c r="B42" s="1">
        <v>42273</v>
      </c>
      <c r="C42" s="1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>
      <c r="A43" t="s">
        <v>147</v>
      </c>
      <c r="B43" s="1">
        <v>41621</v>
      </c>
      <c r="C43" s="1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>
      <c r="A44" t="s">
        <v>149</v>
      </c>
      <c r="B44" s="1">
        <v>41174</v>
      </c>
      <c r="C44" s="1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>
      <c r="A46" t="s">
        <v>154</v>
      </c>
      <c r="B46" s="1">
        <v>41706</v>
      </c>
      <c r="C46" s="1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>
      <c r="A47" t="s">
        <v>156</v>
      </c>
      <c r="B47" s="1">
        <v>42244</v>
      </c>
      <c r="C47" s="1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>
      <c r="A49" t="s">
        <v>160</v>
      </c>
      <c r="B49" t="s">
        <v>125</v>
      </c>
      <c r="C49" s="1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>
      <c r="A51" t="s">
        <v>166</v>
      </c>
      <c r="B51" s="1">
        <v>42265</v>
      </c>
      <c r="C51" s="1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174</v>
      </c>
      <c r="B55" s="1">
        <v>41424</v>
      </c>
      <c r="C55" s="1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>
      <c r="A57" t="s">
        <v>177</v>
      </c>
      <c r="B57" s="1">
        <v>41419</v>
      </c>
      <c r="C57" s="1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>
      <c r="A58" t="s">
        <v>180</v>
      </c>
      <c r="B58" s="1">
        <v>42221</v>
      </c>
      <c r="C58" s="1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>
      <c r="A61" t="s">
        <v>186</v>
      </c>
      <c r="B61" s="1">
        <v>42357</v>
      </c>
      <c r="C61" s="1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>
      <c r="A62" t="s">
        <v>187</v>
      </c>
      <c r="B62" s="1">
        <v>42227</v>
      </c>
      <c r="C62" s="1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>
      <c r="A63" t="s">
        <v>189</v>
      </c>
      <c r="B63" s="1">
        <v>41882</v>
      </c>
      <c r="C63" s="1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>
      <c r="A64" t="s">
        <v>191</v>
      </c>
      <c r="B64" s="1">
        <v>42022</v>
      </c>
      <c r="C64" s="1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>
      <c r="A66" t="s">
        <v>195</v>
      </c>
      <c r="B66" s="1">
        <v>42345</v>
      </c>
      <c r="C66" s="1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>
      <c r="A68" t="s">
        <v>200</v>
      </c>
      <c r="B68" s="1">
        <v>42328</v>
      </c>
      <c r="C68" s="1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>
      <c r="A70" t="s">
        <v>206</v>
      </c>
      <c r="B70" s="1">
        <v>41826</v>
      </c>
      <c r="C70" s="1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>
      <c r="A71" t="s">
        <v>209</v>
      </c>
      <c r="B71" s="1">
        <v>41234</v>
      </c>
      <c r="C71" s="1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>
      <c r="A75" t="s">
        <v>219</v>
      </c>
      <c r="B75" s="1">
        <v>42140</v>
      </c>
      <c r="C75" s="1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>
      <c r="A78" t="s">
        <v>224</v>
      </c>
      <c r="B78" s="1">
        <v>41221</v>
      </c>
      <c r="C78" s="1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>
      <c r="A81" t="s">
        <v>231</v>
      </c>
      <c r="B81" s="1">
        <v>42305</v>
      </c>
      <c r="C81" s="1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>
      <c r="A83" t="s">
        <v>234</v>
      </c>
      <c r="B83" s="1">
        <v>42252</v>
      </c>
      <c r="C83" s="1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>
      <c r="A86" t="s">
        <v>238</v>
      </c>
      <c r="B86" s="1">
        <v>41966</v>
      </c>
      <c r="C86" s="1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>
      <c r="A88" t="s">
        <v>241</v>
      </c>
      <c r="B88" s="1">
        <v>41940</v>
      </c>
      <c r="C88" s="1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>
      <c r="A90" t="s">
        <v>243</v>
      </c>
      <c r="B90" s="1">
        <v>41419</v>
      </c>
      <c r="C90" s="1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>
      <c r="A91" t="s">
        <v>244</v>
      </c>
      <c r="B91" s="1">
        <v>42281</v>
      </c>
      <c r="C91" s="1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>
      <c r="A94" t="s">
        <v>248</v>
      </c>
      <c r="B94" s="1">
        <v>41667</v>
      </c>
      <c r="C94" s="1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>
      <c r="A97" t="s">
        <v>257</v>
      </c>
      <c r="B97" s="1">
        <v>41606</v>
      </c>
      <c r="C97" s="1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>
      <c r="A98" t="s">
        <v>258</v>
      </c>
      <c r="B98" s="1">
        <v>41546</v>
      </c>
      <c r="C98" s="1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>
      <c r="A99" t="s">
        <v>260</v>
      </c>
      <c r="B99" s="2">
        <v>41707</v>
      </c>
      <c r="C99" s="1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>
      <c r="A101" t="s">
        <v>265</v>
      </c>
      <c r="B101" s="1">
        <v>42327</v>
      </c>
      <c r="C101" s="1">
        <v>42333</v>
      </c>
      <c r="D101" t="s">
        <v>266</v>
      </c>
      <c r="E101" t="s">
        <v>15</v>
      </c>
      <c r="F101" t="s">
        <v>16</v>
      </c>
      <c r="G101" t="s">
        <v>17</v>
      </c>
      <c r="H101" t="s">
        <v>73</v>
      </c>
      <c r="I101">
        <v>3524.4720000000002</v>
      </c>
      <c r="J101">
        <v>6</v>
      </c>
      <c r="K101">
        <v>0.1</v>
      </c>
      <c r="L101" t="s">
        <v>267</v>
      </c>
      <c r="M101" t="s">
        <v>74</v>
      </c>
    </row>
    <row r="102" spans="1:13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>
      <c r="A106" t="s">
        <v>273</v>
      </c>
      <c r="B106" s="1">
        <v>41116</v>
      </c>
      <c r="C106" s="1">
        <v>41122</v>
      </c>
      <c r="D106" t="s">
        <v>194</v>
      </c>
      <c r="E106" t="s">
        <v>40</v>
      </c>
      <c r="F106" t="s">
        <v>111</v>
      </c>
      <c r="G106" t="s">
        <v>45</v>
      </c>
      <c r="H106" t="s">
        <v>33</v>
      </c>
      <c r="I106">
        <v>65.78</v>
      </c>
      <c r="J106">
        <v>11</v>
      </c>
      <c r="K106">
        <v>0</v>
      </c>
      <c r="L106">
        <v>32.232199999999999</v>
      </c>
      <c r="M106" t="s">
        <v>19</v>
      </c>
    </row>
    <row r="107" spans="1:13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>
      <c r="A108" t="s">
        <v>277</v>
      </c>
      <c r="B108" s="1">
        <v>41999</v>
      </c>
      <c r="C108" s="1">
        <v>41999</v>
      </c>
      <c r="D108" t="s">
        <v>278</v>
      </c>
      <c r="E108" t="s">
        <v>15</v>
      </c>
      <c r="F108" t="s">
        <v>16</v>
      </c>
      <c r="G108" t="s">
        <v>45</v>
      </c>
      <c r="H108" t="s">
        <v>44</v>
      </c>
      <c r="I108">
        <v>3739.1759999999899</v>
      </c>
      <c r="J108">
        <v>8</v>
      </c>
      <c r="K108">
        <v>0.1</v>
      </c>
      <c r="L108">
        <v>747.81600000000003</v>
      </c>
      <c r="M108" t="s">
        <v>37</v>
      </c>
    </row>
    <row r="109" spans="1:13">
      <c r="A109" t="s">
        <v>279</v>
      </c>
      <c r="B109" s="1">
        <v>41711</v>
      </c>
      <c r="C109" s="1">
        <v>41711</v>
      </c>
      <c r="D109" t="s">
        <v>280</v>
      </c>
      <c r="E109" t="s">
        <v>281</v>
      </c>
      <c r="F109" t="s">
        <v>71</v>
      </c>
      <c r="G109" t="s">
        <v>32</v>
      </c>
      <c r="H109" t="s">
        <v>151</v>
      </c>
      <c r="I109">
        <v>2570.8649999999998</v>
      </c>
      <c r="J109">
        <v>11</v>
      </c>
      <c r="K109">
        <v>0.5</v>
      </c>
      <c r="L109">
        <v>-2211.165</v>
      </c>
      <c r="M109" t="s">
        <v>37</v>
      </c>
    </row>
    <row r="110" spans="1:13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>
      <c r="A111" t="s">
        <v>283</v>
      </c>
      <c r="B111" s="1">
        <v>41369</v>
      </c>
      <c r="C111" s="1">
        <v>41369</v>
      </c>
      <c r="D111" t="s">
        <v>284</v>
      </c>
      <c r="E111" t="s">
        <v>22</v>
      </c>
      <c r="F111" t="s">
        <v>71</v>
      </c>
      <c r="G111" t="s">
        <v>17</v>
      </c>
      <c r="H111" t="s">
        <v>23</v>
      </c>
      <c r="I111">
        <v>2875.77</v>
      </c>
      <c r="J111">
        <v>9</v>
      </c>
      <c r="K111">
        <v>0.5</v>
      </c>
      <c r="L111">
        <v>-1783.08</v>
      </c>
      <c r="M111" t="s">
        <v>37</v>
      </c>
    </row>
    <row r="112" spans="1:13">
      <c r="A112" t="s">
        <v>285</v>
      </c>
      <c r="B112" t="s">
        <v>286</v>
      </c>
      <c r="C112" s="1">
        <v>41636</v>
      </c>
      <c r="D112" t="s">
        <v>287</v>
      </c>
      <c r="E112" t="s">
        <v>197</v>
      </c>
      <c r="F112" t="s">
        <v>77</v>
      </c>
      <c r="G112" t="s">
        <v>32</v>
      </c>
      <c r="H112" t="s">
        <v>127</v>
      </c>
      <c r="I112">
        <v>1741.8</v>
      </c>
      <c r="J112" t="s">
        <v>63</v>
      </c>
      <c r="K112">
        <v>0</v>
      </c>
      <c r="L112">
        <v>261.24</v>
      </c>
      <c r="M112" t="s">
        <v>27</v>
      </c>
    </row>
    <row r="113" spans="1:13">
      <c r="A113" t="s">
        <v>288</v>
      </c>
      <c r="B113" s="1">
        <v>41747</v>
      </c>
      <c r="C113" s="1">
        <v>41748</v>
      </c>
      <c r="D113" t="s">
        <v>289</v>
      </c>
      <c r="E113" t="s">
        <v>15</v>
      </c>
      <c r="F113" t="s">
        <v>16</v>
      </c>
      <c r="G113" t="s">
        <v>17</v>
      </c>
      <c r="H113" t="s">
        <v>26</v>
      </c>
      <c r="I113">
        <v>1601.64</v>
      </c>
      <c r="J113">
        <v>5</v>
      </c>
      <c r="K113">
        <v>0.1</v>
      </c>
      <c r="L113">
        <v>587.18999999999903</v>
      </c>
      <c r="M113" t="s">
        <v>27</v>
      </c>
    </row>
    <row r="114" spans="1:13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>
      <c r="A117" t="s">
        <v>193</v>
      </c>
      <c r="B117" s="1">
        <v>42007</v>
      </c>
      <c r="C117" s="1">
        <v>42009</v>
      </c>
      <c r="D117" t="s">
        <v>194</v>
      </c>
      <c r="E117" t="s">
        <v>40</v>
      </c>
      <c r="F117" t="s">
        <v>153</v>
      </c>
      <c r="G117" t="s">
        <v>45</v>
      </c>
      <c r="H117" t="s">
        <v>127</v>
      </c>
      <c r="I117">
        <v>15.66</v>
      </c>
      <c r="J117">
        <v>5</v>
      </c>
      <c r="K117">
        <v>0.7</v>
      </c>
      <c r="L117">
        <v>-12.527999999999899</v>
      </c>
      <c r="M117" t="s">
        <v>37</v>
      </c>
    </row>
    <row r="118" spans="1:13">
      <c r="A118" t="s">
        <v>295</v>
      </c>
      <c r="B118" s="1">
        <v>40955</v>
      </c>
      <c r="C118" s="1">
        <v>40958</v>
      </c>
      <c r="D118" t="s">
        <v>296</v>
      </c>
      <c r="E118" t="s">
        <v>70</v>
      </c>
      <c r="F118" t="s">
        <v>71</v>
      </c>
      <c r="G118" t="s">
        <v>32</v>
      </c>
      <c r="H118" t="s">
        <v>33</v>
      </c>
      <c r="I118">
        <v>4544.0999999999904</v>
      </c>
      <c r="J118">
        <v>11</v>
      </c>
      <c r="K118">
        <v>0.1</v>
      </c>
      <c r="L118">
        <v>1868.1299999999901</v>
      </c>
      <c r="M118" t="s">
        <v>19</v>
      </c>
    </row>
    <row r="119" spans="1:13">
      <c r="A119" t="s">
        <v>297</v>
      </c>
      <c r="B119" s="1">
        <v>41790</v>
      </c>
      <c r="C119" s="1">
        <v>41792</v>
      </c>
      <c r="D119" t="s">
        <v>298</v>
      </c>
      <c r="E119" t="s">
        <v>66</v>
      </c>
      <c r="F119" t="s">
        <v>90</v>
      </c>
      <c r="G119" t="s">
        <v>32</v>
      </c>
      <c r="H119" t="s">
        <v>299</v>
      </c>
      <c r="I119">
        <v>1455.12</v>
      </c>
      <c r="J119">
        <v>4</v>
      </c>
      <c r="K119">
        <v>0</v>
      </c>
      <c r="L119">
        <v>116.399999999999</v>
      </c>
      <c r="M119" t="s">
        <v>27</v>
      </c>
    </row>
    <row r="120" spans="1:13">
      <c r="A120" t="s">
        <v>300</v>
      </c>
      <c r="B120" s="1">
        <v>41913</v>
      </c>
      <c r="C120" s="1">
        <v>41914</v>
      </c>
      <c r="D120" t="s">
        <v>301</v>
      </c>
      <c r="E120" t="s">
        <v>15</v>
      </c>
      <c r="F120" t="s">
        <v>16</v>
      </c>
      <c r="G120" t="s">
        <v>17</v>
      </c>
      <c r="H120" t="s">
        <v>23</v>
      </c>
      <c r="I120">
        <v>1943.19</v>
      </c>
      <c r="J120">
        <v>6</v>
      </c>
      <c r="K120">
        <v>0.1</v>
      </c>
      <c r="L120">
        <v>258.93</v>
      </c>
      <c r="M120" t="s">
        <v>37</v>
      </c>
    </row>
    <row r="121" spans="1:13">
      <c r="A121" t="s">
        <v>302</v>
      </c>
      <c r="B121" s="1">
        <v>42315</v>
      </c>
      <c r="C121" s="1">
        <v>42322</v>
      </c>
      <c r="D121" t="s">
        <v>275</v>
      </c>
      <c r="E121" t="s">
        <v>303</v>
      </c>
      <c r="F121" t="s">
        <v>43</v>
      </c>
      <c r="G121" t="s">
        <v>32</v>
      </c>
      <c r="H121" t="s">
        <v>151</v>
      </c>
      <c r="I121">
        <v>2036.86</v>
      </c>
      <c r="J121">
        <v>7</v>
      </c>
      <c r="K121">
        <v>0</v>
      </c>
      <c r="L121">
        <v>366.63479999999902</v>
      </c>
      <c r="M121" t="s">
        <v>74</v>
      </c>
    </row>
    <row r="122" spans="1:13">
      <c r="A122" t="s">
        <v>304</v>
      </c>
      <c r="B122" s="1">
        <v>41884</v>
      </c>
      <c r="C122" s="1">
        <v>41886</v>
      </c>
      <c r="D122" t="s">
        <v>275</v>
      </c>
      <c r="E122" t="s">
        <v>40</v>
      </c>
      <c r="F122" t="s">
        <v>176</v>
      </c>
      <c r="G122" t="s">
        <v>45</v>
      </c>
      <c r="H122" t="s">
        <v>33</v>
      </c>
      <c r="I122" t="s">
        <v>163</v>
      </c>
      <c r="J122">
        <v>4</v>
      </c>
      <c r="K122">
        <v>0.2</v>
      </c>
      <c r="L122">
        <v>1415.4295999999899</v>
      </c>
      <c r="M122" t="s">
        <v>27</v>
      </c>
    </row>
    <row r="123" spans="1:13">
      <c r="A123" t="s">
        <v>305</v>
      </c>
      <c r="B123" s="1">
        <v>41984</v>
      </c>
      <c r="C123" s="1">
        <v>41987</v>
      </c>
      <c r="D123" t="s">
        <v>89</v>
      </c>
      <c r="E123" t="s">
        <v>15</v>
      </c>
      <c r="F123" t="s">
        <v>16</v>
      </c>
      <c r="G123" t="s">
        <v>17</v>
      </c>
      <c r="H123" t="s">
        <v>127</v>
      </c>
      <c r="I123">
        <v>1695.87</v>
      </c>
      <c r="J123">
        <v>5</v>
      </c>
      <c r="K123">
        <v>0.1</v>
      </c>
      <c r="L123">
        <v>-37.83</v>
      </c>
      <c r="M123" t="s">
        <v>27</v>
      </c>
    </row>
    <row r="124" spans="1:13">
      <c r="A124" t="s">
        <v>306</v>
      </c>
      <c r="B124" s="1">
        <v>42081</v>
      </c>
      <c r="C124" t="s">
        <v>307</v>
      </c>
      <c r="D124" t="s">
        <v>240</v>
      </c>
      <c r="E124" t="s">
        <v>70</v>
      </c>
      <c r="F124" t="s">
        <v>71</v>
      </c>
      <c r="G124" t="s">
        <v>17</v>
      </c>
      <c r="H124" t="s">
        <v>46</v>
      </c>
      <c r="I124">
        <v>1505.97899999999</v>
      </c>
      <c r="J124">
        <v>6</v>
      </c>
      <c r="K124">
        <v>0.15</v>
      </c>
      <c r="L124">
        <v>-265.760999999999</v>
      </c>
      <c r="M124" t="s">
        <v>27</v>
      </c>
    </row>
    <row r="125" spans="1:13">
      <c r="A125" t="s">
        <v>308</v>
      </c>
      <c r="B125" s="1">
        <v>42357</v>
      </c>
      <c r="C125" s="1">
        <v>42358</v>
      </c>
      <c r="D125" t="s">
        <v>309</v>
      </c>
      <c r="E125" t="s">
        <v>310</v>
      </c>
      <c r="F125" t="s">
        <v>142</v>
      </c>
      <c r="G125" t="s">
        <v>17</v>
      </c>
      <c r="H125" t="s">
        <v>33</v>
      </c>
      <c r="I125">
        <v>1954.17</v>
      </c>
      <c r="J125">
        <v>3</v>
      </c>
      <c r="K125">
        <v>0</v>
      </c>
      <c r="L125">
        <v>312.659999999999</v>
      </c>
      <c r="M125" t="s">
        <v>27</v>
      </c>
    </row>
    <row r="126" spans="1:13">
      <c r="A126" t="s">
        <v>302</v>
      </c>
      <c r="B126" s="1">
        <v>42315</v>
      </c>
      <c r="C126" s="1">
        <v>42322</v>
      </c>
      <c r="D126" t="s">
        <v>275</v>
      </c>
      <c r="E126" t="s">
        <v>40</v>
      </c>
      <c r="F126" t="s">
        <v>43</v>
      </c>
      <c r="G126" t="s">
        <v>32</v>
      </c>
      <c r="H126" t="s">
        <v>33</v>
      </c>
      <c r="I126">
        <v>449.56799999999998</v>
      </c>
      <c r="J126">
        <v>2</v>
      </c>
      <c r="K126">
        <v>0.2</v>
      </c>
      <c r="L126">
        <v>-73.0548</v>
      </c>
      <c r="M126" t="s">
        <v>74</v>
      </c>
    </row>
    <row r="127" spans="1:13">
      <c r="A127" t="s">
        <v>311</v>
      </c>
      <c r="B127" t="s">
        <v>312</v>
      </c>
      <c r="C127" s="1">
        <v>41717</v>
      </c>
      <c r="D127" t="s">
        <v>275</v>
      </c>
      <c r="E127" t="s">
        <v>40</v>
      </c>
      <c r="F127" t="s">
        <v>153</v>
      </c>
      <c r="G127" t="s">
        <v>45</v>
      </c>
      <c r="H127" t="s">
        <v>26</v>
      </c>
      <c r="I127">
        <v>160.32</v>
      </c>
      <c r="J127">
        <v>2</v>
      </c>
      <c r="K127">
        <v>0</v>
      </c>
      <c r="L127">
        <v>291.20200743633302</v>
      </c>
      <c r="M127" t="s">
        <v>19</v>
      </c>
    </row>
    <row r="128" spans="1:13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>
      <c r="A129" t="s">
        <v>313</v>
      </c>
      <c r="B129" s="1">
        <v>42265</v>
      </c>
      <c r="C129" s="1">
        <v>42265</v>
      </c>
      <c r="D129" t="s">
        <v>314</v>
      </c>
      <c r="E129" t="s">
        <v>315</v>
      </c>
      <c r="F129" t="s">
        <v>61</v>
      </c>
      <c r="G129" t="s">
        <v>17</v>
      </c>
      <c r="H129" t="s">
        <v>33</v>
      </c>
      <c r="I129">
        <v>1213.18876</v>
      </c>
      <c r="J129">
        <v>7</v>
      </c>
      <c r="K129">
        <v>2E-3</v>
      </c>
      <c r="L129">
        <v>508.00876</v>
      </c>
      <c r="M129" t="s">
        <v>27</v>
      </c>
    </row>
    <row r="130" spans="1:13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>
      <c r="A132" t="s">
        <v>319</v>
      </c>
      <c r="B132" s="1">
        <v>42204</v>
      </c>
      <c r="C132" s="1">
        <v>42208</v>
      </c>
      <c r="D132" t="s">
        <v>320</v>
      </c>
      <c r="E132" t="s">
        <v>141</v>
      </c>
      <c r="F132" t="s">
        <v>142</v>
      </c>
      <c r="G132" t="s">
        <v>32</v>
      </c>
      <c r="H132" t="s">
        <v>33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37</v>
      </c>
    </row>
    <row r="133" spans="1:13">
      <c r="A133" t="s">
        <v>321</v>
      </c>
      <c r="B133" s="1">
        <v>41502</v>
      </c>
      <c r="C133" s="1">
        <v>41502</v>
      </c>
      <c r="D133" t="s">
        <v>201</v>
      </c>
      <c r="E133" t="s">
        <v>322</v>
      </c>
      <c r="F133" t="s">
        <v>142</v>
      </c>
      <c r="G133" t="s">
        <v>17</v>
      </c>
      <c r="H133" t="s">
        <v>18</v>
      </c>
      <c r="I133">
        <v>3741.5237999999899</v>
      </c>
      <c r="J133">
        <v>7</v>
      </c>
      <c r="K133">
        <v>0.17</v>
      </c>
      <c r="L133">
        <v>946.63379999999904</v>
      </c>
      <c r="M133" t="s">
        <v>37</v>
      </c>
    </row>
    <row r="134" spans="1:13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>
      <c r="A135" t="s">
        <v>323</v>
      </c>
      <c r="B135" s="1">
        <v>41284</v>
      </c>
      <c r="C135" s="1">
        <v>41288</v>
      </c>
      <c r="D135" t="s">
        <v>259</v>
      </c>
      <c r="E135" t="s">
        <v>141</v>
      </c>
      <c r="F135" t="s">
        <v>142</v>
      </c>
      <c r="G135" t="s">
        <v>32</v>
      </c>
      <c r="H135" t="s">
        <v>26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37</v>
      </c>
    </row>
    <row r="136" spans="1:13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>
      <c r="A140" t="s">
        <v>327</v>
      </c>
      <c r="B140" s="1">
        <v>41614</v>
      </c>
      <c r="C140" s="1">
        <v>41616</v>
      </c>
      <c r="D140" t="s">
        <v>328</v>
      </c>
      <c r="E140" t="s">
        <v>60</v>
      </c>
      <c r="F140" t="s">
        <v>61</v>
      </c>
      <c r="G140" t="s">
        <v>17</v>
      </c>
      <c r="H140" t="s">
        <v>23</v>
      </c>
      <c r="I140">
        <v>2297.96</v>
      </c>
      <c r="J140">
        <v>14</v>
      </c>
      <c r="K140">
        <v>0</v>
      </c>
      <c r="L140">
        <v>988.11999999999898</v>
      </c>
      <c r="M140" t="s">
        <v>37</v>
      </c>
    </row>
    <row r="141" spans="1:13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>
      <c r="A142" t="s">
        <v>331</v>
      </c>
      <c r="B142" s="1">
        <v>42265</v>
      </c>
      <c r="C142" s="1">
        <v>42267</v>
      </c>
      <c r="D142" t="s">
        <v>332</v>
      </c>
      <c r="E142" t="s">
        <v>333</v>
      </c>
      <c r="F142" t="s">
        <v>84</v>
      </c>
      <c r="G142" t="s">
        <v>17</v>
      </c>
      <c r="H142" t="s">
        <v>18</v>
      </c>
      <c r="I142">
        <v>3834</v>
      </c>
      <c r="J142">
        <v>6</v>
      </c>
      <c r="K142">
        <v>0</v>
      </c>
      <c r="L142">
        <v>268.38</v>
      </c>
      <c r="M142" t="s">
        <v>37</v>
      </c>
    </row>
    <row r="143" spans="1:13">
      <c r="A143" t="s">
        <v>304</v>
      </c>
      <c r="B143" s="1">
        <v>41884</v>
      </c>
      <c r="C143" s="1">
        <v>41886</v>
      </c>
      <c r="D143" t="s">
        <v>275</v>
      </c>
      <c r="E143" t="s">
        <v>334</v>
      </c>
      <c r="F143" t="s">
        <v>111</v>
      </c>
      <c r="G143" t="s">
        <v>45</v>
      </c>
      <c r="H143" t="s">
        <v>33</v>
      </c>
      <c r="I143">
        <v>49.12</v>
      </c>
      <c r="J143">
        <v>4</v>
      </c>
      <c r="K143">
        <v>0</v>
      </c>
      <c r="L143">
        <v>23.086399999999902</v>
      </c>
      <c r="M143" t="s">
        <v>27</v>
      </c>
    </row>
    <row r="144" spans="1:13">
      <c r="A144" t="s">
        <v>335</v>
      </c>
      <c r="B144" s="1">
        <v>41489</v>
      </c>
      <c r="C144" s="1">
        <v>41494</v>
      </c>
      <c r="D144" t="s">
        <v>336</v>
      </c>
      <c r="E144" t="s">
        <v>141</v>
      </c>
      <c r="F144" t="s">
        <v>142</v>
      </c>
      <c r="G144" t="s">
        <v>45</v>
      </c>
      <c r="H144" t="s">
        <v>26</v>
      </c>
      <c r="I144">
        <v>3501.7367999999901</v>
      </c>
      <c r="J144">
        <v>8</v>
      </c>
      <c r="K144">
        <v>0.17</v>
      </c>
      <c r="L144">
        <v>210.85679999999999</v>
      </c>
      <c r="M144" t="s">
        <v>37</v>
      </c>
    </row>
    <row r="145" spans="1:13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>
      <c r="A146" t="s">
        <v>339</v>
      </c>
      <c r="B146" s="1">
        <v>41572</v>
      </c>
      <c r="C146" s="1">
        <v>41575</v>
      </c>
      <c r="D146" t="s">
        <v>340</v>
      </c>
      <c r="E146" t="s">
        <v>66</v>
      </c>
      <c r="F146" t="s">
        <v>90</v>
      </c>
      <c r="G146" t="s">
        <v>17</v>
      </c>
      <c r="H146" t="s">
        <v>73</v>
      </c>
      <c r="I146">
        <v>1583.7</v>
      </c>
      <c r="J146">
        <v>5</v>
      </c>
      <c r="K146">
        <v>0</v>
      </c>
      <c r="L146">
        <v>174.14999999999901</v>
      </c>
      <c r="M146" t="s">
        <v>27</v>
      </c>
    </row>
    <row r="147" spans="1:13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>
      <c r="A148" t="s">
        <v>343</v>
      </c>
      <c r="B148" s="1">
        <v>41878</v>
      </c>
      <c r="C148" s="1">
        <v>41880</v>
      </c>
      <c r="D148" t="s">
        <v>344</v>
      </c>
      <c r="E148" t="s">
        <v>15</v>
      </c>
      <c r="F148" t="s">
        <v>16</v>
      </c>
      <c r="G148" t="s">
        <v>32</v>
      </c>
      <c r="H148" t="s">
        <v>33</v>
      </c>
      <c r="I148">
        <v>2760.3449999999998</v>
      </c>
      <c r="J148">
        <v>7</v>
      </c>
      <c r="K148">
        <v>0.1</v>
      </c>
      <c r="L148">
        <v>-214.72499999999999</v>
      </c>
      <c r="M148" t="s">
        <v>37</v>
      </c>
    </row>
    <row r="149" spans="1:13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>
      <c r="A152" t="s">
        <v>349</v>
      </c>
      <c r="B152" s="1">
        <v>41171</v>
      </c>
      <c r="C152" t="s">
        <v>350</v>
      </c>
      <c r="D152" t="s">
        <v>278</v>
      </c>
      <c r="E152" t="s">
        <v>22</v>
      </c>
      <c r="F152" t="s">
        <v>71</v>
      </c>
      <c r="G152" t="s">
        <v>17</v>
      </c>
      <c r="H152" t="s">
        <v>73</v>
      </c>
      <c r="I152">
        <v>3616.5</v>
      </c>
      <c r="J152">
        <v>10</v>
      </c>
      <c r="K152">
        <v>0</v>
      </c>
      <c r="L152">
        <v>36</v>
      </c>
      <c r="M152" t="s">
        <v>27</v>
      </c>
    </row>
    <row r="153" spans="1:13">
      <c r="A153" t="s">
        <v>311</v>
      </c>
      <c r="B153" s="1">
        <v>41712</v>
      </c>
      <c r="C153" s="1">
        <v>41717</v>
      </c>
      <c r="D153" t="s">
        <v>275</v>
      </c>
      <c r="E153" t="s">
        <v>334</v>
      </c>
      <c r="F153" t="s">
        <v>153</v>
      </c>
      <c r="G153" t="s">
        <v>32</v>
      </c>
      <c r="H153" t="s">
        <v>151</v>
      </c>
      <c r="I153">
        <v>127.88</v>
      </c>
      <c r="J153">
        <v>2</v>
      </c>
      <c r="K153">
        <v>0</v>
      </c>
      <c r="L153">
        <v>40.921599999999998</v>
      </c>
      <c r="M153" t="s">
        <v>19</v>
      </c>
    </row>
    <row r="154" spans="1:13">
      <c r="A154" t="s">
        <v>351</v>
      </c>
      <c r="B154" s="1">
        <v>41709</v>
      </c>
      <c r="C154" s="1">
        <v>41713</v>
      </c>
      <c r="D154" t="s">
        <v>352</v>
      </c>
      <c r="E154" t="s">
        <v>15</v>
      </c>
      <c r="F154" t="s">
        <v>16</v>
      </c>
      <c r="G154" t="s">
        <v>17</v>
      </c>
      <c r="H154" t="s">
        <v>33</v>
      </c>
      <c r="I154">
        <v>2892.10499999999</v>
      </c>
      <c r="J154">
        <v>5</v>
      </c>
      <c r="K154">
        <v>0.1</v>
      </c>
      <c r="L154">
        <v>160.60499999999999</v>
      </c>
      <c r="M154" t="s">
        <v>37</v>
      </c>
    </row>
    <row r="155" spans="1:13">
      <c r="A155" t="s">
        <v>353</v>
      </c>
      <c r="B155" s="1">
        <v>41306</v>
      </c>
      <c r="C155" s="1">
        <v>41309</v>
      </c>
      <c r="D155" t="s">
        <v>161</v>
      </c>
      <c r="E155" t="s">
        <v>22</v>
      </c>
      <c r="F155" t="s">
        <v>71</v>
      </c>
      <c r="G155" t="s">
        <v>17</v>
      </c>
      <c r="H155" t="s">
        <v>127</v>
      </c>
      <c r="I155">
        <v>3263.4</v>
      </c>
      <c r="J155">
        <v>5</v>
      </c>
      <c r="K155">
        <v>0</v>
      </c>
      <c r="L155">
        <v>848.4</v>
      </c>
      <c r="M155" t="s">
        <v>354</v>
      </c>
    </row>
    <row r="156" spans="1:13">
      <c r="A156" t="s">
        <v>355</v>
      </c>
      <c r="B156" s="1">
        <v>41712</v>
      </c>
      <c r="C156" s="1">
        <v>41717</v>
      </c>
      <c r="D156" t="s">
        <v>275</v>
      </c>
      <c r="E156" t="s">
        <v>40</v>
      </c>
      <c r="F156" t="s">
        <v>153</v>
      </c>
      <c r="G156" t="s">
        <v>45</v>
      </c>
      <c r="H156" t="s">
        <v>26</v>
      </c>
      <c r="I156">
        <v>46</v>
      </c>
      <c r="J156">
        <v>4</v>
      </c>
      <c r="K156">
        <v>0</v>
      </c>
      <c r="L156">
        <v>20.7</v>
      </c>
      <c r="M156" t="s">
        <v>19</v>
      </c>
    </row>
    <row r="157" spans="1:13">
      <c r="A157" t="s">
        <v>356</v>
      </c>
      <c r="B157" s="1">
        <v>42103</v>
      </c>
      <c r="C157" s="1">
        <v>42107</v>
      </c>
      <c r="D157" t="s">
        <v>357</v>
      </c>
      <c r="E157" t="s">
        <v>358</v>
      </c>
      <c r="F157" t="s">
        <v>98</v>
      </c>
      <c r="G157" t="s">
        <v>32</v>
      </c>
      <c r="H157" t="s">
        <v>26</v>
      </c>
      <c r="I157">
        <v>3117.0879999999902</v>
      </c>
      <c r="J157">
        <v>13</v>
      </c>
      <c r="K157">
        <v>0.2</v>
      </c>
      <c r="L157">
        <v>38.948</v>
      </c>
      <c r="M157" t="s">
        <v>37</v>
      </c>
    </row>
    <row r="158" spans="1:13">
      <c r="A158" t="s">
        <v>359</v>
      </c>
      <c r="B158" s="1">
        <v>41881</v>
      </c>
      <c r="C158" s="1">
        <v>41886</v>
      </c>
      <c r="D158" t="s">
        <v>275</v>
      </c>
      <c r="E158" t="s">
        <v>40</v>
      </c>
      <c r="F158" t="s">
        <v>111</v>
      </c>
      <c r="G158" t="s">
        <v>45</v>
      </c>
      <c r="H158" t="s">
        <v>151</v>
      </c>
      <c r="I158">
        <v>27.93</v>
      </c>
      <c r="J158">
        <v>3</v>
      </c>
      <c r="K158">
        <v>0</v>
      </c>
      <c r="L158">
        <v>8.0996999999999897</v>
      </c>
      <c r="M158" t="s">
        <v>19</v>
      </c>
    </row>
    <row r="159" spans="1:13">
      <c r="A159" t="s">
        <v>360</v>
      </c>
      <c r="B159" s="1">
        <v>42082</v>
      </c>
      <c r="C159" s="1">
        <v>42084</v>
      </c>
      <c r="D159" t="s">
        <v>361</v>
      </c>
      <c r="E159" t="s">
        <v>97</v>
      </c>
      <c r="F159" t="s">
        <v>98</v>
      </c>
      <c r="G159" t="s">
        <v>45</v>
      </c>
      <c r="H159" t="s">
        <v>44</v>
      </c>
      <c r="I159">
        <v>1888.7</v>
      </c>
      <c r="J159">
        <v>5</v>
      </c>
      <c r="K159">
        <v>0</v>
      </c>
      <c r="L159">
        <v>887.6</v>
      </c>
      <c r="M159" t="s">
        <v>37</v>
      </c>
    </row>
    <row r="160" spans="1:13">
      <c r="A160" t="s">
        <v>362</v>
      </c>
      <c r="B160" s="1">
        <v>41914</v>
      </c>
      <c r="C160" s="1">
        <v>41916</v>
      </c>
      <c r="D160" t="s">
        <v>363</v>
      </c>
      <c r="E160" t="s">
        <v>66</v>
      </c>
      <c r="F160" t="s">
        <v>90</v>
      </c>
      <c r="G160" t="s">
        <v>45</v>
      </c>
      <c r="H160" t="s">
        <v>127</v>
      </c>
      <c r="I160">
        <v>3000.7799999999902</v>
      </c>
      <c r="J160">
        <v>6</v>
      </c>
      <c r="K160">
        <v>0</v>
      </c>
      <c r="L160">
        <v>1080.18</v>
      </c>
      <c r="M160" t="s">
        <v>37</v>
      </c>
    </row>
    <row r="161" spans="1:13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>
      <c r="A162" t="s">
        <v>365</v>
      </c>
      <c r="B162" s="1">
        <v>42236</v>
      </c>
      <c r="C162" s="1">
        <v>42241</v>
      </c>
      <c r="D162" t="s">
        <v>366</v>
      </c>
      <c r="E162" t="s">
        <v>55</v>
      </c>
      <c r="F162" t="s">
        <v>56</v>
      </c>
      <c r="G162" t="s">
        <v>17</v>
      </c>
      <c r="H162" t="s">
        <v>73</v>
      </c>
      <c r="I162">
        <v>5211.12</v>
      </c>
      <c r="J162">
        <v>8</v>
      </c>
      <c r="K162">
        <v>0</v>
      </c>
      <c r="L162">
        <v>1146.24</v>
      </c>
      <c r="M162" t="s">
        <v>19</v>
      </c>
    </row>
    <row r="163" spans="1:13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>
      <c r="A165" t="s">
        <v>370</v>
      </c>
      <c r="B165" s="1">
        <v>41535</v>
      </c>
      <c r="C165" s="1">
        <v>41541</v>
      </c>
      <c r="D165" t="s">
        <v>275</v>
      </c>
      <c r="E165" t="s">
        <v>40</v>
      </c>
      <c r="F165" t="s">
        <v>43</v>
      </c>
      <c r="G165" t="s">
        <v>45</v>
      </c>
      <c r="H165" t="s">
        <v>44</v>
      </c>
      <c r="I165">
        <v>18.54</v>
      </c>
      <c r="J165">
        <v>2</v>
      </c>
      <c r="K165">
        <v>0</v>
      </c>
      <c r="L165">
        <v>8.7137999999999902</v>
      </c>
      <c r="M165" t="s">
        <v>19</v>
      </c>
    </row>
    <row r="166" spans="1:13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>
      <c r="A167" t="s">
        <v>372</v>
      </c>
      <c r="B167" s="1">
        <v>41801</v>
      </c>
      <c r="C167" s="1">
        <v>41805</v>
      </c>
      <c r="D167" t="s">
        <v>373</v>
      </c>
      <c r="E167" t="s">
        <v>141</v>
      </c>
      <c r="F167" t="s">
        <v>142</v>
      </c>
      <c r="G167" t="s">
        <v>32</v>
      </c>
      <c r="H167" t="s">
        <v>18</v>
      </c>
      <c r="I167">
        <v>3126.40019999999</v>
      </c>
      <c r="J167">
        <v>9</v>
      </c>
      <c r="K167">
        <v>0.27</v>
      </c>
      <c r="L167">
        <v>-128.719799999999</v>
      </c>
      <c r="M167" t="s">
        <v>37</v>
      </c>
    </row>
    <row r="168" spans="1:13">
      <c r="A168" t="s">
        <v>374</v>
      </c>
      <c r="B168" s="1">
        <v>41130</v>
      </c>
      <c r="C168" s="1">
        <v>41137</v>
      </c>
      <c r="D168" t="s">
        <v>375</v>
      </c>
      <c r="E168" t="s">
        <v>93</v>
      </c>
      <c r="F168" t="s">
        <v>94</v>
      </c>
      <c r="G168" t="s">
        <v>17</v>
      </c>
      <c r="H168" t="s">
        <v>151</v>
      </c>
      <c r="I168">
        <v>5276.9880000000003</v>
      </c>
      <c r="J168">
        <v>9</v>
      </c>
      <c r="K168">
        <v>0.1</v>
      </c>
      <c r="L168">
        <v>1758.8879999999899</v>
      </c>
      <c r="M168" t="s">
        <v>19</v>
      </c>
    </row>
    <row r="169" spans="1:13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>
      <c r="A170" t="s">
        <v>377</v>
      </c>
      <c r="B170" s="1">
        <v>41641</v>
      </c>
      <c r="C170" s="1">
        <v>41642</v>
      </c>
      <c r="D170" t="s">
        <v>378</v>
      </c>
      <c r="E170" t="s">
        <v>15</v>
      </c>
      <c r="F170" t="s">
        <v>16</v>
      </c>
      <c r="G170" t="s">
        <v>32</v>
      </c>
      <c r="H170" t="s">
        <v>26</v>
      </c>
      <c r="I170">
        <v>1637.01</v>
      </c>
      <c r="J170">
        <v>5</v>
      </c>
      <c r="K170">
        <v>0.1</v>
      </c>
      <c r="L170">
        <v>-36.39</v>
      </c>
      <c r="M170" t="s">
        <v>19</v>
      </c>
    </row>
    <row r="171" spans="1:13">
      <c r="A171" t="s">
        <v>304</v>
      </c>
      <c r="B171" s="1">
        <v>41884</v>
      </c>
      <c r="C171" s="1">
        <v>41886</v>
      </c>
      <c r="D171" t="s">
        <v>275</v>
      </c>
      <c r="E171" t="s">
        <v>40</v>
      </c>
      <c r="F171" t="s">
        <v>111</v>
      </c>
      <c r="G171" t="s">
        <v>45</v>
      </c>
      <c r="H171" t="s">
        <v>26</v>
      </c>
      <c r="I171">
        <v>3.048</v>
      </c>
      <c r="J171">
        <v>1</v>
      </c>
      <c r="K171">
        <v>0.2</v>
      </c>
      <c r="L171">
        <v>1.0668</v>
      </c>
      <c r="M171" t="s">
        <v>27</v>
      </c>
    </row>
    <row r="172" spans="1:13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>
      <c r="A174" t="s">
        <v>383</v>
      </c>
      <c r="B174" s="1">
        <v>41076</v>
      </c>
      <c r="C174" s="1">
        <v>41078</v>
      </c>
      <c r="D174" t="s">
        <v>384</v>
      </c>
      <c r="E174" t="s">
        <v>66</v>
      </c>
      <c r="F174" t="s">
        <v>90</v>
      </c>
      <c r="G174" t="s">
        <v>32</v>
      </c>
      <c r="H174" t="s">
        <v>26</v>
      </c>
      <c r="I174">
        <v>3238.3049999999998</v>
      </c>
      <c r="J174">
        <v>5</v>
      </c>
      <c r="K174">
        <v>0.3</v>
      </c>
      <c r="L174" t="s">
        <v>385</v>
      </c>
      <c r="M174" t="s">
        <v>37</v>
      </c>
    </row>
    <row r="175" spans="1:13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>
      <c r="A176" t="s">
        <v>388</v>
      </c>
      <c r="B176" s="1">
        <v>41045</v>
      </c>
      <c r="C176" s="1">
        <v>41048</v>
      </c>
      <c r="D176" t="s">
        <v>389</v>
      </c>
      <c r="E176" t="s">
        <v>97</v>
      </c>
      <c r="F176" t="s">
        <v>98</v>
      </c>
      <c r="G176" t="s">
        <v>17</v>
      </c>
      <c r="H176" t="s">
        <v>44</v>
      </c>
      <c r="I176">
        <v>2124.5</v>
      </c>
      <c r="J176">
        <v>5</v>
      </c>
      <c r="K176">
        <v>0</v>
      </c>
      <c r="L176">
        <v>488.6</v>
      </c>
      <c r="M176" t="s">
        <v>37</v>
      </c>
    </row>
    <row r="177" spans="1:13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>
      <c r="A178" t="s">
        <v>393</v>
      </c>
      <c r="B178" s="1">
        <v>41924</v>
      </c>
      <c r="C178" s="1">
        <v>41924</v>
      </c>
      <c r="D178" t="s">
        <v>394</v>
      </c>
      <c r="E178" t="s">
        <v>197</v>
      </c>
      <c r="F178" t="s">
        <v>77</v>
      </c>
      <c r="G178" t="s">
        <v>17</v>
      </c>
      <c r="H178" t="s">
        <v>26</v>
      </c>
      <c r="I178">
        <v>1549.98</v>
      </c>
      <c r="J178">
        <v>6</v>
      </c>
      <c r="K178">
        <v>0</v>
      </c>
      <c r="L178">
        <v>139.32</v>
      </c>
      <c r="M178" t="s">
        <v>27</v>
      </c>
    </row>
    <row r="179" spans="1:13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>
      <c r="A180" t="s">
        <v>396</v>
      </c>
      <c r="B180" s="1">
        <v>42202</v>
      </c>
      <c r="C180" s="1">
        <v>42204</v>
      </c>
      <c r="D180" t="s">
        <v>397</v>
      </c>
      <c r="E180" t="s">
        <v>398</v>
      </c>
      <c r="F180" t="s">
        <v>87</v>
      </c>
      <c r="G180" t="s">
        <v>45</v>
      </c>
      <c r="H180" t="s">
        <v>18</v>
      </c>
      <c r="I180">
        <v>3146.3999999999901</v>
      </c>
      <c r="J180">
        <v>6</v>
      </c>
      <c r="K180">
        <v>0</v>
      </c>
      <c r="L180">
        <v>629.28</v>
      </c>
      <c r="M180" t="s">
        <v>27</v>
      </c>
    </row>
    <row r="181" spans="1:13">
      <c r="A181" t="s">
        <v>399</v>
      </c>
      <c r="B181" s="1">
        <v>42330</v>
      </c>
      <c r="C181" s="1">
        <v>42336</v>
      </c>
      <c r="D181" t="s">
        <v>400</v>
      </c>
      <c r="E181" t="s">
        <v>70</v>
      </c>
      <c r="F181" t="s">
        <v>71</v>
      </c>
      <c r="G181" t="s">
        <v>17</v>
      </c>
      <c r="H181" t="s">
        <v>127</v>
      </c>
      <c r="I181">
        <v>2456.6190000000001</v>
      </c>
      <c r="J181">
        <v>11</v>
      </c>
      <c r="K181">
        <v>0.15</v>
      </c>
      <c r="L181">
        <v>664.71900000000005</v>
      </c>
      <c r="M181" t="s">
        <v>74</v>
      </c>
    </row>
    <row r="182" spans="1:13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>
      <c r="A183" t="s">
        <v>326</v>
      </c>
      <c r="B183" s="1">
        <v>42314</v>
      </c>
      <c r="C183" s="1">
        <v>42316</v>
      </c>
      <c r="D183" t="s">
        <v>275</v>
      </c>
      <c r="E183" t="s">
        <v>40</v>
      </c>
      <c r="F183" t="s">
        <v>41</v>
      </c>
      <c r="G183" t="s">
        <v>45</v>
      </c>
      <c r="H183" t="s">
        <v>127</v>
      </c>
      <c r="I183">
        <v>4.41</v>
      </c>
      <c r="J183">
        <v>1</v>
      </c>
      <c r="K183">
        <v>0</v>
      </c>
      <c r="L183">
        <v>2.0286</v>
      </c>
      <c r="M183" t="s">
        <v>37</v>
      </c>
    </row>
    <row r="184" spans="1:13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>
      <c r="A185" t="s">
        <v>404</v>
      </c>
      <c r="B185" s="1">
        <v>42245</v>
      </c>
      <c r="C185" s="1">
        <v>42250</v>
      </c>
      <c r="D185" t="s">
        <v>405</v>
      </c>
      <c r="E185" t="s">
        <v>70</v>
      </c>
      <c r="F185" t="s">
        <v>71</v>
      </c>
      <c r="G185" t="s">
        <v>17</v>
      </c>
      <c r="H185" t="s">
        <v>33</v>
      </c>
      <c r="I185">
        <v>4876.875</v>
      </c>
      <c r="J185">
        <v>9</v>
      </c>
      <c r="K185">
        <v>0.15</v>
      </c>
      <c r="L185">
        <v>745.875</v>
      </c>
      <c r="M185" t="s">
        <v>19</v>
      </c>
    </row>
    <row r="186" spans="1:13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>
      <c r="A187" t="s">
        <v>143</v>
      </c>
      <c r="B187" s="1">
        <v>42319</v>
      </c>
      <c r="C187" s="1">
        <v>42323</v>
      </c>
      <c r="D187" t="s">
        <v>144</v>
      </c>
      <c r="E187" t="s">
        <v>114</v>
      </c>
      <c r="F187" t="s">
        <v>115</v>
      </c>
      <c r="G187" t="s">
        <v>45</v>
      </c>
      <c r="H187" t="s">
        <v>26</v>
      </c>
      <c r="I187">
        <v>3622.28999999999</v>
      </c>
      <c r="J187">
        <v>7</v>
      </c>
      <c r="K187">
        <v>0</v>
      </c>
      <c r="L187">
        <v>1267.77</v>
      </c>
      <c r="M187" t="s">
        <v>37</v>
      </c>
    </row>
    <row r="188" spans="1:13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>
      <c r="A189" t="s">
        <v>409</v>
      </c>
      <c r="B189" s="1">
        <v>41136</v>
      </c>
      <c r="C189" s="1">
        <v>41141</v>
      </c>
      <c r="D189" t="s">
        <v>410</v>
      </c>
      <c r="E189" t="s">
        <v>93</v>
      </c>
      <c r="F189" t="s">
        <v>94</v>
      </c>
      <c r="G189" t="s">
        <v>17</v>
      </c>
      <c r="H189" t="s">
        <v>73</v>
      </c>
      <c r="I189">
        <v>4453.05</v>
      </c>
      <c r="J189">
        <v>7</v>
      </c>
      <c r="K189">
        <v>0</v>
      </c>
      <c r="L189">
        <v>1424.85</v>
      </c>
      <c r="M189" t="s">
        <v>19</v>
      </c>
    </row>
    <row r="190" spans="1:13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>
      <c r="A193" t="s">
        <v>417</v>
      </c>
      <c r="B193" s="1">
        <v>42301</v>
      </c>
      <c r="C193" s="1">
        <v>42302</v>
      </c>
      <c r="D193" t="s">
        <v>418</v>
      </c>
      <c r="E193" t="s">
        <v>40</v>
      </c>
      <c r="F193" t="s">
        <v>111</v>
      </c>
      <c r="G193" t="s">
        <v>32</v>
      </c>
      <c r="H193" t="s">
        <v>23</v>
      </c>
      <c r="I193">
        <v>637.89599999999996</v>
      </c>
      <c r="J193">
        <v>3</v>
      </c>
      <c r="K193">
        <v>0.3</v>
      </c>
      <c r="L193">
        <v>-127.57919999999901</v>
      </c>
      <c r="M193" t="s">
        <v>27</v>
      </c>
    </row>
    <row r="194" spans="1:13">
      <c r="A194" t="s">
        <v>419</v>
      </c>
      <c r="B194" s="1">
        <v>42197</v>
      </c>
      <c r="C194" s="1">
        <v>42199</v>
      </c>
      <c r="D194" t="s">
        <v>420</v>
      </c>
      <c r="E194" t="s">
        <v>141</v>
      </c>
      <c r="F194" t="s">
        <v>142</v>
      </c>
      <c r="G194" t="s">
        <v>45</v>
      </c>
      <c r="H194" t="s">
        <v>44</v>
      </c>
      <c r="I194">
        <v>1722.2831999999901</v>
      </c>
      <c r="J194">
        <v>4</v>
      </c>
      <c r="K194">
        <v>0.17</v>
      </c>
      <c r="L194">
        <v>539.44319999999902</v>
      </c>
      <c r="M194" t="s">
        <v>27</v>
      </c>
    </row>
    <row r="195" spans="1:13">
      <c r="A195" t="s">
        <v>417</v>
      </c>
      <c r="B195" t="s">
        <v>421</v>
      </c>
      <c r="C195" s="1">
        <v>42302</v>
      </c>
      <c r="D195" t="s">
        <v>422</v>
      </c>
      <c r="E195" t="s">
        <v>40</v>
      </c>
      <c r="F195" t="s">
        <v>111</v>
      </c>
      <c r="G195" t="s">
        <v>32</v>
      </c>
      <c r="H195" t="s">
        <v>46</v>
      </c>
      <c r="I195">
        <v>210.68</v>
      </c>
      <c r="J195">
        <v>2</v>
      </c>
      <c r="K195">
        <v>0</v>
      </c>
      <c r="L195">
        <v>50.563199999999902</v>
      </c>
      <c r="M195" t="s">
        <v>27</v>
      </c>
    </row>
    <row r="196" spans="1:13">
      <c r="A196" t="s">
        <v>423</v>
      </c>
      <c r="B196" s="1">
        <v>42248</v>
      </c>
      <c r="C196" s="1">
        <v>42248</v>
      </c>
      <c r="D196" t="s">
        <v>424</v>
      </c>
      <c r="E196" t="s">
        <v>22</v>
      </c>
      <c r="F196" t="s">
        <v>71</v>
      </c>
      <c r="G196" t="s">
        <v>45</v>
      </c>
      <c r="H196" t="s">
        <v>73</v>
      </c>
      <c r="I196">
        <v>1007.424</v>
      </c>
      <c r="J196">
        <v>2</v>
      </c>
      <c r="K196">
        <v>0.1</v>
      </c>
      <c r="L196">
        <v>134.30399999999901</v>
      </c>
      <c r="M196" t="s">
        <v>27</v>
      </c>
    </row>
    <row r="197" spans="1:13">
      <c r="A197" t="s">
        <v>417</v>
      </c>
      <c r="B197" s="1">
        <v>42301</v>
      </c>
      <c r="C197" s="1">
        <v>42302</v>
      </c>
      <c r="D197" t="s">
        <v>418</v>
      </c>
      <c r="E197" t="s">
        <v>40</v>
      </c>
      <c r="F197" t="s">
        <v>111</v>
      </c>
      <c r="G197" t="s">
        <v>32</v>
      </c>
      <c r="H197" t="s">
        <v>26</v>
      </c>
      <c r="I197">
        <v>240.744</v>
      </c>
      <c r="J197">
        <v>4</v>
      </c>
      <c r="K197">
        <v>0.3</v>
      </c>
      <c r="L197">
        <v>-13.756799999999901</v>
      </c>
      <c r="M197" t="s">
        <v>27</v>
      </c>
    </row>
    <row r="198" spans="1:13">
      <c r="A198" t="s">
        <v>425</v>
      </c>
      <c r="B198" s="1">
        <v>41066</v>
      </c>
      <c r="C198" s="1">
        <v>41070</v>
      </c>
      <c r="D198" t="s">
        <v>426</v>
      </c>
      <c r="E198" t="s">
        <v>15</v>
      </c>
      <c r="F198" t="s">
        <v>16</v>
      </c>
      <c r="G198" t="s">
        <v>45</v>
      </c>
      <c r="H198" t="s">
        <v>73</v>
      </c>
      <c r="I198">
        <v>4624.29</v>
      </c>
      <c r="J198">
        <v>9</v>
      </c>
      <c r="K198">
        <v>0.1</v>
      </c>
      <c r="L198">
        <v>1644.03</v>
      </c>
      <c r="M198" t="s">
        <v>19</v>
      </c>
    </row>
    <row r="199" spans="1:13">
      <c r="A199" t="s">
        <v>427</v>
      </c>
      <c r="B199" s="1">
        <v>41194</v>
      </c>
      <c r="C199" s="1">
        <v>41194</v>
      </c>
      <c r="D199" t="s">
        <v>428</v>
      </c>
      <c r="E199" t="s">
        <v>429</v>
      </c>
      <c r="F199" t="s">
        <v>71</v>
      </c>
      <c r="G199" t="s">
        <v>45</v>
      </c>
      <c r="H199" t="s">
        <v>299</v>
      </c>
      <c r="I199">
        <v>1066.4459999999999</v>
      </c>
      <c r="J199">
        <v>6</v>
      </c>
      <c r="K199">
        <v>0.1</v>
      </c>
      <c r="L199">
        <v>-11.933999999999999</v>
      </c>
      <c r="M199" t="s">
        <v>27</v>
      </c>
    </row>
    <row r="200" spans="1:13">
      <c r="A200" t="s">
        <v>430</v>
      </c>
      <c r="B200" s="1">
        <v>41800</v>
      </c>
      <c r="C200" s="1">
        <v>41800</v>
      </c>
      <c r="D200" t="s">
        <v>431</v>
      </c>
      <c r="E200" t="s">
        <v>66</v>
      </c>
      <c r="F200" t="s">
        <v>90</v>
      </c>
      <c r="G200" t="s">
        <v>17</v>
      </c>
      <c r="H200" t="s">
        <v>73</v>
      </c>
      <c r="I200">
        <v>957.599999999999</v>
      </c>
      <c r="J200">
        <v>4</v>
      </c>
      <c r="K200">
        <v>0</v>
      </c>
      <c r="L200">
        <v>0</v>
      </c>
      <c r="M200" t="s">
        <v>408</v>
      </c>
    </row>
    <row r="201" spans="1:13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>
      <c r="A206" t="s">
        <v>441</v>
      </c>
      <c r="B206" s="1">
        <v>41817</v>
      </c>
      <c r="C206" s="1">
        <v>41817</v>
      </c>
      <c r="D206" t="s">
        <v>418</v>
      </c>
      <c r="E206" t="s">
        <v>40</v>
      </c>
      <c r="F206" t="s">
        <v>43</v>
      </c>
      <c r="G206" t="s">
        <v>45</v>
      </c>
      <c r="H206" t="s">
        <v>299</v>
      </c>
      <c r="I206" t="s">
        <v>163</v>
      </c>
      <c r="J206">
        <v>2</v>
      </c>
      <c r="K206">
        <v>0</v>
      </c>
      <c r="L206">
        <v>11.585999999999901</v>
      </c>
      <c r="M206" t="s">
        <v>27</v>
      </c>
    </row>
    <row r="207" spans="1:13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>
      <c r="A208" t="s">
        <v>443</v>
      </c>
      <c r="B208" s="1">
        <v>41129</v>
      </c>
      <c r="C208" s="1">
        <v>41129</v>
      </c>
      <c r="D208" t="s">
        <v>444</v>
      </c>
      <c r="E208" t="s">
        <v>119</v>
      </c>
      <c r="F208" t="s">
        <v>120</v>
      </c>
      <c r="G208" t="s">
        <v>17</v>
      </c>
      <c r="H208" t="s">
        <v>127</v>
      </c>
      <c r="I208">
        <v>2044.8</v>
      </c>
      <c r="J208">
        <v>6</v>
      </c>
      <c r="K208">
        <v>0.2</v>
      </c>
      <c r="L208">
        <v>-332.28</v>
      </c>
      <c r="M208" t="s">
        <v>37</v>
      </c>
    </row>
    <row r="209" spans="1:13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>
      <c r="A210" t="s">
        <v>446</v>
      </c>
      <c r="B210" s="1">
        <v>41488</v>
      </c>
      <c r="C210" s="2">
        <v>74361</v>
      </c>
      <c r="D210" t="s">
        <v>447</v>
      </c>
      <c r="E210" t="s">
        <v>66</v>
      </c>
      <c r="F210" t="s">
        <v>90</v>
      </c>
      <c r="G210" t="s">
        <v>17</v>
      </c>
      <c r="H210" t="s">
        <v>26</v>
      </c>
      <c r="I210">
        <v>1521</v>
      </c>
      <c r="J210">
        <v>4</v>
      </c>
      <c r="K210">
        <v>0</v>
      </c>
      <c r="L210">
        <v>0</v>
      </c>
      <c r="M210" t="s">
        <v>37</v>
      </c>
    </row>
    <row r="211" spans="1:13">
      <c r="A211" t="s">
        <v>448</v>
      </c>
      <c r="B211" s="1">
        <v>41444</v>
      </c>
      <c r="C211" s="1">
        <v>41444</v>
      </c>
      <c r="D211" t="s">
        <v>268</v>
      </c>
      <c r="E211" t="s">
        <v>70</v>
      </c>
      <c r="F211" t="s">
        <v>71</v>
      </c>
      <c r="G211" t="s">
        <v>45</v>
      </c>
      <c r="H211" t="s">
        <v>26</v>
      </c>
      <c r="I211">
        <v>2443.9050000000002</v>
      </c>
      <c r="J211">
        <v>5</v>
      </c>
      <c r="K211">
        <v>0.1</v>
      </c>
      <c r="L211">
        <v>760.30499999999904</v>
      </c>
      <c r="M211" t="s">
        <v>37</v>
      </c>
    </row>
    <row r="212" spans="1:13">
      <c r="A212" t="s">
        <v>449</v>
      </c>
      <c r="B212" s="1">
        <v>42101</v>
      </c>
      <c r="C212" s="1">
        <v>42106</v>
      </c>
      <c r="D212" t="s">
        <v>418</v>
      </c>
      <c r="E212" t="s">
        <v>450</v>
      </c>
      <c r="F212" t="s">
        <v>451</v>
      </c>
      <c r="G212" t="s">
        <v>45</v>
      </c>
      <c r="H212" t="s">
        <v>33</v>
      </c>
      <c r="I212">
        <v>137.31</v>
      </c>
      <c r="J212">
        <v>1</v>
      </c>
      <c r="K212">
        <v>0</v>
      </c>
      <c r="L212">
        <v>54.9</v>
      </c>
      <c r="M212" t="s">
        <v>37</v>
      </c>
    </row>
    <row r="213" spans="1:13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>
      <c r="A216" t="s">
        <v>456</v>
      </c>
      <c r="B216" s="1">
        <v>41909</v>
      </c>
      <c r="C216" s="1">
        <v>41909</v>
      </c>
      <c r="D216" t="s">
        <v>457</v>
      </c>
      <c r="E216" t="s">
        <v>197</v>
      </c>
      <c r="F216" t="s">
        <v>77</v>
      </c>
      <c r="G216" t="s">
        <v>32</v>
      </c>
      <c r="H216" t="s">
        <v>299</v>
      </c>
      <c r="I216">
        <v>1091.25</v>
      </c>
      <c r="J216">
        <v>3</v>
      </c>
      <c r="K216">
        <v>0</v>
      </c>
      <c r="L216">
        <v>119.97</v>
      </c>
      <c r="M216" t="s">
        <v>27</v>
      </c>
    </row>
    <row r="217" spans="1:13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>
      <c r="A219" t="s">
        <v>461</v>
      </c>
      <c r="B219" s="1">
        <v>41108</v>
      </c>
      <c r="C219" s="1">
        <v>41109</v>
      </c>
      <c r="D219" t="s">
        <v>462</v>
      </c>
      <c r="E219" t="s">
        <v>310</v>
      </c>
      <c r="F219" t="s">
        <v>142</v>
      </c>
      <c r="G219" t="s">
        <v>17</v>
      </c>
      <c r="H219" t="s">
        <v>151</v>
      </c>
      <c r="I219">
        <v>2555.64</v>
      </c>
      <c r="J219">
        <v>4</v>
      </c>
      <c r="K219">
        <v>0</v>
      </c>
      <c r="L219">
        <v>664.43999999999903</v>
      </c>
      <c r="M219" t="s">
        <v>37</v>
      </c>
    </row>
    <row r="220" spans="1:13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>
      <c r="A222" t="s">
        <v>465</v>
      </c>
      <c r="B222" s="1">
        <v>42308</v>
      </c>
      <c r="C222" s="1">
        <v>42311</v>
      </c>
      <c r="D222" t="s">
        <v>196</v>
      </c>
      <c r="E222" t="s">
        <v>66</v>
      </c>
      <c r="F222" t="s">
        <v>90</v>
      </c>
      <c r="G222" t="s">
        <v>17</v>
      </c>
      <c r="H222" t="s">
        <v>151</v>
      </c>
      <c r="I222">
        <v>2272.86</v>
      </c>
      <c r="J222">
        <v>6</v>
      </c>
      <c r="K222">
        <v>0</v>
      </c>
      <c r="L222">
        <v>977.22</v>
      </c>
      <c r="M222" t="s">
        <v>37</v>
      </c>
    </row>
    <row r="223" spans="1:13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>
      <c r="A224" t="s">
        <v>468</v>
      </c>
      <c r="B224" s="1">
        <v>42284</v>
      </c>
      <c r="C224" s="1">
        <v>42288</v>
      </c>
      <c r="D224" t="s">
        <v>469</v>
      </c>
      <c r="E224" t="s">
        <v>114</v>
      </c>
      <c r="F224" t="s">
        <v>115</v>
      </c>
      <c r="G224" t="s">
        <v>17</v>
      </c>
      <c r="H224" t="s">
        <v>33</v>
      </c>
      <c r="I224">
        <v>2582.16</v>
      </c>
      <c r="J224">
        <v>4</v>
      </c>
      <c r="K224">
        <v>0</v>
      </c>
      <c r="L224">
        <v>361.44</v>
      </c>
      <c r="M224" t="s">
        <v>37</v>
      </c>
    </row>
    <row r="225" spans="1:13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>
      <c r="A227" t="s">
        <v>474</v>
      </c>
      <c r="B227" s="1">
        <v>42316</v>
      </c>
      <c r="C227" s="1">
        <v>42318</v>
      </c>
      <c r="D227" t="s">
        <v>475</v>
      </c>
      <c r="E227" t="s">
        <v>250</v>
      </c>
      <c r="F227" t="s">
        <v>142</v>
      </c>
      <c r="G227" t="s">
        <v>165</v>
      </c>
      <c r="H227" t="s">
        <v>26</v>
      </c>
      <c r="I227">
        <v>1538.72099999999</v>
      </c>
      <c r="J227" t="s">
        <v>63</v>
      </c>
      <c r="K227">
        <v>0.15</v>
      </c>
      <c r="L227">
        <v>325.70100000000002</v>
      </c>
      <c r="M227" t="s">
        <v>37</v>
      </c>
    </row>
    <row r="228" spans="1:13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>
      <c r="A229" t="s">
        <v>476</v>
      </c>
      <c r="B229" s="1">
        <v>41172</v>
      </c>
      <c r="C229" s="1">
        <v>41174</v>
      </c>
      <c r="D229" t="s">
        <v>477</v>
      </c>
      <c r="E229" t="s">
        <v>70</v>
      </c>
      <c r="F229" t="s">
        <v>71</v>
      </c>
      <c r="G229" t="s">
        <v>478</v>
      </c>
      <c r="H229" t="s">
        <v>73</v>
      </c>
      <c r="I229">
        <v>1181.547</v>
      </c>
      <c r="J229">
        <v>3</v>
      </c>
      <c r="K229">
        <v>0.1</v>
      </c>
      <c r="L229">
        <v>498.80700000000002</v>
      </c>
      <c r="M229" t="s">
        <v>27</v>
      </c>
    </row>
    <row r="230" spans="1:13">
      <c r="A230" t="s">
        <v>479</v>
      </c>
      <c r="B230" s="1">
        <v>41080</v>
      </c>
      <c r="C230" s="1">
        <v>41083</v>
      </c>
      <c r="D230" t="s">
        <v>480</v>
      </c>
      <c r="E230" t="s">
        <v>70</v>
      </c>
      <c r="F230" t="s">
        <v>71</v>
      </c>
      <c r="G230" t="s">
        <v>32</v>
      </c>
      <c r="H230" t="s">
        <v>23</v>
      </c>
      <c r="I230">
        <v>1696.24799999999</v>
      </c>
      <c r="J230">
        <v>4</v>
      </c>
      <c r="K230">
        <v>0.1</v>
      </c>
      <c r="L230" t="s">
        <v>481</v>
      </c>
      <c r="M230" t="s">
        <v>37</v>
      </c>
    </row>
    <row r="231" spans="1:13">
      <c r="A231" t="s">
        <v>482</v>
      </c>
      <c r="B231" s="1">
        <v>42273</v>
      </c>
      <c r="C231" s="1">
        <v>42276</v>
      </c>
      <c r="D231" t="s">
        <v>418</v>
      </c>
      <c r="E231" t="s">
        <v>40</v>
      </c>
      <c r="F231" t="s">
        <v>111</v>
      </c>
      <c r="G231" t="s">
        <v>165</v>
      </c>
      <c r="H231" t="s">
        <v>151</v>
      </c>
      <c r="I231">
        <v>190.89599999999999</v>
      </c>
      <c r="J231">
        <v>2</v>
      </c>
      <c r="K231">
        <v>0.2</v>
      </c>
      <c r="L231">
        <v>-42.951599999999999</v>
      </c>
      <c r="M231" t="s">
        <v>19</v>
      </c>
    </row>
    <row r="232" spans="1:13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>
      <c r="A233" t="s">
        <v>485</v>
      </c>
      <c r="B233" s="1">
        <v>42334</v>
      </c>
      <c r="C233" s="1">
        <v>42337</v>
      </c>
      <c r="D233" t="s">
        <v>275</v>
      </c>
      <c r="E233" t="s">
        <v>437</v>
      </c>
      <c r="F233" t="s">
        <v>438</v>
      </c>
      <c r="G233" t="s">
        <v>45</v>
      </c>
      <c r="H233" t="s">
        <v>33</v>
      </c>
      <c r="I233">
        <v>1237.56</v>
      </c>
      <c r="J233">
        <v>4</v>
      </c>
      <c r="K233">
        <v>0</v>
      </c>
      <c r="L233">
        <v>606.36</v>
      </c>
      <c r="M233" t="s">
        <v>27</v>
      </c>
    </row>
    <row r="234" spans="1:13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>
      <c r="A237" t="s">
        <v>491</v>
      </c>
      <c r="B237" s="1">
        <v>41487</v>
      </c>
      <c r="C237" s="1">
        <v>41492</v>
      </c>
      <c r="D237" t="s">
        <v>492</v>
      </c>
      <c r="E237" t="s">
        <v>93</v>
      </c>
      <c r="F237" t="s">
        <v>94</v>
      </c>
      <c r="G237" t="s">
        <v>45</v>
      </c>
      <c r="H237" t="s">
        <v>73</v>
      </c>
      <c r="I237">
        <v>3979.29</v>
      </c>
      <c r="J237">
        <v>7</v>
      </c>
      <c r="K237">
        <v>0</v>
      </c>
      <c r="L237">
        <v>1989.53999999999</v>
      </c>
      <c r="M237" t="s">
        <v>19</v>
      </c>
    </row>
    <row r="238" spans="1:13">
      <c r="A238" t="s">
        <v>445</v>
      </c>
      <c r="B238" s="1">
        <v>41991</v>
      </c>
      <c r="C238" s="1">
        <v>41995</v>
      </c>
      <c r="D238" t="s">
        <v>418</v>
      </c>
      <c r="E238" t="s">
        <v>40</v>
      </c>
      <c r="F238" t="s">
        <v>493</v>
      </c>
      <c r="G238" t="s">
        <v>45</v>
      </c>
      <c r="H238" t="s">
        <v>46</v>
      </c>
      <c r="I238">
        <v>51.84</v>
      </c>
      <c r="J238">
        <v>10</v>
      </c>
      <c r="K238">
        <v>0.2</v>
      </c>
      <c r="L238">
        <v>18.143999999999998</v>
      </c>
      <c r="M238" t="s">
        <v>19</v>
      </c>
    </row>
    <row r="239" spans="1:13">
      <c r="A239" t="s">
        <v>441</v>
      </c>
      <c r="B239" s="1">
        <v>41817</v>
      </c>
      <c r="C239" s="1">
        <v>41817</v>
      </c>
      <c r="D239" t="s">
        <v>418</v>
      </c>
      <c r="E239" t="s">
        <v>40</v>
      </c>
      <c r="F239" t="s">
        <v>43</v>
      </c>
      <c r="G239" t="s">
        <v>45</v>
      </c>
      <c r="H239" t="s">
        <v>73</v>
      </c>
      <c r="I239">
        <v>17.899999999999999</v>
      </c>
      <c r="J239">
        <v>5</v>
      </c>
      <c r="K239">
        <v>0</v>
      </c>
      <c r="L239">
        <v>8.9499999999999993</v>
      </c>
      <c r="M239" t="s">
        <v>27</v>
      </c>
    </row>
    <row r="240" spans="1:13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>
      <c r="A241" t="s">
        <v>494</v>
      </c>
      <c r="B241" s="1">
        <v>41662</v>
      </c>
      <c r="C241" s="1">
        <v>41666</v>
      </c>
      <c r="D241" t="s">
        <v>467</v>
      </c>
      <c r="E241" t="s">
        <v>495</v>
      </c>
      <c r="F241" t="s">
        <v>56</v>
      </c>
      <c r="G241" t="s">
        <v>32</v>
      </c>
      <c r="H241" t="s">
        <v>127</v>
      </c>
      <c r="I241">
        <v>2058</v>
      </c>
      <c r="J241">
        <v>4</v>
      </c>
      <c r="K241">
        <v>0</v>
      </c>
      <c r="L241">
        <v>946.68</v>
      </c>
      <c r="M241" t="s">
        <v>37</v>
      </c>
    </row>
    <row r="242" spans="1:13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>
      <c r="A243" t="s">
        <v>498</v>
      </c>
      <c r="B243" s="1">
        <v>42275</v>
      </c>
      <c r="C243" s="1">
        <v>42278</v>
      </c>
      <c r="D243" t="s">
        <v>499</v>
      </c>
      <c r="E243" t="s">
        <v>93</v>
      </c>
      <c r="F243" t="s">
        <v>94</v>
      </c>
      <c r="G243" t="s">
        <v>32</v>
      </c>
      <c r="H243" t="s">
        <v>44</v>
      </c>
      <c r="I243">
        <v>2898.21</v>
      </c>
      <c r="J243">
        <v>7</v>
      </c>
      <c r="K243">
        <v>0</v>
      </c>
      <c r="L243">
        <v>1420.02</v>
      </c>
      <c r="M243" t="s">
        <v>37</v>
      </c>
    </row>
    <row r="244" spans="1:13">
      <c r="A244" t="s">
        <v>500</v>
      </c>
      <c r="B244" s="1">
        <v>41218</v>
      </c>
      <c r="C244" s="1">
        <v>41220</v>
      </c>
      <c r="D244" t="s">
        <v>501</v>
      </c>
      <c r="E244" t="s">
        <v>70</v>
      </c>
      <c r="F244" t="s">
        <v>71</v>
      </c>
      <c r="G244" t="s">
        <v>17</v>
      </c>
      <c r="H244" t="s">
        <v>151</v>
      </c>
      <c r="I244">
        <v>1320.0074999999999</v>
      </c>
      <c r="J244">
        <v>5</v>
      </c>
      <c r="K244">
        <v>0.15</v>
      </c>
      <c r="L244">
        <v>357.15750000000003</v>
      </c>
      <c r="M244" t="s">
        <v>27</v>
      </c>
    </row>
    <row r="245" spans="1:13">
      <c r="A245" t="s">
        <v>502</v>
      </c>
      <c r="B245" s="1">
        <v>42032</v>
      </c>
      <c r="C245" s="1">
        <v>42034</v>
      </c>
      <c r="D245" t="s">
        <v>503</v>
      </c>
      <c r="E245" t="s">
        <v>504</v>
      </c>
      <c r="F245" t="s">
        <v>94</v>
      </c>
      <c r="G245" t="s">
        <v>32</v>
      </c>
      <c r="H245" t="s">
        <v>151</v>
      </c>
      <c r="I245">
        <v>2171.16</v>
      </c>
      <c r="J245" t="s">
        <v>505</v>
      </c>
      <c r="K245">
        <v>0.7</v>
      </c>
      <c r="L245">
        <v>-2750.2799999999902</v>
      </c>
      <c r="M245" t="s">
        <v>37</v>
      </c>
    </row>
    <row r="246" spans="1:13">
      <c r="A246" t="s">
        <v>506</v>
      </c>
      <c r="B246" s="1">
        <v>42260</v>
      </c>
      <c r="C246" t="s">
        <v>125</v>
      </c>
      <c r="D246" t="s">
        <v>507</v>
      </c>
      <c r="E246" t="s">
        <v>15</v>
      </c>
      <c r="F246" t="s">
        <v>16</v>
      </c>
      <c r="G246" t="s">
        <v>17</v>
      </c>
      <c r="H246" t="s">
        <v>127</v>
      </c>
      <c r="I246">
        <v>4448.223</v>
      </c>
      <c r="J246">
        <v>13</v>
      </c>
      <c r="K246">
        <v>0.1</v>
      </c>
      <c r="L246">
        <v>444.483</v>
      </c>
      <c r="M246" t="s">
        <v>19</v>
      </c>
    </row>
    <row r="247" spans="1:13">
      <c r="A247" t="s">
        <v>508</v>
      </c>
      <c r="B247" s="1">
        <v>42335</v>
      </c>
      <c r="C247" s="1">
        <v>42016</v>
      </c>
      <c r="D247" t="s">
        <v>418</v>
      </c>
      <c r="E247" t="s">
        <v>40</v>
      </c>
      <c r="F247" t="s">
        <v>153</v>
      </c>
      <c r="G247" t="s">
        <v>45</v>
      </c>
      <c r="H247" t="s">
        <v>44</v>
      </c>
      <c r="I247">
        <v>12.84</v>
      </c>
      <c r="J247">
        <v>3</v>
      </c>
      <c r="K247">
        <v>0</v>
      </c>
      <c r="L247">
        <v>3.72359999999999</v>
      </c>
      <c r="M247" t="s">
        <v>19</v>
      </c>
    </row>
    <row r="248" spans="1:13">
      <c r="A248" t="s">
        <v>509</v>
      </c>
      <c r="B248" s="1">
        <v>41264</v>
      </c>
      <c r="C248" s="1">
        <v>41266</v>
      </c>
      <c r="D248" t="s">
        <v>510</v>
      </c>
      <c r="E248" t="s">
        <v>511</v>
      </c>
      <c r="F248" t="s">
        <v>61</v>
      </c>
      <c r="G248" t="s">
        <v>17</v>
      </c>
      <c r="H248" t="s">
        <v>33</v>
      </c>
      <c r="I248">
        <v>2300.61599999999</v>
      </c>
      <c r="J248">
        <v>9</v>
      </c>
      <c r="K248">
        <v>0.4</v>
      </c>
      <c r="L248">
        <v>38.196000000000097</v>
      </c>
      <c r="M248" t="s">
        <v>37</v>
      </c>
    </row>
    <row r="249" spans="1:13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>
      <c r="A251" t="s">
        <v>417</v>
      </c>
      <c r="B251" s="1">
        <v>42301</v>
      </c>
      <c r="C251" s="1">
        <v>42302</v>
      </c>
      <c r="D251" t="s">
        <v>418</v>
      </c>
      <c r="E251" t="s">
        <v>40</v>
      </c>
      <c r="F251" t="s">
        <v>111</v>
      </c>
      <c r="G251" t="s">
        <v>45</v>
      </c>
      <c r="H251" t="s">
        <v>151</v>
      </c>
      <c r="I251">
        <v>2.2200000000000002</v>
      </c>
      <c r="J251">
        <v>1</v>
      </c>
      <c r="K251">
        <v>0</v>
      </c>
      <c r="L251" t="s">
        <v>516</v>
      </c>
      <c r="M251" t="s">
        <v>27</v>
      </c>
    </row>
    <row r="252" spans="1:13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>
      <c r="A255" t="s">
        <v>524</v>
      </c>
      <c r="B255" s="1">
        <v>41903</v>
      </c>
      <c r="C255" s="1">
        <v>41906</v>
      </c>
      <c r="D255" t="s">
        <v>525</v>
      </c>
      <c r="E255" t="s">
        <v>60</v>
      </c>
      <c r="F255" t="s">
        <v>61</v>
      </c>
      <c r="G255" t="s">
        <v>32</v>
      </c>
      <c r="H255" t="s">
        <v>44</v>
      </c>
      <c r="I255">
        <v>1236.47999999999</v>
      </c>
      <c r="J255">
        <v>4</v>
      </c>
      <c r="K255">
        <v>0</v>
      </c>
      <c r="L255">
        <v>111.28</v>
      </c>
      <c r="M255" t="s">
        <v>27</v>
      </c>
    </row>
    <row r="256" spans="1:13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>
      <c r="A257" t="s">
        <v>528</v>
      </c>
      <c r="B257" t="s">
        <v>125</v>
      </c>
      <c r="C257" s="1">
        <v>41234</v>
      </c>
      <c r="D257" t="s">
        <v>418</v>
      </c>
      <c r="E257" t="s">
        <v>40</v>
      </c>
      <c r="F257" t="s">
        <v>245</v>
      </c>
      <c r="G257" t="s">
        <v>45</v>
      </c>
      <c r="H257" t="s">
        <v>23</v>
      </c>
      <c r="I257">
        <v>5.22</v>
      </c>
      <c r="J257">
        <v>2</v>
      </c>
      <c r="K257">
        <v>0</v>
      </c>
      <c r="L257">
        <v>2.4011999999999998</v>
      </c>
      <c r="M257" t="s">
        <v>19</v>
      </c>
    </row>
    <row r="258" spans="1:13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>
      <c r="A259" t="s">
        <v>482</v>
      </c>
      <c r="B259" s="1">
        <v>42273</v>
      </c>
      <c r="C259" s="1">
        <v>42276</v>
      </c>
      <c r="D259" t="s">
        <v>418</v>
      </c>
      <c r="E259" t="s">
        <v>40</v>
      </c>
      <c r="F259" t="s">
        <v>111</v>
      </c>
      <c r="G259" t="s">
        <v>45</v>
      </c>
      <c r="H259" t="s">
        <v>127</v>
      </c>
      <c r="I259">
        <v>8.5950000000000006</v>
      </c>
      <c r="J259">
        <v>5</v>
      </c>
      <c r="K259">
        <v>0.7</v>
      </c>
      <c r="L259">
        <v>-6.3029999999999999</v>
      </c>
      <c r="M259" t="s">
        <v>19</v>
      </c>
    </row>
    <row r="260" spans="1:13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>
      <c r="A261" t="s">
        <v>532</v>
      </c>
      <c r="B261" s="1">
        <v>42259</v>
      </c>
      <c r="C261" s="1">
        <v>42261</v>
      </c>
      <c r="D261" t="s">
        <v>183</v>
      </c>
      <c r="E261" t="s">
        <v>211</v>
      </c>
      <c r="F261" t="s">
        <v>98</v>
      </c>
      <c r="G261" t="s">
        <v>17</v>
      </c>
      <c r="H261" t="s">
        <v>46</v>
      </c>
      <c r="I261">
        <v>2120.5</v>
      </c>
      <c r="J261">
        <v>5</v>
      </c>
      <c r="K261">
        <v>0</v>
      </c>
      <c r="L261">
        <v>106</v>
      </c>
      <c r="M261" t="s">
        <v>27</v>
      </c>
    </row>
    <row r="262" spans="1:13">
      <c r="A262" t="s">
        <v>533</v>
      </c>
      <c r="B262" s="2">
        <v>42111</v>
      </c>
      <c r="C262" s="1">
        <v>42111</v>
      </c>
      <c r="D262" t="s">
        <v>534</v>
      </c>
      <c r="E262" t="s">
        <v>66</v>
      </c>
      <c r="F262" t="s">
        <v>90</v>
      </c>
      <c r="G262" t="s">
        <v>17</v>
      </c>
      <c r="H262" t="s">
        <v>73</v>
      </c>
      <c r="I262">
        <v>1275</v>
      </c>
      <c r="J262">
        <v>2</v>
      </c>
      <c r="K262">
        <v>0</v>
      </c>
      <c r="L262">
        <v>140.22</v>
      </c>
      <c r="M262" t="s">
        <v>27</v>
      </c>
    </row>
    <row r="263" spans="1:13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>
      <c r="A265" t="s">
        <v>538</v>
      </c>
      <c r="B265" s="1">
        <v>41478</v>
      </c>
      <c r="C265" s="1">
        <v>41483</v>
      </c>
      <c r="D265" t="s">
        <v>539</v>
      </c>
      <c r="E265" t="s">
        <v>22</v>
      </c>
      <c r="F265" t="s">
        <v>71</v>
      </c>
      <c r="G265" t="s">
        <v>17</v>
      </c>
      <c r="H265" t="s">
        <v>127</v>
      </c>
      <c r="I265">
        <v>2944.08</v>
      </c>
      <c r="J265">
        <v>5</v>
      </c>
      <c r="K265">
        <v>0.1</v>
      </c>
      <c r="L265">
        <v>1112.1300000000001</v>
      </c>
      <c r="M265" t="s">
        <v>37</v>
      </c>
    </row>
    <row r="266" spans="1:13">
      <c r="A266" t="s">
        <v>540</v>
      </c>
      <c r="B266" s="1">
        <v>42315</v>
      </c>
      <c r="C266" s="2">
        <v>42317</v>
      </c>
      <c r="D266" t="s">
        <v>541</v>
      </c>
      <c r="E266" t="s">
        <v>141</v>
      </c>
      <c r="F266" t="s">
        <v>142</v>
      </c>
      <c r="G266" t="s">
        <v>45</v>
      </c>
      <c r="H266" t="s">
        <v>151</v>
      </c>
      <c r="I266">
        <v>3309.2597999999998</v>
      </c>
      <c r="J266">
        <v>7</v>
      </c>
      <c r="K266">
        <v>0.17</v>
      </c>
      <c r="L266">
        <v>318.85979999999898</v>
      </c>
      <c r="M266" t="s">
        <v>37</v>
      </c>
    </row>
    <row r="267" spans="1:13">
      <c r="A267" t="s">
        <v>542</v>
      </c>
      <c r="B267" s="1">
        <v>42330</v>
      </c>
      <c r="C267" t="s">
        <v>543</v>
      </c>
      <c r="D267" t="s">
        <v>544</v>
      </c>
      <c r="E267" t="s">
        <v>60</v>
      </c>
      <c r="F267" t="s">
        <v>61</v>
      </c>
      <c r="G267" t="s">
        <v>179</v>
      </c>
      <c r="H267" t="s">
        <v>26</v>
      </c>
      <c r="I267">
        <v>897.48</v>
      </c>
      <c r="J267">
        <v>9</v>
      </c>
      <c r="K267">
        <v>0</v>
      </c>
      <c r="L267">
        <v>322.92</v>
      </c>
      <c r="M267" t="s">
        <v>27</v>
      </c>
    </row>
    <row r="268" spans="1:13">
      <c r="A268" t="s">
        <v>545</v>
      </c>
      <c r="B268" s="1">
        <v>41070</v>
      </c>
      <c r="C268" s="1">
        <v>41073</v>
      </c>
      <c r="D268" t="s">
        <v>546</v>
      </c>
      <c r="E268" t="s">
        <v>256</v>
      </c>
      <c r="F268" t="s">
        <v>71</v>
      </c>
      <c r="G268" t="s">
        <v>32</v>
      </c>
      <c r="H268" t="s">
        <v>73</v>
      </c>
      <c r="I268">
        <v>2056.0499999999902</v>
      </c>
      <c r="J268">
        <v>5</v>
      </c>
      <c r="K268">
        <v>0</v>
      </c>
      <c r="L268">
        <v>390.6</v>
      </c>
      <c r="M268" t="s">
        <v>37</v>
      </c>
    </row>
    <row r="269" spans="1:13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>
      <c r="A270" t="s">
        <v>550</v>
      </c>
      <c r="B270" s="1">
        <v>41237</v>
      </c>
      <c r="C270" s="1">
        <v>41237</v>
      </c>
      <c r="D270" t="s">
        <v>551</v>
      </c>
      <c r="E270" t="s">
        <v>15</v>
      </c>
      <c r="F270" t="s">
        <v>16</v>
      </c>
      <c r="G270" t="s">
        <v>17</v>
      </c>
      <c r="H270" t="s">
        <v>151</v>
      </c>
      <c r="I270">
        <v>1336.356</v>
      </c>
      <c r="J270">
        <v>7</v>
      </c>
      <c r="K270">
        <v>0.4</v>
      </c>
      <c r="L270">
        <v>44.436</v>
      </c>
      <c r="M270" t="s">
        <v>27</v>
      </c>
    </row>
    <row r="271" spans="1:13">
      <c r="A271" t="s">
        <v>552</v>
      </c>
      <c r="B271" s="1">
        <v>41496</v>
      </c>
      <c r="C271" s="1">
        <v>41498</v>
      </c>
      <c r="D271" t="s">
        <v>553</v>
      </c>
      <c r="E271" t="s">
        <v>554</v>
      </c>
      <c r="F271" t="s">
        <v>90</v>
      </c>
      <c r="G271" t="s">
        <v>17</v>
      </c>
      <c r="H271" t="s">
        <v>33</v>
      </c>
      <c r="I271">
        <v>3038.64</v>
      </c>
      <c r="J271">
        <v>8</v>
      </c>
      <c r="K271">
        <v>0</v>
      </c>
      <c r="L271">
        <v>1245.8399999999999</v>
      </c>
      <c r="M271" t="s">
        <v>37</v>
      </c>
    </row>
    <row r="272" spans="1:13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>
      <c r="A273" t="s">
        <v>556</v>
      </c>
      <c r="B273" s="1">
        <v>42003</v>
      </c>
      <c r="C273" s="1">
        <v>42008</v>
      </c>
      <c r="D273" t="s">
        <v>557</v>
      </c>
      <c r="E273" t="s">
        <v>558</v>
      </c>
      <c r="F273" t="s">
        <v>438</v>
      </c>
      <c r="G273" t="s">
        <v>17</v>
      </c>
      <c r="H273" t="s">
        <v>33</v>
      </c>
      <c r="I273">
        <v>3799.08</v>
      </c>
      <c r="J273">
        <v>12</v>
      </c>
      <c r="K273">
        <v>0</v>
      </c>
      <c r="L273">
        <v>455.76</v>
      </c>
      <c r="M273" t="s">
        <v>19</v>
      </c>
    </row>
    <row r="274" spans="1:13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>
      <c r="A278" t="s">
        <v>568</v>
      </c>
      <c r="B278" s="1">
        <v>42329</v>
      </c>
      <c r="C278" s="1">
        <v>42329</v>
      </c>
      <c r="D278" t="s">
        <v>569</v>
      </c>
      <c r="E278" t="s">
        <v>570</v>
      </c>
      <c r="F278" t="s">
        <v>120</v>
      </c>
      <c r="G278" t="s">
        <v>17</v>
      </c>
      <c r="H278" t="s">
        <v>23</v>
      </c>
      <c r="I278">
        <v>1053.6884</v>
      </c>
      <c r="J278">
        <v>5</v>
      </c>
      <c r="K278">
        <v>2E-3</v>
      </c>
      <c r="L278">
        <v>441.28840000000002</v>
      </c>
      <c r="M278" t="s">
        <v>37</v>
      </c>
    </row>
    <row r="279" spans="1:13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>
      <c r="A282" t="s">
        <v>573</v>
      </c>
      <c r="B282" s="1">
        <v>41614</v>
      </c>
      <c r="C282" s="1">
        <v>41614</v>
      </c>
      <c r="D282" t="s">
        <v>574</v>
      </c>
      <c r="E282" t="s">
        <v>575</v>
      </c>
      <c r="F282" t="s">
        <v>87</v>
      </c>
      <c r="G282" t="s">
        <v>17</v>
      </c>
      <c r="H282" t="s">
        <v>23</v>
      </c>
      <c r="I282">
        <v>1554.48</v>
      </c>
      <c r="J282">
        <v>8</v>
      </c>
      <c r="K282">
        <v>0</v>
      </c>
      <c r="L282">
        <v>341.76</v>
      </c>
      <c r="M282" t="s">
        <v>37</v>
      </c>
    </row>
    <row r="283" spans="1:13">
      <c r="A283" t="s">
        <v>576</v>
      </c>
      <c r="B283" s="1">
        <v>41976</v>
      </c>
      <c r="C283" s="1">
        <v>41977</v>
      </c>
      <c r="D283" t="s">
        <v>577</v>
      </c>
      <c r="E283" t="s">
        <v>97</v>
      </c>
      <c r="F283" t="s">
        <v>98</v>
      </c>
      <c r="G283" t="s">
        <v>17</v>
      </c>
      <c r="H283" t="s">
        <v>73</v>
      </c>
      <c r="I283">
        <v>1278</v>
      </c>
      <c r="J283">
        <v>3</v>
      </c>
      <c r="K283">
        <v>0</v>
      </c>
      <c r="L283">
        <v>89.46</v>
      </c>
      <c r="M283" t="s">
        <v>37</v>
      </c>
    </row>
    <row r="284" spans="1:13">
      <c r="A284" t="s">
        <v>578</v>
      </c>
      <c r="B284" s="2">
        <v>41628</v>
      </c>
      <c r="C284" s="1">
        <v>41632</v>
      </c>
      <c r="D284" t="s">
        <v>270</v>
      </c>
      <c r="E284" t="s">
        <v>579</v>
      </c>
      <c r="F284" t="s">
        <v>98</v>
      </c>
      <c r="G284" t="s">
        <v>17</v>
      </c>
      <c r="H284" t="s">
        <v>33</v>
      </c>
      <c r="I284">
        <v>3474.08</v>
      </c>
      <c r="J284">
        <v>8</v>
      </c>
      <c r="K284">
        <v>0</v>
      </c>
      <c r="L284">
        <v>625.28</v>
      </c>
      <c r="M284" t="s">
        <v>37</v>
      </c>
    </row>
    <row r="285" spans="1:13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>
      <c r="A286" t="s">
        <v>582</v>
      </c>
      <c r="B286" s="1">
        <v>42264</v>
      </c>
      <c r="C286" s="1">
        <v>42266</v>
      </c>
      <c r="D286" t="s">
        <v>583</v>
      </c>
      <c r="E286" t="s">
        <v>40</v>
      </c>
      <c r="F286" t="s">
        <v>111</v>
      </c>
      <c r="G286" t="s">
        <v>45</v>
      </c>
      <c r="H286" t="s">
        <v>26</v>
      </c>
      <c r="I286">
        <v>538.19399999999996</v>
      </c>
      <c r="J286">
        <v>2</v>
      </c>
      <c r="K286">
        <v>0.7</v>
      </c>
      <c r="L286">
        <v>-412.615399999999</v>
      </c>
      <c r="M286" t="s">
        <v>27</v>
      </c>
    </row>
    <row r="287" spans="1:13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>
      <c r="A291" t="s">
        <v>592</v>
      </c>
      <c r="B291" t="s">
        <v>593</v>
      </c>
      <c r="C291" s="1">
        <v>42111</v>
      </c>
      <c r="D291" t="s">
        <v>594</v>
      </c>
      <c r="E291" t="s">
        <v>595</v>
      </c>
      <c r="F291" t="s">
        <v>25</v>
      </c>
      <c r="G291" t="s">
        <v>17</v>
      </c>
      <c r="H291" t="s">
        <v>26</v>
      </c>
      <c r="I291">
        <v>3908.88</v>
      </c>
      <c r="J291">
        <v>6</v>
      </c>
      <c r="K291">
        <v>0</v>
      </c>
      <c r="L291">
        <v>1563.48</v>
      </c>
      <c r="M291" t="s">
        <v>596</v>
      </c>
    </row>
    <row r="292" spans="1:13">
      <c r="A292" t="s">
        <v>597</v>
      </c>
      <c r="B292" s="1">
        <v>42245</v>
      </c>
      <c r="C292" s="1">
        <v>42249</v>
      </c>
      <c r="D292" t="s">
        <v>598</v>
      </c>
      <c r="E292" t="s">
        <v>97</v>
      </c>
      <c r="F292" t="s">
        <v>98</v>
      </c>
      <c r="G292" t="s">
        <v>17</v>
      </c>
      <c r="H292" t="s">
        <v>33</v>
      </c>
      <c r="I292">
        <v>2142.3000000000002</v>
      </c>
      <c r="J292">
        <v>5</v>
      </c>
      <c r="K292">
        <v>0</v>
      </c>
      <c r="L292">
        <v>556.9</v>
      </c>
      <c r="M292" t="s">
        <v>37</v>
      </c>
    </row>
    <row r="293" spans="1:13">
      <c r="A293" t="s">
        <v>599</v>
      </c>
      <c r="B293" s="1">
        <v>42140</v>
      </c>
      <c r="C293" s="1">
        <v>42142</v>
      </c>
      <c r="D293" t="s">
        <v>600</v>
      </c>
      <c r="E293" t="s">
        <v>601</v>
      </c>
      <c r="F293" t="s">
        <v>16</v>
      </c>
      <c r="G293" t="s">
        <v>165</v>
      </c>
      <c r="H293" t="s">
        <v>26</v>
      </c>
      <c r="I293">
        <v>1900.5839999999901</v>
      </c>
      <c r="J293">
        <v>6</v>
      </c>
      <c r="K293">
        <v>0.4</v>
      </c>
      <c r="L293">
        <v>-348.51600000000002</v>
      </c>
      <c r="M293" t="s">
        <v>37</v>
      </c>
    </row>
    <row r="294" spans="1:13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>
      <c r="A297" t="s">
        <v>606</v>
      </c>
      <c r="B297" s="1">
        <v>41788</v>
      </c>
      <c r="C297" s="1">
        <v>41791</v>
      </c>
      <c r="D297" t="s">
        <v>607</v>
      </c>
      <c r="E297" t="s">
        <v>322</v>
      </c>
      <c r="F297" t="s">
        <v>142</v>
      </c>
      <c r="G297" t="s">
        <v>17</v>
      </c>
      <c r="H297" t="s">
        <v>151</v>
      </c>
      <c r="I297">
        <v>3181.7718</v>
      </c>
      <c r="J297">
        <v>6</v>
      </c>
      <c r="K297">
        <v>0.17</v>
      </c>
      <c r="L297">
        <v>344.97179999999901</v>
      </c>
      <c r="M297" t="s">
        <v>19</v>
      </c>
    </row>
    <row r="298" spans="1:13">
      <c r="A298" t="s">
        <v>608</v>
      </c>
      <c r="B298" s="1">
        <v>41515</v>
      </c>
      <c r="C298" s="1">
        <v>41518</v>
      </c>
      <c r="D298" t="s">
        <v>609</v>
      </c>
      <c r="E298" t="s">
        <v>197</v>
      </c>
      <c r="F298" t="s">
        <v>77</v>
      </c>
      <c r="G298" t="s">
        <v>45</v>
      </c>
      <c r="H298" t="s">
        <v>151</v>
      </c>
      <c r="I298">
        <v>1392.633</v>
      </c>
      <c r="J298">
        <v>11</v>
      </c>
      <c r="K298" t="s">
        <v>610</v>
      </c>
      <c r="L298">
        <v>-139.55699999999999</v>
      </c>
      <c r="M298" t="s">
        <v>27</v>
      </c>
    </row>
    <row r="299" spans="1:13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  <row r="301" spans="1:13">
      <c r="A301" t="s">
        <v>615</v>
      </c>
      <c r="B301" s="1">
        <v>41208</v>
      </c>
      <c r="C301" s="1">
        <v>41209</v>
      </c>
      <c r="D301" t="s">
        <v>140</v>
      </c>
      <c r="E301" t="s">
        <v>211</v>
      </c>
      <c r="F301" t="s">
        <v>98</v>
      </c>
      <c r="G301" t="s">
        <v>17</v>
      </c>
      <c r="H301" t="s">
        <v>23</v>
      </c>
      <c r="I301">
        <v>1278</v>
      </c>
      <c r="J301">
        <v>3</v>
      </c>
      <c r="L301">
        <v>89.46</v>
      </c>
      <c r="M301" t="s">
        <v>27</v>
      </c>
    </row>
    <row r="302" spans="1:13">
      <c r="B302" s="1">
        <v>42082</v>
      </c>
      <c r="C302" s="1">
        <v>42086</v>
      </c>
      <c r="D302" t="s">
        <v>616</v>
      </c>
      <c r="F302" t="s">
        <v>87</v>
      </c>
      <c r="G302" t="s">
        <v>17</v>
      </c>
      <c r="H302" t="s">
        <v>73</v>
      </c>
      <c r="I302">
        <v>2570.7599999999902</v>
      </c>
      <c r="J302">
        <v>4</v>
      </c>
      <c r="K302">
        <v>0</v>
      </c>
      <c r="L302">
        <v>976.8</v>
      </c>
      <c r="M302" t="s">
        <v>19</v>
      </c>
    </row>
    <row r="303" spans="1:13">
      <c r="A303" t="s">
        <v>617</v>
      </c>
      <c r="B303" s="1">
        <v>42258</v>
      </c>
      <c r="C303" s="1">
        <v>42265</v>
      </c>
      <c r="D303" t="s">
        <v>618</v>
      </c>
      <c r="E303" t="s">
        <v>60</v>
      </c>
      <c r="F303" t="s">
        <v>61</v>
      </c>
      <c r="G303" t="s">
        <v>32</v>
      </c>
      <c r="H303" t="s">
        <v>26</v>
      </c>
      <c r="I303">
        <v>2332.96</v>
      </c>
      <c r="J303" t="s">
        <v>63</v>
      </c>
      <c r="K303">
        <v>0.2</v>
      </c>
      <c r="L303">
        <v>3272.1878041889699</v>
      </c>
      <c r="M303" t="s">
        <v>74</v>
      </c>
    </row>
    <row r="304" spans="1:13">
      <c r="A304" t="s">
        <v>619</v>
      </c>
      <c r="B304" s="1">
        <v>41514</v>
      </c>
      <c r="D304" t="s">
        <v>563</v>
      </c>
      <c r="F304" t="s">
        <v>16</v>
      </c>
      <c r="G304" t="s">
        <v>32</v>
      </c>
      <c r="H304" t="s">
        <v>26</v>
      </c>
      <c r="I304" t="s">
        <v>163</v>
      </c>
      <c r="J304">
        <v>6</v>
      </c>
      <c r="K304">
        <v>0.4</v>
      </c>
      <c r="L304">
        <v>-870.3</v>
      </c>
      <c r="M304" t="s">
        <v>27</v>
      </c>
    </row>
    <row r="305" spans="1:13">
      <c r="A305" t="s">
        <v>582</v>
      </c>
      <c r="C305" s="1">
        <v>42266</v>
      </c>
      <c r="D305" t="s">
        <v>583</v>
      </c>
      <c r="E305" t="s">
        <v>40</v>
      </c>
      <c r="F305" t="s">
        <v>111</v>
      </c>
      <c r="G305" t="s">
        <v>17</v>
      </c>
      <c r="H305" t="s">
        <v>44</v>
      </c>
      <c r="I305">
        <v>71.975999999999999</v>
      </c>
      <c r="J305">
        <v>3</v>
      </c>
      <c r="K305">
        <v>0.2</v>
      </c>
      <c r="L305">
        <v>19.793399999999998</v>
      </c>
      <c r="M305" t="s">
        <v>27</v>
      </c>
    </row>
    <row r="306" spans="1:13">
      <c r="A306" t="s">
        <v>620</v>
      </c>
      <c r="B306" s="1">
        <v>41852</v>
      </c>
      <c r="C306" s="1">
        <v>41855</v>
      </c>
      <c r="D306" t="s">
        <v>621</v>
      </c>
      <c r="E306" t="s">
        <v>15</v>
      </c>
      <c r="F306" t="s">
        <v>16</v>
      </c>
      <c r="G306" t="s">
        <v>32</v>
      </c>
      <c r="H306" t="s">
        <v>151</v>
      </c>
      <c r="I306">
        <v>1512</v>
      </c>
      <c r="J306">
        <v>6</v>
      </c>
      <c r="K306">
        <v>0</v>
      </c>
      <c r="L306">
        <v>498.96</v>
      </c>
      <c r="M306" t="s">
        <v>27</v>
      </c>
    </row>
    <row r="307" spans="1:13">
      <c r="A307" t="s">
        <v>589</v>
      </c>
      <c r="B307" s="1">
        <v>41812</v>
      </c>
      <c r="C307" s="1">
        <v>41817</v>
      </c>
      <c r="D307" t="s">
        <v>583</v>
      </c>
      <c r="E307" t="s">
        <v>40</v>
      </c>
      <c r="F307" t="s">
        <v>111</v>
      </c>
      <c r="G307" t="s">
        <v>45</v>
      </c>
      <c r="H307" t="s">
        <v>299</v>
      </c>
      <c r="I307">
        <v>186.14400000000001</v>
      </c>
      <c r="J307">
        <v>6</v>
      </c>
      <c r="K307">
        <v>0.2</v>
      </c>
      <c r="L307">
        <v>60.496799999999901</v>
      </c>
      <c r="M307" t="s">
        <v>37</v>
      </c>
    </row>
    <row r="308" spans="1:13">
      <c r="A308" t="s">
        <v>622</v>
      </c>
      <c r="B308" s="1">
        <v>42362</v>
      </c>
      <c r="C308" s="1">
        <v>42365</v>
      </c>
      <c r="D308" t="s">
        <v>623</v>
      </c>
      <c r="E308" t="s">
        <v>437</v>
      </c>
      <c r="F308" t="s">
        <v>438</v>
      </c>
      <c r="G308" t="s">
        <v>624</v>
      </c>
      <c r="H308" t="s">
        <v>44</v>
      </c>
      <c r="I308">
        <v>2550</v>
      </c>
      <c r="J308">
        <v>4</v>
      </c>
      <c r="K308">
        <v>0</v>
      </c>
      <c r="L308">
        <v>714</v>
      </c>
      <c r="M308" t="s">
        <v>19</v>
      </c>
    </row>
    <row r="309" spans="1:13">
      <c r="A309" t="s">
        <v>582</v>
      </c>
      <c r="B309" s="1">
        <v>42264</v>
      </c>
      <c r="C309" s="1">
        <v>42266</v>
      </c>
      <c r="D309" t="s">
        <v>583</v>
      </c>
      <c r="F309" t="s">
        <v>111</v>
      </c>
      <c r="G309" t="s">
        <v>17</v>
      </c>
      <c r="H309" t="s">
        <v>127</v>
      </c>
      <c r="I309">
        <v>47.984000000000002</v>
      </c>
      <c r="J309">
        <v>2</v>
      </c>
      <c r="K309">
        <v>0.2</v>
      </c>
      <c r="L309">
        <v>14.395200000000001</v>
      </c>
      <c r="M309" t="s">
        <v>27</v>
      </c>
    </row>
    <row r="310" spans="1:13">
      <c r="A310" t="s">
        <v>625</v>
      </c>
      <c r="B310" s="1">
        <v>41327</v>
      </c>
      <c r="C310" s="1">
        <v>41330</v>
      </c>
      <c r="D310" t="s">
        <v>626</v>
      </c>
      <c r="E310" t="s">
        <v>93</v>
      </c>
      <c r="F310" t="s">
        <v>94</v>
      </c>
      <c r="G310" t="s">
        <v>32</v>
      </c>
      <c r="H310" t="s">
        <v>26</v>
      </c>
      <c r="J310">
        <v>5</v>
      </c>
      <c r="K310">
        <v>0</v>
      </c>
      <c r="L310">
        <v>845.7</v>
      </c>
      <c r="M310" t="s">
        <v>37</v>
      </c>
    </row>
    <row r="311" spans="1:13">
      <c r="A311" t="s">
        <v>627</v>
      </c>
      <c r="B311" s="1">
        <v>42288</v>
      </c>
      <c r="C311" s="1">
        <v>42290</v>
      </c>
      <c r="D311" t="s">
        <v>628</v>
      </c>
      <c r="E311" t="s">
        <v>141</v>
      </c>
      <c r="F311" t="s">
        <v>142</v>
      </c>
      <c r="G311" t="s">
        <v>32</v>
      </c>
      <c r="H311" t="s">
        <v>18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27</v>
      </c>
    </row>
    <row r="312" spans="1:13">
      <c r="A312" t="s">
        <v>629</v>
      </c>
      <c r="B312" s="1">
        <v>42115</v>
      </c>
      <c r="C312" s="1">
        <v>42117</v>
      </c>
      <c r="D312" t="s">
        <v>630</v>
      </c>
      <c r="E312" t="s">
        <v>358</v>
      </c>
      <c r="F312" t="s">
        <v>98</v>
      </c>
      <c r="G312" t="s">
        <v>17</v>
      </c>
      <c r="H312" t="s">
        <v>23</v>
      </c>
      <c r="I312">
        <v>1058.2791999999999</v>
      </c>
      <c r="J312">
        <v>5</v>
      </c>
      <c r="K312">
        <v>2E-3</v>
      </c>
      <c r="L312">
        <v>-2.1208</v>
      </c>
      <c r="M312" t="s">
        <v>27</v>
      </c>
    </row>
    <row r="313" spans="1:13">
      <c r="A313" t="s">
        <v>631</v>
      </c>
      <c r="B313" s="1">
        <v>41802</v>
      </c>
      <c r="C313" s="1">
        <v>41807</v>
      </c>
      <c r="D313" t="s">
        <v>632</v>
      </c>
      <c r="E313" t="s">
        <v>114</v>
      </c>
      <c r="F313" t="s">
        <v>115</v>
      </c>
      <c r="G313" t="s">
        <v>17</v>
      </c>
      <c r="H313" t="s">
        <v>151</v>
      </c>
      <c r="I313">
        <v>5751.54</v>
      </c>
      <c r="J313">
        <v>9</v>
      </c>
      <c r="K313">
        <v>0</v>
      </c>
      <c r="L313">
        <v>2817.99</v>
      </c>
      <c r="M313" t="s">
        <v>19</v>
      </c>
    </row>
    <row r="314" spans="1:13">
      <c r="A314" t="s">
        <v>633</v>
      </c>
      <c r="B314" s="1">
        <v>41899</v>
      </c>
      <c r="C314" s="1">
        <v>41902</v>
      </c>
      <c r="D314" t="s">
        <v>634</v>
      </c>
      <c r="E314" t="s">
        <v>635</v>
      </c>
      <c r="F314" t="s">
        <v>71</v>
      </c>
      <c r="G314" t="s">
        <v>32</v>
      </c>
      <c r="H314" t="s">
        <v>33</v>
      </c>
      <c r="I314">
        <v>2442.069</v>
      </c>
      <c r="J314">
        <v>7</v>
      </c>
      <c r="K314">
        <v>0.1</v>
      </c>
      <c r="L314">
        <v>-244.251</v>
      </c>
      <c r="M314" t="s">
        <v>37</v>
      </c>
    </row>
    <row r="315" spans="1:13">
      <c r="A315" t="s">
        <v>636</v>
      </c>
      <c r="B315" s="1">
        <v>42266</v>
      </c>
      <c r="C315" s="1">
        <v>42266</v>
      </c>
      <c r="D315" t="s">
        <v>637</v>
      </c>
      <c r="E315" t="s">
        <v>31</v>
      </c>
      <c r="F315" t="s">
        <v>16</v>
      </c>
      <c r="G315" t="s">
        <v>45</v>
      </c>
      <c r="H315" t="s">
        <v>26</v>
      </c>
      <c r="I315">
        <v>1190.52</v>
      </c>
      <c r="J315">
        <v>6</v>
      </c>
      <c r="L315">
        <v>178.56</v>
      </c>
      <c r="M315" t="s">
        <v>408</v>
      </c>
    </row>
    <row r="316" spans="1:13">
      <c r="C316" s="1">
        <v>42341</v>
      </c>
      <c r="D316" t="s">
        <v>638</v>
      </c>
      <c r="E316" t="s">
        <v>70</v>
      </c>
      <c r="F316" t="s">
        <v>107</v>
      </c>
      <c r="G316" t="s">
        <v>45</v>
      </c>
      <c r="H316" t="s">
        <v>151</v>
      </c>
      <c r="I316">
        <v>3150.81899999999</v>
      </c>
      <c r="J316">
        <v>7</v>
      </c>
      <c r="K316">
        <v>0.1</v>
      </c>
      <c r="L316">
        <v>-35.091000000000001</v>
      </c>
      <c r="M316" t="s">
        <v>227</v>
      </c>
    </row>
    <row r="317" spans="1:13">
      <c r="A317" t="s">
        <v>423</v>
      </c>
      <c r="B317" s="1">
        <v>42248</v>
      </c>
      <c r="C317" s="1">
        <v>42248</v>
      </c>
      <c r="D317" t="s">
        <v>424</v>
      </c>
      <c r="E317" t="s">
        <v>639</v>
      </c>
      <c r="F317" t="s">
        <v>71</v>
      </c>
      <c r="G317" t="s">
        <v>17</v>
      </c>
      <c r="H317" t="s">
        <v>299</v>
      </c>
      <c r="I317">
        <v>1599.9</v>
      </c>
      <c r="J317">
        <v>5</v>
      </c>
      <c r="K317">
        <v>0</v>
      </c>
      <c r="L317">
        <v>719.85</v>
      </c>
      <c r="M317" t="s">
        <v>27</v>
      </c>
    </row>
    <row r="318" spans="1:13">
      <c r="A318" t="s">
        <v>640</v>
      </c>
      <c r="B318" s="1">
        <v>42175</v>
      </c>
      <c r="C318" s="1">
        <v>42181</v>
      </c>
      <c r="D318" t="s">
        <v>641</v>
      </c>
      <c r="E318" t="s">
        <v>66</v>
      </c>
      <c r="F318" t="s">
        <v>90</v>
      </c>
      <c r="G318" t="s">
        <v>32</v>
      </c>
      <c r="H318" t="s">
        <v>73</v>
      </c>
      <c r="I318">
        <v>2063.4</v>
      </c>
      <c r="J318">
        <v>5</v>
      </c>
      <c r="K318">
        <v>0</v>
      </c>
      <c r="L318">
        <v>123.75</v>
      </c>
      <c r="M318" t="s">
        <v>74</v>
      </c>
    </row>
    <row r="319" spans="1:13">
      <c r="A319" t="s">
        <v>642</v>
      </c>
      <c r="B319" s="1">
        <v>42300</v>
      </c>
      <c r="C319" s="1">
        <v>42302</v>
      </c>
      <c r="E319" t="s">
        <v>643</v>
      </c>
      <c r="F319" t="s">
        <v>87</v>
      </c>
      <c r="G319" t="s">
        <v>45</v>
      </c>
      <c r="H319" t="s">
        <v>33</v>
      </c>
      <c r="I319">
        <v>1269.8999999999901</v>
      </c>
      <c r="J319">
        <v>6</v>
      </c>
      <c r="K319">
        <v>0</v>
      </c>
      <c r="L319">
        <v>558.72</v>
      </c>
      <c r="M319" t="s">
        <v>37</v>
      </c>
    </row>
    <row r="320" spans="1:13">
      <c r="A320" t="s">
        <v>644</v>
      </c>
      <c r="B320" s="1">
        <v>41136</v>
      </c>
      <c r="C320" s="1">
        <v>41140</v>
      </c>
      <c r="D320" t="s">
        <v>645</v>
      </c>
      <c r="E320" t="s">
        <v>114</v>
      </c>
      <c r="F320" t="s">
        <v>115</v>
      </c>
      <c r="G320" t="s">
        <v>32</v>
      </c>
      <c r="H320" t="s">
        <v>151</v>
      </c>
      <c r="I320">
        <v>3274.02</v>
      </c>
      <c r="J320">
        <v>9</v>
      </c>
      <c r="K320">
        <v>0</v>
      </c>
      <c r="L320">
        <v>261.89999999999998</v>
      </c>
      <c r="M320" t="s">
        <v>19</v>
      </c>
    </row>
    <row r="321" spans="1:13">
      <c r="A321" t="s">
        <v>532</v>
      </c>
      <c r="B321" s="1">
        <v>42259</v>
      </c>
      <c r="C321" s="1">
        <v>42261</v>
      </c>
      <c r="D321" t="s">
        <v>183</v>
      </c>
      <c r="E321" t="s">
        <v>211</v>
      </c>
      <c r="F321" t="s">
        <v>98</v>
      </c>
      <c r="G321" t="s">
        <v>17</v>
      </c>
      <c r="H321" t="s">
        <v>299</v>
      </c>
      <c r="I321">
        <v>848.32</v>
      </c>
      <c r="J321">
        <v>2</v>
      </c>
      <c r="K321">
        <v>0</v>
      </c>
      <c r="L321">
        <v>110.28</v>
      </c>
      <c r="M321" t="s">
        <v>27</v>
      </c>
    </row>
    <row r="322" spans="1:13">
      <c r="A322" t="s">
        <v>646</v>
      </c>
      <c r="B322" s="1">
        <v>42096</v>
      </c>
      <c r="C322" t="s">
        <v>647</v>
      </c>
      <c r="D322" t="s">
        <v>583</v>
      </c>
      <c r="E322" t="s">
        <v>40</v>
      </c>
      <c r="F322" t="s">
        <v>41</v>
      </c>
      <c r="G322" t="s">
        <v>45</v>
      </c>
      <c r="H322" t="s">
        <v>151</v>
      </c>
      <c r="I322">
        <v>94.199999999999903</v>
      </c>
      <c r="J322">
        <v>6</v>
      </c>
      <c r="K322">
        <v>0</v>
      </c>
      <c r="L322">
        <v>23.55</v>
      </c>
      <c r="M322" t="s">
        <v>37</v>
      </c>
    </row>
    <row r="323" spans="1:13">
      <c r="A323" t="s">
        <v>648</v>
      </c>
      <c r="B323" s="1">
        <v>42018</v>
      </c>
      <c r="C323" s="1">
        <v>42020</v>
      </c>
      <c r="D323" t="s">
        <v>649</v>
      </c>
      <c r="E323" t="s">
        <v>76</v>
      </c>
      <c r="F323" t="s">
        <v>77</v>
      </c>
      <c r="G323" t="s">
        <v>17</v>
      </c>
      <c r="H323" t="s">
        <v>26</v>
      </c>
      <c r="I323">
        <v>2847.36</v>
      </c>
      <c r="J323">
        <v>8</v>
      </c>
      <c r="K323">
        <v>0</v>
      </c>
      <c r="L323">
        <v>711.84</v>
      </c>
      <c r="M323" t="s">
        <v>37</v>
      </c>
    </row>
    <row r="324" spans="1:13">
      <c r="A324" t="s">
        <v>650</v>
      </c>
      <c r="B324" s="1">
        <v>42321</v>
      </c>
      <c r="C324" s="1">
        <v>42323</v>
      </c>
      <c r="D324" t="s">
        <v>59</v>
      </c>
      <c r="F324" t="s">
        <v>142</v>
      </c>
      <c r="G324" t="s">
        <v>32</v>
      </c>
      <c r="H324" t="s">
        <v>127</v>
      </c>
      <c r="I324">
        <v>1725.75</v>
      </c>
      <c r="J324">
        <v>5</v>
      </c>
      <c r="K324">
        <v>0.25</v>
      </c>
      <c r="L324">
        <v>-483.29999999999899</v>
      </c>
      <c r="M324" t="s">
        <v>27</v>
      </c>
    </row>
    <row r="325" spans="1:13">
      <c r="A325" t="s">
        <v>651</v>
      </c>
      <c r="B325" s="1">
        <v>41803</v>
      </c>
      <c r="C325" s="1">
        <v>41803</v>
      </c>
      <c r="D325" t="s">
        <v>237</v>
      </c>
      <c r="F325" t="s">
        <v>142</v>
      </c>
      <c r="G325" t="s">
        <v>17</v>
      </c>
      <c r="H325" t="s">
        <v>33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37</v>
      </c>
    </row>
    <row r="326" spans="1:13">
      <c r="A326" t="s">
        <v>582</v>
      </c>
      <c r="B326" s="1">
        <v>42264</v>
      </c>
      <c r="C326" t="s">
        <v>652</v>
      </c>
      <c r="D326" t="s">
        <v>583</v>
      </c>
      <c r="E326" t="s">
        <v>653</v>
      </c>
      <c r="F326" t="s">
        <v>111</v>
      </c>
      <c r="G326" t="s">
        <v>32</v>
      </c>
      <c r="H326" t="s">
        <v>23</v>
      </c>
      <c r="I326">
        <v>22.512</v>
      </c>
      <c r="J326">
        <v>3</v>
      </c>
      <c r="K326">
        <v>0.2</v>
      </c>
      <c r="L326">
        <v>2.2511999999999999</v>
      </c>
      <c r="M326" t="s">
        <v>27</v>
      </c>
    </row>
    <row r="327" spans="1:13">
      <c r="A327" t="s">
        <v>654</v>
      </c>
      <c r="B327" s="1">
        <v>42269</v>
      </c>
      <c r="C327" s="1">
        <v>42272</v>
      </c>
      <c r="D327" t="s">
        <v>655</v>
      </c>
      <c r="E327" t="s">
        <v>656</v>
      </c>
      <c r="F327" t="s">
        <v>657</v>
      </c>
      <c r="G327" t="s">
        <v>17</v>
      </c>
      <c r="H327" t="s">
        <v>33</v>
      </c>
      <c r="I327">
        <v>1282.22999999999</v>
      </c>
      <c r="J327">
        <v>9</v>
      </c>
      <c r="K327">
        <v>0</v>
      </c>
      <c r="L327">
        <v>12.69</v>
      </c>
      <c r="M327" t="s">
        <v>27</v>
      </c>
    </row>
    <row r="328" spans="1:13">
      <c r="A328" t="s">
        <v>658</v>
      </c>
      <c r="B328" s="1">
        <v>40916</v>
      </c>
      <c r="D328" t="s">
        <v>659</v>
      </c>
      <c r="E328" t="s">
        <v>660</v>
      </c>
      <c r="F328" t="s">
        <v>131</v>
      </c>
      <c r="G328" t="s">
        <v>32</v>
      </c>
      <c r="H328" t="s">
        <v>33</v>
      </c>
      <c r="I328">
        <v>2478.6</v>
      </c>
      <c r="J328">
        <v>6</v>
      </c>
      <c r="K328">
        <v>0</v>
      </c>
      <c r="L328">
        <v>49.5</v>
      </c>
      <c r="M328" t="s">
        <v>37</v>
      </c>
    </row>
    <row r="329" spans="1:13">
      <c r="A329" t="s">
        <v>584</v>
      </c>
      <c r="B329" s="1">
        <v>41173</v>
      </c>
      <c r="C329" s="1">
        <v>41180</v>
      </c>
      <c r="E329" t="s">
        <v>40</v>
      </c>
      <c r="F329" t="s">
        <v>111</v>
      </c>
      <c r="G329" t="s">
        <v>32</v>
      </c>
      <c r="H329" t="s">
        <v>33</v>
      </c>
      <c r="I329">
        <v>97.44</v>
      </c>
      <c r="J329">
        <v>3</v>
      </c>
      <c r="K329">
        <v>0</v>
      </c>
      <c r="L329">
        <v>35.078399999999903</v>
      </c>
      <c r="M329" t="s">
        <v>19</v>
      </c>
    </row>
    <row r="330" spans="1:13">
      <c r="A330" t="s">
        <v>661</v>
      </c>
      <c r="B330" s="1">
        <v>41850</v>
      </c>
      <c r="C330" s="1">
        <v>41850</v>
      </c>
      <c r="D330" t="s">
        <v>662</v>
      </c>
      <c r="E330" t="s">
        <v>554</v>
      </c>
      <c r="F330" t="s">
        <v>90</v>
      </c>
      <c r="G330" t="s">
        <v>223</v>
      </c>
      <c r="H330" t="s">
        <v>151</v>
      </c>
      <c r="I330">
        <v>959.76</v>
      </c>
      <c r="J330">
        <v>3</v>
      </c>
      <c r="K330">
        <v>0</v>
      </c>
      <c r="L330">
        <v>460.62</v>
      </c>
      <c r="M330" t="s">
        <v>27</v>
      </c>
    </row>
    <row r="331" spans="1:13">
      <c r="A331" t="s">
        <v>663</v>
      </c>
      <c r="B331" s="1">
        <v>42341</v>
      </c>
      <c r="C331" s="2">
        <v>42344</v>
      </c>
      <c r="D331" t="s">
        <v>583</v>
      </c>
      <c r="E331" t="s">
        <v>40</v>
      </c>
      <c r="F331" t="s">
        <v>664</v>
      </c>
      <c r="G331" t="s">
        <v>45</v>
      </c>
      <c r="H331" t="s">
        <v>33</v>
      </c>
      <c r="I331">
        <v>34.65</v>
      </c>
      <c r="J331">
        <v>3</v>
      </c>
      <c r="K331">
        <v>0</v>
      </c>
      <c r="L331">
        <v>72.253413101131102</v>
      </c>
      <c r="M331" t="s">
        <v>19</v>
      </c>
    </row>
    <row r="332" spans="1:13">
      <c r="A332" t="s">
        <v>665</v>
      </c>
      <c r="B332" s="1">
        <v>42124</v>
      </c>
      <c r="C332" s="1">
        <v>42128</v>
      </c>
      <c r="D332" t="s">
        <v>666</v>
      </c>
      <c r="E332" t="s">
        <v>141</v>
      </c>
      <c r="F332" t="s">
        <v>142</v>
      </c>
      <c r="G332" t="s">
        <v>45</v>
      </c>
      <c r="H332" t="s">
        <v>33</v>
      </c>
      <c r="I332">
        <v>4135.6409999999996</v>
      </c>
      <c r="J332">
        <v>10</v>
      </c>
      <c r="K332">
        <v>0.17</v>
      </c>
      <c r="L332">
        <v>847.04099999999903</v>
      </c>
      <c r="M332" t="s">
        <v>19</v>
      </c>
    </row>
    <row r="333" spans="1:13">
      <c r="A333" t="s">
        <v>667</v>
      </c>
      <c r="B333" s="2">
        <v>74050</v>
      </c>
      <c r="C333" t="s">
        <v>668</v>
      </c>
      <c r="D333" t="s">
        <v>669</v>
      </c>
      <c r="E333" t="s">
        <v>101</v>
      </c>
      <c r="F333" t="s">
        <v>98</v>
      </c>
      <c r="G333" t="s">
        <v>32</v>
      </c>
      <c r="H333" t="s">
        <v>44</v>
      </c>
      <c r="I333">
        <v>2325.2800000000002</v>
      </c>
      <c r="J333">
        <v>8</v>
      </c>
      <c r="K333">
        <v>0</v>
      </c>
      <c r="L333">
        <v>511.52</v>
      </c>
      <c r="M333" t="s">
        <v>37</v>
      </c>
    </row>
    <row r="334" spans="1:13">
      <c r="B334" s="1">
        <v>42179</v>
      </c>
      <c r="C334" s="1">
        <v>42183</v>
      </c>
      <c r="D334" t="s">
        <v>670</v>
      </c>
      <c r="E334" t="s">
        <v>15</v>
      </c>
      <c r="F334" t="s">
        <v>16</v>
      </c>
      <c r="G334" t="s">
        <v>32</v>
      </c>
      <c r="H334" t="s">
        <v>73</v>
      </c>
      <c r="I334">
        <v>5486.67</v>
      </c>
      <c r="J334">
        <v>14</v>
      </c>
      <c r="K334">
        <v>0.1</v>
      </c>
      <c r="L334">
        <v>2316.5099999999902</v>
      </c>
      <c r="M334" t="s">
        <v>19</v>
      </c>
    </row>
    <row r="335" spans="1:13">
      <c r="A335" t="s">
        <v>671</v>
      </c>
      <c r="B335" s="1">
        <v>41004</v>
      </c>
      <c r="C335" s="1">
        <v>41006</v>
      </c>
      <c r="D335" t="s">
        <v>672</v>
      </c>
      <c r="E335" t="s">
        <v>673</v>
      </c>
      <c r="F335" t="s">
        <v>77</v>
      </c>
      <c r="G335" t="s">
        <v>45</v>
      </c>
      <c r="H335" t="s">
        <v>151</v>
      </c>
      <c r="I335">
        <v>1523.664</v>
      </c>
      <c r="J335" t="s">
        <v>63</v>
      </c>
      <c r="K335">
        <v>0.1</v>
      </c>
      <c r="L335">
        <v>-50.975999999999999</v>
      </c>
      <c r="M335" t="s">
        <v>37</v>
      </c>
    </row>
    <row r="336" spans="1:13">
      <c r="A336" t="s">
        <v>674</v>
      </c>
      <c r="B336" s="1">
        <v>42223</v>
      </c>
      <c r="C336" s="1">
        <v>42225</v>
      </c>
      <c r="D336" t="s">
        <v>675</v>
      </c>
      <c r="E336" t="s">
        <v>70</v>
      </c>
      <c r="F336" t="s">
        <v>71</v>
      </c>
      <c r="G336" t="s">
        <v>17</v>
      </c>
      <c r="H336" t="s">
        <v>151</v>
      </c>
      <c r="I336">
        <v>1625.2425000000001</v>
      </c>
      <c r="J336">
        <v>3</v>
      </c>
      <c r="K336">
        <v>0.15</v>
      </c>
      <c r="L336">
        <v>-76.567499999999995</v>
      </c>
      <c r="M336" t="s">
        <v>27</v>
      </c>
    </row>
    <row r="337" spans="1:13">
      <c r="A337" t="s">
        <v>646</v>
      </c>
      <c r="B337" s="1">
        <v>42039</v>
      </c>
      <c r="C337" s="1">
        <v>42099</v>
      </c>
      <c r="D337" t="s">
        <v>583</v>
      </c>
      <c r="E337" t="s">
        <v>40</v>
      </c>
      <c r="F337" t="s">
        <v>41</v>
      </c>
      <c r="G337" t="s">
        <v>45</v>
      </c>
      <c r="H337" t="s">
        <v>299</v>
      </c>
      <c r="I337">
        <v>28.4</v>
      </c>
      <c r="J337">
        <v>5</v>
      </c>
      <c r="K337">
        <v>0</v>
      </c>
      <c r="L337" t="s">
        <v>676</v>
      </c>
      <c r="M337" t="s">
        <v>37</v>
      </c>
    </row>
    <row r="338" spans="1:13">
      <c r="A338" t="s">
        <v>677</v>
      </c>
      <c r="B338" s="1">
        <v>42049</v>
      </c>
      <c r="D338" t="s">
        <v>35</v>
      </c>
      <c r="E338" t="s">
        <v>70</v>
      </c>
      <c r="F338" t="s">
        <v>678</v>
      </c>
      <c r="G338" t="s">
        <v>45</v>
      </c>
      <c r="H338" t="s">
        <v>26</v>
      </c>
      <c r="I338">
        <v>734.93999999999903</v>
      </c>
      <c r="K338">
        <v>0.1</v>
      </c>
      <c r="L338">
        <v>130.62</v>
      </c>
      <c r="M338" t="s">
        <v>27</v>
      </c>
    </row>
    <row r="339" spans="1:13">
      <c r="A339" t="s">
        <v>679</v>
      </c>
      <c r="B339" s="1">
        <v>41266</v>
      </c>
      <c r="C339" s="1">
        <v>41268</v>
      </c>
      <c r="D339" t="s">
        <v>583</v>
      </c>
      <c r="E339" t="s">
        <v>40</v>
      </c>
      <c r="F339" t="s">
        <v>43</v>
      </c>
      <c r="G339" t="s">
        <v>45</v>
      </c>
      <c r="H339" t="s">
        <v>18</v>
      </c>
      <c r="I339">
        <v>13.97</v>
      </c>
      <c r="J339">
        <v>1</v>
      </c>
      <c r="K339">
        <v>0</v>
      </c>
      <c r="L339">
        <v>3.6322000000000001</v>
      </c>
      <c r="M339" t="s">
        <v>37</v>
      </c>
    </row>
    <row r="340" spans="1:13">
      <c r="A340" t="s">
        <v>680</v>
      </c>
      <c r="B340" s="1">
        <v>41503</v>
      </c>
      <c r="C340" s="1">
        <v>41505</v>
      </c>
      <c r="D340" t="s">
        <v>681</v>
      </c>
      <c r="E340" t="s">
        <v>682</v>
      </c>
      <c r="F340" t="s">
        <v>87</v>
      </c>
      <c r="G340" t="s">
        <v>32</v>
      </c>
      <c r="H340" t="s">
        <v>299</v>
      </c>
      <c r="I340">
        <v>1391.52</v>
      </c>
      <c r="J340">
        <v>8</v>
      </c>
      <c r="K340">
        <v>0</v>
      </c>
      <c r="L340">
        <v>69.36</v>
      </c>
      <c r="M340" t="s">
        <v>27</v>
      </c>
    </row>
    <row r="341" spans="1:13">
      <c r="A341" t="s">
        <v>586</v>
      </c>
      <c r="B341" s="1">
        <v>41587</v>
      </c>
      <c r="C341" s="1">
        <v>41591</v>
      </c>
      <c r="D341" t="s">
        <v>583</v>
      </c>
      <c r="E341" t="s">
        <v>40</v>
      </c>
      <c r="F341" t="s">
        <v>683</v>
      </c>
      <c r="G341" t="s">
        <v>45</v>
      </c>
      <c r="H341" t="s">
        <v>44</v>
      </c>
      <c r="I341">
        <v>26.22</v>
      </c>
      <c r="J341">
        <v>3</v>
      </c>
      <c r="K341">
        <v>0</v>
      </c>
      <c r="L341">
        <v>12.323399999999999</v>
      </c>
      <c r="M341" t="s">
        <v>19</v>
      </c>
    </row>
    <row r="342" spans="1:13">
      <c r="A342" t="s">
        <v>684</v>
      </c>
      <c r="B342" s="1">
        <v>41493</v>
      </c>
      <c r="C342" s="1">
        <v>41494</v>
      </c>
      <c r="D342" t="s">
        <v>462</v>
      </c>
      <c r="E342" t="s">
        <v>60</v>
      </c>
      <c r="F342" t="s">
        <v>61</v>
      </c>
      <c r="G342" t="s">
        <v>45</v>
      </c>
      <c r="H342" t="s">
        <v>23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589</v>
      </c>
      <c r="B343" s="1">
        <v>41812</v>
      </c>
      <c r="C343" s="1">
        <v>41817</v>
      </c>
      <c r="D343" t="s">
        <v>583</v>
      </c>
      <c r="E343" t="s">
        <v>40</v>
      </c>
      <c r="F343" t="s">
        <v>111</v>
      </c>
      <c r="G343" t="s">
        <v>45</v>
      </c>
      <c r="H343" t="s">
        <v>151</v>
      </c>
      <c r="I343">
        <v>36.56</v>
      </c>
      <c r="J343">
        <v>5</v>
      </c>
      <c r="K343">
        <v>0.2</v>
      </c>
      <c r="L343">
        <v>12.795999999999999</v>
      </c>
      <c r="M343" t="s">
        <v>37</v>
      </c>
    </row>
    <row r="344" spans="1:13">
      <c r="A344" t="s">
        <v>685</v>
      </c>
      <c r="B344" s="1">
        <v>41762</v>
      </c>
      <c r="C344" s="1">
        <v>41766</v>
      </c>
      <c r="D344" t="s">
        <v>583</v>
      </c>
      <c r="E344" t="s">
        <v>40</v>
      </c>
      <c r="F344" t="s">
        <v>41</v>
      </c>
      <c r="G344" t="s">
        <v>45</v>
      </c>
      <c r="H344" t="s">
        <v>73</v>
      </c>
      <c r="I344">
        <v>18.936</v>
      </c>
      <c r="J344">
        <v>3</v>
      </c>
      <c r="K344">
        <v>0.2</v>
      </c>
      <c r="L344">
        <v>-3.7871999999999999</v>
      </c>
      <c r="M344" t="s">
        <v>19</v>
      </c>
    </row>
    <row r="345" spans="1:13">
      <c r="A345" t="s">
        <v>686</v>
      </c>
      <c r="B345" s="1">
        <v>41495</v>
      </c>
      <c r="C345" t="s">
        <v>687</v>
      </c>
      <c r="D345" t="s">
        <v>688</v>
      </c>
      <c r="E345" t="s">
        <v>689</v>
      </c>
      <c r="F345" t="s">
        <v>142</v>
      </c>
      <c r="G345" t="s">
        <v>17</v>
      </c>
      <c r="H345" t="s">
        <v>26</v>
      </c>
      <c r="I345" t="s">
        <v>163</v>
      </c>
      <c r="J345">
        <v>7</v>
      </c>
      <c r="K345">
        <v>0</v>
      </c>
      <c r="L345">
        <v>612.99</v>
      </c>
      <c r="M345" t="s">
        <v>27</v>
      </c>
    </row>
    <row r="346" spans="1:13">
      <c r="A346" t="s">
        <v>690</v>
      </c>
      <c r="B346" s="2">
        <v>41691</v>
      </c>
      <c r="C346" s="1">
        <v>41692</v>
      </c>
      <c r="D346" t="s">
        <v>691</v>
      </c>
      <c r="E346" t="s">
        <v>15</v>
      </c>
      <c r="F346" t="s">
        <v>16</v>
      </c>
      <c r="G346" t="s">
        <v>32</v>
      </c>
      <c r="H346" t="s">
        <v>127</v>
      </c>
      <c r="I346">
        <v>1809.2550000000001</v>
      </c>
      <c r="J346">
        <v>5</v>
      </c>
      <c r="K346">
        <v>0.3</v>
      </c>
      <c r="L346">
        <v>-258.495</v>
      </c>
      <c r="M346" t="s">
        <v>37</v>
      </c>
    </row>
    <row r="347" spans="1:13">
      <c r="A347" t="s">
        <v>692</v>
      </c>
      <c r="B347" t="s">
        <v>125</v>
      </c>
      <c r="C347" s="1">
        <v>41474</v>
      </c>
      <c r="D347" t="s">
        <v>607</v>
      </c>
      <c r="E347" t="s">
        <v>15</v>
      </c>
      <c r="F347" t="s">
        <v>16</v>
      </c>
      <c r="G347" t="s">
        <v>17</v>
      </c>
      <c r="H347" t="s">
        <v>127</v>
      </c>
      <c r="I347">
        <v>1863</v>
      </c>
      <c r="J347">
        <v>8</v>
      </c>
      <c r="K347">
        <v>0.1</v>
      </c>
      <c r="L347">
        <v>393.24</v>
      </c>
      <c r="M347" t="s">
        <v>37</v>
      </c>
    </row>
    <row r="348" spans="1:13">
      <c r="A348" t="s">
        <v>693</v>
      </c>
      <c r="B348" s="1">
        <v>41894</v>
      </c>
      <c r="C348" s="1">
        <v>41899</v>
      </c>
      <c r="D348" t="s">
        <v>583</v>
      </c>
      <c r="E348" t="s">
        <v>40</v>
      </c>
      <c r="F348" t="s">
        <v>41</v>
      </c>
      <c r="G348" t="s">
        <v>45</v>
      </c>
      <c r="H348" t="s">
        <v>44</v>
      </c>
      <c r="I348">
        <v>6</v>
      </c>
      <c r="J348">
        <v>2</v>
      </c>
      <c r="K348">
        <v>0.2</v>
      </c>
      <c r="L348">
        <v>2.0999999999999899</v>
      </c>
      <c r="M348" t="s">
        <v>37</v>
      </c>
    </row>
    <row r="349" spans="1:13">
      <c r="A349" t="s">
        <v>694</v>
      </c>
      <c r="B349" s="1">
        <v>42103</v>
      </c>
      <c r="C349" s="1">
        <v>42106</v>
      </c>
      <c r="D349" t="s">
        <v>695</v>
      </c>
      <c r="E349" t="s">
        <v>70</v>
      </c>
      <c r="F349" t="s">
        <v>71</v>
      </c>
      <c r="G349" t="s">
        <v>45</v>
      </c>
      <c r="H349" t="s">
        <v>18</v>
      </c>
      <c r="I349">
        <v>1244.1869999999999</v>
      </c>
      <c r="J349">
        <v>7</v>
      </c>
      <c r="L349">
        <v>-13.923</v>
      </c>
      <c r="M349" t="s">
        <v>27</v>
      </c>
    </row>
    <row r="350" spans="1:13">
      <c r="A350" t="s">
        <v>696</v>
      </c>
      <c r="B350" s="1">
        <v>41443</v>
      </c>
      <c r="C350" s="1">
        <v>41445</v>
      </c>
      <c r="D350" t="s">
        <v>697</v>
      </c>
      <c r="E350" t="s">
        <v>70</v>
      </c>
      <c r="F350" t="s">
        <v>71</v>
      </c>
      <c r="G350" t="s">
        <v>32</v>
      </c>
      <c r="H350" t="s">
        <v>26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19</v>
      </c>
    </row>
    <row r="351" spans="1:13">
      <c r="A351" t="s">
        <v>698</v>
      </c>
      <c r="B351" s="1">
        <v>42004</v>
      </c>
      <c r="C351" s="1">
        <v>42006</v>
      </c>
      <c r="D351" t="s">
        <v>357</v>
      </c>
      <c r="E351" t="s">
        <v>70</v>
      </c>
      <c r="F351" t="s">
        <v>71</v>
      </c>
      <c r="G351" t="s">
        <v>17</v>
      </c>
      <c r="H351" t="s">
        <v>299</v>
      </c>
      <c r="I351">
        <v>1946.3129999999901</v>
      </c>
      <c r="J351">
        <v>6</v>
      </c>
      <c r="K351">
        <v>0.15</v>
      </c>
      <c r="L351">
        <v>114.453</v>
      </c>
      <c r="M351" t="s">
        <v>37</v>
      </c>
    </row>
    <row r="352" spans="1:13">
      <c r="A352" t="s">
        <v>685</v>
      </c>
      <c r="B352" s="1">
        <v>41762</v>
      </c>
      <c r="C352" s="1">
        <v>41766</v>
      </c>
      <c r="D352" t="s">
        <v>583</v>
      </c>
      <c r="F352" t="s">
        <v>41</v>
      </c>
      <c r="G352" t="s">
        <v>45</v>
      </c>
      <c r="H352" t="s">
        <v>44</v>
      </c>
      <c r="I352">
        <v>12.672000000000001</v>
      </c>
      <c r="J352">
        <v>3</v>
      </c>
      <c r="K352">
        <v>0.2</v>
      </c>
      <c r="L352">
        <v>-3.1680000000000001</v>
      </c>
      <c r="M352" t="s">
        <v>19</v>
      </c>
    </row>
    <row r="353" spans="1:13">
      <c r="A353" t="s">
        <v>699</v>
      </c>
      <c r="B353" s="1">
        <v>41289</v>
      </c>
      <c r="C353" s="1">
        <v>41291</v>
      </c>
      <c r="D353" t="s">
        <v>700</v>
      </c>
      <c r="E353" t="s">
        <v>701</v>
      </c>
      <c r="F353" t="s">
        <v>71</v>
      </c>
      <c r="G353" t="s">
        <v>45</v>
      </c>
      <c r="H353" t="s">
        <v>33</v>
      </c>
      <c r="I353">
        <v>2283.7139999999999</v>
      </c>
      <c r="J353">
        <v>9</v>
      </c>
      <c r="K353">
        <v>0.1</v>
      </c>
      <c r="L353">
        <v>-0.21600000000000799</v>
      </c>
      <c r="M353" t="s">
        <v>37</v>
      </c>
    </row>
    <row r="354" spans="1:13">
      <c r="A354" t="s">
        <v>702</v>
      </c>
      <c r="B354" s="1">
        <v>41437</v>
      </c>
      <c r="D354" t="s">
        <v>214</v>
      </c>
      <c r="E354" t="s">
        <v>130</v>
      </c>
      <c r="F354" t="s">
        <v>131</v>
      </c>
      <c r="G354" t="s">
        <v>17</v>
      </c>
      <c r="H354" t="s">
        <v>46</v>
      </c>
      <c r="I354">
        <v>2549.7600000000002</v>
      </c>
      <c r="J354">
        <v>4</v>
      </c>
      <c r="K354">
        <v>0</v>
      </c>
      <c r="L354">
        <v>1172.8799999999901</v>
      </c>
      <c r="M354" t="s">
        <v>19</v>
      </c>
    </row>
    <row r="355" spans="1:13">
      <c r="A355" t="s">
        <v>703</v>
      </c>
      <c r="B355" s="1">
        <v>42080</v>
      </c>
      <c r="C355" s="1">
        <v>42085</v>
      </c>
      <c r="D355" t="s">
        <v>704</v>
      </c>
      <c r="E355" t="s">
        <v>15</v>
      </c>
      <c r="F355" t="s">
        <v>16</v>
      </c>
      <c r="G355" t="s">
        <v>17</v>
      </c>
      <c r="H355" t="s">
        <v>73</v>
      </c>
      <c r="I355">
        <v>3299.5619999999999</v>
      </c>
      <c r="J355">
        <v>14</v>
      </c>
      <c r="K355">
        <v>0.1</v>
      </c>
      <c r="M355" t="s">
        <v>19</v>
      </c>
    </row>
    <row r="356" spans="1:13">
      <c r="A356" t="s">
        <v>705</v>
      </c>
      <c r="B356" s="1">
        <v>41591</v>
      </c>
      <c r="C356" s="1">
        <v>41595</v>
      </c>
      <c r="D356" t="s">
        <v>706</v>
      </c>
      <c r="E356" t="s">
        <v>707</v>
      </c>
      <c r="F356" t="s">
        <v>71</v>
      </c>
      <c r="G356" t="s">
        <v>45</v>
      </c>
      <c r="H356" t="s">
        <v>26</v>
      </c>
      <c r="I356">
        <v>2489.3999999999901</v>
      </c>
      <c r="J356">
        <v>9</v>
      </c>
      <c r="K356">
        <v>0</v>
      </c>
      <c r="L356" t="s">
        <v>708</v>
      </c>
      <c r="M356" t="s">
        <v>37</v>
      </c>
    </row>
    <row r="357" spans="1:13">
      <c r="A357" t="s">
        <v>685</v>
      </c>
      <c r="B357" s="1">
        <v>41762</v>
      </c>
      <c r="C357" s="1">
        <v>41766</v>
      </c>
      <c r="D357" t="s">
        <v>583</v>
      </c>
      <c r="E357" t="s">
        <v>40</v>
      </c>
      <c r="F357" t="s">
        <v>41</v>
      </c>
      <c r="G357" t="s">
        <v>45</v>
      </c>
      <c r="H357" t="s">
        <v>33</v>
      </c>
      <c r="I357">
        <v>5.04</v>
      </c>
      <c r="J357">
        <v>2</v>
      </c>
      <c r="K357">
        <v>0.2</v>
      </c>
      <c r="L357">
        <v>1.764</v>
      </c>
      <c r="M357" t="s">
        <v>19</v>
      </c>
    </row>
    <row r="358" spans="1:13">
      <c r="A358" t="s">
        <v>582</v>
      </c>
      <c r="B358" s="1">
        <v>42264</v>
      </c>
      <c r="C358" s="1">
        <v>42266</v>
      </c>
      <c r="D358" t="s">
        <v>583</v>
      </c>
      <c r="E358" t="s">
        <v>40</v>
      </c>
      <c r="F358" t="s">
        <v>111</v>
      </c>
      <c r="G358" t="s">
        <v>45</v>
      </c>
      <c r="H358" t="s">
        <v>73</v>
      </c>
      <c r="I358">
        <v>3.444</v>
      </c>
      <c r="J358">
        <v>2</v>
      </c>
      <c r="K358">
        <v>0.7</v>
      </c>
      <c r="L358">
        <v>-2.7551999999999901</v>
      </c>
      <c r="M358" t="s">
        <v>27</v>
      </c>
    </row>
    <row r="359" spans="1:13">
      <c r="A359" t="s">
        <v>709</v>
      </c>
      <c r="B359" s="1">
        <v>42140</v>
      </c>
      <c r="C359" s="1">
        <v>42143</v>
      </c>
      <c r="D359" t="s">
        <v>280</v>
      </c>
      <c r="E359" t="s">
        <v>70</v>
      </c>
      <c r="F359" t="s">
        <v>71</v>
      </c>
      <c r="G359" t="s">
        <v>32</v>
      </c>
      <c r="H359" t="s">
        <v>151</v>
      </c>
      <c r="J359">
        <v>9</v>
      </c>
      <c r="K359">
        <v>0.1</v>
      </c>
      <c r="M359" t="s">
        <v>37</v>
      </c>
    </row>
    <row r="360" spans="1:13">
      <c r="A360" t="s">
        <v>586</v>
      </c>
      <c r="B360" s="1">
        <v>41587</v>
      </c>
      <c r="C360" s="1">
        <v>41591</v>
      </c>
      <c r="D360" t="s">
        <v>583</v>
      </c>
      <c r="E360" t="s">
        <v>40</v>
      </c>
      <c r="F360" t="s">
        <v>41</v>
      </c>
      <c r="G360" t="s">
        <v>45</v>
      </c>
      <c r="H360" t="s">
        <v>33</v>
      </c>
      <c r="I360">
        <v>17.22</v>
      </c>
      <c r="J360">
        <v>3</v>
      </c>
      <c r="K360">
        <v>0</v>
      </c>
      <c r="L360">
        <v>7.9211999999999998</v>
      </c>
      <c r="M360" t="s">
        <v>19</v>
      </c>
    </row>
    <row r="361" spans="1:13">
      <c r="B361" s="1">
        <v>42360</v>
      </c>
      <c r="C361" s="1">
        <v>42362</v>
      </c>
      <c r="D361" t="s">
        <v>249</v>
      </c>
      <c r="E361" t="s">
        <v>101</v>
      </c>
      <c r="F361" t="s">
        <v>98</v>
      </c>
      <c r="G361" t="s">
        <v>32</v>
      </c>
      <c r="H361" t="s">
        <v>151</v>
      </c>
      <c r="I361" t="s">
        <v>710</v>
      </c>
      <c r="J361">
        <v>4</v>
      </c>
      <c r="K361">
        <v>0</v>
      </c>
      <c r="L361">
        <v>1793.76237633908</v>
      </c>
      <c r="M361" t="s">
        <v>37</v>
      </c>
    </row>
    <row r="362" spans="1:13">
      <c r="A362" t="s">
        <v>711</v>
      </c>
      <c r="B362" s="1">
        <v>41896</v>
      </c>
      <c r="C362" s="1">
        <v>41896</v>
      </c>
      <c r="D362" t="s">
        <v>712</v>
      </c>
      <c r="E362" t="s">
        <v>713</v>
      </c>
      <c r="F362" t="s">
        <v>115</v>
      </c>
      <c r="G362" t="s">
        <v>17</v>
      </c>
      <c r="H362" t="s">
        <v>33</v>
      </c>
      <c r="I362">
        <v>3499.1550000000002</v>
      </c>
      <c r="J362">
        <v>11</v>
      </c>
      <c r="K362">
        <v>0.5</v>
      </c>
      <c r="L362">
        <v>-3009.4349999999999</v>
      </c>
      <c r="M362" t="s">
        <v>19</v>
      </c>
    </row>
    <row r="363" spans="1:13">
      <c r="A363" t="s">
        <v>714</v>
      </c>
      <c r="C363" s="1">
        <v>41652</v>
      </c>
      <c r="D363" t="s">
        <v>715</v>
      </c>
      <c r="E363" t="s">
        <v>15</v>
      </c>
      <c r="F363" t="s">
        <v>16</v>
      </c>
      <c r="G363" t="s">
        <v>32</v>
      </c>
      <c r="H363" t="s">
        <v>23</v>
      </c>
      <c r="I363">
        <v>2993.0249999999901</v>
      </c>
      <c r="J363">
        <v>5</v>
      </c>
      <c r="K363">
        <v>0.3</v>
      </c>
      <c r="L363">
        <v>726.82499999999902</v>
      </c>
      <c r="M363" t="s">
        <v>19</v>
      </c>
    </row>
    <row r="364" spans="1:13">
      <c r="A364" t="s">
        <v>716</v>
      </c>
      <c r="B364" s="1">
        <v>42182</v>
      </c>
      <c r="C364" s="1">
        <v>42182</v>
      </c>
      <c r="E364" t="s">
        <v>70</v>
      </c>
      <c r="F364" t="s">
        <v>71</v>
      </c>
      <c r="G364" t="s">
        <v>17</v>
      </c>
      <c r="H364" t="s">
        <v>26</v>
      </c>
      <c r="I364">
        <v>815.94899999999996</v>
      </c>
      <c r="J364">
        <v>3</v>
      </c>
      <c r="K364">
        <v>0.15</v>
      </c>
      <c r="L364">
        <v>287.91899999999998</v>
      </c>
      <c r="M364" t="s">
        <v>27</v>
      </c>
    </row>
    <row r="365" spans="1:13">
      <c r="A365" t="s">
        <v>717</v>
      </c>
      <c r="B365" s="1">
        <v>41468</v>
      </c>
      <c r="C365" s="2">
        <v>41471</v>
      </c>
      <c r="D365" t="s">
        <v>718</v>
      </c>
      <c r="E365" t="s">
        <v>719</v>
      </c>
      <c r="F365" t="s">
        <v>94</v>
      </c>
      <c r="G365" t="s">
        <v>17</v>
      </c>
      <c r="H365" t="s">
        <v>44</v>
      </c>
      <c r="I365">
        <v>1245</v>
      </c>
      <c r="J365">
        <v>4</v>
      </c>
      <c r="K365">
        <v>0</v>
      </c>
      <c r="L365">
        <v>161.76</v>
      </c>
      <c r="M365" t="s">
        <v>27</v>
      </c>
    </row>
    <row r="366" spans="1:13">
      <c r="A366" t="s">
        <v>720</v>
      </c>
      <c r="B366" s="1">
        <v>42046</v>
      </c>
      <c r="C366" s="1">
        <v>42046</v>
      </c>
      <c r="D366" t="s">
        <v>721</v>
      </c>
      <c r="E366" t="s">
        <v>15</v>
      </c>
      <c r="F366" t="s">
        <v>16</v>
      </c>
      <c r="G366" t="s">
        <v>17</v>
      </c>
      <c r="H366" t="s">
        <v>33</v>
      </c>
      <c r="I366">
        <v>1027.7280000000001</v>
      </c>
      <c r="J366">
        <v>8</v>
      </c>
      <c r="K366">
        <v>0.1</v>
      </c>
      <c r="L366">
        <v>182.68799999999999</v>
      </c>
      <c r="M366" t="s">
        <v>27</v>
      </c>
    </row>
    <row r="367" spans="1:13">
      <c r="A367" t="s">
        <v>722</v>
      </c>
      <c r="B367" s="1">
        <v>42153</v>
      </c>
      <c r="C367" s="1">
        <v>42160</v>
      </c>
      <c r="D367" t="s">
        <v>515</v>
      </c>
      <c r="E367" t="s">
        <v>15</v>
      </c>
      <c r="F367" t="s">
        <v>16</v>
      </c>
      <c r="G367" t="s">
        <v>17</v>
      </c>
      <c r="H367" t="s">
        <v>127</v>
      </c>
      <c r="I367">
        <v>1703.0250000000001</v>
      </c>
      <c r="J367">
        <v>5</v>
      </c>
      <c r="L367">
        <v>737.92499999999995</v>
      </c>
      <c r="M367" t="s">
        <v>74</v>
      </c>
    </row>
    <row r="368" spans="1:13">
      <c r="A368" t="s">
        <v>723</v>
      </c>
      <c r="B368" s="1">
        <v>42110</v>
      </c>
      <c r="C368" s="1">
        <v>42112</v>
      </c>
      <c r="D368" t="s">
        <v>724</v>
      </c>
      <c r="E368" t="s">
        <v>141</v>
      </c>
      <c r="F368" t="s">
        <v>142</v>
      </c>
      <c r="G368" t="s">
        <v>165</v>
      </c>
      <c r="H368" t="s">
        <v>33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37</v>
      </c>
    </row>
    <row r="369" spans="1:13">
      <c r="A369" t="s">
        <v>725</v>
      </c>
      <c r="B369" s="1">
        <v>42335</v>
      </c>
      <c r="C369" s="1">
        <v>42337</v>
      </c>
      <c r="D369" t="s">
        <v>726</v>
      </c>
      <c r="E369" t="s">
        <v>70</v>
      </c>
      <c r="F369" t="s">
        <v>71</v>
      </c>
      <c r="G369" t="s">
        <v>32</v>
      </c>
      <c r="H369" t="s">
        <v>33</v>
      </c>
      <c r="I369">
        <v>676.48500000000001</v>
      </c>
      <c r="J369">
        <v>5</v>
      </c>
      <c r="K369">
        <v>0.1</v>
      </c>
      <c r="L369">
        <v>195.285</v>
      </c>
      <c r="M369" t="s">
        <v>27</v>
      </c>
    </row>
    <row r="370" spans="1:13">
      <c r="A370" t="s">
        <v>727</v>
      </c>
      <c r="B370" s="1">
        <v>41221</v>
      </c>
      <c r="C370" s="1">
        <v>41223</v>
      </c>
      <c r="D370" t="s">
        <v>728</v>
      </c>
      <c r="E370" t="s">
        <v>114</v>
      </c>
      <c r="F370" t="s">
        <v>115</v>
      </c>
      <c r="G370" t="s">
        <v>32</v>
      </c>
      <c r="H370" t="s">
        <v>299</v>
      </c>
      <c r="I370">
        <v>969.36</v>
      </c>
      <c r="J370">
        <v>7</v>
      </c>
      <c r="K370">
        <v>0</v>
      </c>
      <c r="L370">
        <v>348.81</v>
      </c>
      <c r="M370" t="s">
        <v>27</v>
      </c>
    </row>
    <row r="371" spans="1:13">
      <c r="A371" t="s">
        <v>729</v>
      </c>
      <c r="B371" s="1">
        <v>42265</v>
      </c>
      <c r="C371" t="s">
        <v>730</v>
      </c>
      <c r="D371" t="s">
        <v>731</v>
      </c>
      <c r="F371" t="s">
        <v>71</v>
      </c>
      <c r="G371" t="s">
        <v>32</v>
      </c>
      <c r="H371" t="s">
        <v>151</v>
      </c>
      <c r="I371" t="s">
        <v>163</v>
      </c>
      <c r="J371">
        <v>5</v>
      </c>
      <c r="K371">
        <v>0.1</v>
      </c>
      <c r="L371">
        <v>90.809999999999903</v>
      </c>
      <c r="M371" t="s">
        <v>37</v>
      </c>
    </row>
    <row r="372" spans="1:13">
      <c r="A372" t="s">
        <v>732</v>
      </c>
      <c r="B372" s="1">
        <v>42059</v>
      </c>
      <c r="C372" s="1">
        <v>42062</v>
      </c>
      <c r="D372" t="s">
        <v>733</v>
      </c>
      <c r="E372" t="s">
        <v>276</v>
      </c>
      <c r="F372" t="s">
        <v>61</v>
      </c>
      <c r="G372" t="s">
        <v>17</v>
      </c>
      <c r="H372" t="s">
        <v>23</v>
      </c>
      <c r="I372">
        <v>1655.96143999999</v>
      </c>
      <c r="J372">
        <v>7</v>
      </c>
      <c r="L372">
        <v>13.20144</v>
      </c>
      <c r="M372" t="s">
        <v>37</v>
      </c>
    </row>
    <row r="373" spans="1:13">
      <c r="A373" t="s">
        <v>734</v>
      </c>
      <c r="B373" s="1">
        <v>41885</v>
      </c>
      <c r="C373" s="1">
        <v>41887</v>
      </c>
      <c r="D373" t="s">
        <v>735</v>
      </c>
      <c r="E373" t="s">
        <v>97</v>
      </c>
      <c r="F373" t="s">
        <v>98</v>
      </c>
      <c r="G373" t="s">
        <v>32</v>
      </c>
      <c r="H373" t="s">
        <v>151</v>
      </c>
      <c r="I373">
        <v>976.95999999999901</v>
      </c>
      <c r="J373">
        <v>4</v>
      </c>
      <c r="L373">
        <v>232</v>
      </c>
      <c r="M373" t="s">
        <v>27</v>
      </c>
    </row>
    <row r="374" spans="1:13">
      <c r="A374" t="s">
        <v>736</v>
      </c>
      <c r="B374" s="1">
        <v>41996</v>
      </c>
      <c r="C374" s="1">
        <v>41998</v>
      </c>
      <c r="D374" t="s">
        <v>146</v>
      </c>
      <c r="E374" t="s">
        <v>737</v>
      </c>
      <c r="F374" t="s">
        <v>90</v>
      </c>
      <c r="G374" t="s">
        <v>32</v>
      </c>
      <c r="H374" t="s">
        <v>33</v>
      </c>
      <c r="I374">
        <v>731.34</v>
      </c>
      <c r="J374">
        <v>2</v>
      </c>
      <c r="K374">
        <v>0</v>
      </c>
      <c r="L374">
        <v>175.5</v>
      </c>
      <c r="M374" t="s">
        <v>27</v>
      </c>
    </row>
    <row r="375" spans="1:13">
      <c r="A375" t="s">
        <v>738</v>
      </c>
      <c r="B375" s="1">
        <v>42172</v>
      </c>
      <c r="C375" s="1">
        <v>42174</v>
      </c>
      <c r="D375" t="s">
        <v>609</v>
      </c>
      <c r="E375" t="s">
        <v>739</v>
      </c>
      <c r="F375" t="s">
        <v>25</v>
      </c>
      <c r="G375" t="s">
        <v>45</v>
      </c>
      <c r="H375" t="s">
        <v>23</v>
      </c>
      <c r="I375">
        <v>1239</v>
      </c>
      <c r="J375">
        <v>4</v>
      </c>
      <c r="K375">
        <v>0</v>
      </c>
      <c r="L375">
        <v>0</v>
      </c>
      <c r="M375" t="s">
        <v>27</v>
      </c>
    </row>
    <row r="376" spans="1:13">
      <c r="A376" t="s">
        <v>740</v>
      </c>
      <c r="B376" s="1">
        <v>42078</v>
      </c>
      <c r="C376" s="1">
        <v>42080</v>
      </c>
      <c r="D376" t="s">
        <v>741</v>
      </c>
      <c r="E376" t="s">
        <v>742</v>
      </c>
      <c r="F376" t="s">
        <v>142</v>
      </c>
      <c r="G376" t="s">
        <v>32</v>
      </c>
      <c r="H376" t="s">
        <v>151</v>
      </c>
      <c r="I376">
        <v>1680.60599999999</v>
      </c>
      <c r="J376">
        <v>5</v>
      </c>
      <c r="K376">
        <v>0.27</v>
      </c>
      <c r="L376">
        <v>368.25599999999997</v>
      </c>
      <c r="M376" t="s">
        <v>37</v>
      </c>
    </row>
    <row r="377" spans="1:13">
      <c r="A377" t="s">
        <v>743</v>
      </c>
      <c r="B377" s="1">
        <v>42197</v>
      </c>
      <c r="C377" s="1">
        <v>42198</v>
      </c>
      <c r="D377" t="s">
        <v>715</v>
      </c>
      <c r="E377" t="s">
        <v>114</v>
      </c>
      <c r="F377" t="s">
        <v>115</v>
      </c>
      <c r="G377" t="s">
        <v>32</v>
      </c>
      <c r="H377" t="s">
        <v>73</v>
      </c>
      <c r="I377">
        <v>2190.75</v>
      </c>
      <c r="J377">
        <v>5</v>
      </c>
      <c r="K377">
        <v>0</v>
      </c>
      <c r="L377">
        <v>65.7</v>
      </c>
      <c r="M377" t="s">
        <v>19</v>
      </c>
    </row>
    <row r="378" spans="1:13">
      <c r="A378" t="s">
        <v>744</v>
      </c>
      <c r="B378" s="1">
        <v>42164</v>
      </c>
      <c r="C378" s="1">
        <v>42167</v>
      </c>
      <c r="D378" t="s">
        <v>745</v>
      </c>
      <c r="E378" t="s">
        <v>93</v>
      </c>
      <c r="F378" t="s">
        <v>94</v>
      </c>
      <c r="G378" t="s">
        <v>17</v>
      </c>
      <c r="H378" t="s">
        <v>23</v>
      </c>
      <c r="I378">
        <v>935.171999999999</v>
      </c>
      <c r="J378">
        <v>4</v>
      </c>
      <c r="K378">
        <v>0.1</v>
      </c>
      <c r="M378" t="s">
        <v>27</v>
      </c>
    </row>
    <row r="379" spans="1:13">
      <c r="A379" t="s">
        <v>746</v>
      </c>
      <c r="B379" s="1">
        <v>42292</v>
      </c>
      <c r="D379" t="s">
        <v>747</v>
      </c>
      <c r="E379" t="s">
        <v>256</v>
      </c>
      <c r="F379" t="s">
        <v>678</v>
      </c>
      <c r="G379" t="s">
        <v>45</v>
      </c>
      <c r="H379" t="s">
        <v>151</v>
      </c>
      <c r="I379">
        <v>1026.96</v>
      </c>
      <c r="J379">
        <v>8</v>
      </c>
      <c r="K379">
        <v>0</v>
      </c>
      <c r="M379" t="s">
        <v>27</v>
      </c>
    </row>
    <row r="380" spans="1:13">
      <c r="A380" t="s">
        <v>748</v>
      </c>
      <c r="B380" s="1">
        <v>42222</v>
      </c>
      <c r="C380" t="s">
        <v>749</v>
      </c>
      <c r="D380" t="s">
        <v>695</v>
      </c>
      <c r="F380" t="s">
        <v>115</v>
      </c>
      <c r="G380" t="s">
        <v>17</v>
      </c>
      <c r="H380" t="s">
        <v>127</v>
      </c>
      <c r="I380">
        <v>2550</v>
      </c>
      <c r="J380">
        <v>4</v>
      </c>
      <c r="K380">
        <v>0</v>
      </c>
      <c r="L380">
        <v>280.44</v>
      </c>
      <c r="M380" t="s">
        <v>37</v>
      </c>
    </row>
    <row r="381" spans="1:13">
      <c r="A381" t="s">
        <v>750</v>
      </c>
      <c r="B381" s="1">
        <v>41633</v>
      </c>
      <c r="C381" s="1">
        <v>41636</v>
      </c>
      <c r="D381" t="s">
        <v>751</v>
      </c>
      <c r="E381" t="s">
        <v>322</v>
      </c>
      <c r="F381" t="s">
        <v>142</v>
      </c>
      <c r="G381" t="s">
        <v>17</v>
      </c>
      <c r="H381" t="s">
        <v>299</v>
      </c>
      <c r="I381">
        <v>2667.5369999999998</v>
      </c>
      <c r="J381">
        <v>5</v>
      </c>
      <c r="K381">
        <v>0.17</v>
      </c>
      <c r="L381">
        <v>-417.81299999999902</v>
      </c>
      <c r="M381" t="s">
        <v>19</v>
      </c>
    </row>
    <row r="382" spans="1:13">
      <c r="B382" s="1">
        <v>41615</v>
      </c>
      <c r="C382" s="1">
        <v>41615</v>
      </c>
      <c r="D382" t="s">
        <v>752</v>
      </c>
      <c r="F382" t="s">
        <v>71</v>
      </c>
      <c r="G382" t="s">
        <v>17</v>
      </c>
      <c r="H382" t="s">
        <v>26</v>
      </c>
      <c r="I382">
        <v>1224.7139999999999</v>
      </c>
      <c r="J382">
        <v>4</v>
      </c>
      <c r="K382">
        <v>0.15</v>
      </c>
      <c r="L382">
        <v>-129.726</v>
      </c>
      <c r="M382" t="s">
        <v>37</v>
      </c>
    </row>
    <row r="383" spans="1:13">
      <c r="A383" t="s">
        <v>753</v>
      </c>
      <c r="B383" s="1">
        <v>41775</v>
      </c>
      <c r="C383" s="1">
        <v>41779</v>
      </c>
      <c r="D383" t="s">
        <v>754</v>
      </c>
      <c r="E383" t="s">
        <v>22</v>
      </c>
      <c r="F383" t="s">
        <v>71</v>
      </c>
      <c r="G383" t="s">
        <v>17</v>
      </c>
      <c r="H383" t="s">
        <v>33</v>
      </c>
      <c r="I383">
        <v>2605.92</v>
      </c>
      <c r="J383">
        <v>4</v>
      </c>
      <c r="K383" t="s">
        <v>226</v>
      </c>
      <c r="L383">
        <v>8994.9828630280499</v>
      </c>
      <c r="M383" t="s">
        <v>37</v>
      </c>
    </row>
    <row r="384" spans="1:13">
      <c r="A384" t="s">
        <v>755</v>
      </c>
      <c r="B384" s="1">
        <v>41807</v>
      </c>
      <c r="C384" s="1">
        <v>41808</v>
      </c>
      <c r="E384" t="s">
        <v>168</v>
      </c>
      <c r="F384" t="s">
        <v>115</v>
      </c>
      <c r="G384" t="s">
        <v>45</v>
      </c>
      <c r="H384" t="s">
        <v>26</v>
      </c>
      <c r="I384">
        <v>2962.68</v>
      </c>
      <c r="J384">
        <v>14</v>
      </c>
      <c r="K384">
        <v>0</v>
      </c>
      <c r="L384">
        <v>207.06</v>
      </c>
      <c r="M384" t="s">
        <v>19</v>
      </c>
    </row>
    <row r="385" spans="1:13">
      <c r="A385" t="s">
        <v>756</v>
      </c>
      <c r="B385" s="1">
        <v>42311</v>
      </c>
      <c r="C385" s="1">
        <v>42315</v>
      </c>
      <c r="D385" t="s">
        <v>757</v>
      </c>
      <c r="E385" t="s">
        <v>114</v>
      </c>
      <c r="F385" t="s">
        <v>115</v>
      </c>
      <c r="G385" t="s">
        <v>32</v>
      </c>
      <c r="H385" t="s">
        <v>26</v>
      </c>
      <c r="I385">
        <v>2664</v>
      </c>
      <c r="K385">
        <v>0</v>
      </c>
      <c r="L385">
        <v>905.7</v>
      </c>
      <c r="M385" t="s">
        <v>19</v>
      </c>
    </row>
    <row r="386" spans="1:13">
      <c r="A386" t="s">
        <v>758</v>
      </c>
      <c r="B386" s="1">
        <v>41422</v>
      </c>
      <c r="C386" s="1">
        <v>41425</v>
      </c>
      <c r="D386" t="s">
        <v>759</v>
      </c>
      <c r="E386" t="s">
        <v>76</v>
      </c>
      <c r="F386" t="s">
        <v>77</v>
      </c>
      <c r="G386" t="s">
        <v>17</v>
      </c>
      <c r="H386" t="s">
        <v>299</v>
      </c>
      <c r="I386">
        <v>1513.56</v>
      </c>
      <c r="J386">
        <v>4</v>
      </c>
      <c r="K386">
        <v>0</v>
      </c>
      <c r="L386">
        <v>741.599999999999</v>
      </c>
      <c r="M386" t="s">
        <v>760</v>
      </c>
    </row>
    <row r="387" spans="1:13">
      <c r="B387" s="1">
        <v>41868</v>
      </c>
      <c r="C387" s="1">
        <v>41871</v>
      </c>
      <c r="D387" t="s">
        <v>761</v>
      </c>
      <c r="E387" t="s">
        <v>93</v>
      </c>
      <c r="F387" t="s">
        <v>94</v>
      </c>
      <c r="G387" t="s">
        <v>32</v>
      </c>
      <c r="H387" t="s">
        <v>44</v>
      </c>
      <c r="I387">
        <v>1233.6299999999901</v>
      </c>
      <c r="J387">
        <v>3</v>
      </c>
      <c r="K387">
        <v>0</v>
      </c>
      <c r="L387">
        <v>234.36</v>
      </c>
      <c r="M387" t="s">
        <v>762</v>
      </c>
    </row>
    <row r="388" spans="1:13">
      <c r="A388" t="s">
        <v>763</v>
      </c>
      <c r="B388" s="1">
        <v>41062</v>
      </c>
      <c r="C388" s="1">
        <v>41064</v>
      </c>
      <c r="D388" t="s">
        <v>721</v>
      </c>
      <c r="E388" t="s">
        <v>204</v>
      </c>
      <c r="F388" t="s">
        <v>87</v>
      </c>
      <c r="G388" t="s">
        <v>32</v>
      </c>
      <c r="H388" t="s">
        <v>33</v>
      </c>
      <c r="I388">
        <v>855.14999999999895</v>
      </c>
      <c r="J388">
        <v>1</v>
      </c>
      <c r="K388">
        <v>0</v>
      </c>
      <c r="L388">
        <v>384.81</v>
      </c>
      <c r="M388" t="s">
        <v>27</v>
      </c>
    </row>
    <row r="389" spans="1:13">
      <c r="A389" t="s">
        <v>764</v>
      </c>
      <c r="B389" s="1">
        <v>41103</v>
      </c>
      <c r="C389" s="1">
        <v>41104</v>
      </c>
      <c r="D389" t="s">
        <v>765</v>
      </c>
      <c r="E389" t="s">
        <v>93</v>
      </c>
      <c r="F389" t="s">
        <v>766</v>
      </c>
      <c r="G389" t="s">
        <v>17</v>
      </c>
      <c r="H389" t="s">
        <v>151</v>
      </c>
      <c r="I389">
        <v>956.34</v>
      </c>
      <c r="J389">
        <v>4</v>
      </c>
      <c r="K389">
        <v>0.1</v>
      </c>
      <c r="L389">
        <v>-95.7</v>
      </c>
      <c r="M389" t="s">
        <v>27</v>
      </c>
    </row>
    <row r="390" spans="1:13">
      <c r="A390" t="s">
        <v>586</v>
      </c>
      <c r="B390" s="1">
        <v>41587</v>
      </c>
      <c r="C390" s="1">
        <v>41591</v>
      </c>
      <c r="D390" t="s">
        <v>583</v>
      </c>
      <c r="E390" t="s">
        <v>40</v>
      </c>
      <c r="F390" t="s">
        <v>41</v>
      </c>
      <c r="G390" t="s">
        <v>45</v>
      </c>
      <c r="H390" t="s">
        <v>44</v>
      </c>
      <c r="I390">
        <v>17.34</v>
      </c>
      <c r="J390" t="s">
        <v>63</v>
      </c>
      <c r="K390">
        <v>0</v>
      </c>
      <c r="M390" t="s">
        <v>19</v>
      </c>
    </row>
    <row r="391" spans="1:13">
      <c r="A391" t="s">
        <v>767</v>
      </c>
      <c r="B391" s="1">
        <v>41198</v>
      </c>
      <c r="C391" s="1">
        <v>41205</v>
      </c>
      <c r="D391" t="s">
        <v>148</v>
      </c>
      <c r="E391" t="s">
        <v>197</v>
      </c>
      <c r="F391" t="s">
        <v>77</v>
      </c>
      <c r="G391" t="s">
        <v>32</v>
      </c>
      <c r="H391" t="s">
        <v>127</v>
      </c>
      <c r="I391">
        <v>1838.51999999999</v>
      </c>
      <c r="J391">
        <v>5</v>
      </c>
      <c r="K391">
        <v>0.2</v>
      </c>
      <c r="L391">
        <v>160.77000000000001</v>
      </c>
      <c r="M391" t="s">
        <v>74</v>
      </c>
    </row>
    <row r="392" spans="1:13">
      <c r="A392" t="s">
        <v>768</v>
      </c>
      <c r="B392" s="1">
        <v>41226</v>
      </c>
      <c r="C392" s="1">
        <v>41232</v>
      </c>
      <c r="D392" t="s">
        <v>769</v>
      </c>
      <c r="E392" t="s">
        <v>114</v>
      </c>
      <c r="F392" t="s">
        <v>115</v>
      </c>
      <c r="G392" t="s">
        <v>17</v>
      </c>
      <c r="H392" t="s">
        <v>299</v>
      </c>
      <c r="J392">
        <v>7</v>
      </c>
      <c r="K392">
        <v>0</v>
      </c>
      <c r="L392">
        <v>674.73</v>
      </c>
      <c r="M392" t="s">
        <v>19</v>
      </c>
    </row>
    <row r="393" spans="1:13">
      <c r="A393" t="s">
        <v>770</v>
      </c>
      <c r="C393" s="1">
        <v>42203</v>
      </c>
      <c r="D393" t="s">
        <v>318</v>
      </c>
      <c r="E393" t="s">
        <v>70</v>
      </c>
      <c r="F393" t="s">
        <v>71</v>
      </c>
      <c r="G393" t="s">
        <v>17</v>
      </c>
      <c r="H393" t="s">
        <v>23</v>
      </c>
      <c r="I393">
        <v>1824.144</v>
      </c>
      <c r="J393">
        <v>8</v>
      </c>
      <c r="K393">
        <v>0.65</v>
      </c>
      <c r="L393">
        <v>-1303.056</v>
      </c>
      <c r="M393" t="s">
        <v>37</v>
      </c>
    </row>
    <row r="394" spans="1:13">
      <c r="A394" t="s">
        <v>771</v>
      </c>
      <c r="B394" s="1">
        <v>42158</v>
      </c>
      <c r="C394" s="1">
        <v>42160</v>
      </c>
      <c r="E394" t="s">
        <v>772</v>
      </c>
      <c r="F394" t="s">
        <v>98</v>
      </c>
      <c r="G394" t="s">
        <v>32</v>
      </c>
      <c r="H394" t="s">
        <v>26</v>
      </c>
      <c r="I394">
        <v>2344</v>
      </c>
      <c r="J394">
        <v>8</v>
      </c>
      <c r="K394">
        <v>0</v>
      </c>
      <c r="L394">
        <v>46.88</v>
      </c>
      <c r="M394" t="s">
        <v>37</v>
      </c>
    </row>
    <row r="395" spans="1:13">
      <c r="A395" t="s">
        <v>773</v>
      </c>
      <c r="B395" t="s">
        <v>774</v>
      </c>
      <c r="C395" s="1">
        <v>42355</v>
      </c>
      <c r="D395" t="s">
        <v>278</v>
      </c>
      <c r="E395" t="s">
        <v>66</v>
      </c>
      <c r="F395" t="s">
        <v>90</v>
      </c>
      <c r="G395" t="s">
        <v>17</v>
      </c>
      <c r="H395" t="s">
        <v>26</v>
      </c>
      <c r="I395">
        <v>2043.72</v>
      </c>
      <c r="J395">
        <v>14</v>
      </c>
      <c r="K395">
        <v>0</v>
      </c>
      <c r="L395">
        <v>756</v>
      </c>
      <c r="M395" t="s">
        <v>37</v>
      </c>
    </row>
    <row r="396" spans="1:13">
      <c r="A396" t="s">
        <v>775</v>
      </c>
      <c r="B396" s="1">
        <v>42183</v>
      </c>
      <c r="C396" s="1">
        <v>42183</v>
      </c>
      <c r="D396" t="s">
        <v>776</v>
      </c>
      <c r="E396" t="s">
        <v>173</v>
      </c>
      <c r="F396" t="s">
        <v>84</v>
      </c>
      <c r="G396" t="s">
        <v>45</v>
      </c>
      <c r="H396" t="s">
        <v>151</v>
      </c>
      <c r="I396">
        <v>856.8</v>
      </c>
      <c r="J396">
        <v>14</v>
      </c>
      <c r="K396">
        <v>0</v>
      </c>
      <c r="L396">
        <v>265.44</v>
      </c>
      <c r="M396" t="s">
        <v>27</v>
      </c>
    </row>
    <row r="397" spans="1:13">
      <c r="A397" t="s">
        <v>777</v>
      </c>
      <c r="B397" s="1">
        <v>42358</v>
      </c>
      <c r="C397" s="1">
        <v>42362</v>
      </c>
      <c r="D397" t="s">
        <v>751</v>
      </c>
      <c r="E397" t="s">
        <v>97</v>
      </c>
      <c r="F397" t="s">
        <v>98</v>
      </c>
      <c r="G397" t="s">
        <v>45</v>
      </c>
      <c r="H397" t="s">
        <v>26</v>
      </c>
      <c r="I397">
        <v>2509.36</v>
      </c>
      <c r="J397" t="s">
        <v>63</v>
      </c>
      <c r="K397">
        <v>0</v>
      </c>
      <c r="L397">
        <v>426.58</v>
      </c>
      <c r="M397" t="s">
        <v>37</v>
      </c>
    </row>
    <row r="398" spans="1:13">
      <c r="A398" t="s">
        <v>778</v>
      </c>
      <c r="B398" s="1">
        <v>41310</v>
      </c>
      <c r="C398" s="1">
        <v>41313</v>
      </c>
      <c r="D398" t="s">
        <v>779</v>
      </c>
      <c r="E398" t="s">
        <v>15</v>
      </c>
      <c r="F398" t="s">
        <v>780</v>
      </c>
      <c r="G398" t="s">
        <v>32</v>
      </c>
      <c r="H398" t="s">
        <v>299</v>
      </c>
      <c r="I398">
        <v>819.93599999999901</v>
      </c>
      <c r="J398">
        <v>2</v>
      </c>
      <c r="K398">
        <v>0.1</v>
      </c>
      <c r="L398">
        <v>191.316</v>
      </c>
      <c r="M398" t="s">
        <v>27</v>
      </c>
    </row>
    <row r="399" spans="1:13">
      <c r="B399" s="1">
        <v>40929</v>
      </c>
      <c r="C399" s="1">
        <v>40935</v>
      </c>
      <c r="D399" t="s">
        <v>551</v>
      </c>
      <c r="E399" t="s">
        <v>211</v>
      </c>
      <c r="F399" t="s">
        <v>98</v>
      </c>
      <c r="G399" t="s">
        <v>32</v>
      </c>
      <c r="H399" t="s">
        <v>73</v>
      </c>
      <c r="I399">
        <v>2797.248</v>
      </c>
      <c r="J399">
        <v>6</v>
      </c>
      <c r="K399">
        <v>0.2</v>
      </c>
      <c r="L399">
        <v>-7.2000000000025405E-2</v>
      </c>
      <c r="M399" t="s">
        <v>74</v>
      </c>
    </row>
    <row r="400" spans="1:13">
      <c r="A400" t="s">
        <v>781</v>
      </c>
      <c r="B400" s="1">
        <v>41489</v>
      </c>
      <c r="C400" s="1">
        <v>41491</v>
      </c>
      <c r="D400" t="s">
        <v>782</v>
      </c>
      <c r="E400" t="s">
        <v>60</v>
      </c>
      <c r="F400" t="s">
        <v>61</v>
      </c>
      <c r="G400" t="s">
        <v>45</v>
      </c>
      <c r="H400" t="s">
        <v>23</v>
      </c>
      <c r="I400">
        <v>1455.08</v>
      </c>
      <c r="J400">
        <v>11</v>
      </c>
      <c r="K400">
        <v>0</v>
      </c>
      <c r="L400">
        <v>261.8</v>
      </c>
      <c r="M400" t="s">
        <v>19</v>
      </c>
    </row>
    <row r="401" spans="1:13">
      <c r="A401" t="s">
        <v>783</v>
      </c>
      <c r="B401" s="1">
        <v>42304</v>
      </c>
      <c r="C401" s="1">
        <v>42308</v>
      </c>
      <c r="D401" t="s">
        <v>784</v>
      </c>
      <c r="E401" t="s">
        <v>141</v>
      </c>
      <c r="F401" t="s">
        <v>142</v>
      </c>
      <c r="G401" t="s">
        <v>32</v>
      </c>
      <c r="H401" t="s">
        <v>44</v>
      </c>
      <c r="I401">
        <v>2189.0897999999902</v>
      </c>
      <c r="J401">
        <v>6</v>
      </c>
      <c r="K401">
        <v>7.0000000000000007E-2</v>
      </c>
      <c r="M401" t="s">
        <v>785</v>
      </c>
    </row>
    <row r="402" spans="1:13">
      <c r="A402" t="s">
        <v>786</v>
      </c>
      <c r="B402" s="2">
        <v>74202</v>
      </c>
      <c r="C402" s="1">
        <v>41337</v>
      </c>
      <c r="D402" t="s">
        <v>787</v>
      </c>
      <c r="E402" t="s">
        <v>114</v>
      </c>
      <c r="F402" t="s">
        <v>115</v>
      </c>
      <c r="G402" t="s">
        <v>32</v>
      </c>
      <c r="H402" t="s">
        <v>299</v>
      </c>
      <c r="I402" t="s">
        <v>163</v>
      </c>
      <c r="J402">
        <v>6</v>
      </c>
      <c r="K402">
        <v>0</v>
      </c>
      <c r="L402">
        <v>327.06</v>
      </c>
      <c r="M402" t="s">
        <v>19</v>
      </c>
    </row>
    <row r="403" spans="1:13">
      <c r="A403" t="s">
        <v>788</v>
      </c>
      <c r="C403" s="1">
        <v>41437</v>
      </c>
      <c r="D403" t="s">
        <v>789</v>
      </c>
      <c r="E403" t="s">
        <v>790</v>
      </c>
      <c r="F403" t="s">
        <v>115</v>
      </c>
      <c r="G403" t="s">
        <v>17</v>
      </c>
      <c r="H403" t="s">
        <v>151</v>
      </c>
      <c r="I403">
        <v>1291.08</v>
      </c>
      <c r="J403">
        <v>2</v>
      </c>
      <c r="K403">
        <v>0</v>
      </c>
      <c r="L403">
        <v>296.94</v>
      </c>
      <c r="M403" t="s">
        <v>27</v>
      </c>
    </row>
    <row r="404" spans="1:13">
      <c r="A404" t="s">
        <v>791</v>
      </c>
      <c r="B404" s="1">
        <v>40962</v>
      </c>
      <c r="C404" s="1">
        <v>40965</v>
      </c>
      <c r="D404" t="s">
        <v>792</v>
      </c>
      <c r="E404" t="s">
        <v>114</v>
      </c>
      <c r="F404" t="s">
        <v>115</v>
      </c>
      <c r="G404" t="s">
        <v>17</v>
      </c>
      <c r="H404" t="s">
        <v>44</v>
      </c>
      <c r="I404">
        <v>1526.52</v>
      </c>
      <c r="J404">
        <v>4</v>
      </c>
      <c r="K404">
        <v>0</v>
      </c>
      <c r="L404">
        <v>3985.40136153395</v>
      </c>
      <c r="M404" t="s">
        <v>37</v>
      </c>
    </row>
    <row r="405" spans="1:13">
      <c r="A405" t="s">
        <v>584</v>
      </c>
      <c r="B405" s="1">
        <v>41173</v>
      </c>
      <c r="C405" s="1">
        <v>41180</v>
      </c>
      <c r="D405" t="s">
        <v>583</v>
      </c>
      <c r="E405" t="s">
        <v>40</v>
      </c>
      <c r="F405" t="s">
        <v>111</v>
      </c>
      <c r="G405" t="s">
        <v>45</v>
      </c>
      <c r="H405" t="s">
        <v>26</v>
      </c>
      <c r="I405">
        <v>3.984</v>
      </c>
      <c r="J405">
        <v>1</v>
      </c>
      <c r="K405">
        <v>0.2</v>
      </c>
      <c r="L405">
        <v>1.3944000000000001</v>
      </c>
      <c r="M405" t="s">
        <v>19</v>
      </c>
    </row>
    <row r="406" spans="1:13">
      <c r="A406" t="s">
        <v>793</v>
      </c>
      <c r="B406" s="1">
        <v>41840</v>
      </c>
      <c r="C406" s="1">
        <v>41847</v>
      </c>
      <c r="D406" t="s">
        <v>794</v>
      </c>
      <c r="E406" t="s">
        <v>276</v>
      </c>
      <c r="F406" t="s">
        <v>61</v>
      </c>
      <c r="G406" t="s">
        <v>32</v>
      </c>
      <c r="H406" t="s">
        <v>33</v>
      </c>
      <c r="J406">
        <v>6</v>
      </c>
      <c r="L406">
        <v>205.56</v>
      </c>
      <c r="M406" t="s">
        <v>74</v>
      </c>
    </row>
    <row r="407" spans="1:13">
      <c r="A407" t="s">
        <v>795</v>
      </c>
      <c r="B407" s="1">
        <v>41727</v>
      </c>
      <c r="C407" s="1">
        <v>41643</v>
      </c>
      <c r="D407" t="s">
        <v>796</v>
      </c>
      <c r="E407" t="s">
        <v>358</v>
      </c>
      <c r="F407" t="s">
        <v>98</v>
      </c>
      <c r="G407" t="s">
        <v>32</v>
      </c>
      <c r="H407" t="s">
        <v>26</v>
      </c>
      <c r="I407">
        <v>1815.23999999999</v>
      </c>
      <c r="J407">
        <v>7</v>
      </c>
      <c r="K407">
        <v>0</v>
      </c>
      <c r="M407" t="s">
        <v>37</v>
      </c>
    </row>
    <row r="408" spans="1:13">
      <c r="A408" t="s">
        <v>797</v>
      </c>
      <c r="B408" s="1">
        <v>42300</v>
      </c>
      <c r="C408" s="1">
        <v>42302</v>
      </c>
      <c r="D408" t="s">
        <v>548</v>
      </c>
      <c r="E408" t="s">
        <v>114</v>
      </c>
      <c r="G408" t="s">
        <v>17</v>
      </c>
      <c r="H408" t="s">
        <v>23</v>
      </c>
      <c r="J408">
        <v>3</v>
      </c>
      <c r="M408" t="s">
        <v>27</v>
      </c>
    </row>
    <row r="409" spans="1:13">
      <c r="A409" t="s">
        <v>798</v>
      </c>
      <c r="B409" s="1">
        <v>42179</v>
      </c>
      <c r="C409" s="1">
        <v>42181</v>
      </c>
      <c r="D409" t="s">
        <v>799</v>
      </c>
      <c r="E409" t="s">
        <v>97</v>
      </c>
      <c r="F409" t="s">
        <v>98</v>
      </c>
      <c r="G409" t="s">
        <v>17</v>
      </c>
      <c r="H409" t="s">
        <v>151</v>
      </c>
      <c r="I409">
        <v>3045.8399999999901</v>
      </c>
      <c r="J409">
        <v>7</v>
      </c>
      <c r="K409">
        <v>0</v>
      </c>
      <c r="L409">
        <v>1035.58</v>
      </c>
      <c r="M409" t="s">
        <v>37</v>
      </c>
    </row>
    <row r="410" spans="1:13">
      <c r="A410" t="s">
        <v>800</v>
      </c>
      <c r="B410" s="1">
        <v>41942</v>
      </c>
      <c r="C410" s="1">
        <v>41948</v>
      </c>
      <c r="D410" t="s">
        <v>801</v>
      </c>
      <c r="E410" t="s">
        <v>802</v>
      </c>
      <c r="F410" t="s">
        <v>98</v>
      </c>
      <c r="G410" t="s">
        <v>17</v>
      </c>
      <c r="H410" t="s">
        <v>33</v>
      </c>
      <c r="I410">
        <v>2125</v>
      </c>
      <c r="J410">
        <v>5</v>
      </c>
      <c r="K410">
        <v>0</v>
      </c>
      <c r="L410">
        <v>297.5</v>
      </c>
      <c r="M410" t="s">
        <v>74</v>
      </c>
    </row>
    <row r="411" spans="1:13">
      <c r="A411" t="s">
        <v>803</v>
      </c>
      <c r="B411" s="1">
        <v>41621</v>
      </c>
      <c r="C411" s="1">
        <v>41623</v>
      </c>
      <c r="D411" t="s">
        <v>113</v>
      </c>
      <c r="E411" t="s">
        <v>602</v>
      </c>
      <c r="F411" t="s">
        <v>131</v>
      </c>
      <c r="G411" t="s">
        <v>17</v>
      </c>
      <c r="H411" t="s">
        <v>26</v>
      </c>
      <c r="I411">
        <v>976.08</v>
      </c>
      <c r="J411">
        <v>4</v>
      </c>
      <c r="K411">
        <v>0</v>
      </c>
      <c r="L411">
        <v>292.79999999999899</v>
      </c>
      <c r="M411" t="s">
        <v>27</v>
      </c>
    </row>
    <row r="412" spans="1:13">
      <c r="A412" t="s">
        <v>804</v>
      </c>
      <c r="C412" s="1">
        <v>41765</v>
      </c>
      <c r="D412" t="s">
        <v>805</v>
      </c>
      <c r="E412" t="s">
        <v>66</v>
      </c>
      <c r="F412" t="s">
        <v>90</v>
      </c>
      <c r="G412" t="s">
        <v>17</v>
      </c>
      <c r="H412" t="s">
        <v>26</v>
      </c>
      <c r="I412">
        <v>1266.3599999999999</v>
      </c>
      <c r="J412">
        <v>4</v>
      </c>
      <c r="K412">
        <v>0</v>
      </c>
      <c r="M412" t="s">
        <v>785</v>
      </c>
    </row>
    <row r="413" spans="1:13">
      <c r="A413" t="s">
        <v>806</v>
      </c>
      <c r="B413" s="1">
        <v>41173</v>
      </c>
      <c r="C413" s="1">
        <v>41180</v>
      </c>
      <c r="D413" t="s">
        <v>583</v>
      </c>
      <c r="E413" t="s">
        <v>40</v>
      </c>
      <c r="F413" t="s">
        <v>111</v>
      </c>
      <c r="G413" t="s">
        <v>45</v>
      </c>
      <c r="H413" t="s">
        <v>18</v>
      </c>
      <c r="I413">
        <v>13.04</v>
      </c>
      <c r="J413">
        <v>4</v>
      </c>
      <c r="K413">
        <v>0</v>
      </c>
      <c r="L413">
        <v>42.544024685653</v>
      </c>
      <c r="M413" t="s">
        <v>19</v>
      </c>
    </row>
    <row r="414" spans="1:13">
      <c r="A414" t="s">
        <v>807</v>
      </c>
      <c r="B414" s="1">
        <v>41159</v>
      </c>
      <c r="C414" s="1">
        <v>41161</v>
      </c>
      <c r="D414" t="s">
        <v>808</v>
      </c>
      <c r="E414" t="s">
        <v>809</v>
      </c>
      <c r="F414" t="s">
        <v>84</v>
      </c>
      <c r="G414" t="s">
        <v>32</v>
      </c>
      <c r="H414" t="s">
        <v>33</v>
      </c>
      <c r="I414">
        <v>2134.4399999999901</v>
      </c>
      <c r="J414">
        <v>4</v>
      </c>
      <c r="K414">
        <v>0</v>
      </c>
      <c r="L414">
        <v>682.92</v>
      </c>
      <c r="M414" t="s">
        <v>27</v>
      </c>
    </row>
    <row r="415" spans="1:13">
      <c r="A415" t="s">
        <v>810</v>
      </c>
      <c r="B415" t="s">
        <v>125</v>
      </c>
      <c r="C415" s="1">
        <v>41390</v>
      </c>
      <c r="D415" t="s">
        <v>811</v>
      </c>
      <c r="E415" t="s">
        <v>22</v>
      </c>
      <c r="F415" t="s">
        <v>71</v>
      </c>
      <c r="G415" t="s">
        <v>17</v>
      </c>
      <c r="H415" t="s">
        <v>23</v>
      </c>
      <c r="I415">
        <v>4748.4359999999997</v>
      </c>
      <c r="J415">
        <v>14</v>
      </c>
      <c r="K415">
        <v>0.1</v>
      </c>
      <c r="L415">
        <v>844.11599999999896</v>
      </c>
      <c r="M415" t="s">
        <v>19</v>
      </c>
    </row>
    <row r="416" spans="1:13">
      <c r="A416" t="s">
        <v>812</v>
      </c>
      <c r="B416" s="1">
        <v>41942</v>
      </c>
      <c r="C416" s="1">
        <v>41947</v>
      </c>
      <c r="D416" t="s">
        <v>266</v>
      </c>
      <c r="E416" t="s">
        <v>437</v>
      </c>
      <c r="F416" t="s">
        <v>438</v>
      </c>
      <c r="G416" t="s">
        <v>17</v>
      </c>
      <c r="H416" t="s">
        <v>44</v>
      </c>
      <c r="I416">
        <v>1867.5</v>
      </c>
      <c r="J416">
        <v>6</v>
      </c>
      <c r="K416">
        <v>0</v>
      </c>
      <c r="L416">
        <v>242.64</v>
      </c>
      <c r="M416" t="s">
        <v>37</v>
      </c>
    </row>
    <row r="417" spans="1:13">
      <c r="A417" t="s">
        <v>813</v>
      </c>
      <c r="B417" s="2">
        <v>41014</v>
      </c>
      <c r="C417" s="1">
        <v>41015</v>
      </c>
      <c r="D417" t="s">
        <v>814</v>
      </c>
      <c r="E417" t="s">
        <v>66</v>
      </c>
      <c r="F417" t="s">
        <v>815</v>
      </c>
      <c r="G417" t="s">
        <v>32</v>
      </c>
      <c r="H417" t="s">
        <v>33</v>
      </c>
      <c r="J417">
        <v>6</v>
      </c>
      <c r="K417">
        <v>0</v>
      </c>
      <c r="L417">
        <v>250.38</v>
      </c>
      <c r="M417" t="s">
        <v>37</v>
      </c>
    </row>
    <row r="418" spans="1:13">
      <c r="B418" s="1">
        <v>41894</v>
      </c>
      <c r="C418" s="1">
        <v>41899</v>
      </c>
      <c r="D418" t="s">
        <v>583</v>
      </c>
      <c r="E418" t="s">
        <v>653</v>
      </c>
      <c r="F418" t="s">
        <v>41</v>
      </c>
      <c r="G418" t="s">
        <v>45</v>
      </c>
      <c r="H418" t="s">
        <v>127</v>
      </c>
      <c r="I418">
        <v>1.9079999999999899</v>
      </c>
      <c r="J418">
        <v>3</v>
      </c>
      <c r="K418">
        <v>0.8</v>
      </c>
      <c r="L418">
        <v>-3.2435999999999998</v>
      </c>
      <c r="M418" t="s">
        <v>37</v>
      </c>
    </row>
    <row r="419" spans="1:13">
      <c r="A419" t="s">
        <v>816</v>
      </c>
      <c r="B419" s="1">
        <v>41991</v>
      </c>
      <c r="C419" s="1">
        <v>41995</v>
      </c>
      <c r="D419" t="s">
        <v>515</v>
      </c>
      <c r="E419" t="s">
        <v>40</v>
      </c>
      <c r="F419" t="s">
        <v>41</v>
      </c>
      <c r="G419" t="s">
        <v>165</v>
      </c>
      <c r="H419" t="s">
        <v>23</v>
      </c>
      <c r="I419">
        <v>9892.74</v>
      </c>
      <c r="J419">
        <v>13</v>
      </c>
      <c r="K419">
        <v>0</v>
      </c>
      <c r="L419">
        <v>4946.37</v>
      </c>
      <c r="M419" t="s">
        <v>19</v>
      </c>
    </row>
    <row r="420" spans="1:13">
      <c r="A420" t="s">
        <v>817</v>
      </c>
      <c r="B420" s="1">
        <v>42308</v>
      </c>
      <c r="D420" t="s">
        <v>818</v>
      </c>
      <c r="E420" t="s">
        <v>554</v>
      </c>
      <c r="F420" t="s">
        <v>67</v>
      </c>
      <c r="G420" t="s">
        <v>45</v>
      </c>
      <c r="H420" t="s">
        <v>151</v>
      </c>
      <c r="I420">
        <v>4306.32</v>
      </c>
      <c r="J420">
        <v>8</v>
      </c>
      <c r="K420">
        <v>0</v>
      </c>
      <c r="L420">
        <v>1722.48</v>
      </c>
      <c r="M420" t="s">
        <v>19</v>
      </c>
    </row>
    <row r="421" spans="1:13">
      <c r="A421" t="s">
        <v>819</v>
      </c>
      <c r="B421" s="1">
        <v>41741</v>
      </c>
      <c r="C421" s="1">
        <v>41743</v>
      </c>
      <c r="D421" t="s">
        <v>424</v>
      </c>
      <c r="E421" t="s">
        <v>820</v>
      </c>
      <c r="F421" t="s">
        <v>90</v>
      </c>
      <c r="G421" t="s">
        <v>45</v>
      </c>
      <c r="H421" t="s">
        <v>46</v>
      </c>
      <c r="I421">
        <v>899.55</v>
      </c>
      <c r="J421">
        <v>3</v>
      </c>
      <c r="K421">
        <v>0</v>
      </c>
      <c r="L421">
        <v>323.82</v>
      </c>
      <c r="M421" t="s">
        <v>27</v>
      </c>
    </row>
    <row r="422" spans="1:13">
      <c r="A422" t="s">
        <v>821</v>
      </c>
      <c r="B422" s="1">
        <v>41954</v>
      </c>
      <c r="C422" t="s">
        <v>125</v>
      </c>
      <c r="D422" t="s">
        <v>822</v>
      </c>
      <c r="F422" t="s">
        <v>115</v>
      </c>
      <c r="G422" t="s">
        <v>17</v>
      </c>
      <c r="H422" t="s">
        <v>73</v>
      </c>
      <c r="I422">
        <v>763.92</v>
      </c>
      <c r="J422">
        <v>4</v>
      </c>
      <c r="K422">
        <v>0</v>
      </c>
      <c r="L422">
        <v>381.96</v>
      </c>
      <c r="M422" t="s">
        <v>27</v>
      </c>
    </row>
    <row r="423" spans="1:13">
      <c r="A423" t="s">
        <v>823</v>
      </c>
      <c r="B423" s="1">
        <v>41560</v>
      </c>
      <c r="C423" s="1">
        <v>41564</v>
      </c>
      <c r="D423" t="s">
        <v>824</v>
      </c>
      <c r="F423" t="s">
        <v>71</v>
      </c>
      <c r="G423" t="s">
        <v>17</v>
      </c>
      <c r="H423" t="s">
        <v>73</v>
      </c>
      <c r="I423">
        <v>2544.2399999999998</v>
      </c>
      <c r="J423">
        <v>4</v>
      </c>
      <c r="K423" t="s">
        <v>226</v>
      </c>
      <c r="M423" t="s">
        <v>37</v>
      </c>
    </row>
    <row r="424" spans="1:13">
      <c r="A424" t="s">
        <v>825</v>
      </c>
      <c r="B424" s="1">
        <v>41560</v>
      </c>
      <c r="C424" s="1">
        <v>41563</v>
      </c>
      <c r="D424" t="s">
        <v>366</v>
      </c>
      <c r="E424" t="s">
        <v>826</v>
      </c>
      <c r="F424" t="s">
        <v>16</v>
      </c>
      <c r="G424" t="s">
        <v>32</v>
      </c>
      <c r="H424" t="s">
        <v>33</v>
      </c>
      <c r="I424">
        <v>1136.66399999999</v>
      </c>
      <c r="J424">
        <v>4</v>
      </c>
      <c r="K424">
        <v>0.4</v>
      </c>
      <c r="L424">
        <v>-189.45599999999899</v>
      </c>
      <c r="M424" t="s">
        <v>27</v>
      </c>
    </row>
    <row r="425" spans="1:13">
      <c r="A425" t="s">
        <v>827</v>
      </c>
      <c r="B425" s="1">
        <v>42034</v>
      </c>
      <c r="C425" s="1">
        <v>42038</v>
      </c>
      <c r="D425" t="s">
        <v>828</v>
      </c>
      <c r="E425" t="s">
        <v>66</v>
      </c>
      <c r="F425" t="s">
        <v>90</v>
      </c>
      <c r="G425" t="s">
        <v>32</v>
      </c>
      <c r="H425" t="s">
        <v>26</v>
      </c>
      <c r="I425">
        <v>2300.99999999999</v>
      </c>
      <c r="J425">
        <v>5</v>
      </c>
      <c r="K425">
        <v>0</v>
      </c>
      <c r="L425">
        <v>91.95</v>
      </c>
      <c r="M425" t="s">
        <v>37</v>
      </c>
    </row>
    <row r="426" spans="1:13">
      <c r="A426" t="s">
        <v>829</v>
      </c>
      <c r="B426" s="1">
        <v>41559</v>
      </c>
      <c r="D426" t="s">
        <v>830</v>
      </c>
      <c r="E426" t="s">
        <v>130</v>
      </c>
      <c r="G426" t="s">
        <v>17</v>
      </c>
      <c r="H426" t="s">
        <v>23</v>
      </c>
      <c r="I426">
        <v>3908.88</v>
      </c>
      <c r="J426">
        <v>6</v>
      </c>
      <c r="K426">
        <v>0</v>
      </c>
      <c r="L426">
        <v>1563.48</v>
      </c>
      <c r="M426" t="s">
        <v>19</v>
      </c>
    </row>
    <row r="427" spans="1:13">
      <c r="A427" t="s">
        <v>831</v>
      </c>
      <c r="B427" s="1">
        <v>42161</v>
      </c>
      <c r="C427" s="1">
        <v>42162</v>
      </c>
      <c r="D427" t="s">
        <v>515</v>
      </c>
      <c r="E427" t="s">
        <v>40</v>
      </c>
      <c r="F427" t="s">
        <v>832</v>
      </c>
      <c r="G427" t="s">
        <v>17</v>
      </c>
      <c r="H427" t="s">
        <v>23</v>
      </c>
      <c r="I427">
        <v>470.37599999999998</v>
      </c>
      <c r="J427">
        <v>3</v>
      </c>
      <c r="K427">
        <v>0.2</v>
      </c>
      <c r="L427">
        <v>52.917299999999898</v>
      </c>
      <c r="M427" t="s">
        <v>37</v>
      </c>
    </row>
    <row r="428" spans="1:13">
      <c r="A428" t="s">
        <v>833</v>
      </c>
      <c r="B428" s="1">
        <v>42328</v>
      </c>
      <c r="C428" s="1">
        <v>42332</v>
      </c>
      <c r="D428" t="s">
        <v>515</v>
      </c>
      <c r="E428" t="s">
        <v>40</v>
      </c>
      <c r="F428" t="s">
        <v>153</v>
      </c>
      <c r="G428" t="s">
        <v>32</v>
      </c>
      <c r="H428" t="s">
        <v>26</v>
      </c>
      <c r="I428">
        <v>821.87999999999897</v>
      </c>
      <c r="J428">
        <v>6</v>
      </c>
      <c r="K428">
        <v>0</v>
      </c>
      <c r="L428">
        <v>213.68879999999999</v>
      </c>
      <c r="M428" t="s">
        <v>19</v>
      </c>
    </row>
    <row r="429" spans="1:13">
      <c r="A429" t="s">
        <v>834</v>
      </c>
      <c r="B429" s="1">
        <v>41901</v>
      </c>
      <c r="C429" s="1">
        <v>41905</v>
      </c>
      <c r="D429" t="s">
        <v>835</v>
      </c>
      <c r="E429" t="s">
        <v>114</v>
      </c>
      <c r="F429" t="s">
        <v>115</v>
      </c>
      <c r="G429" t="s">
        <v>45</v>
      </c>
      <c r="H429" t="s">
        <v>23</v>
      </c>
      <c r="I429">
        <v>2249.16</v>
      </c>
      <c r="J429">
        <v>4</v>
      </c>
      <c r="K429">
        <v>0</v>
      </c>
      <c r="L429">
        <v>224.88</v>
      </c>
      <c r="M429" t="s">
        <v>37</v>
      </c>
    </row>
    <row r="430" spans="1:13">
      <c r="A430" t="s">
        <v>836</v>
      </c>
      <c r="B430" s="1">
        <v>41639</v>
      </c>
      <c r="D430" t="s">
        <v>837</v>
      </c>
      <c r="E430" t="s">
        <v>97</v>
      </c>
      <c r="F430" t="s">
        <v>98</v>
      </c>
      <c r="G430" t="s">
        <v>45</v>
      </c>
      <c r="H430" t="s">
        <v>26</v>
      </c>
      <c r="I430">
        <v>2528.2600000000002</v>
      </c>
      <c r="J430">
        <v>7</v>
      </c>
      <c r="K430" t="s">
        <v>226</v>
      </c>
      <c r="M430" t="s">
        <v>37</v>
      </c>
    </row>
    <row r="431" spans="1:13">
      <c r="B431" s="1">
        <v>42367</v>
      </c>
      <c r="C431" s="1">
        <v>42369</v>
      </c>
      <c r="D431" t="s">
        <v>838</v>
      </c>
      <c r="E431" t="s">
        <v>70</v>
      </c>
      <c r="G431" t="s">
        <v>32</v>
      </c>
      <c r="H431" t="s">
        <v>73</v>
      </c>
      <c r="I431">
        <v>1461.135</v>
      </c>
      <c r="J431">
        <v>5</v>
      </c>
      <c r="K431">
        <v>0.35</v>
      </c>
      <c r="L431">
        <v>202.18499999999901</v>
      </c>
      <c r="M431" t="s">
        <v>37</v>
      </c>
    </row>
    <row r="432" spans="1:13">
      <c r="A432" t="s">
        <v>839</v>
      </c>
      <c r="B432" s="1">
        <v>41958</v>
      </c>
      <c r="C432" s="1">
        <v>41962</v>
      </c>
      <c r="D432" t="s">
        <v>840</v>
      </c>
      <c r="E432" t="s">
        <v>579</v>
      </c>
      <c r="F432" t="s">
        <v>98</v>
      </c>
      <c r="G432" t="s">
        <v>17</v>
      </c>
      <c r="H432" t="s">
        <v>73</v>
      </c>
      <c r="I432">
        <v>3045.8399999999901</v>
      </c>
      <c r="K432">
        <v>0</v>
      </c>
      <c r="L432">
        <v>1035.58</v>
      </c>
      <c r="M432" t="s">
        <v>37</v>
      </c>
    </row>
    <row r="433" spans="1:13">
      <c r="A433" t="s">
        <v>841</v>
      </c>
      <c r="B433" s="1">
        <v>41262</v>
      </c>
      <c r="C433" s="1">
        <v>41265</v>
      </c>
      <c r="D433" t="s">
        <v>515</v>
      </c>
      <c r="E433" t="s">
        <v>334</v>
      </c>
      <c r="F433" t="s">
        <v>41</v>
      </c>
      <c r="G433" t="s">
        <v>45</v>
      </c>
      <c r="H433" t="s">
        <v>44</v>
      </c>
      <c r="I433">
        <v>1103.97</v>
      </c>
      <c r="J433">
        <v>3</v>
      </c>
      <c r="K433">
        <v>0</v>
      </c>
      <c r="L433">
        <v>496.78649999999902</v>
      </c>
      <c r="M433" t="s">
        <v>19</v>
      </c>
    </row>
    <row r="434" spans="1:13">
      <c r="A434" t="s">
        <v>842</v>
      </c>
      <c r="B434" s="1">
        <v>42143</v>
      </c>
      <c r="C434" s="1">
        <v>42145</v>
      </c>
      <c r="D434" t="s">
        <v>515</v>
      </c>
      <c r="E434" t="s">
        <v>40</v>
      </c>
      <c r="F434" t="s">
        <v>43</v>
      </c>
      <c r="G434" t="s">
        <v>17</v>
      </c>
      <c r="H434" t="s">
        <v>26</v>
      </c>
      <c r="I434">
        <v>344.70400000000001</v>
      </c>
      <c r="J434">
        <v>2</v>
      </c>
      <c r="K434">
        <v>0.2</v>
      </c>
      <c r="L434">
        <v>38.779199999999904</v>
      </c>
      <c r="M434" t="s">
        <v>19</v>
      </c>
    </row>
    <row r="435" spans="1:13">
      <c r="A435" t="s">
        <v>843</v>
      </c>
      <c r="B435" s="1">
        <v>42255</v>
      </c>
      <c r="C435" s="1">
        <v>42258</v>
      </c>
      <c r="D435" t="s">
        <v>844</v>
      </c>
      <c r="E435" t="s">
        <v>250</v>
      </c>
      <c r="F435" t="s">
        <v>142</v>
      </c>
      <c r="G435" t="s">
        <v>32</v>
      </c>
      <c r="H435" t="s">
        <v>23</v>
      </c>
      <c r="I435">
        <v>2152.9560000000001</v>
      </c>
      <c r="J435">
        <v>8</v>
      </c>
      <c r="K435">
        <v>0.35</v>
      </c>
      <c r="M435" t="s">
        <v>19</v>
      </c>
    </row>
    <row r="436" spans="1:13">
      <c r="A436" t="s">
        <v>845</v>
      </c>
      <c r="B436" s="1">
        <v>41807</v>
      </c>
      <c r="C436" s="1">
        <v>41809</v>
      </c>
      <c r="D436" t="s">
        <v>724</v>
      </c>
      <c r="E436" t="s">
        <v>70</v>
      </c>
      <c r="F436" t="s">
        <v>71</v>
      </c>
      <c r="G436" t="s">
        <v>17</v>
      </c>
      <c r="H436" t="s">
        <v>18</v>
      </c>
      <c r="I436">
        <v>1244.0999999999999</v>
      </c>
      <c r="J436">
        <v>5</v>
      </c>
      <c r="K436">
        <v>0</v>
      </c>
      <c r="L436">
        <v>447.75</v>
      </c>
      <c r="M436" t="s">
        <v>37</v>
      </c>
    </row>
    <row r="437" spans="1:13">
      <c r="A437" t="s">
        <v>846</v>
      </c>
      <c r="B437" s="1">
        <v>41250</v>
      </c>
      <c r="C437" s="1">
        <v>41250</v>
      </c>
      <c r="D437" t="s">
        <v>847</v>
      </c>
      <c r="F437" t="s">
        <v>98</v>
      </c>
      <c r="G437" t="s">
        <v>32</v>
      </c>
      <c r="H437" t="s">
        <v>151</v>
      </c>
      <c r="I437">
        <v>2226.8159999999998</v>
      </c>
      <c r="J437">
        <v>9</v>
      </c>
      <c r="K437">
        <v>0.2</v>
      </c>
      <c r="L437">
        <v>500.976</v>
      </c>
      <c r="M437" t="s">
        <v>37</v>
      </c>
    </row>
    <row r="438" spans="1:13">
      <c r="A438" t="s">
        <v>848</v>
      </c>
      <c r="B438" s="1">
        <v>42266</v>
      </c>
      <c r="C438" s="1">
        <v>42268</v>
      </c>
      <c r="D438" t="s">
        <v>849</v>
      </c>
      <c r="E438" t="s">
        <v>15</v>
      </c>
      <c r="F438" t="s">
        <v>16</v>
      </c>
      <c r="G438" t="s">
        <v>32</v>
      </c>
      <c r="H438" t="s">
        <v>18</v>
      </c>
      <c r="I438">
        <v>1586.41199999999</v>
      </c>
      <c r="J438">
        <v>4</v>
      </c>
      <c r="K438">
        <v>0.1</v>
      </c>
      <c r="L438">
        <v>17.531999999999901</v>
      </c>
      <c r="M438" t="s">
        <v>37</v>
      </c>
    </row>
    <row r="439" spans="1:13">
      <c r="A439" t="s">
        <v>850</v>
      </c>
      <c r="B439" s="1">
        <v>41908</v>
      </c>
      <c r="C439" s="1">
        <v>41913</v>
      </c>
      <c r="D439" t="s">
        <v>515</v>
      </c>
      <c r="E439" t="s">
        <v>40</v>
      </c>
      <c r="F439" t="s">
        <v>43</v>
      </c>
      <c r="G439" t="s">
        <v>32</v>
      </c>
      <c r="H439" t="s">
        <v>23</v>
      </c>
      <c r="I439">
        <v>393.16500000000002</v>
      </c>
      <c r="K439">
        <v>0.5</v>
      </c>
      <c r="L439">
        <v>-204.44579999999999</v>
      </c>
      <c r="M439" t="s">
        <v>19</v>
      </c>
    </row>
    <row r="440" spans="1:13">
      <c r="A440" t="s">
        <v>851</v>
      </c>
      <c r="B440" s="1">
        <v>42045</v>
      </c>
      <c r="C440" s="1">
        <v>42049</v>
      </c>
      <c r="E440" t="s">
        <v>852</v>
      </c>
      <c r="F440" t="s">
        <v>56</v>
      </c>
      <c r="G440" t="s">
        <v>45</v>
      </c>
      <c r="H440" t="s">
        <v>151</v>
      </c>
      <c r="I440">
        <v>3425.4</v>
      </c>
      <c r="J440">
        <v>6</v>
      </c>
      <c r="K440">
        <v>0</v>
      </c>
      <c r="L440">
        <v>1233</v>
      </c>
      <c r="M440" t="s">
        <v>37</v>
      </c>
    </row>
    <row r="441" spans="1:13">
      <c r="B441" s="1">
        <v>42043</v>
      </c>
      <c r="D441" t="s">
        <v>853</v>
      </c>
      <c r="E441" t="s">
        <v>197</v>
      </c>
      <c r="F441" t="s">
        <v>77</v>
      </c>
      <c r="G441" t="s">
        <v>165</v>
      </c>
      <c r="H441" t="s">
        <v>127</v>
      </c>
      <c r="I441">
        <v>1136.94</v>
      </c>
      <c r="J441">
        <v>2</v>
      </c>
      <c r="K441">
        <v>0</v>
      </c>
      <c r="L441">
        <v>568.43999999999903</v>
      </c>
      <c r="M441" t="s">
        <v>37</v>
      </c>
    </row>
    <row r="442" spans="1:13">
      <c r="A442" t="s">
        <v>854</v>
      </c>
      <c r="B442" s="1">
        <v>41856</v>
      </c>
      <c r="C442" s="1">
        <v>41858</v>
      </c>
      <c r="D442" t="s">
        <v>855</v>
      </c>
      <c r="E442" t="s">
        <v>141</v>
      </c>
      <c r="F442" t="s">
        <v>142</v>
      </c>
      <c r="G442" t="s">
        <v>32</v>
      </c>
      <c r="H442" t="s">
        <v>73</v>
      </c>
      <c r="I442">
        <v>677.63519999999903</v>
      </c>
      <c r="J442">
        <v>2</v>
      </c>
      <c r="L442">
        <v>211.2552</v>
      </c>
      <c r="M442" t="s">
        <v>27</v>
      </c>
    </row>
    <row r="443" spans="1:13">
      <c r="A443" t="s">
        <v>856</v>
      </c>
      <c r="B443" s="1">
        <v>42109</v>
      </c>
      <c r="C443" s="1">
        <v>42112</v>
      </c>
      <c r="D443" t="s">
        <v>741</v>
      </c>
      <c r="E443" t="s">
        <v>790</v>
      </c>
      <c r="F443" t="s">
        <v>115</v>
      </c>
      <c r="G443" t="s">
        <v>32</v>
      </c>
      <c r="H443" t="s">
        <v>73</v>
      </c>
      <c r="I443">
        <v>731.34</v>
      </c>
      <c r="J443">
        <v>2</v>
      </c>
      <c r="K443">
        <v>0</v>
      </c>
      <c r="L443">
        <v>80.400000000000006</v>
      </c>
      <c r="M443" t="s">
        <v>27</v>
      </c>
    </row>
    <row r="444" spans="1:13">
      <c r="A444" t="s">
        <v>857</v>
      </c>
      <c r="B444" s="1">
        <v>41585</v>
      </c>
      <c r="C444" s="1">
        <v>41590</v>
      </c>
      <c r="D444" t="s">
        <v>515</v>
      </c>
      <c r="E444" t="s">
        <v>40</v>
      </c>
      <c r="F444" t="s">
        <v>41</v>
      </c>
      <c r="G444" t="s">
        <v>17</v>
      </c>
      <c r="H444" t="s">
        <v>151</v>
      </c>
      <c r="I444">
        <v>287.909999999999</v>
      </c>
      <c r="J444">
        <v>3</v>
      </c>
      <c r="K444">
        <v>0.4</v>
      </c>
      <c r="L444">
        <v>33.589499999999902</v>
      </c>
      <c r="M444" t="s">
        <v>19</v>
      </c>
    </row>
    <row r="445" spans="1:13">
      <c r="A445" t="s">
        <v>858</v>
      </c>
      <c r="B445" s="1">
        <v>42129</v>
      </c>
      <c r="C445" s="1">
        <v>42131</v>
      </c>
      <c r="D445" t="s">
        <v>859</v>
      </c>
      <c r="E445" t="s">
        <v>114</v>
      </c>
      <c r="F445" t="s">
        <v>52</v>
      </c>
      <c r="G445" t="s">
        <v>17</v>
      </c>
      <c r="H445" t="s">
        <v>151</v>
      </c>
      <c r="I445">
        <v>1272.72</v>
      </c>
      <c r="J445">
        <v>4</v>
      </c>
      <c r="K445">
        <v>0</v>
      </c>
      <c r="L445">
        <v>534.48</v>
      </c>
      <c r="M445" t="s">
        <v>37</v>
      </c>
    </row>
    <row r="446" spans="1:13">
      <c r="A446" t="s">
        <v>860</v>
      </c>
      <c r="B446" s="1">
        <v>41947</v>
      </c>
      <c r="C446" s="1">
        <v>41949</v>
      </c>
      <c r="D446" t="s">
        <v>861</v>
      </c>
      <c r="E446" t="s">
        <v>76</v>
      </c>
      <c r="F446" t="s">
        <v>77</v>
      </c>
      <c r="G446" t="s">
        <v>45</v>
      </c>
      <c r="H446" t="s">
        <v>26</v>
      </c>
      <c r="I446">
        <v>1856.34</v>
      </c>
      <c r="J446">
        <v>6</v>
      </c>
      <c r="K446">
        <v>0</v>
      </c>
      <c r="M446" t="s">
        <v>27</v>
      </c>
    </row>
    <row r="447" spans="1:13">
      <c r="A447" t="s">
        <v>862</v>
      </c>
      <c r="B447" s="1">
        <v>42165</v>
      </c>
      <c r="C447" s="1">
        <v>42167</v>
      </c>
      <c r="D447" t="s">
        <v>270</v>
      </c>
      <c r="E447" t="s">
        <v>197</v>
      </c>
      <c r="F447" t="s">
        <v>77</v>
      </c>
      <c r="G447" t="s">
        <v>17</v>
      </c>
      <c r="H447" t="s">
        <v>33</v>
      </c>
      <c r="I447">
        <v>2295</v>
      </c>
      <c r="J447">
        <v>4</v>
      </c>
      <c r="K447">
        <v>0.1</v>
      </c>
      <c r="M447" t="s">
        <v>19</v>
      </c>
    </row>
    <row r="448" spans="1:13">
      <c r="A448" t="s">
        <v>863</v>
      </c>
      <c r="B448" s="1">
        <v>41517</v>
      </c>
      <c r="C448" s="1">
        <v>41519</v>
      </c>
      <c r="D448" t="s">
        <v>864</v>
      </c>
      <c r="E448" t="s">
        <v>70</v>
      </c>
      <c r="F448" t="s">
        <v>71</v>
      </c>
      <c r="G448" t="s">
        <v>17</v>
      </c>
      <c r="H448" t="s">
        <v>73</v>
      </c>
      <c r="I448">
        <v>1622.1824999999999</v>
      </c>
      <c r="J448" t="s">
        <v>63</v>
      </c>
      <c r="K448">
        <v>0.15</v>
      </c>
      <c r="L448">
        <v>324.38249999999903</v>
      </c>
      <c r="M448" t="s">
        <v>27</v>
      </c>
    </row>
    <row r="449" spans="1:13">
      <c r="A449" t="s">
        <v>865</v>
      </c>
      <c r="B449" s="1">
        <v>41810</v>
      </c>
      <c r="C449" s="1">
        <v>41812</v>
      </c>
      <c r="D449" t="s">
        <v>866</v>
      </c>
      <c r="E449" t="s">
        <v>867</v>
      </c>
      <c r="F449" t="s">
        <v>90</v>
      </c>
      <c r="G449" t="s">
        <v>17</v>
      </c>
      <c r="H449" t="s">
        <v>26</v>
      </c>
      <c r="I449">
        <v>1063.44</v>
      </c>
      <c r="J449">
        <v>7</v>
      </c>
      <c r="K449">
        <v>0</v>
      </c>
      <c r="L449">
        <v>361.41</v>
      </c>
      <c r="M449" t="s">
        <v>27</v>
      </c>
    </row>
    <row r="450" spans="1:13">
      <c r="A450" t="s">
        <v>868</v>
      </c>
      <c r="B450" s="1">
        <v>42239</v>
      </c>
      <c r="D450" t="s">
        <v>869</v>
      </c>
      <c r="E450" t="s">
        <v>643</v>
      </c>
      <c r="F450" t="s">
        <v>87</v>
      </c>
      <c r="G450" t="s">
        <v>17</v>
      </c>
      <c r="H450" t="s">
        <v>26</v>
      </c>
      <c r="I450">
        <v>3449.88</v>
      </c>
      <c r="J450">
        <v>14</v>
      </c>
      <c r="K450">
        <v>0</v>
      </c>
      <c r="M450" t="s">
        <v>19</v>
      </c>
    </row>
    <row r="451" spans="1:13">
      <c r="A451" t="s">
        <v>870</v>
      </c>
      <c r="B451" s="1">
        <v>41422</v>
      </c>
      <c r="C451" s="1">
        <v>41423</v>
      </c>
      <c r="D451" t="s">
        <v>871</v>
      </c>
      <c r="E451" t="s">
        <v>97</v>
      </c>
      <c r="F451" t="s">
        <v>98</v>
      </c>
      <c r="G451" t="s">
        <v>32</v>
      </c>
      <c r="H451" t="s">
        <v>26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27</v>
      </c>
    </row>
    <row r="452" spans="1:13">
      <c r="A452" t="s">
        <v>872</v>
      </c>
      <c r="B452" s="1">
        <v>42143</v>
      </c>
      <c r="C452" t="s">
        <v>873</v>
      </c>
      <c r="D452" t="s">
        <v>406</v>
      </c>
      <c r="E452" t="s">
        <v>874</v>
      </c>
      <c r="F452" t="s">
        <v>25</v>
      </c>
      <c r="G452" t="s">
        <v>17</v>
      </c>
      <c r="H452" t="s">
        <v>18</v>
      </c>
      <c r="I452">
        <v>1429.4399999999901</v>
      </c>
      <c r="J452">
        <v>4</v>
      </c>
      <c r="K452">
        <v>0</v>
      </c>
      <c r="L452">
        <v>471.599999999999</v>
      </c>
      <c r="M452" t="s">
        <v>27</v>
      </c>
    </row>
    <row r="453" spans="1:13">
      <c r="A453" t="s">
        <v>875</v>
      </c>
      <c r="C453" s="1">
        <v>41759</v>
      </c>
      <c r="D453" t="s">
        <v>876</v>
      </c>
      <c r="E453" t="s">
        <v>877</v>
      </c>
      <c r="F453" t="s">
        <v>438</v>
      </c>
      <c r="G453" t="s">
        <v>32</v>
      </c>
      <c r="H453" t="s">
        <v>151</v>
      </c>
      <c r="I453">
        <v>1057.8</v>
      </c>
      <c r="J453">
        <v>2</v>
      </c>
      <c r="K453">
        <v>0</v>
      </c>
      <c r="L453">
        <v>158.63999999999999</v>
      </c>
      <c r="M453" t="s">
        <v>27</v>
      </c>
    </row>
    <row r="454" spans="1:13">
      <c r="A454" t="s">
        <v>736</v>
      </c>
      <c r="B454" s="1">
        <v>41996</v>
      </c>
      <c r="C454" s="1">
        <v>41998</v>
      </c>
      <c r="D454" t="s">
        <v>146</v>
      </c>
      <c r="E454" t="s">
        <v>66</v>
      </c>
      <c r="F454" t="s">
        <v>90</v>
      </c>
      <c r="G454" t="s">
        <v>32</v>
      </c>
      <c r="H454" t="s">
        <v>33</v>
      </c>
      <c r="I454">
        <v>1092.96</v>
      </c>
      <c r="K454">
        <v>0</v>
      </c>
      <c r="L454">
        <v>393.39</v>
      </c>
      <c r="M454" t="s">
        <v>27</v>
      </c>
    </row>
    <row r="455" spans="1:13">
      <c r="A455" t="s">
        <v>878</v>
      </c>
      <c r="B455" s="1">
        <v>42289</v>
      </c>
      <c r="D455" t="s">
        <v>879</v>
      </c>
      <c r="E455" t="s">
        <v>570</v>
      </c>
      <c r="F455" t="s">
        <v>120</v>
      </c>
      <c r="G455" t="s">
        <v>32</v>
      </c>
      <c r="H455" t="s">
        <v>44</v>
      </c>
      <c r="I455">
        <v>1483</v>
      </c>
      <c r="J455">
        <v>5</v>
      </c>
      <c r="K455">
        <v>0</v>
      </c>
      <c r="L455">
        <v>741.5</v>
      </c>
      <c r="M455" t="s">
        <v>37</v>
      </c>
    </row>
    <row r="456" spans="1:13">
      <c r="A456" t="s">
        <v>880</v>
      </c>
      <c r="B456" s="1">
        <v>42109</v>
      </c>
      <c r="C456" s="1">
        <v>42111</v>
      </c>
      <c r="D456" t="s">
        <v>881</v>
      </c>
      <c r="E456" t="s">
        <v>276</v>
      </c>
      <c r="F456" t="s">
        <v>61</v>
      </c>
      <c r="G456" t="s">
        <v>45</v>
      </c>
      <c r="H456" t="s">
        <v>151</v>
      </c>
      <c r="I456" t="s">
        <v>882</v>
      </c>
      <c r="J456">
        <v>5</v>
      </c>
      <c r="K456">
        <v>0</v>
      </c>
      <c r="L456">
        <v>304.7</v>
      </c>
      <c r="M456" t="s">
        <v>27</v>
      </c>
    </row>
    <row r="457" spans="1:13">
      <c r="A457" t="s">
        <v>883</v>
      </c>
      <c r="B457" s="1">
        <v>42336</v>
      </c>
      <c r="C457" s="1">
        <v>42341</v>
      </c>
      <c r="D457" t="s">
        <v>884</v>
      </c>
      <c r="E457" t="s">
        <v>22</v>
      </c>
      <c r="F457" t="s">
        <v>71</v>
      </c>
      <c r="G457" t="s">
        <v>32</v>
      </c>
      <c r="H457" t="s">
        <v>44</v>
      </c>
      <c r="I457">
        <v>2455.6770000000001</v>
      </c>
      <c r="J457">
        <v>7</v>
      </c>
      <c r="K457">
        <v>0.1</v>
      </c>
      <c r="L457">
        <v>-191.16300000000001</v>
      </c>
      <c r="M457" t="s">
        <v>885</v>
      </c>
    </row>
    <row r="458" spans="1:13">
      <c r="A458" t="s">
        <v>886</v>
      </c>
      <c r="B458" s="1">
        <v>41405</v>
      </c>
      <c r="C458" s="1">
        <v>41407</v>
      </c>
      <c r="D458" t="s">
        <v>887</v>
      </c>
      <c r="F458" t="s">
        <v>56</v>
      </c>
      <c r="G458" t="s">
        <v>17</v>
      </c>
      <c r="H458" t="s">
        <v>73</v>
      </c>
      <c r="I458">
        <v>1900.44</v>
      </c>
      <c r="J458">
        <v>6</v>
      </c>
      <c r="K458">
        <v>0</v>
      </c>
      <c r="L458">
        <v>417.96</v>
      </c>
      <c r="M458" t="s">
        <v>37</v>
      </c>
    </row>
    <row r="459" spans="1:13">
      <c r="A459" t="s">
        <v>888</v>
      </c>
      <c r="B459" s="1">
        <v>41808</v>
      </c>
      <c r="C459" s="1">
        <v>41814</v>
      </c>
      <c r="D459" t="s">
        <v>889</v>
      </c>
      <c r="E459" t="s">
        <v>322</v>
      </c>
      <c r="F459" t="s">
        <v>142</v>
      </c>
      <c r="G459" t="s">
        <v>17</v>
      </c>
      <c r="H459" t="s">
        <v>151</v>
      </c>
      <c r="I459">
        <v>3712.59</v>
      </c>
      <c r="J459">
        <v>7</v>
      </c>
      <c r="K459">
        <v>0.17</v>
      </c>
      <c r="L459">
        <v>849.87</v>
      </c>
      <c r="M459" t="s">
        <v>19</v>
      </c>
    </row>
    <row r="460" spans="1:13">
      <c r="A460" t="s">
        <v>890</v>
      </c>
      <c r="B460" s="1">
        <v>41398</v>
      </c>
      <c r="C460" s="1">
        <v>41400</v>
      </c>
      <c r="D460" t="s">
        <v>247</v>
      </c>
      <c r="E460" t="s">
        <v>891</v>
      </c>
      <c r="F460" t="s">
        <v>115</v>
      </c>
      <c r="G460" t="s">
        <v>17</v>
      </c>
      <c r="H460" t="s">
        <v>33</v>
      </c>
      <c r="I460">
        <v>2372.2199999999998</v>
      </c>
      <c r="J460">
        <v>9</v>
      </c>
      <c r="K460">
        <v>0</v>
      </c>
      <c r="L460">
        <v>0</v>
      </c>
      <c r="M460" t="s">
        <v>37</v>
      </c>
    </row>
    <row r="461" spans="1:13">
      <c r="A461" t="s">
        <v>892</v>
      </c>
      <c r="B461" s="1">
        <v>41223</v>
      </c>
      <c r="C461" s="1">
        <v>41227</v>
      </c>
      <c r="D461" t="s">
        <v>893</v>
      </c>
      <c r="E461" t="s">
        <v>66</v>
      </c>
      <c r="F461" t="s">
        <v>90</v>
      </c>
      <c r="G461" t="s">
        <v>17</v>
      </c>
      <c r="H461" t="s">
        <v>26</v>
      </c>
      <c r="I461">
        <v>5725.35</v>
      </c>
      <c r="J461">
        <v>9</v>
      </c>
      <c r="L461">
        <v>1602.98999999999</v>
      </c>
      <c r="M461" t="s">
        <v>19</v>
      </c>
    </row>
    <row r="462" spans="1:13">
      <c r="A462" t="s">
        <v>894</v>
      </c>
      <c r="B462" s="1">
        <v>42362</v>
      </c>
      <c r="C462" s="1">
        <v>42362</v>
      </c>
      <c r="D462" t="s">
        <v>895</v>
      </c>
      <c r="E462" t="s">
        <v>76</v>
      </c>
      <c r="F462" t="s">
        <v>77</v>
      </c>
      <c r="G462" t="s">
        <v>32</v>
      </c>
      <c r="H462" t="s">
        <v>33</v>
      </c>
      <c r="J462">
        <v>7</v>
      </c>
      <c r="K462">
        <v>0</v>
      </c>
      <c r="L462">
        <v>842.51999999999896</v>
      </c>
      <c r="M462" t="s">
        <v>19</v>
      </c>
    </row>
    <row r="463" spans="1:13">
      <c r="A463" t="s">
        <v>896</v>
      </c>
      <c r="C463" s="1">
        <v>42143</v>
      </c>
      <c r="D463" t="s">
        <v>418</v>
      </c>
      <c r="E463" t="s">
        <v>97</v>
      </c>
      <c r="F463" t="s">
        <v>98</v>
      </c>
      <c r="G463" t="s">
        <v>45</v>
      </c>
      <c r="H463" t="s">
        <v>26</v>
      </c>
      <c r="I463">
        <v>2003.51999999999</v>
      </c>
      <c r="J463">
        <v>6</v>
      </c>
      <c r="K463">
        <v>0</v>
      </c>
      <c r="L463">
        <v>861.48</v>
      </c>
      <c r="M463" t="s">
        <v>37</v>
      </c>
    </row>
    <row r="464" spans="1:13">
      <c r="A464" t="s">
        <v>897</v>
      </c>
      <c r="B464" s="1">
        <v>42347</v>
      </c>
      <c r="C464" s="1">
        <v>42350</v>
      </c>
      <c r="D464" t="s">
        <v>898</v>
      </c>
      <c r="E464" t="s">
        <v>899</v>
      </c>
      <c r="F464" t="s">
        <v>87</v>
      </c>
      <c r="G464" t="s">
        <v>17</v>
      </c>
      <c r="H464" t="s">
        <v>151</v>
      </c>
      <c r="I464">
        <v>1188.3599999999999</v>
      </c>
      <c r="J464">
        <v>4</v>
      </c>
      <c r="K464">
        <v>0</v>
      </c>
      <c r="L464">
        <v>95.039999999999907</v>
      </c>
      <c r="M464" t="s">
        <v>37</v>
      </c>
    </row>
    <row r="465" spans="1:13">
      <c r="A465" t="s">
        <v>900</v>
      </c>
      <c r="B465" s="1">
        <v>41249</v>
      </c>
      <c r="C465" s="1">
        <v>41253</v>
      </c>
      <c r="D465" t="s">
        <v>901</v>
      </c>
      <c r="E465" t="s">
        <v>15</v>
      </c>
      <c r="F465" t="s">
        <v>16</v>
      </c>
      <c r="G465" t="s">
        <v>17</v>
      </c>
      <c r="H465" t="s">
        <v>73</v>
      </c>
      <c r="I465">
        <v>2875.0949999999998</v>
      </c>
      <c r="J465">
        <v>5</v>
      </c>
      <c r="K465">
        <v>0.1</v>
      </c>
      <c r="L465">
        <v>511.094999999999</v>
      </c>
      <c r="M465" t="s">
        <v>37</v>
      </c>
    </row>
    <row r="466" spans="1:13">
      <c r="A466" t="s">
        <v>902</v>
      </c>
      <c r="B466" s="1">
        <v>41892</v>
      </c>
      <c r="C466" s="1">
        <v>41897</v>
      </c>
      <c r="D466" t="s">
        <v>237</v>
      </c>
      <c r="E466" t="s">
        <v>903</v>
      </c>
      <c r="F466" t="s">
        <v>107</v>
      </c>
      <c r="G466" t="s">
        <v>32</v>
      </c>
      <c r="H466" t="s">
        <v>33</v>
      </c>
      <c r="I466" t="s">
        <v>163</v>
      </c>
      <c r="J466">
        <v>5</v>
      </c>
      <c r="K466">
        <v>0</v>
      </c>
      <c r="L466">
        <v>952.2</v>
      </c>
      <c r="M466" t="s">
        <v>19</v>
      </c>
    </row>
    <row r="467" spans="1:13">
      <c r="B467" s="1">
        <v>40970</v>
      </c>
      <c r="C467" s="1">
        <v>40972</v>
      </c>
      <c r="D467" t="s">
        <v>904</v>
      </c>
      <c r="E467" t="s">
        <v>905</v>
      </c>
      <c r="F467" t="s">
        <v>77</v>
      </c>
      <c r="G467" t="s">
        <v>17</v>
      </c>
      <c r="H467" t="s">
        <v>26</v>
      </c>
      <c r="I467">
        <v>1619.1</v>
      </c>
      <c r="J467">
        <v>10</v>
      </c>
      <c r="K467">
        <v>0</v>
      </c>
      <c r="L467">
        <v>258.89999999999998</v>
      </c>
      <c r="M467" t="s">
        <v>37</v>
      </c>
    </row>
    <row r="468" spans="1:13">
      <c r="A468" t="s">
        <v>906</v>
      </c>
      <c r="B468" s="1">
        <v>41275</v>
      </c>
      <c r="C468" s="1">
        <v>41395</v>
      </c>
      <c r="E468" t="s">
        <v>141</v>
      </c>
      <c r="F468" t="s">
        <v>142</v>
      </c>
      <c r="G468" t="s">
        <v>45</v>
      </c>
      <c r="H468" t="s">
        <v>23</v>
      </c>
      <c r="I468">
        <v>2821.7177999999999</v>
      </c>
      <c r="J468">
        <v>6</v>
      </c>
      <c r="L468">
        <v>339.87779999999998</v>
      </c>
      <c r="M468" t="s">
        <v>37</v>
      </c>
    </row>
    <row r="469" spans="1:13">
      <c r="A469" t="s">
        <v>907</v>
      </c>
      <c r="B469" s="1">
        <v>41577</v>
      </c>
      <c r="C469" s="1">
        <v>41581</v>
      </c>
      <c r="D469" t="s">
        <v>908</v>
      </c>
      <c r="E469" t="s">
        <v>141</v>
      </c>
      <c r="F469" t="s">
        <v>142</v>
      </c>
      <c r="G469" t="s">
        <v>17</v>
      </c>
      <c r="H469" t="s">
        <v>127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19</v>
      </c>
    </row>
    <row r="470" spans="1:13">
      <c r="A470" t="s">
        <v>909</v>
      </c>
      <c r="B470" s="1">
        <v>41962</v>
      </c>
      <c r="C470" s="1">
        <v>41962</v>
      </c>
      <c r="D470" t="s">
        <v>402</v>
      </c>
      <c r="E470" t="s">
        <v>910</v>
      </c>
      <c r="F470" t="s">
        <v>142</v>
      </c>
      <c r="G470" t="s">
        <v>45</v>
      </c>
      <c r="H470" t="s">
        <v>73</v>
      </c>
      <c r="I470">
        <v>1798.6763999999901</v>
      </c>
      <c r="J470">
        <v>4</v>
      </c>
      <c r="K470">
        <v>0.17</v>
      </c>
      <c r="L470">
        <v>86.636399999999895</v>
      </c>
      <c r="M470" t="s">
        <v>37</v>
      </c>
    </row>
    <row r="471" spans="1:13">
      <c r="B471" s="1">
        <v>41866</v>
      </c>
      <c r="C471" s="1">
        <v>41868</v>
      </c>
      <c r="D471" t="s">
        <v>911</v>
      </c>
      <c r="E471" t="s">
        <v>464</v>
      </c>
      <c r="F471" t="s">
        <v>392</v>
      </c>
      <c r="G471" t="s">
        <v>17</v>
      </c>
      <c r="H471" t="s">
        <v>33</v>
      </c>
      <c r="I471">
        <v>2544.84</v>
      </c>
      <c r="J471">
        <v>4</v>
      </c>
      <c r="K471">
        <v>0</v>
      </c>
      <c r="L471">
        <v>712.43999999999903</v>
      </c>
      <c r="M471" t="s">
        <v>19</v>
      </c>
    </row>
    <row r="472" spans="1:13">
      <c r="A472" t="s">
        <v>912</v>
      </c>
      <c r="B472" s="1">
        <v>41798</v>
      </c>
      <c r="C472" s="1">
        <v>41798</v>
      </c>
      <c r="D472" t="s">
        <v>893</v>
      </c>
      <c r="F472" t="s">
        <v>90</v>
      </c>
      <c r="G472" t="s">
        <v>32</v>
      </c>
      <c r="H472" t="s">
        <v>73</v>
      </c>
      <c r="I472">
        <v>951.719999999999</v>
      </c>
      <c r="J472">
        <v>2</v>
      </c>
      <c r="K472">
        <v>0</v>
      </c>
      <c r="L472">
        <v>228.36</v>
      </c>
      <c r="M472" t="s">
        <v>37</v>
      </c>
    </row>
    <row r="473" spans="1:13">
      <c r="A473" t="s">
        <v>913</v>
      </c>
      <c r="B473" s="1">
        <v>42279</v>
      </c>
      <c r="C473" s="1">
        <v>42283</v>
      </c>
      <c r="D473" t="s">
        <v>255</v>
      </c>
      <c r="E473" t="s">
        <v>184</v>
      </c>
      <c r="F473" t="s">
        <v>115</v>
      </c>
      <c r="G473" t="s">
        <v>17</v>
      </c>
      <c r="H473" t="s">
        <v>26</v>
      </c>
      <c r="I473">
        <v>2575.92</v>
      </c>
      <c r="J473">
        <v>4</v>
      </c>
      <c r="K473">
        <v>0</v>
      </c>
      <c r="L473">
        <v>978.83999999999901</v>
      </c>
      <c r="M473" t="s">
        <v>37</v>
      </c>
    </row>
    <row r="474" spans="1:13">
      <c r="A474" t="s">
        <v>914</v>
      </c>
      <c r="B474" s="1">
        <v>42062</v>
      </c>
      <c r="C474" s="1">
        <v>42066</v>
      </c>
      <c r="D474" t="s">
        <v>583</v>
      </c>
      <c r="E474" t="s">
        <v>93</v>
      </c>
      <c r="F474" t="s">
        <v>94</v>
      </c>
      <c r="G474" t="s">
        <v>45</v>
      </c>
      <c r="H474" t="s">
        <v>23</v>
      </c>
      <c r="I474">
        <v>1699.83</v>
      </c>
      <c r="J474">
        <v>3</v>
      </c>
      <c r="K474">
        <v>0</v>
      </c>
      <c r="L474">
        <v>84.96</v>
      </c>
      <c r="M474" t="s">
        <v>37</v>
      </c>
    </row>
    <row r="475" spans="1:13">
      <c r="A475" t="s">
        <v>915</v>
      </c>
      <c r="B475" s="1">
        <v>41943</v>
      </c>
      <c r="C475" t="s">
        <v>916</v>
      </c>
      <c r="D475" t="s">
        <v>917</v>
      </c>
      <c r="E475" t="s">
        <v>15</v>
      </c>
      <c r="F475" t="s">
        <v>16</v>
      </c>
      <c r="G475" t="s">
        <v>32</v>
      </c>
      <c r="H475" t="s">
        <v>26</v>
      </c>
      <c r="I475">
        <v>2634.5519999999901</v>
      </c>
      <c r="J475">
        <v>8</v>
      </c>
      <c r="K475">
        <v>0.1</v>
      </c>
      <c r="L475">
        <v>116.952</v>
      </c>
      <c r="M475" t="s">
        <v>19</v>
      </c>
    </row>
    <row r="476" spans="1:13">
      <c r="A476" t="s">
        <v>918</v>
      </c>
      <c r="B476" s="1">
        <v>41991</v>
      </c>
      <c r="C476" s="1">
        <v>41998</v>
      </c>
      <c r="D476" t="s">
        <v>919</v>
      </c>
      <c r="E476" t="s">
        <v>141</v>
      </c>
      <c r="F476" t="s">
        <v>142</v>
      </c>
      <c r="G476" t="s">
        <v>32</v>
      </c>
      <c r="H476" t="s">
        <v>73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19</v>
      </c>
    </row>
    <row r="477" spans="1:13">
      <c r="A477" t="s">
        <v>920</v>
      </c>
      <c r="B477" s="1">
        <v>42133</v>
      </c>
      <c r="C477" s="1">
        <v>42139</v>
      </c>
      <c r="D477" t="s">
        <v>861</v>
      </c>
      <c r="E477" t="s">
        <v>114</v>
      </c>
      <c r="F477" t="s">
        <v>169</v>
      </c>
      <c r="G477" t="s">
        <v>32</v>
      </c>
      <c r="H477" t="s">
        <v>151</v>
      </c>
      <c r="I477">
        <v>4298.8500000000004</v>
      </c>
      <c r="J477">
        <v>5</v>
      </c>
      <c r="K477">
        <v>0</v>
      </c>
      <c r="L477">
        <v>300.89999999999998</v>
      </c>
      <c r="M477" t="s">
        <v>74</v>
      </c>
    </row>
    <row r="478" spans="1:13">
      <c r="B478" s="1">
        <v>42189</v>
      </c>
      <c r="C478" s="1">
        <v>42193</v>
      </c>
      <c r="D478" t="s">
        <v>751</v>
      </c>
      <c r="E478" t="s">
        <v>66</v>
      </c>
      <c r="F478" t="s">
        <v>90</v>
      </c>
      <c r="G478" t="s">
        <v>45</v>
      </c>
      <c r="H478" t="s">
        <v>151</v>
      </c>
      <c r="I478">
        <v>3417.48</v>
      </c>
      <c r="J478">
        <v>6</v>
      </c>
      <c r="K478">
        <v>0</v>
      </c>
      <c r="L478">
        <v>854.28</v>
      </c>
      <c r="M478" t="s">
        <v>19</v>
      </c>
    </row>
    <row r="479" spans="1:13">
      <c r="A479" t="s">
        <v>921</v>
      </c>
      <c r="B479" s="1">
        <v>41411</v>
      </c>
      <c r="C479" s="1">
        <v>41415</v>
      </c>
      <c r="D479" t="s">
        <v>113</v>
      </c>
      <c r="E479" t="s">
        <v>197</v>
      </c>
      <c r="F479" t="s">
        <v>77</v>
      </c>
      <c r="G479" t="s">
        <v>45</v>
      </c>
      <c r="H479" t="s">
        <v>44</v>
      </c>
      <c r="I479">
        <v>2080.3199999999902</v>
      </c>
      <c r="J479">
        <v>4</v>
      </c>
      <c r="K479">
        <v>0</v>
      </c>
      <c r="L479">
        <v>561.599999999999</v>
      </c>
      <c r="M479" t="s">
        <v>37</v>
      </c>
    </row>
    <row r="480" spans="1:13">
      <c r="A480" t="s">
        <v>922</v>
      </c>
      <c r="B480" s="1">
        <v>41123</v>
      </c>
      <c r="C480" s="1">
        <v>41126</v>
      </c>
      <c r="D480" t="s">
        <v>284</v>
      </c>
      <c r="E480" t="s">
        <v>114</v>
      </c>
      <c r="F480" t="s">
        <v>115</v>
      </c>
      <c r="G480" t="s">
        <v>17</v>
      </c>
      <c r="H480" t="s">
        <v>73</v>
      </c>
      <c r="I480" t="s">
        <v>923</v>
      </c>
      <c r="J480">
        <v>5</v>
      </c>
      <c r="K480">
        <v>0</v>
      </c>
      <c r="L480">
        <v>319.349999999999</v>
      </c>
      <c r="M480" t="s">
        <v>27</v>
      </c>
    </row>
    <row r="481" spans="1:13">
      <c r="A481" t="s">
        <v>924</v>
      </c>
      <c r="B481" s="1">
        <v>42267</v>
      </c>
      <c r="C481" s="1">
        <v>42273</v>
      </c>
      <c r="D481" t="s">
        <v>515</v>
      </c>
      <c r="E481" t="s">
        <v>40</v>
      </c>
      <c r="F481" t="s">
        <v>43</v>
      </c>
      <c r="G481" t="s">
        <v>17</v>
      </c>
      <c r="H481" t="s">
        <v>73</v>
      </c>
      <c r="I481">
        <v>471.92</v>
      </c>
      <c r="K481">
        <v>0.2</v>
      </c>
      <c r="L481">
        <v>29.495000000000001</v>
      </c>
      <c r="M481" t="s">
        <v>74</v>
      </c>
    </row>
    <row r="482" spans="1:13">
      <c r="A482" t="s">
        <v>925</v>
      </c>
      <c r="B482" s="1">
        <v>41684</v>
      </c>
      <c r="C482" s="1">
        <v>41686</v>
      </c>
      <c r="D482" t="s">
        <v>926</v>
      </c>
      <c r="E482" t="s">
        <v>927</v>
      </c>
      <c r="F482" t="s">
        <v>131</v>
      </c>
      <c r="G482" t="s">
        <v>45</v>
      </c>
      <c r="H482" t="s">
        <v>26</v>
      </c>
      <c r="I482">
        <v>1288.8</v>
      </c>
      <c r="J482" t="s">
        <v>63</v>
      </c>
      <c r="K482">
        <v>0</v>
      </c>
      <c r="L482">
        <v>90</v>
      </c>
      <c r="M482" t="s">
        <v>408</v>
      </c>
    </row>
    <row r="483" spans="1:13">
      <c r="A483" t="s">
        <v>928</v>
      </c>
      <c r="B483" s="1">
        <v>41417</v>
      </c>
      <c r="C483" s="1">
        <v>41417</v>
      </c>
      <c r="E483" t="s">
        <v>15</v>
      </c>
      <c r="F483" t="s">
        <v>16</v>
      </c>
      <c r="G483" t="s">
        <v>32</v>
      </c>
      <c r="H483" t="s">
        <v>46</v>
      </c>
      <c r="I483">
        <v>660.69</v>
      </c>
      <c r="J483">
        <v>5</v>
      </c>
      <c r="K483">
        <v>0.1</v>
      </c>
      <c r="L483">
        <v>44.04</v>
      </c>
      <c r="M483" t="s">
        <v>27</v>
      </c>
    </row>
    <row r="484" spans="1:13">
      <c r="A484" t="s">
        <v>929</v>
      </c>
      <c r="B484" t="s">
        <v>930</v>
      </c>
      <c r="C484" s="1">
        <v>42225</v>
      </c>
      <c r="D484" t="s">
        <v>931</v>
      </c>
      <c r="E484" t="s">
        <v>932</v>
      </c>
      <c r="F484" t="s">
        <v>77</v>
      </c>
      <c r="G484" t="s">
        <v>45</v>
      </c>
      <c r="H484" t="s">
        <v>299</v>
      </c>
      <c r="I484">
        <v>3234.24</v>
      </c>
      <c r="J484">
        <v>6</v>
      </c>
      <c r="K484">
        <v>0</v>
      </c>
      <c r="L484">
        <v>970.19999999999902</v>
      </c>
      <c r="M484" t="s">
        <v>19</v>
      </c>
    </row>
    <row r="485" spans="1:13">
      <c r="A485" t="s">
        <v>933</v>
      </c>
      <c r="B485" s="1">
        <v>41956</v>
      </c>
      <c r="C485" s="1">
        <v>41961</v>
      </c>
      <c r="D485" t="s">
        <v>30</v>
      </c>
      <c r="E485" t="s">
        <v>934</v>
      </c>
      <c r="F485" t="s">
        <v>61</v>
      </c>
      <c r="G485" t="s">
        <v>17</v>
      </c>
      <c r="H485" t="s">
        <v>151</v>
      </c>
      <c r="I485">
        <v>2171.3000000000002</v>
      </c>
      <c r="J485">
        <v>5</v>
      </c>
      <c r="K485">
        <v>0</v>
      </c>
      <c r="L485">
        <v>390.79999999999899</v>
      </c>
      <c r="M485" t="s">
        <v>37</v>
      </c>
    </row>
    <row r="486" spans="1:13">
      <c r="C486" s="1">
        <v>42049</v>
      </c>
      <c r="D486" t="s">
        <v>237</v>
      </c>
      <c r="E486" t="s">
        <v>15</v>
      </c>
      <c r="F486" t="s">
        <v>935</v>
      </c>
      <c r="G486" t="s">
        <v>17</v>
      </c>
      <c r="H486" t="s">
        <v>73</v>
      </c>
      <c r="I486">
        <v>2074.7339999999999</v>
      </c>
      <c r="J486">
        <v>9</v>
      </c>
      <c r="K486">
        <v>0.1</v>
      </c>
      <c r="L486">
        <v>276.53399999999999</v>
      </c>
      <c r="M486" t="s">
        <v>19</v>
      </c>
    </row>
    <row r="487" spans="1:13">
      <c r="A487" t="s">
        <v>936</v>
      </c>
      <c r="B487" s="1">
        <v>42319</v>
      </c>
      <c r="C487" s="1">
        <v>42322</v>
      </c>
      <c r="E487" t="s">
        <v>97</v>
      </c>
      <c r="F487" t="s">
        <v>98</v>
      </c>
      <c r="G487" t="s">
        <v>17</v>
      </c>
      <c r="H487" t="s">
        <v>26</v>
      </c>
      <c r="I487">
        <v>849.8</v>
      </c>
      <c r="J487">
        <v>2</v>
      </c>
      <c r="K487">
        <v>0</v>
      </c>
      <c r="L487">
        <v>195.44</v>
      </c>
      <c r="M487" t="s">
        <v>27</v>
      </c>
    </row>
    <row r="488" spans="1:13">
      <c r="A488" t="s">
        <v>937</v>
      </c>
      <c r="B488" s="1">
        <v>41728</v>
      </c>
      <c r="C488" s="1">
        <v>41730</v>
      </c>
      <c r="D488" t="s">
        <v>426</v>
      </c>
      <c r="E488" t="s">
        <v>15</v>
      </c>
      <c r="F488" t="s">
        <v>16</v>
      </c>
      <c r="G488" t="s">
        <v>32</v>
      </c>
      <c r="H488" t="s">
        <v>18</v>
      </c>
      <c r="I488">
        <v>1177.173</v>
      </c>
      <c r="K488">
        <v>0.1</v>
      </c>
      <c r="L488">
        <v>353.13299999999998</v>
      </c>
      <c r="M488" t="s">
        <v>19</v>
      </c>
    </row>
    <row r="489" spans="1:13">
      <c r="A489" t="s">
        <v>857</v>
      </c>
      <c r="B489" s="1">
        <v>41585</v>
      </c>
      <c r="C489" s="1">
        <v>41590</v>
      </c>
      <c r="D489" t="s">
        <v>515</v>
      </c>
      <c r="E489" t="s">
        <v>40</v>
      </c>
      <c r="F489" t="s">
        <v>41</v>
      </c>
      <c r="G489" t="s">
        <v>45</v>
      </c>
      <c r="H489" t="s">
        <v>26</v>
      </c>
      <c r="I489">
        <v>177.648</v>
      </c>
      <c r="J489">
        <v>2</v>
      </c>
      <c r="K489">
        <v>0.2</v>
      </c>
      <c r="L489">
        <v>-28.867799999999999</v>
      </c>
      <c r="M489" t="s">
        <v>19</v>
      </c>
    </row>
    <row r="490" spans="1:13">
      <c r="A490" t="s">
        <v>924</v>
      </c>
      <c r="B490" s="1">
        <v>42267</v>
      </c>
      <c r="C490" s="1">
        <v>42273</v>
      </c>
      <c r="D490" t="s">
        <v>515</v>
      </c>
      <c r="E490" t="s">
        <v>40</v>
      </c>
      <c r="F490" t="s">
        <v>43</v>
      </c>
      <c r="G490" t="s">
        <v>17</v>
      </c>
      <c r="H490" t="s">
        <v>151</v>
      </c>
      <c r="I490">
        <v>89.584000000000003</v>
      </c>
      <c r="J490">
        <v>2</v>
      </c>
      <c r="K490">
        <v>0.2</v>
      </c>
      <c r="L490">
        <v>4.4791999999999996</v>
      </c>
      <c r="M490" t="s">
        <v>74</v>
      </c>
    </row>
    <row r="491" spans="1:13">
      <c r="A491" t="s">
        <v>938</v>
      </c>
      <c r="B491" s="1">
        <v>41870</v>
      </c>
      <c r="C491" s="1">
        <v>41872</v>
      </c>
      <c r="D491" t="s">
        <v>939</v>
      </c>
      <c r="E491" t="s">
        <v>713</v>
      </c>
      <c r="F491" t="s">
        <v>115</v>
      </c>
      <c r="G491" t="s">
        <v>17</v>
      </c>
      <c r="H491" t="s">
        <v>33</v>
      </c>
      <c r="I491">
        <v>2863.08</v>
      </c>
      <c r="J491">
        <v>9</v>
      </c>
      <c r="K491">
        <v>0.5</v>
      </c>
      <c r="L491">
        <v>-458.19</v>
      </c>
      <c r="M491" t="s">
        <v>19</v>
      </c>
    </row>
    <row r="492" spans="1:13">
      <c r="A492" t="s">
        <v>940</v>
      </c>
      <c r="B492" s="1">
        <v>42153</v>
      </c>
      <c r="C492" s="1">
        <v>42155</v>
      </c>
      <c r="E492" t="s">
        <v>70</v>
      </c>
      <c r="F492" t="s">
        <v>71</v>
      </c>
      <c r="G492" t="s">
        <v>45</v>
      </c>
      <c r="H492" t="s">
        <v>44</v>
      </c>
      <c r="I492">
        <v>1253.07</v>
      </c>
      <c r="J492">
        <v>5</v>
      </c>
      <c r="K492">
        <v>0.1</v>
      </c>
      <c r="L492">
        <v>236.67</v>
      </c>
      <c r="M492" t="s">
        <v>27</v>
      </c>
    </row>
    <row r="493" spans="1:13">
      <c r="A493" t="s">
        <v>941</v>
      </c>
      <c r="B493" s="1">
        <v>41508</v>
      </c>
      <c r="C493" s="1">
        <v>41515</v>
      </c>
      <c r="D493" t="s">
        <v>942</v>
      </c>
      <c r="E493" t="s">
        <v>168</v>
      </c>
      <c r="F493" t="s">
        <v>115</v>
      </c>
      <c r="G493" t="s">
        <v>45</v>
      </c>
      <c r="H493" t="s">
        <v>26</v>
      </c>
      <c r="I493">
        <v>3369.24</v>
      </c>
      <c r="J493">
        <v>6</v>
      </c>
      <c r="K493">
        <v>0</v>
      </c>
      <c r="L493">
        <v>606.41999999999996</v>
      </c>
      <c r="M493" t="s">
        <v>74</v>
      </c>
    </row>
    <row r="494" spans="1:13">
      <c r="A494" t="s">
        <v>943</v>
      </c>
      <c r="B494" s="1">
        <v>42190</v>
      </c>
      <c r="C494" s="1">
        <v>42190</v>
      </c>
      <c r="D494" t="s">
        <v>944</v>
      </c>
      <c r="E494" t="s">
        <v>945</v>
      </c>
      <c r="F494" t="s">
        <v>438</v>
      </c>
      <c r="G494" t="s">
        <v>17</v>
      </c>
      <c r="H494" t="s">
        <v>73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946</v>
      </c>
      <c r="B495" s="1">
        <v>41347</v>
      </c>
      <c r="C495" s="1">
        <v>41350</v>
      </c>
      <c r="D495" t="s">
        <v>314</v>
      </c>
      <c r="E495" t="s">
        <v>281</v>
      </c>
      <c r="F495" t="s">
        <v>71</v>
      </c>
      <c r="G495" t="s">
        <v>32</v>
      </c>
      <c r="H495" t="s">
        <v>73</v>
      </c>
      <c r="I495">
        <v>1273.125</v>
      </c>
      <c r="J495">
        <v>7</v>
      </c>
      <c r="K495">
        <v>0.5</v>
      </c>
      <c r="L495">
        <v>-993.19499999999903</v>
      </c>
      <c r="M495" t="s">
        <v>37</v>
      </c>
    </row>
    <row r="496" spans="1:13">
      <c r="A496" t="s">
        <v>947</v>
      </c>
      <c r="B496" s="1">
        <v>42139</v>
      </c>
      <c r="C496" s="1">
        <v>42139</v>
      </c>
      <c r="D496" t="s">
        <v>515</v>
      </c>
      <c r="E496" t="s">
        <v>450</v>
      </c>
      <c r="F496" t="s">
        <v>450</v>
      </c>
      <c r="G496" t="s">
        <v>45</v>
      </c>
      <c r="H496" t="s">
        <v>18</v>
      </c>
      <c r="J496">
        <v>2</v>
      </c>
      <c r="K496">
        <v>0</v>
      </c>
      <c r="L496">
        <v>10.74</v>
      </c>
      <c r="M496" t="s">
        <v>37</v>
      </c>
    </row>
    <row r="497" spans="1:13">
      <c r="A497" t="s">
        <v>948</v>
      </c>
      <c r="B497" s="1">
        <v>42263</v>
      </c>
      <c r="C497" s="1">
        <v>42265</v>
      </c>
      <c r="D497" t="s">
        <v>876</v>
      </c>
      <c r="E497" t="s">
        <v>358</v>
      </c>
      <c r="F497" t="s">
        <v>98</v>
      </c>
      <c r="G497" t="s">
        <v>17</v>
      </c>
      <c r="H497" t="s">
        <v>151</v>
      </c>
      <c r="I497">
        <v>1258.7773999999999</v>
      </c>
      <c r="J497">
        <v>5</v>
      </c>
      <c r="K497">
        <v>2E-3</v>
      </c>
      <c r="L497">
        <v>375.77739999999898</v>
      </c>
      <c r="M497" t="s">
        <v>37</v>
      </c>
    </row>
    <row r="498" spans="1:13">
      <c r="A498" t="s">
        <v>949</v>
      </c>
      <c r="B498" s="1">
        <v>42223</v>
      </c>
      <c r="C498" s="1">
        <v>42228</v>
      </c>
      <c r="D498" t="s">
        <v>950</v>
      </c>
      <c r="E498" t="s">
        <v>713</v>
      </c>
      <c r="F498" t="s">
        <v>115</v>
      </c>
      <c r="G498" t="s">
        <v>32</v>
      </c>
      <c r="H498" t="s">
        <v>127</v>
      </c>
      <c r="J498">
        <v>7</v>
      </c>
      <c r="K498">
        <v>0.2</v>
      </c>
      <c r="L498">
        <v>290.59800000000001</v>
      </c>
      <c r="M498" t="s">
        <v>19</v>
      </c>
    </row>
    <row r="499" spans="1:13">
      <c r="A499" t="s">
        <v>951</v>
      </c>
      <c r="B499" s="1">
        <v>41891</v>
      </c>
      <c r="E499" t="s">
        <v>250</v>
      </c>
      <c r="F499" t="s">
        <v>142</v>
      </c>
      <c r="G499" t="s">
        <v>17</v>
      </c>
      <c r="H499" t="s">
        <v>33</v>
      </c>
      <c r="I499">
        <v>1482.39</v>
      </c>
      <c r="J499">
        <v>6</v>
      </c>
      <c r="K499">
        <v>0.35</v>
      </c>
      <c r="L499">
        <v>68.31</v>
      </c>
      <c r="M499" t="s">
        <v>37</v>
      </c>
    </row>
    <row r="500" spans="1:13">
      <c r="A500" t="s">
        <v>952</v>
      </c>
      <c r="B500" s="1">
        <v>42255</v>
      </c>
      <c r="C500" s="1">
        <v>42258</v>
      </c>
      <c r="D500" t="s">
        <v>953</v>
      </c>
      <c r="E500" t="s">
        <v>101</v>
      </c>
      <c r="F500" t="s">
        <v>98</v>
      </c>
      <c r="G500" t="s">
        <v>17</v>
      </c>
      <c r="H500" t="s">
        <v>23</v>
      </c>
      <c r="I500">
        <v>1274.7</v>
      </c>
      <c r="J500">
        <v>3</v>
      </c>
      <c r="K500">
        <v>0</v>
      </c>
      <c r="L500">
        <v>293.16000000000003</v>
      </c>
      <c r="M500" t="s">
        <v>762</v>
      </c>
    </row>
    <row r="501" spans="1:13">
      <c r="A501" t="s">
        <v>857</v>
      </c>
      <c r="B501" s="1">
        <v>41585</v>
      </c>
      <c r="C501" s="1">
        <v>41619</v>
      </c>
      <c r="D501" t="s">
        <v>515</v>
      </c>
      <c r="E501" t="s">
        <v>40</v>
      </c>
      <c r="F501" t="s">
        <v>41</v>
      </c>
      <c r="G501" t="s">
        <v>165</v>
      </c>
      <c r="H501" t="s">
        <v>33</v>
      </c>
      <c r="I501">
        <v>84.784000000000006</v>
      </c>
      <c r="K501">
        <v>0.2</v>
      </c>
      <c r="L501">
        <v>-16.956800000000001</v>
      </c>
      <c r="M501" t="s">
        <v>19</v>
      </c>
    </row>
    <row r="502" spans="1:13">
      <c r="A502" t="s">
        <v>954</v>
      </c>
      <c r="B502" s="1">
        <v>41564</v>
      </c>
      <c r="C502" s="1">
        <v>41568</v>
      </c>
      <c r="D502" t="s">
        <v>394</v>
      </c>
      <c r="E502" t="s">
        <v>570</v>
      </c>
      <c r="F502" t="s">
        <v>120</v>
      </c>
      <c r="G502" t="s">
        <v>32</v>
      </c>
      <c r="H502" t="s">
        <v>26</v>
      </c>
      <c r="I502">
        <v>2818.0799999999899</v>
      </c>
      <c r="J502">
        <v>9</v>
      </c>
      <c r="K502">
        <v>0</v>
      </c>
      <c r="L502">
        <v>225.35999999999899</v>
      </c>
      <c r="M502" t="s">
        <v>955</v>
      </c>
    </row>
    <row r="503" spans="1:13">
      <c r="A503" t="s">
        <v>956</v>
      </c>
      <c r="B503" s="1">
        <v>42052</v>
      </c>
      <c r="C503" s="1">
        <v>42053</v>
      </c>
      <c r="D503" t="s">
        <v>957</v>
      </c>
      <c r="E503" t="s">
        <v>250</v>
      </c>
      <c r="F503" t="s">
        <v>142</v>
      </c>
      <c r="G503" t="s">
        <v>32</v>
      </c>
      <c r="H503" t="s">
        <v>23</v>
      </c>
      <c r="I503">
        <v>1046.24999999999</v>
      </c>
      <c r="J503">
        <v>3</v>
      </c>
      <c r="K503">
        <v>0.25</v>
      </c>
      <c r="L503">
        <v>-111.599999999999</v>
      </c>
      <c r="M503" t="s">
        <v>37</v>
      </c>
    </row>
    <row r="504" spans="1:13">
      <c r="A504" t="s">
        <v>958</v>
      </c>
      <c r="B504" s="1">
        <v>41328</v>
      </c>
      <c r="C504" s="1">
        <v>41333</v>
      </c>
      <c r="D504" t="s">
        <v>959</v>
      </c>
      <c r="E504" t="s">
        <v>114</v>
      </c>
      <c r="F504" t="s">
        <v>115</v>
      </c>
      <c r="G504" t="s">
        <v>17</v>
      </c>
      <c r="H504" t="s">
        <v>23</v>
      </c>
      <c r="I504">
        <v>3187.2</v>
      </c>
      <c r="J504">
        <v>5</v>
      </c>
      <c r="K504">
        <v>0</v>
      </c>
      <c r="L504">
        <v>541.79999999999995</v>
      </c>
      <c r="M504" t="s">
        <v>19</v>
      </c>
    </row>
    <row r="505" spans="1:13">
      <c r="A505" t="s">
        <v>960</v>
      </c>
      <c r="C505" s="1">
        <v>41618</v>
      </c>
      <c r="D505" t="s">
        <v>961</v>
      </c>
      <c r="E505" t="s">
        <v>962</v>
      </c>
      <c r="F505" t="s">
        <v>16</v>
      </c>
      <c r="G505" t="s">
        <v>32</v>
      </c>
      <c r="H505" t="s">
        <v>23</v>
      </c>
      <c r="I505">
        <v>4099.6799999999903</v>
      </c>
      <c r="J505">
        <v>10</v>
      </c>
      <c r="K505">
        <v>0.1</v>
      </c>
      <c r="L505">
        <v>956.58</v>
      </c>
      <c r="M505" t="s">
        <v>19</v>
      </c>
    </row>
    <row r="506" spans="1:13">
      <c r="A506" t="s">
        <v>963</v>
      </c>
      <c r="B506" s="1">
        <v>41620</v>
      </c>
      <c r="C506" s="1">
        <v>41622</v>
      </c>
      <c r="D506" t="s">
        <v>964</v>
      </c>
      <c r="E506" t="s">
        <v>66</v>
      </c>
      <c r="F506" t="s">
        <v>90</v>
      </c>
      <c r="G506" t="s">
        <v>45</v>
      </c>
      <c r="H506" t="s">
        <v>26</v>
      </c>
      <c r="I506">
        <v>703.35</v>
      </c>
      <c r="J506">
        <v>5</v>
      </c>
      <c r="K506">
        <v>0</v>
      </c>
      <c r="L506">
        <v>260.099999999999</v>
      </c>
      <c r="M506" t="s">
        <v>27</v>
      </c>
    </row>
    <row r="507" spans="1:13">
      <c r="A507" t="s">
        <v>965</v>
      </c>
      <c r="B507" s="1">
        <v>42171</v>
      </c>
      <c r="C507" s="1">
        <v>42176</v>
      </c>
      <c r="D507" t="s">
        <v>966</v>
      </c>
      <c r="E507" t="s">
        <v>15</v>
      </c>
      <c r="F507" t="s">
        <v>16</v>
      </c>
      <c r="G507" t="s">
        <v>17</v>
      </c>
      <c r="H507" t="s">
        <v>23</v>
      </c>
      <c r="I507">
        <v>2293.4879999999998</v>
      </c>
      <c r="J507">
        <v>8</v>
      </c>
      <c r="K507">
        <v>0.1</v>
      </c>
      <c r="L507">
        <v>509.56799999999998</v>
      </c>
      <c r="M507" t="s">
        <v>37</v>
      </c>
    </row>
    <row r="508" spans="1:13">
      <c r="A508" t="s">
        <v>967</v>
      </c>
      <c r="B508" s="1">
        <v>41628</v>
      </c>
      <c r="C508" s="1">
        <v>41630</v>
      </c>
      <c r="D508" t="s">
        <v>968</v>
      </c>
      <c r="E508" t="s">
        <v>70</v>
      </c>
      <c r="F508" t="s">
        <v>71</v>
      </c>
      <c r="G508" t="s">
        <v>223</v>
      </c>
      <c r="H508" t="s">
        <v>299</v>
      </c>
      <c r="I508">
        <v>1238.6115</v>
      </c>
      <c r="K508">
        <v>0.15</v>
      </c>
      <c r="L508">
        <v>14.4314999999999</v>
      </c>
      <c r="M508" t="s">
        <v>37</v>
      </c>
    </row>
    <row r="509" spans="1:13">
      <c r="A509" t="s">
        <v>969</v>
      </c>
      <c r="B509" s="1">
        <v>42137</v>
      </c>
      <c r="C509" s="1">
        <v>42141</v>
      </c>
      <c r="D509" t="s">
        <v>970</v>
      </c>
      <c r="E509" t="s">
        <v>97</v>
      </c>
      <c r="F509" t="s">
        <v>98</v>
      </c>
      <c r="G509" t="s">
        <v>32</v>
      </c>
      <c r="H509" t="s">
        <v>33</v>
      </c>
      <c r="I509">
        <v>1715.05599999999</v>
      </c>
      <c r="J509">
        <v>7</v>
      </c>
      <c r="K509">
        <v>0.2</v>
      </c>
      <c r="L509">
        <v>300.07600000000002</v>
      </c>
      <c r="M509" t="s">
        <v>37</v>
      </c>
    </row>
    <row r="510" spans="1:13">
      <c r="B510" s="1">
        <v>42220</v>
      </c>
      <c r="C510" s="1">
        <v>42224</v>
      </c>
      <c r="D510" t="s">
        <v>515</v>
      </c>
      <c r="E510" t="s">
        <v>40</v>
      </c>
      <c r="F510" t="s">
        <v>41</v>
      </c>
      <c r="G510" t="s">
        <v>17</v>
      </c>
      <c r="H510" t="s">
        <v>127</v>
      </c>
      <c r="I510">
        <v>39.816000000000003</v>
      </c>
      <c r="J510">
        <v>3</v>
      </c>
      <c r="K510">
        <v>0.2</v>
      </c>
      <c r="M510" t="s">
        <v>37</v>
      </c>
    </row>
    <row r="511" spans="1:13">
      <c r="A511" t="s">
        <v>971</v>
      </c>
      <c r="B511" s="1">
        <v>42315</v>
      </c>
      <c r="C511" s="1">
        <v>42319</v>
      </c>
      <c r="D511" t="s">
        <v>972</v>
      </c>
      <c r="E511" t="s">
        <v>15</v>
      </c>
      <c r="F511" t="s">
        <v>16</v>
      </c>
      <c r="G511" t="s">
        <v>32</v>
      </c>
      <c r="H511" t="s">
        <v>23</v>
      </c>
      <c r="J511">
        <v>6</v>
      </c>
      <c r="K511">
        <v>0</v>
      </c>
      <c r="L511">
        <v>852.479999999999</v>
      </c>
      <c r="M511" t="s">
        <v>37</v>
      </c>
    </row>
    <row r="512" spans="1:13">
      <c r="A512" t="s">
        <v>973</v>
      </c>
      <c r="B512" s="1">
        <v>41800</v>
      </c>
      <c r="C512" s="1">
        <v>41804</v>
      </c>
      <c r="D512" t="s">
        <v>974</v>
      </c>
      <c r="F512" t="s">
        <v>77</v>
      </c>
      <c r="G512" t="s">
        <v>45</v>
      </c>
      <c r="H512" t="s">
        <v>57</v>
      </c>
      <c r="I512">
        <v>3399.66</v>
      </c>
      <c r="J512">
        <v>12</v>
      </c>
      <c r="K512">
        <v>0.5</v>
      </c>
      <c r="L512">
        <v>-3059.8199999999902</v>
      </c>
      <c r="M512" t="s">
        <v>19</v>
      </c>
    </row>
    <row r="513" spans="1:13">
      <c r="A513" t="s">
        <v>975</v>
      </c>
      <c r="B513" s="1">
        <v>41404</v>
      </c>
      <c r="C513" s="1">
        <v>41406</v>
      </c>
      <c r="D513" t="s">
        <v>384</v>
      </c>
      <c r="E513" t="s">
        <v>114</v>
      </c>
      <c r="F513" t="s">
        <v>115</v>
      </c>
      <c r="G513" t="s">
        <v>17</v>
      </c>
      <c r="H513" t="s">
        <v>23</v>
      </c>
      <c r="I513">
        <v>1607.76</v>
      </c>
      <c r="L513">
        <v>482.22</v>
      </c>
      <c r="M513" t="s">
        <v>37</v>
      </c>
    </row>
    <row r="514" spans="1:13">
      <c r="A514" t="s">
        <v>976</v>
      </c>
      <c r="B514" s="1">
        <v>41895</v>
      </c>
      <c r="C514" s="1">
        <v>41895</v>
      </c>
      <c r="D514" t="s">
        <v>977</v>
      </c>
      <c r="E514" t="s">
        <v>114</v>
      </c>
      <c r="F514" t="s">
        <v>115</v>
      </c>
      <c r="G514" t="s">
        <v>17</v>
      </c>
      <c r="H514" t="s">
        <v>73</v>
      </c>
      <c r="I514">
        <v>840.15</v>
      </c>
      <c r="J514">
        <v>5</v>
      </c>
      <c r="K514">
        <v>0</v>
      </c>
      <c r="L514">
        <v>260.39999999999998</v>
      </c>
      <c r="M514" t="s">
        <v>27</v>
      </c>
    </row>
    <row r="515" spans="1:13">
      <c r="A515" t="s">
        <v>978</v>
      </c>
      <c r="B515" s="1">
        <v>41845</v>
      </c>
      <c r="C515" s="2">
        <v>41848</v>
      </c>
      <c r="D515" t="s">
        <v>979</v>
      </c>
      <c r="E515" t="s">
        <v>66</v>
      </c>
      <c r="F515" t="s">
        <v>90</v>
      </c>
      <c r="G515" t="s">
        <v>32</v>
      </c>
      <c r="H515" t="s">
        <v>127</v>
      </c>
      <c r="I515">
        <v>1236.33</v>
      </c>
      <c r="J515">
        <v>3</v>
      </c>
      <c r="K515">
        <v>0</v>
      </c>
      <c r="L515">
        <v>519.21</v>
      </c>
      <c r="M515" t="s">
        <v>19</v>
      </c>
    </row>
    <row r="516" spans="1:13">
      <c r="A516" t="s">
        <v>980</v>
      </c>
      <c r="B516" s="1">
        <v>42288</v>
      </c>
      <c r="C516" s="1">
        <v>42291</v>
      </c>
      <c r="D516" t="s">
        <v>981</v>
      </c>
      <c r="E516" t="s">
        <v>114</v>
      </c>
      <c r="F516" t="s">
        <v>982</v>
      </c>
      <c r="G516" t="s">
        <v>108</v>
      </c>
      <c r="H516" t="s">
        <v>26</v>
      </c>
      <c r="I516">
        <v>2488.56</v>
      </c>
      <c r="J516">
        <v>8</v>
      </c>
      <c r="K516">
        <v>0</v>
      </c>
      <c r="L516">
        <v>348.24</v>
      </c>
      <c r="M516" t="s">
        <v>37</v>
      </c>
    </row>
    <row r="517" spans="1:13">
      <c r="A517" t="s">
        <v>983</v>
      </c>
      <c r="B517" s="1">
        <v>41234</v>
      </c>
      <c r="C517" s="1">
        <v>41237</v>
      </c>
      <c r="D517" t="s">
        <v>926</v>
      </c>
      <c r="E517" t="s">
        <v>119</v>
      </c>
      <c r="F517" t="s">
        <v>120</v>
      </c>
      <c r="G517" t="s">
        <v>45</v>
      </c>
      <c r="H517" t="s">
        <v>151</v>
      </c>
      <c r="I517">
        <v>1124.2559999999901</v>
      </c>
      <c r="J517">
        <v>7</v>
      </c>
      <c r="K517">
        <v>0.2</v>
      </c>
      <c r="L517">
        <v>252.89599999999899</v>
      </c>
      <c r="M517" t="s">
        <v>27</v>
      </c>
    </row>
    <row r="518" spans="1:13">
      <c r="A518" t="s">
        <v>857</v>
      </c>
      <c r="B518" s="1">
        <v>41585</v>
      </c>
      <c r="C518" s="1">
        <v>41590</v>
      </c>
      <c r="D518" t="s">
        <v>515</v>
      </c>
      <c r="E518" t="s">
        <v>40</v>
      </c>
      <c r="F518" t="s">
        <v>41</v>
      </c>
      <c r="G518" t="s">
        <v>32</v>
      </c>
      <c r="H518" t="s">
        <v>73</v>
      </c>
      <c r="I518">
        <v>64.959999999999994</v>
      </c>
      <c r="J518">
        <v>5</v>
      </c>
      <c r="K518">
        <v>0.6</v>
      </c>
      <c r="L518">
        <v>-84.447999999999993</v>
      </c>
      <c r="M518" t="s">
        <v>19</v>
      </c>
    </row>
    <row r="519" spans="1:13">
      <c r="A519" t="s">
        <v>984</v>
      </c>
      <c r="B519" s="1">
        <v>42302</v>
      </c>
      <c r="C519" s="1">
        <v>42302</v>
      </c>
      <c r="D519" t="s">
        <v>557</v>
      </c>
      <c r="E519" t="s">
        <v>97</v>
      </c>
      <c r="F519" t="s">
        <v>98</v>
      </c>
      <c r="G519" t="s">
        <v>32</v>
      </c>
      <c r="H519" t="s">
        <v>73</v>
      </c>
      <c r="I519">
        <v>726.72</v>
      </c>
      <c r="J519">
        <v>3</v>
      </c>
      <c r="L519">
        <v>-165.589264177258</v>
      </c>
      <c r="M519" t="s">
        <v>27</v>
      </c>
    </row>
    <row r="520" spans="1:13">
      <c r="A520" t="s">
        <v>985</v>
      </c>
      <c r="B520" s="1">
        <v>41672</v>
      </c>
      <c r="C520" s="1">
        <v>41677</v>
      </c>
      <c r="D520" t="s">
        <v>986</v>
      </c>
      <c r="E520" t="s">
        <v>40</v>
      </c>
      <c r="F520" t="s">
        <v>111</v>
      </c>
      <c r="G520" t="s">
        <v>45</v>
      </c>
      <c r="H520" t="s">
        <v>127</v>
      </c>
      <c r="I520">
        <v>117.96</v>
      </c>
      <c r="J520">
        <v>2</v>
      </c>
      <c r="K520">
        <v>0</v>
      </c>
      <c r="L520">
        <v>5.8979999999999899</v>
      </c>
      <c r="M520" t="s">
        <v>19</v>
      </c>
    </row>
    <row r="521" spans="1:13">
      <c r="A521" t="s">
        <v>987</v>
      </c>
      <c r="B521" s="1">
        <v>41926</v>
      </c>
      <c r="C521" s="1">
        <v>41927</v>
      </c>
      <c r="D521" t="s">
        <v>988</v>
      </c>
      <c r="E521" t="s">
        <v>989</v>
      </c>
      <c r="F521" t="s">
        <v>84</v>
      </c>
      <c r="G521" t="s">
        <v>17</v>
      </c>
      <c r="H521" t="s">
        <v>44</v>
      </c>
      <c r="I521">
        <v>1519.92</v>
      </c>
      <c r="J521">
        <v>6</v>
      </c>
      <c r="K521">
        <v>0</v>
      </c>
      <c r="L521">
        <v>5856.54436626399</v>
      </c>
      <c r="M521" t="s">
        <v>990</v>
      </c>
    </row>
    <row r="522" spans="1:13">
      <c r="A522" t="s">
        <v>991</v>
      </c>
      <c r="B522" s="1">
        <v>40953</v>
      </c>
      <c r="C522" s="1">
        <v>40955</v>
      </c>
      <c r="D522" t="s">
        <v>992</v>
      </c>
      <c r="E522" t="s">
        <v>464</v>
      </c>
      <c r="F522" t="s">
        <v>87</v>
      </c>
      <c r="G522" t="s">
        <v>17</v>
      </c>
      <c r="H522" t="s">
        <v>33</v>
      </c>
      <c r="I522" t="s">
        <v>163</v>
      </c>
      <c r="K522">
        <v>0</v>
      </c>
      <c r="L522">
        <v>319.79999999999899</v>
      </c>
      <c r="M522" t="s">
        <v>27</v>
      </c>
    </row>
    <row r="523" spans="1:13">
      <c r="A523" t="s">
        <v>158</v>
      </c>
      <c r="B523" s="1">
        <v>42125</v>
      </c>
      <c r="C523" s="1">
        <v>42125</v>
      </c>
      <c r="D523" t="s">
        <v>159</v>
      </c>
      <c r="E523" t="s">
        <v>114</v>
      </c>
      <c r="F523" t="s">
        <v>115</v>
      </c>
      <c r="G523" t="s">
        <v>32</v>
      </c>
      <c r="H523" t="s">
        <v>127</v>
      </c>
      <c r="I523">
        <v>723.3</v>
      </c>
      <c r="J523">
        <v>5</v>
      </c>
      <c r="K523">
        <v>0</v>
      </c>
      <c r="L523">
        <v>122.85</v>
      </c>
      <c r="M523" t="s">
        <v>27</v>
      </c>
    </row>
    <row r="524" spans="1:13">
      <c r="A524" t="s">
        <v>993</v>
      </c>
      <c r="B524" s="1">
        <v>40978</v>
      </c>
      <c r="C524" s="1">
        <v>40980</v>
      </c>
      <c r="D524" t="s">
        <v>994</v>
      </c>
      <c r="E524" t="s">
        <v>168</v>
      </c>
      <c r="F524" t="s">
        <v>115</v>
      </c>
      <c r="G524" t="s">
        <v>17</v>
      </c>
      <c r="H524" t="s">
        <v>33</v>
      </c>
      <c r="I524">
        <v>642.68999999999903</v>
      </c>
      <c r="J524">
        <v>1</v>
      </c>
      <c r="K524">
        <v>0</v>
      </c>
      <c r="L524">
        <v>244.2</v>
      </c>
      <c r="M524" t="s">
        <v>27</v>
      </c>
    </row>
    <row r="525" spans="1:13">
      <c r="A525" t="s">
        <v>995</v>
      </c>
      <c r="C525" s="2">
        <v>41494</v>
      </c>
      <c r="D525" t="s">
        <v>979</v>
      </c>
      <c r="E525" t="s">
        <v>15</v>
      </c>
      <c r="F525" t="s">
        <v>16</v>
      </c>
      <c r="G525" t="s">
        <v>32</v>
      </c>
      <c r="H525" t="s">
        <v>23</v>
      </c>
      <c r="I525">
        <v>2619</v>
      </c>
      <c r="J525">
        <v>8</v>
      </c>
      <c r="K525">
        <v>0.1</v>
      </c>
      <c r="L525">
        <v>232.68</v>
      </c>
      <c r="M525" t="s">
        <v>37</v>
      </c>
    </row>
    <row r="526" spans="1:13">
      <c r="A526" t="s">
        <v>996</v>
      </c>
      <c r="B526" s="1">
        <v>41628</v>
      </c>
      <c r="C526" s="1">
        <v>41631</v>
      </c>
      <c r="D526" t="s">
        <v>970</v>
      </c>
      <c r="E526" t="s">
        <v>713</v>
      </c>
      <c r="F526" t="s">
        <v>115</v>
      </c>
      <c r="G526" t="s">
        <v>45</v>
      </c>
      <c r="H526" t="s">
        <v>26</v>
      </c>
      <c r="I526">
        <v>1704.87</v>
      </c>
      <c r="J526">
        <v>6</v>
      </c>
      <c r="K526">
        <v>0.5</v>
      </c>
      <c r="L526">
        <v>-1023.02999999999</v>
      </c>
      <c r="M526" t="s">
        <v>408</v>
      </c>
    </row>
    <row r="527" spans="1:13">
      <c r="A527" t="s">
        <v>997</v>
      </c>
      <c r="B527" s="1">
        <v>41489</v>
      </c>
      <c r="C527" s="1">
        <v>41493</v>
      </c>
      <c r="D527" t="s">
        <v>301</v>
      </c>
      <c r="E527" t="s">
        <v>76</v>
      </c>
      <c r="F527" t="s">
        <v>77</v>
      </c>
      <c r="G527" t="s">
        <v>17</v>
      </c>
      <c r="H527" t="s">
        <v>151</v>
      </c>
      <c r="I527">
        <v>1715.9099999999901</v>
      </c>
      <c r="J527">
        <v>7</v>
      </c>
      <c r="K527" t="s">
        <v>226</v>
      </c>
      <c r="L527">
        <v>583.38</v>
      </c>
      <c r="M527" t="s">
        <v>354</v>
      </c>
    </row>
    <row r="528" spans="1:13">
      <c r="A528" t="s">
        <v>998</v>
      </c>
      <c r="B528" s="1">
        <v>41445</v>
      </c>
      <c r="C528" s="1">
        <v>41447</v>
      </c>
      <c r="D528" t="s">
        <v>546</v>
      </c>
      <c r="E528" t="s">
        <v>66</v>
      </c>
      <c r="F528" t="s">
        <v>90</v>
      </c>
      <c r="G528" t="s">
        <v>17</v>
      </c>
      <c r="H528" t="s">
        <v>73</v>
      </c>
      <c r="I528" t="s">
        <v>999</v>
      </c>
      <c r="J528">
        <v>2</v>
      </c>
      <c r="K528">
        <v>0</v>
      </c>
      <c r="L528">
        <v>460.08</v>
      </c>
      <c r="M528" t="s">
        <v>37</v>
      </c>
    </row>
    <row r="529" spans="1:13">
      <c r="A529" t="s">
        <v>1000</v>
      </c>
      <c r="B529" s="1">
        <v>41678</v>
      </c>
      <c r="C529" s="1">
        <v>41679</v>
      </c>
      <c r="D529" t="s">
        <v>178</v>
      </c>
      <c r="E529" t="s">
        <v>232</v>
      </c>
      <c r="F529" t="s">
        <v>233</v>
      </c>
      <c r="G529" t="s">
        <v>108</v>
      </c>
      <c r="H529" t="s">
        <v>33</v>
      </c>
      <c r="I529">
        <v>1234.56</v>
      </c>
      <c r="K529">
        <v>0</v>
      </c>
      <c r="L529">
        <v>246.84</v>
      </c>
      <c r="M529" t="s">
        <v>27</v>
      </c>
    </row>
    <row r="530" spans="1:13">
      <c r="A530" t="s">
        <v>1001</v>
      </c>
      <c r="B530" s="1">
        <v>41179</v>
      </c>
      <c r="C530" s="1">
        <v>41184</v>
      </c>
      <c r="D530" t="s">
        <v>1002</v>
      </c>
      <c r="E530" t="s">
        <v>707</v>
      </c>
      <c r="F530" t="s">
        <v>71</v>
      </c>
      <c r="G530" t="s">
        <v>45</v>
      </c>
      <c r="H530" t="s">
        <v>26</v>
      </c>
      <c r="I530">
        <v>4195.2</v>
      </c>
      <c r="K530">
        <v>0</v>
      </c>
      <c r="L530">
        <v>839.04</v>
      </c>
      <c r="M530" t="s">
        <v>19</v>
      </c>
    </row>
    <row r="531" spans="1:13">
      <c r="A531" t="s">
        <v>1003</v>
      </c>
      <c r="B531" s="1">
        <v>41448</v>
      </c>
      <c r="C531" s="1">
        <v>41451</v>
      </c>
      <c r="D531" t="s">
        <v>1004</v>
      </c>
      <c r="E531" t="s">
        <v>70</v>
      </c>
      <c r="F531" t="s">
        <v>71</v>
      </c>
      <c r="G531" t="s">
        <v>32</v>
      </c>
      <c r="H531" t="s">
        <v>73</v>
      </c>
      <c r="I531">
        <v>1765.39499999999</v>
      </c>
      <c r="J531">
        <v>5</v>
      </c>
      <c r="L531">
        <v>-98.204999999999899</v>
      </c>
      <c r="M531" t="s">
        <v>37</v>
      </c>
    </row>
    <row r="532" spans="1:13">
      <c r="A532" t="s">
        <v>1005</v>
      </c>
      <c r="B532" s="1">
        <v>41993</v>
      </c>
      <c r="C532" s="1">
        <v>41995</v>
      </c>
      <c r="D532" t="s">
        <v>14</v>
      </c>
      <c r="E532" t="s">
        <v>276</v>
      </c>
      <c r="F532" t="s">
        <v>61</v>
      </c>
      <c r="G532" t="s">
        <v>32</v>
      </c>
      <c r="H532" t="s">
        <v>73</v>
      </c>
      <c r="I532">
        <v>1480.3679999999999</v>
      </c>
      <c r="J532">
        <v>3</v>
      </c>
      <c r="K532">
        <v>0.2</v>
      </c>
      <c r="L532">
        <v>333.048</v>
      </c>
      <c r="M532" t="s">
        <v>19</v>
      </c>
    </row>
    <row r="533" spans="1:13">
      <c r="A533" t="s">
        <v>269</v>
      </c>
      <c r="B533" s="1">
        <v>41558</v>
      </c>
      <c r="C533" s="1">
        <v>41561</v>
      </c>
      <c r="D533" t="s">
        <v>270</v>
      </c>
      <c r="E533" t="s">
        <v>97</v>
      </c>
      <c r="F533" t="s">
        <v>98</v>
      </c>
      <c r="G533" t="s">
        <v>17</v>
      </c>
      <c r="H533" t="s">
        <v>151</v>
      </c>
      <c r="I533">
        <v>2968.97999999999</v>
      </c>
      <c r="J533">
        <v>7</v>
      </c>
      <c r="K533">
        <v>0</v>
      </c>
      <c r="L533">
        <v>89.039999999999907</v>
      </c>
      <c r="M533" t="s">
        <v>19</v>
      </c>
    </row>
    <row r="534" spans="1:13">
      <c r="A534" t="s">
        <v>1006</v>
      </c>
      <c r="B534" s="1">
        <v>41149</v>
      </c>
      <c r="C534" s="1">
        <v>41156</v>
      </c>
      <c r="D534" t="s">
        <v>1007</v>
      </c>
      <c r="E534" t="s">
        <v>15</v>
      </c>
      <c r="F534" t="s">
        <v>16</v>
      </c>
      <c r="G534" t="s">
        <v>32</v>
      </c>
      <c r="H534" t="s">
        <v>44</v>
      </c>
      <c r="I534">
        <v>2301.1379999999999</v>
      </c>
      <c r="J534">
        <v>7</v>
      </c>
      <c r="L534">
        <v>-953.44200000000001</v>
      </c>
      <c r="M534" t="s">
        <v>74</v>
      </c>
    </row>
    <row r="535" spans="1:13">
      <c r="A535" t="s">
        <v>1008</v>
      </c>
      <c r="B535" s="1">
        <v>42203</v>
      </c>
      <c r="C535" s="1">
        <v>42203</v>
      </c>
      <c r="D535" t="s">
        <v>1009</v>
      </c>
      <c r="E535" t="s">
        <v>256</v>
      </c>
      <c r="F535" t="s">
        <v>71</v>
      </c>
      <c r="G535" t="s">
        <v>32</v>
      </c>
      <c r="H535" t="s">
        <v>26</v>
      </c>
      <c r="I535">
        <v>1100.52</v>
      </c>
      <c r="J535">
        <v>3</v>
      </c>
      <c r="K535">
        <v>0</v>
      </c>
      <c r="L535">
        <v>352.07999999999902</v>
      </c>
      <c r="M535" t="s">
        <v>27</v>
      </c>
    </row>
    <row r="536" spans="1:13">
      <c r="A536" t="s">
        <v>1010</v>
      </c>
      <c r="B536" s="1">
        <v>41248</v>
      </c>
      <c r="C536" s="1">
        <v>41255</v>
      </c>
      <c r="D536" t="s">
        <v>1011</v>
      </c>
      <c r="E536" t="s">
        <v>66</v>
      </c>
      <c r="F536" t="s">
        <v>90</v>
      </c>
      <c r="G536" t="s">
        <v>17</v>
      </c>
      <c r="H536" t="s">
        <v>44</v>
      </c>
      <c r="I536">
        <v>2518.9499999999998</v>
      </c>
      <c r="J536">
        <v>7</v>
      </c>
      <c r="K536">
        <v>0</v>
      </c>
      <c r="L536">
        <v>3063.7564411559201</v>
      </c>
      <c r="M536" t="s">
        <v>19</v>
      </c>
    </row>
    <row r="537" spans="1:13">
      <c r="A537" t="s">
        <v>1012</v>
      </c>
      <c r="B537" s="1">
        <v>42110</v>
      </c>
      <c r="D537" t="s">
        <v>751</v>
      </c>
      <c r="E537" t="s">
        <v>93</v>
      </c>
      <c r="F537" t="s">
        <v>766</v>
      </c>
      <c r="G537" t="s">
        <v>32</v>
      </c>
      <c r="H537" t="s">
        <v>151</v>
      </c>
      <c r="I537">
        <v>996.3</v>
      </c>
      <c r="J537">
        <v>5</v>
      </c>
      <c r="K537">
        <v>0</v>
      </c>
      <c r="L537">
        <v>119.55</v>
      </c>
      <c r="M537" t="s">
        <v>27</v>
      </c>
    </row>
    <row r="538" spans="1:13">
      <c r="A538" t="s">
        <v>924</v>
      </c>
      <c r="B538" s="1">
        <v>42267</v>
      </c>
      <c r="D538" t="s">
        <v>515</v>
      </c>
      <c r="E538" t="s">
        <v>40</v>
      </c>
      <c r="F538" t="s">
        <v>43</v>
      </c>
      <c r="G538" t="s">
        <v>45</v>
      </c>
      <c r="H538" t="s">
        <v>33</v>
      </c>
      <c r="I538">
        <v>18.18</v>
      </c>
      <c r="J538">
        <v>4</v>
      </c>
      <c r="K538">
        <v>0.7</v>
      </c>
      <c r="L538">
        <v>-13.938000000000001</v>
      </c>
      <c r="M538" t="s">
        <v>74</v>
      </c>
    </row>
    <row r="539" spans="1:13">
      <c r="A539" t="s">
        <v>1013</v>
      </c>
      <c r="B539" s="1">
        <v>41153</v>
      </c>
      <c r="C539" t="s">
        <v>1014</v>
      </c>
      <c r="D539" t="s">
        <v>1015</v>
      </c>
      <c r="E539" t="s">
        <v>256</v>
      </c>
      <c r="F539" t="s">
        <v>71</v>
      </c>
      <c r="G539" t="s">
        <v>32</v>
      </c>
      <c r="H539" t="s">
        <v>151</v>
      </c>
      <c r="I539">
        <v>922.94999999999902</v>
      </c>
      <c r="J539">
        <v>1</v>
      </c>
      <c r="K539">
        <v>0</v>
      </c>
      <c r="L539">
        <v>341.49</v>
      </c>
      <c r="M539" t="s">
        <v>27</v>
      </c>
    </row>
    <row r="540" spans="1:13">
      <c r="A540" t="s">
        <v>1016</v>
      </c>
      <c r="B540" s="1">
        <v>41852</v>
      </c>
      <c r="C540" s="1">
        <v>41853</v>
      </c>
      <c r="D540" t="s">
        <v>1017</v>
      </c>
      <c r="E540" t="s">
        <v>70</v>
      </c>
      <c r="F540" t="s">
        <v>71</v>
      </c>
      <c r="G540" t="s">
        <v>32</v>
      </c>
      <c r="H540" t="s">
        <v>127</v>
      </c>
      <c r="I540">
        <v>1850.4449999999999</v>
      </c>
      <c r="J540">
        <v>5</v>
      </c>
      <c r="K540">
        <v>0.1</v>
      </c>
      <c r="L540">
        <v>184.995</v>
      </c>
      <c r="M540" t="s">
        <v>37</v>
      </c>
    </row>
    <row r="541" spans="1:13">
      <c r="A541" t="s">
        <v>532</v>
      </c>
      <c r="B541" s="1">
        <v>42259</v>
      </c>
      <c r="C541" s="1">
        <v>42261</v>
      </c>
      <c r="D541" t="s">
        <v>183</v>
      </c>
      <c r="F541" t="s">
        <v>98</v>
      </c>
      <c r="G541" t="s">
        <v>32</v>
      </c>
      <c r="H541" t="s">
        <v>44</v>
      </c>
      <c r="I541">
        <v>664.56</v>
      </c>
      <c r="J541">
        <v>6</v>
      </c>
      <c r="K541">
        <v>0</v>
      </c>
      <c r="L541">
        <v>6.6</v>
      </c>
      <c r="M541" t="s">
        <v>27</v>
      </c>
    </row>
    <row r="542" spans="1:13">
      <c r="A542" t="s">
        <v>1018</v>
      </c>
      <c r="B542" s="1">
        <v>42222</v>
      </c>
      <c r="C542" s="1">
        <v>42223</v>
      </c>
      <c r="D542" t="s">
        <v>1019</v>
      </c>
      <c r="F542" t="s">
        <v>71</v>
      </c>
      <c r="G542" t="s">
        <v>1020</v>
      </c>
      <c r="H542" t="s">
        <v>151</v>
      </c>
      <c r="I542">
        <v>1547.1</v>
      </c>
      <c r="J542">
        <v>6</v>
      </c>
      <c r="K542">
        <v>0</v>
      </c>
      <c r="L542">
        <v>340.2</v>
      </c>
      <c r="M542" t="s">
        <v>27</v>
      </c>
    </row>
    <row r="543" spans="1:13">
      <c r="A543" t="s">
        <v>1021</v>
      </c>
      <c r="B543" s="1">
        <v>42328</v>
      </c>
      <c r="C543" s="1">
        <v>42331</v>
      </c>
      <c r="D543" t="s">
        <v>338</v>
      </c>
      <c r="E543" t="s">
        <v>742</v>
      </c>
      <c r="F543" t="s">
        <v>142</v>
      </c>
      <c r="G543" t="s">
        <v>45</v>
      </c>
      <c r="H543" t="s">
        <v>151</v>
      </c>
      <c r="I543">
        <v>2190.95099999999</v>
      </c>
      <c r="J543">
        <v>5</v>
      </c>
      <c r="K543">
        <v>0.17</v>
      </c>
      <c r="L543">
        <v>316.70100000000002</v>
      </c>
      <c r="M543" t="s">
        <v>19</v>
      </c>
    </row>
    <row r="544" spans="1:13">
      <c r="A544" t="s">
        <v>1022</v>
      </c>
      <c r="B544" s="1">
        <v>41398</v>
      </c>
      <c r="C544" s="1">
        <v>41403</v>
      </c>
      <c r="D544" t="s">
        <v>1023</v>
      </c>
      <c r="E544" t="s">
        <v>97</v>
      </c>
      <c r="F544" t="s">
        <v>98</v>
      </c>
      <c r="G544" t="s">
        <v>45</v>
      </c>
      <c r="H544" t="s">
        <v>18</v>
      </c>
      <c r="I544">
        <v>3242.88</v>
      </c>
      <c r="J544">
        <v>9</v>
      </c>
      <c r="K544">
        <v>0</v>
      </c>
      <c r="L544">
        <v>324.18</v>
      </c>
      <c r="M544" t="s">
        <v>19</v>
      </c>
    </row>
    <row r="545" spans="1:13">
      <c r="B545" s="1">
        <v>41513</v>
      </c>
      <c r="C545" s="1">
        <v>41517</v>
      </c>
      <c r="D545" t="s">
        <v>1024</v>
      </c>
      <c r="E545" t="s">
        <v>232</v>
      </c>
      <c r="F545" t="s">
        <v>233</v>
      </c>
      <c r="G545" t="s">
        <v>17</v>
      </c>
      <c r="H545" t="s">
        <v>73</v>
      </c>
      <c r="I545">
        <v>2544.6</v>
      </c>
      <c r="J545">
        <v>4</v>
      </c>
      <c r="K545">
        <v>0</v>
      </c>
      <c r="L545">
        <v>1246.8</v>
      </c>
      <c r="M545" t="s">
        <v>37</v>
      </c>
    </row>
    <row r="546" spans="1:13">
      <c r="A546" t="s">
        <v>1025</v>
      </c>
      <c r="B546" s="1">
        <v>41997</v>
      </c>
      <c r="C546" s="1">
        <v>42002</v>
      </c>
      <c r="D546" t="s">
        <v>1026</v>
      </c>
      <c r="E546" t="s">
        <v>204</v>
      </c>
      <c r="F546" t="s">
        <v>87</v>
      </c>
      <c r="G546" t="s">
        <v>17</v>
      </c>
      <c r="H546" t="s">
        <v>73</v>
      </c>
      <c r="I546">
        <v>2605.56</v>
      </c>
      <c r="J546">
        <v>4</v>
      </c>
      <c r="K546">
        <v>0</v>
      </c>
      <c r="L546">
        <v>573.12</v>
      </c>
      <c r="M546" t="s">
        <v>19</v>
      </c>
    </row>
    <row r="547" spans="1:13">
      <c r="A547" t="s">
        <v>1027</v>
      </c>
      <c r="B547" s="1">
        <v>41668</v>
      </c>
      <c r="C547" s="1">
        <v>41670</v>
      </c>
      <c r="D547" t="s">
        <v>394</v>
      </c>
      <c r="E547" t="s">
        <v>197</v>
      </c>
      <c r="F547" t="s">
        <v>77</v>
      </c>
      <c r="G547" t="s">
        <v>45</v>
      </c>
      <c r="H547" t="s">
        <v>26</v>
      </c>
      <c r="I547">
        <v>1271.4569999999901</v>
      </c>
      <c r="J547">
        <v>11</v>
      </c>
      <c r="K547">
        <v>0.1</v>
      </c>
      <c r="L547">
        <v>-127.412999999999</v>
      </c>
      <c r="M547" t="s">
        <v>37</v>
      </c>
    </row>
    <row r="548" spans="1:13">
      <c r="A548" t="s">
        <v>947</v>
      </c>
      <c r="B548" s="1">
        <v>42139</v>
      </c>
      <c r="C548" s="1">
        <v>42139</v>
      </c>
      <c r="D548" t="s">
        <v>515</v>
      </c>
      <c r="E548" t="s">
        <v>1028</v>
      </c>
      <c r="F548" t="s">
        <v>450</v>
      </c>
      <c r="G548" t="s">
        <v>45</v>
      </c>
      <c r="H548" t="s">
        <v>26</v>
      </c>
      <c r="I548">
        <v>34.019999999999897</v>
      </c>
      <c r="J548">
        <v>2</v>
      </c>
      <c r="K548" t="s">
        <v>226</v>
      </c>
      <c r="L548">
        <v>14.28</v>
      </c>
      <c r="M548" t="s">
        <v>785</v>
      </c>
    </row>
    <row r="549" spans="1:13">
      <c r="A549" t="s">
        <v>53</v>
      </c>
      <c r="B549" s="1">
        <v>41269</v>
      </c>
      <c r="C549" s="1">
        <v>41271</v>
      </c>
      <c r="E549" t="s">
        <v>55</v>
      </c>
      <c r="F549" t="s">
        <v>56</v>
      </c>
      <c r="G549" t="s">
        <v>1029</v>
      </c>
      <c r="H549" t="s">
        <v>299</v>
      </c>
      <c r="I549">
        <v>1207.56</v>
      </c>
      <c r="J549" t="s">
        <v>63</v>
      </c>
      <c r="K549">
        <v>0</v>
      </c>
      <c r="L549">
        <v>0</v>
      </c>
      <c r="M549" t="s">
        <v>27</v>
      </c>
    </row>
    <row r="550" spans="1:13">
      <c r="A550" t="s">
        <v>1030</v>
      </c>
      <c r="B550" s="1">
        <v>41608</v>
      </c>
      <c r="C550" s="1">
        <v>41612</v>
      </c>
      <c r="D550" t="s">
        <v>1031</v>
      </c>
      <c r="E550" t="s">
        <v>656</v>
      </c>
      <c r="F550" t="s">
        <v>142</v>
      </c>
      <c r="G550" t="s">
        <v>32</v>
      </c>
      <c r="H550" t="s">
        <v>44</v>
      </c>
      <c r="I550">
        <v>2051.1</v>
      </c>
      <c r="J550">
        <v>5</v>
      </c>
      <c r="K550">
        <v>0</v>
      </c>
      <c r="L550">
        <v>40.949999999999903</v>
      </c>
      <c r="M550" t="s">
        <v>37</v>
      </c>
    </row>
    <row r="551" spans="1:13">
      <c r="A551" t="s">
        <v>1032</v>
      </c>
      <c r="B551" s="1">
        <v>41780</v>
      </c>
      <c r="C551" s="1">
        <v>41782</v>
      </c>
      <c r="D551" t="s">
        <v>1033</v>
      </c>
      <c r="E551" t="s">
        <v>101</v>
      </c>
      <c r="F551" t="s">
        <v>98</v>
      </c>
      <c r="G551" t="s">
        <v>17</v>
      </c>
      <c r="H551" t="s">
        <v>127</v>
      </c>
      <c r="I551">
        <v>2544.2399999999998</v>
      </c>
      <c r="J551">
        <v>6</v>
      </c>
      <c r="K551">
        <v>0</v>
      </c>
      <c r="L551">
        <v>992.15999999999894</v>
      </c>
      <c r="M551" t="s">
        <v>37</v>
      </c>
    </row>
    <row r="552" spans="1:13">
      <c r="A552" t="s">
        <v>857</v>
      </c>
      <c r="B552" s="1">
        <v>41585</v>
      </c>
      <c r="C552" s="1">
        <v>41590</v>
      </c>
      <c r="D552" t="s">
        <v>515</v>
      </c>
      <c r="E552" t="s">
        <v>40</v>
      </c>
      <c r="F552" t="s">
        <v>41</v>
      </c>
      <c r="G552" t="s">
        <v>165</v>
      </c>
      <c r="H552" t="s">
        <v>151</v>
      </c>
      <c r="I552">
        <v>23.64</v>
      </c>
      <c r="J552">
        <v>3</v>
      </c>
      <c r="K552">
        <v>0.2</v>
      </c>
      <c r="L552">
        <v>5.319</v>
      </c>
      <c r="M552" t="s">
        <v>1034</v>
      </c>
    </row>
    <row r="553" spans="1:13">
      <c r="B553" s="1">
        <v>42182</v>
      </c>
      <c r="C553" t="s">
        <v>1035</v>
      </c>
      <c r="D553" t="s">
        <v>988</v>
      </c>
      <c r="E553" t="s">
        <v>93</v>
      </c>
      <c r="F553" t="s">
        <v>94</v>
      </c>
      <c r="G553" t="s">
        <v>32</v>
      </c>
      <c r="H553" t="s">
        <v>26</v>
      </c>
      <c r="I553">
        <v>1314.45</v>
      </c>
      <c r="J553">
        <v>3</v>
      </c>
      <c r="K553">
        <v>0</v>
      </c>
      <c r="L553">
        <v>341.73</v>
      </c>
      <c r="M553" t="s">
        <v>19</v>
      </c>
    </row>
    <row r="554" spans="1:13">
      <c r="A554" t="s">
        <v>924</v>
      </c>
      <c r="B554" s="1">
        <v>42267</v>
      </c>
      <c r="C554" s="1">
        <v>42273</v>
      </c>
      <c r="D554" t="s">
        <v>515</v>
      </c>
      <c r="E554" t="s">
        <v>40</v>
      </c>
      <c r="F554" t="s">
        <v>43</v>
      </c>
      <c r="G554" t="s">
        <v>45</v>
      </c>
      <c r="H554" t="s">
        <v>44</v>
      </c>
      <c r="I554">
        <v>12.624000000000001</v>
      </c>
      <c r="K554">
        <v>0.2</v>
      </c>
      <c r="L554">
        <v>-2.5247999999999999</v>
      </c>
      <c r="M554" t="s">
        <v>74</v>
      </c>
    </row>
    <row r="555" spans="1:13">
      <c r="A555" t="s">
        <v>1036</v>
      </c>
      <c r="B555" s="1">
        <v>41845</v>
      </c>
      <c r="D555" t="s">
        <v>1037</v>
      </c>
      <c r="F555" t="s">
        <v>1038</v>
      </c>
      <c r="G555" t="s">
        <v>32</v>
      </c>
      <c r="H555" t="s">
        <v>151</v>
      </c>
      <c r="I555">
        <v>980.31999999999903</v>
      </c>
      <c r="J555">
        <v>2</v>
      </c>
      <c r="K555">
        <v>0.2</v>
      </c>
      <c r="L555">
        <v>110.28</v>
      </c>
      <c r="M555" t="s">
        <v>19</v>
      </c>
    </row>
    <row r="556" spans="1:13">
      <c r="A556" t="s">
        <v>833</v>
      </c>
      <c r="B556" s="1">
        <v>42328</v>
      </c>
      <c r="C556" s="1">
        <v>42332</v>
      </c>
      <c r="D556" t="s">
        <v>515</v>
      </c>
      <c r="E556" t="s">
        <v>40</v>
      </c>
      <c r="F556" t="s">
        <v>153</v>
      </c>
      <c r="G556" t="s">
        <v>45</v>
      </c>
      <c r="H556" t="s">
        <v>127</v>
      </c>
      <c r="I556">
        <v>21.96</v>
      </c>
      <c r="J556">
        <v>2</v>
      </c>
      <c r="K556">
        <v>0</v>
      </c>
      <c r="L556">
        <v>10.760400000000001</v>
      </c>
      <c r="M556" t="s">
        <v>19</v>
      </c>
    </row>
    <row r="557" spans="1:13">
      <c r="A557" t="s">
        <v>1039</v>
      </c>
      <c r="B557" s="1">
        <v>41208</v>
      </c>
      <c r="C557" s="1">
        <v>41210</v>
      </c>
      <c r="D557" t="s">
        <v>1040</v>
      </c>
      <c r="E557" t="s">
        <v>66</v>
      </c>
      <c r="F557" t="s">
        <v>90</v>
      </c>
      <c r="G557" t="s">
        <v>32</v>
      </c>
      <c r="H557" t="s">
        <v>44</v>
      </c>
      <c r="I557">
        <v>2470.5</v>
      </c>
      <c r="J557">
        <v>6</v>
      </c>
      <c r="K557">
        <v>0</v>
      </c>
      <c r="L557">
        <v>518.76</v>
      </c>
      <c r="M557" t="s">
        <v>227</v>
      </c>
    </row>
    <row r="558" spans="1:13">
      <c r="A558" t="s">
        <v>857</v>
      </c>
      <c r="B558" s="1">
        <v>41585</v>
      </c>
      <c r="C558" s="1">
        <v>41619</v>
      </c>
      <c r="D558" t="s">
        <v>515</v>
      </c>
      <c r="E558" t="s">
        <v>40</v>
      </c>
      <c r="F558" t="s">
        <v>41</v>
      </c>
      <c r="G558" t="s">
        <v>45</v>
      </c>
      <c r="H558" t="s">
        <v>33</v>
      </c>
      <c r="I558">
        <v>32.059999999999903</v>
      </c>
      <c r="J558">
        <v>10</v>
      </c>
      <c r="K558">
        <v>0.8</v>
      </c>
      <c r="L558">
        <v>-51.295999999999999</v>
      </c>
      <c r="M558" t="s">
        <v>19</v>
      </c>
    </row>
    <row r="559" spans="1:13">
      <c r="A559" t="s">
        <v>1041</v>
      </c>
      <c r="B559" s="1">
        <v>41634</v>
      </c>
      <c r="C559" s="1">
        <v>41635</v>
      </c>
      <c r="D559" t="s">
        <v>1042</v>
      </c>
      <c r="E559" t="s">
        <v>31</v>
      </c>
      <c r="F559" t="s">
        <v>16</v>
      </c>
      <c r="G559" t="s">
        <v>32</v>
      </c>
      <c r="H559" t="s">
        <v>151</v>
      </c>
      <c r="J559">
        <v>2</v>
      </c>
      <c r="K559">
        <v>0</v>
      </c>
      <c r="L559">
        <v>105.24</v>
      </c>
      <c r="M559" t="s">
        <v>27</v>
      </c>
    </row>
    <row r="560" spans="1:13">
      <c r="A560" t="s">
        <v>841</v>
      </c>
      <c r="B560" s="1">
        <v>41262</v>
      </c>
      <c r="C560" s="1">
        <v>41265</v>
      </c>
      <c r="D560" t="s">
        <v>515</v>
      </c>
      <c r="E560" t="s">
        <v>40</v>
      </c>
      <c r="F560" t="s">
        <v>1043</v>
      </c>
      <c r="G560" t="s">
        <v>45</v>
      </c>
      <c r="H560" t="s">
        <v>33</v>
      </c>
      <c r="I560">
        <v>3.69</v>
      </c>
      <c r="J560">
        <v>1</v>
      </c>
      <c r="K560">
        <v>0</v>
      </c>
      <c r="L560">
        <v>1.7343</v>
      </c>
      <c r="M560" t="s">
        <v>19</v>
      </c>
    </row>
    <row r="561" spans="1:13">
      <c r="A561" t="s">
        <v>1044</v>
      </c>
      <c r="B561" s="1">
        <v>41401</v>
      </c>
      <c r="C561" s="2">
        <v>41552</v>
      </c>
      <c r="D561" t="s">
        <v>1045</v>
      </c>
      <c r="E561" t="s">
        <v>31</v>
      </c>
      <c r="F561" t="s">
        <v>16</v>
      </c>
      <c r="G561" t="s">
        <v>17</v>
      </c>
      <c r="H561" t="s">
        <v>151</v>
      </c>
      <c r="I561">
        <v>1917.36</v>
      </c>
      <c r="J561">
        <v>6</v>
      </c>
      <c r="K561">
        <v>0</v>
      </c>
      <c r="L561">
        <v>747.72</v>
      </c>
      <c r="M561" t="s">
        <v>19</v>
      </c>
    </row>
    <row r="562" spans="1:13">
      <c r="A562" t="s">
        <v>1046</v>
      </c>
      <c r="B562" s="1">
        <v>40916</v>
      </c>
      <c r="C562" s="1">
        <v>40920</v>
      </c>
      <c r="D562" t="s">
        <v>1047</v>
      </c>
      <c r="E562" t="s">
        <v>66</v>
      </c>
      <c r="F562" t="s">
        <v>90</v>
      </c>
      <c r="G562" t="s">
        <v>17</v>
      </c>
      <c r="H562" t="s">
        <v>44</v>
      </c>
      <c r="I562">
        <v>2173.5</v>
      </c>
      <c r="J562">
        <v>7</v>
      </c>
      <c r="K562">
        <v>0</v>
      </c>
      <c r="L562">
        <v>260.82</v>
      </c>
      <c r="M562" t="s">
        <v>19</v>
      </c>
    </row>
    <row r="563" spans="1:13">
      <c r="A563" t="s">
        <v>1048</v>
      </c>
      <c r="B563" s="1">
        <v>41992</v>
      </c>
      <c r="C563" s="1">
        <v>41995</v>
      </c>
      <c r="D563" t="s">
        <v>1049</v>
      </c>
      <c r="F563" t="s">
        <v>43</v>
      </c>
      <c r="G563" t="s">
        <v>32</v>
      </c>
      <c r="H563" t="s">
        <v>33</v>
      </c>
      <c r="I563">
        <v>377.45</v>
      </c>
      <c r="J563">
        <v>5</v>
      </c>
      <c r="K563">
        <v>0.5</v>
      </c>
      <c r="L563">
        <v>-264.21499999999997</v>
      </c>
      <c r="M563" t="s">
        <v>19</v>
      </c>
    </row>
    <row r="564" spans="1:13">
      <c r="A564" t="s">
        <v>1050</v>
      </c>
      <c r="B564" s="1">
        <v>42103</v>
      </c>
      <c r="C564" s="1">
        <v>42107</v>
      </c>
      <c r="D564" t="s">
        <v>1049</v>
      </c>
      <c r="E564" t="s">
        <v>40</v>
      </c>
      <c r="F564" t="s">
        <v>43</v>
      </c>
      <c r="G564" t="s">
        <v>45</v>
      </c>
      <c r="H564" t="s">
        <v>127</v>
      </c>
      <c r="I564">
        <v>195.76</v>
      </c>
      <c r="J564">
        <v>4</v>
      </c>
      <c r="K564">
        <v>0</v>
      </c>
      <c r="L564">
        <v>97.88</v>
      </c>
      <c r="M564" t="s">
        <v>37</v>
      </c>
    </row>
    <row r="565" spans="1:13">
      <c r="A565" t="s">
        <v>1051</v>
      </c>
      <c r="B565" s="1">
        <v>41077</v>
      </c>
      <c r="C565" s="1">
        <v>41079</v>
      </c>
      <c r="D565" t="s">
        <v>480</v>
      </c>
      <c r="E565" t="s">
        <v>197</v>
      </c>
      <c r="F565" t="s">
        <v>77</v>
      </c>
      <c r="G565" t="s">
        <v>32</v>
      </c>
      <c r="H565" t="s">
        <v>73</v>
      </c>
      <c r="I565">
        <v>1814.25</v>
      </c>
      <c r="J565">
        <v>5</v>
      </c>
      <c r="K565">
        <v>0</v>
      </c>
      <c r="L565">
        <v>653.1</v>
      </c>
      <c r="M565" t="s">
        <v>37</v>
      </c>
    </row>
    <row r="566" spans="1:13">
      <c r="B566" s="1">
        <v>41283</v>
      </c>
      <c r="C566" s="1">
        <v>41284</v>
      </c>
      <c r="D566" t="s">
        <v>1052</v>
      </c>
      <c r="E566" t="s">
        <v>1053</v>
      </c>
      <c r="F566" t="s">
        <v>94</v>
      </c>
      <c r="G566" t="s">
        <v>45</v>
      </c>
      <c r="H566" t="s">
        <v>73</v>
      </c>
      <c r="I566">
        <v>1293.67499999999</v>
      </c>
      <c r="J566">
        <v>5</v>
      </c>
      <c r="K566">
        <v>0.5</v>
      </c>
      <c r="L566">
        <v>-776.32499999999902</v>
      </c>
      <c r="M566" t="s">
        <v>27</v>
      </c>
    </row>
    <row r="567" spans="1:13">
      <c r="A567" t="s">
        <v>1054</v>
      </c>
      <c r="B567" s="1">
        <v>42046</v>
      </c>
      <c r="C567" s="1">
        <v>42050</v>
      </c>
      <c r="D567" t="s">
        <v>384</v>
      </c>
      <c r="E567" t="s">
        <v>197</v>
      </c>
      <c r="F567" t="s">
        <v>77</v>
      </c>
      <c r="G567" t="s">
        <v>45</v>
      </c>
      <c r="H567" t="s">
        <v>151</v>
      </c>
      <c r="I567">
        <v>2477.5500000000002</v>
      </c>
      <c r="J567">
        <v>5</v>
      </c>
      <c r="K567">
        <v>0</v>
      </c>
    </row>
    <row r="568" spans="1:13">
      <c r="A568" t="s">
        <v>1055</v>
      </c>
      <c r="B568" s="1">
        <v>41107</v>
      </c>
      <c r="C568" s="1">
        <v>41107</v>
      </c>
      <c r="D568" t="s">
        <v>1049</v>
      </c>
      <c r="E568" t="s">
        <v>40</v>
      </c>
      <c r="F568" t="s">
        <v>43</v>
      </c>
      <c r="G568" t="s">
        <v>32</v>
      </c>
      <c r="H568" t="s">
        <v>73</v>
      </c>
      <c r="I568">
        <v>259.13600000000002</v>
      </c>
      <c r="J568" t="s">
        <v>1056</v>
      </c>
      <c r="K568">
        <v>0.2</v>
      </c>
      <c r="M568" t="s">
        <v>354</v>
      </c>
    </row>
    <row r="569" spans="1:13">
      <c r="A569" t="s">
        <v>1057</v>
      </c>
      <c r="B569" s="1">
        <v>41376</v>
      </c>
      <c r="C569" s="1">
        <v>41378</v>
      </c>
      <c r="D569" t="s">
        <v>1058</v>
      </c>
      <c r="E569" t="s">
        <v>114</v>
      </c>
      <c r="F569" t="s">
        <v>115</v>
      </c>
      <c r="G569" t="s">
        <v>17</v>
      </c>
      <c r="H569" t="s">
        <v>73</v>
      </c>
      <c r="I569">
        <v>723.3</v>
      </c>
      <c r="J569">
        <v>2</v>
      </c>
      <c r="K569">
        <v>0</v>
      </c>
      <c r="L569">
        <v>332.7</v>
      </c>
      <c r="M569" t="s">
        <v>27</v>
      </c>
    </row>
    <row r="570" spans="1:13">
      <c r="A570" t="s">
        <v>1059</v>
      </c>
      <c r="B570" s="1">
        <v>42007</v>
      </c>
      <c r="C570" s="1">
        <v>42008</v>
      </c>
      <c r="D570" t="s">
        <v>1060</v>
      </c>
      <c r="E570" t="s">
        <v>197</v>
      </c>
      <c r="F570" t="s">
        <v>77</v>
      </c>
      <c r="G570" t="s">
        <v>17</v>
      </c>
      <c r="H570" t="s">
        <v>18</v>
      </c>
      <c r="I570">
        <v>2097.12</v>
      </c>
      <c r="J570">
        <v>8</v>
      </c>
      <c r="K570">
        <v>0</v>
      </c>
      <c r="L570">
        <v>188.64</v>
      </c>
      <c r="M570" t="s">
        <v>37</v>
      </c>
    </row>
    <row r="571" spans="1:13">
      <c r="A571" t="s">
        <v>1050</v>
      </c>
      <c r="B571" t="s">
        <v>1061</v>
      </c>
      <c r="C571" s="1">
        <v>42107</v>
      </c>
      <c r="D571" t="s">
        <v>1049</v>
      </c>
      <c r="E571" t="s">
        <v>40</v>
      </c>
      <c r="F571" t="s">
        <v>43</v>
      </c>
      <c r="G571" t="s">
        <v>45</v>
      </c>
      <c r="H571" t="s">
        <v>33</v>
      </c>
      <c r="I571">
        <v>244.54999999999899</v>
      </c>
      <c r="J571">
        <v>5</v>
      </c>
      <c r="L571">
        <v>114.938499999999</v>
      </c>
      <c r="M571" t="s">
        <v>37</v>
      </c>
    </row>
    <row r="572" spans="1:13">
      <c r="A572" t="s">
        <v>1062</v>
      </c>
      <c r="B572" t="s">
        <v>1063</v>
      </c>
      <c r="C572" s="1">
        <v>42357</v>
      </c>
      <c r="D572" t="s">
        <v>1064</v>
      </c>
      <c r="E572" t="s">
        <v>554</v>
      </c>
      <c r="F572" t="s">
        <v>90</v>
      </c>
      <c r="G572" t="s">
        <v>45</v>
      </c>
      <c r="H572" t="s">
        <v>33</v>
      </c>
      <c r="I572">
        <v>3242.88</v>
      </c>
      <c r="K572">
        <v>0</v>
      </c>
      <c r="L572">
        <v>421.56</v>
      </c>
      <c r="M572" t="s">
        <v>19</v>
      </c>
    </row>
    <row r="573" spans="1:13">
      <c r="A573" t="s">
        <v>1065</v>
      </c>
      <c r="B573" s="1">
        <v>42188</v>
      </c>
      <c r="C573" s="1">
        <v>42191</v>
      </c>
      <c r="D573" t="s">
        <v>1049</v>
      </c>
      <c r="E573" t="s">
        <v>40</v>
      </c>
      <c r="G573" t="s">
        <v>45</v>
      </c>
      <c r="H573" t="s">
        <v>299</v>
      </c>
      <c r="I573">
        <v>163.96</v>
      </c>
      <c r="J573">
        <v>5</v>
      </c>
      <c r="K573">
        <v>0.2</v>
      </c>
      <c r="L573">
        <v>59.435499999999998</v>
      </c>
      <c r="M573" t="s">
        <v>19</v>
      </c>
    </row>
    <row r="574" spans="1:13">
      <c r="A574" t="s">
        <v>1066</v>
      </c>
      <c r="B574" s="1">
        <v>42234</v>
      </c>
      <c r="C574" s="1">
        <v>42240</v>
      </c>
      <c r="D574" t="s">
        <v>1049</v>
      </c>
      <c r="E574" t="s">
        <v>40</v>
      </c>
      <c r="F574" t="s">
        <v>153</v>
      </c>
      <c r="G574" t="s">
        <v>17</v>
      </c>
      <c r="H574" t="s">
        <v>73</v>
      </c>
      <c r="I574">
        <v>98.16</v>
      </c>
      <c r="J574" t="s">
        <v>36</v>
      </c>
      <c r="K574">
        <v>0</v>
      </c>
      <c r="L574">
        <v>9.8159999999999901</v>
      </c>
      <c r="M574" t="s">
        <v>74</v>
      </c>
    </row>
    <row r="575" spans="1:13">
      <c r="A575" t="s">
        <v>1067</v>
      </c>
      <c r="B575" s="2">
        <v>42284</v>
      </c>
      <c r="C575" s="1">
        <v>42285</v>
      </c>
      <c r="E575" t="s">
        <v>76</v>
      </c>
      <c r="F575" t="s">
        <v>77</v>
      </c>
      <c r="G575" t="s">
        <v>32</v>
      </c>
      <c r="H575" t="s">
        <v>44</v>
      </c>
      <c r="J575">
        <v>4</v>
      </c>
      <c r="K575">
        <v>0</v>
      </c>
      <c r="L575">
        <v>226.92</v>
      </c>
      <c r="M575" t="s">
        <v>27</v>
      </c>
    </row>
    <row r="576" spans="1:13">
      <c r="A576" t="s">
        <v>1068</v>
      </c>
      <c r="B576" s="1">
        <v>41810</v>
      </c>
      <c r="C576" s="1">
        <v>41814</v>
      </c>
      <c r="D576" t="s">
        <v>966</v>
      </c>
      <c r="E576" t="s">
        <v>1069</v>
      </c>
      <c r="F576" t="s">
        <v>87</v>
      </c>
      <c r="G576" t="s">
        <v>45</v>
      </c>
      <c r="H576" t="s">
        <v>46</v>
      </c>
      <c r="I576">
        <v>3955.14</v>
      </c>
      <c r="J576">
        <v>14</v>
      </c>
      <c r="K576">
        <v>0</v>
      </c>
      <c r="L576">
        <v>1383.9</v>
      </c>
      <c r="M576" t="s">
        <v>37</v>
      </c>
    </row>
    <row r="577" spans="1:13">
      <c r="A577" t="s">
        <v>1070</v>
      </c>
      <c r="B577" s="1">
        <v>42196</v>
      </c>
      <c r="C577" s="1">
        <v>42199</v>
      </c>
      <c r="E577" t="s">
        <v>1071</v>
      </c>
      <c r="F577" t="s">
        <v>142</v>
      </c>
      <c r="G577" t="s">
        <v>32</v>
      </c>
      <c r="H577" t="s">
        <v>151</v>
      </c>
      <c r="J577">
        <v>6</v>
      </c>
      <c r="K577">
        <v>7.0000000000000007E-2</v>
      </c>
      <c r="L577">
        <v>231.26400000000001</v>
      </c>
      <c r="M577" t="s">
        <v>37</v>
      </c>
    </row>
    <row r="578" spans="1:13">
      <c r="A578" t="s">
        <v>1072</v>
      </c>
      <c r="B578" s="1">
        <v>42118</v>
      </c>
      <c r="C578" s="1">
        <v>42121</v>
      </c>
      <c r="D578" t="s">
        <v>1073</v>
      </c>
      <c r="E578" t="s">
        <v>22</v>
      </c>
      <c r="F578" t="s">
        <v>71</v>
      </c>
      <c r="G578" t="s">
        <v>17</v>
      </c>
      <c r="H578" t="s">
        <v>73</v>
      </c>
      <c r="I578">
        <v>2305.2600000000002</v>
      </c>
      <c r="J578">
        <v>9</v>
      </c>
      <c r="K578">
        <v>0</v>
      </c>
      <c r="L578">
        <v>9054.2758390963409</v>
      </c>
      <c r="M578" t="s">
        <v>227</v>
      </c>
    </row>
    <row r="579" spans="1:13">
      <c r="A579" t="s">
        <v>1074</v>
      </c>
      <c r="B579" s="1">
        <v>41032</v>
      </c>
      <c r="C579" s="1">
        <v>41036</v>
      </c>
      <c r="D579" t="s">
        <v>1075</v>
      </c>
      <c r="E579" t="s">
        <v>101</v>
      </c>
      <c r="F579" t="s">
        <v>98</v>
      </c>
      <c r="G579" t="s">
        <v>32</v>
      </c>
      <c r="H579" t="s">
        <v>151</v>
      </c>
      <c r="I579">
        <v>2833.7599999999902</v>
      </c>
      <c r="J579">
        <v>10</v>
      </c>
      <c r="K579">
        <v>0.2</v>
      </c>
      <c r="L579">
        <v>35.3599999999998</v>
      </c>
      <c r="M579" t="s">
        <v>37</v>
      </c>
    </row>
    <row r="580" spans="1:13">
      <c r="A580" t="s">
        <v>1076</v>
      </c>
      <c r="B580" s="1">
        <v>41187</v>
      </c>
      <c r="C580" s="1">
        <v>41191</v>
      </c>
      <c r="E580" t="s">
        <v>114</v>
      </c>
      <c r="F580" t="s">
        <v>115</v>
      </c>
      <c r="G580" t="s">
        <v>45</v>
      </c>
      <c r="H580" t="s">
        <v>18</v>
      </c>
      <c r="I580">
        <v>2077.3199999999902</v>
      </c>
      <c r="J580">
        <v>4</v>
      </c>
      <c r="K580">
        <v>0</v>
      </c>
      <c r="L580">
        <v>581.64</v>
      </c>
      <c r="M580" t="s">
        <v>19</v>
      </c>
    </row>
    <row r="581" spans="1:13">
      <c r="A581" t="s">
        <v>1077</v>
      </c>
      <c r="B581" s="1">
        <v>42320</v>
      </c>
      <c r="C581" s="1">
        <v>42324</v>
      </c>
      <c r="D581" t="s">
        <v>1078</v>
      </c>
      <c r="E581" t="s">
        <v>570</v>
      </c>
      <c r="F581" t="s">
        <v>1079</v>
      </c>
      <c r="G581" t="s">
        <v>32</v>
      </c>
      <c r="H581" t="s">
        <v>44</v>
      </c>
      <c r="I581">
        <v>1916.8799999999901</v>
      </c>
      <c r="J581">
        <v>7</v>
      </c>
      <c r="K581">
        <v>0</v>
      </c>
      <c r="L581">
        <v>939.26</v>
      </c>
      <c r="M581" t="s">
        <v>37</v>
      </c>
    </row>
    <row r="582" spans="1:13">
      <c r="A582" t="s">
        <v>526</v>
      </c>
      <c r="B582" s="1">
        <v>42355</v>
      </c>
      <c r="C582" s="1">
        <v>42357</v>
      </c>
      <c r="D582" t="s">
        <v>527</v>
      </c>
      <c r="E582" t="s">
        <v>211</v>
      </c>
      <c r="F582" t="s">
        <v>98</v>
      </c>
      <c r="G582" t="s">
        <v>32</v>
      </c>
      <c r="H582" t="s">
        <v>73</v>
      </c>
      <c r="I582">
        <v>1212.5</v>
      </c>
      <c r="J582">
        <v>5</v>
      </c>
      <c r="K582">
        <v>0</v>
      </c>
      <c r="L582">
        <v>606.20000000000005</v>
      </c>
      <c r="M582" t="s">
        <v>27</v>
      </c>
    </row>
    <row r="583" spans="1:13">
      <c r="A583" t="s">
        <v>1066</v>
      </c>
      <c r="C583" s="1">
        <v>42240</v>
      </c>
      <c r="D583" t="s">
        <v>1049</v>
      </c>
      <c r="E583" t="s">
        <v>40</v>
      </c>
      <c r="F583" t="s">
        <v>153</v>
      </c>
      <c r="G583" t="s">
        <v>45</v>
      </c>
      <c r="H583" t="s">
        <v>151</v>
      </c>
      <c r="I583">
        <v>102.93</v>
      </c>
      <c r="K583">
        <v>0</v>
      </c>
      <c r="L583">
        <v>48.377099999999999</v>
      </c>
      <c r="M583" t="s">
        <v>74</v>
      </c>
    </row>
    <row r="584" spans="1:13">
      <c r="A584" t="s">
        <v>1080</v>
      </c>
      <c r="B584" s="1">
        <v>41734</v>
      </c>
      <c r="C584" s="1">
        <v>41737</v>
      </c>
      <c r="D584" t="s">
        <v>1081</v>
      </c>
      <c r="E584" t="s">
        <v>70</v>
      </c>
      <c r="F584" t="s">
        <v>71</v>
      </c>
      <c r="G584" t="s">
        <v>17</v>
      </c>
      <c r="H584" t="s">
        <v>151</v>
      </c>
      <c r="I584">
        <v>1622.5649999999901</v>
      </c>
      <c r="J584">
        <v>3</v>
      </c>
      <c r="K584">
        <v>0.15</v>
      </c>
      <c r="L584">
        <v>133.604999999999</v>
      </c>
      <c r="M584" t="s">
        <v>19</v>
      </c>
    </row>
    <row r="585" spans="1:13">
      <c r="A585" t="s">
        <v>636</v>
      </c>
      <c r="B585" s="1">
        <v>42266</v>
      </c>
      <c r="C585" s="1">
        <v>42266</v>
      </c>
      <c r="D585" t="s">
        <v>637</v>
      </c>
      <c r="E585" t="s">
        <v>31</v>
      </c>
      <c r="F585" t="s">
        <v>16</v>
      </c>
      <c r="G585" t="s">
        <v>17</v>
      </c>
      <c r="H585" t="s">
        <v>23</v>
      </c>
      <c r="I585">
        <v>856.44</v>
      </c>
      <c r="J585">
        <v>6</v>
      </c>
      <c r="K585">
        <v>0</v>
      </c>
      <c r="M585" t="s">
        <v>27</v>
      </c>
    </row>
    <row r="586" spans="1:13">
      <c r="A586" t="s">
        <v>1048</v>
      </c>
      <c r="B586" s="1">
        <v>41992</v>
      </c>
      <c r="C586" s="1">
        <v>41995</v>
      </c>
      <c r="D586" t="s">
        <v>1049</v>
      </c>
      <c r="E586" t="s">
        <v>40</v>
      </c>
      <c r="F586" t="s">
        <v>43</v>
      </c>
      <c r="G586" t="s">
        <v>45</v>
      </c>
      <c r="H586" t="s">
        <v>26</v>
      </c>
      <c r="I586">
        <v>45.24</v>
      </c>
      <c r="K586">
        <v>0.7</v>
      </c>
      <c r="L586">
        <v>-30.159999999999901</v>
      </c>
      <c r="M586" t="s">
        <v>19</v>
      </c>
    </row>
    <row r="587" spans="1:13">
      <c r="B587" s="1">
        <v>42195</v>
      </c>
      <c r="C587" s="1">
        <v>42199</v>
      </c>
      <c r="E587" t="s">
        <v>22</v>
      </c>
      <c r="F587" t="s">
        <v>678</v>
      </c>
      <c r="G587" t="s">
        <v>32</v>
      </c>
      <c r="H587" t="s">
        <v>33</v>
      </c>
      <c r="I587">
        <v>1361.0429999999999</v>
      </c>
      <c r="J587">
        <v>9</v>
      </c>
      <c r="K587">
        <v>0.1</v>
      </c>
      <c r="L587">
        <v>196.53299999999899</v>
      </c>
      <c r="M587" t="s">
        <v>37</v>
      </c>
    </row>
    <row r="588" spans="1:13">
      <c r="A588" t="s">
        <v>1082</v>
      </c>
      <c r="B588" s="1">
        <v>42283</v>
      </c>
      <c r="C588" s="1">
        <v>42289</v>
      </c>
      <c r="D588" t="s">
        <v>1083</v>
      </c>
      <c r="E588" t="s">
        <v>66</v>
      </c>
      <c r="F588" t="s">
        <v>90</v>
      </c>
      <c r="G588" t="s">
        <v>17</v>
      </c>
      <c r="H588" t="s">
        <v>44</v>
      </c>
      <c r="I588">
        <v>3391.74</v>
      </c>
      <c r="J588">
        <v>9</v>
      </c>
      <c r="K588">
        <v>0</v>
      </c>
      <c r="L588">
        <v>271.08</v>
      </c>
      <c r="M588" t="s">
        <v>19</v>
      </c>
    </row>
    <row r="589" spans="1:13">
      <c r="A589" t="s">
        <v>1084</v>
      </c>
      <c r="B589" s="1">
        <v>41791</v>
      </c>
      <c r="C589" s="1">
        <v>41797</v>
      </c>
      <c r="D589" t="s">
        <v>1085</v>
      </c>
      <c r="E589" t="s">
        <v>119</v>
      </c>
      <c r="F589" t="s">
        <v>120</v>
      </c>
      <c r="G589" t="s">
        <v>17</v>
      </c>
      <c r="H589" t="s">
        <v>151</v>
      </c>
      <c r="J589">
        <v>7</v>
      </c>
      <c r="K589">
        <v>0.2</v>
      </c>
      <c r="M589" t="s">
        <v>74</v>
      </c>
    </row>
    <row r="590" spans="1:13">
      <c r="A590" t="s">
        <v>1086</v>
      </c>
      <c r="B590" s="1">
        <v>41506</v>
      </c>
      <c r="C590" s="1">
        <v>41508</v>
      </c>
      <c r="D590" t="s">
        <v>1087</v>
      </c>
      <c r="E590" t="s">
        <v>437</v>
      </c>
      <c r="F590" t="s">
        <v>438</v>
      </c>
      <c r="G590" t="s">
        <v>32</v>
      </c>
      <c r="H590" t="s">
        <v>33</v>
      </c>
      <c r="I590">
        <v>889.02</v>
      </c>
      <c r="J590">
        <v>6</v>
      </c>
      <c r="K590">
        <v>0</v>
      </c>
      <c r="L590">
        <v>320.04000000000002</v>
      </c>
      <c r="M590" t="s">
        <v>27</v>
      </c>
    </row>
    <row r="591" spans="1:13">
      <c r="A591" t="s">
        <v>1088</v>
      </c>
      <c r="B591" s="1">
        <v>41150</v>
      </c>
      <c r="C591" s="1">
        <v>41150</v>
      </c>
      <c r="D591" t="s">
        <v>1089</v>
      </c>
      <c r="E591" t="s">
        <v>464</v>
      </c>
      <c r="F591" t="s">
        <v>87</v>
      </c>
      <c r="G591" t="s">
        <v>32</v>
      </c>
      <c r="H591" t="s">
        <v>26</v>
      </c>
      <c r="I591">
        <v>1782.48</v>
      </c>
      <c r="J591">
        <v>4</v>
      </c>
      <c r="K591">
        <v>0</v>
      </c>
      <c r="L591">
        <v>873.36</v>
      </c>
      <c r="M591" t="s">
        <v>37</v>
      </c>
    </row>
    <row r="592" spans="1:13">
      <c r="A592" t="s">
        <v>1090</v>
      </c>
      <c r="B592" s="1">
        <v>41612</v>
      </c>
      <c r="C592" s="1">
        <v>41613</v>
      </c>
      <c r="D592" t="s">
        <v>659</v>
      </c>
      <c r="E592" t="s">
        <v>70</v>
      </c>
      <c r="F592" t="s">
        <v>71</v>
      </c>
      <c r="G592" t="s">
        <v>17</v>
      </c>
      <c r="H592" t="s">
        <v>151</v>
      </c>
      <c r="I592">
        <v>667.76849999999899</v>
      </c>
      <c r="J592">
        <v>3</v>
      </c>
      <c r="K592">
        <v>0.15</v>
      </c>
      <c r="L592">
        <v>274.91849999999999</v>
      </c>
      <c r="M592" t="s">
        <v>27</v>
      </c>
    </row>
    <row r="593" spans="1:13">
      <c r="A593" t="s">
        <v>1091</v>
      </c>
      <c r="B593" s="1">
        <v>42290</v>
      </c>
      <c r="C593" s="1">
        <v>42295</v>
      </c>
      <c r="E593" t="s">
        <v>15</v>
      </c>
      <c r="F593" t="s">
        <v>16</v>
      </c>
      <c r="G593" t="s">
        <v>17</v>
      </c>
      <c r="H593" t="s">
        <v>44</v>
      </c>
      <c r="I593">
        <v>1612.84499999999</v>
      </c>
      <c r="J593">
        <v>5</v>
      </c>
      <c r="K593">
        <v>0.1</v>
      </c>
      <c r="L593">
        <v>394.245</v>
      </c>
      <c r="M593" t="s">
        <v>37</v>
      </c>
    </row>
    <row r="594" spans="1:13">
      <c r="A594" t="s">
        <v>1092</v>
      </c>
      <c r="B594" s="1">
        <v>41992</v>
      </c>
      <c r="C594" s="1">
        <v>41994</v>
      </c>
      <c r="D594" t="s">
        <v>1093</v>
      </c>
      <c r="E594" t="s">
        <v>197</v>
      </c>
      <c r="F594" t="s">
        <v>77</v>
      </c>
      <c r="G594" t="s">
        <v>45</v>
      </c>
      <c r="H594" t="s">
        <v>33</v>
      </c>
      <c r="I594">
        <v>845.20799999999997</v>
      </c>
      <c r="J594">
        <v>7</v>
      </c>
      <c r="K594">
        <v>0.1</v>
      </c>
      <c r="L594">
        <v>-9.4920000000000098</v>
      </c>
      <c r="M594" t="s">
        <v>27</v>
      </c>
    </row>
    <row r="595" spans="1:13">
      <c r="A595" t="s">
        <v>1094</v>
      </c>
      <c r="B595" s="1">
        <v>41441</v>
      </c>
      <c r="C595" s="1">
        <v>41447</v>
      </c>
      <c r="D595" t="s">
        <v>1095</v>
      </c>
      <c r="E595" t="s">
        <v>114</v>
      </c>
      <c r="F595" t="s">
        <v>115</v>
      </c>
      <c r="G595" t="s">
        <v>45</v>
      </c>
      <c r="H595" t="s">
        <v>33</v>
      </c>
      <c r="I595" t="s">
        <v>1096</v>
      </c>
      <c r="J595">
        <v>9</v>
      </c>
      <c r="K595">
        <v>0</v>
      </c>
      <c r="L595">
        <v>391.77</v>
      </c>
      <c r="M595" t="s">
        <v>19</v>
      </c>
    </row>
    <row r="596" spans="1:13">
      <c r="A596" t="s">
        <v>1097</v>
      </c>
      <c r="B596" s="1">
        <v>41871</v>
      </c>
      <c r="C596" s="1">
        <v>41871</v>
      </c>
      <c r="D596" t="s">
        <v>1098</v>
      </c>
      <c r="E596" t="s">
        <v>1099</v>
      </c>
      <c r="F596" t="s">
        <v>142</v>
      </c>
      <c r="G596" t="s">
        <v>45</v>
      </c>
      <c r="H596" t="s">
        <v>299</v>
      </c>
      <c r="I596">
        <v>1549.12859999999</v>
      </c>
      <c r="J596">
        <v>6</v>
      </c>
      <c r="K596">
        <v>0.17</v>
      </c>
      <c r="L596">
        <v>-56.111400000000003</v>
      </c>
      <c r="M596" t="s">
        <v>27</v>
      </c>
    </row>
    <row r="597" spans="1:13">
      <c r="A597" t="s">
        <v>1100</v>
      </c>
      <c r="B597" s="1">
        <v>41446</v>
      </c>
      <c r="C597" t="s">
        <v>125</v>
      </c>
      <c r="D597" t="s">
        <v>1101</v>
      </c>
      <c r="E597" t="s">
        <v>97</v>
      </c>
      <c r="F597" t="s">
        <v>98</v>
      </c>
      <c r="G597" t="s">
        <v>17</v>
      </c>
      <c r="H597" t="s">
        <v>73</v>
      </c>
      <c r="I597">
        <v>1696.4</v>
      </c>
      <c r="J597">
        <v>4</v>
      </c>
      <c r="K597">
        <v>0</v>
      </c>
      <c r="L597">
        <v>67.84</v>
      </c>
      <c r="M597" t="s">
        <v>37</v>
      </c>
    </row>
    <row r="598" spans="1:13">
      <c r="A598" t="s">
        <v>1102</v>
      </c>
      <c r="B598" s="1">
        <v>41417</v>
      </c>
      <c r="C598" s="1">
        <v>41419</v>
      </c>
      <c r="D598" t="s">
        <v>172</v>
      </c>
      <c r="E598" t="s">
        <v>97</v>
      </c>
      <c r="F598" t="s">
        <v>98</v>
      </c>
      <c r="G598" t="s">
        <v>45</v>
      </c>
      <c r="H598" t="s">
        <v>73</v>
      </c>
      <c r="I598">
        <v>935.5</v>
      </c>
      <c r="J598">
        <v>5</v>
      </c>
      <c r="K598">
        <v>0</v>
      </c>
      <c r="L598">
        <v>168.3</v>
      </c>
      <c r="M598" t="s">
        <v>19</v>
      </c>
    </row>
    <row r="599" spans="1:13">
      <c r="A599" t="s">
        <v>1103</v>
      </c>
      <c r="B599" s="1">
        <v>41759</v>
      </c>
      <c r="C599" s="1">
        <v>41762</v>
      </c>
      <c r="D599" t="s">
        <v>1104</v>
      </c>
      <c r="E599" t="s">
        <v>70</v>
      </c>
      <c r="F599" t="s">
        <v>71</v>
      </c>
      <c r="G599" t="s">
        <v>17</v>
      </c>
      <c r="H599" t="s">
        <v>26</v>
      </c>
      <c r="J599">
        <v>9</v>
      </c>
      <c r="K599">
        <v>0.15</v>
      </c>
      <c r="L599">
        <v>359.30249999999899</v>
      </c>
      <c r="M599" t="s">
        <v>19</v>
      </c>
    </row>
    <row r="600" spans="1:13">
      <c r="A600" t="s">
        <v>1105</v>
      </c>
      <c r="B600" s="1">
        <v>41440</v>
      </c>
      <c r="C600" s="1">
        <v>41440</v>
      </c>
      <c r="D600" t="s">
        <v>1106</v>
      </c>
      <c r="E600" t="s">
        <v>70</v>
      </c>
      <c r="F600" t="s">
        <v>71</v>
      </c>
      <c r="G600" t="s">
        <v>17</v>
      </c>
      <c r="H600" t="s">
        <v>73</v>
      </c>
      <c r="I600">
        <v>980.52</v>
      </c>
      <c r="J600">
        <v>4</v>
      </c>
      <c r="K600">
        <v>0</v>
      </c>
      <c r="L600">
        <v>176.39999999999901</v>
      </c>
      <c r="M600" t="s">
        <v>37</v>
      </c>
    </row>
    <row r="601" spans="1:13">
      <c r="A601" t="s">
        <v>1048</v>
      </c>
      <c r="B601" s="1">
        <v>41992</v>
      </c>
      <c r="C601" s="1">
        <v>41995</v>
      </c>
      <c r="D601" t="s">
        <v>1049</v>
      </c>
      <c r="E601" t="s">
        <v>40</v>
      </c>
      <c r="F601" t="s">
        <v>43</v>
      </c>
      <c r="G601" t="s">
        <v>1107</v>
      </c>
      <c r="H601" t="s">
        <v>127</v>
      </c>
      <c r="I601">
        <v>18.687999999999999</v>
      </c>
      <c r="K601">
        <v>0.2</v>
      </c>
      <c r="L601">
        <v>2.3359999999999901</v>
      </c>
      <c r="M601" t="s">
        <v>19</v>
      </c>
    </row>
    <row r="602" spans="1:13">
      <c r="A602" t="s">
        <v>1108</v>
      </c>
      <c r="B602" s="1">
        <v>41991</v>
      </c>
      <c r="C602" s="1">
        <v>41995</v>
      </c>
      <c r="D602" t="s">
        <v>1109</v>
      </c>
      <c r="E602" t="s">
        <v>70</v>
      </c>
      <c r="F602" t="s">
        <v>71</v>
      </c>
      <c r="G602" t="s">
        <v>17</v>
      </c>
      <c r="H602" t="s">
        <v>18</v>
      </c>
      <c r="I602">
        <v>1654.64399999999</v>
      </c>
      <c r="J602">
        <v>8</v>
      </c>
      <c r="K602">
        <v>0.15</v>
      </c>
      <c r="L602">
        <v>681.20399999999995</v>
      </c>
      <c r="M602" t="s">
        <v>37</v>
      </c>
    </row>
    <row r="603" spans="1:13">
      <c r="A603" t="s">
        <v>1110</v>
      </c>
      <c r="B603" s="1">
        <v>42206</v>
      </c>
      <c r="C603" s="1">
        <v>42210</v>
      </c>
      <c r="D603" t="s">
        <v>1111</v>
      </c>
      <c r="E603" t="s">
        <v>141</v>
      </c>
      <c r="G603" t="s">
        <v>32</v>
      </c>
      <c r="H603" t="s">
        <v>33</v>
      </c>
      <c r="I603">
        <v>2063.7683999999999</v>
      </c>
      <c r="J603" t="s">
        <v>63</v>
      </c>
      <c r="L603">
        <v>141.1884</v>
      </c>
      <c r="M603" t="s">
        <v>37</v>
      </c>
    </row>
    <row r="604" spans="1:13">
      <c r="A604" t="s">
        <v>1000</v>
      </c>
      <c r="B604" s="1">
        <v>41678</v>
      </c>
      <c r="C604" t="s">
        <v>1112</v>
      </c>
      <c r="D604" t="s">
        <v>178</v>
      </c>
      <c r="E604" t="s">
        <v>232</v>
      </c>
      <c r="F604" t="s">
        <v>233</v>
      </c>
      <c r="G604" t="s">
        <v>17</v>
      </c>
      <c r="H604" t="s">
        <v>46</v>
      </c>
      <c r="I604">
        <v>1457.28</v>
      </c>
      <c r="J604">
        <v>8</v>
      </c>
      <c r="K604">
        <v>0</v>
      </c>
      <c r="L604">
        <v>3572.9804248258702</v>
      </c>
      <c r="M604" t="s">
        <v>27</v>
      </c>
    </row>
    <row r="605" spans="1:13">
      <c r="A605" t="s">
        <v>1113</v>
      </c>
      <c r="B605" s="1">
        <v>41208</v>
      </c>
      <c r="C605" s="1">
        <v>41210</v>
      </c>
      <c r="D605" t="s">
        <v>1040</v>
      </c>
      <c r="E605" t="s">
        <v>66</v>
      </c>
      <c r="F605" t="s">
        <v>1114</v>
      </c>
      <c r="G605" t="s">
        <v>1115</v>
      </c>
      <c r="H605" t="s">
        <v>23</v>
      </c>
      <c r="I605">
        <v>1693.23</v>
      </c>
      <c r="K605">
        <v>0</v>
      </c>
      <c r="L605">
        <v>829.5</v>
      </c>
      <c r="M605" t="s">
        <v>19</v>
      </c>
    </row>
    <row r="606" spans="1:13">
      <c r="A606" t="s">
        <v>1116</v>
      </c>
      <c r="B606" s="1">
        <v>41992</v>
      </c>
      <c r="C606" s="1">
        <v>41995</v>
      </c>
      <c r="D606" t="s">
        <v>1049</v>
      </c>
      <c r="E606" t="s">
        <v>40</v>
      </c>
      <c r="F606" t="s">
        <v>43</v>
      </c>
      <c r="G606" t="s">
        <v>17</v>
      </c>
      <c r="H606" t="s">
        <v>26</v>
      </c>
      <c r="I606">
        <v>28.68</v>
      </c>
      <c r="J606">
        <v>3</v>
      </c>
      <c r="K606">
        <v>0.2</v>
      </c>
      <c r="L606">
        <v>-7.17</v>
      </c>
      <c r="M606" t="s">
        <v>19</v>
      </c>
    </row>
    <row r="607" spans="1:13">
      <c r="A607" t="s">
        <v>1117</v>
      </c>
      <c r="B607" s="1">
        <v>41696</v>
      </c>
      <c r="C607" s="1">
        <v>41699</v>
      </c>
      <c r="D607" t="s">
        <v>332</v>
      </c>
      <c r="E607" t="s">
        <v>1118</v>
      </c>
      <c r="F607" t="s">
        <v>61</v>
      </c>
      <c r="G607" t="s">
        <v>32</v>
      </c>
      <c r="H607" t="s">
        <v>33</v>
      </c>
      <c r="I607">
        <v>1411.2</v>
      </c>
      <c r="J607">
        <v>6</v>
      </c>
      <c r="K607">
        <v>0.2</v>
      </c>
      <c r="M607" t="s">
        <v>19</v>
      </c>
    </row>
    <row r="608" spans="1:13">
      <c r="A608" t="s">
        <v>1119</v>
      </c>
      <c r="B608" s="1">
        <v>41238</v>
      </c>
      <c r="C608" s="1">
        <v>41242</v>
      </c>
      <c r="D608" t="s">
        <v>487</v>
      </c>
      <c r="E608" t="s">
        <v>22</v>
      </c>
      <c r="F608" t="s">
        <v>71</v>
      </c>
      <c r="G608" t="s">
        <v>45</v>
      </c>
      <c r="H608" t="s">
        <v>57</v>
      </c>
      <c r="I608">
        <v>2039.796</v>
      </c>
      <c r="J608">
        <v>4</v>
      </c>
      <c r="K608">
        <v>0.1</v>
      </c>
      <c r="L608">
        <v>-113.364</v>
      </c>
      <c r="M608" t="s">
        <v>37</v>
      </c>
    </row>
    <row r="609" spans="1:13">
      <c r="A609" t="s">
        <v>1120</v>
      </c>
      <c r="B609" s="1">
        <v>41506</v>
      </c>
      <c r="C609" s="1">
        <v>41510</v>
      </c>
      <c r="D609" t="s">
        <v>1121</v>
      </c>
      <c r="E609" t="s">
        <v>1122</v>
      </c>
      <c r="F609" t="s">
        <v>90</v>
      </c>
      <c r="G609" t="s">
        <v>17</v>
      </c>
      <c r="H609" t="s">
        <v>44</v>
      </c>
      <c r="I609">
        <v>5737.5</v>
      </c>
      <c r="J609">
        <v>9</v>
      </c>
      <c r="K609">
        <v>0</v>
      </c>
      <c r="L609">
        <v>630.99</v>
      </c>
      <c r="M609" t="s">
        <v>19</v>
      </c>
    </row>
    <row r="610" spans="1:13">
      <c r="A610" t="s">
        <v>1123</v>
      </c>
      <c r="B610" s="1">
        <v>41418</v>
      </c>
      <c r="C610" s="1">
        <v>41422</v>
      </c>
      <c r="D610" t="s">
        <v>1124</v>
      </c>
      <c r="E610" t="s">
        <v>15</v>
      </c>
      <c r="F610" t="s">
        <v>16</v>
      </c>
      <c r="G610" t="s">
        <v>17</v>
      </c>
      <c r="H610" t="s">
        <v>73</v>
      </c>
      <c r="I610">
        <v>1641.087</v>
      </c>
      <c r="J610">
        <v>7</v>
      </c>
      <c r="K610">
        <v>0.1</v>
      </c>
      <c r="L610">
        <v>473.90699999999998</v>
      </c>
      <c r="M610" t="s">
        <v>37</v>
      </c>
    </row>
    <row r="611" spans="1:13">
      <c r="A611" t="s">
        <v>1125</v>
      </c>
      <c r="B611" s="1">
        <v>41216</v>
      </c>
      <c r="C611" s="1">
        <v>41220</v>
      </c>
      <c r="D611" t="s">
        <v>1126</v>
      </c>
      <c r="E611" t="s">
        <v>1127</v>
      </c>
      <c r="F611" t="s">
        <v>120</v>
      </c>
      <c r="G611" t="s">
        <v>32</v>
      </c>
      <c r="H611" t="s">
        <v>26</v>
      </c>
      <c r="I611">
        <v>1380.8999999999901</v>
      </c>
      <c r="J611">
        <v>5</v>
      </c>
      <c r="K611">
        <v>0</v>
      </c>
      <c r="L611">
        <v>303.7</v>
      </c>
      <c r="M611" t="s">
        <v>37</v>
      </c>
    </row>
    <row r="612" spans="1:13">
      <c r="A612" t="s">
        <v>1128</v>
      </c>
      <c r="B612" s="1">
        <v>41173</v>
      </c>
      <c r="C612" s="1">
        <v>41178</v>
      </c>
      <c r="D612" t="s">
        <v>1129</v>
      </c>
      <c r="E612" t="s">
        <v>114</v>
      </c>
      <c r="F612" t="s">
        <v>115</v>
      </c>
      <c r="G612" t="s">
        <v>17</v>
      </c>
      <c r="H612" t="s">
        <v>33</v>
      </c>
      <c r="I612">
        <v>1917</v>
      </c>
      <c r="J612">
        <v>3</v>
      </c>
      <c r="K612">
        <v>0</v>
      </c>
      <c r="M612" t="s">
        <v>37</v>
      </c>
    </row>
    <row r="613" spans="1:13">
      <c r="A613" t="s">
        <v>1130</v>
      </c>
      <c r="B613" s="1">
        <v>41929</v>
      </c>
      <c r="C613" s="1">
        <v>41931</v>
      </c>
      <c r="D613" t="s">
        <v>1131</v>
      </c>
      <c r="E613" t="s">
        <v>31</v>
      </c>
      <c r="F613" t="s">
        <v>16</v>
      </c>
      <c r="G613" t="s">
        <v>32</v>
      </c>
      <c r="H613" t="s">
        <v>151</v>
      </c>
      <c r="I613">
        <v>823.5</v>
      </c>
      <c r="J613">
        <v>2</v>
      </c>
      <c r="K613">
        <v>0</v>
      </c>
      <c r="L613">
        <v>172.92</v>
      </c>
      <c r="M613" t="s">
        <v>27</v>
      </c>
    </row>
    <row r="614" spans="1:13">
      <c r="A614" t="s">
        <v>1132</v>
      </c>
      <c r="B614" s="1">
        <v>41992</v>
      </c>
      <c r="C614" s="2">
        <v>41995</v>
      </c>
      <c r="D614" t="s">
        <v>1049</v>
      </c>
      <c r="E614" t="s">
        <v>40</v>
      </c>
      <c r="F614" t="s">
        <v>245</v>
      </c>
      <c r="G614" t="s">
        <v>17</v>
      </c>
      <c r="H614" t="s">
        <v>26</v>
      </c>
      <c r="J614">
        <v>3</v>
      </c>
      <c r="L614">
        <v>-8.4581999999999908</v>
      </c>
      <c r="M614" t="s">
        <v>19</v>
      </c>
    </row>
    <row r="615" spans="1:13">
      <c r="A615" t="s">
        <v>1133</v>
      </c>
      <c r="B615" s="1">
        <v>41795</v>
      </c>
      <c r="C615" s="1">
        <v>41799</v>
      </c>
      <c r="D615" t="s">
        <v>314</v>
      </c>
      <c r="E615" t="s">
        <v>66</v>
      </c>
      <c r="F615" t="s">
        <v>90</v>
      </c>
      <c r="G615" t="s">
        <v>17</v>
      </c>
      <c r="H615" t="s">
        <v>151</v>
      </c>
      <c r="I615">
        <v>3180.75</v>
      </c>
      <c r="J615">
        <v>5</v>
      </c>
      <c r="K615">
        <v>0</v>
      </c>
      <c r="L615">
        <v>1081.3499999999999</v>
      </c>
      <c r="M615" t="s">
        <v>19</v>
      </c>
    </row>
    <row r="616" spans="1:13">
      <c r="A616" t="s">
        <v>1134</v>
      </c>
      <c r="B616" t="s">
        <v>1135</v>
      </c>
      <c r="C616" s="1">
        <v>41775</v>
      </c>
      <c r="D616" t="s">
        <v>1136</v>
      </c>
      <c r="E616" t="s">
        <v>70</v>
      </c>
      <c r="F616" t="s">
        <v>71</v>
      </c>
      <c r="G616" t="s">
        <v>17</v>
      </c>
      <c r="H616" t="s">
        <v>23</v>
      </c>
      <c r="I616">
        <v>2910.1875</v>
      </c>
      <c r="J616">
        <v>11</v>
      </c>
      <c r="K616" t="s">
        <v>1137</v>
      </c>
      <c r="L616">
        <v>-68.722500000000096</v>
      </c>
      <c r="M616" t="s">
        <v>37</v>
      </c>
    </row>
    <row r="617" spans="1:13">
      <c r="A617" t="s">
        <v>1048</v>
      </c>
      <c r="B617" s="1">
        <v>41992</v>
      </c>
      <c r="C617" s="1">
        <v>41995</v>
      </c>
      <c r="D617" t="s">
        <v>1049</v>
      </c>
      <c r="E617" t="s">
        <v>40</v>
      </c>
      <c r="F617" t="s">
        <v>43</v>
      </c>
      <c r="G617" t="s">
        <v>45</v>
      </c>
      <c r="H617" t="s">
        <v>26</v>
      </c>
      <c r="I617">
        <v>15.936</v>
      </c>
      <c r="J617">
        <v>4</v>
      </c>
      <c r="K617">
        <v>0.2</v>
      </c>
      <c r="L617">
        <v>5.1791999999999998</v>
      </c>
      <c r="M617" t="s">
        <v>19</v>
      </c>
    </row>
    <row r="618" spans="1:13">
      <c r="A618" t="s">
        <v>1065</v>
      </c>
      <c r="B618" s="1">
        <v>42188</v>
      </c>
      <c r="C618" s="1">
        <v>42191</v>
      </c>
      <c r="D618" t="s">
        <v>1049</v>
      </c>
      <c r="E618" t="s">
        <v>334</v>
      </c>
      <c r="F618" t="s">
        <v>41</v>
      </c>
      <c r="G618" t="s">
        <v>45</v>
      </c>
      <c r="H618" t="s">
        <v>127</v>
      </c>
      <c r="I618">
        <v>5.2319999999999904</v>
      </c>
      <c r="J618">
        <v>4</v>
      </c>
      <c r="K618">
        <v>0.8</v>
      </c>
      <c r="L618">
        <v>-8.1096000000000004</v>
      </c>
      <c r="M618" t="s">
        <v>19</v>
      </c>
    </row>
    <row r="619" spans="1:13">
      <c r="A619" t="s">
        <v>1138</v>
      </c>
      <c r="B619" s="1">
        <v>41933</v>
      </c>
      <c r="C619" s="1">
        <v>41936</v>
      </c>
      <c r="D619" t="s">
        <v>54</v>
      </c>
      <c r="E619" t="s">
        <v>66</v>
      </c>
      <c r="F619" t="s">
        <v>90</v>
      </c>
      <c r="G619" t="s">
        <v>17</v>
      </c>
      <c r="H619" t="s">
        <v>44</v>
      </c>
      <c r="I619">
        <v>910.349999999999</v>
      </c>
      <c r="J619">
        <v>5</v>
      </c>
      <c r="K619">
        <v>0</v>
      </c>
      <c r="L619">
        <v>391.349999999999</v>
      </c>
      <c r="M619" t="s">
        <v>27</v>
      </c>
    </row>
    <row r="620" spans="1:13">
      <c r="A620" t="s">
        <v>1139</v>
      </c>
      <c r="B620" s="1">
        <v>42227</v>
      </c>
      <c r="C620" s="1">
        <v>42230</v>
      </c>
      <c r="D620" t="s">
        <v>1140</v>
      </c>
      <c r="E620" t="s">
        <v>93</v>
      </c>
      <c r="F620" t="s">
        <v>94</v>
      </c>
      <c r="G620" t="s">
        <v>32</v>
      </c>
      <c r="H620" t="s">
        <v>73</v>
      </c>
      <c r="I620" t="s">
        <v>163</v>
      </c>
      <c r="J620">
        <v>2</v>
      </c>
      <c r="K620">
        <v>0</v>
      </c>
      <c r="L620">
        <v>274.08</v>
      </c>
      <c r="M620" t="s">
        <v>27</v>
      </c>
    </row>
    <row r="621" spans="1:13">
      <c r="A621" t="s">
        <v>1141</v>
      </c>
      <c r="B621" s="1">
        <v>41763</v>
      </c>
      <c r="C621" s="1">
        <v>41767</v>
      </c>
      <c r="D621" t="s">
        <v>1142</v>
      </c>
      <c r="E621" t="s">
        <v>97</v>
      </c>
      <c r="F621" t="s">
        <v>98</v>
      </c>
      <c r="G621" t="s">
        <v>32</v>
      </c>
      <c r="H621" t="s">
        <v>26</v>
      </c>
      <c r="I621">
        <v>1731.0719999999901</v>
      </c>
      <c r="J621">
        <v>7</v>
      </c>
      <c r="K621">
        <v>0.2</v>
      </c>
      <c r="L621">
        <v>-238.027999999999</v>
      </c>
      <c r="M621" t="s">
        <v>37</v>
      </c>
    </row>
    <row r="622" spans="1:13">
      <c r="A622" t="s">
        <v>1143</v>
      </c>
      <c r="C622" s="1">
        <v>41835</v>
      </c>
      <c r="D622" t="s">
        <v>1144</v>
      </c>
      <c r="E622" t="s">
        <v>197</v>
      </c>
      <c r="F622" t="s">
        <v>77</v>
      </c>
      <c r="G622" t="s">
        <v>624</v>
      </c>
      <c r="H622" t="s">
        <v>44</v>
      </c>
      <c r="I622">
        <v>1330.992</v>
      </c>
      <c r="J622">
        <v>12</v>
      </c>
      <c r="K622">
        <v>0.1</v>
      </c>
      <c r="L622">
        <v>-103.608</v>
      </c>
      <c r="M622" t="s">
        <v>27</v>
      </c>
    </row>
    <row r="623" spans="1:13">
      <c r="A623" t="s">
        <v>1048</v>
      </c>
      <c r="B623" s="1">
        <v>41992</v>
      </c>
      <c r="C623" s="1">
        <v>41995</v>
      </c>
      <c r="D623" t="s">
        <v>1049</v>
      </c>
      <c r="E623" t="s">
        <v>40</v>
      </c>
      <c r="F623" t="s">
        <v>43</v>
      </c>
      <c r="H623" t="s">
        <v>23</v>
      </c>
      <c r="I623">
        <v>11.648</v>
      </c>
      <c r="J623">
        <v>2</v>
      </c>
      <c r="K623">
        <v>0.2</v>
      </c>
      <c r="L623">
        <v>3.7855999999999899</v>
      </c>
      <c r="M623" t="s">
        <v>19</v>
      </c>
    </row>
    <row r="624" spans="1:13">
      <c r="A624" t="s">
        <v>1145</v>
      </c>
      <c r="B624" s="1">
        <v>42340</v>
      </c>
      <c r="C624" s="1">
        <v>42344</v>
      </c>
      <c r="D624" t="s">
        <v>1146</v>
      </c>
      <c r="E624" t="s">
        <v>119</v>
      </c>
      <c r="F624" t="s">
        <v>120</v>
      </c>
      <c r="G624" t="s">
        <v>17</v>
      </c>
      <c r="H624" t="s">
        <v>26</v>
      </c>
      <c r="I624">
        <v>1914.0799999999899</v>
      </c>
      <c r="J624">
        <v>14</v>
      </c>
      <c r="K624">
        <v>0.2</v>
      </c>
      <c r="L624">
        <v>669.76</v>
      </c>
      <c r="M624" t="s">
        <v>19</v>
      </c>
    </row>
    <row r="625" spans="1:13">
      <c r="A625" t="s">
        <v>1147</v>
      </c>
      <c r="B625" s="1">
        <v>42012</v>
      </c>
      <c r="C625" s="1">
        <v>42017</v>
      </c>
      <c r="D625" t="s">
        <v>1042</v>
      </c>
      <c r="E625" t="s">
        <v>60</v>
      </c>
      <c r="F625" t="s">
        <v>61</v>
      </c>
      <c r="G625" t="s">
        <v>17</v>
      </c>
      <c r="H625" t="s">
        <v>23</v>
      </c>
      <c r="I625">
        <v>3393.12</v>
      </c>
      <c r="J625">
        <v>8</v>
      </c>
      <c r="K625">
        <v>0</v>
      </c>
      <c r="L625">
        <v>101.76</v>
      </c>
      <c r="M625" t="s">
        <v>19</v>
      </c>
    </row>
    <row r="626" spans="1:13">
      <c r="A626" t="s">
        <v>1148</v>
      </c>
      <c r="B626" s="1">
        <v>41821</v>
      </c>
      <c r="C626" s="1">
        <v>41824</v>
      </c>
      <c r="D626" t="s">
        <v>1049</v>
      </c>
      <c r="E626" t="s">
        <v>40</v>
      </c>
      <c r="F626" t="s">
        <v>41</v>
      </c>
      <c r="G626" t="s">
        <v>17</v>
      </c>
      <c r="H626" t="s">
        <v>18</v>
      </c>
      <c r="I626">
        <v>50.12</v>
      </c>
      <c r="J626">
        <v>7</v>
      </c>
      <c r="K626">
        <v>0.2</v>
      </c>
      <c r="L626">
        <v>-0.62650000000000705</v>
      </c>
      <c r="M626" t="s">
        <v>19</v>
      </c>
    </row>
    <row r="627" spans="1:13">
      <c r="B627" s="1">
        <v>42182</v>
      </c>
      <c r="C627" s="1">
        <v>42182</v>
      </c>
      <c r="D627" t="s">
        <v>799</v>
      </c>
      <c r="F627" t="s">
        <v>90</v>
      </c>
      <c r="G627" t="s">
        <v>17</v>
      </c>
      <c r="H627" t="s">
        <v>26</v>
      </c>
      <c r="I627">
        <v>1446.6</v>
      </c>
      <c r="J627">
        <v>4</v>
      </c>
      <c r="K627" t="s">
        <v>226</v>
      </c>
      <c r="L627">
        <v>665.4</v>
      </c>
      <c r="M627" t="s">
        <v>37</v>
      </c>
    </row>
    <row r="628" spans="1:13">
      <c r="A628" t="s">
        <v>1149</v>
      </c>
      <c r="B628" s="1">
        <v>40979</v>
      </c>
      <c r="C628" s="1">
        <v>40984</v>
      </c>
      <c r="D628" t="s">
        <v>838</v>
      </c>
      <c r="E628" t="s">
        <v>66</v>
      </c>
      <c r="F628" t="s">
        <v>90</v>
      </c>
      <c r="G628" t="s">
        <v>32</v>
      </c>
      <c r="H628" t="s">
        <v>23</v>
      </c>
      <c r="I628">
        <v>3272.0099999999902</v>
      </c>
      <c r="J628">
        <v>7</v>
      </c>
      <c r="K628">
        <v>0</v>
      </c>
      <c r="L628">
        <v>1537.83</v>
      </c>
      <c r="M628" t="s">
        <v>19</v>
      </c>
    </row>
    <row r="629" spans="1:13">
      <c r="A629" t="s">
        <v>1150</v>
      </c>
      <c r="B629" s="1">
        <v>41654</v>
      </c>
      <c r="C629" s="1">
        <v>41660</v>
      </c>
      <c r="D629" t="s">
        <v>1151</v>
      </c>
      <c r="E629" t="s">
        <v>250</v>
      </c>
      <c r="F629" t="s">
        <v>142</v>
      </c>
      <c r="G629" t="s">
        <v>45</v>
      </c>
      <c r="H629" t="s">
        <v>33</v>
      </c>
      <c r="I629">
        <v>3386.8589999999999</v>
      </c>
      <c r="J629">
        <v>7</v>
      </c>
      <c r="K629">
        <v>0.15</v>
      </c>
      <c r="L629">
        <v>-597.68100000000004</v>
      </c>
      <c r="M629" t="s">
        <v>74</v>
      </c>
    </row>
    <row r="630" spans="1:13">
      <c r="B630" s="1">
        <v>41514</v>
      </c>
      <c r="C630" s="1">
        <v>41519</v>
      </c>
      <c r="D630" t="s">
        <v>126</v>
      </c>
      <c r="E630" t="s">
        <v>15</v>
      </c>
      <c r="F630" t="s">
        <v>16</v>
      </c>
      <c r="G630" t="s">
        <v>45</v>
      </c>
      <c r="H630" t="s">
        <v>23</v>
      </c>
      <c r="I630">
        <v>2498.5259999999998</v>
      </c>
      <c r="J630">
        <v>9</v>
      </c>
      <c r="K630">
        <v>0.1</v>
      </c>
      <c r="L630">
        <v>499.44600000000003</v>
      </c>
      <c r="M630" t="s">
        <v>19</v>
      </c>
    </row>
    <row r="631" spans="1:13">
      <c r="A631" t="s">
        <v>1152</v>
      </c>
      <c r="B631" s="1">
        <v>41231</v>
      </c>
      <c r="C631" s="1">
        <v>41233</v>
      </c>
      <c r="D631" t="s">
        <v>837</v>
      </c>
      <c r="E631" t="s">
        <v>1153</v>
      </c>
      <c r="F631" t="s">
        <v>77</v>
      </c>
      <c r="G631" t="s">
        <v>17</v>
      </c>
      <c r="H631" t="s">
        <v>73</v>
      </c>
      <c r="I631">
        <v>728.53200000000004</v>
      </c>
      <c r="J631">
        <v>7</v>
      </c>
      <c r="K631">
        <v>0.4</v>
      </c>
      <c r="L631">
        <v>-133.72799999999901</v>
      </c>
      <c r="M631" t="s">
        <v>27</v>
      </c>
    </row>
    <row r="632" spans="1:13">
      <c r="A632" t="s">
        <v>1154</v>
      </c>
      <c r="B632" s="1">
        <v>42362</v>
      </c>
      <c r="C632" s="1">
        <v>42366</v>
      </c>
      <c r="D632" t="s">
        <v>1155</v>
      </c>
      <c r="E632" t="s">
        <v>1156</v>
      </c>
      <c r="F632" t="s">
        <v>56</v>
      </c>
      <c r="G632" t="s">
        <v>17</v>
      </c>
      <c r="H632" t="s">
        <v>26</v>
      </c>
      <c r="J632">
        <v>4</v>
      </c>
      <c r="L632">
        <v>772.68</v>
      </c>
      <c r="M632" t="s">
        <v>37</v>
      </c>
    </row>
    <row r="633" spans="1:13">
      <c r="A633" t="s">
        <v>1157</v>
      </c>
      <c r="B633" t="s">
        <v>1158</v>
      </c>
      <c r="C633" s="1">
        <v>41445</v>
      </c>
      <c r="D633" t="s">
        <v>1159</v>
      </c>
      <c r="E633" t="s">
        <v>76</v>
      </c>
      <c r="F633" t="s">
        <v>77</v>
      </c>
      <c r="G633" t="s">
        <v>32</v>
      </c>
      <c r="H633" t="s">
        <v>73</v>
      </c>
      <c r="I633">
        <v>2546.46</v>
      </c>
      <c r="J633">
        <v>7</v>
      </c>
      <c r="K633">
        <v>0</v>
      </c>
      <c r="L633">
        <v>381.78</v>
      </c>
      <c r="M633" t="s">
        <v>37</v>
      </c>
    </row>
    <row r="634" spans="1:13">
      <c r="A634" t="s">
        <v>1160</v>
      </c>
      <c r="B634" s="1">
        <v>41831</v>
      </c>
      <c r="C634" s="1">
        <v>41835</v>
      </c>
      <c r="D634" t="s">
        <v>1161</v>
      </c>
      <c r="E634" t="s">
        <v>554</v>
      </c>
      <c r="F634" t="s">
        <v>90</v>
      </c>
      <c r="G634" t="s">
        <v>32</v>
      </c>
      <c r="H634" t="s">
        <v>26</v>
      </c>
      <c r="I634">
        <v>2888.76</v>
      </c>
      <c r="J634">
        <v>7</v>
      </c>
      <c r="K634">
        <v>0</v>
      </c>
      <c r="L634">
        <v>173.25</v>
      </c>
      <c r="M634" t="s">
        <v>19</v>
      </c>
    </row>
    <row r="635" spans="1:13">
      <c r="A635" t="s">
        <v>1162</v>
      </c>
      <c r="B635" s="1">
        <v>41416</v>
      </c>
      <c r="C635" s="1">
        <v>41419</v>
      </c>
      <c r="D635" t="s">
        <v>672</v>
      </c>
      <c r="E635" t="s">
        <v>689</v>
      </c>
      <c r="F635" t="s">
        <v>142</v>
      </c>
      <c r="G635" t="s">
        <v>17</v>
      </c>
      <c r="H635" t="s">
        <v>151</v>
      </c>
      <c r="I635">
        <v>1031.3999999999901</v>
      </c>
      <c r="J635">
        <v>4</v>
      </c>
      <c r="K635">
        <v>0</v>
      </c>
      <c r="L635">
        <v>1773.8879586580799</v>
      </c>
      <c r="M635" t="s">
        <v>37</v>
      </c>
    </row>
    <row r="636" spans="1:13">
      <c r="A636" t="s">
        <v>1163</v>
      </c>
      <c r="B636" s="1">
        <v>42221</v>
      </c>
      <c r="C636" s="1">
        <v>42225</v>
      </c>
      <c r="D636" t="s">
        <v>1164</v>
      </c>
      <c r="E636" t="s">
        <v>93</v>
      </c>
      <c r="F636" t="s">
        <v>94</v>
      </c>
      <c r="G636" t="s">
        <v>17</v>
      </c>
      <c r="H636" t="s">
        <v>151</v>
      </c>
      <c r="I636">
        <v>1237.44</v>
      </c>
      <c r="J636">
        <v>8</v>
      </c>
      <c r="K636">
        <v>0</v>
      </c>
      <c r="L636">
        <v>74.16</v>
      </c>
      <c r="M636" t="s">
        <v>37</v>
      </c>
    </row>
    <row r="637" spans="1:13">
      <c r="A637" t="s">
        <v>1165</v>
      </c>
      <c r="B637" s="1">
        <v>42228</v>
      </c>
      <c r="C637" s="1">
        <v>42231</v>
      </c>
      <c r="D637" t="s">
        <v>580</v>
      </c>
      <c r="E637" t="s">
        <v>130</v>
      </c>
      <c r="F637" t="s">
        <v>131</v>
      </c>
      <c r="G637" t="s">
        <v>17</v>
      </c>
      <c r="H637" t="s">
        <v>18</v>
      </c>
      <c r="I637">
        <v>1018.32</v>
      </c>
      <c r="J637">
        <v>4</v>
      </c>
      <c r="K637">
        <v>0</v>
      </c>
      <c r="L637">
        <v>183.24</v>
      </c>
      <c r="M637" t="s">
        <v>27</v>
      </c>
    </row>
    <row r="638" spans="1:13">
      <c r="A638" t="s">
        <v>285</v>
      </c>
      <c r="B638" s="1">
        <v>41634</v>
      </c>
      <c r="C638" s="1">
        <v>41636</v>
      </c>
      <c r="D638" t="s">
        <v>287</v>
      </c>
      <c r="E638" t="s">
        <v>197</v>
      </c>
      <c r="F638" t="s">
        <v>77</v>
      </c>
      <c r="G638" t="s">
        <v>45</v>
      </c>
      <c r="H638" t="s">
        <v>26</v>
      </c>
      <c r="I638">
        <v>600.6</v>
      </c>
      <c r="J638">
        <v>13</v>
      </c>
      <c r="K638">
        <v>0</v>
      </c>
      <c r="L638">
        <v>131.82</v>
      </c>
      <c r="M638" t="s">
        <v>27</v>
      </c>
    </row>
    <row r="639" spans="1:13">
      <c r="A639" t="s">
        <v>1166</v>
      </c>
      <c r="B639" s="1">
        <v>41644</v>
      </c>
      <c r="C639" s="1">
        <v>41649</v>
      </c>
      <c r="D639" t="s">
        <v>1167</v>
      </c>
      <c r="E639" t="s">
        <v>70</v>
      </c>
      <c r="F639" t="s">
        <v>71</v>
      </c>
      <c r="G639" t="s">
        <v>32</v>
      </c>
      <c r="H639" t="s">
        <v>127</v>
      </c>
      <c r="J639">
        <v>7</v>
      </c>
      <c r="K639">
        <v>0.1</v>
      </c>
      <c r="L639">
        <v>1163.883</v>
      </c>
      <c r="M639" t="s">
        <v>19</v>
      </c>
    </row>
    <row r="640" spans="1:13">
      <c r="A640" t="s">
        <v>1168</v>
      </c>
      <c r="B640" s="1">
        <v>42367</v>
      </c>
      <c r="C640" s="1">
        <v>42369</v>
      </c>
      <c r="D640" t="s">
        <v>418</v>
      </c>
      <c r="E640" t="s">
        <v>15</v>
      </c>
      <c r="F640" t="s">
        <v>16</v>
      </c>
      <c r="G640" t="s">
        <v>45</v>
      </c>
      <c r="H640" t="s">
        <v>57</v>
      </c>
      <c r="I640">
        <v>1534.8689999999999</v>
      </c>
      <c r="J640">
        <v>3</v>
      </c>
      <c r="K640">
        <v>0.1</v>
      </c>
      <c r="L640">
        <v>-102.411</v>
      </c>
      <c r="M640" t="s">
        <v>1169</v>
      </c>
    </row>
    <row r="641" spans="1:13">
      <c r="A641" t="s">
        <v>1170</v>
      </c>
      <c r="B641" s="1">
        <v>41989</v>
      </c>
      <c r="C641" s="1">
        <v>41993</v>
      </c>
      <c r="D641" t="s">
        <v>1171</v>
      </c>
      <c r="E641" t="s">
        <v>31</v>
      </c>
      <c r="F641" t="s">
        <v>16</v>
      </c>
      <c r="G641" t="s">
        <v>17</v>
      </c>
      <c r="H641" t="s">
        <v>151</v>
      </c>
      <c r="J641">
        <v>10</v>
      </c>
      <c r="K641">
        <v>0</v>
      </c>
      <c r="L641">
        <v>2447.1</v>
      </c>
      <c r="M641" t="s">
        <v>19</v>
      </c>
    </row>
    <row r="642" spans="1:13">
      <c r="A642" t="s">
        <v>1172</v>
      </c>
      <c r="B642" s="1">
        <v>41697</v>
      </c>
      <c r="C642" s="1">
        <v>41702</v>
      </c>
      <c r="D642" t="s">
        <v>541</v>
      </c>
      <c r="E642" t="s">
        <v>141</v>
      </c>
      <c r="F642" t="s">
        <v>657</v>
      </c>
      <c r="G642" t="s">
        <v>17</v>
      </c>
      <c r="H642" t="s">
        <v>73</v>
      </c>
      <c r="I642">
        <v>1781.13599999999</v>
      </c>
      <c r="J642">
        <v>8</v>
      </c>
      <c r="K642">
        <v>7.0000000000000007E-2</v>
      </c>
      <c r="M642" t="s">
        <v>37</v>
      </c>
    </row>
    <row r="643" spans="1:13">
      <c r="A643" t="s">
        <v>1173</v>
      </c>
      <c r="B643" s="1">
        <v>41459</v>
      </c>
      <c r="C643" s="1">
        <v>41459</v>
      </c>
      <c r="D643" t="s">
        <v>1174</v>
      </c>
      <c r="E643" t="s">
        <v>60</v>
      </c>
      <c r="F643" t="s">
        <v>61</v>
      </c>
      <c r="G643" t="s">
        <v>17</v>
      </c>
      <c r="H643" t="s">
        <v>33</v>
      </c>
      <c r="I643">
        <v>1363.2</v>
      </c>
      <c r="J643">
        <v>8</v>
      </c>
      <c r="K643">
        <v>0.6</v>
      </c>
      <c r="L643">
        <v>-1806.24</v>
      </c>
      <c r="M643" t="s">
        <v>27</v>
      </c>
    </row>
    <row r="644" spans="1:13">
      <c r="A644" t="s">
        <v>1175</v>
      </c>
      <c r="B644" s="1">
        <v>41506</v>
      </c>
      <c r="C644" s="1">
        <v>41510</v>
      </c>
      <c r="D644" t="s">
        <v>1176</v>
      </c>
      <c r="E644" t="s">
        <v>93</v>
      </c>
      <c r="F644" t="s">
        <v>94</v>
      </c>
      <c r="G644" t="s">
        <v>32</v>
      </c>
      <c r="H644" t="s">
        <v>26</v>
      </c>
      <c r="I644">
        <v>3315.26999999999</v>
      </c>
      <c r="J644">
        <v>7</v>
      </c>
      <c r="K644">
        <v>0</v>
      </c>
      <c r="L644">
        <v>961.38</v>
      </c>
      <c r="M644" t="s">
        <v>37</v>
      </c>
    </row>
    <row r="645" spans="1:13">
      <c r="A645" t="s">
        <v>1177</v>
      </c>
      <c r="B645" s="1">
        <v>42015</v>
      </c>
      <c r="C645" s="1">
        <v>42313</v>
      </c>
      <c r="D645" t="s">
        <v>1049</v>
      </c>
      <c r="E645" t="s">
        <v>40</v>
      </c>
      <c r="F645" t="s">
        <v>41</v>
      </c>
      <c r="G645" t="s">
        <v>45</v>
      </c>
      <c r="H645" t="s">
        <v>26</v>
      </c>
      <c r="I645">
        <v>5.2480000000000002</v>
      </c>
      <c r="J645" t="s">
        <v>63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1178</v>
      </c>
      <c r="E646" t="s">
        <v>70</v>
      </c>
      <c r="F646" t="s">
        <v>71</v>
      </c>
      <c r="G646" t="s">
        <v>17</v>
      </c>
      <c r="H646" t="s">
        <v>23</v>
      </c>
      <c r="I646">
        <v>2123.0279999999998</v>
      </c>
      <c r="J646">
        <v>8</v>
      </c>
      <c r="K646">
        <v>0.15</v>
      </c>
      <c r="L646">
        <v>124.787999999999</v>
      </c>
      <c r="M646" t="s">
        <v>37</v>
      </c>
    </row>
    <row r="647" spans="1:13">
      <c r="A647" t="s">
        <v>1179</v>
      </c>
      <c r="B647" s="1">
        <v>42337</v>
      </c>
      <c r="C647" s="1">
        <v>42342</v>
      </c>
      <c r="D647" t="s">
        <v>672</v>
      </c>
      <c r="E647" t="s">
        <v>22</v>
      </c>
      <c r="F647" t="s">
        <v>71</v>
      </c>
      <c r="H647" t="s">
        <v>151</v>
      </c>
      <c r="I647">
        <v>2478.84</v>
      </c>
      <c r="K647">
        <v>0</v>
      </c>
      <c r="L647">
        <v>272.58</v>
      </c>
      <c r="M647" t="s">
        <v>19</v>
      </c>
    </row>
    <row r="648" spans="1:13">
      <c r="A648" t="s">
        <v>1180</v>
      </c>
      <c r="B648" s="1">
        <v>41006</v>
      </c>
      <c r="C648" s="1">
        <v>41011</v>
      </c>
      <c r="D648" t="s">
        <v>298</v>
      </c>
      <c r="E648" t="s">
        <v>15</v>
      </c>
      <c r="F648" t="s">
        <v>16</v>
      </c>
      <c r="G648" t="s">
        <v>45</v>
      </c>
      <c r="H648" t="s">
        <v>127</v>
      </c>
      <c r="I648">
        <v>1894.5360000000001</v>
      </c>
      <c r="J648">
        <v>4</v>
      </c>
      <c r="K648">
        <v>0.1</v>
      </c>
      <c r="L648">
        <v>505.17599999999999</v>
      </c>
      <c r="M648" t="s">
        <v>37</v>
      </c>
    </row>
    <row r="649" spans="1:13">
      <c r="A649" t="s">
        <v>1181</v>
      </c>
      <c r="B649" s="1">
        <v>42328</v>
      </c>
      <c r="C649" s="1">
        <v>42331</v>
      </c>
      <c r="E649" t="s">
        <v>40</v>
      </c>
      <c r="F649" t="s">
        <v>111</v>
      </c>
      <c r="G649" t="s">
        <v>1182</v>
      </c>
      <c r="H649" t="s">
        <v>33</v>
      </c>
      <c r="I649">
        <v>41.28</v>
      </c>
      <c r="J649">
        <v>6</v>
      </c>
      <c r="K649">
        <v>0.2</v>
      </c>
      <c r="L649">
        <v>13.931999999999899</v>
      </c>
      <c r="M649" t="s">
        <v>19</v>
      </c>
    </row>
    <row r="650" spans="1:13">
      <c r="A650" t="s">
        <v>1183</v>
      </c>
      <c r="B650" s="1">
        <v>41403</v>
      </c>
      <c r="C650" s="1">
        <v>41407</v>
      </c>
      <c r="D650" t="s">
        <v>1184</v>
      </c>
      <c r="E650" t="s">
        <v>450</v>
      </c>
      <c r="F650" t="s">
        <v>450</v>
      </c>
      <c r="G650" t="s">
        <v>45</v>
      </c>
      <c r="H650" t="s">
        <v>73</v>
      </c>
      <c r="I650">
        <v>187.01999999999899</v>
      </c>
      <c r="J650">
        <v>6</v>
      </c>
      <c r="K650">
        <v>0</v>
      </c>
      <c r="L650">
        <v>26.099999999999898</v>
      </c>
      <c r="M650" t="s">
        <v>596</v>
      </c>
    </row>
    <row r="651" spans="1:13">
      <c r="A651" t="s">
        <v>1185</v>
      </c>
      <c r="B651" s="1">
        <v>41597</v>
      </c>
      <c r="C651" s="1">
        <v>41601</v>
      </c>
      <c r="D651" t="s">
        <v>487</v>
      </c>
      <c r="E651" t="s">
        <v>66</v>
      </c>
      <c r="F651" t="s">
        <v>90</v>
      </c>
      <c r="G651" t="s">
        <v>17</v>
      </c>
      <c r="H651" t="s">
        <v>299</v>
      </c>
      <c r="I651">
        <v>1317.8999999999901</v>
      </c>
      <c r="J651">
        <v>5</v>
      </c>
      <c r="K651">
        <v>0</v>
      </c>
      <c r="L651">
        <v>0</v>
      </c>
      <c r="M651" t="s">
        <v>37</v>
      </c>
    </row>
    <row r="652" spans="1:13">
      <c r="A652" t="s">
        <v>423</v>
      </c>
      <c r="B652" s="1">
        <v>42248</v>
      </c>
      <c r="C652" s="1">
        <v>42248</v>
      </c>
      <c r="D652" t="s">
        <v>424</v>
      </c>
      <c r="E652" t="s">
        <v>22</v>
      </c>
      <c r="F652" t="s">
        <v>71</v>
      </c>
      <c r="G652" t="s">
        <v>17</v>
      </c>
      <c r="H652" t="s">
        <v>33</v>
      </c>
      <c r="I652">
        <v>1350.09</v>
      </c>
      <c r="J652">
        <v>7</v>
      </c>
      <c r="K652">
        <v>0</v>
      </c>
      <c r="L652">
        <v>256.41000000000003</v>
      </c>
      <c r="M652" t="s">
        <v>27</v>
      </c>
    </row>
    <row r="653" spans="1:13">
      <c r="A653" t="s">
        <v>1186</v>
      </c>
      <c r="B653" s="1">
        <v>41947</v>
      </c>
      <c r="C653" s="1">
        <v>41951</v>
      </c>
      <c r="E653" t="s">
        <v>66</v>
      </c>
      <c r="F653" t="s">
        <v>90</v>
      </c>
      <c r="G653" t="s">
        <v>17</v>
      </c>
      <c r="H653" t="s">
        <v>33</v>
      </c>
      <c r="I653">
        <v>1839.18</v>
      </c>
      <c r="J653">
        <v>7</v>
      </c>
      <c r="K653">
        <v>0</v>
      </c>
      <c r="L653">
        <v>238.98</v>
      </c>
      <c r="M653" t="s">
        <v>37</v>
      </c>
    </row>
    <row r="654" spans="1:13">
      <c r="A654" t="s">
        <v>1181</v>
      </c>
      <c r="B654" s="1">
        <v>42328</v>
      </c>
      <c r="C654" s="1">
        <v>42331</v>
      </c>
      <c r="D654" t="s">
        <v>1184</v>
      </c>
      <c r="E654" t="s">
        <v>40</v>
      </c>
      <c r="F654" t="s">
        <v>111</v>
      </c>
      <c r="G654" t="s">
        <v>45</v>
      </c>
      <c r="H654" t="s">
        <v>33</v>
      </c>
      <c r="I654">
        <v>13.36</v>
      </c>
      <c r="J654">
        <v>2</v>
      </c>
      <c r="K654">
        <v>0</v>
      </c>
      <c r="L654">
        <v>6.4127999999999998</v>
      </c>
      <c r="M654" t="s">
        <v>19</v>
      </c>
    </row>
    <row r="655" spans="1:13">
      <c r="A655" t="s">
        <v>1187</v>
      </c>
      <c r="B655" s="1">
        <v>41962</v>
      </c>
      <c r="C655" s="1">
        <v>41967</v>
      </c>
      <c r="D655" t="s">
        <v>1111</v>
      </c>
      <c r="E655" t="s">
        <v>93</v>
      </c>
      <c r="F655" t="s">
        <v>94</v>
      </c>
      <c r="G655" t="s">
        <v>17</v>
      </c>
      <c r="H655" t="s">
        <v>127</v>
      </c>
      <c r="I655">
        <v>1908.18</v>
      </c>
      <c r="J655">
        <v>3</v>
      </c>
      <c r="K655">
        <v>0</v>
      </c>
      <c r="L655">
        <v>820.44</v>
      </c>
      <c r="M655" t="s">
        <v>37</v>
      </c>
    </row>
    <row r="656" spans="1:13">
      <c r="A656" t="s">
        <v>1188</v>
      </c>
      <c r="B656" s="1">
        <v>42369</v>
      </c>
      <c r="C656" s="1">
        <v>42372</v>
      </c>
      <c r="D656" t="s">
        <v>1189</v>
      </c>
      <c r="E656" t="s">
        <v>60</v>
      </c>
      <c r="F656" t="s">
        <v>61</v>
      </c>
      <c r="G656" t="s">
        <v>17</v>
      </c>
      <c r="H656" t="s">
        <v>33</v>
      </c>
      <c r="I656">
        <v>1264.4659999999999</v>
      </c>
      <c r="J656">
        <v>5</v>
      </c>
      <c r="K656">
        <v>2E-3</v>
      </c>
      <c r="M656" t="s">
        <v>37</v>
      </c>
    </row>
    <row r="657" spans="1:13">
      <c r="A657" t="s">
        <v>1190</v>
      </c>
      <c r="C657" s="1">
        <v>41963</v>
      </c>
      <c r="E657" t="s">
        <v>40</v>
      </c>
      <c r="F657" t="s">
        <v>43</v>
      </c>
      <c r="G657" t="s">
        <v>32</v>
      </c>
      <c r="H657" t="s">
        <v>26</v>
      </c>
      <c r="I657">
        <v>4.18</v>
      </c>
      <c r="J657">
        <v>1</v>
      </c>
      <c r="K657">
        <v>0</v>
      </c>
      <c r="L657">
        <v>1.5047999999999999</v>
      </c>
      <c r="M657" t="s">
        <v>19</v>
      </c>
    </row>
    <row r="658" spans="1:13">
      <c r="A658" t="s">
        <v>1191</v>
      </c>
      <c r="B658" s="1">
        <v>41306</v>
      </c>
      <c r="C658" s="1">
        <v>41309</v>
      </c>
      <c r="D658" t="s">
        <v>1192</v>
      </c>
      <c r="E658" t="s">
        <v>22</v>
      </c>
      <c r="F658" t="s">
        <v>71</v>
      </c>
      <c r="G658" t="s">
        <v>624</v>
      </c>
      <c r="H658" t="s">
        <v>33</v>
      </c>
      <c r="I658">
        <v>965.16</v>
      </c>
      <c r="J658">
        <v>7</v>
      </c>
      <c r="K658">
        <v>0</v>
      </c>
      <c r="L658">
        <v>463.25999999999902</v>
      </c>
      <c r="M658" t="s">
        <v>37</v>
      </c>
    </row>
    <row r="659" spans="1:13">
      <c r="A659" t="s">
        <v>1193</v>
      </c>
      <c r="B659" s="1">
        <v>41717</v>
      </c>
      <c r="C659" s="1">
        <v>41717</v>
      </c>
      <c r="D659" t="s">
        <v>1194</v>
      </c>
      <c r="E659" t="s">
        <v>70</v>
      </c>
      <c r="F659" t="s">
        <v>71</v>
      </c>
      <c r="G659" t="s">
        <v>45</v>
      </c>
      <c r="H659" t="s">
        <v>57</v>
      </c>
      <c r="I659">
        <v>748.11599999999999</v>
      </c>
      <c r="J659">
        <v>4</v>
      </c>
      <c r="K659">
        <v>0.1</v>
      </c>
      <c r="L659">
        <v>282.515999999999</v>
      </c>
      <c r="M659" t="s">
        <v>27</v>
      </c>
    </row>
    <row r="660" spans="1:13">
      <c r="A660" t="s">
        <v>1195</v>
      </c>
      <c r="B660" t="s">
        <v>1196</v>
      </c>
      <c r="C660" s="1">
        <v>41356</v>
      </c>
      <c r="D660" t="s">
        <v>1197</v>
      </c>
      <c r="F660" t="s">
        <v>71</v>
      </c>
      <c r="G660" t="s">
        <v>32</v>
      </c>
      <c r="H660" t="s">
        <v>26</v>
      </c>
      <c r="I660">
        <v>943.86599999999999</v>
      </c>
      <c r="J660">
        <v>7</v>
      </c>
      <c r="K660">
        <v>0.1</v>
      </c>
      <c r="L660">
        <v>209.70599999999899</v>
      </c>
      <c r="M660" t="s">
        <v>1198</v>
      </c>
    </row>
    <row r="661" spans="1:13">
      <c r="B661" s="1">
        <v>42148</v>
      </c>
      <c r="C661" s="1">
        <v>42153</v>
      </c>
      <c r="D661" t="s">
        <v>216</v>
      </c>
      <c r="E661" t="s">
        <v>66</v>
      </c>
      <c r="F661" t="s">
        <v>90</v>
      </c>
      <c r="G661" t="s">
        <v>32</v>
      </c>
      <c r="H661" t="s">
        <v>299</v>
      </c>
      <c r="I661">
        <v>1447.44</v>
      </c>
      <c r="J661">
        <v>4</v>
      </c>
      <c r="K661">
        <v>0</v>
      </c>
      <c r="L661">
        <v>43.32</v>
      </c>
      <c r="M661" t="s">
        <v>19</v>
      </c>
    </row>
    <row r="662" spans="1:13">
      <c r="A662" t="s">
        <v>1199</v>
      </c>
      <c r="B662" s="1">
        <v>41804</v>
      </c>
      <c r="C662" s="1">
        <v>41806</v>
      </c>
      <c r="D662" t="s">
        <v>630</v>
      </c>
      <c r="E662" t="s">
        <v>76</v>
      </c>
      <c r="F662" t="s">
        <v>77</v>
      </c>
      <c r="G662" t="s">
        <v>17</v>
      </c>
      <c r="H662" t="s">
        <v>151</v>
      </c>
      <c r="I662">
        <v>1552.5</v>
      </c>
      <c r="J662">
        <v>6</v>
      </c>
      <c r="K662">
        <v>0</v>
      </c>
      <c r="L662">
        <v>62.1</v>
      </c>
      <c r="M662" t="s">
        <v>19</v>
      </c>
    </row>
    <row r="663" spans="1:13">
      <c r="A663" t="s">
        <v>1200</v>
      </c>
      <c r="B663" s="1">
        <v>40972</v>
      </c>
      <c r="C663" s="1">
        <v>40975</v>
      </c>
      <c r="D663" t="s">
        <v>218</v>
      </c>
      <c r="E663" t="s">
        <v>40</v>
      </c>
      <c r="F663" t="s">
        <v>111</v>
      </c>
      <c r="G663" t="s">
        <v>17</v>
      </c>
      <c r="H663" t="s">
        <v>151</v>
      </c>
      <c r="I663">
        <v>479.97</v>
      </c>
      <c r="J663">
        <v>3</v>
      </c>
      <c r="K663" t="s">
        <v>226</v>
      </c>
      <c r="L663">
        <v>177.5889</v>
      </c>
      <c r="M663" t="s">
        <v>19</v>
      </c>
    </row>
    <row r="664" spans="1:13">
      <c r="A664" t="s">
        <v>1200</v>
      </c>
      <c r="B664" s="1">
        <v>40972</v>
      </c>
      <c r="C664" s="1">
        <v>40975</v>
      </c>
      <c r="D664" t="s">
        <v>218</v>
      </c>
      <c r="E664" t="s">
        <v>40</v>
      </c>
      <c r="G664" t="s">
        <v>165</v>
      </c>
      <c r="H664" t="s">
        <v>18</v>
      </c>
      <c r="I664">
        <v>97.82</v>
      </c>
      <c r="J664">
        <v>2</v>
      </c>
      <c r="L664">
        <v>45.975399999999901</v>
      </c>
      <c r="M664" t="s">
        <v>19</v>
      </c>
    </row>
    <row r="665" spans="1:13">
      <c r="A665" t="s">
        <v>1200</v>
      </c>
      <c r="B665" s="1">
        <v>40972</v>
      </c>
      <c r="C665" s="1">
        <v>40975</v>
      </c>
      <c r="D665" t="s">
        <v>218</v>
      </c>
      <c r="E665" t="s">
        <v>40</v>
      </c>
      <c r="F665" t="s">
        <v>111</v>
      </c>
      <c r="G665" t="s">
        <v>45</v>
      </c>
      <c r="H665" t="s">
        <v>33</v>
      </c>
      <c r="I665">
        <v>59.519999999999897</v>
      </c>
      <c r="J665">
        <v>3</v>
      </c>
      <c r="K665">
        <v>0</v>
      </c>
      <c r="L665">
        <v>15.475199999999999</v>
      </c>
      <c r="M665" t="s">
        <v>19</v>
      </c>
    </row>
    <row r="666" spans="1:13">
      <c r="B666" s="1">
        <v>41982</v>
      </c>
      <c r="C666" s="1">
        <v>41984</v>
      </c>
      <c r="E666" t="s">
        <v>60</v>
      </c>
      <c r="F666" t="s">
        <v>61</v>
      </c>
      <c r="G666" t="s">
        <v>32</v>
      </c>
      <c r="H666" t="s">
        <v>73</v>
      </c>
      <c r="I666">
        <v>919.25999999999897</v>
      </c>
      <c r="J666">
        <v>3</v>
      </c>
      <c r="L666">
        <v>266.58</v>
      </c>
      <c r="M666" t="s">
        <v>27</v>
      </c>
    </row>
    <row r="667" spans="1:13">
      <c r="A667" t="s">
        <v>1201</v>
      </c>
      <c r="B667" s="2">
        <v>41892</v>
      </c>
      <c r="C667" s="1">
        <v>41926</v>
      </c>
      <c r="D667" t="s">
        <v>1146</v>
      </c>
      <c r="E667" t="s">
        <v>97</v>
      </c>
      <c r="F667" t="s">
        <v>98</v>
      </c>
      <c r="G667" t="s">
        <v>17</v>
      </c>
      <c r="H667" t="s">
        <v>23</v>
      </c>
      <c r="I667">
        <v>3045.8399999999901</v>
      </c>
      <c r="K667">
        <v>0</v>
      </c>
      <c r="L667">
        <v>1035.58</v>
      </c>
      <c r="M667" t="s">
        <v>37</v>
      </c>
    </row>
    <row r="668" spans="1:13">
      <c r="A668" t="s">
        <v>1202</v>
      </c>
      <c r="B668" s="1">
        <v>41928</v>
      </c>
      <c r="C668" s="1">
        <v>41930</v>
      </c>
      <c r="D668" t="s">
        <v>1203</v>
      </c>
      <c r="E668" t="s">
        <v>15</v>
      </c>
      <c r="F668" t="s">
        <v>16</v>
      </c>
      <c r="G668" t="s">
        <v>17</v>
      </c>
      <c r="H668" t="s">
        <v>23</v>
      </c>
      <c r="I668">
        <v>766.87199999999996</v>
      </c>
      <c r="K668">
        <v>0.4</v>
      </c>
      <c r="L668">
        <v>114.971999999999</v>
      </c>
      <c r="M668" t="s">
        <v>37</v>
      </c>
    </row>
    <row r="669" spans="1:13">
      <c r="A669" t="s">
        <v>1204</v>
      </c>
      <c r="C669" s="1">
        <v>41270</v>
      </c>
      <c r="D669" t="s">
        <v>1205</v>
      </c>
      <c r="E669" t="s">
        <v>232</v>
      </c>
      <c r="F669" t="s">
        <v>233</v>
      </c>
      <c r="G669" t="s">
        <v>32</v>
      </c>
      <c r="H669" t="s">
        <v>26</v>
      </c>
      <c r="I669">
        <v>2880.18</v>
      </c>
      <c r="J669">
        <v>6</v>
      </c>
      <c r="K669">
        <v>0</v>
      </c>
      <c r="L669">
        <v>115.2</v>
      </c>
      <c r="M669" t="s">
        <v>19</v>
      </c>
    </row>
    <row r="670" spans="1:13">
      <c r="A670" t="s">
        <v>1206</v>
      </c>
      <c r="B670" s="1">
        <v>41745</v>
      </c>
      <c r="C670" s="1">
        <v>41748</v>
      </c>
      <c r="D670" t="s">
        <v>1207</v>
      </c>
      <c r="E670" t="s">
        <v>60</v>
      </c>
      <c r="F670" t="s">
        <v>61</v>
      </c>
      <c r="G670" t="s">
        <v>45</v>
      </c>
      <c r="H670" t="s">
        <v>26</v>
      </c>
      <c r="I670">
        <v>1403.36</v>
      </c>
      <c r="J670">
        <v>4</v>
      </c>
      <c r="K670">
        <v>0</v>
      </c>
      <c r="L670">
        <v>449.039999999999</v>
      </c>
      <c r="M670" t="s">
        <v>785</v>
      </c>
    </row>
    <row r="671" spans="1:13">
      <c r="A671" t="s">
        <v>443</v>
      </c>
      <c r="B671" s="1">
        <v>41129</v>
      </c>
      <c r="C671" s="1">
        <v>41129</v>
      </c>
      <c r="D671" t="s">
        <v>444</v>
      </c>
      <c r="E671" t="s">
        <v>119</v>
      </c>
      <c r="F671" t="s">
        <v>120</v>
      </c>
      <c r="G671" t="s">
        <v>45</v>
      </c>
      <c r="H671" t="s">
        <v>44</v>
      </c>
      <c r="I671">
        <v>1819.104</v>
      </c>
      <c r="J671" t="s">
        <v>63</v>
      </c>
      <c r="K671">
        <v>0.2</v>
      </c>
      <c r="L671">
        <v>500.183999999999</v>
      </c>
      <c r="M671" t="s">
        <v>37</v>
      </c>
    </row>
    <row r="672" spans="1:13">
      <c r="A672" t="s">
        <v>1200</v>
      </c>
      <c r="B672" s="1">
        <v>40972</v>
      </c>
      <c r="C672" s="1">
        <v>40975</v>
      </c>
      <c r="D672" t="s">
        <v>218</v>
      </c>
      <c r="E672" t="s">
        <v>40</v>
      </c>
      <c r="F672" t="s">
        <v>111</v>
      </c>
      <c r="G672" t="s">
        <v>45</v>
      </c>
      <c r="H672" t="s">
        <v>73</v>
      </c>
      <c r="I672">
        <v>49.631999999999998</v>
      </c>
      <c r="J672">
        <v>6</v>
      </c>
      <c r="K672">
        <v>0.2</v>
      </c>
      <c r="L672">
        <v>16.750799999999899</v>
      </c>
      <c r="M672" t="s">
        <v>19</v>
      </c>
    </row>
    <row r="673" spans="1:13">
      <c r="A673" t="s">
        <v>1208</v>
      </c>
      <c r="B673" s="1">
        <v>41200</v>
      </c>
      <c r="C673" s="1">
        <v>41205</v>
      </c>
      <c r="D673" t="s">
        <v>563</v>
      </c>
      <c r="E673" t="s">
        <v>66</v>
      </c>
      <c r="F673" t="s">
        <v>90</v>
      </c>
      <c r="G673" t="s">
        <v>32</v>
      </c>
      <c r="H673" t="s">
        <v>73</v>
      </c>
      <c r="I673">
        <v>2018.3309999999999</v>
      </c>
      <c r="J673">
        <v>9</v>
      </c>
      <c r="K673">
        <v>0.3</v>
      </c>
      <c r="L673">
        <v>-576.90899999999999</v>
      </c>
      <c r="M673" t="s">
        <v>955</v>
      </c>
    </row>
    <row r="674" spans="1:13">
      <c r="B674" s="1">
        <v>40962</v>
      </c>
      <c r="C674" s="1">
        <v>40965</v>
      </c>
      <c r="D674" t="s">
        <v>792</v>
      </c>
      <c r="E674" t="s">
        <v>114</v>
      </c>
      <c r="F674" t="s">
        <v>115</v>
      </c>
      <c r="G674" t="s">
        <v>32</v>
      </c>
      <c r="H674" t="s">
        <v>18</v>
      </c>
      <c r="I674">
        <v>2065.5</v>
      </c>
      <c r="J674">
        <v>5</v>
      </c>
      <c r="K674">
        <v>0</v>
      </c>
      <c r="L674">
        <v>41.25</v>
      </c>
      <c r="M674" t="s">
        <v>37</v>
      </c>
    </row>
    <row r="675" spans="1:13">
      <c r="B675" t="s">
        <v>1209</v>
      </c>
      <c r="C675" s="2">
        <v>41216</v>
      </c>
      <c r="D675" t="s">
        <v>577</v>
      </c>
      <c r="E675" t="s">
        <v>66</v>
      </c>
      <c r="F675" t="s">
        <v>67</v>
      </c>
      <c r="G675" t="s">
        <v>17</v>
      </c>
      <c r="H675" t="s">
        <v>44</v>
      </c>
      <c r="J675">
        <v>4</v>
      </c>
      <c r="K675">
        <v>0</v>
      </c>
      <c r="L675">
        <v>382.2</v>
      </c>
      <c r="M675" t="s">
        <v>27</v>
      </c>
    </row>
    <row r="676" spans="1:13">
      <c r="A676" t="s">
        <v>1210</v>
      </c>
      <c r="B676" s="1">
        <v>42029</v>
      </c>
      <c r="C676" s="1">
        <v>42033</v>
      </c>
      <c r="D676" t="s">
        <v>1211</v>
      </c>
      <c r="E676" t="s">
        <v>114</v>
      </c>
      <c r="F676" t="s">
        <v>115</v>
      </c>
      <c r="G676" t="s">
        <v>32</v>
      </c>
      <c r="H676" t="s">
        <v>151</v>
      </c>
      <c r="I676">
        <v>2485.6199999999899</v>
      </c>
      <c r="J676">
        <v>6</v>
      </c>
      <c r="K676">
        <v>0</v>
      </c>
      <c r="L676">
        <v>795.24</v>
      </c>
      <c r="M676" t="s">
        <v>19</v>
      </c>
    </row>
    <row r="677" spans="1:13">
      <c r="A677" t="s">
        <v>1212</v>
      </c>
      <c r="B677" s="1">
        <v>42173</v>
      </c>
      <c r="C677" s="1">
        <v>42173</v>
      </c>
      <c r="D677" t="s">
        <v>1213</v>
      </c>
      <c r="E677" t="s">
        <v>93</v>
      </c>
      <c r="F677" t="s">
        <v>94</v>
      </c>
      <c r="G677" t="s">
        <v>1107</v>
      </c>
      <c r="H677" t="s">
        <v>33</v>
      </c>
      <c r="I677">
        <v>1560.23999999999</v>
      </c>
      <c r="J677">
        <v>3</v>
      </c>
      <c r="K677">
        <v>0</v>
      </c>
      <c r="L677">
        <v>421.19999999999902</v>
      </c>
      <c r="M677" t="s">
        <v>37</v>
      </c>
    </row>
    <row r="678" spans="1:13">
      <c r="A678" t="s">
        <v>1214</v>
      </c>
      <c r="B678" s="1">
        <v>41266</v>
      </c>
      <c r="C678" s="1">
        <v>41272</v>
      </c>
      <c r="D678" t="s">
        <v>1159</v>
      </c>
      <c r="E678" t="s">
        <v>737</v>
      </c>
      <c r="G678" t="s">
        <v>17</v>
      </c>
      <c r="H678" t="s">
        <v>151</v>
      </c>
      <c r="I678">
        <v>3271.2</v>
      </c>
      <c r="J678">
        <v>5</v>
      </c>
      <c r="K678">
        <v>0</v>
      </c>
      <c r="L678">
        <v>1341.15</v>
      </c>
      <c r="M678" t="s">
        <v>19</v>
      </c>
    </row>
    <row r="679" spans="1:13">
      <c r="A679" t="s">
        <v>1215</v>
      </c>
      <c r="B679" s="1">
        <v>41647</v>
      </c>
      <c r="C679" s="1">
        <v>41650</v>
      </c>
      <c r="D679" t="s">
        <v>1216</v>
      </c>
      <c r="E679" t="s">
        <v>97</v>
      </c>
      <c r="F679" t="s">
        <v>98</v>
      </c>
      <c r="G679" t="s">
        <v>32</v>
      </c>
      <c r="H679" t="s">
        <v>73</v>
      </c>
      <c r="I679">
        <v>751.48799999999903</v>
      </c>
      <c r="J679" t="s">
        <v>1217</v>
      </c>
      <c r="K679">
        <v>0.2</v>
      </c>
      <c r="L679">
        <v>-112.752</v>
      </c>
      <c r="M679" t="s">
        <v>27</v>
      </c>
    </row>
    <row r="680" spans="1:13">
      <c r="A680" t="s">
        <v>1218</v>
      </c>
      <c r="B680" s="1">
        <v>41643</v>
      </c>
      <c r="C680" s="1">
        <v>41649</v>
      </c>
      <c r="D680" t="s">
        <v>366</v>
      </c>
      <c r="E680" t="s">
        <v>358</v>
      </c>
      <c r="F680" t="s">
        <v>98</v>
      </c>
      <c r="G680" t="s">
        <v>17</v>
      </c>
      <c r="H680" t="s">
        <v>26</v>
      </c>
      <c r="I680">
        <v>2120.8000000000002</v>
      </c>
      <c r="J680">
        <v>5</v>
      </c>
      <c r="K680">
        <v>0</v>
      </c>
      <c r="L680">
        <v>275.7</v>
      </c>
      <c r="M680" t="s">
        <v>19</v>
      </c>
    </row>
    <row r="681" spans="1:13">
      <c r="A681" t="s">
        <v>1219</v>
      </c>
      <c r="B681" s="1">
        <v>42035</v>
      </c>
      <c r="C681" s="1">
        <v>42039</v>
      </c>
      <c r="D681" t="s">
        <v>837</v>
      </c>
      <c r="E681" t="s">
        <v>70</v>
      </c>
      <c r="F681" t="s">
        <v>71</v>
      </c>
      <c r="G681" t="s">
        <v>17</v>
      </c>
      <c r="H681" t="s">
        <v>23</v>
      </c>
      <c r="I681">
        <v>2102.8319999999999</v>
      </c>
      <c r="J681">
        <v>8</v>
      </c>
      <c r="K681">
        <v>0.15</v>
      </c>
      <c r="L681">
        <v>2270.15770744771</v>
      </c>
      <c r="M681" t="s">
        <v>37</v>
      </c>
    </row>
    <row r="682" spans="1:13">
      <c r="A682" t="s">
        <v>1220</v>
      </c>
      <c r="B682" s="1">
        <v>41216</v>
      </c>
      <c r="C682" s="1">
        <v>41218</v>
      </c>
      <c r="E682" t="s">
        <v>70</v>
      </c>
      <c r="F682" t="s">
        <v>71</v>
      </c>
      <c r="G682" t="s">
        <v>17</v>
      </c>
      <c r="H682" t="s">
        <v>26</v>
      </c>
      <c r="I682">
        <v>820.48800000000006</v>
      </c>
      <c r="J682">
        <v>8</v>
      </c>
      <c r="K682">
        <v>0.15</v>
      </c>
      <c r="L682">
        <v>183.28799999999899</v>
      </c>
      <c r="M682" t="s">
        <v>27</v>
      </c>
    </row>
    <row r="683" spans="1:13">
      <c r="B683" s="1">
        <v>42252</v>
      </c>
      <c r="C683" s="1">
        <v>42256</v>
      </c>
      <c r="D683" t="s">
        <v>218</v>
      </c>
      <c r="E683" t="s">
        <v>40</v>
      </c>
      <c r="F683" t="s">
        <v>111</v>
      </c>
      <c r="G683" t="s">
        <v>17</v>
      </c>
      <c r="H683" t="s">
        <v>127</v>
      </c>
      <c r="I683">
        <v>91.96</v>
      </c>
      <c r="J683">
        <v>4</v>
      </c>
      <c r="K683">
        <v>0</v>
      </c>
      <c r="L683">
        <v>39.5428</v>
      </c>
      <c r="M683" t="s">
        <v>19</v>
      </c>
    </row>
    <row r="684" spans="1:13">
      <c r="A684" t="s">
        <v>1221</v>
      </c>
      <c r="B684" s="1">
        <v>41906</v>
      </c>
      <c r="C684" s="2">
        <v>41906</v>
      </c>
      <c r="D684" t="s">
        <v>1222</v>
      </c>
      <c r="E684" t="s">
        <v>83</v>
      </c>
      <c r="F684" t="s">
        <v>84</v>
      </c>
      <c r="G684" t="s">
        <v>45</v>
      </c>
      <c r="H684" t="s">
        <v>127</v>
      </c>
      <c r="I684">
        <v>553.44000000000005</v>
      </c>
      <c r="J684">
        <v>8</v>
      </c>
      <c r="K684">
        <v>0</v>
      </c>
      <c r="L684">
        <v>16.559999999999999</v>
      </c>
      <c r="M684" t="s">
        <v>27</v>
      </c>
    </row>
    <row r="685" spans="1:13">
      <c r="A685" t="s">
        <v>1223</v>
      </c>
      <c r="C685" s="1">
        <v>41086</v>
      </c>
      <c r="D685" t="s">
        <v>1224</v>
      </c>
      <c r="E685" t="s">
        <v>15</v>
      </c>
      <c r="F685" t="s">
        <v>16</v>
      </c>
      <c r="G685" t="s">
        <v>17</v>
      </c>
      <c r="H685" t="s">
        <v>23</v>
      </c>
      <c r="I685">
        <v>1718.172</v>
      </c>
      <c r="J685">
        <v>6</v>
      </c>
      <c r="K685">
        <v>0.1</v>
      </c>
      <c r="L685">
        <v>610.81200000000001</v>
      </c>
      <c r="M685" t="s">
        <v>37</v>
      </c>
    </row>
    <row r="686" spans="1:13">
      <c r="A686" t="s">
        <v>1225</v>
      </c>
      <c r="B686" s="1">
        <v>41516</v>
      </c>
      <c r="C686" s="1">
        <v>41519</v>
      </c>
      <c r="D686" t="s">
        <v>1226</v>
      </c>
      <c r="E686" t="s">
        <v>22</v>
      </c>
      <c r="F686" t="s">
        <v>71</v>
      </c>
      <c r="G686" t="s">
        <v>32</v>
      </c>
      <c r="H686" t="s">
        <v>33</v>
      </c>
      <c r="I686">
        <v>2794.2525000000001</v>
      </c>
      <c r="J686">
        <v>5</v>
      </c>
      <c r="K686">
        <v>0.35</v>
      </c>
      <c r="L686">
        <v>515.75250000000005</v>
      </c>
      <c r="M686" t="s">
        <v>19</v>
      </c>
    </row>
    <row r="687" spans="1:13">
      <c r="A687" t="s">
        <v>845</v>
      </c>
      <c r="B687" s="1">
        <v>41807</v>
      </c>
      <c r="C687" s="1">
        <v>41809</v>
      </c>
      <c r="D687" t="s">
        <v>724</v>
      </c>
      <c r="E687" t="s">
        <v>70</v>
      </c>
      <c r="F687" t="s">
        <v>1227</v>
      </c>
      <c r="H687" t="s">
        <v>73</v>
      </c>
      <c r="I687">
        <v>1242.54</v>
      </c>
      <c r="J687">
        <v>3</v>
      </c>
      <c r="K687">
        <v>0.1</v>
      </c>
      <c r="L687">
        <v>345.15</v>
      </c>
      <c r="M687" t="s">
        <v>37</v>
      </c>
    </row>
    <row r="688" spans="1:13">
      <c r="A688" t="s">
        <v>1228</v>
      </c>
      <c r="B688" s="1">
        <v>42328</v>
      </c>
      <c r="C688" s="1">
        <v>42330</v>
      </c>
      <c r="D688" t="s">
        <v>218</v>
      </c>
      <c r="F688" t="s">
        <v>41</v>
      </c>
      <c r="G688" t="s">
        <v>45</v>
      </c>
      <c r="H688" t="s">
        <v>44</v>
      </c>
      <c r="I688">
        <v>99.135999999999996</v>
      </c>
      <c r="J688">
        <v>4</v>
      </c>
      <c r="K688">
        <v>0.2</v>
      </c>
      <c r="L688">
        <v>8.6743999999999897</v>
      </c>
      <c r="M688" t="s">
        <v>19</v>
      </c>
    </row>
    <row r="689" spans="1:13">
      <c r="C689" s="1">
        <v>41630</v>
      </c>
      <c r="D689" t="s">
        <v>669</v>
      </c>
      <c r="E689" t="s">
        <v>66</v>
      </c>
      <c r="F689" t="s">
        <v>90</v>
      </c>
      <c r="G689" t="s">
        <v>17</v>
      </c>
      <c r="H689" t="s">
        <v>23</v>
      </c>
      <c r="I689">
        <v>1274.7</v>
      </c>
      <c r="J689">
        <v>2</v>
      </c>
      <c r="K689">
        <v>0</v>
      </c>
      <c r="L689">
        <v>165.66</v>
      </c>
      <c r="M689" t="s">
        <v>37</v>
      </c>
    </row>
    <row r="690" spans="1:13">
      <c r="A690" t="s">
        <v>1229</v>
      </c>
      <c r="B690" s="1">
        <v>41907</v>
      </c>
      <c r="C690" s="1">
        <v>41913</v>
      </c>
      <c r="D690" t="s">
        <v>1230</v>
      </c>
      <c r="E690" t="s">
        <v>1231</v>
      </c>
      <c r="F690" t="s">
        <v>233</v>
      </c>
      <c r="G690" t="s">
        <v>17</v>
      </c>
      <c r="H690" t="s">
        <v>26</v>
      </c>
      <c r="J690">
        <v>6</v>
      </c>
      <c r="K690">
        <v>0</v>
      </c>
      <c r="L690">
        <v>730.26</v>
      </c>
      <c r="M690" t="s">
        <v>74</v>
      </c>
    </row>
    <row r="691" spans="1:13">
      <c r="A691" t="s">
        <v>1232</v>
      </c>
      <c r="B691" s="1">
        <v>42087</v>
      </c>
      <c r="C691" s="1">
        <v>42091</v>
      </c>
      <c r="D691" t="s">
        <v>255</v>
      </c>
      <c r="E691" t="s">
        <v>97</v>
      </c>
      <c r="F691" t="s">
        <v>98</v>
      </c>
      <c r="G691" t="s">
        <v>32</v>
      </c>
      <c r="H691" t="s">
        <v>26</v>
      </c>
      <c r="I691">
        <v>2205.5680000000002</v>
      </c>
      <c r="J691">
        <v>8</v>
      </c>
      <c r="K691">
        <v>0.2</v>
      </c>
      <c r="L691">
        <v>689.08799999999997</v>
      </c>
      <c r="M691" t="s">
        <v>37</v>
      </c>
    </row>
    <row r="692" spans="1:13">
      <c r="A692" t="s">
        <v>1233</v>
      </c>
      <c r="B692" s="1">
        <v>41670</v>
      </c>
      <c r="C692" s="1">
        <v>41672</v>
      </c>
      <c r="E692" t="s">
        <v>40</v>
      </c>
      <c r="F692" t="s">
        <v>1043</v>
      </c>
      <c r="G692" t="s">
        <v>45</v>
      </c>
      <c r="H692" t="s">
        <v>18</v>
      </c>
      <c r="I692">
        <v>15.552</v>
      </c>
      <c r="J692">
        <v>3</v>
      </c>
      <c r="L692">
        <v>5.4432</v>
      </c>
      <c r="M692" t="s">
        <v>27</v>
      </c>
    </row>
    <row r="693" spans="1:13">
      <c r="A693" t="s">
        <v>1234</v>
      </c>
      <c r="B693" s="1">
        <v>41245</v>
      </c>
      <c r="C693" s="1">
        <v>41245</v>
      </c>
      <c r="D693" t="s">
        <v>1235</v>
      </c>
      <c r="E693" t="s">
        <v>22</v>
      </c>
      <c r="F693" t="s">
        <v>71</v>
      </c>
      <c r="G693" t="s">
        <v>17</v>
      </c>
      <c r="H693" t="s">
        <v>44</v>
      </c>
      <c r="J693">
        <v>5</v>
      </c>
      <c r="K693">
        <v>0</v>
      </c>
      <c r="L693">
        <v>742.35</v>
      </c>
      <c r="M693" t="s">
        <v>19</v>
      </c>
    </row>
    <row r="694" spans="1:13">
      <c r="A694" t="s">
        <v>1236</v>
      </c>
      <c r="B694" s="1">
        <v>42152</v>
      </c>
      <c r="C694" s="1">
        <v>42156</v>
      </c>
      <c r="D694" t="s">
        <v>426</v>
      </c>
      <c r="E694" t="s">
        <v>114</v>
      </c>
      <c r="F694" t="s">
        <v>115</v>
      </c>
      <c r="G694" t="s">
        <v>32</v>
      </c>
      <c r="H694" t="s">
        <v>46</v>
      </c>
      <c r="I694">
        <v>1394.99999999999</v>
      </c>
      <c r="J694">
        <v>3</v>
      </c>
      <c r="K694" t="s">
        <v>226</v>
      </c>
      <c r="L694">
        <v>237.15</v>
      </c>
      <c r="M694" t="s">
        <v>37</v>
      </c>
    </row>
    <row r="695" spans="1:13">
      <c r="A695" t="s">
        <v>1237</v>
      </c>
      <c r="B695" s="2">
        <v>42169</v>
      </c>
      <c r="C695" s="1">
        <v>42172</v>
      </c>
      <c r="D695" t="s">
        <v>1238</v>
      </c>
      <c r="E695" t="s">
        <v>22</v>
      </c>
      <c r="F695" t="s">
        <v>71</v>
      </c>
      <c r="G695" t="s">
        <v>32</v>
      </c>
      <c r="H695" t="s">
        <v>26</v>
      </c>
      <c r="I695">
        <v>2291.835</v>
      </c>
      <c r="J695">
        <v>7</v>
      </c>
      <c r="K695">
        <v>0.35</v>
      </c>
      <c r="L695">
        <v>-1128.4349999999999</v>
      </c>
      <c r="M695" t="s">
        <v>37</v>
      </c>
    </row>
    <row r="696" spans="1:13">
      <c r="A696" t="s">
        <v>1239</v>
      </c>
      <c r="B696" s="1">
        <v>41224</v>
      </c>
      <c r="C696" s="1">
        <v>41228</v>
      </c>
      <c r="D696" t="s">
        <v>1240</v>
      </c>
      <c r="E696" t="s">
        <v>1241</v>
      </c>
      <c r="F696" t="s">
        <v>131</v>
      </c>
      <c r="G696" t="s">
        <v>32</v>
      </c>
      <c r="H696" t="s">
        <v>23</v>
      </c>
      <c r="I696">
        <v>1660.79999999999</v>
      </c>
      <c r="J696">
        <v>4</v>
      </c>
      <c r="K696">
        <v>0</v>
      </c>
      <c r="L696">
        <v>83.039999999999907</v>
      </c>
      <c r="M696" t="s">
        <v>37</v>
      </c>
    </row>
    <row r="697" spans="1:13">
      <c r="A697" t="s">
        <v>1242</v>
      </c>
      <c r="B697" s="1">
        <v>41790</v>
      </c>
      <c r="C697" s="1">
        <v>41795</v>
      </c>
      <c r="D697" t="s">
        <v>146</v>
      </c>
      <c r="E697" t="s">
        <v>66</v>
      </c>
      <c r="F697" t="s">
        <v>90</v>
      </c>
      <c r="G697" t="s">
        <v>32</v>
      </c>
      <c r="H697" t="s">
        <v>44</v>
      </c>
      <c r="I697">
        <v>2436.672</v>
      </c>
      <c r="J697">
        <v>4</v>
      </c>
      <c r="K697">
        <v>0.3</v>
      </c>
      <c r="L697">
        <v>-487.36799999999999</v>
      </c>
      <c r="M697" t="s">
        <v>37</v>
      </c>
    </row>
    <row r="698" spans="1:13">
      <c r="A698" t="s">
        <v>1200</v>
      </c>
      <c r="B698" s="1">
        <v>40972</v>
      </c>
      <c r="C698" s="1">
        <v>40975</v>
      </c>
      <c r="D698" t="s">
        <v>218</v>
      </c>
      <c r="E698" t="s">
        <v>40</v>
      </c>
      <c r="F698" t="s">
        <v>111</v>
      </c>
      <c r="G698" t="s">
        <v>45</v>
      </c>
      <c r="H698" t="s">
        <v>151</v>
      </c>
      <c r="I698">
        <v>18.62</v>
      </c>
      <c r="J698">
        <v>2</v>
      </c>
      <c r="K698">
        <v>0</v>
      </c>
      <c r="L698">
        <v>5.3997999999999902</v>
      </c>
      <c r="M698" t="s">
        <v>19</v>
      </c>
    </row>
    <row r="699" spans="1:13">
      <c r="A699" t="s">
        <v>1243</v>
      </c>
      <c r="B699" s="1">
        <v>41137</v>
      </c>
      <c r="C699" s="1">
        <v>41139</v>
      </c>
      <c r="D699" t="s">
        <v>728</v>
      </c>
      <c r="E699" t="s">
        <v>464</v>
      </c>
      <c r="F699" t="s">
        <v>87</v>
      </c>
      <c r="G699" t="s">
        <v>32</v>
      </c>
      <c r="H699" t="s">
        <v>44</v>
      </c>
      <c r="I699">
        <v>954.6</v>
      </c>
      <c r="J699" t="s">
        <v>1244</v>
      </c>
      <c r="K699">
        <v>0</v>
      </c>
      <c r="L699">
        <v>152.69999999999999</v>
      </c>
      <c r="M699" t="s">
        <v>27</v>
      </c>
    </row>
    <row r="700" spans="1:13">
      <c r="A700" t="s">
        <v>1245</v>
      </c>
      <c r="B700" s="1">
        <v>41339</v>
      </c>
      <c r="C700" s="1">
        <v>41344</v>
      </c>
      <c r="D700" t="s">
        <v>1246</v>
      </c>
      <c r="E700" t="s">
        <v>101</v>
      </c>
      <c r="F700" t="s">
        <v>98</v>
      </c>
      <c r="G700" t="s">
        <v>45</v>
      </c>
      <c r="H700" t="s">
        <v>23</v>
      </c>
      <c r="I700">
        <v>1903</v>
      </c>
      <c r="J700">
        <v>5</v>
      </c>
      <c r="K700">
        <v>0</v>
      </c>
      <c r="L700">
        <v>57</v>
      </c>
      <c r="M700" t="s">
        <v>37</v>
      </c>
    </row>
    <row r="701" spans="1:13">
      <c r="A701" t="s">
        <v>1228</v>
      </c>
      <c r="B701" s="1">
        <v>42328</v>
      </c>
      <c r="C701" s="1">
        <v>42330</v>
      </c>
      <c r="D701" t="s">
        <v>218</v>
      </c>
      <c r="E701" t="s">
        <v>40</v>
      </c>
      <c r="F701" t="s">
        <v>41</v>
      </c>
      <c r="G701" t="s">
        <v>45</v>
      </c>
      <c r="H701" t="s">
        <v>23</v>
      </c>
      <c r="I701">
        <v>16.896000000000001</v>
      </c>
      <c r="J701">
        <v>4</v>
      </c>
      <c r="K701">
        <v>0.2</v>
      </c>
      <c r="L701">
        <v>5.2799999999999896</v>
      </c>
      <c r="M701" t="s">
        <v>19</v>
      </c>
    </row>
    <row r="702" spans="1:13">
      <c r="A702" t="s">
        <v>1247</v>
      </c>
      <c r="B702" s="1">
        <v>42222</v>
      </c>
      <c r="C702" s="1">
        <v>42222</v>
      </c>
      <c r="D702" t="s">
        <v>266</v>
      </c>
      <c r="E702" t="s">
        <v>1248</v>
      </c>
      <c r="F702" t="s">
        <v>94</v>
      </c>
      <c r="G702" t="s">
        <v>17</v>
      </c>
      <c r="H702" t="s">
        <v>73</v>
      </c>
      <c r="I702">
        <v>1590.9</v>
      </c>
      <c r="J702">
        <v>5</v>
      </c>
      <c r="K702">
        <v>0</v>
      </c>
      <c r="L702">
        <v>508.94999999999902</v>
      </c>
      <c r="M702" t="s">
        <v>19</v>
      </c>
    </row>
    <row r="703" spans="1:13">
      <c r="A703" t="s">
        <v>1249</v>
      </c>
      <c r="B703" s="1">
        <v>42173</v>
      </c>
      <c r="C703" s="1">
        <v>42176</v>
      </c>
      <c r="D703" t="s">
        <v>1250</v>
      </c>
      <c r="E703" t="s">
        <v>852</v>
      </c>
      <c r="F703" t="s">
        <v>56</v>
      </c>
      <c r="G703" t="s">
        <v>32</v>
      </c>
      <c r="H703" t="s">
        <v>23</v>
      </c>
      <c r="I703">
        <v>1467.36</v>
      </c>
      <c r="J703">
        <v>4</v>
      </c>
      <c r="K703">
        <v>0</v>
      </c>
      <c r="L703">
        <v>469.43999999999897</v>
      </c>
      <c r="M703" t="s">
        <v>37</v>
      </c>
    </row>
    <row r="704" spans="1:13">
      <c r="A704" t="s">
        <v>1251</v>
      </c>
      <c r="B704" s="1">
        <v>42369</v>
      </c>
      <c r="C704" s="1">
        <v>42370</v>
      </c>
      <c r="D704" t="s">
        <v>1252</v>
      </c>
      <c r="E704" t="s">
        <v>141</v>
      </c>
      <c r="F704" t="s">
        <v>142</v>
      </c>
      <c r="G704" t="s">
        <v>32</v>
      </c>
      <c r="H704" t="s">
        <v>33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37</v>
      </c>
    </row>
    <row r="705" spans="1:13">
      <c r="A705" t="s">
        <v>1253</v>
      </c>
      <c r="B705" s="1">
        <v>41541</v>
      </c>
      <c r="C705" s="1">
        <v>41545</v>
      </c>
      <c r="D705" t="s">
        <v>1254</v>
      </c>
      <c r="E705" t="s">
        <v>211</v>
      </c>
      <c r="F705" t="s">
        <v>98</v>
      </c>
      <c r="G705" t="s">
        <v>17</v>
      </c>
      <c r="H705" t="s">
        <v>151</v>
      </c>
      <c r="I705">
        <v>2014.3632</v>
      </c>
      <c r="K705">
        <v>2E-3</v>
      </c>
      <c r="L705">
        <v>419.80319999999898</v>
      </c>
      <c r="M705" t="s">
        <v>19</v>
      </c>
    </row>
    <row r="706" spans="1:13">
      <c r="A706" t="s">
        <v>1255</v>
      </c>
      <c r="B706" s="1">
        <v>41688</v>
      </c>
      <c r="C706" s="1">
        <v>41693</v>
      </c>
      <c r="D706" t="s">
        <v>670</v>
      </c>
      <c r="E706" t="s">
        <v>130</v>
      </c>
      <c r="F706" t="s">
        <v>131</v>
      </c>
      <c r="G706" t="s">
        <v>32</v>
      </c>
      <c r="H706" t="s">
        <v>151</v>
      </c>
      <c r="I706">
        <v>3877.68</v>
      </c>
      <c r="J706">
        <v>8</v>
      </c>
      <c r="K706">
        <v>0</v>
      </c>
      <c r="L706">
        <v>930.48</v>
      </c>
      <c r="M706" t="s">
        <v>19</v>
      </c>
    </row>
    <row r="707" spans="1:13">
      <c r="A707" t="s">
        <v>1228</v>
      </c>
      <c r="B707" s="1">
        <v>42328</v>
      </c>
      <c r="C707" s="1">
        <v>42330</v>
      </c>
      <c r="D707" t="s">
        <v>218</v>
      </c>
      <c r="E707" t="s">
        <v>40</v>
      </c>
      <c r="F707" t="s">
        <v>41</v>
      </c>
      <c r="G707" t="s">
        <v>45</v>
      </c>
      <c r="H707" t="s">
        <v>33</v>
      </c>
      <c r="I707">
        <v>6.6719999999999997</v>
      </c>
      <c r="J707">
        <v>1</v>
      </c>
      <c r="L707">
        <v>0.50039999999999996</v>
      </c>
      <c r="M707" t="s">
        <v>19</v>
      </c>
    </row>
    <row r="708" spans="1:13">
      <c r="A708" t="s">
        <v>1228</v>
      </c>
      <c r="B708" s="1">
        <v>42328</v>
      </c>
      <c r="C708" s="1">
        <v>42330</v>
      </c>
      <c r="E708" t="s">
        <v>40</v>
      </c>
      <c r="F708" t="s">
        <v>41</v>
      </c>
      <c r="G708" t="s">
        <v>32</v>
      </c>
      <c r="H708" t="s">
        <v>44</v>
      </c>
      <c r="I708">
        <v>15.9919999999999</v>
      </c>
      <c r="J708">
        <v>2</v>
      </c>
      <c r="K708">
        <v>0.6</v>
      </c>
      <c r="L708">
        <v>-13.992999999999901</v>
      </c>
      <c r="M708" t="s">
        <v>19</v>
      </c>
    </row>
    <row r="709" spans="1:13">
      <c r="A709" t="s">
        <v>1256</v>
      </c>
      <c r="B709" s="1">
        <v>42332</v>
      </c>
      <c r="C709" s="1">
        <v>42334</v>
      </c>
      <c r="D709" t="s">
        <v>1257</v>
      </c>
      <c r="E709" t="s">
        <v>15</v>
      </c>
      <c r="F709" t="s">
        <v>16</v>
      </c>
      <c r="G709" t="s">
        <v>17</v>
      </c>
      <c r="H709" t="s">
        <v>44</v>
      </c>
      <c r="I709">
        <v>2863.35</v>
      </c>
      <c r="J709">
        <v>5</v>
      </c>
      <c r="K709">
        <v>0.1</v>
      </c>
      <c r="L709">
        <v>858.9</v>
      </c>
      <c r="M709" t="s">
        <v>19</v>
      </c>
    </row>
    <row r="710" spans="1:13">
      <c r="B710" s="1">
        <v>42270</v>
      </c>
      <c r="D710" t="s">
        <v>1258</v>
      </c>
      <c r="E710" t="s">
        <v>250</v>
      </c>
      <c r="F710" t="s">
        <v>142</v>
      </c>
      <c r="G710" t="s">
        <v>32</v>
      </c>
      <c r="H710" t="s">
        <v>151</v>
      </c>
      <c r="I710">
        <v>2841.6599999999899</v>
      </c>
      <c r="J710">
        <v>8</v>
      </c>
      <c r="K710">
        <v>0.25</v>
      </c>
      <c r="L710">
        <v>189.42</v>
      </c>
      <c r="M710" t="s">
        <v>19</v>
      </c>
    </row>
    <row r="711" spans="1:13">
      <c r="A711" t="s">
        <v>1259</v>
      </c>
      <c r="B711" s="1">
        <v>42312</v>
      </c>
      <c r="C711" s="1">
        <v>42315</v>
      </c>
      <c r="D711" t="s">
        <v>1260</v>
      </c>
      <c r="E711" t="s">
        <v>70</v>
      </c>
      <c r="F711" t="s">
        <v>71</v>
      </c>
      <c r="G711" t="s">
        <v>17</v>
      </c>
      <c r="H711" t="s">
        <v>26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27</v>
      </c>
    </row>
    <row r="712" spans="1:13">
      <c r="A712" t="s">
        <v>1261</v>
      </c>
      <c r="B712" s="1">
        <v>42248</v>
      </c>
      <c r="C712" s="1">
        <v>42251</v>
      </c>
      <c r="D712" t="s">
        <v>103</v>
      </c>
      <c r="E712" t="s">
        <v>15</v>
      </c>
      <c r="F712" t="s">
        <v>16</v>
      </c>
      <c r="G712" t="s">
        <v>45</v>
      </c>
      <c r="H712" t="s">
        <v>23</v>
      </c>
      <c r="I712">
        <v>1887.84</v>
      </c>
      <c r="J712">
        <v>4</v>
      </c>
      <c r="K712">
        <v>0.1</v>
      </c>
      <c r="L712">
        <v>0</v>
      </c>
      <c r="M712" t="s">
        <v>19</v>
      </c>
    </row>
    <row r="713" spans="1:13">
      <c r="A713" t="s">
        <v>1262</v>
      </c>
      <c r="B713" s="1">
        <v>41527</v>
      </c>
      <c r="C713" s="1">
        <v>41532</v>
      </c>
      <c r="D713" t="s">
        <v>218</v>
      </c>
      <c r="E713" t="s">
        <v>40</v>
      </c>
      <c r="G713" t="s">
        <v>45</v>
      </c>
      <c r="H713" t="s">
        <v>127</v>
      </c>
      <c r="I713">
        <v>14.94</v>
      </c>
      <c r="J713">
        <v>3</v>
      </c>
      <c r="K713">
        <v>0</v>
      </c>
      <c r="L713">
        <v>7.0217999999999998</v>
      </c>
      <c r="M713" t="s">
        <v>37</v>
      </c>
    </row>
    <row r="714" spans="1:13">
      <c r="A714" t="s">
        <v>1263</v>
      </c>
      <c r="B714" s="1">
        <v>41660</v>
      </c>
      <c r="C714" s="1">
        <v>41660</v>
      </c>
      <c r="D714" t="s">
        <v>1264</v>
      </c>
      <c r="E714" t="s">
        <v>450</v>
      </c>
      <c r="F714" t="s">
        <v>450</v>
      </c>
      <c r="G714" t="s">
        <v>45</v>
      </c>
      <c r="H714" t="s">
        <v>73</v>
      </c>
      <c r="I714">
        <v>410.87999999999897</v>
      </c>
      <c r="J714">
        <v>8</v>
      </c>
      <c r="K714">
        <v>0</v>
      </c>
      <c r="L714" t="s">
        <v>1265</v>
      </c>
      <c r="M714" t="s">
        <v>37</v>
      </c>
    </row>
    <row r="715" spans="1:13">
      <c r="A715" t="s">
        <v>1266</v>
      </c>
      <c r="B715" s="1">
        <v>42111</v>
      </c>
      <c r="C715" s="1">
        <v>42114</v>
      </c>
      <c r="D715" t="s">
        <v>376</v>
      </c>
      <c r="E715" t="s">
        <v>570</v>
      </c>
      <c r="F715" t="s">
        <v>120</v>
      </c>
      <c r="G715" t="s">
        <v>45</v>
      </c>
      <c r="H715" t="s">
        <v>26</v>
      </c>
      <c r="I715" t="s">
        <v>163</v>
      </c>
      <c r="J715">
        <v>5</v>
      </c>
      <c r="K715">
        <v>0</v>
      </c>
      <c r="L715">
        <v>180.1</v>
      </c>
      <c r="M715" t="s">
        <v>19</v>
      </c>
    </row>
    <row r="716" spans="1:13">
      <c r="A716" t="s">
        <v>154</v>
      </c>
      <c r="B716" s="1">
        <v>41706</v>
      </c>
      <c r="C716" s="1">
        <v>41706</v>
      </c>
      <c r="D716" t="s">
        <v>492</v>
      </c>
      <c r="E716" t="s">
        <v>70</v>
      </c>
      <c r="F716" t="s">
        <v>71</v>
      </c>
      <c r="G716" t="s">
        <v>17</v>
      </c>
      <c r="H716" t="s">
        <v>73</v>
      </c>
      <c r="I716">
        <v>779.28</v>
      </c>
      <c r="J716">
        <v>5</v>
      </c>
      <c r="K716">
        <v>0.15</v>
      </c>
      <c r="L716">
        <v>-0.119999999999976</v>
      </c>
      <c r="M716" t="s">
        <v>27</v>
      </c>
    </row>
    <row r="717" spans="1:13">
      <c r="A717" t="s">
        <v>1267</v>
      </c>
      <c r="B717" s="1">
        <v>40964</v>
      </c>
      <c r="C717" s="1">
        <v>40964</v>
      </c>
      <c r="D717" t="s">
        <v>291</v>
      </c>
      <c r="E717" t="s">
        <v>1268</v>
      </c>
      <c r="F717" t="s">
        <v>233</v>
      </c>
      <c r="G717" t="s">
        <v>17</v>
      </c>
      <c r="H717" t="s">
        <v>73</v>
      </c>
      <c r="I717">
        <v>613.26</v>
      </c>
      <c r="J717">
        <v>2</v>
      </c>
      <c r="K717">
        <v>0</v>
      </c>
      <c r="L717">
        <v>202.32</v>
      </c>
      <c r="M717" t="s">
        <v>27</v>
      </c>
    </row>
    <row r="718" spans="1:13">
      <c r="A718" t="s">
        <v>1269</v>
      </c>
      <c r="B718" s="1">
        <v>41361</v>
      </c>
      <c r="C718" s="1">
        <v>41366</v>
      </c>
      <c r="D718" t="s">
        <v>1264</v>
      </c>
      <c r="E718" t="s">
        <v>40</v>
      </c>
      <c r="F718" t="s">
        <v>245</v>
      </c>
      <c r="G718" t="s">
        <v>17</v>
      </c>
      <c r="H718" t="s">
        <v>26</v>
      </c>
      <c r="I718">
        <v>166.24</v>
      </c>
      <c r="J718">
        <v>1</v>
      </c>
      <c r="K718">
        <v>0</v>
      </c>
      <c r="L718">
        <v>24.936</v>
      </c>
      <c r="M718" t="s">
        <v>19</v>
      </c>
    </row>
    <row r="719" spans="1:13">
      <c r="A719" t="s">
        <v>1270</v>
      </c>
      <c r="B719" s="1">
        <v>42263</v>
      </c>
      <c r="C719" s="1">
        <v>42267</v>
      </c>
      <c r="D719" t="s">
        <v>1271</v>
      </c>
      <c r="E719" t="s">
        <v>15</v>
      </c>
      <c r="F719" t="s">
        <v>16</v>
      </c>
      <c r="G719" t="s">
        <v>32</v>
      </c>
      <c r="H719" t="s">
        <v>127</v>
      </c>
      <c r="I719">
        <v>1837.5599999999899</v>
      </c>
      <c r="J719">
        <v>4</v>
      </c>
      <c r="K719">
        <v>0</v>
      </c>
      <c r="L719">
        <v>275.52</v>
      </c>
      <c r="M719" t="s">
        <v>19</v>
      </c>
    </row>
    <row r="720" spans="1:13">
      <c r="A720" t="s">
        <v>1272</v>
      </c>
      <c r="B720" s="1">
        <v>41828</v>
      </c>
      <c r="C720" s="1">
        <v>41831</v>
      </c>
      <c r="D720" t="s">
        <v>889</v>
      </c>
      <c r="F720" t="s">
        <v>77</v>
      </c>
      <c r="G720" t="s">
        <v>45</v>
      </c>
      <c r="H720" t="s">
        <v>26</v>
      </c>
      <c r="I720">
        <v>3979.29</v>
      </c>
      <c r="J720">
        <v>7</v>
      </c>
      <c r="K720">
        <v>0</v>
      </c>
      <c r="L720">
        <v>1989.53999999999</v>
      </c>
      <c r="M720" t="s">
        <v>19</v>
      </c>
    </row>
    <row r="721" spans="1:13">
      <c r="A721" t="s">
        <v>1273</v>
      </c>
      <c r="B721" t="s">
        <v>1274</v>
      </c>
      <c r="C721" s="1">
        <v>41456</v>
      </c>
      <c r="D721" t="s">
        <v>1264</v>
      </c>
      <c r="E721" t="s">
        <v>40</v>
      </c>
      <c r="F721" t="s">
        <v>43</v>
      </c>
      <c r="G721" t="s">
        <v>45</v>
      </c>
      <c r="H721" t="s">
        <v>23</v>
      </c>
      <c r="I721">
        <v>304.23</v>
      </c>
      <c r="J721">
        <v>3</v>
      </c>
      <c r="K721">
        <v>0</v>
      </c>
      <c r="M721" t="s">
        <v>19</v>
      </c>
    </row>
    <row r="722" spans="1:13">
      <c r="A722" t="s">
        <v>1275</v>
      </c>
      <c r="B722" s="1">
        <v>42004</v>
      </c>
      <c r="C722" s="1">
        <v>42005</v>
      </c>
      <c r="D722" t="s">
        <v>1276</v>
      </c>
      <c r="E722" t="s">
        <v>211</v>
      </c>
      <c r="F722" t="s">
        <v>98</v>
      </c>
      <c r="G722" t="s">
        <v>17</v>
      </c>
      <c r="H722" t="s">
        <v>73</v>
      </c>
      <c r="I722">
        <v>1198.2986000000001</v>
      </c>
      <c r="J722">
        <v>5</v>
      </c>
      <c r="K722">
        <v>2E-3</v>
      </c>
      <c r="L722" t="s">
        <v>1277</v>
      </c>
      <c r="M722" t="s">
        <v>37</v>
      </c>
    </row>
    <row r="723" spans="1:13">
      <c r="A723" t="s">
        <v>1278</v>
      </c>
      <c r="B723" t="s">
        <v>125</v>
      </c>
      <c r="D723" t="s">
        <v>1264</v>
      </c>
      <c r="E723" t="s">
        <v>40</v>
      </c>
      <c r="F723" t="s">
        <v>153</v>
      </c>
      <c r="G723" t="s">
        <v>45</v>
      </c>
      <c r="H723" t="s">
        <v>127</v>
      </c>
      <c r="I723">
        <v>163.96</v>
      </c>
      <c r="J723">
        <v>5</v>
      </c>
      <c r="K723">
        <v>0.2</v>
      </c>
      <c r="L723">
        <v>59.435499999999998</v>
      </c>
      <c r="M723" t="s">
        <v>19</v>
      </c>
    </row>
    <row r="724" spans="1:13">
      <c r="A724" t="s">
        <v>1279</v>
      </c>
      <c r="B724" s="1">
        <v>42033</v>
      </c>
      <c r="D724" t="s">
        <v>1280</v>
      </c>
      <c r="E724" t="s">
        <v>15</v>
      </c>
      <c r="F724" t="s">
        <v>16</v>
      </c>
      <c r="G724" t="s">
        <v>32</v>
      </c>
      <c r="H724" t="s">
        <v>33</v>
      </c>
      <c r="I724">
        <v>1864.2149999999899</v>
      </c>
      <c r="J724">
        <v>5</v>
      </c>
      <c r="L724">
        <v>455.56499999999897</v>
      </c>
      <c r="M724" t="s">
        <v>37</v>
      </c>
    </row>
    <row r="725" spans="1:13">
      <c r="A725" t="s">
        <v>1281</v>
      </c>
      <c r="B725" s="1">
        <v>41159</v>
      </c>
      <c r="C725" s="1">
        <v>41161</v>
      </c>
      <c r="D725" t="s">
        <v>518</v>
      </c>
      <c r="E725" t="s">
        <v>588</v>
      </c>
      <c r="F725" t="s">
        <v>56</v>
      </c>
      <c r="G725" t="s">
        <v>32</v>
      </c>
      <c r="H725" t="s">
        <v>44</v>
      </c>
      <c r="I725">
        <v>1142.6399999999901</v>
      </c>
      <c r="J725">
        <v>6</v>
      </c>
      <c r="K725">
        <v>0.6</v>
      </c>
      <c r="M725" t="s">
        <v>27</v>
      </c>
    </row>
    <row r="726" spans="1:13">
      <c r="A726" t="s">
        <v>1282</v>
      </c>
      <c r="B726" s="1">
        <v>42052</v>
      </c>
      <c r="C726" s="1">
        <v>42056</v>
      </c>
      <c r="D726" t="s">
        <v>1283</v>
      </c>
      <c r="E726" t="s">
        <v>70</v>
      </c>
      <c r="F726" t="s">
        <v>71</v>
      </c>
      <c r="G726" t="s">
        <v>32</v>
      </c>
      <c r="H726" t="s">
        <v>151</v>
      </c>
      <c r="I726">
        <v>1630.79999999999</v>
      </c>
      <c r="J726">
        <v>5</v>
      </c>
      <c r="K726">
        <v>0.1</v>
      </c>
      <c r="M726" t="s">
        <v>37</v>
      </c>
    </row>
    <row r="727" spans="1:13">
      <c r="B727" s="1">
        <v>41424</v>
      </c>
      <c r="C727" s="1">
        <v>41427</v>
      </c>
      <c r="D727" t="s">
        <v>1284</v>
      </c>
      <c r="E727" t="s">
        <v>504</v>
      </c>
      <c r="F727" t="s">
        <v>94</v>
      </c>
      <c r="G727" t="s">
        <v>17</v>
      </c>
      <c r="H727" t="s">
        <v>23</v>
      </c>
      <c r="I727">
        <v>1172.664</v>
      </c>
      <c r="J727">
        <v>6</v>
      </c>
      <c r="K727">
        <v>0.7</v>
      </c>
      <c r="L727">
        <v>-1172.7359999999901</v>
      </c>
      <c r="M727" t="s">
        <v>37</v>
      </c>
    </row>
    <row r="728" spans="1:13">
      <c r="A728" t="s">
        <v>1285</v>
      </c>
      <c r="B728" s="1">
        <v>41641</v>
      </c>
      <c r="C728" s="1">
        <v>41643</v>
      </c>
      <c r="D728" t="s">
        <v>1286</v>
      </c>
      <c r="E728" t="s">
        <v>168</v>
      </c>
      <c r="F728" t="s">
        <v>115</v>
      </c>
      <c r="G728" t="s">
        <v>17</v>
      </c>
      <c r="H728" t="s">
        <v>151</v>
      </c>
      <c r="I728">
        <v>2021.88</v>
      </c>
      <c r="J728">
        <v>14</v>
      </c>
      <c r="K728">
        <v>0</v>
      </c>
      <c r="L728">
        <v>323.39999999999998</v>
      </c>
      <c r="M728" t="s">
        <v>37</v>
      </c>
    </row>
    <row r="729" spans="1:13">
      <c r="A729" t="s">
        <v>1287</v>
      </c>
      <c r="B729" s="1">
        <v>41601</v>
      </c>
      <c r="C729" s="1">
        <v>41603</v>
      </c>
      <c r="D729" t="s">
        <v>1288</v>
      </c>
      <c r="E729" t="s">
        <v>97</v>
      </c>
      <c r="F729" t="s">
        <v>98</v>
      </c>
      <c r="G729" t="s">
        <v>32</v>
      </c>
      <c r="H729" t="s">
        <v>26</v>
      </c>
      <c r="I729">
        <v>836.92799999999897</v>
      </c>
      <c r="K729">
        <v>0.2</v>
      </c>
      <c r="L729">
        <v>230.12799999999999</v>
      </c>
      <c r="M729" t="s">
        <v>37</v>
      </c>
    </row>
    <row r="730" spans="1:13">
      <c r="A730" t="s">
        <v>1289</v>
      </c>
      <c r="B730" s="1">
        <v>42105</v>
      </c>
      <c r="C730" s="1">
        <v>42111</v>
      </c>
      <c r="D730" t="s">
        <v>181</v>
      </c>
      <c r="E730" t="s">
        <v>1290</v>
      </c>
      <c r="F730" t="s">
        <v>56</v>
      </c>
      <c r="G730" t="s">
        <v>17</v>
      </c>
      <c r="H730" t="s">
        <v>26</v>
      </c>
      <c r="I730">
        <v>1302.78</v>
      </c>
      <c r="J730">
        <v>2</v>
      </c>
      <c r="K730">
        <v>0</v>
      </c>
      <c r="L730">
        <v>286.56</v>
      </c>
      <c r="M730" t="s">
        <v>74</v>
      </c>
    </row>
    <row r="731" spans="1:13">
      <c r="A731" t="s">
        <v>1291</v>
      </c>
      <c r="B731" s="1">
        <v>41489</v>
      </c>
      <c r="C731" s="1">
        <v>41493</v>
      </c>
      <c r="D731" t="s">
        <v>1207</v>
      </c>
      <c r="E731" t="s">
        <v>488</v>
      </c>
      <c r="F731" t="s">
        <v>233</v>
      </c>
      <c r="G731" t="s">
        <v>165</v>
      </c>
      <c r="H731" t="s">
        <v>151</v>
      </c>
      <c r="I731">
        <v>2243.88</v>
      </c>
      <c r="J731">
        <v>4</v>
      </c>
      <c r="K731">
        <v>0</v>
      </c>
      <c r="L731">
        <v>246.719999999999</v>
      </c>
      <c r="M731" t="s">
        <v>19</v>
      </c>
    </row>
    <row r="732" spans="1:13">
      <c r="A732" t="s">
        <v>1292</v>
      </c>
      <c r="B732" s="1">
        <v>42326</v>
      </c>
      <c r="C732" t="s">
        <v>1293</v>
      </c>
      <c r="D732" t="s">
        <v>794</v>
      </c>
      <c r="E732" t="s">
        <v>15</v>
      </c>
      <c r="F732" t="s">
        <v>16</v>
      </c>
      <c r="G732" t="s">
        <v>17</v>
      </c>
      <c r="H732" t="s">
        <v>26</v>
      </c>
      <c r="I732">
        <v>1221.5609999999999</v>
      </c>
      <c r="J732">
        <v>11</v>
      </c>
      <c r="K732">
        <v>0.1</v>
      </c>
      <c r="L732">
        <v>325.61099999999999</v>
      </c>
      <c r="M732" t="s">
        <v>37</v>
      </c>
    </row>
    <row r="733" spans="1:13">
      <c r="A733" t="s">
        <v>1294</v>
      </c>
      <c r="B733" s="2">
        <v>41255</v>
      </c>
      <c r="C733" s="1">
        <v>41259</v>
      </c>
      <c r="D733" t="s">
        <v>1078</v>
      </c>
      <c r="E733" t="s">
        <v>66</v>
      </c>
      <c r="F733" t="s">
        <v>90</v>
      </c>
      <c r="G733" t="s">
        <v>1107</v>
      </c>
      <c r="H733" t="s">
        <v>73</v>
      </c>
      <c r="I733">
        <v>1609.29</v>
      </c>
      <c r="J733">
        <v>3</v>
      </c>
      <c r="K733">
        <v>0</v>
      </c>
      <c r="L733">
        <v>241.38</v>
      </c>
      <c r="M733" t="s">
        <v>37</v>
      </c>
    </row>
    <row r="734" spans="1:13">
      <c r="A734" t="s">
        <v>1295</v>
      </c>
      <c r="B734" s="1">
        <v>42175</v>
      </c>
      <c r="C734" s="1">
        <v>42178</v>
      </c>
      <c r="D734" t="s">
        <v>1296</v>
      </c>
      <c r="E734" t="s">
        <v>15</v>
      </c>
      <c r="F734" t="s">
        <v>16</v>
      </c>
      <c r="G734" t="s">
        <v>17</v>
      </c>
      <c r="H734" t="s">
        <v>26</v>
      </c>
      <c r="I734">
        <v>1596.50999999999</v>
      </c>
      <c r="J734">
        <v>6</v>
      </c>
      <c r="K734">
        <v>0.1</v>
      </c>
      <c r="L734">
        <v>-53.37</v>
      </c>
      <c r="M734" t="s">
        <v>19</v>
      </c>
    </row>
    <row r="735" spans="1:13">
      <c r="A735" t="s">
        <v>1297</v>
      </c>
      <c r="B735" s="1">
        <v>42109</v>
      </c>
      <c r="C735" s="1">
        <v>42112</v>
      </c>
      <c r="D735" t="s">
        <v>1298</v>
      </c>
      <c r="E735" t="s">
        <v>40</v>
      </c>
      <c r="F735" t="s">
        <v>111</v>
      </c>
      <c r="G735" t="s">
        <v>45</v>
      </c>
      <c r="H735" t="s">
        <v>73</v>
      </c>
      <c r="I735">
        <v>89.855999999999995</v>
      </c>
      <c r="J735">
        <v>3</v>
      </c>
      <c r="K735">
        <v>0.2</v>
      </c>
      <c r="L735">
        <v>21.340800000000002</v>
      </c>
      <c r="M735" t="s">
        <v>19</v>
      </c>
    </row>
    <row r="736" spans="1:13">
      <c r="A736" t="s">
        <v>1299</v>
      </c>
      <c r="B736" s="1">
        <v>41780</v>
      </c>
      <c r="C736" s="1">
        <v>41784</v>
      </c>
      <c r="D736" t="s">
        <v>477</v>
      </c>
      <c r="E736" t="s">
        <v>66</v>
      </c>
      <c r="F736" t="s">
        <v>90</v>
      </c>
      <c r="G736" t="s">
        <v>17</v>
      </c>
      <c r="H736" t="s">
        <v>33</v>
      </c>
      <c r="I736">
        <v>2018.88</v>
      </c>
      <c r="J736">
        <v>12</v>
      </c>
      <c r="K736">
        <v>0</v>
      </c>
      <c r="L736">
        <v>928.44</v>
      </c>
      <c r="M736" t="s">
        <v>19</v>
      </c>
    </row>
    <row r="737" spans="1:13">
      <c r="A737" t="s">
        <v>1300</v>
      </c>
      <c r="B737" s="1">
        <v>42280</v>
      </c>
      <c r="C737" s="1">
        <v>42284</v>
      </c>
      <c r="D737" t="s">
        <v>1301</v>
      </c>
      <c r="E737" t="s">
        <v>437</v>
      </c>
      <c r="F737" t="s">
        <v>438</v>
      </c>
      <c r="G737" t="s">
        <v>17</v>
      </c>
      <c r="H737" t="s">
        <v>23</v>
      </c>
      <c r="I737">
        <v>1885.32</v>
      </c>
      <c r="J737">
        <v>6</v>
      </c>
      <c r="K737">
        <v>0</v>
      </c>
      <c r="L737">
        <v>18.72</v>
      </c>
      <c r="M737" t="s">
        <v>37</v>
      </c>
    </row>
    <row r="738" spans="1:13">
      <c r="A738" t="s">
        <v>1302</v>
      </c>
      <c r="B738" s="1">
        <v>41268</v>
      </c>
      <c r="C738" s="1">
        <v>41273</v>
      </c>
      <c r="D738" t="s">
        <v>961</v>
      </c>
      <c r="E738" t="s">
        <v>93</v>
      </c>
      <c r="F738" t="s">
        <v>94</v>
      </c>
      <c r="G738" t="s">
        <v>32</v>
      </c>
      <c r="H738" t="s">
        <v>33</v>
      </c>
      <c r="I738">
        <v>3119.34</v>
      </c>
      <c r="J738">
        <v>7</v>
      </c>
      <c r="K738">
        <v>0</v>
      </c>
      <c r="L738">
        <v>1528.38</v>
      </c>
      <c r="M738" t="s">
        <v>19</v>
      </c>
    </row>
    <row r="739" spans="1:13">
      <c r="A739" t="s">
        <v>1303</v>
      </c>
      <c r="B739" s="1">
        <v>42271</v>
      </c>
      <c r="C739" s="1">
        <v>42278</v>
      </c>
      <c r="D739" t="s">
        <v>1304</v>
      </c>
      <c r="E739" t="s">
        <v>22</v>
      </c>
      <c r="F739" t="s">
        <v>71</v>
      </c>
      <c r="G739" t="s">
        <v>32</v>
      </c>
      <c r="H739" t="s">
        <v>127</v>
      </c>
      <c r="I739">
        <v>1964.25</v>
      </c>
      <c r="J739">
        <v>6</v>
      </c>
      <c r="K739">
        <v>0.1</v>
      </c>
      <c r="L739">
        <v>21.689999999999898</v>
      </c>
      <c r="M739" t="s">
        <v>74</v>
      </c>
    </row>
    <row r="740" spans="1:13">
      <c r="A740" t="s">
        <v>1273</v>
      </c>
      <c r="B740" s="1">
        <v>41450</v>
      </c>
      <c r="C740" s="1">
        <v>41456</v>
      </c>
      <c r="D740" t="s">
        <v>1264</v>
      </c>
      <c r="E740" t="s">
        <v>40</v>
      </c>
      <c r="F740" t="s">
        <v>43</v>
      </c>
      <c r="G740" t="s">
        <v>45</v>
      </c>
      <c r="H740" t="s">
        <v>44</v>
      </c>
      <c r="I740">
        <v>88.751999999999995</v>
      </c>
      <c r="J740">
        <v>3</v>
      </c>
      <c r="K740">
        <v>0.2</v>
      </c>
      <c r="L740">
        <v>27.7349999999999</v>
      </c>
      <c r="M740" t="s">
        <v>19</v>
      </c>
    </row>
    <row r="741" spans="1:13">
      <c r="A741" t="s">
        <v>1305</v>
      </c>
      <c r="B741" s="1">
        <v>42242</v>
      </c>
      <c r="C741" s="1">
        <v>42244</v>
      </c>
      <c r="D741" t="s">
        <v>704</v>
      </c>
      <c r="E741" t="s">
        <v>15</v>
      </c>
      <c r="F741" t="s">
        <v>16</v>
      </c>
      <c r="G741" t="s">
        <v>32</v>
      </c>
      <c r="H741" t="s">
        <v>151</v>
      </c>
      <c r="I741">
        <v>1653.8039999999901</v>
      </c>
      <c r="J741">
        <v>6</v>
      </c>
      <c r="K741">
        <v>0.4</v>
      </c>
      <c r="L741">
        <v>-689.25599999999895</v>
      </c>
      <c r="M741" t="s">
        <v>37</v>
      </c>
    </row>
    <row r="742" spans="1:13">
      <c r="A742" t="s">
        <v>1306</v>
      </c>
      <c r="B742" s="1">
        <v>42326</v>
      </c>
      <c r="C742" s="1">
        <v>42329</v>
      </c>
      <c r="D742" t="s">
        <v>1307</v>
      </c>
      <c r="E742" t="s">
        <v>55</v>
      </c>
      <c r="F742" t="s">
        <v>56</v>
      </c>
      <c r="G742" t="s">
        <v>17</v>
      </c>
      <c r="H742" t="s">
        <v>44</v>
      </c>
      <c r="I742">
        <v>621</v>
      </c>
      <c r="J742">
        <v>2</v>
      </c>
      <c r="K742">
        <v>0</v>
      </c>
      <c r="L742">
        <v>180.06</v>
      </c>
      <c r="M742" t="s">
        <v>27</v>
      </c>
    </row>
    <row r="743" spans="1:13">
      <c r="A743" t="s">
        <v>1308</v>
      </c>
      <c r="C743" s="1">
        <v>41615</v>
      </c>
      <c r="D743" t="s">
        <v>183</v>
      </c>
      <c r="E743" t="s">
        <v>114</v>
      </c>
      <c r="F743" t="s">
        <v>169</v>
      </c>
      <c r="G743" t="s">
        <v>17</v>
      </c>
      <c r="H743" t="s">
        <v>23</v>
      </c>
      <c r="I743">
        <v>2673.81</v>
      </c>
      <c r="J743">
        <v>9</v>
      </c>
      <c r="K743">
        <v>0</v>
      </c>
      <c r="L743">
        <v>26.729999999999901</v>
      </c>
      <c r="M743" t="s">
        <v>19</v>
      </c>
    </row>
    <row r="744" spans="1:13">
      <c r="A744" t="s">
        <v>1309</v>
      </c>
      <c r="B744" s="1">
        <v>42253</v>
      </c>
      <c r="C744" s="1">
        <v>42253</v>
      </c>
      <c r="D744" t="s">
        <v>1140</v>
      </c>
      <c r="E744" t="s">
        <v>76</v>
      </c>
      <c r="F744" t="s">
        <v>77</v>
      </c>
      <c r="G744" t="s">
        <v>32</v>
      </c>
      <c r="H744" t="s">
        <v>127</v>
      </c>
      <c r="I744">
        <v>1307.97</v>
      </c>
      <c r="K744">
        <v>0</v>
      </c>
      <c r="L744">
        <v>536.22</v>
      </c>
      <c r="M744" t="s">
        <v>37</v>
      </c>
    </row>
    <row r="745" spans="1:13">
      <c r="A745" t="s">
        <v>1310</v>
      </c>
      <c r="B745" s="1">
        <v>42277</v>
      </c>
      <c r="C745" s="1">
        <v>42279</v>
      </c>
      <c r="D745" t="s">
        <v>159</v>
      </c>
      <c r="E745" t="s">
        <v>76</v>
      </c>
      <c r="F745" t="s">
        <v>77</v>
      </c>
      <c r="G745" t="s">
        <v>17</v>
      </c>
      <c r="H745" t="s">
        <v>33</v>
      </c>
      <c r="I745">
        <v>1145.232</v>
      </c>
      <c r="J745">
        <v>3</v>
      </c>
      <c r="K745">
        <v>0.4</v>
      </c>
      <c r="L745">
        <v>-706.24800000000005</v>
      </c>
      <c r="M745" t="s">
        <v>27</v>
      </c>
    </row>
    <row r="746" spans="1:13">
      <c r="A746" t="s">
        <v>1311</v>
      </c>
      <c r="B746" s="1">
        <v>42094</v>
      </c>
      <c r="C746" s="1">
        <v>42096</v>
      </c>
      <c r="D746" t="s">
        <v>1264</v>
      </c>
      <c r="E746" t="s">
        <v>40</v>
      </c>
      <c r="F746" t="s">
        <v>245</v>
      </c>
      <c r="G746" t="s">
        <v>32</v>
      </c>
      <c r="H746" t="s">
        <v>151</v>
      </c>
      <c r="I746">
        <v>94.2</v>
      </c>
      <c r="J746">
        <v>5</v>
      </c>
      <c r="K746">
        <v>0</v>
      </c>
      <c r="L746">
        <v>39.564</v>
      </c>
      <c r="M746" t="s">
        <v>19</v>
      </c>
    </row>
    <row r="747" spans="1:13">
      <c r="A747" t="s">
        <v>1312</v>
      </c>
      <c r="B747" s="1">
        <v>41543</v>
      </c>
      <c r="C747" s="1">
        <v>41545</v>
      </c>
      <c r="D747" t="s">
        <v>471</v>
      </c>
      <c r="E747" t="s">
        <v>358</v>
      </c>
      <c r="F747" t="s">
        <v>98</v>
      </c>
      <c r="G747" t="s">
        <v>17</v>
      </c>
      <c r="H747" t="s">
        <v>26</v>
      </c>
      <c r="I747">
        <v>1902.10816</v>
      </c>
      <c r="J747">
        <v>8</v>
      </c>
      <c r="K747">
        <v>2E-3</v>
      </c>
      <c r="L747">
        <v>872.82816000000003</v>
      </c>
      <c r="M747" t="s">
        <v>19</v>
      </c>
    </row>
    <row r="748" spans="1:13">
      <c r="A748" t="s">
        <v>1313</v>
      </c>
      <c r="B748" s="1">
        <v>42368</v>
      </c>
      <c r="C748" s="1">
        <v>42371</v>
      </c>
      <c r="D748" t="s">
        <v>1314</v>
      </c>
      <c r="E748" t="s">
        <v>903</v>
      </c>
      <c r="F748" t="s">
        <v>71</v>
      </c>
      <c r="G748" t="s">
        <v>17</v>
      </c>
      <c r="H748" t="s">
        <v>44</v>
      </c>
      <c r="I748">
        <v>1913.3999999999901</v>
      </c>
      <c r="J748">
        <v>10</v>
      </c>
      <c r="K748">
        <v>0</v>
      </c>
      <c r="L748">
        <v>899.099999999999</v>
      </c>
      <c r="M748" t="s">
        <v>27</v>
      </c>
    </row>
    <row r="749" spans="1:13">
      <c r="A749" t="s">
        <v>1315</v>
      </c>
      <c r="B749" s="1">
        <v>42024</v>
      </c>
      <c r="C749" s="1">
        <v>42029</v>
      </c>
      <c r="E749" t="s">
        <v>173</v>
      </c>
      <c r="F749" t="s">
        <v>84</v>
      </c>
      <c r="G749" t="s">
        <v>32</v>
      </c>
      <c r="H749" t="s">
        <v>33</v>
      </c>
      <c r="I749">
        <v>1854.71999999999</v>
      </c>
      <c r="J749">
        <v>4</v>
      </c>
      <c r="K749">
        <v>0</v>
      </c>
      <c r="L749">
        <v>778.92</v>
      </c>
      <c r="M749" t="s">
        <v>19</v>
      </c>
    </row>
    <row r="750" spans="1:13">
      <c r="A750" t="s">
        <v>1316</v>
      </c>
      <c r="B750" s="1">
        <v>41835</v>
      </c>
      <c r="C750" s="1">
        <v>41838</v>
      </c>
      <c r="E750" t="s">
        <v>70</v>
      </c>
      <c r="F750" t="s">
        <v>71</v>
      </c>
      <c r="G750" t="s">
        <v>32</v>
      </c>
      <c r="H750" t="s">
        <v>33</v>
      </c>
      <c r="I750">
        <v>2958.9839999999999</v>
      </c>
      <c r="J750">
        <v>7</v>
      </c>
      <c r="K750">
        <v>0.1</v>
      </c>
      <c r="L750">
        <v>953.27399999999898</v>
      </c>
      <c r="M750" t="s">
        <v>19</v>
      </c>
    </row>
    <row r="751" spans="1:13">
      <c r="A751" t="s">
        <v>1317</v>
      </c>
      <c r="B751" s="1">
        <v>40967</v>
      </c>
      <c r="C751" s="1">
        <v>40970</v>
      </c>
      <c r="D751" t="s">
        <v>881</v>
      </c>
      <c r="E751" t="s">
        <v>1318</v>
      </c>
      <c r="F751" t="s">
        <v>90</v>
      </c>
      <c r="G751" t="s">
        <v>45</v>
      </c>
      <c r="H751" t="s">
        <v>23</v>
      </c>
      <c r="I751">
        <v>810.72</v>
      </c>
      <c r="J751">
        <v>3</v>
      </c>
      <c r="K751">
        <v>0.5</v>
      </c>
      <c r="L751">
        <v>-599.94000000000005</v>
      </c>
      <c r="M751" t="s">
        <v>27</v>
      </c>
    </row>
    <row r="752" spans="1:13">
      <c r="A752" t="s">
        <v>1319</v>
      </c>
      <c r="B752" s="1">
        <v>42094</v>
      </c>
      <c r="C752" s="1">
        <v>42094</v>
      </c>
      <c r="D752" t="s">
        <v>1320</v>
      </c>
      <c r="E752" t="s">
        <v>70</v>
      </c>
      <c r="F752" t="s">
        <v>71</v>
      </c>
      <c r="G752" t="s">
        <v>32</v>
      </c>
      <c r="H752" t="s">
        <v>23</v>
      </c>
      <c r="I752">
        <v>2953.5839999999998</v>
      </c>
      <c r="J752">
        <v>8</v>
      </c>
      <c r="K752">
        <v>0.1</v>
      </c>
      <c r="L752">
        <v>754.70399999999904</v>
      </c>
      <c r="M752" t="s">
        <v>19</v>
      </c>
    </row>
    <row r="753" spans="1:13">
      <c r="A753" t="s">
        <v>1321</v>
      </c>
      <c r="B753" s="1">
        <v>41793</v>
      </c>
      <c r="C753" s="1">
        <v>41796</v>
      </c>
      <c r="D753" t="s">
        <v>1083</v>
      </c>
      <c r="E753" t="s">
        <v>76</v>
      </c>
      <c r="F753" t="s">
        <v>77</v>
      </c>
      <c r="G753" t="s">
        <v>45</v>
      </c>
      <c r="H753" t="s">
        <v>73</v>
      </c>
      <c r="I753">
        <v>2593.8000000000002</v>
      </c>
      <c r="J753" t="s">
        <v>1322</v>
      </c>
      <c r="K753">
        <v>0</v>
      </c>
      <c r="L753">
        <v>1141.2</v>
      </c>
      <c r="M753" t="s">
        <v>37</v>
      </c>
    </row>
    <row r="754" spans="1:13">
      <c r="A754" t="s">
        <v>1323</v>
      </c>
      <c r="B754" s="1">
        <v>41703</v>
      </c>
      <c r="C754" s="1">
        <v>41710</v>
      </c>
      <c r="E754" t="s">
        <v>141</v>
      </c>
      <c r="F754" t="s">
        <v>142</v>
      </c>
      <c r="G754" t="s">
        <v>45</v>
      </c>
      <c r="H754" t="s">
        <v>151</v>
      </c>
      <c r="I754">
        <v>2051.0129999999899</v>
      </c>
      <c r="J754" t="s">
        <v>63</v>
      </c>
      <c r="K754">
        <v>0.17</v>
      </c>
      <c r="L754">
        <v>667.11300000000006</v>
      </c>
      <c r="M754" t="s">
        <v>1324</v>
      </c>
    </row>
    <row r="755" spans="1:13">
      <c r="A755" t="s">
        <v>1325</v>
      </c>
      <c r="B755" s="1">
        <v>41228</v>
      </c>
      <c r="C755" s="1">
        <v>41232</v>
      </c>
      <c r="D755" t="s">
        <v>1264</v>
      </c>
      <c r="E755" t="s">
        <v>40</v>
      </c>
      <c r="F755" t="s">
        <v>41</v>
      </c>
      <c r="G755" t="s">
        <v>32</v>
      </c>
      <c r="H755" t="s">
        <v>73</v>
      </c>
      <c r="I755">
        <v>37.295999999999999</v>
      </c>
      <c r="K755">
        <v>0.3</v>
      </c>
      <c r="L755">
        <v>-1.0656000000000001</v>
      </c>
      <c r="M755" t="s">
        <v>37</v>
      </c>
    </row>
    <row r="756" spans="1:13">
      <c r="A756" t="s">
        <v>746</v>
      </c>
      <c r="B756" s="1">
        <v>42292</v>
      </c>
      <c r="C756" s="1">
        <v>42294</v>
      </c>
      <c r="D756" t="s">
        <v>747</v>
      </c>
      <c r="E756" t="s">
        <v>256</v>
      </c>
      <c r="F756" t="s">
        <v>71</v>
      </c>
      <c r="G756" t="s">
        <v>17</v>
      </c>
      <c r="H756" t="s">
        <v>73</v>
      </c>
      <c r="I756" t="s">
        <v>163</v>
      </c>
      <c r="J756">
        <v>5</v>
      </c>
      <c r="K756">
        <v>0</v>
      </c>
      <c r="L756">
        <v>567</v>
      </c>
      <c r="M756" t="s">
        <v>27</v>
      </c>
    </row>
    <row r="757" spans="1:13">
      <c r="A757" t="s">
        <v>1326</v>
      </c>
      <c r="B757" s="1">
        <v>41051</v>
      </c>
      <c r="C757" s="1">
        <v>41051</v>
      </c>
      <c r="D757" t="s">
        <v>844</v>
      </c>
      <c r="E757" t="s">
        <v>689</v>
      </c>
      <c r="F757" t="s">
        <v>142</v>
      </c>
      <c r="G757" t="s">
        <v>17</v>
      </c>
      <c r="H757" t="s">
        <v>73</v>
      </c>
      <c r="I757">
        <v>1120.77</v>
      </c>
      <c r="J757">
        <v>9</v>
      </c>
      <c r="L757">
        <v>55.889999999999901</v>
      </c>
      <c r="M757" t="s">
        <v>37</v>
      </c>
    </row>
    <row r="758" spans="1:13">
      <c r="A758" t="s">
        <v>1327</v>
      </c>
      <c r="C758" s="1">
        <v>41409</v>
      </c>
      <c r="D758" t="s">
        <v>1264</v>
      </c>
      <c r="E758" t="s">
        <v>334</v>
      </c>
      <c r="F758" t="s">
        <v>43</v>
      </c>
      <c r="G758" t="s">
        <v>624</v>
      </c>
      <c r="H758" t="s">
        <v>33</v>
      </c>
      <c r="I758">
        <v>46.688000000000002</v>
      </c>
      <c r="J758">
        <v>4</v>
      </c>
      <c r="L758">
        <v>-2.9180000000000001</v>
      </c>
      <c r="M758" t="s">
        <v>19</v>
      </c>
    </row>
    <row r="759" spans="1:13">
      <c r="A759" t="s">
        <v>1328</v>
      </c>
      <c r="B759" s="1">
        <v>42245</v>
      </c>
      <c r="C759" s="1">
        <v>42250</v>
      </c>
      <c r="D759" t="s">
        <v>1329</v>
      </c>
      <c r="E759" t="s">
        <v>60</v>
      </c>
      <c r="F759" t="s">
        <v>61</v>
      </c>
      <c r="G759" t="s">
        <v>45</v>
      </c>
      <c r="H759" t="s">
        <v>26</v>
      </c>
      <c r="I759">
        <v>3044.8</v>
      </c>
      <c r="J759">
        <v>8</v>
      </c>
      <c r="K759">
        <v>0</v>
      </c>
      <c r="L759">
        <v>91.2</v>
      </c>
      <c r="M759" t="s">
        <v>19</v>
      </c>
    </row>
    <row r="760" spans="1:13">
      <c r="A760" t="s">
        <v>1330</v>
      </c>
      <c r="B760" s="1">
        <v>42176</v>
      </c>
      <c r="C760" s="1">
        <v>42177</v>
      </c>
      <c r="D760" t="s">
        <v>513</v>
      </c>
      <c r="E760" t="s">
        <v>70</v>
      </c>
      <c r="F760" t="s">
        <v>71</v>
      </c>
      <c r="G760" t="s">
        <v>32</v>
      </c>
      <c r="H760" t="s">
        <v>26</v>
      </c>
      <c r="I760">
        <v>656.85599999999999</v>
      </c>
      <c r="J760">
        <v>2</v>
      </c>
      <c r="K760">
        <v>0.1</v>
      </c>
      <c r="L760">
        <v>94.835999999999899</v>
      </c>
      <c r="M760" t="s">
        <v>27</v>
      </c>
    </row>
    <row r="761" spans="1:13">
      <c r="A761" t="s">
        <v>1331</v>
      </c>
      <c r="B761" s="1">
        <v>42132</v>
      </c>
      <c r="C761" s="1">
        <v>42137</v>
      </c>
      <c r="D761" t="s">
        <v>1205</v>
      </c>
      <c r="E761" t="s">
        <v>93</v>
      </c>
      <c r="F761" t="s">
        <v>766</v>
      </c>
      <c r="G761" t="s">
        <v>17</v>
      </c>
      <c r="H761" t="s">
        <v>73</v>
      </c>
      <c r="I761">
        <v>2518.9499999999998</v>
      </c>
      <c r="J761">
        <v>7</v>
      </c>
      <c r="K761">
        <v>0</v>
      </c>
      <c r="L761">
        <v>1032.57</v>
      </c>
      <c r="M761" t="s">
        <v>19</v>
      </c>
    </row>
    <row r="762" spans="1:13">
      <c r="A762" t="s">
        <v>1332</v>
      </c>
      <c r="B762" s="1">
        <v>41870</v>
      </c>
      <c r="C762" s="1">
        <v>41871</v>
      </c>
      <c r="D762" t="s">
        <v>513</v>
      </c>
      <c r="E762" t="s">
        <v>1333</v>
      </c>
      <c r="F762" t="s">
        <v>25</v>
      </c>
      <c r="G762" t="s">
        <v>32</v>
      </c>
      <c r="H762" t="s">
        <v>151</v>
      </c>
      <c r="I762">
        <v>1669.248</v>
      </c>
      <c r="J762">
        <v>12</v>
      </c>
      <c r="K762">
        <v>0.7</v>
      </c>
      <c r="L762">
        <v>-1558.15199999999</v>
      </c>
      <c r="M762" t="s">
        <v>19</v>
      </c>
    </row>
    <row r="763" spans="1:13">
      <c r="A763" t="s">
        <v>1334</v>
      </c>
      <c r="B763" s="1">
        <v>41817</v>
      </c>
      <c r="C763" s="1">
        <v>41817</v>
      </c>
      <c r="D763" t="s">
        <v>1335</v>
      </c>
      <c r="E763" t="s">
        <v>197</v>
      </c>
      <c r="F763" t="s">
        <v>77</v>
      </c>
      <c r="G763" t="s">
        <v>32</v>
      </c>
      <c r="H763" t="s">
        <v>33</v>
      </c>
      <c r="I763">
        <v>2476.08</v>
      </c>
      <c r="J763">
        <v>6</v>
      </c>
      <c r="K763">
        <v>0</v>
      </c>
      <c r="L763">
        <v>1015.02</v>
      </c>
      <c r="M763" t="s">
        <v>37</v>
      </c>
    </row>
    <row r="764" spans="1:13">
      <c r="A764" t="s">
        <v>1336</v>
      </c>
      <c r="B764" s="1">
        <v>40932</v>
      </c>
      <c r="C764" s="1">
        <v>40932</v>
      </c>
      <c r="D764" t="s">
        <v>86</v>
      </c>
      <c r="E764" t="s">
        <v>1337</v>
      </c>
      <c r="F764" t="s">
        <v>94</v>
      </c>
      <c r="G764" t="s">
        <v>17</v>
      </c>
      <c r="H764" t="s">
        <v>23</v>
      </c>
      <c r="I764">
        <v>1302.78</v>
      </c>
      <c r="J764">
        <v>2</v>
      </c>
      <c r="K764">
        <v>0</v>
      </c>
      <c r="L764">
        <v>286.56</v>
      </c>
      <c r="M764" t="s">
        <v>19</v>
      </c>
    </row>
    <row r="765" spans="1:13">
      <c r="A765" t="s">
        <v>1269</v>
      </c>
      <c r="B765" s="1">
        <v>41361</v>
      </c>
      <c r="C765" s="1">
        <v>41366</v>
      </c>
      <c r="D765" t="s">
        <v>1264</v>
      </c>
      <c r="E765" t="s">
        <v>40</v>
      </c>
      <c r="F765" t="s">
        <v>43</v>
      </c>
      <c r="G765" t="s">
        <v>45</v>
      </c>
      <c r="H765" t="s">
        <v>151</v>
      </c>
      <c r="I765">
        <v>33.4</v>
      </c>
      <c r="J765" t="s">
        <v>63</v>
      </c>
      <c r="K765">
        <v>0</v>
      </c>
      <c r="L765">
        <v>16.032</v>
      </c>
      <c r="M765" t="s">
        <v>19</v>
      </c>
    </row>
    <row r="766" spans="1:13">
      <c r="A766" t="s">
        <v>1338</v>
      </c>
      <c r="B766" s="1">
        <v>42342</v>
      </c>
      <c r="C766" s="1">
        <v>42346</v>
      </c>
      <c r="D766" t="s">
        <v>881</v>
      </c>
      <c r="E766" t="s">
        <v>15</v>
      </c>
      <c r="F766" t="s">
        <v>16</v>
      </c>
      <c r="G766" t="s">
        <v>32</v>
      </c>
      <c r="H766" t="s">
        <v>18</v>
      </c>
      <c r="I766">
        <v>2125.3199999999902</v>
      </c>
      <c r="J766">
        <v>4</v>
      </c>
      <c r="K766">
        <v>0</v>
      </c>
      <c r="L766">
        <v>148.68</v>
      </c>
      <c r="M766" t="s">
        <v>19</v>
      </c>
    </row>
    <row r="767" spans="1:13">
      <c r="A767" t="s">
        <v>1339</v>
      </c>
      <c r="B767" s="1">
        <v>41818</v>
      </c>
      <c r="C767" s="1">
        <v>41824</v>
      </c>
      <c r="D767" t="s">
        <v>1189</v>
      </c>
      <c r="E767" t="s">
        <v>93</v>
      </c>
      <c r="F767" t="s">
        <v>94</v>
      </c>
      <c r="G767" t="s">
        <v>17</v>
      </c>
      <c r="H767" t="s">
        <v>26</v>
      </c>
      <c r="I767">
        <v>1954.44</v>
      </c>
      <c r="J767">
        <v>3</v>
      </c>
      <c r="K767">
        <v>0</v>
      </c>
      <c r="L767">
        <v>781.74</v>
      </c>
      <c r="M767" t="s">
        <v>74</v>
      </c>
    </row>
    <row r="768" spans="1:13">
      <c r="A768" t="s">
        <v>1340</v>
      </c>
      <c r="B768" s="2">
        <v>41418</v>
      </c>
      <c r="C768" s="1">
        <v>41420</v>
      </c>
      <c r="D768" t="s">
        <v>1238</v>
      </c>
      <c r="E768" t="s">
        <v>60</v>
      </c>
      <c r="F768" t="s">
        <v>1341</v>
      </c>
      <c r="G768" t="s">
        <v>17</v>
      </c>
      <c r="H768" t="s">
        <v>44</v>
      </c>
      <c r="I768">
        <v>856.92</v>
      </c>
      <c r="J768">
        <v>2</v>
      </c>
      <c r="K768">
        <v>0</v>
      </c>
      <c r="L768">
        <v>222.76</v>
      </c>
      <c r="M768" t="s">
        <v>27</v>
      </c>
    </row>
    <row r="769" spans="1:13">
      <c r="A769" t="s">
        <v>1342</v>
      </c>
      <c r="B769" s="1">
        <v>42346</v>
      </c>
      <c r="C769" t="s">
        <v>1343</v>
      </c>
      <c r="D769" t="s">
        <v>1344</v>
      </c>
      <c r="F769" t="s">
        <v>142</v>
      </c>
      <c r="G769" t="s">
        <v>17</v>
      </c>
      <c r="H769" t="s">
        <v>26</v>
      </c>
      <c r="I769" t="s">
        <v>1345</v>
      </c>
      <c r="J769">
        <v>7</v>
      </c>
      <c r="L769">
        <v>756.87149999999997</v>
      </c>
      <c r="M769" t="s">
        <v>19</v>
      </c>
    </row>
    <row r="770" spans="1:13">
      <c r="A770" t="s">
        <v>1346</v>
      </c>
      <c r="B770" s="1">
        <v>41619</v>
      </c>
      <c r="C770" s="1">
        <v>41623</v>
      </c>
      <c r="D770" t="s">
        <v>1347</v>
      </c>
      <c r="E770" t="s">
        <v>1348</v>
      </c>
      <c r="F770" t="s">
        <v>115</v>
      </c>
      <c r="G770" t="s">
        <v>17</v>
      </c>
      <c r="H770" t="s">
        <v>26</v>
      </c>
      <c r="I770">
        <v>1302.96</v>
      </c>
      <c r="J770">
        <v>2</v>
      </c>
      <c r="K770">
        <v>0</v>
      </c>
      <c r="L770">
        <v>182.39999999999901</v>
      </c>
      <c r="M770" t="s">
        <v>37</v>
      </c>
    </row>
    <row r="771" spans="1:13">
      <c r="A771" t="s">
        <v>1349</v>
      </c>
      <c r="B771" s="1">
        <v>42068</v>
      </c>
      <c r="C771" s="1">
        <v>42070</v>
      </c>
      <c r="D771" t="s">
        <v>405</v>
      </c>
      <c r="E771" t="s">
        <v>588</v>
      </c>
      <c r="F771" t="s">
        <v>1350</v>
      </c>
      <c r="G771" t="s">
        <v>32</v>
      </c>
      <c r="H771" t="s">
        <v>26</v>
      </c>
      <c r="I771">
        <v>1136.66399999999</v>
      </c>
      <c r="J771">
        <v>6</v>
      </c>
      <c r="K771">
        <v>0.6</v>
      </c>
      <c r="L771">
        <v>-880.95599999999899</v>
      </c>
      <c r="M771" t="s">
        <v>37</v>
      </c>
    </row>
    <row r="772" spans="1:13">
      <c r="A772" t="s">
        <v>1351</v>
      </c>
      <c r="B772" s="1">
        <v>41815</v>
      </c>
      <c r="C772" s="1">
        <v>41819</v>
      </c>
      <c r="D772" t="s">
        <v>1081</v>
      </c>
      <c r="E772" t="s">
        <v>15</v>
      </c>
      <c r="F772" t="s">
        <v>16</v>
      </c>
      <c r="G772" t="s">
        <v>17</v>
      </c>
      <c r="H772" t="s">
        <v>26</v>
      </c>
      <c r="J772">
        <v>6</v>
      </c>
      <c r="K772">
        <v>0.1</v>
      </c>
      <c r="L772">
        <v>382.17599999999999</v>
      </c>
      <c r="M772" t="s">
        <v>37</v>
      </c>
    </row>
    <row r="773" spans="1:13">
      <c r="A773" t="s">
        <v>1352</v>
      </c>
      <c r="B773" s="1">
        <v>42157</v>
      </c>
      <c r="C773" s="1">
        <v>42159</v>
      </c>
      <c r="D773" t="s">
        <v>1353</v>
      </c>
      <c r="E773" t="s">
        <v>141</v>
      </c>
      <c r="F773" t="s">
        <v>142</v>
      </c>
      <c r="G773" t="s">
        <v>17</v>
      </c>
      <c r="H773" t="s">
        <v>23</v>
      </c>
      <c r="I773">
        <v>1043.9304</v>
      </c>
      <c r="J773">
        <v>8</v>
      </c>
      <c r="K773">
        <v>0.47</v>
      </c>
      <c r="L773">
        <v>-295.50959999999998</v>
      </c>
      <c r="M773" t="s">
        <v>19</v>
      </c>
    </row>
    <row r="774" spans="1:13">
      <c r="A774" t="s">
        <v>1354</v>
      </c>
      <c r="B774" s="1">
        <v>41178</v>
      </c>
      <c r="C774" s="1">
        <v>41184</v>
      </c>
      <c r="D774" t="s">
        <v>926</v>
      </c>
      <c r="F774" t="s">
        <v>25</v>
      </c>
      <c r="G774" t="s">
        <v>17</v>
      </c>
      <c r="H774" t="s">
        <v>18</v>
      </c>
      <c r="J774">
        <v>4</v>
      </c>
      <c r="K774">
        <v>0</v>
      </c>
      <c r="L774">
        <v>200.52</v>
      </c>
      <c r="M774" t="s">
        <v>74</v>
      </c>
    </row>
    <row r="775" spans="1:13">
      <c r="A775" t="s">
        <v>1355</v>
      </c>
      <c r="B775" s="1">
        <v>41795</v>
      </c>
      <c r="C775" s="1">
        <v>41799</v>
      </c>
      <c r="D775" t="s">
        <v>1356</v>
      </c>
      <c r="E775" t="s">
        <v>1357</v>
      </c>
      <c r="F775" t="s">
        <v>1358</v>
      </c>
      <c r="G775" t="s">
        <v>45</v>
      </c>
      <c r="H775" t="s">
        <v>33</v>
      </c>
      <c r="I775">
        <v>2180.2439999999901</v>
      </c>
      <c r="J775">
        <v>11</v>
      </c>
      <c r="K775">
        <v>0.4</v>
      </c>
      <c r="L775">
        <v>-690.53599999999904</v>
      </c>
      <c r="M775" t="s">
        <v>227</v>
      </c>
    </row>
    <row r="776" spans="1:13">
      <c r="A776" t="s">
        <v>1359</v>
      </c>
      <c r="B776" s="1">
        <v>41928</v>
      </c>
      <c r="C776" s="1">
        <v>41930</v>
      </c>
      <c r="D776" t="s">
        <v>278</v>
      </c>
      <c r="E776" t="s">
        <v>70</v>
      </c>
      <c r="F776" t="s">
        <v>71</v>
      </c>
      <c r="G776" t="s">
        <v>1020</v>
      </c>
      <c r="H776" t="s">
        <v>127</v>
      </c>
      <c r="I776">
        <v>1306.4670000000001</v>
      </c>
      <c r="J776">
        <v>6</v>
      </c>
      <c r="K776">
        <v>0.15</v>
      </c>
      <c r="L776">
        <v>107.486999999999</v>
      </c>
      <c r="M776" t="s">
        <v>37</v>
      </c>
    </row>
    <row r="777" spans="1:13">
      <c r="A777" t="s">
        <v>1360</v>
      </c>
      <c r="B777" s="1">
        <v>42344</v>
      </c>
      <c r="C777" s="1">
        <v>42348</v>
      </c>
      <c r="D777" t="s">
        <v>1264</v>
      </c>
      <c r="E777" t="s">
        <v>334</v>
      </c>
      <c r="F777" t="s">
        <v>43</v>
      </c>
      <c r="G777" t="s">
        <v>1107</v>
      </c>
      <c r="H777" t="s">
        <v>73</v>
      </c>
      <c r="I777">
        <v>24.815999999999999</v>
      </c>
      <c r="J777">
        <v>3</v>
      </c>
      <c r="K777">
        <v>0.2</v>
      </c>
      <c r="L777">
        <v>8.3753999999999902</v>
      </c>
      <c r="M777" t="s">
        <v>19</v>
      </c>
    </row>
    <row r="778" spans="1:13">
      <c r="A778" t="s">
        <v>1273</v>
      </c>
      <c r="B778" s="1">
        <v>41450</v>
      </c>
      <c r="C778" s="1">
        <v>41456</v>
      </c>
      <c r="D778" t="s">
        <v>1264</v>
      </c>
      <c r="E778" t="s">
        <v>40</v>
      </c>
      <c r="F778" t="s">
        <v>43</v>
      </c>
      <c r="G778" t="s">
        <v>45</v>
      </c>
      <c r="H778" t="s">
        <v>127</v>
      </c>
      <c r="I778">
        <v>20.96</v>
      </c>
      <c r="J778">
        <v>2</v>
      </c>
      <c r="K778">
        <v>0</v>
      </c>
      <c r="L778">
        <v>5.24</v>
      </c>
      <c r="M778" t="s">
        <v>19</v>
      </c>
    </row>
    <row r="779" spans="1:13">
      <c r="A779" t="s">
        <v>1361</v>
      </c>
      <c r="B779" s="1">
        <v>42329</v>
      </c>
      <c r="C779" s="1">
        <v>42330</v>
      </c>
      <c r="D779" t="s">
        <v>289</v>
      </c>
      <c r="E779" t="s">
        <v>97</v>
      </c>
      <c r="F779" t="s">
        <v>98</v>
      </c>
      <c r="G779" t="s">
        <v>32</v>
      </c>
      <c r="H779" t="s">
        <v>299</v>
      </c>
      <c r="I779">
        <v>775.53599999999994</v>
      </c>
      <c r="J779">
        <v>3</v>
      </c>
      <c r="K779">
        <v>0.2</v>
      </c>
      <c r="L779">
        <v>213.21599999999901</v>
      </c>
      <c r="M779" t="s">
        <v>37</v>
      </c>
    </row>
    <row r="780" spans="1:13">
      <c r="A780" t="s">
        <v>1362</v>
      </c>
      <c r="B780" s="1">
        <v>41588</v>
      </c>
      <c r="C780" s="1">
        <v>41591</v>
      </c>
      <c r="D780" t="s">
        <v>1363</v>
      </c>
      <c r="E780" t="s">
        <v>70</v>
      </c>
      <c r="F780" t="s">
        <v>71</v>
      </c>
      <c r="G780" t="s">
        <v>32</v>
      </c>
      <c r="H780" t="s">
        <v>299</v>
      </c>
      <c r="I780">
        <v>2012.049</v>
      </c>
      <c r="J780">
        <v>6</v>
      </c>
      <c r="K780">
        <v>0.35</v>
      </c>
      <c r="L780" t="s">
        <v>1364</v>
      </c>
      <c r="M780" t="s">
        <v>19</v>
      </c>
    </row>
    <row r="781" spans="1:13">
      <c r="A781" t="s">
        <v>1365</v>
      </c>
      <c r="B781" t="s">
        <v>1366</v>
      </c>
      <c r="C781" s="1">
        <v>41072</v>
      </c>
      <c r="D781" t="s">
        <v>1367</v>
      </c>
      <c r="E781" t="s">
        <v>141</v>
      </c>
      <c r="F781" t="s">
        <v>142</v>
      </c>
      <c r="G781" t="s">
        <v>17</v>
      </c>
      <c r="H781" t="s">
        <v>44</v>
      </c>
      <c r="I781">
        <v>2166.8975999999998</v>
      </c>
      <c r="J781">
        <v>4</v>
      </c>
      <c r="K781">
        <v>0.17</v>
      </c>
      <c r="L781">
        <v>391.49759999999901</v>
      </c>
      <c r="M781" t="s">
        <v>19</v>
      </c>
    </row>
    <row r="782" spans="1:13">
      <c r="B782" s="1">
        <v>42101</v>
      </c>
      <c r="C782" s="1">
        <v>42106</v>
      </c>
      <c r="D782" t="s">
        <v>594</v>
      </c>
      <c r="E782" t="s">
        <v>114</v>
      </c>
      <c r="F782" t="s">
        <v>115</v>
      </c>
      <c r="G782" t="s">
        <v>17</v>
      </c>
      <c r="H782" t="s">
        <v>44</v>
      </c>
      <c r="I782">
        <v>3271.2</v>
      </c>
      <c r="J782">
        <v>5</v>
      </c>
      <c r="K782">
        <v>0</v>
      </c>
      <c r="L782">
        <v>1341.15</v>
      </c>
      <c r="M782" t="s">
        <v>785</v>
      </c>
    </row>
    <row r="783" spans="1:13">
      <c r="A783" t="s">
        <v>1368</v>
      </c>
      <c r="B783" s="1">
        <v>41199</v>
      </c>
      <c r="C783" s="1">
        <v>41202</v>
      </c>
      <c r="D783" t="s">
        <v>1356</v>
      </c>
      <c r="E783" t="s">
        <v>570</v>
      </c>
      <c r="F783" t="s">
        <v>120</v>
      </c>
      <c r="G783" t="s">
        <v>17</v>
      </c>
      <c r="H783" t="s">
        <v>26</v>
      </c>
      <c r="J783">
        <v>3</v>
      </c>
      <c r="K783">
        <v>2E-3</v>
      </c>
      <c r="L783">
        <v>195.34536</v>
      </c>
      <c r="M783" t="s">
        <v>27</v>
      </c>
    </row>
    <row r="784" spans="1:13">
      <c r="A784" t="s">
        <v>1369</v>
      </c>
      <c r="B784" s="1">
        <v>41389</v>
      </c>
      <c r="C784" s="1">
        <v>41394</v>
      </c>
      <c r="D784" t="s">
        <v>1136</v>
      </c>
      <c r="E784" t="s">
        <v>437</v>
      </c>
      <c r="F784" t="s">
        <v>438</v>
      </c>
      <c r="G784" t="s">
        <v>32</v>
      </c>
      <c r="H784" t="s">
        <v>26</v>
      </c>
      <c r="I784">
        <v>2182.6799999999998</v>
      </c>
      <c r="J784">
        <v>6</v>
      </c>
      <c r="K784">
        <v>0</v>
      </c>
      <c r="L784">
        <v>327.24</v>
      </c>
      <c r="M784" t="s">
        <v>19</v>
      </c>
    </row>
    <row r="785" spans="1:13">
      <c r="A785" t="s">
        <v>1370</v>
      </c>
      <c r="B785" s="1">
        <v>41517</v>
      </c>
      <c r="C785" s="1">
        <v>41519</v>
      </c>
      <c r="D785" t="s">
        <v>199</v>
      </c>
      <c r="E785" t="s">
        <v>820</v>
      </c>
      <c r="F785" t="s">
        <v>90</v>
      </c>
      <c r="G785" t="s">
        <v>17</v>
      </c>
      <c r="H785" t="s">
        <v>33</v>
      </c>
      <c r="I785">
        <v>1285.56</v>
      </c>
      <c r="J785">
        <v>2</v>
      </c>
      <c r="K785">
        <v>0</v>
      </c>
      <c r="L785">
        <v>51.42</v>
      </c>
      <c r="M785" t="s">
        <v>27</v>
      </c>
    </row>
    <row r="786" spans="1:13">
      <c r="A786" t="s">
        <v>1371</v>
      </c>
      <c r="B786" s="1">
        <v>41382</v>
      </c>
      <c r="C786" s="1">
        <v>41385</v>
      </c>
      <c r="D786" t="s">
        <v>818</v>
      </c>
      <c r="E786" t="s">
        <v>358</v>
      </c>
      <c r="F786" t="s">
        <v>1372</v>
      </c>
      <c r="G786" t="s">
        <v>17</v>
      </c>
      <c r="H786" t="s">
        <v>151</v>
      </c>
      <c r="I786">
        <v>1479.36</v>
      </c>
      <c r="J786">
        <v>12</v>
      </c>
      <c r="K786">
        <v>0</v>
      </c>
      <c r="L786">
        <v>103.439999999999</v>
      </c>
      <c r="M786" t="s">
        <v>1373</v>
      </c>
    </row>
    <row r="787" spans="1:13">
      <c r="A787" t="s">
        <v>1374</v>
      </c>
      <c r="B787" s="1">
        <v>41993</v>
      </c>
      <c r="C787" s="1">
        <v>41995</v>
      </c>
      <c r="D787" t="s">
        <v>14</v>
      </c>
      <c r="E787" t="s">
        <v>60</v>
      </c>
      <c r="F787" t="s">
        <v>61</v>
      </c>
      <c r="G787" t="s">
        <v>32</v>
      </c>
      <c r="H787" t="s">
        <v>26</v>
      </c>
      <c r="I787">
        <v>740.18399999999997</v>
      </c>
      <c r="J787">
        <v>3</v>
      </c>
      <c r="K787">
        <v>0.6</v>
      </c>
      <c r="L787">
        <v>-407.135999999999</v>
      </c>
      <c r="M787" t="s">
        <v>27</v>
      </c>
    </row>
    <row r="788" spans="1:13">
      <c r="A788" t="s">
        <v>1375</v>
      </c>
      <c r="B788" s="1">
        <v>41794</v>
      </c>
      <c r="C788" s="1">
        <v>41798</v>
      </c>
      <c r="D788" t="s">
        <v>1376</v>
      </c>
      <c r="E788" t="s">
        <v>1248</v>
      </c>
      <c r="F788" t="s">
        <v>94</v>
      </c>
      <c r="G788" t="s">
        <v>17</v>
      </c>
      <c r="H788" t="s">
        <v>26</v>
      </c>
      <c r="J788">
        <v>5</v>
      </c>
      <c r="K788">
        <v>0</v>
      </c>
      <c r="L788">
        <v>505.79999999999899</v>
      </c>
      <c r="M788" t="s">
        <v>37</v>
      </c>
    </row>
    <row r="789" spans="1:13">
      <c r="A789" t="s">
        <v>1377</v>
      </c>
      <c r="B789" s="1">
        <v>41450</v>
      </c>
      <c r="C789" s="1">
        <v>41456</v>
      </c>
      <c r="D789" t="s">
        <v>765</v>
      </c>
      <c r="E789" t="s">
        <v>55</v>
      </c>
      <c r="F789" t="s">
        <v>56</v>
      </c>
      <c r="G789" t="s">
        <v>32</v>
      </c>
      <c r="H789" t="s">
        <v>44</v>
      </c>
      <c r="I789">
        <v>2563.9199999999901</v>
      </c>
      <c r="J789">
        <v>8</v>
      </c>
      <c r="K789">
        <v>0</v>
      </c>
      <c r="M789" t="s">
        <v>19</v>
      </c>
    </row>
    <row r="790" spans="1:13">
      <c r="A790" t="s">
        <v>1378</v>
      </c>
      <c r="B790" s="1">
        <v>41502</v>
      </c>
      <c r="C790" s="1">
        <v>41506</v>
      </c>
      <c r="D790" t="s">
        <v>1017</v>
      </c>
      <c r="E790" t="s">
        <v>1379</v>
      </c>
      <c r="F790" t="s">
        <v>16</v>
      </c>
      <c r="G790" t="s">
        <v>17</v>
      </c>
      <c r="H790" t="s">
        <v>127</v>
      </c>
      <c r="I790">
        <v>2897.91</v>
      </c>
      <c r="J790">
        <v>5</v>
      </c>
      <c r="K790">
        <v>0.1</v>
      </c>
      <c r="L790">
        <v>901.56</v>
      </c>
      <c r="M790" t="s">
        <v>19</v>
      </c>
    </row>
    <row r="791" spans="1:13">
      <c r="A791" t="s">
        <v>1380</v>
      </c>
      <c r="B791" s="1">
        <v>42230</v>
      </c>
      <c r="C791" s="1">
        <v>42234</v>
      </c>
      <c r="D791" t="s">
        <v>1381</v>
      </c>
      <c r="E791" t="s">
        <v>713</v>
      </c>
      <c r="F791" t="s">
        <v>1382</v>
      </c>
      <c r="G791" t="s">
        <v>165</v>
      </c>
      <c r="H791" t="s">
        <v>44</v>
      </c>
      <c r="I791">
        <v>1582.11</v>
      </c>
      <c r="J791">
        <v>6</v>
      </c>
      <c r="K791">
        <v>0.5</v>
      </c>
      <c r="L791">
        <v>-886.05</v>
      </c>
      <c r="M791" t="s">
        <v>37</v>
      </c>
    </row>
    <row r="792" spans="1:13">
      <c r="A792" t="s">
        <v>1297</v>
      </c>
      <c r="B792" s="1">
        <v>42109</v>
      </c>
      <c r="D792" t="s">
        <v>1264</v>
      </c>
      <c r="E792" t="s">
        <v>40</v>
      </c>
      <c r="F792" t="s">
        <v>111</v>
      </c>
      <c r="G792" t="s">
        <v>1383</v>
      </c>
      <c r="H792" t="s">
        <v>26</v>
      </c>
      <c r="I792">
        <v>14.592000000000001</v>
      </c>
      <c r="K792">
        <v>0.2</v>
      </c>
      <c r="L792">
        <v>2.5535999999999901</v>
      </c>
      <c r="M792" t="s">
        <v>19</v>
      </c>
    </row>
    <row r="793" spans="1:13">
      <c r="A793" t="s">
        <v>1384</v>
      </c>
      <c r="B793" s="1">
        <v>41885</v>
      </c>
      <c r="C793" s="1">
        <v>41891</v>
      </c>
      <c r="D793" t="s">
        <v>1385</v>
      </c>
      <c r="E793" t="s">
        <v>358</v>
      </c>
      <c r="F793" t="s">
        <v>98</v>
      </c>
      <c r="G793" t="s">
        <v>17</v>
      </c>
      <c r="H793" t="s">
        <v>73</v>
      </c>
      <c r="I793">
        <v>2616.96</v>
      </c>
      <c r="J793">
        <v>6</v>
      </c>
      <c r="K793">
        <v>0</v>
      </c>
      <c r="L793">
        <v>26.16</v>
      </c>
      <c r="M793" t="s">
        <v>19</v>
      </c>
    </row>
    <row r="794" spans="1:13">
      <c r="A794" t="s">
        <v>1386</v>
      </c>
      <c r="B794" s="1">
        <v>42153</v>
      </c>
      <c r="D794" t="s">
        <v>1387</v>
      </c>
      <c r="F794" t="s">
        <v>94</v>
      </c>
      <c r="G794" t="s">
        <v>32</v>
      </c>
      <c r="H794" t="s">
        <v>151</v>
      </c>
      <c r="I794" t="s">
        <v>163</v>
      </c>
      <c r="J794">
        <v>3</v>
      </c>
      <c r="K794">
        <v>0.1</v>
      </c>
      <c r="L794">
        <v>108.783</v>
      </c>
      <c r="M794" t="s">
        <v>27</v>
      </c>
    </row>
    <row r="795" spans="1:13">
      <c r="A795" t="s">
        <v>1388</v>
      </c>
      <c r="B795" s="1">
        <v>41814</v>
      </c>
      <c r="C795" s="1">
        <v>41821</v>
      </c>
      <c r="D795" t="s">
        <v>1296</v>
      </c>
      <c r="E795" t="s">
        <v>903</v>
      </c>
      <c r="F795" t="s">
        <v>71</v>
      </c>
      <c r="G795" t="s">
        <v>17</v>
      </c>
      <c r="H795" t="s">
        <v>26</v>
      </c>
      <c r="I795">
        <v>3421.71</v>
      </c>
      <c r="J795">
        <v>9</v>
      </c>
      <c r="K795">
        <v>0</v>
      </c>
      <c r="L795">
        <v>1060.56</v>
      </c>
      <c r="M795" t="s">
        <v>19</v>
      </c>
    </row>
    <row r="796" spans="1:13">
      <c r="A796" t="s">
        <v>1297</v>
      </c>
      <c r="B796" s="1">
        <v>42109</v>
      </c>
      <c r="C796" s="2">
        <v>55261</v>
      </c>
      <c r="D796" t="s">
        <v>1264</v>
      </c>
      <c r="E796" t="s">
        <v>40</v>
      </c>
      <c r="F796" t="s">
        <v>111</v>
      </c>
      <c r="G796" t="s">
        <v>1389</v>
      </c>
      <c r="H796" t="s">
        <v>44</v>
      </c>
      <c r="I796">
        <v>13.872</v>
      </c>
      <c r="J796">
        <v>3</v>
      </c>
      <c r="K796">
        <v>1.5857943638652301</v>
      </c>
      <c r="L796">
        <v>5.0286</v>
      </c>
      <c r="M796" t="s">
        <v>19</v>
      </c>
    </row>
    <row r="797" spans="1:13">
      <c r="A797" t="s">
        <v>1390</v>
      </c>
      <c r="B797" s="1">
        <v>42132</v>
      </c>
      <c r="C797" s="1">
        <v>42134</v>
      </c>
      <c r="D797" t="s">
        <v>1391</v>
      </c>
      <c r="E797" t="s">
        <v>1392</v>
      </c>
      <c r="F797" t="s">
        <v>61</v>
      </c>
      <c r="G797" t="s">
        <v>17</v>
      </c>
      <c r="H797" t="s">
        <v>33</v>
      </c>
      <c r="I797">
        <v>820.08</v>
      </c>
      <c r="J797">
        <v>9</v>
      </c>
      <c r="K797">
        <v>0</v>
      </c>
      <c r="L797">
        <v>98.28</v>
      </c>
      <c r="M797" t="s">
        <v>27</v>
      </c>
    </row>
    <row r="798" spans="1:13">
      <c r="A798" t="s">
        <v>1360</v>
      </c>
      <c r="B798" s="1">
        <v>42344</v>
      </c>
      <c r="C798" s="1">
        <v>42348</v>
      </c>
      <c r="D798" t="s">
        <v>1264</v>
      </c>
      <c r="E798" t="s">
        <v>40</v>
      </c>
      <c r="F798" t="s">
        <v>43</v>
      </c>
      <c r="G798" t="s">
        <v>45</v>
      </c>
      <c r="H798" t="s">
        <v>26</v>
      </c>
      <c r="I798">
        <v>14.976000000000001</v>
      </c>
      <c r="J798">
        <v>6</v>
      </c>
      <c r="K798">
        <v>0.2</v>
      </c>
      <c r="L798">
        <v>5.4287999999999901</v>
      </c>
      <c r="M798" t="s">
        <v>19</v>
      </c>
    </row>
    <row r="799" spans="1:13">
      <c r="A799" t="s">
        <v>1393</v>
      </c>
      <c r="B799" s="1">
        <v>42048</v>
      </c>
      <c r="C799" s="1">
        <v>42049</v>
      </c>
      <c r="D799" t="s">
        <v>1394</v>
      </c>
      <c r="E799" t="s">
        <v>168</v>
      </c>
      <c r="F799" t="s">
        <v>115</v>
      </c>
      <c r="G799" t="s">
        <v>32</v>
      </c>
      <c r="H799" t="s">
        <v>26</v>
      </c>
      <c r="I799">
        <v>1198.56</v>
      </c>
      <c r="J799">
        <v>8</v>
      </c>
      <c r="K799">
        <v>0</v>
      </c>
      <c r="L799">
        <v>359.52</v>
      </c>
      <c r="M799" t="s">
        <v>37</v>
      </c>
    </row>
    <row r="800" spans="1:13">
      <c r="A800" t="s">
        <v>1395</v>
      </c>
      <c r="C800" s="1">
        <v>42343</v>
      </c>
      <c r="E800" t="s">
        <v>15</v>
      </c>
      <c r="F800" t="s">
        <v>16</v>
      </c>
      <c r="G800" t="s">
        <v>32</v>
      </c>
      <c r="H800" t="s">
        <v>44</v>
      </c>
      <c r="I800">
        <v>1832.60699999999</v>
      </c>
      <c r="J800">
        <v>3</v>
      </c>
      <c r="K800">
        <v>0.3</v>
      </c>
      <c r="L800">
        <v>-445.113</v>
      </c>
      <c r="M800" t="s">
        <v>74</v>
      </c>
    </row>
    <row r="801" spans="1:13">
      <c r="A801" t="s">
        <v>1396</v>
      </c>
      <c r="C801" s="1">
        <v>41515</v>
      </c>
      <c r="D801" t="s">
        <v>889</v>
      </c>
      <c r="E801" t="s">
        <v>22</v>
      </c>
      <c r="F801" t="s">
        <v>71</v>
      </c>
      <c r="G801" t="s">
        <v>32</v>
      </c>
      <c r="H801" t="s">
        <v>151</v>
      </c>
      <c r="I801">
        <v>1857.06</v>
      </c>
      <c r="J801">
        <v>5</v>
      </c>
      <c r="L801">
        <v>639.51</v>
      </c>
      <c r="M801" t="s">
        <v>37</v>
      </c>
    </row>
    <row r="802" spans="1:13">
      <c r="A802" t="s">
        <v>1397</v>
      </c>
      <c r="B802" s="1">
        <v>42218</v>
      </c>
      <c r="C802" s="1">
        <v>42224</v>
      </c>
      <c r="D802" t="s">
        <v>1398</v>
      </c>
      <c r="E802" t="s">
        <v>130</v>
      </c>
      <c r="F802" t="s">
        <v>131</v>
      </c>
      <c r="G802" t="s">
        <v>32</v>
      </c>
      <c r="H802" t="s">
        <v>44</v>
      </c>
      <c r="I802">
        <v>1752.6</v>
      </c>
      <c r="J802">
        <v>4</v>
      </c>
      <c r="K802">
        <v>0</v>
      </c>
      <c r="L802">
        <v>455.64</v>
      </c>
      <c r="M802" t="s">
        <v>74</v>
      </c>
    </row>
    <row r="803" spans="1:13">
      <c r="A803" t="s">
        <v>1399</v>
      </c>
      <c r="B803" s="1">
        <v>41971</v>
      </c>
      <c r="C803" s="1">
        <v>41973</v>
      </c>
      <c r="D803" t="s">
        <v>1400</v>
      </c>
      <c r="E803" t="s">
        <v>114</v>
      </c>
      <c r="F803" t="s">
        <v>115</v>
      </c>
      <c r="G803" t="s">
        <v>32</v>
      </c>
      <c r="H803" t="s">
        <v>151</v>
      </c>
      <c r="I803">
        <v>1850.45999999999</v>
      </c>
      <c r="J803">
        <v>2</v>
      </c>
      <c r="K803">
        <v>0</v>
      </c>
      <c r="L803">
        <v>259.02</v>
      </c>
      <c r="M803" t="s">
        <v>1401</v>
      </c>
    </row>
    <row r="804" spans="1:13">
      <c r="A804" t="s">
        <v>1402</v>
      </c>
      <c r="B804" s="1">
        <v>41139</v>
      </c>
      <c r="C804" s="1">
        <v>41143</v>
      </c>
      <c r="D804" t="s">
        <v>199</v>
      </c>
      <c r="E804" t="s">
        <v>66</v>
      </c>
      <c r="F804" t="s">
        <v>90</v>
      </c>
      <c r="G804" t="s">
        <v>32</v>
      </c>
      <c r="H804" t="s">
        <v>151</v>
      </c>
      <c r="I804">
        <v>2337.1499999999901</v>
      </c>
      <c r="J804">
        <v>5</v>
      </c>
      <c r="K804">
        <v>0</v>
      </c>
      <c r="L804">
        <v>1098.45</v>
      </c>
      <c r="M804" t="s">
        <v>19</v>
      </c>
    </row>
    <row r="805" spans="1:13">
      <c r="A805" t="s">
        <v>1403</v>
      </c>
      <c r="B805" s="1">
        <v>42076</v>
      </c>
      <c r="C805" s="1">
        <v>42076</v>
      </c>
      <c r="D805" t="s">
        <v>1404</v>
      </c>
      <c r="E805" t="s">
        <v>93</v>
      </c>
      <c r="F805" t="s">
        <v>94</v>
      </c>
      <c r="G805" t="s">
        <v>32</v>
      </c>
      <c r="H805" t="s">
        <v>44</v>
      </c>
      <c r="I805">
        <v>788.4</v>
      </c>
      <c r="J805">
        <v>4</v>
      </c>
      <c r="K805">
        <v>0</v>
      </c>
      <c r="L805">
        <v>291.60000000000002</v>
      </c>
      <c r="M805" t="s">
        <v>19</v>
      </c>
    </row>
    <row r="806" spans="1:13">
      <c r="A806" t="s">
        <v>1405</v>
      </c>
      <c r="B806" s="1">
        <v>41733</v>
      </c>
      <c r="C806" s="1">
        <v>41736</v>
      </c>
      <c r="E806" t="s">
        <v>70</v>
      </c>
      <c r="F806" t="s">
        <v>71</v>
      </c>
      <c r="G806" t="s">
        <v>17</v>
      </c>
      <c r="H806" t="s">
        <v>23</v>
      </c>
      <c r="I806">
        <v>715.53</v>
      </c>
      <c r="J806">
        <v>5</v>
      </c>
      <c r="K806">
        <v>0.15</v>
      </c>
      <c r="L806">
        <v>100.979999999999</v>
      </c>
      <c r="M806" t="s">
        <v>27</v>
      </c>
    </row>
    <row r="807" spans="1:13">
      <c r="A807" t="s">
        <v>1406</v>
      </c>
      <c r="B807" s="1">
        <v>42027</v>
      </c>
      <c r="C807" s="1">
        <v>42032</v>
      </c>
      <c r="D807" t="s">
        <v>373</v>
      </c>
      <c r="E807" t="s">
        <v>40</v>
      </c>
      <c r="F807" t="s">
        <v>1407</v>
      </c>
      <c r="G807" t="s">
        <v>17</v>
      </c>
      <c r="H807" t="s">
        <v>151</v>
      </c>
      <c r="I807">
        <v>2999.95</v>
      </c>
      <c r="J807">
        <v>5</v>
      </c>
      <c r="K807">
        <v>0</v>
      </c>
      <c r="L807">
        <v>1379.9769999999901</v>
      </c>
      <c r="M807" t="s">
        <v>19</v>
      </c>
    </row>
    <row r="808" spans="1:13">
      <c r="A808" t="s">
        <v>1408</v>
      </c>
      <c r="B808" s="1">
        <v>42141</v>
      </c>
      <c r="C808" s="1">
        <v>42146</v>
      </c>
      <c r="D808" t="s">
        <v>1409</v>
      </c>
      <c r="E808" t="s">
        <v>114</v>
      </c>
      <c r="F808" t="s">
        <v>115</v>
      </c>
      <c r="G808" t="s">
        <v>32</v>
      </c>
      <c r="H808" t="s">
        <v>127</v>
      </c>
      <c r="I808">
        <v>3094.56</v>
      </c>
      <c r="J808">
        <v>6</v>
      </c>
      <c r="K808">
        <v>0</v>
      </c>
      <c r="L808">
        <v>1423.44</v>
      </c>
      <c r="M808" t="s">
        <v>19</v>
      </c>
    </row>
    <row r="809" spans="1:13">
      <c r="A809" t="s">
        <v>1410</v>
      </c>
      <c r="B809" s="1">
        <v>41752</v>
      </c>
      <c r="C809" s="1">
        <v>41754</v>
      </c>
      <c r="D809" t="s">
        <v>1411</v>
      </c>
      <c r="E809" t="s">
        <v>358</v>
      </c>
      <c r="F809" t="s">
        <v>98</v>
      </c>
      <c r="G809" t="s">
        <v>17</v>
      </c>
      <c r="H809" t="s">
        <v>44</v>
      </c>
      <c r="I809">
        <v>882.03239999999903</v>
      </c>
      <c r="J809">
        <v>9</v>
      </c>
      <c r="K809">
        <v>2E-3</v>
      </c>
      <c r="L809">
        <v>148.35239999999999</v>
      </c>
      <c r="M809" t="s">
        <v>37</v>
      </c>
    </row>
    <row r="810" spans="1:13">
      <c r="A810" t="s">
        <v>1406</v>
      </c>
      <c r="B810" s="1">
        <v>42027</v>
      </c>
      <c r="C810" s="1">
        <v>42032</v>
      </c>
      <c r="D810" t="s">
        <v>373</v>
      </c>
      <c r="E810" t="s">
        <v>40</v>
      </c>
      <c r="F810" t="s">
        <v>43</v>
      </c>
      <c r="G810" t="s">
        <v>45</v>
      </c>
      <c r="H810" t="s">
        <v>44</v>
      </c>
      <c r="I810">
        <v>1126.02</v>
      </c>
      <c r="J810">
        <v>3</v>
      </c>
      <c r="L810">
        <v>56.300999999999902</v>
      </c>
      <c r="M810" t="s">
        <v>19</v>
      </c>
    </row>
    <row r="811" spans="1:13">
      <c r="A811" t="s">
        <v>1412</v>
      </c>
      <c r="B811" s="1">
        <v>41531</v>
      </c>
      <c r="C811" s="1">
        <v>41533</v>
      </c>
      <c r="D811" t="s">
        <v>1413</v>
      </c>
      <c r="E811" t="s">
        <v>15</v>
      </c>
      <c r="F811" t="s">
        <v>16</v>
      </c>
      <c r="G811" t="s">
        <v>32</v>
      </c>
      <c r="H811" t="s">
        <v>33</v>
      </c>
      <c r="J811">
        <v>3</v>
      </c>
      <c r="K811">
        <v>0.3</v>
      </c>
      <c r="L811">
        <v>-81.810000000000102</v>
      </c>
      <c r="M811" t="s">
        <v>37</v>
      </c>
    </row>
    <row r="812" spans="1:13">
      <c r="A812" t="s">
        <v>145</v>
      </c>
      <c r="B812" s="1">
        <v>42273</v>
      </c>
      <c r="C812" s="1">
        <v>42275</v>
      </c>
      <c r="D812" t="s">
        <v>146</v>
      </c>
      <c r="E812" t="s">
        <v>114</v>
      </c>
      <c r="F812" t="s">
        <v>115</v>
      </c>
      <c r="G812" t="s">
        <v>32</v>
      </c>
      <c r="H812" t="s">
        <v>33</v>
      </c>
      <c r="I812">
        <v>2871.54</v>
      </c>
      <c r="J812">
        <v>7</v>
      </c>
      <c r="K812" t="s">
        <v>226</v>
      </c>
      <c r="L812">
        <v>57.33</v>
      </c>
      <c r="M812" t="s">
        <v>19</v>
      </c>
    </row>
    <row r="813" spans="1:13">
      <c r="A813" t="s">
        <v>1414</v>
      </c>
      <c r="B813" s="1">
        <v>41552</v>
      </c>
      <c r="C813" s="1">
        <v>41556</v>
      </c>
      <c r="D813" t="s">
        <v>1415</v>
      </c>
      <c r="E813" t="s">
        <v>114</v>
      </c>
      <c r="F813" t="s">
        <v>115</v>
      </c>
      <c r="G813" t="s">
        <v>17</v>
      </c>
      <c r="H813" t="s">
        <v>44</v>
      </c>
      <c r="I813">
        <v>2544.6</v>
      </c>
      <c r="J813">
        <v>4</v>
      </c>
      <c r="K813">
        <v>0</v>
      </c>
      <c r="L813">
        <v>865.08</v>
      </c>
      <c r="M813" t="s">
        <v>19</v>
      </c>
    </row>
    <row r="814" spans="1:13">
      <c r="A814" t="s">
        <v>1416</v>
      </c>
      <c r="B814" s="1">
        <v>42306</v>
      </c>
      <c r="C814" s="1">
        <v>42308</v>
      </c>
      <c r="D814" t="s">
        <v>544</v>
      </c>
      <c r="E814" t="s">
        <v>141</v>
      </c>
      <c r="F814" t="s">
        <v>142</v>
      </c>
      <c r="G814" t="s">
        <v>17</v>
      </c>
      <c r="H814" t="s">
        <v>151</v>
      </c>
      <c r="I814">
        <v>886.14120000000003</v>
      </c>
      <c r="J814">
        <v>4</v>
      </c>
      <c r="K814">
        <v>0.17</v>
      </c>
      <c r="L814">
        <v>106.741199999999</v>
      </c>
      <c r="M814" t="s">
        <v>37</v>
      </c>
    </row>
    <row r="815" spans="1:13">
      <c r="A815" t="s">
        <v>1417</v>
      </c>
      <c r="B815" s="1">
        <v>41235</v>
      </c>
      <c r="C815" s="1">
        <v>41237</v>
      </c>
      <c r="D815" t="s">
        <v>1418</v>
      </c>
      <c r="E815" t="s">
        <v>141</v>
      </c>
      <c r="F815" t="s">
        <v>142</v>
      </c>
      <c r="G815" t="s">
        <v>223</v>
      </c>
      <c r="H815" t="s">
        <v>26</v>
      </c>
      <c r="I815">
        <v>473.84699999999998</v>
      </c>
      <c r="J815">
        <v>5</v>
      </c>
      <c r="L815">
        <v>-5.85299999999999</v>
      </c>
      <c r="M815" t="s">
        <v>27</v>
      </c>
    </row>
    <row r="816" spans="1:13">
      <c r="A816" t="s">
        <v>1419</v>
      </c>
      <c r="B816" s="1">
        <v>42348</v>
      </c>
      <c r="C816" s="1">
        <v>42351</v>
      </c>
      <c r="D816" t="s">
        <v>724</v>
      </c>
      <c r="G816" t="s">
        <v>17</v>
      </c>
      <c r="H816" t="s">
        <v>127</v>
      </c>
      <c r="I816">
        <v>1767.6</v>
      </c>
      <c r="K816">
        <v>0</v>
      </c>
      <c r="L816">
        <v>0</v>
      </c>
      <c r="M816" t="s">
        <v>27</v>
      </c>
    </row>
    <row r="817" spans="1:13">
      <c r="A817" t="s">
        <v>1420</v>
      </c>
      <c r="B817" s="1">
        <v>41251</v>
      </c>
      <c r="C817" s="1">
        <v>41252</v>
      </c>
      <c r="D817" t="s">
        <v>110</v>
      </c>
      <c r="E817" t="s">
        <v>97</v>
      </c>
      <c r="F817" t="s">
        <v>98</v>
      </c>
      <c r="G817" t="s">
        <v>32</v>
      </c>
      <c r="H817" t="s">
        <v>127</v>
      </c>
      <c r="I817">
        <v>780.60799999999995</v>
      </c>
      <c r="J817">
        <v>4</v>
      </c>
      <c r="K817">
        <v>0.2</v>
      </c>
      <c r="L817">
        <v>-3.20000000000163E-2</v>
      </c>
      <c r="M817" t="s">
        <v>37</v>
      </c>
    </row>
    <row r="818" spans="1:13">
      <c r="B818" s="1">
        <v>41268</v>
      </c>
      <c r="D818" t="s">
        <v>373</v>
      </c>
      <c r="E818" t="s">
        <v>40</v>
      </c>
      <c r="F818" t="s">
        <v>41</v>
      </c>
      <c r="G818" t="s">
        <v>32</v>
      </c>
      <c r="H818" t="s">
        <v>33</v>
      </c>
      <c r="I818">
        <v>600.55799999999999</v>
      </c>
      <c r="J818">
        <v>3</v>
      </c>
      <c r="K818">
        <v>0.3</v>
      </c>
      <c r="L818">
        <v>-8.5794000000000707</v>
      </c>
      <c r="M818" t="s">
        <v>37</v>
      </c>
    </row>
    <row r="819" spans="1:13">
      <c r="A819" t="s">
        <v>1421</v>
      </c>
      <c r="B819" s="1">
        <v>41990</v>
      </c>
      <c r="C819" s="1">
        <v>41990</v>
      </c>
      <c r="D819" t="s">
        <v>1422</v>
      </c>
      <c r="E819" t="s">
        <v>197</v>
      </c>
      <c r="F819" t="s">
        <v>77</v>
      </c>
      <c r="G819" t="s">
        <v>45</v>
      </c>
      <c r="H819" t="s">
        <v>151</v>
      </c>
      <c r="I819">
        <v>2711.7</v>
      </c>
      <c r="J819">
        <v>5</v>
      </c>
      <c r="K819">
        <v>0</v>
      </c>
      <c r="L819">
        <v>1220.25</v>
      </c>
      <c r="M819" t="s">
        <v>37</v>
      </c>
    </row>
    <row r="820" spans="1:13">
      <c r="A820" t="s">
        <v>1423</v>
      </c>
      <c r="B820" s="1">
        <v>42108</v>
      </c>
      <c r="C820" s="1">
        <v>42112</v>
      </c>
      <c r="E820" t="s">
        <v>93</v>
      </c>
      <c r="F820" t="s">
        <v>94</v>
      </c>
      <c r="G820" t="s">
        <v>45</v>
      </c>
      <c r="H820" t="s">
        <v>44</v>
      </c>
      <c r="I820">
        <v>2111.9699999999998</v>
      </c>
      <c r="J820">
        <v>7</v>
      </c>
      <c r="K820">
        <v>0</v>
      </c>
      <c r="M820" t="s">
        <v>19</v>
      </c>
    </row>
    <row r="821" spans="1:13">
      <c r="A821" t="s">
        <v>1424</v>
      </c>
      <c r="B821" s="1">
        <v>42358</v>
      </c>
      <c r="C821" s="1">
        <v>42362</v>
      </c>
      <c r="D821" t="s">
        <v>1101</v>
      </c>
      <c r="E821" t="s">
        <v>250</v>
      </c>
      <c r="F821" t="s">
        <v>142</v>
      </c>
      <c r="G821" t="s">
        <v>32</v>
      </c>
      <c r="H821" t="s">
        <v>73</v>
      </c>
      <c r="I821">
        <v>1189.28249999999</v>
      </c>
      <c r="K821">
        <v>0.25</v>
      </c>
      <c r="M821" t="s">
        <v>37</v>
      </c>
    </row>
    <row r="822" spans="1:13">
      <c r="A822" t="s">
        <v>1425</v>
      </c>
      <c r="B822" s="1">
        <v>41899</v>
      </c>
      <c r="C822" s="1">
        <v>41902</v>
      </c>
      <c r="D822" t="s">
        <v>1426</v>
      </c>
      <c r="E822" t="s">
        <v>114</v>
      </c>
      <c r="F822" t="s">
        <v>115</v>
      </c>
      <c r="G822" t="s">
        <v>17</v>
      </c>
      <c r="H822" t="s">
        <v>73</v>
      </c>
      <c r="I822">
        <v>1908.45</v>
      </c>
      <c r="J822">
        <v>3</v>
      </c>
      <c r="K822">
        <v>0</v>
      </c>
      <c r="L822">
        <v>534.32999999999902</v>
      </c>
      <c r="M822" t="s">
        <v>37</v>
      </c>
    </row>
    <row r="823" spans="1:13">
      <c r="B823" s="1">
        <v>42340</v>
      </c>
      <c r="C823" s="1">
        <v>42345</v>
      </c>
      <c r="E823" t="s">
        <v>40</v>
      </c>
      <c r="F823" t="s">
        <v>111</v>
      </c>
      <c r="G823" t="s">
        <v>32</v>
      </c>
      <c r="H823" t="s">
        <v>23</v>
      </c>
      <c r="I823">
        <v>897.15</v>
      </c>
      <c r="J823">
        <v>3</v>
      </c>
      <c r="K823">
        <v>0</v>
      </c>
      <c r="L823">
        <v>251.202</v>
      </c>
      <c r="M823" t="s">
        <v>19</v>
      </c>
    </row>
    <row r="824" spans="1:13">
      <c r="A824" t="s">
        <v>1427</v>
      </c>
      <c r="B824" s="1">
        <v>42125</v>
      </c>
      <c r="C824" t="s">
        <v>1428</v>
      </c>
      <c r="E824" t="s">
        <v>653</v>
      </c>
      <c r="F824" t="s">
        <v>1429</v>
      </c>
      <c r="G824" t="s">
        <v>165</v>
      </c>
      <c r="H824" t="s">
        <v>26</v>
      </c>
      <c r="I824" t="s">
        <v>1430</v>
      </c>
      <c r="J824">
        <v>4</v>
      </c>
      <c r="L824">
        <v>80.340400000000002</v>
      </c>
      <c r="M824" t="s">
        <v>19</v>
      </c>
    </row>
    <row r="825" spans="1:13">
      <c r="A825" t="s">
        <v>1431</v>
      </c>
      <c r="C825" s="1">
        <v>41636</v>
      </c>
      <c r="D825" t="s">
        <v>1432</v>
      </c>
      <c r="E825" t="s">
        <v>910</v>
      </c>
      <c r="F825" t="s">
        <v>657</v>
      </c>
      <c r="G825" t="s">
        <v>32</v>
      </c>
      <c r="H825" t="s">
        <v>46</v>
      </c>
      <c r="I825">
        <v>1854.9296999999999</v>
      </c>
      <c r="J825">
        <v>9</v>
      </c>
      <c r="L825">
        <v>-1294.3503000000001</v>
      </c>
      <c r="M825" t="s">
        <v>37</v>
      </c>
    </row>
    <row r="826" spans="1:13">
      <c r="A826" t="s">
        <v>1433</v>
      </c>
      <c r="B826" s="1">
        <v>41923</v>
      </c>
      <c r="C826" s="1">
        <v>41926</v>
      </c>
      <c r="D826" t="s">
        <v>1304</v>
      </c>
      <c r="E826" t="s">
        <v>66</v>
      </c>
      <c r="F826" t="s">
        <v>90</v>
      </c>
      <c r="G826" t="s">
        <v>17</v>
      </c>
      <c r="H826" t="s">
        <v>299</v>
      </c>
      <c r="I826">
        <v>924.66</v>
      </c>
      <c r="J826">
        <v>3</v>
      </c>
      <c r="K826">
        <v>0</v>
      </c>
      <c r="L826">
        <v>397.53</v>
      </c>
      <c r="M826" t="s">
        <v>27</v>
      </c>
    </row>
    <row r="827" spans="1:13">
      <c r="A827" t="s">
        <v>1434</v>
      </c>
      <c r="B827" s="1">
        <v>41389</v>
      </c>
      <c r="C827" s="1">
        <v>41391</v>
      </c>
      <c r="D827" t="s">
        <v>1435</v>
      </c>
      <c r="E827" t="s">
        <v>66</v>
      </c>
      <c r="F827" t="s">
        <v>90</v>
      </c>
      <c r="G827" t="s">
        <v>32</v>
      </c>
      <c r="H827" t="s">
        <v>44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37</v>
      </c>
    </row>
    <row r="828" spans="1:13">
      <c r="A828" t="s">
        <v>1436</v>
      </c>
      <c r="B828" s="1">
        <v>42178</v>
      </c>
      <c r="C828" s="1">
        <v>42178</v>
      </c>
      <c r="D828" t="s">
        <v>1101</v>
      </c>
      <c r="E828" t="s">
        <v>464</v>
      </c>
      <c r="F828" t="s">
        <v>87</v>
      </c>
      <c r="G828" t="s">
        <v>17</v>
      </c>
      <c r="H828" t="s">
        <v>127</v>
      </c>
      <c r="I828">
        <v>827.28</v>
      </c>
      <c r="J828">
        <v>6</v>
      </c>
      <c r="K828">
        <v>0</v>
      </c>
      <c r="L828">
        <v>397.07999999999902</v>
      </c>
      <c r="M828" t="s">
        <v>37</v>
      </c>
    </row>
    <row r="829" spans="1:13">
      <c r="A829" t="s">
        <v>1437</v>
      </c>
      <c r="B829" s="1">
        <v>41606</v>
      </c>
      <c r="C829" s="1">
        <v>41611</v>
      </c>
      <c r="D829" t="s">
        <v>1438</v>
      </c>
      <c r="E829" t="s">
        <v>119</v>
      </c>
      <c r="F829" t="s">
        <v>120</v>
      </c>
      <c r="G829" t="s">
        <v>45</v>
      </c>
      <c r="H829" t="s">
        <v>44</v>
      </c>
      <c r="I829">
        <v>1510.96</v>
      </c>
      <c r="J829">
        <v>5</v>
      </c>
      <c r="K829">
        <v>0.2</v>
      </c>
      <c r="L829">
        <v>509.86</v>
      </c>
      <c r="M829" t="s">
        <v>37</v>
      </c>
    </row>
    <row r="830" spans="1:13">
      <c r="A830" t="s">
        <v>1439</v>
      </c>
      <c r="B830" s="1">
        <v>42182</v>
      </c>
      <c r="C830" s="1">
        <v>42187</v>
      </c>
      <c r="D830" t="s">
        <v>454</v>
      </c>
      <c r="E830" t="s">
        <v>114</v>
      </c>
      <c r="F830" t="s">
        <v>1382</v>
      </c>
      <c r="G830" t="s">
        <v>17</v>
      </c>
      <c r="H830" t="s">
        <v>26</v>
      </c>
      <c r="I830">
        <v>2098.3200000000002</v>
      </c>
      <c r="J830">
        <v>8</v>
      </c>
      <c r="K830">
        <v>0</v>
      </c>
      <c r="L830">
        <v>860.16</v>
      </c>
      <c r="M830" t="s">
        <v>19</v>
      </c>
    </row>
    <row r="831" spans="1:13">
      <c r="A831" t="s">
        <v>1440</v>
      </c>
      <c r="B831" s="1">
        <v>42181</v>
      </c>
      <c r="C831" s="1">
        <v>42183</v>
      </c>
      <c r="D831" t="s">
        <v>1441</v>
      </c>
      <c r="E831" t="s">
        <v>60</v>
      </c>
      <c r="F831" t="s">
        <v>61</v>
      </c>
      <c r="G831" t="s">
        <v>32</v>
      </c>
      <c r="H831" t="s">
        <v>73</v>
      </c>
      <c r="I831">
        <v>1938.23999999999</v>
      </c>
      <c r="J831">
        <v>4</v>
      </c>
      <c r="K831">
        <v>0.2</v>
      </c>
      <c r="L831">
        <v>-96.959999999999894</v>
      </c>
      <c r="M831" t="s">
        <v>19</v>
      </c>
    </row>
    <row r="832" spans="1:13">
      <c r="A832" t="s">
        <v>1442</v>
      </c>
      <c r="B832" s="1">
        <v>41534</v>
      </c>
      <c r="C832" s="1">
        <v>41536</v>
      </c>
      <c r="D832" t="s">
        <v>1443</v>
      </c>
      <c r="E832" t="s">
        <v>76</v>
      </c>
      <c r="F832" t="s">
        <v>77</v>
      </c>
      <c r="G832" t="s">
        <v>17</v>
      </c>
      <c r="H832" t="s">
        <v>33</v>
      </c>
      <c r="I832">
        <v>803.52</v>
      </c>
      <c r="J832">
        <v>5</v>
      </c>
      <c r="K832">
        <v>0.4</v>
      </c>
      <c r="L832">
        <v>-495.63</v>
      </c>
      <c r="M832" t="s">
        <v>37</v>
      </c>
    </row>
    <row r="833" spans="1:13">
      <c r="A833" t="s">
        <v>1444</v>
      </c>
      <c r="B833" s="1">
        <v>41971</v>
      </c>
      <c r="C833" s="1">
        <v>41975</v>
      </c>
      <c r="D833" t="s">
        <v>1363</v>
      </c>
      <c r="E833" t="s">
        <v>114</v>
      </c>
      <c r="F833" t="s">
        <v>115</v>
      </c>
      <c r="G833" t="s">
        <v>32</v>
      </c>
      <c r="H833" t="s">
        <v>44</v>
      </c>
      <c r="I833">
        <v>1391.75999999999</v>
      </c>
      <c r="J833">
        <v>3</v>
      </c>
      <c r="L833">
        <v>97.38</v>
      </c>
      <c r="M833" t="s">
        <v>37</v>
      </c>
    </row>
    <row r="834" spans="1:13">
      <c r="A834" t="s">
        <v>1445</v>
      </c>
      <c r="B834" s="1">
        <v>42322</v>
      </c>
      <c r="C834" s="1">
        <v>42327</v>
      </c>
      <c r="D834" t="s">
        <v>373</v>
      </c>
      <c r="E834" t="s">
        <v>40</v>
      </c>
      <c r="F834" t="s">
        <v>111</v>
      </c>
      <c r="G834" t="s">
        <v>17</v>
      </c>
      <c r="H834" t="s">
        <v>127</v>
      </c>
      <c r="I834">
        <v>163.96</v>
      </c>
      <c r="J834">
        <v>4</v>
      </c>
      <c r="K834">
        <v>0</v>
      </c>
      <c r="L834">
        <v>70.502799999999993</v>
      </c>
      <c r="M834" t="s">
        <v>19</v>
      </c>
    </row>
    <row r="835" spans="1:13">
      <c r="A835" t="s">
        <v>1446</v>
      </c>
      <c r="B835" s="1">
        <v>42208</v>
      </c>
      <c r="C835" s="1">
        <v>42210</v>
      </c>
      <c r="E835" t="s">
        <v>15</v>
      </c>
      <c r="F835" t="s">
        <v>16</v>
      </c>
      <c r="G835" t="s">
        <v>45</v>
      </c>
      <c r="H835" t="s">
        <v>23</v>
      </c>
      <c r="J835">
        <v>5</v>
      </c>
      <c r="K835">
        <v>0.1</v>
      </c>
      <c r="L835">
        <v>-53.01</v>
      </c>
    </row>
    <row r="836" spans="1:13">
      <c r="A836" t="s">
        <v>1447</v>
      </c>
      <c r="B836" s="1">
        <v>42251</v>
      </c>
      <c r="C836" s="1">
        <v>42255</v>
      </c>
      <c r="D836" t="s">
        <v>1448</v>
      </c>
      <c r="E836" t="s">
        <v>76</v>
      </c>
      <c r="F836" t="s">
        <v>77</v>
      </c>
      <c r="G836" t="s">
        <v>32</v>
      </c>
      <c r="H836" t="s">
        <v>73</v>
      </c>
      <c r="I836">
        <v>2927.2799999999902</v>
      </c>
      <c r="J836">
        <v>8</v>
      </c>
      <c r="K836">
        <v>0</v>
      </c>
      <c r="L836">
        <v>146.16</v>
      </c>
      <c r="M836" t="s">
        <v>19</v>
      </c>
    </row>
    <row r="837" spans="1:13">
      <c r="A837" t="s">
        <v>1449</v>
      </c>
      <c r="B837" s="1">
        <v>41439</v>
      </c>
      <c r="C837" t="s">
        <v>1450</v>
      </c>
      <c r="D837" t="s">
        <v>373</v>
      </c>
      <c r="E837" t="s">
        <v>40</v>
      </c>
      <c r="F837" t="s">
        <v>111</v>
      </c>
      <c r="G837" t="s">
        <v>32</v>
      </c>
      <c r="H837" t="s">
        <v>299</v>
      </c>
      <c r="I837">
        <v>51.072000000000003</v>
      </c>
      <c r="J837">
        <v>6</v>
      </c>
      <c r="K837">
        <v>0.2</v>
      </c>
      <c r="L837">
        <v>5.1071999999999997</v>
      </c>
      <c r="M837" t="s">
        <v>37</v>
      </c>
    </row>
    <row r="838" spans="1:13">
      <c r="A838" t="s">
        <v>1406</v>
      </c>
      <c r="B838" s="1">
        <v>42027</v>
      </c>
      <c r="C838" s="1">
        <v>42032</v>
      </c>
      <c r="D838" t="s">
        <v>373</v>
      </c>
      <c r="E838" t="s">
        <v>40</v>
      </c>
      <c r="F838" t="s">
        <v>43</v>
      </c>
      <c r="G838" t="s">
        <v>45</v>
      </c>
      <c r="H838" t="s">
        <v>151</v>
      </c>
      <c r="I838">
        <v>51.449999999999903</v>
      </c>
      <c r="J838">
        <v>3</v>
      </c>
      <c r="K838">
        <v>0</v>
      </c>
      <c r="L838">
        <v>13.891499999999899</v>
      </c>
      <c r="M838" t="s">
        <v>19</v>
      </c>
    </row>
    <row r="839" spans="1:13">
      <c r="A839" t="s">
        <v>1451</v>
      </c>
      <c r="B839" s="1">
        <v>42340</v>
      </c>
      <c r="C839" s="1">
        <v>42345</v>
      </c>
      <c r="D839" t="s">
        <v>373</v>
      </c>
      <c r="E839" t="s">
        <v>40</v>
      </c>
      <c r="F839" t="s">
        <v>111</v>
      </c>
      <c r="G839" t="s">
        <v>45</v>
      </c>
      <c r="H839" t="s">
        <v>18</v>
      </c>
      <c r="I839">
        <v>19.440000000000001</v>
      </c>
      <c r="J839">
        <v>3</v>
      </c>
      <c r="K839">
        <v>0</v>
      </c>
      <c r="L839">
        <v>9.3312000000000008</v>
      </c>
      <c r="M839" t="s">
        <v>19</v>
      </c>
    </row>
    <row r="840" spans="1:13">
      <c r="A840" t="s">
        <v>1452</v>
      </c>
      <c r="B840" s="1">
        <v>42022</v>
      </c>
      <c r="C840" s="1">
        <v>42026</v>
      </c>
      <c r="D840" t="s">
        <v>1453</v>
      </c>
      <c r="E840" t="s">
        <v>713</v>
      </c>
      <c r="F840" t="s">
        <v>115</v>
      </c>
      <c r="G840" t="s">
        <v>45</v>
      </c>
      <c r="H840" t="s">
        <v>33</v>
      </c>
      <c r="I840">
        <v>2117.2199999999998</v>
      </c>
      <c r="J840">
        <v>14</v>
      </c>
      <c r="K840">
        <v>0.5</v>
      </c>
      <c r="L840">
        <v>-1736.27999999999</v>
      </c>
      <c r="M840" t="s">
        <v>37</v>
      </c>
    </row>
    <row r="841" spans="1:13">
      <c r="A841" t="s">
        <v>1454</v>
      </c>
      <c r="B841" s="1">
        <v>42181</v>
      </c>
      <c r="C841" s="1">
        <v>42186</v>
      </c>
      <c r="D841" t="s">
        <v>54</v>
      </c>
      <c r="E841" t="s">
        <v>689</v>
      </c>
      <c r="F841" t="s">
        <v>142</v>
      </c>
      <c r="G841" t="s">
        <v>32</v>
      </c>
      <c r="H841" t="s">
        <v>73</v>
      </c>
      <c r="I841">
        <v>2747.7</v>
      </c>
      <c r="J841">
        <v>6</v>
      </c>
      <c r="K841">
        <v>0</v>
      </c>
      <c r="L841">
        <v>82.26</v>
      </c>
      <c r="M841" t="s">
        <v>19</v>
      </c>
    </row>
    <row r="842" spans="1:13">
      <c r="A842" t="s">
        <v>1455</v>
      </c>
      <c r="B842" s="1">
        <v>41299</v>
      </c>
      <c r="C842" s="1">
        <v>41299</v>
      </c>
      <c r="D842" t="s">
        <v>167</v>
      </c>
      <c r="E842" t="s">
        <v>689</v>
      </c>
      <c r="G842" t="s">
        <v>32</v>
      </c>
      <c r="H842" t="s">
        <v>33</v>
      </c>
      <c r="I842">
        <v>1014.72</v>
      </c>
      <c r="J842">
        <v>7</v>
      </c>
      <c r="K842">
        <v>0</v>
      </c>
      <c r="L842">
        <v>141.96</v>
      </c>
      <c r="M842" t="s">
        <v>37</v>
      </c>
    </row>
    <row r="843" spans="1:13">
      <c r="A843" t="s">
        <v>1456</v>
      </c>
      <c r="B843" s="1">
        <v>41462</v>
      </c>
      <c r="C843" s="1">
        <v>41467</v>
      </c>
      <c r="D843" t="s">
        <v>1457</v>
      </c>
      <c r="E843" t="s">
        <v>1458</v>
      </c>
      <c r="F843" t="s">
        <v>169</v>
      </c>
      <c r="G843" t="s">
        <v>17</v>
      </c>
      <c r="H843" t="s">
        <v>23</v>
      </c>
      <c r="I843">
        <v>1591.56</v>
      </c>
      <c r="J843">
        <v>12</v>
      </c>
      <c r="K843">
        <v>0</v>
      </c>
      <c r="L843">
        <v>79.56</v>
      </c>
      <c r="M843" t="s">
        <v>19</v>
      </c>
    </row>
    <row r="844" spans="1:13">
      <c r="A844" t="s">
        <v>1459</v>
      </c>
      <c r="B844" s="1">
        <v>41240</v>
      </c>
      <c r="C844" t="s">
        <v>125</v>
      </c>
      <c r="E844" t="s">
        <v>97</v>
      </c>
      <c r="F844" t="s">
        <v>98</v>
      </c>
      <c r="G844" t="s">
        <v>624</v>
      </c>
      <c r="H844" t="s">
        <v>151</v>
      </c>
      <c r="I844">
        <v>533.22</v>
      </c>
      <c r="J844">
        <v>3</v>
      </c>
      <c r="K844">
        <v>0</v>
      </c>
      <c r="L844">
        <v>69.3</v>
      </c>
      <c r="M844" t="s">
        <v>27</v>
      </c>
    </row>
    <row r="845" spans="1:13">
      <c r="A845" t="s">
        <v>1460</v>
      </c>
      <c r="B845" s="1">
        <v>42335</v>
      </c>
      <c r="C845" s="1">
        <v>42339</v>
      </c>
      <c r="D845" t="s">
        <v>814</v>
      </c>
      <c r="E845" t="s">
        <v>60</v>
      </c>
      <c r="F845" t="s">
        <v>61</v>
      </c>
      <c r="G845" t="s">
        <v>17</v>
      </c>
      <c r="H845" t="s">
        <v>26</v>
      </c>
      <c r="I845">
        <v>2124.5</v>
      </c>
      <c r="J845">
        <v>5</v>
      </c>
      <c r="K845">
        <v>0</v>
      </c>
      <c r="L845">
        <v>488.6</v>
      </c>
      <c r="M845" t="s">
        <v>37</v>
      </c>
    </row>
    <row r="846" spans="1:13">
      <c r="A846" t="s">
        <v>1461</v>
      </c>
      <c r="B846" s="1">
        <v>41615</v>
      </c>
      <c r="C846" s="1">
        <v>41617</v>
      </c>
      <c r="D846" t="s">
        <v>898</v>
      </c>
      <c r="E846" t="s">
        <v>141</v>
      </c>
      <c r="F846" t="s">
        <v>142</v>
      </c>
      <c r="G846" t="s">
        <v>45</v>
      </c>
      <c r="H846" t="s">
        <v>127</v>
      </c>
      <c r="I846">
        <v>1053.8676</v>
      </c>
      <c r="J846">
        <v>6</v>
      </c>
      <c r="K846">
        <v>0.17</v>
      </c>
      <c r="L846">
        <v>-152.49239999999901</v>
      </c>
      <c r="M846" t="s">
        <v>37</v>
      </c>
    </row>
    <row r="847" spans="1:13">
      <c r="A847" t="s">
        <v>1462</v>
      </c>
      <c r="B847" s="1">
        <v>41231</v>
      </c>
      <c r="C847" s="1">
        <v>41234</v>
      </c>
      <c r="D847" t="s">
        <v>373</v>
      </c>
      <c r="E847" t="s">
        <v>40</v>
      </c>
      <c r="F847" t="s">
        <v>111</v>
      </c>
      <c r="G847" t="s">
        <v>45</v>
      </c>
      <c r="H847" t="s">
        <v>26</v>
      </c>
      <c r="I847">
        <v>5.88</v>
      </c>
      <c r="J847">
        <v>1</v>
      </c>
      <c r="K847">
        <v>0.2</v>
      </c>
      <c r="L847">
        <v>1.9844999999999899</v>
      </c>
      <c r="M847" t="s">
        <v>19</v>
      </c>
    </row>
    <row r="848" spans="1:13">
      <c r="A848" t="s">
        <v>1463</v>
      </c>
      <c r="B848" s="1">
        <v>41625</v>
      </c>
      <c r="C848" s="1">
        <v>41629</v>
      </c>
      <c r="D848" t="s">
        <v>1464</v>
      </c>
      <c r="E848" t="s">
        <v>93</v>
      </c>
      <c r="F848" t="s">
        <v>94</v>
      </c>
      <c r="G848" t="s">
        <v>17</v>
      </c>
      <c r="H848" t="s">
        <v>299</v>
      </c>
      <c r="I848">
        <v>1248.8399999999999</v>
      </c>
      <c r="J848">
        <v>4</v>
      </c>
      <c r="K848">
        <v>0</v>
      </c>
      <c r="L848">
        <v>249.719999999999</v>
      </c>
      <c r="M848" t="s">
        <v>37</v>
      </c>
    </row>
    <row r="849" spans="1:13">
      <c r="A849" t="s">
        <v>1465</v>
      </c>
      <c r="B849" s="1">
        <v>41962</v>
      </c>
      <c r="C849" s="1">
        <v>41968</v>
      </c>
      <c r="D849" t="s">
        <v>697</v>
      </c>
      <c r="E849" t="s">
        <v>358</v>
      </c>
      <c r="F849" t="s">
        <v>98</v>
      </c>
      <c r="G849" t="s">
        <v>32</v>
      </c>
      <c r="H849" t="s">
        <v>46</v>
      </c>
      <c r="I849">
        <v>2040.92</v>
      </c>
      <c r="J849">
        <v>7</v>
      </c>
      <c r="K849">
        <v>0</v>
      </c>
      <c r="L849">
        <v>959.14</v>
      </c>
      <c r="M849" t="s">
        <v>74</v>
      </c>
    </row>
    <row r="850" spans="1:13">
      <c r="A850" t="s">
        <v>1466</v>
      </c>
      <c r="B850" s="1">
        <v>42249</v>
      </c>
      <c r="C850" s="1">
        <v>42251</v>
      </c>
      <c r="D850" t="s">
        <v>1400</v>
      </c>
      <c r="E850" t="s">
        <v>70</v>
      </c>
      <c r="F850" t="s">
        <v>71</v>
      </c>
      <c r="G850" t="s">
        <v>1467</v>
      </c>
      <c r="H850" t="s">
        <v>127</v>
      </c>
      <c r="I850">
        <v>1068.7139999999999</v>
      </c>
      <c r="J850">
        <v>6</v>
      </c>
      <c r="K850">
        <v>0.1</v>
      </c>
      <c r="L850">
        <v>-0.126000000000004</v>
      </c>
      <c r="M850" t="s">
        <v>37</v>
      </c>
    </row>
    <row r="851" spans="1:13">
      <c r="A851" t="s">
        <v>1468</v>
      </c>
      <c r="B851" s="1">
        <v>42140</v>
      </c>
      <c r="C851" s="1">
        <v>42140</v>
      </c>
      <c r="D851" t="s">
        <v>792</v>
      </c>
      <c r="E851" t="s">
        <v>60</v>
      </c>
      <c r="F851" t="s">
        <v>61</v>
      </c>
      <c r="G851" t="s">
        <v>32</v>
      </c>
      <c r="H851" t="s">
        <v>151</v>
      </c>
      <c r="I851">
        <v>875.22</v>
      </c>
      <c r="J851">
        <v>3</v>
      </c>
      <c r="K851">
        <v>0</v>
      </c>
      <c r="L851">
        <v>139.97999999999999</v>
      </c>
      <c r="M851" t="s">
        <v>37</v>
      </c>
    </row>
    <row r="852" spans="1:13">
      <c r="B852" s="1">
        <v>41948</v>
      </c>
      <c r="D852" t="s">
        <v>1469</v>
      </c>
      <c r="E852" t="s">
        <v>15</v>
      </c>
      <c r="F852" t="s">
        <v>16</v>
      </c>
      <c r="G852" t="s">
        <v>17</v>
      </c>
      <c r="H852" t="s">
        <v>299</v>
      </c>
      <c r="I852">
        <v>1403.0819999999901</v>
      </c>
      <c r="J852" t="s">
        <v>63</v>
      </c>
      <c r="K852" t="s">
        <v>610</v>
      </c>
      <c r="L852">
        <v>296.08199999999999</v>
      </c>
      <c r="M852" t="s">
        <v>37</v>
      </c>
    </row>
    <row r="853" spans="1:13">
      <c r="A853" t="s">
        <v>1470</v>
      </c>
      <c r="B853" s="1">
        <v>41219</v>
      </c>
      <c r="D853" t="s">
        <v>1471</v>
      </c>
      <c r="E853" t="s">
        <v>1472</v>
      </c>
      <c r="F853" t="s">
        <v>87</v>
      </c>
      <c r="G853" t="s">
        <v>32</v>
      </c>
      <c r="H853" t="s">
        <v>151</v>
      </c>
      <c r="I853">
        <v>1743.96</v>
      </c>
      <c r="J853">
        <v>4</v>
      </c>
      <c r="L853">
        <v>714.96</v>
      </c>
      <c r="M853" t="s">
        <v>19</v>
      </c>
    </row>
    <row r="854" spans="1:13">
      <c r="A854" t="s">
        <v>1473</v>
      </c>
      <c r="C854" s="1">
        <v>41740</v>
      </c>
      <c r="D854" t="s">
        <v>1296</v>
      </c>
      <c r="E854" t="s">
        <v>852</v>
      </c>
      <c r="F854" t="s">
        <v>56</v>
      </c>
      <c r="G854" t="s">
        <v>17</v>
      </c>
      <c r="H854" t="s">
        <v>18</v>
      </c>
      <c r="I854">
        <v>1071.8399999999999</v>
      </c>
      <c r="J854">
        <v>4</v>
      </c>
      <c r="K854">
        <v>0</v>
      </c>
      <c r="M854" t="s">
        <v>37</v>
      </c>
    </row>
    <row r="855" spans="1:13">
      <c r="B855" s="1">
        <v>42167</v>
      </c>
      <c r="C855" s="1">
        <v>42168</v>
      </c>
      <c r="D855" t="s">
        <v>1474</v>
      </c>
      <c r="E855" t="s">
        <v>76</v>
      </c>
      <c r="F855" t="s">
        <v>77</v>
      </c>
      <c r="G855" t="s">
        <v>17</v>
      </c>
      <c r="H855" t="s">
        <v>151</v>
      </c>
      <c r="I855">
        <v>925.02</v>
      </c>
      <c r="J855">
        <v>5</v>
      </c>
      <c r="K855">
        <v>0.4</v>
      </c>
      <c r="L855">
        <v>-447.18</v>
      </c>
      <c r="M855" t="s">
        <v>37</v>
      </c>
    </row>
    <row r="856" spans="1:13">
      <c r="A856" t="s">
        <v>1475</v>
      </c>
      <c r="B856" s="1">
        <v>41800</v>
      </c>
      <c r="C856" s="1">
        <v>41805</v>
      </c>
      <c r="D856" t="s">
        <v>1476</v>
      </c>
      <c r="E856" t="s">
        <v>511</v>
      </c>
      <c r="F856" t="s">
        <v>61</v>
      </c>
      <c r="G856" t="s">
        <v>32</v>
      </c>
      <c r="H856" t="s">
        <v>127</v>
      </c>
      <c r="I856">
        <v>1682.74799999999</v>
      </c>
      <c r="J856">
        <v>9</v>
      </c>
      <c r="K856">
        <v>0.4</v>
      </c>
      <c r="L856">
        <v>-813.49199999999905</v>
      </c>
      <c r="M856" t="s">
        <v>37</v>
      </c>
    </row>
    <row r="857" spans="1:13">
      <c r="A857" t="s">
        <v>1477</v>
      </c>
      <c r="B857" s="1">
        <v>42190</v>
      </c>
      <c r="C857" s="1">
        <v>42194</v>
      </c>
      <c r="D857" t="s">
        <v>1197</v>
      </c>
      <c r="F857" t="s">
        <v>90</v>
      </c>
      <c r="G857" t="s">
        <v>32</v>
      </c>
      <c r="H857" t="s">
        <v>127</v>
      </c>
      <c r="J857">
        <v>5</v>
      </c>
      <c r="K857">
        <v>0</v>
      </c>
      <c r="L857">
        <v>291.60000000000002</v>
      </c>
      <c r="M857" t="s">
        <v>19</v>
      </c>
    </row>
    <row r="858" spans="1:13">
      <c r="A858" t="s">
        <v>1478</v>
      </c>
      <c r="B858" t="s">
        <v>1479</v>
      </c>
      <c r="C858" s="1">
        <v>41764</v>
      </c>
      <c r="E858" t="s">
        <v>114</v>
      </c>
      <c r="F858" t="s">
        <v>115</v>
      </c>
      <c r="G858" t="s">
        <v>17</v>
      </c>
      <c r="H858" t="s">
        <v>23</v>
      </c>
      <c r="I858">
        <v>3040.8</v>
      </c>
      <c r="K858">
        <v>0</v>
      </c>
      <c r="L858">
        <v>1155.3599999999999</v>
      </c>
      <c r="M858" t="s">
        <v>19</v>
      </c>
    </row>
    <row r="859" spans="1:13">
      <c r="A859" t="s">
        <v>1480</v>
      </c>
      <c r="B859" s="1">
        <v>41459</v>
      </c>
      <c r="C859" s="1">
        <v>41463</v>
      </c>
      <c r="D859" t="s">
        <v>373</v>
      </c>
      <c r="E859" t="s">
        <v>40</v>
      </c>
      <c r="F859" t="s">
        <v>111</v>
      </c>
      <c r="G859" t="s">
        <v>45</v>
      </c>
      <c r="H859" t="s">
        <v>151</v>
      </c>
      <c r="I859">
        <v>15.48</v>
      </c>
      <c r="J859">
        <v>3</v>
      </c>
      <c r="K859">
        <v>0</v>
      </c>
      <c r="L859">
        <v>4.4891999999999896</v>
      </c>
      <c r="M859" t="s">
        <v>19</v>
      </c>
    </row>
    <row r="860" spans="1:13">
      <c r="A860" t="s">
        <v>1481</v>
      </c>
      <c r="B860" s="1">
        <v>41584</v>
      </c>
      <c r="C860" s="1">
        <v>41586</v>
      </c>
      <c r="D860" t="s">
        <v>1482</v>
      </c>
      <c r="E860" t="s">
        <v>97</v>
      </c>
      <c r="F860" t="s">
        <v>98</v>
      </c>
      <c r="G860" t="s">
        <v>17</v>
      </c>
      <c r="H860" t="s">
        <v>33</v>
      </c>
      <c r="I860">
        <v>1003.34928</v>
      </c>
      <c r="J860">
        <v>4</v>
      </c>
      <c r="K860">
        <v>2E-3</v>
      </c>
      <c r="L860">
        <v>178.94927999999999</v>
      </c>
      <c r="M860" t="s">
        <v>220</v>
      </c>
    </row>
    <row r="861" spans="1:13">
      <c r="A861" t="s">
        <v>1406</v>
      </c>
      <c r="B861" s="1">
        <v>42027</v>
      </c>
      <c r="C861" s="1">
        <v>42032</v>
      </c>
      <c r="D861" t="s">
        <v>373</v>
      </c>
      <c r="E861" t="s">
        <v>40</v>
      </c>
      <c r="F861" t="s">
        <v>43</v>
      </c>
      <c r="G861" t="s">
        <v>45</v>
      </c>
      <c r="H861" t="s">
        <v>127</v>
      </c>
      <c r="I861">
        <v>11.96</v>
      </c>
      <c r="J861">
        <v>2</v>
      </c>
      <c r="L861">
        <v>5.3819999999999997</v>
      </c>
      <c r="M861" t="s">
        <v>19</v>
      </c>
    </row>
    <row r="862" spans="1:13">
      <c r="A862" t="s">
        <v>1483</v>
      </c>
      <c r="B862" s="1">
        <v>41166</v>
      </c>
      <c r="C862" s="1">
        <v>41169</v>
      </c>
      <c r="D862" t="s">
        <v>1484</v>
      </c>
      <c r="F862" t="s">
        <v>16</v>
      </c>
      <c r="G862" t="s">
        <v>45</v>
      </c>
      <c r="H862" t="s">
        <v>33</v>
      </c>
      <c r="I862">
        <v>808.73099999999999</v>
      </c>
      <c r="J862">
        <v>7</v>
      </c>
      <c r="K862">
        <v>0.1</v>
      </c>
      <c r="L862">
        <v>-0.18900000000002101</v>
      </c>
      <c r="M862" t="s">
        <v>27</v>
      </c>
    </row>
    <row r="863" spans="1:13">
      <c r="A863" t="s">
        <v>1485</v>
      </c>
      <c r="B863" s="1">
        <v>41999</v>
      </c>
      <c r="C863" s="1">
        <v>42005</v>
      </c>
      <c r="D863" t="s">
        <v>1486</v>
      </c>
      <c r="E863" t="s">
        <v>70</v>
      </c>
      <c r="F863" t="s">
        <v>71</v>
      </c>
      <c r="G863" t="s">
        <v>17</v>
      </c>
      <c r="H863" t="s">
        <v>151</v>
      </c>
      <c r="I863">
        <v>2764.3274999999999</v>
      </c>
      <c r="J863">
        <v>11</v>
      </c>
      <c r="K863">
        <v>0.15</v>
      </c>
      <c r="L863">
        <v>-195.4425</v>
      </c>
      <c r="M863" t="s">
        <v>19</v>
      </c>
    </row>
    <row r="864" spans="1:13">
      <c r="A864" t="s">
        <v>1487</v>
      </c>
      <c r="B864" s="1">
        <v>41992</v>
      </c>
      <c r="C864" s="1">
        <v>41994</v>
      </c>
      <c r="D864" t="s">
        <v>1488</v>
      </c>
      <c r="E864" t="s">
        <v>40</v>
      </c>
      <c r="F864" t="s">
        <v>153</v>
      </c>
      <c r="G864" t="s">
        <v>45</v>
      </c>
      <c r="H864" t="s">
        <v>299</v>
      </c>
      <c r="I864">
        <v>961.48</v>
      </c>
      <c r="J864">
        <v>5</v>
      </c>
      <c r="K864">
        <v>0.2</v>
      </c>
      <c r="L864">
        <v>-204.31449999999899</v>
      </c>
      <c r="M864" t="s">
        <v>19</v>
      </c>
    </row>
    <row r="865" spans="1:13">
      <c r="A865" t="s">
        <v>1489</v>
      </c>
      <c r="B865" s="1">
        <v>42249</v>
      </c>
      <c r="C865" s="1">
        <v>42251</v>
      </c>
      <c r="D865" t="s">
        <v>1490</v>
      </c>
      <c r="E865" t="s">
        <v>1491</v>
      </c>
      <c r="F865" t="s">
        <v>87</v>
      </c>
      <c r="G865" t="s">
        <v>32</v>
      </c>
      <c r="H865" t="s">
        <v>33</v>
      </c>
      <c r="I865">
        <v>457.13999999999902</v>
      </c>
      <c r="J865">
        <v>1</v>
      </c>
      <c r="K865">
        <v>0</v>
      </c>
      <c r="L865">
        <v>169.14</v>
      </c>
      <c r="M865" t="s">
        <v>27</v>
      </c>
    </row>
    <row r="866" spans="1:13">
      <c r="A866" t="s">
        <v>1492</v>
      </c>
      <c r="B866" s="1">
        <v>41992</v>
      </c>
      <c r="C866" s="1">
        <v>41994</v>
      </c>
      <c r="D866" t="s">
        <v>1488</v>
      </c>
      <c r="E866" t="s">
        <v>40</v>
      </c>
      <c r="F866" t="s">
        <v>153</v>
      </c>
      <c r="G866" t="s">
        <v>45</v>
      </c>
      <c r="H866" t="s">
        <v>23</v>
      </c>
      <c r="I866">
        <v>254.05799999999999</v>
      </c>
      <c r="J866">
        <v>7</v>
      </c>
      <c r="K866">
        <v>0.7</v>
      </c>
      <c r="L866">
        <v>-169.37199999999899</v>
      </c>
      <c r="M866" t="s">
        <v>19</v>
      </c>
    </row>
    <row r="867" spans="1:13">
      <c r="A867" t="s">
        <v>1351</v>
      </c>
      <c r="C867" s="1">
        <v>41819</v>
      </c>
      <c r="D867" t="s">
        <v>1081</v>
      </c>
      <c r="E867" t="s">
        <v>15</v>
      </c>
      <c r="F867" t="s">
        <v>1493</v>
      </c>
      <c r="G867" t="s">
        <v>17</v>
      </c>
      <c r="H867" t="s">
        <v>23</v>
      </c>
      <c r="I867">
        <v>1933.2</v>
      </c>
      <c r="J867" t="s">
        <v>63</v>
      </c>
      <c r="K867">
        <v>0.1</v>
      </c>
      <c r="L867">
        <v>-128.88</v>
      </c>
      <c r="M867" t="s">
        <v>37</v>
      </c>
    </row>
    <row r="868" spans="1:13">
      <c r="A868" t="s">
        <v>1494</v>
      </c>
      <c r="B868" s="1">
        <v>41085</v>
      </c>
      <c r="C868" s="1">
        <v>41087</v>
      </c>
      <c r="E868" t="s">
        <v>70</v>
      </c>
      <c r="F868" t="s">
        <v>71</v>
      </c>
      <c r="G868" t="s">
        <v>32</v>
      </c>
      <c r="H868" t="s">
        <v>33</v>
      </c>
      <c r="I868">
        <v>704.05200000000002</v>
      </c>
      <c r="J868">
        <v>2</v>
      </c>
      <c r="K868">
        <v>0.1</v>
      </c>
      <c r="M868" t="s">
        <v>27</v>
      </c>
    </row>
    <row r="869" spans="1:13">
      <c r="A869" t="s">
        <v>1495</v>
      </c>
      <c r="B869" s="1">
        <v>42271</v>
      </c>
      <c r="C869" s="1">
        <v>42273</v>
      </c>
      <c r="D869" t="s">
        <v>630</v>
      </c>
      <c r="E869" t="s">
        <v>1496</v>
      </c>
      <c r="F869" t="s">
        <v>71</v>
      </c>
      <c r="G869" t="s">
        <v>45</v>
      </c>
      <c r="H869" t="s">
        <v>127</v>
      </c>
      <c r="I869">
        <v>1355.13</v>
      </c>
      <c r="J869">
        <v>5</v>
      </c>
      <c r="K869">
        <v>0.1</v>
      </c>
      <c r="L869" t="s">
        <v>1497</v>
      </c>
      <c r="M869" t="s">
        <v>37</v>
      </c>
    </row>
    <row r="870" spans="1:13">
      <c r="A870" t="s">
        <v>1498</v>
      </c>
      <c r="B870" s="1">
        <v>41338</v>
      </c>
      <c r="C870" s="1">
        <v>41340</v>
      </c>
      <c r="E870" t="s">
        <v>40</v>
      </c>
      <c r="F870" t="s">
        <v>111</v>
      </c>
      <c r="G870" t="s">
        <v>32</v>
      </c>
      <c r="H870" t="s">
        <v>151</v>
      </c>
      <c r="I870">
        <v>99.372</v>
      </c>
      <c r="J870">
        <v>2</v>
      </c>
      <c r="L870">
        <v>-7.0979999999999901</v>
      </c>
      <c r="M870" t="s">
        <v>37</v>
      </c>
    </row>
    <row r="871" spans="1:13">
      <c r="A871" t="s">
        <v>1487</v>
      </c>
      <c r="B871" s="1">
        <v>41992</v>
      </c>
      <c r="C871" s="1">
        <v>41994</v>
      </c>
      <c r="D871" t="s">
        <v>1488</v>
      </c>
      <c r="E871" t="s">
        <v>40</v>
      </c>
      <c r="F871" t="s">
        <v>153</v>
      </c>
      <c r="G871" t="s">
        <v>45</v>
      </c>
      <c r="H871" t="s">
        <v>73</v>
      </c>
      <c r="I871">
        <v>194.52799999999999</v>
      </c>
      <c r="J871">
        <v>2</v>
      </c>
      <c r="K871">
        <v>0.2</v>
      </c>
      <c r="L871">
        <v>24.315999999999899</v>
      </c>
      <c r="M871" t="s">
        <v>19</v>
      </c>
    </row>
    <row r="872" spans="1:13">
      <c r="A872" t="s">
        <v>1499</v>
      </c>
      <c r="B872" s="1">
        <v>41916</v>
      </c>
      <c r="C872" s="1">
        <v>41920</v>
      </c>
      <c r="D872" t="s">
        <v>65</v>
      </c>
      <c r="E872" t="s">
        <v>66</v>
      </c>
      <c r="F872" t="s">
        <v>90</v>
      </c>
      <c r="G872" t="s">
        <v>32</v>
      </c>
      <c r="H872" t="s">
        <v>151</v>
      </c>
      <c r="I872">
        <v>2819.51999999999</v>
      </c>
      <c r="J872">
        <v>6</v>
      </c>
      <c r="K872">
        <v>0</v>
      </c>
      <c r="L872">
        <v>338.219999999999</v>
      </c>
      <c r="M872" t="s">
        <v>19</v>
      </c>
    </row>
    <row r="873" spans="1:13">
      <c r="A873" t="s">
        <v>1500</v>
      </c>
      <c r="B873" t="s">
        <v>125</v>
      </c>
      <c r="C873" s="1">
        <v>41593</v>
      </c>
      <c r="D873" t="s">
        <v>637</v>
      </c>
      <c r="E873" t="s">
        <v>66</v>
      </c>
      <c r="F873" t="s">
        <v>90</v>
      </c>
      <c r="G873" t="s">
        <v>17</v>
      </c>
      <c r="H873" t="s">
        <v>26</v>
      </c>
      <c r="I873">
        <v>2571.12</v>
      </c>
      <c r="J873">
        <v>4</v>
      </c>
      <c r="K873">
        <v>0</v>
      </c>
      <c r="L873">
        <v>102.84</v>
      </c>
      <c r="M873" t="s">
        <v>74</v>
      </c>
    </row>
    <row r="874" spans="1:13">
      <c r="A874" t="s">
        <v>1501</v>
      </c>
      <c r="C874" s="1">
        <v>41303</v>
      </c>
      <c r="D874" t="s">
        <v>1502</v>
      </c>
      <c r="E874" t="s">
        <v>1503</v>
      </c>
      <c r="F874" t="s">
        <v>131</v>
      </c>
      <c r="G874" t="s">
        <v>17</v>
      </c>
      <c r="H874" t="s">
        <v>23</v>
      </c>
      <c r="I874">
        <v>976.08</v>
      </c>
      <c r="J874">
        <v>4</v>
      </c>
      <c r="K874">
        <v>0</v>
      </c>
      <c r="L874">
        <v>292.79999999999899</v>
      </c>
      <c r="M874" t="s">
        <v>27</v>
      </c>
    </row>
    <row r="875" spans="1:13">
      <c r="A875" t="s">
        <v>1504</v>
      </c>
      <c r="B875" s="1">
        <v>41627</v>
      </c>
      <c r="C875" s="1">
        <v>41630</v>
      </c>
      <c r="D875" t="s">
        <v>1176</v>
      </c>
      <c r="E875" t="s">
        <v>826</v>
      </c>
      <c r="F875" t="s">
        <v>16</v>
      </c>
      <c r="G875" t="s">
        <v>17</v>
      </c>
      <c r="H875" t="s">
        <v>26</v>
      </c>
      <c r="K875">
        <v>0</v>
      </c>
      <c r="L875">
        <v>115.32</v>
      </c>
      <c r="M875" t="s">
        <v>27</v>
      </c>
    </row>
    <row r="876" spans="1:13">
      <c r="A876" t="s">
        <v>1505</v>
      </c>
      <c r="B876" s="1">
        <v>41129</v>
      </c>
      <c r="C876" s="1">
        <v>41133</v>
      </c>
      <c r="D876" t="s">
        <v>1488</v>
      </c>
      <c r="E876" t="s">
        <v>450</v>
      </c>
      <c r="F876" t="s">
        <v>450</v>
      </c>
      <c r="G876" t="s">
        <v>45</v>
      </c>
      <c r="H876" t="s">
        <v>18</v>
      </c>
      <c r="I876">
        <v>87.84</v>
      </c>
      <c r="J876">
        <v>6</v>
      </c>
      <c r="K876">
        <v>0</v>
      </c>
      <c r="L876">
        <v>29.6999999999999</v>
      </c>
      <c r="M876" t="s">
        <v>19</v>
      </c>
    </row>
    <row r="877" spans="1:13">
      <c r="A877" t="s">
        <v>1498</v>
      </c>
      <c r="B877" s="1">
        <v>41338</v>
      </c>
      <c r="C877" s="1">
        <v>41340</v>
      </c>
      <c r="D877" t="s">
        <v>1488</v>
      </c>
      <c r="E877" t="s">
        <v>40</v>
      </c>
      <c r="F877" t="s">
        <v>111</v>
      </c>
      <c r="G877" t="s">
        <v>32</v>
      </c>
      <c r="H877" t="s">
        <v>26</v>
      </c>
      <c r="I877">
        <v>33.567999999999998</v>
      </c>
      <c r="J877">
        <v>2</v>
      </c>
      <c r="K877">
        <v>0.2</v>
      </c>
      <c r="L877">
        <v>-5.4547999999999996</v>
      </c>
      <c r="M877" t="s">
        <v>37</v>
      </c>
    </row>
    <row r="878" spans="1:13">
      <c r="A878" t="s">
        <v>1506</v>
      </c>
      <c r="B878" s="1">
        <v>42355</v>
      </c>
      <c r="C878" s="1">
        <v>42359</v>
      </c>
      <c r="D878" t="s">
        <v>1286</v>
      </c>
      <c r="E878" t="s">
        <v>97</v>
      </c>
      <c r="F878" t="s">
        <v>98</v>
      </c>
      <c r="G878" t="s">
        <v>32</v>
      </c>
      <c r="H878" t="s">
        <v>23</v>
      </c>
      <c r="I878">
        <v>1697.5839999999901</v>
      </c>
      <c r="J878">
        <v>7</v>
      </c>
      <c r="K878">
        <v>0.2</v>
      </c>
      <c r="L878">
        <v>-63.755999999999801</v>
      </c>
      <c r="M878" t="s">
        <v>37</v>
      </c>
    </row>
    <row r="879" spans="1:13">
      <c r="A879" t="s">
        <v>1507</v>
      </c>
      <c r="B879" s="1">
        <v>41228</v>
      </c>
      <c r="C879" s="1">
        <v>41234</v>
      </c>
      <c r="D879" t="s">
        <v>1098</v>
      </c>
      <c r="E879" t="s">
        <v>66</v>
      </c>
      <c r="F879" t="s">
        <v>90</v>
      </c>
      <c r="G879" t="s">
        <v>32</v>
      </c>
      <c r="H879" t="s">
        <v>18</v>
      </c>
      <c r="I879">
        <v>2063.4</v>
      </c>
      <c r="J879" t="s">
        <v>63</v>
      </c>
      <c r="L879">
        <v>123.75</v>
      </c>
      <c r="M879" t="s">
        <v>74</v>
      </c>
    </row>
    <row r="880" spans="1:13">
      <c r="A880" t="s">
        <v>1508</v>
      </c>
      <c r="B880" s="1">
        <v>41930</v>
      </c>
      <c r="C880" s="1">
        <v>41932</v>
      </c>
      <c r="D880" t="s">
        <v>39</v>
      </c>
      <c r="E880" t="s">
        <v>70</v>
      </c>
      <c r="F880" t="s">
        <v>71</v>
      </c>
      <c r="G880" t="s">
        <v>17</v>
      </c>
      <c r="H880" t="s">
        <v>23</v>
      </c>
      <c r="I880">
        <v>632.04300000000001</v>
      </c>
      <c r="J880">
        <v>6</v>
      </c>
      <c r="K880">
        <v>0.15</v>
      </c>
      <c r="L880">
        <v>7.2629999999999697</v>
      </c>
      <c r="M880" t="s">
        <v>27</v>
      </c>
    </row>
    <row r="881" spans="1:13">
      <c r="C881" s="1">
        <v>42290</v>
      </c>
      <c r="D881" t="s">
        <v>1004</v>
      </c>
      <c r="E881" t="s">
        <v>66</v>
      </c>
      <c r="F881" t="s">
        <v>90</v>
      </c>
      <c r="G881" t="s">
        <v>32</v>
      </c>
      <c r="H881" t="s">
        <v>151</v>
      </c>
      <c r="I881">
        <v>2906.3999999999901</v>
      </c>
      <c r="J881">
        <v>7</v>
      </c>
      <c r="K881">
        <v>0</v>
      </c>
      <c r="L881">
        <v>1220.52</v>
      </c>
      <c r="M881" t="s">
        <v>37</v>
      </c>
    </row>
    <row r="882" spans="1:13">
      <c r="A882" t="s">
        <v>1509</v>
      </c>
      <c r="B882" s="1">
        <v>42087</v>
      </c>
      <c r="C882" t="s">
        <v>1510</v>
      </c>
      <c r="D882" t="s">
        <v>830</v>
      </c>
      <c r="E882" t="s">
        <v>114</v>
      </c>
      <c r="F882" t="s">
        <v>169</v>
      </c>
      <c r="G882" t="s">
        <v>32</v>
      </c>
      <c r="H882" t="s">
        <v>33</v>
      </c>
      <c r="I882">
        <v>2572.7399999999998</v>
      </c>
      <c r="J882">
        <v>3</v>
      </c>
      <c r="K882" t="s">
        <v>226</v>
      </c>
      <c r="M882" t="s">
        <v>19</v>
      </c>
    </row>
    <row r="883" spans="1:13">
      <c r="A883" t="s">
        <v>1511</v>
      </c>
      <c r="B883" s="1">
        <v>42314</v>
      </c>
      <c r="C883" s="1">
        <v>42316</v>
      </c>
      <c r="D883" t="s">
        <v>1488</v>
      </c>
      <c r="E883" t="s">
        <v>40</v>
      </c>
      <c r="F883" t="s">
        <v>41</v>
      </c>
      <c r="G883" t="s">
        <v>45</v>
      </c>
      <c r="H883" t="s">
        <v>151</v>
      </c>
      <c r="I883">
        <v>16.029999999999902</v>
      </c>
      <c r="J883">
        <v>5</v>
      </c>
      <c r="K883">
        <v>0.8</v>
      </c>
      <c r="L883">
        <v>-25.648</v>
      </c>
      <c r="M883" t="s">
        <v>27</v>
      </c>
    </row>
    <row r="884" spans="1:13">
      <c r="A884" t="s">
        <v>1512</v>
      </c>
      <c r="B884" s="1">
        <v>41639</v>
      </c>
      <c r="C884" s="1">
        <v>41642</v>
      </c>
      <c r="D884" t="s">
        <v>1060</v>
      </c>
      <c r="E884" t="s">
        <v>707</v>
      </c>
      <c r="F884" t="s">
        <v>71</v>
      </c>
      <c r="G884" t="s">
        <v>45</v>
      </c>
      <c r="H884" t="s">
        <v>44</v>
      </c>
      <c r="I884">
        <v>1583.8199999999899</v>
      </c>
      <c r="J884" t="s">
        <v>63</v>
      </c>
      <c r="K884">
        <v>0</v>
      </c>
      <c r="M884" t="s">
        <v>19</v>
      </c>
    </row>
    <row r="885" spans="1:13">
      <c r="A885" t="s">
        <v>1513</v>
      </c>
      <c r="B885" s="1">
        <v>42241</v>
      </c>
      <c r="C885" s="1">
        <v>42246</v>
      </c>
      <c r="E885" t="s">
        <v>40</v>
      </c>
      <c r="F885" t="s">
        <v>111</v>
      </c>
      <c r="G885" t="s">
        <v>45</v>
      </c>
      <c r="H885" t="s">
        <v>46</v>
      </c>
      <c r="I885">
        <v>24.672000000000001</v>
      </c>
      <c r="J885">
        <v>4</v>
      </c>
      <c r="K885">
        <v>0.2</v>
      </c>
      <c r="M885" t="s">
        <v>19</v>
      </c>
    </row>
    <row r="886" spans="1:13">
      <c r="B886" s="1">
        <v>42241</v>
      </c>
      <c r="C886" t="s">
        <v>1514</v>
      </c>
      <c r="D886" t="s">
        <v>1488</v>
      </c>
      <c r="E886" t="s">
        <v>40</v>
      </c>
      <c r="F886" t="s">
        <v>111</v>
      </c>
      <c r="G886" t="s">
        <v>1107</v>
      </c>
      <c r="H886" t="s">
        <v>73</v>
      </c>
      <c r="I886">
        <v>3.74399999999999</v>
      </c>
      <c r="K886" t="s">
        <v>484</v>
      </c>
      <c r="L886">
        <v>1.3104</v>
      </c>
      <c r="M886" t="s">
        <v>19</v>
      </c>
    </row>
    <row r="887" spans="1:13">
      <c r="A887" t="s">
        <v>1515</v>
      </c>
      <c r="B887" s="1">
        <v>42251</v>
      </c>
      <c r="C887" s="1">
        <v>42107</v>
      </c>
      <c r="D887" t="s">
        <v>1516</v>
      </c>
      <c r="E887" t="s">
        <v>15</v>
      </c>
      <c r="F887" t="s">
        <v>16</v>
      </c>
      <c r="G887" t="s">
        <v>32</v>
      </c>
      <c r="H887" t="s">
        <v>23</v>
      </c>
      <c r="I887">
        <v>1656.71999999999</v>
      </c>
      <c r="J887">
        <v>4</v>
      </c>
      <c r="K887">
        <v>0.1</v>
      </c>
      <c r="L887" t="s">
        <v>1517</v>
      </c>
      <c r="M887" t="s">
        <v>37</v>
      </c>
    </row>
    <row r="888" spans="1:13">
      <c r="A888" t="s">
        <v>1518</v>
      </c>
      <c r="B888" s="1">
        <v>42281</v>
      </c>
      <c r="C888" s="1">
        <v>42282</v>
      </c>
      <c r="E888" t="s">
        <v>15</v>
      </c>
      <c r="F888" t="s">
        <v>16</v>
      </c>
      <c r="G888" t="s">
        <v>17</v>
      </c>
      <c r="H888" t="s">
        <v>73</v>
      </c>
      <c r="I888">
        <v>2015.4960000000001</v>
      </c>
      <c r="J888">
        <v>7</v>
      </c>
      <c r="K888">
        <v>0.1</v>
      </c>
      <c r="L888">
        <v>850.83600000000001</v>
      </c>
      <c r="M888" t="s">
        <v>19</v>
      </c>
    </row>
    <row r="889" spans="1:13">
      <c r="A889" t="s">
        <v>1519</v>
      </c>
      <c r="B889" s="1">
        <v>41588</v>
      </c>
      <c r="C889" s="1">
        <v>41595</v>
      </c>
      <c r="D889" t="s">
        <v>218</v>
      </c>
      <c r="E889" t="s">
        <v>197</v>
      </c>
      <c r="F889" t="s">
        <v>1520</v>
      </c>
      <c r="G889" t="s">
        <v>17</v>
      </c>
      <c r="H889" t="s">
        <v>23</v>
      </c>
      <c r="I889">
        <v>2219.1840000000002</v>
      </c>
      <c r="J889">
        <v>8</v>
      </c>
      <c r="L889">
        <v>24.623999999999999</v>
      </c>
      <c r="M889" t="s">
        <v>19</v>
      </c>
    </row>
    <row r="890" spans="1:13">
      <c r="A890" t="s">
        <v>1521</v>
      </c>
      <c r="B890" s="1">
        <v>42294</v>
      </c>
      <c r="C890" t="s">
        <v>1522</v>
      </c>
      <c r="D890" t="s">
        <v>1523</v>
      </c>
      <c r="E890" t="s">
        <v>31</v>
      </c>
      <c r="F890" t="s">
        <v>16</v>
      </c>
      <c r="G890" t="s">
        <v>17</v>
      </c>
      <c r="H890" t="s">
        <v>33</v>
      </c>
      <c r="J890">
        <v>8</v>
      </c>
      <c r="K890">
        <v>0</v>
      </c>
      <c r="M890" t="s">
        <v>19</v>
      </c>
    </row>
    <row r="891" spans="1:13">
      <c r="A891" t="s">
        <v>1524</v>
      </c>
      <c r="B891" s="1">
        <v>42342</v>
      </c>
      <c r="C891" s="1">
        <v>42345</v>
      </c>
      <c r="D891" t="s">
        <v>1525</v>
      </c>
      <c r="E891" t="s">
        <v>97</v>
      </c>
      <c r="F891" t="s">
        <v>98</v>
      </c>
      <c r="G891" t="s">
        <v>32</v>
      </c>
      <c r="H891" t="s">
        <v>127</v>
      </c>
      <c r="I891">
        <v>1410.3999999999901</v>
      </c>
      <c r="J891">
        <v>5</v>
      </c>
      <c r="K891">
        <v>0.2</v>
      </c>
      <c r="L891">
        <v>-88.199999999999903</v>
      </c>
      <c r="M891" t="s">
        <v>27</v>
      </c>
    </row>
    <row r="892" spans="1:13">
      <c r="B892" s="1">
        <v>41572</v>
      </c>
      <c r="C892" s="1">
        <v>41572</v>
      </c>
      <c r="D892" t="s">
        <v>859</v>
      </c>
      <c r="E892" t="s">
        <v>554</v>
      </c>
      <c r="F892" t="s">
        <v>90</v>
      </c>
      <c r="G892" t="s">
        <v>32</v>
      </c>
      <c r="H892" t="s">
        <v>33</v>
      </c>
      <c r="I892">
        <v>1773.72</v>
      </c>
      <c r="J892">
        <v>5</v>
      </c>
      <c r="K892">
        <v>0.2</v>
      </c>
      <c r="L892">
        <v>44.219999999999899</v>
      </c>
      <c r="M892" t="s">
        <v>37</v>
      </c>
    </row>
    <row r="893" spans="1:13">
      <c r="A893" t="s">
        <v>1526</v>
      </c>
      <c r="B893" s="1">
        <v>41172</v>
      </c>
      <c r="C893" s="1">
        <v>41177</v>
      </c>
      <c r="D893" t="s">
        <v>1409</v>
      </c>
      <c r="E893" t="s">
        <v>1527</v>
      </c>
      <c r="F893" t="s">
        <v>25</v>
      </c>
      <c r="G893" t="s">
        <v>17</v>
      </c>
      <c r="H893" t="s">
        <v>44</v>
      </c>
      <c r="I893">
        <v>1377.8999999999901</v>
      </c>
      <c r="J893">
        <v>10</v>
      </c>
      <c r="K893">
        <v>0</v>
      </c>
      <c r="L893">
        <v>289.2</v>
      </c>
      <c r="M893" t="s">
        <v>37</v>
      </c>
    </row>
    <row r="894" spans="1:13">
      <c r="A894" t="s">
        <v>1528</v>
      </c>
      <c r="B894" s="1">
        <v>41223</v>
      </c>
      <c r="C894" s="1">
        <v>41230</v>
      </c>
      <c r="D894" t="s">
        <v>733</v>
      </c>
      <c r="E894" t="s">
        <v>97</v>
      </c>
      <c r="F894" t="s">
        <v>98</v>
      </c>
      <c r="G894" t="s">
        <v>17</v>
      </c>
      <c r="H894" t="s">
        <v>44</v>
      </c>
      <c r="I894">
        <v>2582.16</v>
      </c>
      <c r="J894">
        <v>6</v>
      </c>
      <c r="K894">
        <v>0</v>
      </c>
      <c r="L894">
        <v>516.36</v>
      </c>
      <c r="M894" t="s">
        <v>19</v>
      </c>
    </row>
    <row r="895" spans="1:13">
      <c r="A895" t="s">
        <v>1529</v>
      </c>
      <c r="B895" s="1">
        <v>41615</v>
      </c>
      <c r="C895" s="1">
        <v>41617</v>
      </c>
      <c r="E895" t="s">
        <v>40</v>
      </c>
      <c r="F895" t="s">
        <v>111</v>
      </c>
      <c r="G895" t="s">
        <v>17</v>
      </c>
      <c r="H895" t="s">
        <v>26</v>
      </c>
      <c r="I895">
        <v>773.94</v>
      </c>
      <c r="J895">
        <v>6</v>
      </c>
      <c r="K895">
        <v>0</v>
      </c>
      <c r="L895">
        <v>224.4426</v>
      </c>
      <c r="M895" t="s">
        <v>19</v>
      </c>
    </row>
    <row r="896" spans="1:13">
      <c r="A896" t="s">
        <v>1530</v>
      </c>
      <c r="B896" s="1">
        <v>41346</v>
      </c>
      <c r="C896" s="1">
        <v>41348</v>
      </c>
      <c r="D896" t="s">
        <v>931</v>
      </c>
      <c r="E896" t="s">
        <v>70</v>
      </c>
      <c r="F896" t="s">
        <v>71</v>
      </c>
      <c r="G896" t="s">
        <v>17</v>
      </c>
      <c r="H896" t="s">
        <v>26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37</v>
      </c>
    </row>
    <row r="897" spans="1:13">
      <c r="A897" t="s">
        <v>1531</v>
      </c>
      <c r="B897" s="1">
        <v>42363</v>
      </c>
      <c r="C897" s="1">
        <v>42370</v>
      </c>
      <c r="D897" t="s">
        <v>1207</v>
      </c>
      <c r="E897" t="s">
        <v>40</v>
      </c>
      <c r="F897" t="s">
        <v>43</v>
      </c>
      <c r="G897" t="s">
        <v>45</v>
      </c>
      <c r="H897" t="s">
        <v>23</v>
      </c>
      <c r="I897">
        <v>1003.62</v>
      </c>
      <c r="J897">
        <v>6</v>
      </c>
      <c r="K897">
        <v>0</v>
      </c>
      <c r="L897">
        <v>0</v>
      </c>
      <c r="M897" t="s">
        <v>74</v>
      </c>
    </row>
    <row r="898" spans="1:13">
      <c r="A898" t="s">
        <v>1532</v>
      </c>
      <c r="B898" s="1">
        <v>41271</v>
      </c>
      <c r="C898" s="1">
        <v>41273</v>
      </c>
      <c r="D898" t="s">
        <v>1533</v>
      </c>
      <c r="E898" t="s">
        <v>211</v>
      </c>
      <c r="F898" t="s">
        <v>98</v>
      </c>
      <c r="G898" t="s">
        <v>32</v>
      </c>
      <c r="H898" t="s">
        <v>26</v>
      </c>
      <c r="I898">
        <v>2429.4399999999901</v>
      </c>
      <c r="J898">
        <v>8</v>
      </c>
      <c r="K898">
        <v>0</v>
      </c>
      <c r="L898">
        <v>534.4</v>
      </c>
      <c r="M898" t="s">
        <v>19</v>
      </c>
    </row>
    <row r="899" spans="1:13">
      <c r="A899" t="s">
        <v>1534</v>
      </c>
      <c r="B899" s="1">
        <v>42291</v>
      </c>
      <c r="C899" s="1">
        <v>42293</v>
      </c>
      <c r="D899" t="s">
        <v>1207</v>
      </c>
      <c r="E899" t="s">
        <v>40</v>
      </c>
      <c r="F899" t="s">
        <v>153</v>
      </c>
      <c r="G899" t="s">
        <v>45</v>
      </c>
      <c r="H899" t="s">
        <v>26</v>
      </c>
      <c r="I899">
        <v>348.56</v>
      </c>
      <c r="J899">
        <v>8</v>
      </c>
      <c r="K899">
        <v>0</v>
      </c>
      <c r="L899">
        <v>104.567999999999</v>
      </c>
      <c r="M899" t="s">
        <v>37</v>
      </c>
    </row>
    <row r="900" spans="1:13">
      <c r="A900" t="s">
        <v>1535</v>
      </c>
      <c r="B900" s="1">
        <v>42032</v>
      </c>
      <c r="D900" t="s">
        <v>1536</v>
      </c>
      <c r="E900" t="s">
        <v>70</v>
      </c>
      <c r="F900" t="s">
        <v>294</v>
      </c>
      <c r="G900" t="s">
        <v>32</v>
      </c>
      <c r="H900" t="s">
        <v>23</v>
      </c>
      <c r="I900">
        <v>977.02200000000005</v>
      </c>
      <c r="J900">
        <v>3</v>
      </c>
      <c r="K900">
        <v>0.1</v>
      </c>
      <c r="L900">
        <v>271.33199999999999</v>
      </c>
      <c r="M900" t="s">
        <v>74</v>
      </c>
    </row>
    <row r="901" spans="1:13">
      <c r="A901" t="s">
        <v>1537</v>
      </c>
      <c r="B901" s="1">
        <v>41956</v>
      </c>
      <c r="C901" s="1">
        <v>41961</v>
      </c>
      <c r="D901" t="s">
        <v>1538</v>
      </c>
      <c r="E901" t="s">
        <v>70</v>
      </c>
      <c r="F901" t="s">
        <v>71</v>
      </c>
      <c r="G901" t="s">
        <v>32</v>
      </c>
      <c r="H901" t="s">
        <v>26</v>
      </c>
      <c r="I901">
        <v>2891.6999999999898</v>
      </c>
      <c r="J901">
        <v>7</v>
      </c>
      <c r="K901">
        <v>0.1</v>
      </c>
      <c r="L901">
        <v>1188.81</v>
      </c>
      <c r="M901" t="s">
        <v>19</v>
      </c>
    </row>
    <row r="902" spans="1:13">
      <c r="A902" t="s">
        <v>1539</v>
      </c>
      <c r="B902" s="1">
        <v>42250</v>
      </c>
      <c r="C902" s="1">
        <v>42254</v>
      </c>
      <c r="D902" t="s">
        <v>1207</v>
      </c>
      <c r="E902" t="s">
        <v>40</v>
      </c>
      <c r="F902" t="s">
        <v>153</v>
      </c>
      <c r="G902" t="s">
        <v>45</v>
      </c>
      <c r="H902" t="s">
        <v>151</v>
      </c>
      <c r="I902">
        <v>1577.94</v>
      </c>
      <c r="J902">
        <v>3</v>
      </c>
      <c r="K902">
        <v>0</v>
      </c>
      <c r="L902">
        <v>757.41120000000001</v>
      </c>
      <c r="M902" t="s">
        <v>19</v>
      </c>
    </row>
    <row r="903" spans="1:13">
      <c r="A903" t="s">
        <v>1540</v>
      </c>
      <c r="B903" s="1">
        <v>41501</v>
      </c>
      <c r="C903" s="1">
        <v>41505</v>
      </c>
      <c r="D903" t="s">
        <v>1541</v>
      </c>
      <c r="E903" t="s">
        <v>15</v>
      </c>
      <c r="F903" t="s">
        <v>16</v>
      </c>
      <c r="G903" t="s">
        <v>17</v>
      </c>
      <c r="H903" t="s">
        <v>23</v>
      </c>
      <c r="I903">
        <v>2042.82</v>
      </c>
      <c r="J903">
        <v>6</v>
      </c>
      <c r="K903">
        <v>0.1</v>
      </c>
      <c r="L903">
        <v>-136.26</v>
      </c>
      <c r="M903" t="s">
        <v>37</v>
      </c>
    </row>
    <row r="904" spans="1:13">
      <c r="A904" t="s">
        <v>1542</v>
      </c>
      <c r="B904" s="1">
        <v>42199</v>
      </c>
      <c r="C904" s="1">
        <v>42201</v>
      </c>
      <c r="D904" t="s">
        <v>122</v>
      </c>
      <c r="E904" t="s">
        <v>60</v>
      </c>
      <c r="F904" t="s">
        <v>61</v>
      </c>
      <c r="G904" t="s">
        <v>17</v>
      </c>
      <c r="H904" t="s">
        <v>73</v>
      </c>
      <c r="I904">
        <v>997.80039999999894</v>
      </c>
      <c r="J904">
        <v>5</v>
      </c>
      <c r="K904">
        <v>2E-3</v>
      </c>
      <c r="L904">
        <v>327.90039999999999</v>
      </c>
      <c r="M904" t="s">
        <v>37</v>
      </c>
    </row>
    <row r="905" spans="1:13">
      <c r="A905" t="s">
        <v>1543</v>
      </c>
      <c r="B905" s="1">
        <v>41286</v>
      </c>
      <c r="C905" s="1">
        <v>41291</v>
      </c>
      <c r="D905" t="s">
        <v>1101</v>
      </c>
      <c r="E905" t="s">
        <v>15</v>
      </c>
      <c r="F905" t="s">
        <v>16</v>
      </c>
      <c r="G905" t="s">
        <v>17</v>
      </c>
      <c r="H905" t="s">
        <v>33</v>
      </c>
      <c r="I905">
        <v>1411.3440000000001</v>
      </c>
      <c r="K905">
        <v>0.1</v>
      </c>
      <c r="L905">
        <v>486.05399999999901</v>
      </c>
      <c r="M905" t="s">
        <v>37</v>
      </c>
    </row>
    <row r="906" spans="1:13">
      <c r="A906" t="s">
        <v>1544</v>
      </c>
      <c r="B906" s="1">
        <v>41389</v>
      </c>
      <c r="C906" s="1">
        <v>41389</v>
      </c>
      <c r="D906" t="s">
        <v>844</v>
      </c>
      <c r="E906" t="s">
        <v>168</v>
      </c>
      <c r="F906" t="s">
        <v>115</v>
      </c>
      <c r="G906" t="s">
        <v>32</v>
      </c>
      <c r="H906" t="s">
        <v>33</v>
      </c>
      <c r="I906">
        <v>1647</v>
      </c>
      <c r="J906">
        <v>4</v>
      </c>
      <c r="K906">
        <v>0</v>
      </c>
      <c r="L906">
        <v>625.79999999999995</v>
      </c>
      <c r="M906" t="s">
        <v>37</v>
      </c>
    </row>
    <row r="907" spans="1:13">
      <c r="A907" t="s">
        <v>1545</v>
      </c>
      <c r="B907" s="2">
        <v>41653</v>
      </c>
      <c r="C907" s="1">
        <v>41929</v>
      </c>
      <c r="D907" t="s">
        <v>1280</v>
      </c>
      <c r="E907" t="s">
        <v>15</v>
      </c>
      <c r="F907" t="s">
        <v>16</v>
      </c>
      <c r="G907" t="s">
        <v>32</v>
      </c>
      <c r="H907" t="s">
        <v>127</v>
      </c>
      <c r="I907">
        <v>1313.712</v>
      </c>
      <c r="J907">
        <v>4</v>
      </c>
      <c r="L907">
        <v>102.072</v>
      </c>
      <c r="M907" t="s">
        <v>19</v>
      </c>
    </row>
    <row r="908" spans="1:13">
      <c r="A908" t="s">
        <v>1546</v>
      </c>
      <c r="B908" s="1">
        <v>41460</v>
      </c>
      <c r="C908" s="1">
        <v>41404</v>
      </c>
      <c r="D908" t="s">
        <v>314</v>
      </c>
      <c r="E908" t="s">
        <v>15</v>
      </c>
      <c r="F908" t="s">
        <v>16</v>
      </c>
      <c r="G908" t="s">
        <v>17</v>
      </c>
      <c r="H908" t="s">
        <v>151</v>
      </c>
      <c r="I908">
        <v>972.56700000000001</v>
      </c>
      <c r="J908">
        <v>3</v>
      </c>
      <c r="L908">
        <v>194.42699999999999</v>
      </c>
      <c r="M908" t="s">
        <v>37</v>
      </c>
    </row>
    <row r="909" spans="1:13">
      <c r="A909" t="s">
        <v>1547</v>
      </c>
      <c r="B909" s="1">
        <v>41128</v>
      </c>
      <c r="C909" s="1">
        <v>41128</v>
      </c>
      <c r="D909" t="s">
        <v>864</v>
      </c>
      <c r="E909" t="s">
        <v>66</v>
      </c>
      <c r="F909" t="s">
        <v>90</v>
      </c>
      <c r="G909" t="s">
        <v>17</v>
      </c>
      <c r="H909" t="s">
        <v>33</v>
      </c>
      <c r="I909">
        <v>1273.56</v>
      </c>
      <c r="J909">
        <v>4</v>
      </c>
      <c r="K909">
        <v>0</v>
      </c>
      <c r="L909">
        <v>573</v>
      </c>
      <c r="M909" t="s">
        <v>19</v>
      </c>
    </row>
    <row r="910" spans="1:13">
      <c r="A910" t="s">
        <v>1548</v>
      </c>
      <c r="B910" s="1">
        <v>41259</v>
      </c>
      <c r="C910" s="1">
        <v>41263</v>
      </c>
      <c r="D910" t="s">
        <v>1549</v>
      </c>
      <c r="E910" t="s">
        <v>22</v>
      </c>
      <c r="F910" t="s">
        <v>71</v>
      </c>
      <c r="G910" t="s">
        <v>17</v>
      </c>
      <c r="H910" t="s">
        <v>151</v>
      </c>
      <c r="I910">
        <v>1908.18</v>
      </c>
      <c r="J910">
        <v>3</v>
      </c>
      <c r="K910">
        <v>0</v>
      </c>
      <c r="L910">
        <v>820.44</v>
      </c>
      <c r="M910" t="s">
        <v>19</v>
      </c>
    </row>
    <row r="911" spans="1:13">
      <c r="A911" t="s">
        <v>1550</v>
      </c>
      <c r="C911" s="1">
        <v>42336</v>
      </c>
      <c r="D911" t="s">
        <v>1207</v>
      </c>
      <c r="E911" t="s">
        <v>40</v>
      </c>
      <c r="F911" t="s">
        <v>41</v>
      </c>
      <c r="G911" t="s">
        <v>17</v>
      </c>
      <c r="H911" t="s">
        <v>33</v>
      </c>
      <c r="I911">
        <v>195.96</v>
      </c>
      <c r="J911">
        <v>5</v>
      </c>
      <c r="K911">
        <v>0.2</v>
      </c>
      <c r="L911">
        <v>19.596</v>
      </c>
      <c r="M911" t="s">
        <v>37</v>
      </c>
    </row>
    <row r="912" spans="1:13">
      <c r="A912" t="s">
        <v>1551</v>
      </c>
      <c r="B912" s="1">
        <v>41227</v>
      </c>
      <c r="C912" s="1">
        <v>41231</v>
      </c>
      <c r="D912" t="s">
        <v>1552</v>
      </c>
      <c r="E912" t="s">
        <v>15</v>
      </c>
      <c r="F912" t="s">
        <v>16</v>
      </c>
      <c r="G912" t="s">
        <v>32</v>
      </c>
      <c r="H912" t="s">
        <v>26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1553</v>
      </c>
      <c r="B913" s="1">
        <v>41583</v>
      </c>
      <c r="C913" s="1">
        <v>41586</v>
      </c>
      <c r="D913" t="s">
        <v>1554</v>
      </c>
      <c r="E913" t="s">
        <v>204</v>
      </c>
      <c r="F913" t="s">
        <v>87</v>
      </c>
      <c r="G913" t="s">
        <v>624</v>
      </c>
      <c r="H913" t="s">
        <v>44</v>
      </c>
      <c r="I913">
        <v>680.28</v>
      </c>
      <c r="J913">
        <v>4</v>
      </c>
      <c r="K913">
        <v>0</v>
      </c>
      <c r="L913">
        <v>231.24</v>
      </c>
      <c r="M913" t="s">
        <v>27</v>
      </c>
    </row>
    <row r="914" spans="1:13">
      <c r="A914" t="s">
        <v>1555</v>
      </c>
      <c r="B914" s="1">
        <v>41280</v>
      </c>
      <c r="C914" s="1">
        <v>41283</v>
      </c>
      <c r="D914" t="s">
        <v>557</v>
      </c>
      <c r="E914" t="s">
        <v>1248</v>
      </c>
      <c r="F914" t="s">
        <v>94</v>
      </c>
      <c r="G914" t="s">
        <v>17</v>
      </c>
      <c r="H914" t="s">
        <v>151</v>
      </c>
      <c r="I914">
        <v>964.07999999999902</v>
      </c>
      <c r="J914">
        <v>3</v>
      </c>
      <c r="K914">
        <v>0</v>
      </c>
      <c r="L914">
        <v>337.409999999999</v>
      </c>
      <c r="M914" t="s">
        <v>19</v>
      </c>
    </row>
    <row r="915" spans="1:13">
      <c r="A915" t="s">
        <v>1556</v>
      </c>
      <c r="B915" s="1">
        <v>41241</v>
      </c>
      <c r="C915" s="1">
        <v>41248</v>
      </c>
      <c r="D915" t="s">
        <v>1207</v>
      </c>
      <c r="E915" t="s">
        <v>40</v>
      </c>
      <c r="F915" t="s">
        <v>43</v>
      </c>
      <c r="G915" t="s">
        <v>17</v>
      </c>
      <c r="H915" t="s">
        <v>127</v>
      </c>
      <c r="I915">
        <v>575.91999999999996</v>
      </c>
      <c r="J915" t="s">
        <v>63</v>
      </c>
      <c r="K915">
        <v>0.2</v>
      </c>
      <c r="L915">
        <v>71.989999999999895</v>
      </c>
      <c r="M915" t="s">
        <v>19</v>
      </c>
    </row>
    <row r="916" spans="1:13">
      <c r="A916" t="s">
        <v>1557</v>
      </c>
      <c r="B916" s="1">
        <v>41174</v>
      </c>
      <c r="C916" s="1">
        <v>41178</v>
      </c>
      <c r="D916" t="s">
        <v>1558</v>
      </c>
      <c r="E916" t="s">
        <v>15</v>
      </c>
      <c r="F916" t="s">
        <v>1559</v>
      </c>
      <c r="G916" t="s">
        <v>17</v>
      </c>
      <c r="H916" t="s">
        <v>33</v>
      </c>
      <c r="J916">
        <v>5</v>
      </c>
      <c r="K916">
        <v>0.1</v>
      </c>
      <c r="L916">
        <v>588.73500000000001</v>
      </c>
      <c r="M916" t="s">
        <v>37</v>
      </c>
    </row>
    <row r="917" spans="1:13">
      <c r="A917" t="s">
        <v>1560</v>
      </c>
      <c r="B917" s="1">
        <v>41514</v>
      </c>
      <c r="C917" s="1">
        <v>41516</v>
      </c>
      <c r="D917" t="s">
        <v>959</v>
      </c>
      <c r="E917" t="s">
        <v>852</v>
      </c>
      <c r="F917" t="s">
        <v>56</v>
      </c>
      <c r="G917" t="s">
        <v>32</v>
      </c>
      <c r="H917" t="s">
        <v>127</v>
      </c>
      <c r="I917">
        <v>929.34</v>
      </c>
      <c r="K917">
        <v>0</v>
      </c>
      <c r="L917">
        <v>65.039999999999907</v>
      </c>
      <c r="M917" t="s">
        <v>19</v>
      </c>
    </row>
    <row r="918" spans="1:13">
      <c r="A918" t="s">
        <v>1561</v>
      </c>
      <c r="B918" s="1">
        <v>42072</v>
      </c>
      <c r="C918" s="1">
        <v>42079</v>
      </c>
      <c r="D918" t="s">
        <v>1207</v>
      </c>
      <c r="E918" t="s">
        <v>40</v>
      </c>
      <c r="F918" t="s">
        <v>43</v>
      </c>
      <c r="G918" t="s">
        <v>45</v>
      </c>
      <c r="H918" t="s">
        <v>33</v>
      </c>
      <c r="I918">
        <v>171.2</v>
      </c>
      <c r="J918">
        <v>5</v>
      </c>
      <c r="K918">
        <v>0.2</v>
      </c>
      <c r="L918">
        <v>64.199999999999903</v>
      </c>
      <c r="M918" t="s">
        <v>19</v>
      </c>
    </row>
    <row r="919" spans="1:13">
      <c r="A919" t="s">
        <v>1562</v>
      </c>
      <c r="B919" s="1">
        <v>41588</v>
      </c>
      <c r="C919" s="1">
        <v>41593</v>
      </c>
      <c r="D919" t="s">
        <v>1207</v>
      </c>
      <c r="E919" t="s">
        <v>40</v>
      </c>
      <c r="F919" t="s">
        <v>43</v>
      </c>
      <c r="G919" t="s">
        <v>17</v>
      </c>
      <c r="H919" t="s">
        <v>44</v>
      </c>
      <c r="I919">
        <v>79.900000000000006</v>
      </c>
      <c r="J919">
        <v>2</v>
      </c>
      <c r="K919">
        <v>0</v>
      </c>
      <c r="L919">
        <v>35.155999999999999</v>
      </c>
      <c r="M919" t="s">
        <v>19</v>
      </c>
    </row>
    <row r="920" spans="1:13">
      <c r="A920" t="s">
        <v>1563</v>
      </c>
      <c r="C920" s="1">
        <v>42176</v>
      </c>
      <c r="D920" t="s">
        <v>1564</v>
      </c>
      <c r="E920" t="s">
        <v>15</v>
      </c>
      <c r="F920" t="s">
        <v>16</v>
      </c>
      <c r="G920" t="s">
        <v>17</v>
      </c>
      <c r="H920" t="s">
        <v>18</v>
      </c>
      <c r="I920">
        <v>2383.857</v>
      </c>
      <c r="J920">
        <v>7</v>
      </c>
      <c r="L920">
        <v>794.577</v>
      </c>
      <c r="M920" t="s">
        <v>37</v>
      </c>
    </row>
    <row r="921" spans="1:13">
      <c r="A921" t="s">
        <v>1565</v>
      </c>
      <c r="B921" s="1">
        <v>41430</v>
      </c>
      <c r="C921" s="1">
        <v>41436</v>
      </c>
      <c r="D921" t="s">
        <v>1566</v>
      </c>
      <c r="E921" t="s">
        <v>93</v>
      </c>
      <c r="F921" t="s">
        <v>94</v>
      </c>
      <c r="G921" t="s">
        <v>17</v>
      </c>
      <c r="H921" t="s">
        <v>33</v>
      </c>
      <c r="I921">
        <v>1891.5</v>
      </c>
      <c r="J921">
        <v>5</v>
      </c>
      <c r="K921">
        <v>0</v>
      </c>
      <c r="L921">
        <v>832.2</v>
      </c>
      <c r="M921" t="s">
        <v>19</v>
      </c>
    </row>
    <row r="922" spans="1:13">
      <c r="A922" t="s">
        <v>1567</v>
      </c>
      <c r="B922" s="1">
        <v>41762</v>
      </c>
      <c r="C922" s="1">
        <v>41763</v>
      </c>
      <c r="D922" t="s">
        <v>403</v>
      </c>
      <c r="E922" t="s">
        <v>119</v>
      </c>
      <c r="F922" t="s">
        <v>120</v>
      </c>
      <c r="G922" t="s">
        <v>45</v>
      </c>
      <c r="H922" t="s">
        <v>33</v>
      </c>
      <c r="I922">
        <v>912.24</v>
      </c>
      <c r="J922">
        <v>3</v>
      </c>
      <c r="K922">
        <v>0.2</v>
      </c>
      <c r="L922">
        <v>68.400000000000006</v>
      </c>
      <c r="M922" t="s">
        <v>37</v>
      </c>
    </row>
    <row r="923" spans="1:13">
      <c r="A923" t="s">
        <v>1568</v>
      </c>
      <c r="B923" s="1">
        <v>41914</v>
      </c>
      <c r="C923" s="1">
        <v>41917</v>
      </c>
      <c r="D923" t="s">
        <v>1569</v>
      </c>
      <c r="E923" t="s">
        <v>211</v>
      </c>
      <c r="F923" t="s">
        <v>98</v>
      </c>
      <c r="G923" t="s">
        <v>17</v>
      </c>
      <c r="H923" t="s">
        <v>33</v>
      </c>
      <c r="I923">
        <v>947.22176000000002</v>
      </c>
      <c r="J923">
        <v>4</v>
      </c>
      <c r="K923">
        <v>2E-3</v>
      </c>
      <c r="L923">
        <v>377.70175999999998</v>
      </c>
      <c r="M923" t="s">
        <v>37</v>
      </c>
    </row>
    <row r="924" spans="1:13">
      <c r="A924" t="s">
        <v>1570</v>
      </c>
      <c r="B924" t="s">
        <v>125</v>
      </c>
      <c r="C924" s="1">
        <v>41261</v>
      </c>
      <c r="D924" t="s">
        <v>1571</v>
      </c>
      <c r="E924" t="s">
        <v>93</v>
      </c>
      <c r="F924" t="s">
        <v>94</v>
      </c>
      <c r="G924" t="s">
        <v>32</v>
      </c>
      <c r="H924" t="s">
        <v>73</v>
      </c>
      <c r="I924">
        <v>1983.0149999999901</v>
      </c>
      <c r="J924">
        <v>5</v>
      </c>
      <c r="K924">
        <v>0.1</v>
      </c>
      <c r="L924">
        <v>616.81500000000005</v>
      </c>
      <c r="M924" t="s">
        <v>37</v>
      </c>
    </row>
    <row r="925" spans="1:13">
      <c r="A925" t="s">
        <v>1572</v>
      </c>
      <c r="B925" s="1">
        <v>41572</v>
      </c>
      <c r="C925" s="1">
        <v>41576</v>
      </c>
      <c r="D925" t="s">
        <v>1554</v>
      </c>
      <c r="E925" t="s">
        <v>211</v>
      </c>
      <c r="F925" t="s">
        <v>98</v>
      </c>
      <c r="G925" t="s">
        <v>17</v>
      </c>
      <c r="H925" t="s">
        <v>33</v>
      </c>
      <c r="I925">
        <v>2146.6</v>
      </c>
      <c r="J925">
        <v>5</v>
      </c>
      <c r="K925">
        <v>0</v>
      </c>
      <c r="L925">
        <v>429.3</v>
      </c>
      <c r="M925" t="s">
        <v>19</v>
      </c>
    </row>
    <row r="926" spans="1:13">
      <c r="A926" t="s">
        <v>1573</v>
      </c>
      <c r="B926" s="1">
        <v>41688</v>
      </c>
      <c r="C926" s="1">
        <v>41695</v>
      </c>
      <c r="D926" t="s">
        <v>1574</v>
      </c>
      <c r="E926" t="s">
        <v>197</v>
      </c>
      <c r="F926" t="s">
        <v>77</v>
      </c>
      <c r="G926" t="s">
        <v>17</v>
      </c>
      <c r="H926" t="s">
        <v>151</v>
      </c>
      <c r="I926">
        <v>2879.82</v>
      </c>
      <c r="J926">
        <v>9</v>
      </c>
      <c r="K926">
        <v>0</v>
      </c>
      <c r="L926">
        <v>1295.73</v>
      </c>
      <c r="M926" t="s">
        <v>19</v>
      </c>
    </row>
    <row r="927" spans="1:13">
      <c r="A927" t="s">
        <v>1575</v>
      </c>
      <c r="B927" s="1">
        <v>42258</v>
      </c>
      <c r="C927" s="1">
        <v>42259</v>
      </c>
      <c r="D927" t="s">
        <v>1058</v>
      </c>
      <c r="E927" t="s">
        <v>70</v>
      </c>
      <c r="F927" t="s">
        <v>71</v>
      </c>
      <c r="G927" t="s">
        <v>32</v>
      </c>
      <c r="H927" t="s">
        <v>26</v>
      </c>
      <c r="I927">
        <v>1622.01</v>
      </c>
      <c r="J927">
        <v>5</v>
      </c>
      <c r="K927">
        <v>0.35</v>
      </c>
      <c r="L927">
        <v>-623.94000000000005</v>
      </c>
      <c r="M927" t="s">
        <v>37</v>
      </c>
    </row>
    <row r="928" spans="1:13">
      <c r="A928" t="s">
        <v>1576</v>
      </c>
      <c r="B928" s="1">
        <v>41927</v>
      </c>
      <c r="C928" s="1">
        <v>41931</v>
      </c>
      <c r="D928" t="s">
        <v>840</v>
      </c>
      <c r="F928" t="s">
        <v>71</v>
      </c>
      <c r="G928" t="s">
        <v>45</v>
      </c>
      <c r="H928" t="s">
        <v>33</v>
      </c>
      <c r="I928">
        <v>1503.68399999999</v>
      </c>
      <c r="J928">
        <v>6</v>
      </c>
      <c r="K928">
        <v>0.1</v>
      </c>
      <c r="L928">
        <v>284.003999999999</v>
      </c>
      <c r="M928" t="s">
        <v>37</v>
      </c>
    </row>
    <row r="929" spans="1:13">
      <c r="A929" t="s">
        <v>1529</v>
      </c>
      <c r="B929" s="1">
        <v>41615</v>
      </c>
      <c r="C929" s="1">
        <v>41617</v>
      </c>
      <c r="D929" t="s">
        <v>1207</v>
      </c>
      <c r="E929" t="s">
        <v>40</v>
      </c>
      <c r="F929" t="s">
        <v>111</v>
      </c>
      <c r="G929" t="s">
        <v>45</v>
      </c>
      <c r="H929" t="s">
        <v>44</v>
      </c>
      <c r="I929">
        <v>21.36</v>
      </c>
      <c r="J929">
        <v>5</v>
      </c>
      <c r="K929">
        <v>0.2</v>
      </c>
      <c r="L929">
        <v>7.2089999999999996</v>
      </c>
      <c r="M929" t="s">
        <v>19</v>
      </c>
    </row>
    <row r="930" spans="1:13">
      <c r="A930" t="s">
        <v>1577</v>
      </c>
      <c r="B930" s="1">
        <v>41928</v>
      </c>
      <c r="C930" s="1">
        <v>41930</v>
      </c>
      <c r="E930" t="s">
        <v>141</v>
      </c>
      <c r="F930" t="s">
        <v>142</v>
      </c>
      <c r="G930" t="s">
        <v>45</v>
      </c>
      <c r="H930" t="s">
        <v>73</v>
      </c>
      <c r="I930">
        <v>893.56139999999903</v>
      </c>
      <c r="J930">
        <v>2</v>
      </c>
      <c r="L930">
        <v>247.60140000000001</v>
      </c>
      <c r="M930" t="s">
        <v>27</v>
      </c>
    </row>
    <row r="931" spans="1:13">
      <c r="B931" s="1">
        <v>42074</v>
      </c>
      <c r="C931" s="1">
        <v>42077</v>
      </c>
      <c r="D931" t="s">
        <v>887</v>
      </c>
      <c r="E931" t="s">
        <v>570</v>
      </c>
      <c r="F931" t="s">
        <v>120</v>
      </c>
      <c r="G931" t="s">
        <v>32</v>
      </c>
      <c r="H931" t="s">
        <v>23</v>
      </c>
      <c r="I931">
        <v>1143.44</v>
      </c>
      <c r="J931">
        <v>2</v>
      </c>
      <c r="K931">
        <v>0</v>
      </c>
      <c r="L931">
        <v>320.16000000000003</v>
      </c>
      <c r="M931" t="s">
        <v>27</v>
      </c>
    </row>
    <row r="932" spans="1:13">
      <c r="A932" t="s">
        <v>1578</v>
      </c>
      <c r="B932" s="1">
        <v>42264</v>
      </c>
      <c r="C932" s="1">
        <v>42268</v>
      </c>
      <c r="D932" t="s">
        <v>563</v>
      </c>
      <c r="E932" t="s">
        <v>232</v>
      </c>
      <c r="F932" t="s">
        <v>233</v>
      </c>
      <c r="G932" t="s">
        <v>17</v>
      </c>
      <c r="H932" t="s">
        <v>73</v>
      </c>
      <c r="J932">
        <v>6</v>
      </c>
      <c r="K932">
        <v>0</v>
      </c>
      <c r="M932" t="s">
        <v>19</v>
      </c>
    </row>
    <row r="933" spans="1:13">
      <c r="A933" t="s">
        <v>1579</v>
      </c>
      <c r="B933" s="1">
        <v>41216</v>
      </c>
      <c r="C933" s="1">
        <v>41218</v>
      </c>
      <c r="D933" t="s">
        <v>199</v>
      </c>
      <c r="E933" t="s">
        <v>1580</v>
      </c>
      <c r="F933" t="s">
        <v>61</v>
      </c>
      <c r="G933" t="s">
        <v>45</v>
      </c>
      <c r="H933" t="s">
        <v>44</v>
      </c>
      <c r="I933">
        <v>1401.84</v>
      </c>
      <c r="J933">
        <v>4</v>
      </c>
      <c r="K933">
        <v>0</v>
      </c>
      <c r="L933">
        <v>126.16</v>
      </c>
      <c r="M933" t="s">
        <v>37</v>
      </c>
    </row>
    <row r="934" spans="1:13">
      <c r="A934" t="s">
        <v>1581</v>
      </c>
      <c r="B934" s="1">
        <v>42276</v>
      </c>
      <c r="C934" s="1">
        <v>42283</v>
      </c>
      <c r="D934" t="s">
        <v>447</v>
      </c>
      <c r="E934" t="s">
        <v>22</v>
      </c>
      <c r="F934" t="s">
        <v>71</v>
      </c>
      <c r="G934" t="s">
        <v>17</v>
      </c>
      <c r="H934" t="s">
        <v>33</v>
      </c>
      <c r="I934">
        <v>2088.2399999999998</v>
      </c>
      <c r="J934">
        <v>8</v>
      </c>
      <c r="K934">
        <v>0</v>
      </c>
      <c r="L934">
        <v>83.52</v>
      </c>
      <c r="M934" t="s">
        <v>74</v>
      </c>
    </row>
    <row r="935" spans="1:13">
      <c r="A935" t="s">
        <v>1582</v>
      </c>
      <c r="B935" s="1">
        <v>42194</v>
      </c>
      <c r="C935" s="1">
        <v>42198</v>
      </c>
      <c r="D935" t="s">
        <v>1583</v>
      </c>
      <c r="E935" t="s">
        <v>114</v>
      </c>
      <c r="F935" t="s">
        <v>169</v>
      </c>
      <c r="G935" t="s">
        <v>32</v>
      </c>
      <c r="H935" t="s">
        <v>73</v>
      </c>
      <c r="I935">
        <v>2194.5300000000002</v>
      </c>
      <c r="J935">
        <v>13</v>
      </c>
      <c r="K935">
        <v>0</v>
      </c>
      <c r="L935">
        <v>438.75</v>
      </c>
      <c r="M935" t="s">
        <v>37</v>
      </c>
    </row>
    <row r="936" spans="1:13">
      <c r="A936" t="s">
        <v>1584</v>
      </c>
      <c r="B936" s="1">
        <v>41352</v>
      </c>
      <c r="C936" s="1">
        <v>41352</v>
      </c>
      <c r="D936" t="s">
        <v>961</v>
      </c>
      <c r="E936" t="s">
        <v>22</v>
      </c>
      <c r="F936" t="s">
        <v>71</v>
      </c>
      <c r="G936" t="s">
        <v>45</v>
      </c>
      <c r="H936" t="s">
        <v>127</v>
      </c>
      <c r="I936">
        <v>1527.12</v>
      </c>
      <c r="J936">
        <v>8</v>
      </c>
      <c r="K936">
        <v>0.1</v>
      </c>
      <c r="M936" t="s">
        <v>37</v>
      </c>
    </row>
    <row r="937" spans="1:13">
      <c r="A937" t="s">
        <v>1585</v>
      </c>
      <c r="B937" s="1">
        <v>41803</v>
      </c>
      <c r="C937" s="1">
        <v>41805</v>
      </c>
      <c r="D937" t="s">
        <v>871</v>
      </c>
      <c r="E937" t="s">
        <v>554</v>
      </c>
      <c r="F937" t="s">
        <v>90</v>
      </c>
      <c r="G937" t="s">
        <v>45</v>
      </c>
      <c r="H937" t="s">
        <v>151</v>
      </c>
      <c r="J937">
        <v>7</v>
      </c>
      <c r="K937">
        <v>0.5</v>
      </c>
      <c r="L937">
        <v>-486.46499999999997</v>
      </c>
      <c r="M937" t="s">
        <v>27</v>
      </c>
    </row>
    <row r="938" spans="1:13">
      <c r="A938" t="s">
        <v>189</v>
      </c>
      <c r="B938" s="1">
        <v>41882</v>
      </c>
      <c r="C938" s="1">
        <v>41885</v>
      </c>
      <c r="D938" t="s">
        <v>190</v>
      </c>
      <c r="E938" t="s">
        <v>22</v>
      </c>
      <c r="F938" t="s">
        <v>71</v>
      </c>
      <c r="G938" t="s">
        <v>17</v>
      </c>
      <c r="H938" t="s">
        <v>299</v>
      </c>
      <c r="I938">
        <v>794.7</v>
      </c>
      <c r="J938">
        <v>3</v>
      </c>
      <c r="K938">
        <v>0</v>
      </c>
      <c r="L938">
        <v>174.78</v>
      </c>
      <c r="M938" t="s">
        <v>27</v>
      </c>
    </row>
    <row r="939" spans="1:13">
      <c r="A939" t="s">
        <v>1586</v>
      </c>
      <c r="B939" s="1">
        <v>41783</v>
      </c>
      <c r="C939" s="1">
        <v>41787</v>
      </c>
      <c r="D939" t="s">
        <v>301</v>
      </c>
      <c r="E939" t="s">
        <v>689</v>
      </c>
      <c r="F939" t="s">
        <v>142</v>
      </c>
      <c r="G939" t="s">
        <v>32</v>
      </c>
      <c r="H939" t="s">
        <v>73</v>
      </c>
      <c r="I939">
        <v>2761.2</v>
      </c>
      <c r="J939">
        <v>6</v>
      </c>
      <c r="K939">
        <v>0</v>
      </c>
      <c r="L939">
        <v>110.34</v>
      </c>
      <c r="M939" t="s">
        <v>19</v>
      </c>
    </row>
    <row r="940" spans="1:13">
      <c r="A940" t="s">
        <v>1587</v>
      </c>
      <c r="B940" s="1">
        <v>41088</v>
      </c>
      <c r="C940" s="1">
        <v>41093</v>
      </c>
      <c r="D940" t="s">
        <v>1588</v>
      </c>
      <c r="E940" t="s">
        <v>464</v>
      </c>
      <c r="F940" t="s">
        <v>87</v>
      </c>
      <c r="G940" t="s">
        <v>32</v>
      </c>
      <c r="H940" t="s">
        <v>127</v>
      </c>
      <c r="J940">
        <v>8</v>
      </c>
      <c r="K940">
        <v>0</v>
      </c>
      <c r="L940">
        <v>1622.88</v>
      </c>
      <c r="M940" t="s">
        <v>19</v>
      </c>
    </row>
    <row r="941" spans="1:13">
      <c r="A941" t="s">
        <v>1589</v>
      </c>
      <c r="B941" s="1">
        <v>41256</v>
      </c>
      <c r="E941" t="s">
        <v>97</v>
      </c>
      <c r="F941" t="s">
        <v>98</v>
      </c>
      <c r="G941" t="s">
        <v>32</v>
      </c>
      <c r="H941" t="s">
        <v>23</v>
      </c>
      <c r="I941">
        <v>825.79200000000003</v>
      </c>
      <c r="J941">
        <v>4</v>
      </c>
      <c r="K941">
        <v>0.2</v>
      </c>
      <c r="L941">
        <v>41.231999999999999</v>
      </c>
      <c r="M941" t="s">
        <v>27</v>
      </c>
    </row>
    <row r="942" spans="1:13">
      <c r="A942" t="s">
        <v>1556</v>
      </c>
      <c r="B942" s="1">
        <v>41241</v>
      </c>
      <c r="C942" s="1">
        <v>41248</v>
      </c>
      <c r="D942" t="s">
        <v>1207</v>
      </c>
      <c r="E942" t="s">
        <v>40</v>
      </c>
      <c r="F942" t="s">
        <v>43</v>
      </c>
      <c r="G942" t="s">
        <v>45</v>
      </c>
      <c r="H942" t="s">
        <v>151</v>
      </c>
      <c r="I942">
        <v>30.4</v>
      </c>
      <c r="J942">
        <v>5</v>
      </c>
      <c r="K942" t="s">
        <v>226</v>
      </c>
      <c r="L942">
        <v>15.2</v>
      </c>
      <c r="M942" t="s">
        <v>19</v>
      </c>
    </row>
    <row r="943" spans="1:13">
      <c r="B943" s="1">
        <v>41863</v>
      </c>
      <c r="C943" s="1">
        <v>41868</v>
      </c>
      <c r="D943" t="s">
        <v>1246</v>
      </c>
      <c r="E943" t="s">
        <v>114</v>
      </c>
      <c r="F943" t="s">
        <v>115</v>
      </c>
      <c r="G943" t="s">
        <v>17</v>
      </c>
      <c r="H943" t="s">
        <v>151</v>
      </c>
      <c r="I943">
        <v>3180.3</v>
      </c>
      <c r="J943">
        <v>5</v>
      </c>
      <c r="K943">
        <v>0</v>
      </c>
      <c r="L943">
        <v>381.6</v>
      </c>
      <c r="M943" t="s">
        <v>19</v>
      </c>
    </row>
    <row r="944" spans="1:13">
      <c r="A944" t="s">
        <v>1590</v>
      </c>
      <c r="B944" s="1">
        <v>41527</v>
      </c>
      <c r="C944" s="1">
        <v>41529</v>
      </c>
      <c r="D944" t="s">
        <v>1591</v>
      </c>
      <c r="E944" t="s">
        <v>66</v>
      </c>
      <c r="F944" t="s">
        <v>90</v>
      </c>
      <c r="G944" t="s">
        <v>32</v>
      </c>
      <c r="H944" t="s">
        <v>46</v>
      </c>
      <c r="I944">
        <v>1859.99999999999</v>
      </c>
      <c r="J944">
        <v>4</v>
      </c>
      <c r="K944">
        <v>0</v>
      </c>
      <c r="L944">
        <v>316.2</v>
      </c>
      <c r="M944" t="s">
        <v>37</v>
      </c>
    </row>
    <row r="945" spans="1:13">
      <c r="A945" t="s">
        <v>1592</v>
      </c>
      <c r="B945" s="1">
        <v>41801</v>
      </c>
      <c r="C945" s="1">
        <v>41807</v>
      </c>
      <c r="D945" t="s">
        <v>188</v>
      </c>
      <c r="F945" t="s">
        <v>115</v>
      </c>
      <c r="G945" t="s">
        <v>17</v>
      </c>
      <c r="H945" t="s">
        <v>26</v>
      </c>
      <c r="I945">
        <v>2582.16</v>
      </c>
      <c r="J945">
        <v>4</v>
      </c>
      <c r="L945">
        <v>361.44</v>
      </c>
      <c r="M945" t="s">
        <v>19</v>
      </c>
    </row>
    <row r="946" spans="1:13">
      <c r="A946" t="s">
        <v>1593</v>
      </c>
      <c r="B946" s="1">
        <v>41936</v>
      </c>
      <c r="C946" s="1">
        <v>41936</v>
      </c>
      <c r="D946" t="s">
        <v>405</v>
      </c>
      <c r="E946" t="s">
        <v>689</v>
      </c>
      <c r="F946" t="s">
        <v>142</v>
      </c>
      <c r="G946" t="s">
        <v>17</v>
      </c>
      <c r="H946" t="s">
        <v>23</v>
      </c>
      <c r="I946">
        <v>881.1</v>
      </c>
      <c r="J946">
        <v>5</v>
      </c>
      <c r="K946">
        <v>0</v>
      </c>
      <c r="L946">
        <v>184.95</v>
      </c>
      <c r="M946" t="s">
        <v>37</v>
      </c>
    </row>
    <row r="947" spans="1:13">
      <c r="A947" t="s">
        <v>1594</v>
      </c>
      <c r="B947" s="1">
        <v>41801</v>
      </c>
      <c r="C947" s="1">
        <v>41805</v>
      </c>
      <c r="D947" t="s">
        <v>1023</v>
      </c>
      <c r="E947" t="s">
        <v>70</v>
      </c>
      <c r="F947" t="s">
        <v>107</v>
      </c>
      <c r="G947" t="s">
        <v>17</v>
      </c>
      <c r="H947" t="s">
        <v>26</v>
      </c>
      <c r="I947" t="s">
        <v>1595</v>
      </c>
      <c r="J947">
        <v>3</v>
      </c>
      <c r="K947">
        <v>0.15</v>
      </c>
      <c r="L947">
        <v>324.38249999999903</v>
      </c>
      <c r="M947" t="s">
        <v>37</v>
      </c>
    </row>
    <row r="948" spans="1:13">
      <c r="A948" t="s">
        <v>217</v>
      </c>
      <c r="B948" s="1">
        <v>41537</v>
      </c>
      <c r="C948" s="1">
        <v>41539</v>
      </c>
      <c r="D948" t="s">
        <v>218</v>
      </c>
      <c r="E948" t="s">
        <v>93</v>
      </c>
      <c r="F948" t="s">
        <v>94</v>
      </c>
      <c r="G948" t="s">
        <v>17</v>
      </c>
      <c r="H948" t="s">
        <v>26</v>
      </c>
      <c r="I948">
        <v>1677.1859999999999</v>
      </c>
      <c r="J948">
        <v>6</v>
      </c>
      <c r="K948">
        <v>0.1</v>
      </c>
      <c r="L948">
        <v>521.76599999999996</v>
      </c>
      <c r="M948" t="s">
        <v>37</v>
      </c>
    </row>
    <row r="949" spans="1:13">
      <c r="A949" t="s">
        <v>1596</v>
      </c>
      <c r="B949" s="1">
        <v>42139</v>
      </c>
      <c r="C949" s="1">
        <v>42141</v>
      </c>
      <c r="D949" t="s">
        <v>1597</v>
      </c>
      <c r="E949" t="s">
        <v>554</v>
      </c>
      <c r="F949" t="s">
        <v>90</v>
      </c>
      <c r="G949" t="s">
        <v>17</v>
      </c>
      <c r="H949" t="s">
        <v>26</v>
      </c>
      <c r="I949">
        <v>1001.88</v>
      </c>
      <c r="K949">
        <v>0</v>
      </c>
      <c r="L949">
        <v>230.4</v>
      </c>
      <c r="M949" t="s">
        <v>27</v>
      </c>
    </row>
    <row r="950" spans="1:13">
      <c r="A950" t="s">
        <v>1598</v>
      </c>
      <c r="B950" s="1">
        <v>41690</v>
      </c>
      <c r="C950" s="1">
        <v>41697</v>
      </c>
      <c r="D950" t="s">
        <v>1207</v>
      </c>
      <c r="E950" t="s">
        <v>40</v>
      </c>
      <c r="F950" t="s">
        <v>153</v>
      </c>
      <c r="G950" t="s">
        <v>45</v>
      </c>
      <c r="H950" t="s">
        <v>127</v>
      </c>
      <c r="I950">
        <v>16.495999999999999</v>
      </c>
      <c r="J950">
        <v>2</v>
      </c>
      <c r="K950">
        <v>0.2</v>
      </c>
      <c r="L950">
        <v>5.5673999999999904</v>
      </c>
      <c r="M950" t="s">
        <v>19</v>
      </c>
    </row>
    <row r="951" spans="1:13">
      <c r="A951" t="s">
        <v>1599</v>
      </c>
      <c r="B951" s="1">
        <v>41252</v>
      </c>
      <c r="C951" s="1">
        <v>41255</v>
      </c>
      <c r="E951" t="s">
        <v>93</v>
      </c>
      <c r="F951" t="s">
        <v>94</v>
      </c>
      <c r="G951" t="s">
        <v>45</v>
      </c>
      <c r="H951" t="s">
        <v>26</v>
      </c>
      <c r="J951">
        <v>2</v>
      </c>
      <c r="K951">
        <v>0.1</v>
      </c>
      <c r="L951">
        <v>-5.4000000000001998E-2</v>
      </c>
      <c r="M951" t="s">
        <v>408</v>
      </c>
    </row>
    <row r="952" spans="1:13">
      <c r="A952" t="s">
        <v>1600</v>
      </c>
      <c r="B952" s="1">
        <v>41930</v>
      </c>
      <c r="C952" s="1">
        <v>41934</v>
      </c>
      <c r="D952" t="s">
        <v>539</v>
      </c>
      <c r="E952" t="s">
        <v>101</v>
      </c>
      <c r="F952" t="s">
        <v>98</v>
      </c>
      <c r="G952" t="s">
        <v>17</v>
      </c>
      <c r="H952" t="s">
        <v>127</v>
      </c>
      <c r="I952">
        <v>2120.8000000000002</v>
      </c>
      <c r="J952">
        <v>5</v>
      </c>
      <c r="K952">
        <v>0</v>
      </c>
      <c r="L952">
        <v>275.7</v>
      </c>
      <c r="M952" t="s">
        <v>37</v>
      </c>
    </row>
    <row r="953" spans="1:13">
      <c r="A953" t="s">
        <v>1601</v>
      </c>
      <c r="B953" s="1">
        <v>41972</v>
      </c>
      <c r="C953" s="1">
        <v>41977</v>
      </c>
      <c r="D953" t="s">
        <v>728</v>
      </c>
      <c r="E953" t="s">
        <v>168</v>
      </c>
      <c r="F953" t="s">
        <v>1602</v>
      </c>
      <c r="G953" t="s">
        <v>17</v>
      </c>
      <c r="H953" t="s">
        <v>73</v>
      </c>
      <c r="I953">
        <v>1531.2</v>
      </c>
      <c r="J953">
        <v>10</v>
      </c>
      <c r="K953">
        <v>0</v>
      </c>
      <c r="L953">
        <v>45.9</v>
      </c>
      <c r="M953" t="s">
        <v>37</v>
      </c>
    </row>
    <row r="954" spans="1:13">
      <c r="A954" t="s">
        <v>1154</v>
      </c>
      <c r="C954" s="1">
        <v>42366</v>
      </c>
      <c r="D954" t="s">
        <v>1155</v>
      </c>
      <c r="E954" t="s">
        <v>1603</v>
      </c>
      <c r="F954" t="s">
        <v>56</v>
      </c>
      <c r="G954" t="s">
        <v>17</v>
      </c>
      <c r="H954" t="s">
        <v>26</v>
      </c>
      <c r="I954">
        <v>1572.84</v>
      </c>
      <c r="J954">
        <v>6</v>
      </c>
      <c r="K954">
        <v>0</v>
      </c>
      <c r="L954">
        <v>141.47999999999999</v>
      </c>
      <c r="M954" t="s">
        <v>37</v>
      </c>
    </row>
    <row r="955" spans="1:13">
      <c r="A955" t="s">
        <v>1604</v>
      </c>
      <c r="B955" s="1">
        <v>41310</v>
      </c>
      <c r="C955" s="1">
        <v>41315</v>
      </c>
      <c r="D955" t="s">
        <v>1605</v>
      </c>
      <c r="E955" t="s">
        <v>114</v>
      </c>
      <c r="F955" t="s">
        <v>115</v>
      </c>
      <c r="G955" t="s">
        <v>32</v>
      </c>
      <c r="H955" t="s">
        <v>26</v>
      </c>
      <c r="I955">
        <v>1236.33</v>
      </c>
      <c r="J955">
        <v>3</v>
      </c>
      <c r="K955" t="s">
        <v>226</v>
      </c>
      <c r="L955">
        <v>519.21</v>
      </c>
      <c r="M955" t="s">
        <v>37</v>
      </c>
    </row>
    <row r="956" spans="1:13">
      <c r="A956" t="s">
        <v>1529</v>
      </c>
      <c r="B956" s="1">
        <v>41615</v>
      </c>
      <c r="C956" s="1">
        <v>41617</v>
      </c>
      <c r="D956" t="s">
        <v>1207</v>
      </c>
      <c r="E956" t="s">
        <v>40</v>
      </c>
      <c r="F956" t="s">
        <v>111</v>
      </c>
      <c r="G956" t="s">
        <v>45</v>
      </c>
      <c r="H956" t="s">
        <v>33</v>
      </c>
      <c r="I956">
        <v>6.6879999999999997</v>
      </c>
      <c r="J956">
        <v>2</v>
      </c>
      <c r="K956">
        <v>0.2</v>
      </c>
      <c r="L956">
        <v>2.34079999999999</v>
      </c>
      <c r="M956" t="s">
        <v>19</v>
      </c>
    </row>
    <row r="957" spans="1:13">
      <c r="A957" t="s">
        <v>156</v>
      </c>
      <c r="B957" s="1">
        <v>42244</v>
      </c>
      <c r="C957" s="1">
        <v>42245</v>
      </c>
      <c r="D957" t="s">
        <v>157</v>
      </c>
      <c r="E957" t="s">
        <v>66</v>
      </c>
      <c r="F957" t="s">
        <v>67</v>
      </c>
      <c r="G957" t="s">
        <v>17</v>
      </c>
      <c r="H957" t="s">
        <v>151</v>
      </c>
      <c r="I957">
        <v>759.66</v>
      </c>
      <c r="J957">
        <v>2</v>
      </c>
      <c r="K957">
        <v>0</v>
      </c>
      <c r="L957">
        <v>311.45999999999998</v>
      </c>
      <c r="M957" t="s">
        <v>37</v>
      </c>
    </row>
    <row r="958" spans="1:13">
      <c r="A958" t="s">
        <v>1606</v>
      </c>
      <c r="B958" s="1">
        <v>41679</v>
      </c>
      <c r="C958" s="1">
        <v>41685</v>
      </c>
      <c r="D958" t="s">
        <v>317</v>
      </c>
      <c r="E958" t="s">
        <v>15</v>
      </c>
      <c r="F958" t="s">
        <v>16</v>
      </c>
      <c r="G958" t="s">
        <v>32</v>
      </c>
      <c r="H958" t="s">
        <v>26</v>
      </c>
      <c r="I958">
        <v>2951.991</v>
      </c>
      <c r="J958">
        <v>9</v>
      </c>
      <c r="K958">
        <v>0.3</v>
      </c>
      <c r="L958">
        <v>-632.79899999999895</v>
      </c>
      <c r="M958" t="s">
        <v>19</v>
      </c>
    </row>
    <row r="959" spans="1:13">
      <c r="A959" t="s">
        <v>1561</v>
      </c>
      <c r="B959" s="1">
        <v>42072</v>
      </c>
      <c r="C959" s="1">
        <v>42079</v>
      </c>
      <c r="D959" t="s">
        <v>1207</v>
      </c>
      <c r="E959" t="s">
        <v>40</v>
      </c>
      <c r="F959" t="s">
        <v>43</v>
      </c>
      <c r="G959" t="s">
        <v>45</v>
      </c>
      <c r="H959" t="s">
        <v>33</v>
      </c>
      <c r="I959">
        <v>3.36</v>
      </c>
      <c r="J959">
        <v>2</v>
      </c>
      <c r="K959">
        <v>0</v>
      </c>
      <c r="L959">
        <v>0.87360000000000004</v>
      </c>
      <c r="M959" t="s">
        <v>19</v>
      </c>
    </row>
    <row r="960" spans="1:13">
      <c r="A960" t="s">
        <v>1607</v>
      </c>
      <c r="B960" s="1">
        <v>41040</v>
      </c>
      <c r="C960" s="1">
        <v>41042</v>
      </c>
      <c r="D960" t="s">
        <v>338</v>
      </c>
      <c r="E960" t="s">
        <v>70</v>
      </c>
      <c r="F960" t="s">
        <v>71</v>
      </c>
      <c r="G960" t="s">
        <v>32</v>
      </c>
      <c r="H960" t="s">
        <v>44</v>
      </c>
      <c r="I960">
        <v>627.27599999999995</v>
      </c>
      <c r="J960">
        <v>2</v>
      </c>
      <c r="K960">
        <v>0.35</v>
      </c>
      <c r="L960">
        <v>-135.14399999999901</v>
      </c>
      <c r="M960" t="s">
        <v>27</v>
      </c>
    </row>
    <row r="961" spans="1:13">
      <c r="A961" t="s">
        <v>1608</v>
      </c>
      <c r="B961" s="1">
        <v>41199</v>
      </c>
      <c r="C961" s="1">
        <v>41201</v>
      </c>
      <c r="D961" t="s">
        <v>1609</v>
      </c>
      <c r="E961" t="s">
        <v>334</v>
      </c>
      <c r="F961" t="s">
        <v>153</v>
      </c>
      <c r="G961" t="s">
        <v>17</v>
      </c>
      <c r="H961" t="s">
        <v>23</v>
      </c>
      <c r="I961">
        <v>1394.95</v>
      </c>
      <c r="J961">
        <v>5</v>
      </c>
      <c r="K961">
        <v>0</v>
      </c>
      <c r="M961" t="s">
        <v>19</v>
      </c>
    </row>
    <row r="962" spans="1:13">
      <c r="A962" t="s">
        <v>1610</v>
      </c>
      <c r="B962" s="1">
        <v>41863</v>
      </c>
      <c r="C962" s="1">
        <v>41865</v>
      </c>
      <c r="D962" t="s">
        <v>1611</v>
      </c>
      <c r="E962" t="s">
        <v>905</v>
      </c>
      <c r="F962" t="s">
        <v>77</v>
      </c>
      <c r="G962" t="s">
        <v>17</v>
      </c>
      <c r="H962" t="s">
        <v>44</v>
      </c>
      <c r="I962">
        <v>553.91999999999996</v>
      </c>
      <c r="J962">
        <v>4</v>
      </c>
      <c r="K962" t="s">
        <v>226</v>
      </c>
      <c r="L962">
        <v>22.08</v>
      </c>
      <c r="M962" t="s">
        <v>27</v>
      </c>
    </row>
    <row r="963" spans="1:13">
      <c r="A963" t="s">
        <v>1612</v>
      </c>
      <c r="B963" s="1">
        <v>42179</v>
      </c>
      <c r="C963" s="1">
        <v>42185</v>
      </c>
      <c r="D963" t="s">
        <v>628</v>
      </c>
      <c r="E963" t="s">
        <v>22</v>
      </c>
      <c r="F963" t="s">
        <v>71</v>
      </c>
      <c r="G963" t="s">
        <v>17</v>
      </c>
      <c r="H963" t="s">
        <v>1613</v>
      </c>
      <c r="I963">
        <v>3873.24</v>
      </c>
      <c r="J963">
        <v>6</v>
      </c>
      <c r="K963">
        <v>0</v>
      </c>
      <c r="L963">
        <v>890.81999999999903</v>
      </c>
      <c r="M963" t="s">
        <v>19</v>
      </c>
    </row>
    <row r="964" spans="1:13">
      <c r="A964" t="s">
        <v>1614</v>
      </c>
      <c r="B964" s="1">
        <v>42035</v>
      </c>
      <c r="C964" s="1">
        <v>42036</v>
      </c>
      <c r="D964" t="s">
        <v>118</v>
      </c>
      <c r="E964" t="s">
        <v>66</v>
      </c>
      <c r="F964" t="s">
        <v>90</v>
      </c>
      <c r="G964" t="s">
        <v>17</v>
      </c>
      <c r="H964" t="s">
        <v>26</v>
      </c>
      <c r="I964">
        <v>791.19</v>
      </c>
      <c r="J964">
        <v>3</v>
      </c>
      <c r="K964">
        <v>0</v>
      </c>
      <c r="L964">
        <v>126.539999999999</v>
      </c>
      <c r="M964" t="s">
        <v>27</v>
      </c>
    </row>
    <row r="965" spans="1:13">
      <c r="A965" t="s">
        <v>1615</v>
      </c>
      <c r="B965" s="1">
        <v>42150</v>
      </c>
      <c r="C965" s="1">
        <v>42154</v>
      </c>
      <c r="E965" t="s">
        <v>66</v>
      </c>
      <c r="F965" t="s">
        <v>90</v>
      </c>
      <c r="G965" t="s">
        <v>32</v>
      </c>
      <c r="H965" t="s">
        <v>26</v>
      </c>
      <c r="I965">
        <v>2470.5</v>
      </c>
      <c r="J965">
        <v>6</v>
      </c>
      <c r="K965">
        <v>0</v>
      </c>
      <c r="L965">
        <v>518.76</v>
      </c>
      <c r="M965" t="s">
        <v>19</v>
      </c>
    </row>
    <row r="966" spans="1:13">
      <c r="A966" t="s">
        <v>1616</v>
      </c>
      <c r="B966" s="1">
        <v>41207</v>
      </c>
      <c r="C966" s="1">
        <v>41209</v>
      </c>
      <c r="D966" t="s">
        <v>1435</v>
      </c>
      <c r="E966" t="s">
        <v>97</v>
      </c>
      <c r="F966" t="s">
        <v>98</v>
      </c>
      <c r="G966" t="s">
        <v>17</v>
      </c>
      <c r="H966" t="s">
        <v>33</v>
      </c>
      <c r="I966">
        <v>2120.6999999999998</v>
      </c>
      <c r="K966">
        <v>0</v>
      </c>
      <c r="L966">
        <v>63.6</v>
      </c>
      <c r="M966" t="s">
        <v>37</v>
      </c>
    </row>
    <row r="967" spans="1:13">
      <c r="A967" t="s">
        <v>1617</v>
      </c>
      <c r="B967" s="1">
        <v>42032</v>
      </c>
      <c r="C967" s="1">
        <v>42034</v>
      </c>
      <c r="D967" t="s">
        <v>1618</v>
      </c>
      <c r="E967" t="s">
        <v>601</v>
      </c>
      <c r="F967" t="s">
        <v>16</v>
      </c>
      <c r="G967" t="s">
        <v>32</v>
      </c>
      <c r="H967" t="s">
        <v>151</v>
      </c>
      <c r="I967" t="s">
        <v>1619</v>
      </c>
      <c r="J967">
        <v>6</v>
      </c>
      <c r="K967">
        <v>0</v>
      </c>
      <c r="L967">
        <v>15.12</v>
      </c>
      <c r="M967" t="s">
        <v>27</v>
      </c>
    </row>
    <row r="968" spans="1:13">
      <c r="A968" t="s">
        <v>1620</v>
      </c>
      <c r="B968" s="1">
        <v>41781</v>
      </c>
      <c r="C968" s="1">
        <v>41783</v>
      </c>
      <c r="E968" t="s">
        <v>66</v>
      </c>
      <c r="F968" t="s">
        <v>90</v>
      </c>
      <c r="G968" t="s">
        <v>45</v>
      </c>
      <c r="H968" t="s">
        <v>26</v>
      </c>
      <c r="I968">
        <v>1581.03</v>
      </c>
      <c r="J968">
        <v>3</v>
      </c>
      <c r="K968">
        <v>0</v>
      </c>
      <c r="L968">
        <v>790.47</v>
      </c>
      <c r="M968" t="s">
        <v>27</v>
      </c>
    </row>
    <row r="969" spans="1:13">
      <c r="A969" t="s">
        <v>1621</v>
      </c>
      <c r="B969" s="1">
        <v>41132</v>
      </c>
      <c r="C969" s="1">
        <v>41135</v>
      </c>
      <c r="D969" t="s">
        <v>1622</v>
      </c>
      <c r="E969" t="s">
        <v>742</v>
      </c>
      <c r="F969" t="s">
        <v>142</v>
      </c>
      <c r="G969" t="s">
        <v>17</v>
      </c>
      <c r="H969" t="s">
        <v>151</v>
      </c>
      <c r="I969">
        <v>1161.1971000000001</v>
      </c>
      <c r="J969">
        <v>7</v>
      </c>
      <c r="K969">
        <v>0.37</v>
      </c>
      <c r="L969">
        <v>-147.52289999999999</v>
      </c>
      <c r="M969" t="s">
        <v>37</v>
      </c>
    </row>
    <row r="970" spans="1:13">
      <c r="A970" t="s">
        <v>1623</v>
      </c>
      <c r="B970" s="1">
        <v>41031</v>
      </c>
      <c r="C970" s="1">
        <v>41033</v>
      </c>
      <c r="D970" t="s">
        <v>1624</v>
      </c>
      <c r="E970" t="s">
        <v>83</v>
      </c>
      <c r="F970" t="s">
        <v>84</v>
      </c>
      <c r="G970" t="s">
        <v>17</v>
      </c>
      <c r="H970" t="s">
        <v>73</v>
      </c>
      <c r="I970">
        <v>642.719999999999</v>
      </c>
      <c r="J970">
        <v>2</v>
      </c>
      <c r="K970">
        <v>0</v>
      </c>
      <c r="L970">
        <v>224.94</v>
      </c>
      <c r="M970" t="s">
        <v>27</v>
      </c>
    </row>
    <row r="971" spans="1:13">
      <c r="A971" t="s">
        <v>1625</v>
      </c>
      <c r="B971" s="1">
        <v>41877</v>
      </c>
      <c r="C971" s="1">
        <v>41878</v>
      </c>
      <c r="D971" t="s">
        <v>1626</v>
      </c>
      <c r="E971" t="s">
        <v>97</v>
      </c>
      <c r="F971" t="s">
        <v>98</v>
      </c>
      <c r="G971" t="s">
        <v>17</v>
      </c>
      <c r="H971" t="s">
        <v>33</v>
      </c>
      <c r="I971">
        <v>1308.48</v>
      </c>
      <c r="J971">
        <v>3</v>
      </c>
      <c r="K971">
        <v>0</v>
      </c>
      <c r="L971">
        <v>13.08</v>
      </c>
      <c r="M971" t="s">
        <v>785</v>
      </c>
    </row>
    <row r="972" spans="1:13">
      <c r="A972" t="s">
        <v>1627</v>
      </c>
      <c r="B972" s="1">
        <v>41284</v>
      </c>
      <c r="C972" s="1">
        <v>41554</v>
      </c>
      <c r="D972" t="s">
        <v>632</v>
      </c>
      <c r="E972" t="s">
        <v>114</v>
      </c>
      <c r="F972" t="s">
        <v>115</v>
      </c>
      <c r="G972" t="s">
        <v>32</v>
      </c>
      <c r="H972" t="s">
        <v>33</v>
      </c>
      <c r="I972">
        <v>3547.44</v>
      </c>
      <c r="J972">
        <v>8</v>
      </c>
      <c r="K972">
        <v>0</v>
      </c>
      <c r="L972">
        <v>780.24</v>
      </c>
      <c r="M972" t="s">
        <v>19</v>
      </c>
    </row>
    <row r="973" spans="1:13">
      <c r="A973" t="s">
        <v>1628</v>
      </c>
      <c r="B973" s="1">
        <v>41815</v>
      </c>
      <c r="C973" s="1">
        <v>41816</v>
      </c>
      <c r="D973" t="s">
        <v>1064</v>
      </c>
      <c r="E973" t="s">
        <v>66</v>
      </c>
      <c r="F973" t="s">
        <v>90</v>
      </c>
      <c r="G973" t="s">
        <v>32</v>
      </c>
      <c r="H973" t="s">
        <v>26</v>
      </c>
      <c r="I973">
        <v>724.8</v>
      </c>
      <c r="K973">
        <v>0</v>
      </c>
      <c r="L973" t="s">
        <v>1629</v>
      </c>
      <c r="M973" t="s">
        <v>37</v>
      </c>
    </row>
    <row r="974" spans="1:13">
      <c r="A974" t="s">
        <v>1630</v>
      </c>
      <c r="B974" s="1">
        <v>42265</v>
      </c>
      <c r="C974" s="1">
        <v>42269</v>
      </c>
      <c r="D974" t="s">
        <v>207</v>
      </c>
      <c r="F974" t="s">
        <v>245</v>
      </c>
      <c r="G974" t="s">
        <v>32</v>
      </c>
      <c r="H974" t="s">
        <v>44</v>
      </c>
      <c r="I974">
        <v>1292.94</v>
      </c>
      <c r="J974">
        <v>3</v>
      </c>
      <c r="K974">
        <v>0</v>
      </c>
      <c r="L974">
        <v>77.576399999999893</v>
      </c>
      <c r="M974" t="s">
        <v>19</v>
      </c>
    </row>
    <row r="975" spans="1:13">
      <c r="A975" t="s">
        <v>1631</v>
      </c>
      <c r="B975" s="1">
        <v>42115</v>
      </c>
      <c r="C975" s="1">
        <v>42118</v>
      </c>
      <c r="E975" t="s">
        <v>1632</v>
      </c>
      <c r="F975" t="s">
        <v>61</v>
      </c>
      <c r="G975" t="s">
        <v>32</v>
      </c>
      <c r="H975" t="s">
        <v>151</v>
      </c>
      <c r="I975">
        <v>803.52</v>
      </c>
      <c r="J975">
        <v>9</v>
      </c>
      <c r="K975">
        <v>0</v>
      </c>
      <c r="L975">
        <v>80.28</v>
      </c>
      <c r="M975" t="s">
        <v>37</v>
      </c>
    </row>
    <row r="976" spans="1:13">
      <c r="A976" t="s">
        <v>1608</v>
      </c>
      <c r="B976" s="1">
        <v>41199</v>
      </c>
      <c r="C976" s="1">
        <v>41201</v>
      </c>
      <c r="E976" t="s">
        <v>40</v>
      </c>
      <c r="F976" t="s">
        <v>153</v>
      </c>
      <c r="G976" t="s">
        <v>45</v>
      </c>
      <c r="H976" t="s">
        <v>23</v>
      </c>
      <c r="I976">
        <v>275.969999999999</v>
      </c>
      <c r="J976">
        <v>3</v>
      </c>
      <c r="K976">
        <v>0</v>
      </c>
      <c r="L976">
        <v>11.038799999999901</v>
      </c>
      <c r="M976" t="s">
        <v>19</v>
      </c>
    </row>
    <row r="977" spans="1:13">
      <c r="A977" t="s">
        <v>1633</v>
      </c>
      <c r="B977" s="1">
        <v>42091</v>
      </c>
      <c r="C977" s="1">
        <v>42093</v>
      </c>
      <c r="D977" t="s">
        <v>1385</v>
      </c>
      <c r="E977" t="s">
        <v>97</v>
      </c>
      <c r="F977" t="s">
        <v>98</v>
      </c>
      <c r="G977" t="s">
        <v>32</v>
      </c>
      <c r="H977" t="s">
        <v>23</v>
      </c>
      <c r="I977">
        <v>1011.69599999999</v>
      </c>
      <c r="J977">
        <v>7</v>
      </c>
      <c r="K977" t="s">
        <v>484</v>
      </c>
      <c r="L977">
        <v>126.335999999999</v>
      </c>
      <c r="M977" t="s">
        <v>37</v>
      </c>
    </row>
    <row r="978" spans="1:13">
      <c r="A978" t="s">
        <v>1634</v>
      </c>
      <c r="B978" s="1">
        <v>42255</v>
      </c>
      <c r="C978" s="1">
        <v>42259</v>
      </c>
      <c r="D978" t="s">
        <v>1635</v>
      </c>
      <c r="E978" t="s">
        <v>570</v>
      </c>
      <c r="F978" t="s">
        <v>1079</v>
      </c>
      <c r="G978" t="s">
        <v>32</v>
      </c>
      <c r="H978" t="s">
        <v>33</v>
      </c>
      <c r="I978">
        <v>2419.1999999999998</v>
      </c>
      <c r="J978">
        <v>7</v>
      </c>
      <c r="K978">
        <v>0</v>
      </c>
      <c r="L978">
        <v>411.18</v>
      </c>
      <c r="M978" t="s">
        <v>37</v>
      </c>
    </row>
    <row r="979" spans="1:13">
      <c r="A979" t="s">
        <v>1636</v>
      </c>
      <c r="B979" t="s">
        <v>1637</v>
      </c>
      <c r="C979" s="1">
        <v>41963</v>
      </c>
      <c r="D979" t="s">
        <v>745</v>
      </c>
      <c r="E979" t="s">
        <v>119</v>
      </c>
      <c r="F979" t="s">
        <v>120</v>
      </c>
      <c r="G979" t="s">
        <v>45</v>
      </c>
      <c r="H979" t="s">
        <v>44</v>
      </c>
      <c r="I979">
        <v>803.04</v>
      </c>
      <c r="J979">
        <v>5</v>
      </c>
      <c r="L979">
        <v>180.64</v>
      </c>
      <c r="M979" t="s">
        <v>37</v>
      </c>
    </row>
    <row r="980" spans="1:13">
      <c r="A980" t="s">
        <v>1638</v>
      </c>
      <c r="B980" s="1">
        <v>42294</v>
      </c>
      <c r="C980" s="1">
        <v>42297</v>
      </c>
      <c r="D980" t="s">
        <v>968</v>
      </c>
      <c r="E980" t="s">
        <v>1639</v>
      </c>
      <c r="F980" t="s">
        <v>120</v>
      </c>
      <c r="G980" t="s">
        <v>32</v>
      </c>
      <c r="H980" t="s">
        <v>44</v>
      </c>
      <c r="I980">
        <v>1773.71999999999</v>
      </c>
      <c r="J980">
        <v>6</v>
      </c>
      <c r="K980">
        <v>0</v>
      </c>
      <c r="L980">
        <v>212.76</v>
      </c>
      <c r="M980" t="s">
        <v>37</v>
      </c>
    </row>
    <row r="981" spans="1:13">
      <c r="A981" t="s">
        <v>1640</v>
      </c>
      <c r="B981" s="1">
        <v>41340</v>
      </c>
      <c r="C981" s="1">
        <v>41345</v>
      </c>
      <c r="D981" t="s">
        <v>361</v>
      </c>
      <c r="E981" t="s">
        <v>93</v>
      </c>
      <c r="F981" t="s">
        <v>94</v>
      </c>
      <c r="G981" t="s">
        <v>17</v>
      </c>
      <c r="H981" t="s">
        <v>73</v>
      </c>
      <c r="I981">
        <v>1893.3</v>
      </c>
      <c r="J981">
        <v>5</v>
      </c>
      <c r="K981">
        <v>0</v>
      </c>
      <c r="L981">
        <v>927.6</v>
      </c>
      <c r="M981" t="s">
        <v>19</v>
      </c>
    </row>
    <row r="982" spans="1:13">
      <c r="A982" t="s">
        <v>1012</v>
      </c>
      <c r="B982" s="1">
        <v>42110</v>
      </c>
      <c r="F982" t="s">
        <v>94</v>
      </c>
      <c r="G982" t="s">
        <v>17</v>
      </c>
      <c r="H982" t="s">
        <v>44</v>
      </c>
      <c r="I982">
        <v>777.24</v>
      </c>
      <c r="J982" t="s">
        <v>1056</v>
      </c>
      <c r="K982">
        <v>0</v>
      </c>
      <c r="L982">
        <v>170.88</v>
      </c>
      <c r="M982" t="s">
        <v>408</v>
      </c>
    </row>
    <row r="983" spans="1:13">
      <c r="A983" t="s">
        <v>1641</v>
      </c>
      <c r="C983" s="1">
        <v>41445</v>
      </c>
      <c r="D983" t="s">
        <v>1642</v>
      </c>
      <c r="E983" t="s">
        <v>15</v>
      </c>
      <c r="F983" t="s">
        <v>780</v>
      </c>
      <c r="G983" t="s">
        <v>45</v>
      </c>
      <c r="H983" t="s">
        <v>33</v>
      </c>
      <c r="I983">
        <v>689.09399999999903</v>
      </c>
      <c r="J983">
        <v>14</v>
      </c>
      <c r="K983">
        <v>0.1</v>
      </c>
      <c r="L983">
        <v>-53.885999999999903</v>
      </c>
      <c r="M983" t="s">
        <v>27</v>
      </c>
    </row>
    <row r="984" spans="1:13">
      <c r="A984" t="s">
        <v>764</v>
      </c>
      <c r="B984" s="1">
        <v>41103</v>
      </c>
      <c r="C984" s="1">
        <v>41104</v>
      </c>
      <c r="D984" t="s">
        <v>765</v>
      </c>
      <c r="E984" t="s">
        <v>93</v>
      </c>
      <c r="F984" t="s">
        <v>94</v>
      </c>
      <c r="G984" t="s">
        <v>17</v>
      </c>
      <c r="H984" t="s">
        <v>33</v>
      </c>
      <c r="I984">
        <v>737.91</v>
      </c>
      <c r="J984">
        <v>6</v>
      </c>
      <c r="K984">
        <v>0.1</v>
      </c>
      <c r="L984">
        <v>-8.3699999999999992</v>
      </c>
      <c r="M984" t="s">
        <v>27</v>
      </c>
    </row>
    <row r="985" spans="1:13">
      <c r="A985" t="s">
        <v>1643</v>
      </c>
      <c r="B985" s="1">
        <v>41789</v>
      </c>
      <c r="C985" s="1">
        <v>41794</v>
      </c>
      <c r="D985" t="s">
        <v>1644</v>
      </c>
      <c r="E985" t="s">
        <v>22</v>
      </c>
      <c r="F985" t="s">
        <v>71</v>
      </c>
      <c r="G985" t="s">
        <v>17</v>
      </c>
      <c r="H985" t="s">
        <v>299</v>
      </c>
      <c r="I985">
        <v>2570.7599999999902</v>
      </c>
      <c r="J985">
        <v>4</v>
      </c>
      <c r="K985">
        <v>0</v>
      </c>
      <c r="L985">
        <v>976.8</v>
      </c>
      <c r="M985" t="s">
        <v>19</v>
      </c>
    </row>
    <row r="986" spans="1:13">
      <c r="A986" t="s">
        <v>1645</v>
      </c>
      <c r="B986" s="1">
        <v>41807</v>
      </c>
      <c r="C986" s="1">
        <v>41810</v>
      </c>
      <c r="D986" t="s">
        <v>477</v>
      </c>
      <c r="E986" t="s">
        <v>93</v>
      </c>
      <c r="F986" t="s">
        <v>94</v>
      </c>
      <c r="G986" t="s">
        <v>17</v>
      </c>
      <c r="H986" t="s">
        <v>26</v>
      </c>
      <c r="I986">
        <v>1199.76</v>
      </c>
      <c r="J986">
        <v>4</v>
      </c>
      <c r="K986">
        <v>0</v>
      </c>
      <c r="L986">
        <v>479.88</v>
      </c>
      <c r="M986" t="s">
        <v>19</v>
      </c>
    </row>
    <row r="987" spans="1:13">
      <c r="C987" s="1">
        <v>42092</v>
      </c>
      <c r="D987" t="s">
        <v>1646</v>
      </c>
      <c r="E987" t="s">
        <v>66</v>
      </c>
      <c r="F987" t="s">
        <v>90</v>
      </c>
      <c r="G987" t="s">
        <v>17</v>
      </c>
      <c r="H987" t="s">
        <v>26</v>
      </c>
      <c r="I987">
        <v>3216.24</v>
      </c>
      <c r="J987">
        <v>9</v>
      </c>
      <c r="K987">
        <v>0</v>
      </c>
      <c r="L987">
        <v>96.389999999999901</v>
      </c>
      <c r="M987" t="s">
        <v>37</v>
      </c>
    </row>
    <row r="988" spans="1:13">
      <c r="A988" t="s">
        <v>1647</v>
      </c>
      <c r="B988" s="1">
        <v>41166</v>
      </c>
      <c r="C988" s="1">
        <v>41168</v>
      </c>
      <c r="D988" t="s">
        <v>1502</v>
      </c>
      <c r="E988" t="s">
        <v>60</v>
      </c>
      <c r="F988" t="s">
        <v>61</v>
      </c>
      <c r="G988" t="s">
        <v>32</v>
      </c>
      <c r="H988" t="s">
        <v>33</v>
      </c>
      <c r="I988">
        <v>1274.24</v>
      </c>
      <c r="J988" t="s">
        <v>63</v>
      </c>
      <c r="L988">
        <v>-127.46</v>
      </c>
      <c r="M988" t="s">
        <v>37</v>
      </c>
    </row>
    <row r="989" spans="1:13">
      <c r="A989" t="s">
        <v>1648</v>
      </c>
      <c r="B989" s="1">
        <v>41537</v>
      </c>
      <c r="C989" s="1">
        <v>41542</v>
      </c>
      <c r="D989" t="s">
        <v>1426</v>
      </c>
      <c r="E989" t="s">
        <v>719</v>
      </c>
      <c r="F989" t="s">
        <v>416</v>
      </c>
      <c r="G989" t="s">
        <v>45</v>
      </c>
      <c r="H989" t="s">
        <v>33</v>
      </c>
      <c r="I989">
        <v>2145.7199999999998</v>
      </c>
      <c r="J989">
        <v>4</v>
      </c>
      <c r="K989">
        <v>0</v>
      </c>
      <c r="L989">
        <v>364.68</v>
      </c>
      <c r="M989" t="s">
        <v>19</v>
      </c>
    </row>
    <row r="990" spans="1:13">
      <c r="A990" t="s">
        <v>1608</v>
      </c>
      <c r="B990" s="1">
        <v>41199</v>
      </c>
      <c r="C990" s="1">
        <v>41201</v>
      </c>
      <c r="D990" t="s">
        <v>207</v>
      </c>
      <c r="E990" t="s">
        <v>40</v>
      </c>
      <c r="F990" t="s">
        <v>153</v>
      </c>
      <c r="G990" t="s">
        <v>32</v>
      </c>
      <c r="H990" t="s">
        <v>44</v>
      </c>
      <c r="J990">
        <v>6</v>
      </c>
      <c r="K990">
        <v>0</v>
      </c>
      <c r="L990">
        <v>70.964399999999898</v>
      </c>
      <c r="M990" t="s">
        <v>19</v>
      </c>
    </row>
    <row r="991" spans="1:13">
      <c r="A991" t="s">
        <v>102</v>
      </c>
      <c r="B991" s="1">
        <v>41259</v>
      </c>
      <c r="C991" s="1">
        <v>41262</v>
      </c>
      <c r="D991" t="s">
        <v>103</v>
      </c>
      <c r="E991" t="s">
        <v>1649</v>
      </c>
      <c r="F991" t="s">
        <v>90</v>
      </c>
      <c r="G991" t="s">
        <v>32</v>
      </c>
      <c r="H991" t="s">
        <v>73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1630</v>
      </c>
      <c r="B992" s="1">
        <v>42265</v>
      </c>
      <c r="C992" s="1">
        <v>42269</v>
      </c>
      <c r="D992" t="s">
        <v>207</v>
      </c>
      <c r="E992" t="s">
        <v>40</v>
      </c>
      <c r="F992" t="s">
        <v>43</v>
      </c>
      <c r="G992" t="s">
        <v>45</v>
      </c>
      <c r="H992" t="s">
        <v>46</v>
      </c>
      <c r="I992">
        <v>164.88</v>
      </c>
      <c r="J992">
        <v>3</v>
      </c>
      <c r="K992">
        <v>0</v>
      </c>
      <c r="L992">
        <v>446.49793718379902</v>
      </c>
      <c r="M992" t="s">
        <v>19</v>
      </c>
    </row>
    <row r="993" spans="1:13">
      <c r="A993" t="s">
        <v>1650</v>
      </c>
      <c r="B993" s="1">
        <v>41141</v>
      </c>
      <c r="C993" s="1">
        <v>41141</v>
      </c>
      <c r="D993" t="s">
        <v>1651</v>
      </c>
      <c r="E993" t="s">
        <v>70</v>
      </c>
      <c r="F993" t="s">
        <v>71</v>
      </c>
      <c r="G993" t="s">
        <v>45</v>
      </c>
      <c r="H993" t="s">
        <v>23</v>
      </c>
      <c r="I993">
        <v>895.05</v>
      </c>
      <c r="J993">
        <v>5</v>
      </c>
      <c r="K993">
        <v>0.1</v>
      </c>
      <c r="L993">
        <v>178.95</v>
      </c>
      <c r="M993" t="s">
        <v>37</v>
      </c>
    </row>
    <row r="994" spans="1:13">
      <c r="A994" t="s">
        <v>1652</v>
      </c>
      <c r="B994" s="1">
        <v>41541</v>
      </c>
      <c r="C994" s="2">
        <v>41545</v>
      </c>
      <c r="D994" t="s">
        <v>317</v>
      </c>
      <c r="E994" t="s">
        <v>1653</v>
      </c>
      <c r="F994" t="s">
        <v>1654</v>
      </c>
      <c r="G994" t="s">
        <v>17</v>
      </c>
      <c r="H994" t="s">
        <v>46</v>
      </c>
      <c r="I994">
        <v>1570.1759999999999</v>
      </c>
      <c r="J994">
        <v>4</v>
      </c>
      <c r="K994">
        <v>0.4</v>
      </c>
      <c r="M994" t="s">
        <v>37</v>
      </c>
    </row>
    <row r="995" spans="1:13">
      <c r="A995" t="s">
        <v>1655</v>
      </c>
      <c r="B995" s="1">
        <v>42095</v>
      </c>
      <c r="C995" s="1">
        <v>42099</v>
      </c>
      <c r="D995" t="s">
        <v>1205</v>
      </c>
      <c r="E995" t="s">
        <v>66</v>
      </c>
      <c r="F995" t="s">
        <v>90</v>
      </c>
      <c r="G995" t="s">
        <v>32</v>
      </c>
      <c r="H995" t="s">
        <v>299</v>
      </c>
      <c r="I995">
        <v>2614.6889999999898</v>
      </c>
      <c r="J995">
        <v>7</v>
      </c>
      <c r="K995">
        <v>0.3</v>
      </c>
      <c r="L995">
        <v>-821.96099999999899</v>
      </c>
      <c r="M995" t="s">
        <v>19</v>
      </c>
    </row>
    <row r="996" spans="1:13">
      <c r="A996" t="s">
        <v>1656</v>
      </c>
      <c r="B996" s="1">
        <v>42347</v>
      </c>
      <c r="C996" s="1">
        <v>42351</v>
      </c>
      <c r="D996" t="s">
        <v>207</v>
      </c>
      <c r="F996" t="s">
        <v>43</v>
      </c>
      <c r="H996" t="s">
        <v>26</v>
      </c>
      <c r="I996">
        <v>69.48</v>
      </c>
      <c r="J996">
        <v>1</v>
      </c>
      <c r="K996">
        <v>0</v>
      </c>
      <c r="L996">
        <v>20.843999999999902</v>
      </c>
      <c r="M996" t="s">
        <v>37</v>
      </c>
    </row>
    <row r="997" spans="1:13">
      <c r="A997" t="s">
        <v>1130</v>
      </c>
      <c r="B997" s="1">
        <v>41929</v>
      </c>
      <c r="C997" s="1">
        <v>41931</v>
      </c>
      <c r="D997" t="s">
        <v>1131</v>
      </c>
      <c r="E997" t="s">
        <v>31</v>
      </c>
      <c r="F997" t="s">
        <v>16</v>
      </c>
      <c r="G997" t="s">
        <v>17</v>
      </c>
      <c r="H997" t="s">
        <v>44</v>
      </c>
      <c r="I997">
        <v>636.78</v>
      </c>
      <c r="J997">
        <v>2</v>
      </c>
      <c r="K997">
        <v>0</v>
      </c>
      <c r="L997">
        <v>286.5</v>
      </c>
      <c r="M997" t="s">
        <v>27</v>
      </c>
    </row>
    <row r="998" spans="1:13">
      <c r="A998" t="s">
        <v>1657</v>
      </c>
      <c r="B998" t="s">
        <v>1658</v>
      </c>
      <c r="C998" s="1">
        <v>41665</v>
      </c>
      <c r="D998" t="s">
        <v>974</v>
      </c>
      <c r="E998" t="s">
        <v>60</v>
      </c>
      <c r="F998" t="s">
        <v>1659</v>
      </c>
      <c r="G998" t="s">
        <v>32</v>
      </c>
      <c r="H998" t="s">
        <v>73</v>
      </c>
      <c r="I998" t="s">
        <v>1660</v>
      </c>
      <c r="J998">
        <v>10</v>
      </c>
      <c r="L998">
        <v>110</v>
      </c>
      <c r="M998" t="s">
        <v>19</v>
      </c>
    </row>
    <row r="999" spans="1:13">
      <c r="A999" t="s">
        <v>1661</v>
      </c>
      <c r="B999" s="1">
        <v>42348</v>
      </c>
      <c r="C999" s="1">
        <v>42352</v>
      </c>
      <c r="D999" t="s">
        <v>1230</v>
      </c>
      <c r="E999" t="s">
        <v>322</v>
      </c>
      <c r="F999" t="s">
        <v>142</v>
      </c>
      <c r="G999" t="s">
        <v>17</v>
      </c>
      <c r="H999" t="s">
        <v>33</v>
      </c>
      <c r="I999">
        <v>1587.0014999999901</v>
      </c>
      <c r="J999">
        <v>3</v>
      </c>
      <c r="K999">
        <v>0.17</v>
      </c>
      <c r="L999">
        <v>-76.558499999999896</v>
      </c>
      <c r="M999" t="s">
        <v>19</v>
      </c>
    </row>
    <row r="1000" spans="1:13">
      <c r="B1000" s="2">
        <v>41060</v>
      </c>
      <c r="C1000" s="1">
        <v>41062</v>
      </c>
      <c r="D1000" t="s">
        <v>275</v>
      </c>
      <c r="E1000" t="s">
        <v>141</v>
      </c>
      <c r="F1000" t="s">
        <v>142</v>
      </c>
      <c r="G1000" t="s">
        <v>32</v>
      </c>
      <c r="H1000" t="s">
        <v>151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19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1662</v>
      </c>
      <c r="B49999" s="1">
        <v>40943</v>
      </c>
      <c r="C49999" s="1"/>
    </row>
    <row r="50000" spans="1:3">
      <c r="A50000" t="s">
        <v>1663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1664</v>
      </c>
      <c r="B50002" s="1">
        <v>42249</v>
      </c>
      <c r="C50002" s="1"/>
    </row>
    <row r="50003" spans="1:3">
      <c r="A50003" t="s">
        <v>1665</v>
      </c>
      <c r="B50003" s="1">
        <v>42167</v>
      </c>
      <c r="C50003" s="1"/>
    </row>
    <row r="50004" spans="1:3">
      <c r="A50004" t="s">
        <v>1666</v>
      </c>
      <c r="B50004" s="1">
        <v>41230</v>
      </c>
      <c r="C50004" s="1"/>
    </row>
    <row r="50005" spans="1:3">
      <c r="A50005" t="s">
        <v>1667</v>
      </c>
      <c r="B50005" s="1">
        <v>41712</v>
      </c>
      <c r="C50005" s="1"/>
    </row>
    <row r="50006" spans="1:3">
      <c r="A50006" t="s">
        <v>1668</v>
      </c>
      <c r="B50006" s="1">
        <v>41979</v>
      </c>
      <c r="C50006" s="1"/>
    </row>
    <row r="50007" spans="1:3">
      <c r="A50007" t="s">
        <v>1669</v>
      </c>
      <c r="B50007" s="1">
        <v>41233</v>
      </c>
      <c r="C50007" s="1"/>
    </row>
    <row r="50008" spans="1:3">
      <c r="A50008" t="s">
        <v>1670</v>
      </c>
      <c r="B50008" s="1">
        <v>42094</v>
      </c>
      <c r="C50008" s="1"/>
    </row>
    <row r="50009" spans="1:3">
      <c r="A50009" t="s">
        <v>1671</v>
      </c>
      <c r="B50009" s="1">
        <v>41431</v>
      </c>
      <c r="C50009" s="1"/>
    </row>
    <row r="50010" spans="1:3">
      <c r="A50010" t="s">
        <v>1672</v>
      </c>
      <c r="C50010" s="1"/>
    </row>
    <row r="50011" spans="1:3">
      <c r="A50011" t="s">
        <v>1673</v>
      </c>
      <c r="B50011" s="1">
        <v>40968</v>
      </c>
      <c r="C50011" s="1"/>
    </row>
    <row r="50012" spans="1:3">
      <c r="A50012" t="s">
        <v>1674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1673</v>
      </c>
      <c r="B50014" s="1">
        <v>40968</v>
      </c>
      <c r="C50014" s="1"/>
    </row>
    <row r="50015" spans="1:3">
      <c r="A50015" t="s">
        <v>1675</v>
      </c>
      <c r="B50015" s="1">
        <v>41606</v>
      </c>
      <c r="C50015" s="1"/>
    </row>
    <row r="50016" spans="1:3">
      <c r="A50016" t="s">
        <v>1218</v>
      </c>
      <c r="B50016" s="1">
        <v>41643</v>
      </c>
      <c r="C50016" s="1"/>
    </row>
    <row r="50017" spans="1:3">
      <c r="A50017" t="s">
        <v>1676</v>
      </c>
      <c r="B50017" s="1">
        <v>42369</v>
      </c>
      <c r="C50017" s="1"/>
    </row>
    <row r="50018" spans="1:3">
      <c r="A50018" t="s">
        <v>1677</v>
      </c>
      <c r="B50018" s="1">
        <v>42285</v>
      </c>
      <c r="C50018" s="1"/>
    </row>
    <row r="50019" spans="1:3">
      <c r="A50019" t="s">
        <v>1678</v>
      </c>
      <c r="B50019" s="1">
        <v>41986</v>
      </c>
      <c r="C50019" s="1"/>
    </row>
    <row r="50020" spans="1:3">
      <c r="A50020" t="s">
        <v>1679</v>
      </c>
      <c r="B50020" s="1">
        <v>41748</v>
      </c>
      <c r="C50020" s="1"/>
    </row>
    <row r="50021" spans="1:3">
      <c r="A50021" t="s">
        <v>1680</v>
      </c>
      <c r="B50021" s="1">
        <v>41815</v>
      </c>
      <c r="C50021" s="1"/>
    </row>
    <row r="50022" spans="1:3">
      <c r="A50022" t="s">
        <v>1681</v>
      </c>
      <c r="B50022" s="1">
        <v>41852</v>
      </c>
      <c r="C50022" s="1"/>
    </row>
    <row r="50023" spans="1:3">
      <c r="A50023" t="s">
        <v>1682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1683</v>
      </c>
      <c r="B50025" s="1">
        <v>42276</v>
      </c>
      <c r="C50025" s="1"/>
    </row>
    <row r="50026" spans="1:3">
      <c r="A50026" t="s">
        <v>1684</v>
      </c>
      <c r="B50026" s="1">
        <v>40999</v>
      </c>
      <c r="C50026" s="1"/>
    </row>
    <row r="50027" spans="1:3">
      <c r="A50027" t="s">
        <v>1685</v>
      </c>
      <c r="B50027" s="1">
        <v>41574</v>
      </c>
      <c r="C50027" s="1"/>
    </row>
    <row r="50028" spans="1:3">
      <c r="A50028" t="s">
        <v>1686</v>
      </c>
      <c r="B50028" s="1">
        <v>41588</v>
      </c>
      <c r="C50028" s="1"/>
    </row>
    <row r="50029" spans="1:3">
      <c r="A50029" t="s">
        <v>1687</v>
      </c>
      <c r="B50029" s="1">
        <v>42154</v>
      </c>
      <c r="C50029" s="1"/>
    </row>
    <row r="50030" spans="1:3">
      <c r="A50030" t="s">
        <v>1688</v>
      </c>
      <c r="B50030" s="1">
        <v>41670</v>
      </c>
      <c r="C50030" s="1"/>
    </row>
    <row r="50031" spans="1:3">
      <c r="A50031" t="s">
        <v>1689</v>
      </c>
      <c r="B50031" s="1">
        <v>41597</v>
      </c>
      <c r="C50031" s="1"/>
    </row>
    <row r="50032" spans="1:3">
      <c r="A50032" t="s">
        <v>1690</v>
      </c>
      <c r="B50032" s="1">
        <v>41384</v>
      </c>
      <c r="C50032" s="1"/>
    </row>
    <row r="50033" spans="1:3">
      <c r="A50033" t="s">
        <v>1691</v>
      </c>
      <c r="B50033" s="1">
        <v>42311</v>
      </c>
      <c r="C50033" s="1"/>
    </row>
    <row r="50034" spans="1:3">
      <c r="A50034" t="s">
        <v>1692</v>
      </c>
      <c r="B50034" s="1">
        <v>41684</v>
      </c>
      <c r="C50034" s="1"/>
    </row>
    <row r="50035" spans="1:3">
      <c r="A50035" t="s">
        <v>1693</v>
      </c>
      <c r="B50035" s="1">
        <v>42332</v>
      </c>
      <c r="C50035" s="1"/>
    </row>
    <row r="50036" spans="1:3">
      <c r="A50036" t="s">
        <v>1694</v>
      </c>
      <c r="B50036" s="1">
        <v>41849</v>
      </c>
      <c r="C50036" s="1"/>
    </row>
    <row r="50037" spans="1:3">
      <c r="A50037" t="s">
        <v>1695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1696</v>
      </c>
      <c r="B50039" s="1">
        <v>42045</v>
      </c>
      <c r="C50039" s="1"/>
    </row>
    <row r="50040" spans="1:3">
      <c r="A50040" t="s">
        <v>654</v>
      </c>
      <c r="B50040" s="1">
        <v>42269</v>
      </c>
      <c r="C50040" s="1"/>
    </row>
    <row r="50041" spans="1:3">
      <c r="A50041" t="s">
        <v>1697</v>
      </c>
      <c r="B50041" s="1">
        <v>41755</v>
      </c>
      <c r="C50041" s="1"/>
    </row>
    <row r="50042" spans="1:3">
      <c r="A50042" t="s">
        <v>1698</v>
      </c>
      <c r="B50042" s="1">
        <v>41880</v>
      </c>
      <c r="C50042" s="1"/>
    </row>
    <row r="50043" spans="1:3">
      <c r="A50043" t="s">
        <v>1673</v>
      </c>
      <c r="B50043" s="1">
        <v>40968</v>
      </c>
      <c r="C50043" s="1"/>
    </row>
    <row r="50044" spans="1:3">
      <c r="A50044" t="s">
        <v>1696</v>
      </c>
      <c r="B50044" s="1">
        <v>42045</v>
      </c>
      <c r="C50044" s="1"/>
    </row>
    <row r="50045" spans="1:3">
      <c r="A50045" t="s">
        <v>1699</v>
      </c>
      <c r="B50045" s="1">
        <v>41539</v>
      </c>
      <c r="C50045" s="1"/>
    </row>
    <row r="50046" spans="1:3">
      <c r="A50046" t="s">
        <v>1700</v>
      </c>
      <c r="B50046" s="1">
        <v>41227</v>
      </c>
      <c r="C50046" s="1"/>
    </row>
    <row r="50047" spans="1:3">
      <c r="A50047" t="s">
        <v>1698</v>
      </c>
      <c r="B50047" s="1">
        <v>41880</v>
      </c>
      <c r="C50047" s="1"/>
    </row>
    <row r="50048" spans="1:3">
      <c r="A50048" t="s">
        <v>1673</v>
      </c>
      <c r="B50048" s="1">
        <v>40968</v>
      </c>
      <c r="C50048" s="1"/>
    </row>
    <row r="50049" spans="1:3">
      <c r="A50049" t="s">
        <v>1673</v>
      </c>
      <c r="B50049" t="s">
        <v>125</v>
      </c>
      <c r="C50049" s="1"/>
    </row>
    <row r="50050" spans="1:3">
      <c r="A50050" t="s">
        <v>1696</v>
      </c>
      <c r="B50050" s="1">
        <v>42045</v>
      </c>
      <c r="C50050" s="1"/>
    </row>
    <row r="50051" spans="1:3">
      <c r="A50051" t="s">
        <v>1698</v>
      </c>
      <c r="C50051" s="1"/>
    </row>
    <row r="50052" spans="1:3">
      <c r="A50052" t="s">
        <v>1701</v>
      </c>
      <c r="B50052" s="1">
        <v>42265</v>
      </c>
      <c r="C50052" s="1"/>
    </row>
    <row r="50053" spans="1:3">
      <c r="A50053" t="s">
        <v>1702</v>
      </c>
      <c r="B50053" s="1">
        <v>42069</v>
      </c>
      <c r="C50053" s="1"/>
    </row>
    <row r="50054" spans="1:3">
      <c r="A50054" t="s">
        <v>1703</v>
      </c>
      <c r="B50054" s="1">
        <v>41794</v>
      </c>
      <c r="C50054" s="1"/>
    </row>
    <row r="50055" spans="1:3">
      <c r="A50055" t="s">
        <v>1704</v>
      </c>
      <c r="B50055" s="1">
        <v>42317</v>
      </c>
      <c r="C50055" s="1"/>
    </row>
    <row r="50056" spans="1:3">
      <c r="A50056" t="s">
        <v>1705</v>
      </c>
      <c r="B50056" s="1">
        <v>42307</v>
      </c>
      <c r="C50056" s="1"/>
    </row>
    <row r="50057" spans="1:3">
      <c r="A50057" t="s">
        <v>1696</v>
      </c>
      <c r="B50057" s="1">
        <v>42045</v>
      </c>
    </row>
    <row r="50058" spans="1:3">
      <c r="A50058" t="s">
        <v>1706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1707</v>
      </c>
      <c r="B50060" s="1">
        <v>40997</v>
      </c>
      <c r="C50060" s="1"/>
    </row>
    <row r="50061" spans="1:3">
      <c r="A50061" t="s">
        <v>1708</v>
      </c>
      <c r="B50061" s="1">
        <v>42237</v>
      </c>
      <c r="C50061" s="1"/>
    </row>
    <row r="50062" spans="1:3">
      <c r="A50062" t="s">
        <v>1709</v>
      </c>
      <c r="B50062" s="1">
        <v>42364</v>
      </c>
      <c r="C50062" s="1"/>
    </row>
    <row r="50063" spans="1:3">
      <c r="A50063" t="s">
        <v>1710</v>
      </c>
      <c r="B50063" s="1">
        <v>42184</v>
      </c>
      <c r="C50063" s="1"/>
    </row>
    <row r="50064" spans="1:3">
      <c r="A50064" t="s">
        <v>1711</v>
      </c>
      <c r="B50064" s="1">
        <v>41908</v>
      </c>
      <c r="C50064" s="1"/>
    </row>
    <row r="50065" spans="1:3">
      <c r="A50065" t="s">
        <v>1712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1713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1714</v>
      </c>
      <c r="B50069" s="1">
        <v>41233</v>
      </c>
      <c r="C50069" s="1"/>
    </row>
    <row r="50070" spans="1:3">
      <c r="A50070" t="s">
        <v>1715</v>
      </c>
      <c r="B50070" s="1">
        <v>41352</v>
      </c>
      <c r="C50070" s="1"/>
    </row>
    <row r="50071" spans="1:3">
      <c r="A50071" t="s">
        <v>1716</v>
      </c>
      <c r="B50071" s="1">
        <v>41417</v>
      </c>
      <c r="C50071" s="1"/>
    </row>
    <row r="50072" spans="1:3">
      <c r="A50072" t="s">
        <v>1717</v>
      </c>
      <c r="B50072" s="1">
        <v>41878</v>
      </c>
      <c r="C50072" s="1"/>
    </row>
    <row r="50073" spans="1:3">
      <c r="A50073" t="s">
        <v>1718</v>
      </c>
      <c r="B50073" t="s">
        <v>125</v>
      </c>
      <c r="C50073" s="1"/>
    </row>
    <row r="50074" spans="1:3">
      <c r="A50074" t="s">
        <v>1712</v>
      </c>
      <c r="B50074" s="1">
        <v>41223</v>
      </c>
      <c r="C50074" s="1"/>
    </row>
    <row r="50075" spans="1:3">
      <c r="A50075" t="s">
        <v>1719</v>
      </c>
      <c r="B50075" s="1">
        <v>42197</v>
      </c>
      <c r="C50075" s="1"/>
    </row>
    <row r="50076" spans="1:3">
      <c r="A50076" t="s">
        <v>1720</v>
      </c>
      <c r="B50076" s="1">
        <v>42263</v>
      </c>
      <c r="C50076" s="1"/>
    </row>
    <row r="50077" spans="1:3">
      <c r="A50077" t="s">
        <v>1721</v>
      </c>
      <c r="B50077" s="1">
        <v>41985</v>
      </c>
      <c r="C50077" s="1"/>
    </row>
    <row r="50078" spans="1:3">
      <c r="A50078" t="s">
        <v>1722</v>
      </c>
      <c r="B50078" s="1">
        <v>41686</v>
      </c>
      <c r="C50078" s="1"/>
    </row>
    <row r="50079" spans="1:3">
      <c r="A50079" t="s">
        <v>1723</v>
      </c>
      <c r="B50079" s="1">
        <v>41502</v>
      </c>
      <c r="C50079" s="1"/>
    </row>
    <row r="50080" spans="1:3">
      <c r="A50080" t="s">
        <v>1724</v>
      </c>
      <c r="B50080" s="1">
        <v>41845</v>
      </c>
      <c r="C50080" s="1"/>
    </row>
    <row r="50081" spans="1:3">
      <c r="A50081" t="s">
        <v>1725</v>
      </c>
      <c r="B50081" s="1">
        <v>42181</v>
      </c>
      <c r="C50081" s="1"/>
    </row>
    <row r="50082" spans="1:3">
      <c r="A50082" t="s">
        <v>1726</v>
      </c>
      <c r="B50082" s="1">
        <v>41726</v>
      </c>
      <c r="C50082" s="1"/>
    </row>
    <row r="50083" spans="1:3">
      <c r="A50083" t="s">
        <v>1727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1728</v>
      </c>
      <c r="B50085" s="1">
        <v>42335</v>
      </c>
      <c r="C50085" s="1"/>
    </row>
    <row r="50086" spans="1:3">
      <c r="A50086" t="s">
        <v>1728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1729</v>
      </c>
      <c r="B50088" s="1">
        <v>41334</v>
      </c>
      <c r="C50088" s="1"/>
    </row>
    <row r="50089" spans="1:3">
      <c r="A50089" t="s">
        <v>1730</v>
      </c>
      <c r="B50089" s="1">
        <v>41179</v>
      </c>
      <c r="C50089" s="1"/>
    </row>
    <row r="50090" spans="1:3">
      <c r="A50090" t="s">
        <v>1728</v>
      </c>
      <c r="B50090" s="1">
        <v>42335</v>
      </c>
      <c r="C50090" s="1"/>
    </row>
    <row r="50091" spans="1:3">
      <c r="A50091" t="s">
        <v>1731</v>
      </c>
      <c r="B50091" s="1">
        <v>42157</v>
      </c>
      <c r="C50091" s="1"/>
    </row>
    <row r="50092" spans="1:3">
      <c r="A50092" t="s">
        <v>1732</v>
      </c>
      <c r="B50092" s="1">
        <v>41934</v>
      </c>
      <c r="C50092" s="1"/>
    </row>
    <row r="50093" spans="1:3">
      <c r="A50093" t="s">
        <v>1733</v>
      </c>
      <c r="B50093" s="1">
        <v>42208</v>
      </c>
      <c r="C50093" s="1"/>
    </row>
    <row r="50094" spans="1:3">
      <c r="A50094" t="s">
        <v>1734</v>
      </c>
      <c r="B50094" s="1">
        <v>41144</v>
      </c>
      <c r="C50094" s="1"/>
    </row>
    <row r="50095" spans="1:3">
      <c r="A50095" t="s">
        <v>1735</v>
      </c>
      <c r="B50095" s="1">
        <v>41772</v>
      </c>
      <c r="C50095" s="1"/>
    </row>
    <row r="50096" spans="1:3">
      <c r="A50096" t="s">
        <v>1736</v>
      </c>
      <c r="B50096" s="1">
        <v>42068</v>
      </c>
      <c r="C50096" s="1"/>
    </row>
    <row r="50097" spans="1:3">
      <c r="A50097" t="s">
        <v>1728</v>
      </c>
      <c r="B50097" s="1">
        <v>42335</v>
      </c>
      <c r="C50097" s="1"/>
    </row>
    <row r="50098" spans="1:3">
      <c r="A50098" t="s">
        <v>1737</v>
      </c>
      <c r="B50098" s="1">
        <v>42339</v>
      </c>
      <c r="C50098" s="1"/>
    </row>
    <row r="50099" spans="1:3">
      <c r="A50099" t="s">
        <v>1738</v>
      </c>
      <c r="B50099" s="1">
        <v>41864</v>
      </c>
      <c r="C50099" s="1"/>
    </row>
    <row r="50100" spans="1:3">
      <c r="A50100" t="s">
        <v>1739</v>
      </c>
      <c r="B50100" s="1">
        <v>41093</v>
      </c>
    </row>
    <row r="50101" spans="1:3">
      <c r="A50101" t="s">
        <v>1740</v>
      </c>
      <c r="C50101" s="1"/>
    </row>
    <row r="50102" spans="1:3">
      <c r="A50102" t="s">
        <v>1741</v>
      </c>
      <c r="B50102" s="1">
        <v>41090</v>
      </c>
    </row>
    <row r="50103" spans="1:3">
      <c r="A50103" t="s">
        <v>1742</v>
      </c>
      <c r="B50103" s="1">
        <v>41752</v>
      </c>
      <c r="C50103" s="1"/>
    </row>
    <row r="50104" spans="1:3">
      <c r="A50104" t="s">
        <v>1743</v>
      </c>
      <c r="B50104" t="s">
        <v>1744</v>
      </c>
      <c r="C50104" s="1"/>
    </row>
    <row r="50105" spans="1:3">
      <c r="A50105" t="s">
        <v>1745</v>
      </c>
      <c r="B50105" s="1">
        <v>42020</v>
      </c>
      <c r="C50105" s="1"/>
    </row>
    <row r="50106" spans="1:3">
      <c r="A50106" t="s">
        <v>1746</v>
      </c>
      <c r="B50106" s="1">
        <v>41871</v>
      </c>
      <c r="C50106" s="1"/>
    </row>
    <row r="50107" spans="1:3">
      <c r="A50107" t="s">
        <v>1747</v>
      </c>
      <c r="B50107" s="1">
        <v>41840</v>
      </c>
    </row>
    <row r="50108" spans="1:3">
      <c r="A50108" t="s">
        <v>1748</v>
      </c>
      <c r="B50108" s="1">
        <v>40943</v>
      </c>
      <c r="C50108" s="1"/>
    </row>
    <row r="50109" spans="1:3">
      <c r="A50109" t="s">
        <v>1749</v>
      </c>
      <c r="B50109" s="1">
        <v>42251</v>
      </c>
      <c r="C50109" s="1"/>
    </row>
    <row r="50110" spans="1:3">
      <c r="A50110" t="s">
        <v>1750</v>
      </c>
      <c r="B50110" s="1">
        <v>42132</v>
      </c>
      <c r="C50110" s="1"/>
    </row>
    <row r="50111" spans="1:3">
      <c r="A50111" t="s">
        <v>1751</v>
      </c>
      <c r="B50111" s="1">
        <v>41709</v>
      </c>
      <c r="C50111" s="1"/>
    </row>
    <row r="50112" spans="1:3">
      <c r="A50112" t="s">
        <v>1736</v>
      </c>
      <c r="B50112" s="1">
        <v>42068</v>
      </c>
      <c r="C50112" s="1"/>
    </row>
    <row r="50113" spans="1:3">
      <c r="A50113" t="s">
        <v>1752</v>
      </c>
      <c r="B50113" s="1">
        <v>42209</v>
      </c>
      <c r="C50113" s="1"/>
    </row>
    <row r="50114" spans="1:3">
      <c r="A50114" t="s">
        <v>1753</v>
      </c>
      <c r="B50114" s="1">
        <v>41138</v>
      </c>
      <c r="C50114" s="1"/>
    </row>
    <row r="50115" spans="1:3">
      <c r="A50115" t="s">
        <v>1754</v>
      </c>
      <c r="B50115" s="1">
        <v>42237</v>
      </c>
      <c r="C50115" s="1"/>
    </row>
    <row r="50116" spans="1:3">
      <c r="A50116" t="s">
        <v>1755</v>
      </c>
      <c r="C50116" s="1"/>
    </row>
    <row r="50117" spans="1:3">
      <c r="A50117" t="s">
        <v>1756</v>
      </c>
      <c r="B50117" s="1">
        <v>41486</v>
      </c>
      <c r="C50117" s="1"/>
    </row>
    <row r="50118" spans="1:3">
      <c r="A50118" t="s">
        <v>1757</v>
      </c>
      <c r="B50118" s="1">
        <v>42157</v>
      </c>
      <c r="C50118" s="1"/>
    </row>
    <row r="50119" spans="1:3">
      <c r="A50119" t="s">
        <v>1758</v>
      </c>
      <c r="B50119" s="1">
        <v>41801</v>
      </c>
      <c r="C50119" s="1"/>
    </row>
    <row r="50120" spans="1:3">
      <c r="A50120" t="s">
        <v>1759</v>
      </c>
      <c r="B50120" s="1">
        <v>41828</v>
      </c>
      <c r="C50120" s="1"/>
    </row>
    <row r="50121" spans="1:3">
      <c r="A50121" t="s">
        <v>1760</v>
      </c>
      <c r="B50121" s="1">
        <v>41747</v>
      </c>
      <c r="C50121" s="1"/>
    </row>
    <row r="50122" spans="1:3">
      <c r="A50122" t="s">
        <v>1761</v>
      </c>
      <c r="B50122" t="s">
        <v>1762</v>
      </c>
      <c r="C50122" s="1"/>
    </row>
    <row r="50123" spans="1:3">
      <c r="A50123" t="s">
        <v>1763</v>
      </c>
      <c r="B50123" s="1">
        <v>41969</v>
      </c>
      <c r="C50123" s="1"/>
    </row>
    <row r="50124" spans="1:3">
      <c r="A50124" t="s">
        <v>1764</v>
      </c>
      <c r="B50124" s="1">
        <v>41427</v>
      </c>
      <c r="C50124" s="1"/>
    </row>
    <row r="50125" spans="1:3">
      <c r="A50125" t="s">
        <v>1765</v>
      </c>
      <c r="B50125" s="1">
        <v>42224</v>
      </c>
      <c r="C50125" s="1"/>
    </row>
    <row r="50126" spans="1:3">
      <c r="A50126" t="s">
        <v>1766</v>
      </c>
      <c r="B50126" s="1">
        <v>42082</v>
      </c>
      <c r="C50126" s="1"/>
    </row>
    <row r="50127" spans="1:3">
      <c r="A50127" t="s">
        <v>1767</v>
      </c>
    </row>
    <row r="50128" spans="1:3">
      <c r="A50128" t="s">
        <v>1768</v>
      </c>
      <c r="B50128" s="1">
        <v>41747</v>
      </c>
      <c r="C50128" s="1"/>
    </row>
    <row r="50129" spans="1:3">
      <c r="A50129" t="s">
        <v>1769</v>
      </c>
      <c r="B50129" s="1">
        <v>41415</v>
      </c>
      <c r="C50129" s="1"/>
    </row>
    <row r="50130" spans="1:3">
      <c r="A50130" t="s">
        <v>1770</v>
      </c>
      <c r="B50130" s="1">
        <v>41797</v>
      </c>
      <c r="C50130" s="1"/>
    </row>
    <row r="50131" spans="1:3">
      <c r="A50131" t="s">
        <v>1771</v>
      </c>
      <c r="B50131" s="1">
        <v>42348</v>
      </c>
      <c r="C50131" s="1"/>
    </row>
    <row r="50132" spans="1:3">
      <c r="A50132" t="s">
        <v>1772</v>
      </c>
      <c r="B50132" s="1">
        <v>42357</v>
      </c>
      <c r="C50132" s="1"/>
    </row>
    <row r="50133" spans="1:3">
      <c r="A50133" t="s">
        <v>238</v>
      </c>
      <c r="B50133" s="1">
        <v>41966</v>
      </c>
      <c r="C50133" s="1"/>
    </row>
    <row r="50134" spans="1:3">
      <c r="A50134" t="s">
        <v>1773</v>
      </c>
      <c r="B50134" s="1">
        <v>41542</v>
      </c>
      <c r="C50134" s="1"/>
    </row>
    <row r="50135" spans="1:3">
      <c r="A50135" t="s">
        <v>1774</v>
      </c>
      <c r="B50135" s="1">
        <v>42010</v>
      </c>
      <c r="C50135" s="1"/>
    </row>
    <row r="50136" spans="1:3">
      <c r="A50136" t="s">
        <v>1736</v>
      </c>
      <c r="C50136" s="1"/>
    </row>
    <row r="50137" spans="1:3">
      <c r="A50137" t="s">
        <v>1775</v>
      </c>
      <c r="B50137" s="1">
        <v>41237</v>
      </c>
      <c r="C50137" s="1"/>
    </row>
    <row r="50138" spans="1:3">
      <c r="A50138" t="s">
        <v>1728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1776</v>
      </c>
      <c r="B50140" s="1">
        <v>42097</v>
      </c>
      <c r="C50140" s="1"/>
    </row>
    <row r="50141" spans="1:3">
      <c r="A50141" t="s">
        <v>1777</v>
      </c>
      <c r="B50141" s="1">
        <v>41642</v>
      </c>
      <c r="C50141" s="1"/>
    </row>
    <row r="50142" spans="1:3">
      <c r="A50142" t="s">
        <v>1778</v>
      </c>
      <c r="B50142" s="1">
        <v>42238</v>
      </c>
      <c r="C50142" s="1"/>
    </row>
    <row r="50143" spans="1:3">
      <c r="A50143" t="s">
        <v>1779</v>
      </c>
      <c r="B50143" s="1">
        <v>42340</v>
      </c>
      <c r="C50143" s="1"/>
    </row>
    <row r="50144" spans="1:3">
      <c r="A50144" t="s">
        <v>1780</v>
      </c>
      <c r="B50144" s="1">
        <v>41122</v>
      </c>
      <c r="C50144" s="1"/>
    </row>
    <row r="50145" spans="1:3">
      <c r="A50145" t="s">
        <v>1781</v>
      </c>
      <c r="B50145" s="1">
        <v>42197</v>
      </c>
      <c r="C50145" s="1"/>
    </row>
    <row r="50146" spans="1:3">
      <c r="A50146" t="s">
        <v>1782</v>
      </c>
      <c r="B50146" s="1">
        <v>42211</v>
      </c>
      <c r="C50146" s="1"/>
    </row>
    <row r="50147" spans="1:3">
      <c r="A50147" t="s">
        <v>1777</v>
      </c>
      <c r="B50147" s="1">
        <v>41642</v>
      </c>
      <c r="C50147" s="1"/>
    </row>
    <row r="50148" spans="1:3">
      <c r="A50148" t="s">
        <v>1783</v>
      </c>
      <c r="B50148" s="1">
        <v>41874</v>
      </c>
    </row>
    <row r="50149" spans="1:3">
      <c r="A50149" t="s">
        <v>1777</v>
      </c>
      <c r="B50149" t="s">
        <v>1784</v>
      </c>
      <c r="C50149" s="1"/>
    </row>
    <row r="50150" spans="1:3">
      <c r="A50150" t="s">
        <v>1785</v>
      </c>
      <c r="B50150" s="1">
        <v>41597</v>
      </c>
      <c r="C50150" s="1"/>
    </row>
    <row r="50151" spans="1:3">
      <c r="A50151" t="s">
        <v>1786</v>
      </c>
      <c r="C50151" s="1"/>
    </row>
    <row r="50152" spans="1:3">
      <c r="A50152" t="s">
        <v>1787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1788</v>
      </c>
      <c r="B50154" s="1">
        <v>42125</v>
      </c>
      <c r="C50154" s="1"/>
    </row>
    <row r="50155" spans="1:3">
      <c r="A50155" t="s">
        <v>1789</v>
      </c>
      <c r="B50155" s="1">
        <v>41979</v>
      </c>
    </row>
    <row r="50156" spans="1:3">
      <c r="A50156" t="s">
        <v>1790</v>
      </c>
      <c r="B50156" s="1">
        <v>41234</v>
      </c>
      <c r="C50156" s="1"/>
    </row>
    <row r="50157" spans="1:3">
      <c r="A50157" t="s">
        <v>1791</v>
      </c>
      <c r="B50157" s="1">
        <v>41107</v>
      </c>
      <c r="C50157" s="1"/>
    </row>
    <row r="50158" spans="1:3">
      <c r="A50158" t="s">
        <v>1777</v>
      </c>
      <c r="B50158" s="1">
        <v>41642</v>
      </c>
      <c r="C50158" s="1"/>
    </row>
    <row r="50159" spans="1:3">
      <c r="A50159" t="s">
        <v>1792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1793</v>
      </c>
      <c r="B50162" s="1">
        <v>42185</v>
      </c>
      <c r="C50162" s="1"/>
    </row>
    <row r="50163" spans="1:3">
      <c r="A50163" t="s">
        <v>1794</v>
      </c>
      <c r="B50163" s="1">
        <v>42357</v>
      </c>
      <c r="C50163" s="1"/>
    </row>
    <row r="50164" spans="1:3">
      <c r="A50164" t="s">
        <v>1795</v>
      </c>
      <c r="B50164" s="1">
        <v>41989</v>
      </c>
      <c r="C50164" s="1"/>
    </row>
    <row r="50165" spans="1:3">
      <c r="B50165" t="s">
        <v>1796</v>
      </c>
      <c r="C50165" s="1"/>
    </row>
    <row r="50166" spans="1:3">
      <c r="A50166" t="s">
        <v>1797</v>
      </c>
      <c r="B50166" s="1">
        <v>41797</v>
      </c>
      <c r="C50166" s="1"/>
    </row>
    <row r="50167" spans="1:3">
      <c r="A50167" t="s">
        <v>1798</v>
      </c>
      <c r="B50167" s="1">
        <v>41012</v>
      </c>
      <c r="C50167" s="1"/>
    </row>
    <row r="50168" spans="1:3">
      <c r="A50168" t="s">
        <v>1799</v>
      </c>
      <c r="B50168" s="1">
        <v>42132</v>
      </c>
      <c r="C50168" s="1"/>
    </row>
    <row r="50169" spans="1:3">
      <c r="A50169" t="s">
        <v>1800</v>
      </c>
      <c r="B50169" s="1">
        <v>41433</v>
      </c>
      <c r="C50169" s="1"/>
    </row>
    <row r="50170" spans="1:3">
      <c r="A50170" t="s">
        <v>1801</v>
      </c>
      <c r="B50170" s="1">
        <v>42006</v>
      </c>
    </row>
    <row r="50171" spans="1:3">
      <c r="A50171" t="s">
        <v>1802</v>
      </c>
      <c r="B50171" s="1">
        <v>41957</v>
      </c>
      <c r="C50171" s="1"/>
    </row>
    <row r="50172" spans="1:3">
      <c r="A50172" t="s">
        <v>1803</v>
      </c>
      <c r="B50172" s="1">
        <v>42239</v>
      </c>
    </row>
    <row r="50173" spans="1:3">
      <c r="A50173" t="s">
        <v>1804</v>
      </c>
      <c r="B50173" s="1">
        <v>42172</v>
      </c>
      <c r="C50173" s="1"/>
    </row>
    <row r="50174" spans="1:3">
      <c r="A50174" t="s">
        <v>1805</v>
      </c>
      <c r="B50174" s="1">
        <v>41439</v>
      </c>
      <c r="C50174" s="1"/>
    </row>
    <row r="50175" spans="1:3">
      <c r="A50175" t="s">
        <v>1806</v>
      </c>
      <c r="B50175" s="1">
        <v>42213</v>
      </c>
      <c r="C50175" s="1"/>
    </row>
    <row r="50176" spans="1:3">
      <c r="A50176" t="s">
        <v>1806</v>
      </c>
      <c r="B50176" s="1">
        <v>42213</v>
      </c>
      <c r="C50176" s="1"/>
    </row>
    <row r="50177" spans="1:3">
      <c r="A50177" t="s">
        <v>1807</v>
      </c>
      <c r="B50177" s="1">
        <v>41783</v>
      </c>
      <c r="C50177" s="1"/>
    </row>
    <row r="50178" spans="1:3">
      <c r="A50178" t="s">
        <v>1808</v>
      </c>
      <c r="B50178" s="1">
        <v>41908</v>
      </c>
      <c r="C50178" s="1"/>
    </row>
    <row r="50179" spans="1:3">
      <c r="A50179" t="s">
        <v>1809</v>
      </c>
      <c r="B50179" s="1">
        <v>42316</v>
      </c>
    </row>
    <row r="50180" spans="1:3">
      <c r="A50180" t="s">
        <v>1810</v>
      </c>
      <c r="B50180" s="1">
        <v>42189</v>
      </c>
      <c r="C50180" s="1"/>
    </row>
    <row r="50181" spans="1:3">
      <c r="A50181" t="s">
        <v>1811</v>
      </c>
      <c r="B50181" s="1">
        <v>41660</v>
      </c>
      <c r="C50181" s="1"/>
    </row>
    <row r="50182" spans="1:3">
      <c r="A50182" t="s">
        <v>1812</v>
      </c>
      <c r="B50182" s="1">
        <v>41138</v>
      </c>
    </row>
    <row r="50183" spans="1:3">
      <c r="A50183" t="s">
        <v>1813</v>
      </c>
      <c r="B50183" s="1">
        <v>42266</v>
      </c>
      <c r="C50183" s="1"/>
    </row>
    <row r="50184" spans="1:3">
      <c r="A50184" t="s">
        <v>1814</v>
      </c>
      <c r="B50184" s="1">
        <v>42358</v>
      </c>
      <c r="C50184" s="1"/>
    </row>
    <row r="50185" spans="1:3">
      <c r="A50185" t="s">
        <v>1815</v>
      </c>
      <c r="B50185" s="1">
        <v>42060</v>
      </c>
      <c r="C50185" s="1"/>
    </row>
    <row r="50186" spans="1:3">
      <c r="A50186" t="s">
        <v>1816</v>
      </c>
      <c r="B50186" s="1">
        <v>41262</v>
      </c>
      <c r="C50186" s="1"/>
    </row>
    <row r="50187" spans="1:3">
      <c r="A50187" t="s">
        <v>1816</v>
      </c>
      <c r="B50187" s="1">
        <v>41262</v>
      </c>
      <c r="C50187" s="1"/>
    </row>
    <row r="50188" spans="1:3">
      <c r="A50188" t="s">
        <v>1817</v>
      </c>
      <c r="B50188" s="1">
        <v>41873</v>
      </c>
      <c r="C50188" s="1"/>
    </row>
    <row r="50189" spans="1:3">
      <c r="A50189" t="s">
        <v>1818</v>
      </c>
      <c r="B50189" s="1">
        <v>41454</v>
      </c>
      <c r="C50189" s="1"/>
    </row>
    <row r="50190" spans="1:3">
      <c r="A50190" t="s">
        <v>1819</v>
      </c>
      <c r="B50190" s="1">
        <v>42343</v>
      </c>
      <c r="C50190" s="1"/>
    </row>
    <row r="50191" spans="1:3">
      <c r="A50191" t="s">
        <v>1820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1821</v>
      </c>
      <c r="B50193" s="1">
        <v>41971</v>
      </c>
      <c r="C50193" s="1"/>
    </row>
    <row r="50194" spans="1:3">
      <c r="A50194" t="s">
        <v>1822</v>
      </c>
      <c r="B50194" s="1">
        <v>41410</v>
      </c>
      <c r="C50194" s="1"/>
    </row>
    <row r="50195" spans="1:3">
      <c r="A50195" t="s">
        <v>1808</v>
      </c>
      <c r="B50195" t="s">
        <v>1823</v>
      </c>
      <c r="C50195" s="1"/>
    </row>
    <row r="50196" spans="1:3">
      <c r="A50196" t="s">
        <v>1814</v>
      </c>
      <c r="B50196" s="1">
        <v>42358</v>
      </c>
      <c r="C50196" s="1"/>
    </row>
    <row r="50197" spans="1:3">
      <c r="A50197" t="s">
        <v>1824</v>
      </c>
      <c r="B50197" s="1">
        <v>42052</v>
      </c>
      <c r="C50197" s="1"/>
    </row>
    <row r="50198" spans="1:3">
      <c r="A50198" t="s">
        <v>1813</v>
      </c>
      <c r="B50198" s="1">
        <v>42266</v>
      </c>
    </row>
    <row r="50199" spans="1:3">
      <c r="A50199" t="s">
        <v>1825</v>
      </c>
      <c r="B50199" s="1">
        <v>41403</v>
      </c>
      <c r="C50199" s="1"/>
    </row>
    <row r="50200" spans="1:3">
      <c r="A50200" t="s">
        <v>1826</v>
      </c>
      <c r="B50200" s="2">
        <v>41868</v>
      </c>
      <c r="C50200" s="1"/>
    </row>
    <row r="50201" spans="1:3">
      <c r="A50201" t="s">
        <v>1814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1808</v>
      </c>
      <c r="B50204" s="1">
        <v>41908</v>
      </c>
      <c r="C50204" s="1"/>
    </row>
    <row r="50205" spans="1:3">
      <c r="A50205" t="s">
        <v>1827</v>
      </c>
      <c r="B50205" s="1">
        <v>41206</v>
      </c>
      <c r="C50205" s="1"/>
    </row>
    <row r="50206" spans="1:3">
      <c r="A50206" t="s">
        <v>1828</v>
      </c>
      <c r="B50206" s="1">
        <v>41502</v>
      </c>
      <c r="C50206" s="1"/>
    </row>
    <row r="50207" spans="1:3">
      <c r="A50207" t="s">
        <v>1829</v>
      </c>
      <c r="B50207" s="1">
        <v>40992</v>
      </c>
      <c r="C50207" s="1"/>
    </row>
    <row r="50208" spans="1:3">
      <c r="A50208" t="s">
        <v>1830</v>
      </c>
      <c r="B50208" s="1">
        <v>42223</v>
      </c>
      <c r="C50208" s="1"/>
    </row>
    <row r="50209" spans="1:3">
      <c r="A50209" t="s">
        <v>1831</v>
      </c>
      <c r="B50209" s="1">
        <v>40990</v>
      </c>
      <c r="C50209" s="1"/>
    </row>
    <row r="50210" spans="1:3">
      <c r="A50210" t="s">
        <v>1832</v>
      </c>
      <c r="B50210" s="1">
        <v>41534</v>
      </c>
      <c r="C50210" s="1"/>
    </row>
    <row r="50211" spans="1:3">
      <c r="A50211" t="s">
        <v>1833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1834</v>
      </c>
      <c r="B50213" s="1">
        <v>41487</v>
      </c>
      <c r="C50213" s="1"/>
    </row>
    <row r="50214" spans="1:3">
      <c r="A50214" t="s">
        <v>1835</v>
      </c>
      <c r="B50214" s="1">
        <v>41804</v>
      </c>
      <c r="C50214" s="1"/>
    </row>
    <row r="50215" spans="1:3">
      <c r="A50215" t="s">
        <v>1836</v>
      </c>
      <c r="B50215" s="1">
        <v>42304</v>
      </c>
      <c r="C50215" s="1"/>
    </row>
    <row r="50216" spans="1:3">
      <c r="A50216" t="s">
        <v>1837</v>
      </c>
      <c r="B50216" s="1">
        <v>41520</v>
      </c>
      <c r="C50216" s="1"/>
    </row>
    <row r="50217" spans="1:3">
      <c r="A50217" t="s">
        <v>1838</v>
      </c>
      <c r="B50217" s="1">
        <v>42276</v>
      </c>
      <c r="C50217" s="1"/>
    </row>
    <row r="50218" spans="1:3">
      <c r="A50218" t="s">
        <v>1839</v>
      </c>
      <c r="B50218" s="1">
        <v>41578</v>
      </c>
      <c r="C50218" s="1"/>
    </row>
    <row r="50219" spans="1:3">
      <c r="A50219" t="s">
        <v>1840</v>
      </c>
      <c r="B50219" s="1">
        <v>41783</v>
      </c>
      <c r="C50219" s="1"/>
    </row>
    <row r="50220" spans="1:3">
      <c r="A50220" t="s">
        <v>1841</v>
      </c>
      <c r="B50220" s="1">
        <v>41681</v>
      </c>
      <c r="C50220" s="1"/>
    </row>
    <row r="50221" spans="1:3">
      <c r="A50221" t="s">
        <v>1758</v>
      </c>
      <c r="B50221" s="1">
        <v>41949</v>
      </c>
      <c r="C50221" s="1"/>
    </row>
    <row r="50222" spans="1:3">
      <c r="A50222" t="s">
        <v>1842</v>
      </c>
      <c r="B50222" s="1">
        <v>42163</v>
      </c>
      <c r="C50222" s="1"/>
    </row>
    <row r="50223" spans="1:3">
      <c r="A50223" t="s">
        <v>1843</v>
      </c>
      <c r="B50223" s="1">
        <v>41227</v>
      </c>
      <c r="C50223" s="1"/>
    </row>
    <row r="50224" spans="1:3">
      <c r="A50224" t="s">
        <v>1844</v>
      </c>
      <c r="B50224" s="1">
        <v>41419</v>
      </c>
      <c r="C50224" s="1"/>
    </row>
    <row r="50225" spans="1:3">
      <c r="A50225" t="s">
        <v>1845</v>
      </c>
      <c r="B50225" s="1">
        <v>42358</v>
      </c>
      <c r="C50225" s="1"/>
    </row>
    <row r="50226" spans="1:3">
      <c r="A50226" t="s">
        <v>1846</v>
      </c>
      <c r="B50226" s="1">
        <v>41860</v>
      </c>
      <c r="C50226" s="1"/>
    </row>
    <row r="50227" spans="1:3">
      <c r="A50227" t="s">
        <v>1847</v>
      </c>
      <c r="B50227" s="1">
        <v>41636</v>
      </c>
      <c r="C50227" s="1"/>
    </row>
    <row r="50228" spans="1:3">
      <c r="A50228" t="s">
        <v>1848</v>
      </c>
      <c r="B50228" s="1">
        <v>41112</v>
      </c>
      <c r="C50228" s="1"/>
    </row>
    <row r="50229" spans="1:3">
      <c r="A50229" t="s">
        <v>1849</v>
      </c>
      <c r="B50229" s="1">
        <v>41866</v>
      </c>
    </row>
    <row r="50230" spans="1:3">
      <c r="A50230" t="s">
        <v>1850</v>
      </c>
      <c r="B50230" s="1">
        <v>41720</v>
      </c>
      <c r="C50230" s="1"/>
    </row>
    <row r="50231" spans="1:3">
      <c r="A50231" t="s">
        <v>1851</v>
      </c>
      <c r="B50231" s="1">
        <v>41431</v>
      </c>
      <c r="C50231" s="1"/>
    </row>
    <row r="50232" spans="1:3">
      <c r="A50232" t="s">
        <v>1852</v>
      </c>
      <c r="B50232" s="1">
        <v>41457</v>
      </c>
      <c r="C50232" s="1"/>
    </row>
    <row r="50233" spans="1:3">
      <c r="A50233" t="s">
        <v>1853</v>
      </c>
      <c r="B50233" s="1">
        <v>41413</v>
      </c>
      <c r="C50233" s="1"/>
    </row>
    <row r="50234" spans="1:3">
      <c r="A50234" t="s">
        <v>1854</v>
      </c>
      <c r="B50234" s="1">
        <v>42259</v>
      </c>
      <c r="C50234" s="1"/>
    </row>
    <row r="50235" spans="1:3">
      <c r="A50235" t="s">
        <v>1855</v>
      </c>
      <c r="B50235" s="1">
        <v>41207</v>
      </c>
      <c r="C50235" s="1"/>
    </row>
    <row r="50236" spans="1:3">
      <c r="A50236" t="s">
        <v>1833</v>
      </c>
      <c r="B50236" s="1">
        <v>41202</v>
      </c>
      <c r="C50236" s="1"/>
    </row>
    <row r="50237" spans="1:3">
      <c r="A50237" t="s">
        <v>1856</v>
      </c>
      <c r="B50237" s="1">
        <v>42349</v>
      </c>
      <c r="C50237" s="1"/>
    </row>
    <row r="50238" spans="1:3">
      <c r="A50238" t="s">
        <v>1857</v>
      </c>
      <c r="C50238" s="1"/>
    </row>
    <row r="50239" spans="1:3">
      <c r="A50239" t="s">
        <v>1858</v>
      </c>
      <c r="B50239" s="1">
        <v>41793</v>
      </c>
      <c r="C50239" s="1"/>
    </row>
    <row r="50240" spans="1:3">
      <c r="A50240" t="s">
        <v>1859</v>
      </c>
      <c r="B50240" s="1">
        <v>41268</v>
      </c>
      <c r="C50240" s="1"/>
    </row>
    <row r="50241" spans="1:3">
      <c r="A50241" t="s">
        <v>1860</v>
      </c>
      <c r="B50241" s="1">
        <v>42349</v>
      </c>
      <c r="C50241" s="1"/>
    </row>
    <row r="50242" spans="1:3">
      <c r="A50242" t="s">
        <v>1861</v>
      </c>
      <c r="B50242" t="s">
        <v>125</v>
      </c>
      <c r="C50242" s="1"/>
    </row>
    <row r="50243" spans="1:3">
      <c r="A50243" t="s">
        <v>1862</v>
      </c>
      <c r="B50243" s="1">
        <v>42318</v>
      </c>
      <c r="C50243" s="1"/>
    </row>
    <row r="50244" spans="1:3">
      <c r="A50244" t="s">
        <v>1863</v>
      </c>
      <c r="B50244" s="1">
        <v>41543</v>
      </c>
      <c r="C50244" s="1"/>
    </row>
    <row r="50245" spans="1:3">
      <c r="A50245" t="s">
        <v>1864</v>
      </c>
      <c r="B50245" t="s">
        <v>1865</v>
      </c>
      <c r="C50245" s="1"/>
    </row>
    <row r="50246" spans="1:3">
      <c r="A50246" t="s">
        <v>1866</v>
      </c>
      <c r="B50246" s="1">
        <v>42327</v>
      </c>
      <c r="C50246" s="1"/>
    </row>
    <row r="50247" spans="1:3">
      <c r="A50247" t="s">
        <v>1867</v>
      </c>
      <c r="B50247" s="1">
        <v>41198</v>
      </c>
      <c r="C50247" s="1"/>
    </row>
    <row r="50248" spans="1:3">
      <c r="A50248" t="s">
        <v>1868</v>
      </c>
      <c r="B50248" s="1">
        <v>41653</v>
      </c>
      <c r="C50248" s="1"/>
    </row>
    <row r="50249" spans="1:3">
      <c r="A50249" t="s">
        <v>1869</v>
      </c>
      <c r="B50249" s="1">
        <v>41306</v>
      </c>
      <c r="C50249" s="1"/>
    </row>
    <row r="50250" spans="1:3">
      <c r="A50250" t="s">
        <v>1870</v>
      </c>
      <c r="B50250" s="1">
        <v>42336</v>
      </c>
      <c r="C50250" s="1"/>
    </row>
    <row r="50251" spans="1:3">
      <c r="A50251" t="s">
        <v>1832</v>
      </c>
      <c r="B50251" s="1">
        <v>41534</v>
      </c>
      <c r="C50251" s="1"/>
    </row>
    <row r="50252" spans="1:3">
      <c r="A50252" t="s">
        <v>1871</v>
      </c>
      <c r="B50252" s="1">
        <v>41002</v>
      </c>
    </row>
    <row r="50253" spans="1:3">
      <c r="A50253" t="s">
        <v>1872</v>
      </c>
      <c r="B50253" s="1">
        <v>42209</v>
      </c>
      <c r="C50253" s="1"/>
    </row>
    <row r="50254" spans="1:3">
      <c r="A50254" t="s">
        <v>1873</v>
      </c>
      <c r="B50254" s="1">
        <v>42315</v>
      </c>
      <c r="C50254" s="1"/>
    </row>
    <row r="50255" spans="1:3">
      <c r="A50255" t="s">
        <v>1874</v>
      </c>
      <c r="B50255" s="1">
        <v>42364</v>
      </c>
      <c r="C50255" s="1"/>
    </row>
    <row r="50256" spans="1:3">
      <c r="A50256" t="s">
        <v>1832</v>
      </c>
      <c r="B50256" s="1">
        <v>41534</v>
      </c>
      <c r="C50256" s="1"/>
    </row>
    <row r="50257" spans="1:3">
      <c r="A50257" t="s">
        <v>1875</v>
      </c>
      <c r="B50257" s="1">
        <v>41725</v>
      </c>
      <c r="C50257" s="1"/>
    </row>
    <row r="50258" spans="1:3">
      <c r="A50258" t="s">
        <v>1863</v>
      </c>
      <c r="B50258" s="1">
        <v>41543</v>
      </c>
      <c r="C50258" s="1"/>
    </row>
    <row r="50259" spans="1:3">
      <c r="A50259" t="s">
        <v>1876</v>
      </c>
      <c r="B50259" s="1">
        <v>41950</v>
      </c>
      <c r="C50259" s="1"/>
    </row>
    <row r="50260" spans="1:3">
      <c r="A50260" t="s">
        <v>1877</v>
      </c>
      <c r="B50260" s="1">
        <v>41534</v>
      </c>
      <c r="C50260" s="1"/>
    </row>
    <row r="50261" spans="1:3">
      <c r="A50261" t="s">
        <v>1878</v>
      </c>
      <c r="B50261" s="1">
        <v>42276</v>
      </c>
      <c r="C50261" s="1"/>
    </row>
    <row r="50262" spans="1:3">
      <c r="A50262" t="s">
        <v>1872</v>
      </c>
      <c r="B50262" s="1">
        <v>42209</v>
      </c>
      <c r="C50262" s="1"/>
    </row>
    <row r="50263" spans="1:3">
      <c r="A50263" t="s">
        <v>1879</v>
      </c>
      <c r="B50263" s="1">
        <v>41996</v>
      </c>
      <c r="C50263" s="1"/>
    </row>
    <row r="50264" spans="1:3">
      <c r="A50264" t="s">
        <v>1880</v>
      </c>
      <c r="B50264" s="1">
        <v>41566</v>
      </c>
      <c r="C50264" s="1"/>
    </row>
    <row r="50265" spans="1:3">
      <c r="A50265" t="s">
        <v>1881</v>
      </c>
      <c r="B50265" t="s">
        <v>1882</v>
      </c>
      <c r="C50265" s="1"/>
    </row>
    <row r="50266" spans="1:3">
      <c r="A50266" t="s">
        <v>1883</v>
      </c>
      <c r="B50266" s="1">
        <v>41482</v>
      </c>
      <c r="C50266" s="1"/>
    </row>
    <row r="50267" spans="1:3">
      <c r="A50267" t="s">
        <v>1863</v>
      </c>
      <c r="B50267" s="1">
        <v>41543</v>
      </c>
      <c r="C50267" s="1"/>
    </row>
    <row r="50269" spans="1:3">
      <c r="A50269" t="s">
        <v>1884</v>
      </c>
      <c r="B50269" s="1">
        <v>42363</v>
      </c>
      <c r="C50269" s="1"/>
    </row>
    <row r="50270" spans="1:3">
      <c r="A50270" t="s">
        <v>1885</v>
      </c>
      <c r="C50270" s="1"/>
    </row>
    <row r="50271" spans="1:3">
      <c r="A50271" t="s">
        <v>1886</v>
      </c>
      <c r="B50271" s="1">
        <v>41917</v>
      </c>
    </row>
    <row r="50272" spans="1:3">
      <c r="A50272" t="s">
        <v>1867</v>
      </c>
      <c r="B50272" s="1">
        <v>41198</v>
      </c>
      <c r="C50272" s="1"/>
    </row>
    <row r="50273" spans="1:3">
      <c r="A50273" t="s">
        <v>1832</v>
      </c>
      <c r="B50273" s="1">
        <v>41534</v>
      </c>
      <c r="C50273" s="1"/>
    </row>
    <row r="50274" spans="1:3">
      <c r="A50274" t="s">
        <v>1832</v>
      </c>
      <c r="B50274" s="1">
        <v>41534</v>
      </c>
      <c r="C50274" s="1"/>
    </row>
    <row r="50275" spans="1:3">
      <c r="A50275" t="s">
        <v>1887</v>
      </c>
      <c r="B50275" s="1">
        <v>41878</v>
      </c>
      <c r="C50275" s="1"/>
    </row>
    <row r="50276" spans="1:3">
      <c r="A50276" t="s">
        <v>1832</v>
      </c>
      <c r="B50276" s="1">
        <v>41534</v>
      </c>
      <c r="C50276" s="1"/>
    </row>
    <row r="50277" spans="1:3">
      <c r="A50277" t="s">
        <v>1832</v>
      </c>
      <c r="B50277" s="1">
        <v>41534</v>
      </c>
      <c r="C50277" s="1"/>
    </row>
    <row r="50278" spans="1:3">
      <c r="A50278" t="s">
        <v>1888</v>
      </c>
      <c r="B50278" s="1">
        <v>41530</v>
      </c>
      <c r="C50278" s="1"/>
    </row>
    <row r="50279" spans="1:3">
      <c r="A50279" t="s">
        <v>1889</v>
      </c>
      <c r="B50279" s="1">
        <v>41026</v>
      </c>
      <c r="C50279" s="1"/>
    </row>
    <row r="50280" spans="1:3">
      <c r="A50280" t="s">
        <v>1890</v>
      </c>
      <c r="B50280" s="1">
        <v>41437</v>
      </c>
      <c r="C50280" s="1"/>
    </row>
    <row r="50281" spans="1:3">
      <c r="A50281" t="s">
        <v>1891</v>
      </c>
      <c r="B50281" s="1">
        <v>41797</v>
      </c>
      <c r="C50281" s="1"/>
    </row>
    <row r="50282" spans="1:3">
      <c r="B50282" t="s">
        <v>1892</v>
      </c>
      <c r="C50282" s="1"/>
    </row>
    <row r="50283" spans="1:3">
      <c r="A50283" t="s">
        <v>1893</v>
      </c>
      <c r="B50283" s="1">
        <v>41840</v>
      </c>
      <c r="C50283" s="1"/>
    </row>
    <row r="50284" spans="1:3">
      <c r="A50284" t="s">
        <v>1894</v>
      </c>
      <c r="C50284" s="1"/>
    </row>
    <row r="50285" spans="1:3">
      <c r="A50285" t="s">
        <v>1894</v>
      </c>
      <c r="B50285" s="1">
        <v>41962</v>
      </c>
      <c r="C50285" s="1"/>
    </row>
    <row r="50286" spans="1:3">
      <c r="A50286" t="s">
        <v>1895</v>
      </c>
      <c r="B50286" s="1">
        <v>42149</v>
      </c>
      <c r="C50286" s="1"/>
    </row>
    <row r="50287" spans="1:3">
      <c r="A50287" t="s">
        <v>1896</v>
      </c>
      <c r="B50287" s="1">
        <v>42271</v>
      </c>
      <c r="C50287" s="1"/>
    </row>
    <row r="50288" spans="1:3">
      <c r="A50288" t="s">
        <v>1897</v>
      </c>
      <c r="B50288" s="1">
        <v>42354</v>
      </c>
    </row>
    <row r="50289" spans="1:3">
      <c r="A50289" t="s">
        <v>1898</v>
      </c>
      <c r="B50289" t="s">
        <v>1899</v>
      </c>
      <c r="C50289" s="1"/>
    </row>
    <row r="50290" spans="1:3">
      <c r="A50290" t="s">
        <v>1900</v>
      </c>
      <c r="B50290" s="1">
        <v>41536</v>
      </c>
      <c r="C50290" s="1"/>
    </row>
    <row r="50291" spans="1:3">
      <c r="A50291" t="s">
        <v>1901</v>
      </c>
      <c r="B50291" s="1">
        <v>42346</v>
      </c>
      <c r="C50291" s="1"/>
    </row>
    <row r="50292" spans="1:3">
      <c r="A50292" t="s">
        <v>1893</v>
      </c>
      <c r="B50292" s="1">
        <v>41840</v>
      </c>
      <c r="C50292" s="1"/>
    </row>
    <row r="50293" spans="1:3">
      <c r="A50293" t="s">
        <v>1902</v>
      </c>
      <c r="B50293" s="1">
        <v>41730</v>
      </c>
      <c r="C50293" s="1"/>
    </row>
    <row r="50294" spans="1:3">
      <c r="A50294" t="s">
        <v>1903</v>
      </c>
      <c r="B50294" s="1">
        <v>41429</v>
      </c>
      <c r="C50294" s="1"/>
    </row>
    <row r="50295" spans="1:3">
      <c r="A50295" t="s">
        <v>1904</v>
      </c>
      <c r="B50295" s="1">
        <v>41215</v>
      </c>
      <c r="C50295" s="1"/>
    </row>
    <row r="50296" spans="1:3">
      <c r="A50296" t="s">
        <v>1905</v>
      </c>
      <c r="B50296" s="1">
        <v>41839</v>
      </c>
      <c r="C50296" s="1"/>
    </row>
    <row r="50297" spans="1:3">
      <c r="A50297" t="s">
        <v>1906</v>
      </c>
      <c r="B50297" s="1">
        <v>41649</v>
      </c>
      <c r="C50297" s="1"/>
    </row>
    <row r="50298" spans="1:3">
      <c r="A50298" t="s">
        <v>1907</v>
      </c>
      <c r="B50298" s="1">
        <v>42316</v>
      </c>
    </row>
    <row r="50299" spans="1:3">
      <c r="A50299" t="s">
        <v>1908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1909</v>
      </c>
      <c r="B50301" s="1">
        <v>42365</v>
      </c>
      <c r="C50301" s="1"/>
    </row>
    <row r="50302" spans="1:3">
      <c r="A50302" t="s">
        <v>1903</v>
      </c>
      <c r="B50302" s="1">
        <v>41429</v>
      </c>
      <c r="C50302" s="1"/>
    </row>
    <row r="50303" spans="1:3">
      <c r="A50303" t="s">
        <v>1910</v>
      </c>
      <c r="B50303" s="1">
        <v>42182</v>
      </c>
      <c r="C50303" s="1"/>
    </row>
    <row r="50304" spans="1:3">
      <c r="A50304" t="s">
        <v>1911</v>
      </c>
      <c r="B50304" s="1">
        <v>42297</v>
      </c>
      <c r="C50304" s="1"/>
    </row>
    <row r="50305" spans="1:3">
      <c r="A50305" t="s">
        <v>1912</v>
      </c>
      <c r="B50305" s="1">
        <v>41538</v>
      </c>
      <c r="C50305" s="1"/>
    </row>
    <row r="50306" spans="1:3">
      <c r="A50306" t="s">
        <v>1913</v>
      </c>
      <c r="B50306" s="1">
        <v>41314</v>
      </c>
      <c r="C50306" s="1"/>
    </row>
    <row r="50307" spans="1:3">
      <c r="A50307" t="s">
        <v>1914</v>
      </c>
      <c r="B50307" s="1">
        <v>41868</v>
      </c>
      <c r="C50307" s="1"/>
    </row>
    <row r="50308" spans="1:3">
      <c r="A50308" t="s">
        <v>1915</v>
      </c>
      <c r="B50308" s="1">
        <v>42305</v>
      </c>
      <c r="C50308" s="1"/>
    </row>
    <row r="50309" spans="1:3">
      <c r="A50309" t="s">
        <v>1916</v>
      </c>
      <c r="B50309" s="1">
        <v>41651</v>
      </c>
      <c r="C50309" s="1"/>
    </row>
    <row r="50310" spans="1:3">
      <c r="A50310" t="s">
        <v>1917</v>
      </c>
      <c r="B50310" s="1">
        <v>41901</v>
      </c>
      <c r="C50310" s="1"/>
    </row>
    <row r="50311" spans="1:3">
      <c r="A50311" t="s">
        <v>1918</v>
      </c>
      <c r="B50311" s="1">
        <v>41201</v>
      </c>
      <c r="C50311" s="1"/>
    </row>
    <row r="50312" spans="1:3">
      <c r="A50312" t="s">
        <v>1919</v>
      </c>
      <c r="B50312" s="1">
        <v>41879</v>
      </c>
      <c r="C50312" s="1"/>
    </row>
    <row r="50313" spans="1:3">
      <c r="A50313" t="s">
        <v>1920</v>
      </c>
      <c r="B50313" s="1">
        <v>41410</v>
      </c>
      <c r="C50313" s="1"/>
    </row>
    <row r="50314" spans="1:3">
      <c r="A50314" t="s">
        <v>1921</v>
      </c>
      <c r="B50314" s="1">
        <v>41504</v>
      </c>
      <c r="C50314" s="1"/>
    </row>
    <row r="50315" spans="1:3">
      <c r="A50315" t="s">
        <v>1922</v>
      </c>
      <c r="B50315" s="1">
        <v>42256</v>
      </c>
      <c r="C50315" s="1"/>
    </row>
    <row r="50316" spans="1:3">
      <c r="A50316" t="s">
        <v>1923</v>
      </c>
      <c r="B50316" s="1">
        <v>41691</v>
      </c>
      <c r="C50316" s="1"/>
    </row>
    <row r="50317" spans="1:3">
      <c r="A50317" t="s">
        <v>1924</v>
      </c>
      <c r="B50317" s="1">
        <v>41065</v>
      </c>
      <c r="C50317" s="1"/>
    </row>
    <row r="50318" spans="1:3">
      <c r="A50318" t="s">
        <v>1925</v>
      </c>
      <c r="B50318" s="1">
        <v>41782</v>
      </c>
      <c r="C50318" s="1"/>
    </row>
    <row r="50319" spans="1:3">
      <c r="A50319" t="s">
        <v>1912</v>
      </c>
      <c r="C50319" s="1"/>
    </row>
    <row r="50320" spans="1:3">
      <c r="A50320" t="s">
        <v>1926</v>
      </c>
      <c r="B50320" s="1">
        <v>41790</v>
      </c>
      <c r="C50320" s="1"/>
    </row>
    <row r="50321" spans="1:3">
      <c r="A50321" t="s">
        <v>1927</v>
      </c>
      <c r="B50321" s="1">
        <v>41187</v>
      </c>
      <c r="C50321" s="1"/>
    </row>
    <row r="50322" spans="1:3">
      <c r="A50322" t="s">
        <v>1928</v>
      </c>
      <c r="B50322" s="1">
        <v>42314</v>
      </c>
      <c r="C50322" s="1"/>
    </row>
    <row r="50323" spans="1:3">
      <c r="A50323" t="s">
        <v>1929</v>
      </c>
      <c r="B50323" s="1">
        <v>41892</v>
      </c>
      <c r="C50323" s="1"/>
    </row>
    <row r="50324" spans="1:3">
      <c r="A50324" t="s">
        <v>1930</v>
      </c>
      <c r="B50324" s="1">
        <v>42219</v>
      </c>
      <c r="C50324" s="1"/>
    </row>
    <row r="50325" spans="1:3">
      <c r="A50325" t="s">
        <v>1931</v>
      </c>
      <c r="B50325" s="1">
        <v>42179</v>
      </c>
      <c r="C50325" s="1"/>
    </row>
    <row r="50326" spans="1:3">
      <c r="A50326" t="s">
        <v>1932</v>
      </c>
      <c r="B50326" s="1">
        <v>42250</v>
      </c>
      <c r="C50326" s="1"/>
    </row>
    <row r="50327" spans="1:3">
      <c r="A50327" t="s">
        <v>1933</v>
      </c>
      <c r="B50327" s="1">
        <v>42069</v>
      </c>
      <c r="C50327" s="1"/>
    </row>
    <row r="50328" spans="1:3">
      <c r="A50328" t="s">
        <v>1934</v>
      </c>
      <c r="B50328" s="1">
        <v>42204</v>
      </c>
      <c r="C50328" s="1"/>
    </row>
    <row r="50329" spans="1:3">
      <c r="B50329" t="s">
        <v>1935</v>
      </c>
      <c r="C50329" s="1"/>
    </row>
    <row r="50330" spans="1:3">
      <c r="A50330" t="s">
        <v>1936</v>
      </c>
      <c r="B50330" s="1">
        <v>41842</v>
      </c>
      <c r="C50330" s="1"/>
    </row>
    <row r="50331" spans="1:3">
      <c r="A50331" t="s">
        <v>1937</v>
      </c>
      <c r="B50331" s="2">
        <v>44451</v>
      </c>
      <c r="C50331" s="1"/>
    </row>
    <row r="50332" spans="1:3">
      <c r="A50332" t="s">
        <v>1938</v>
      </c>
      <c r="B50332" s="1">
        <v>41535</v>
      </c>
      <c r="C50332" s="1"/>
    </row>
    <row r="50333" spans="1:3">
      <c r="A50333" t="s">
        <v>1939</v>
      </c>
      <c r="B50333" s="1">
        <v>42136</v>
      </c>
      <c r="C50333" s="1"/>
    </row>
    <row r="50334" spans="1:3">
      <c r="A50334" t="s">
        <v>1940</v>
      </c>
      <c r="B50334" s="1">
        <v>41751</v>
      </c>
      <c r="C50334" s="1"/>
    </row>
    <row r="50335" spans="1:3">
      <c r="A50335" t="s">
        <v>1941</v>
      </c>
      <c r="B50335" s="1">
        <v>41935</v>
      </c>
      <c r="C50335" s="1"/>
    </row>
    <row r="50336" spans="1:3">
      <c r="A50336" t="s">
        <v>1942</v>
      </c>
      <c r="B50336" s="1">
        <v>41787</v>
      </c>
      <c r="C50336" s="1"/>
    </row>
    <row r="50337" spans="1:3">
      <c r="A50337" t="s">
        <v>1943</v>
      </c>
      <c r="B50337" s="1">
        <v>42322</v>
      </c>
      <c r="C50337" s="1"/>
    </row>
    <row r="50338" spans="1:3">
      <c r="A50338" t="s">
        <v>1944</v>
      </c>
      <c r="B50338" s="1">
        <v>41814</v>
      </c>
      <c r="C50338" s="1"/>
    </row>
    <row r="50339" spans="1:3">
      <c r="A50339" t="s">
        <v>1945</v>
      </c>
      <c r="B50339" s="1">
        <v>41578</v>
      </c>
      <c r="C50339" s="1"/>
    </row>
    <row r="50340" spans="1:3">
      <c r="A50340" t="s">
        <v>1946</v>
      </c>
      <c r="B50340" s="1">
        <v>41509</v>
      </c>
      <c r="C50340" s="1"/>
    </row>
    <row r="50341" spans="1:3">
      <c r="A50341" t="s">
        <v>1947</v>
      </c>
      <c r="B50341" s="1">
        <v>42238</v>
      </c>
      <c r="C50341" s="1"/>
    </row>
    <row r="50342" spans="1:3">
      <c r="A50342" t="s">
        <v>1948</v>
      </c>
      <c r="B50342" s="1">
        <v>42297</v>
      </c>
      <c r="C50342" s="1"/>
    </row>
    <row r="50343" spans="1:3">
      <c r="A50343" t="s">
        <v>1949</v>
      </c>
      <c r="B50343" s="1">
        <v>41978</v>
      </c>
      <c r="C50343" s="1"/>
    </row>
    <row r="50344" spans="1:3">
      <c r="A50344" t="s">
        <v>1950</v>
      </c>
      <c r="B50344" s="1">
        <v>41187</v>
      </c>
      <c r="C50344" s="1"/>
    </row>
    <row r="50345" spans="1:3">
      <c r="A50345" t="s">
        <v>1951</v>
      </c>
      <c r="B50345" s="1">
        <v>41003</v>
      </c>
      <c r="C50345" s="1"/>
    </row>
    <row r="50346" spans="1:3">
      <c r="A50346" t="s">
        <v>1952</v>
      </c>
      <c r="B50346" s="1">
        <v>41478</v>
      </c>
      <c r="C50346" s="1"/>
    </row>
    <row r="50347" spans="1:3">
      <c r="A50347" t="s">
        <v>1952</v>
      </c>
      <c r="B50347" s="1">
        <v>41478</v>
      </c>
      <c r="C50347" s="1"/>
    </row>
    <row r="50348" spans="1:3">
      <c r="A50348" t="s">
        <v>1953</v>
      </c>
      <c r="B50348" s="1">
        <v>41823</v>
      </c>
      <c r="C50348" s="1"/>
    </row>
    <row r="50349" spans="1:3">
      <c r="A50349" t="s">
        <v>975</v>
      </c>
      <c r="B50349" s="1">
        <v>41404</v>
      </c>
      <c r="C50349" s="1"/>
    </row>
    <row r="50350" spans="1:3">
      <c r="A50350" t="s">
        <v>1947</v>
      </c>
      <c r="B50350" s="1">
        <v>42238</v>
      </c>
      <c r="C50350" s="1"/>
    </row>
    <row r="50351" spans="1:3">
      <c r="A50351" t="s">
        <v>1954</v>
      </c>
      <c r="B50351" s="1">
        <v>42276</v>
      </c>
      <c r="C50351" s="1"/>
    </row>
    <row r="50352" spans="1:3">
      <c r="A50352" t="s">
        <v>1955</v>
      </c>
      <c r="B50352" s="1">
        <v>42325</v>
      </c>
      <c r="C50352" s="1"/>
    </row>
    <row r="50353" spans="1:3">
      <c r="A50353" t="s">
        <v>1956</v>
      </c>
      <c r="B50353" s="1">
        <v>41020</v>
      </c>
      <c r="C50353" s="1"/>
    </row>
    <row r="50354" spans="1:3">
      <c r="A50354" t="s">
        <v>1957</v>
      </c>
      <c r="B50354" s="1">
        <v>41907</v>
      </c>
      <c r="C50354" s="1"/>
    </row>
    <row r="50355" spans="1:3">
      <c r="A50355" t="s">
        <v>1958</v>
      </c>
      <c r="B50355" s="1">
        <v>41521</v>
      </c>
      <c r="C50355" s="1"/>
    </row>
    <row r="50356" spans="1:3">
      <c r="A50356" t="s">
        <v>1959</v>
      </c>
      <c r="B50356" s="1">
        <v>41864</v>
      </c>
      <c r="C50356" s="1"/>
    </row>
    <row r="50357" spans="1:3">
      <c r="A50357" t="s">
        <v>1960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1961</v>
      </c>
      <c r="B50359" s="1">
        <v>42173</v>
      </c>
      <c r="C50359" s="1"/>
    </row>
    <row r="50360" spans="1:3">
      <c r="A50360" t="s">
        <v>1960</v>
      </c>
      <c r="B50360" s="1">
        <v>42182</v>
      </c>
      <c r="C50360" s="1"/>
    </row>
    <row r="50361" spans="1:3">
      <c r="A50361" t="s">
        <v>1962</v>
      </c>
      <c r="B50361" s="1">
        <v>41867</v>
      </c>
      <c r="C50361" s="1"/>
    </row>
    <row r="50362" spans="1:3">
      <c r="A50362" t="s">
        <v>1963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1964</v>
      </c>
      <c r="B50364" s="1">
        <v>41219</v>
      </c>
      <c r="C50364" s="1"/>
    </row>
    <row r="50365" spans="1:3">
      <c r="A50365" t="s">
        <v>1965</v>
      </c>
      <c r="B50365" s="1">
        <v>41444</v>
      </c>
      <c r="C50365" s="1"/>
    </row>
    <row r="50366" spans="1:3">
      <c r="A50366" t="s">
        <v>1966</v>
      </c>
      <c r="B50366" s="1">
        <v>42024</v>
      </c>
      <c r="C50366" s="1"/>
    </row>
    <row r="50367" spans="1:3">
      <c r="A50367" t="s">
        <v>1870</v>
      </c>
      <c r="B50367" s="1">
        <v>42336</v>
      </c>
      <c r="C50367" s="1"/>
    </row>
    <row r="50368" spans="1:3">
      <c r="A50368" t="s">
        <v>1967</v>
      </c>
      <c r="B50368" s="1">
        <v>41948</v>
      </c>
      <c r="C50368" s="1"/>
    </row>
    <row r="50369" spans="1:3">
      <c r="A50369" t="s">
        <v>1968</v>
      </c>
      <c r="B50369" t="s">
        <v>930</v>
      </c>
      <c r="C50369" s="1"/>
    </row>
    <row r="50370" spans="1:3">
      <c r="A50370" t="s">
        <v>1969</v>
      </c>
      <c r="B50370" s="1">
        <v>42178</v>
      </c>
      <c r="C50370" s="1"/>
    </row>
    <row r="50371" spans="1:3">
      <c r="A50371" t="s">
        <v>1970</v>
      </c>
      <c r="B50371" s="1">
        <v>42220</v>
      </c>
      <c r="C50371" s="1"/>
    </row>
    <row r="50372" spans="1:3">
      <c r="A50372" t="s">
        <v>1971</v>
      </c>
      <c r="B50372" s="1">
        <v>42299</v>
      </c>
      <c r="C50372" s="1"/>
    </row>
    <row r="50373" spans="1:3">
      <c r="A50373" t="s">
        <v>1972</v>
      </c>
      <c r="B50373" s="1">
        <v>41863</v>
      </c>
      <c r="C50373" s="1"/>
    </row>
    <row r="50374" spans="1:3">
      <c r="A50374" t="s">
        <v>1973</v>
      </c>
      <c r="B50374" s="1">
        <v>41118</v>
      </c>
      <c r="C50374" s="1"/>
    </row>
    <row r="50375" spans="1:3">
      <c r="A50375" t="s">
        <v>1974</v>
      </c>
      <c r="B50375" s="1">
        <v>42019</v>
      </c>
      <c r="C50375" s="1"/>
    </row>
    <row r="50376" spans="1:3">
      <c r="A50376" t="s">
        <v>1975</v>
      </c>
      <c r="B50376" s="1">
        <v>41023</v>
      </c>
      <c r="C50376" s="1"/>
    </row>
    <row r="50377" spans="1:3">
      <c r="A50377" t="s">
        <v>1976</v>
      </c>
      <c r="B50377" s="1">
        <v>41334</v>
      </c>
      <c r="C50377" s="1"/>
    </row>
    <row r="50378" spans="1:3">
      <c r="A50378" t="s">
        <v>1977</v>
      </c>
      <c r="B50378" s="1">
        <v>41572</v>
      </c>
    </row>
    <row r="50379" spans="1:3">
      <c r="A50379" t="s">
        <v>1978</v>
      </c>
      <c r="B50379" s="1">
        <v>42287</v>
      </c>
      <c r="C50379" s="1"/>
    </row>
    <row r="50380" spans="1:3">
      <c r="A50380" t="s">
        <v>1979</v>
      </c>
      <c r="B50380" s="1">
        <v>41916</v>
      </c>
      <c r="C50380" s="1"/>
    </row>
    <row r="50381" spans="1:3">
      <c r="A50381" t="s">
        <v>1974</v>
      </c>
      <c r="B50381" s="1">
        <v>42019</v>
      </c>
      <c r="C50381" s="1"/>
    </row>
    <row r="50382" spans="1:3">
      <c r="A50382" t="s">
        <v>1980</v>
      </c>
      <c r="B50382" s="1">
        <v>41969</v>
      </c>
      <c r="C50382" s="1"/>
    </row>
    <row r="50383" spans="1:3">
      <c r="A50383" t="s">
        <v>1981</v>
      </c>
      <c r="B50383" s="1">
        <v>42217</v>
      </c>
      <c r="C50383" s="1"/>
    </row>
    <row r="50384" spans="1:3">
      <c r="A50384" t="s">
        <v>1982</v>
      </c>
      <c r="B50384" s="1">
        <v>41285</v>
      </c>
      <c r="C50384" s="1"/>
    </row>
    <row r="50385" spans="1:3">
      <c r="A50385" t="s">
        <v>1983</v>
      </c>
      <c r="B50385" s="1">
        <v>40947</v>
      </c>
      <c r="C50385" s="1"/>
    </row>
    <row r="50386" spans="1:3">
      <c r="A50386" t="s">
        <v>1984</v>
      </c>
      <c r="B50386" s="1">
        <v>42218</v>
      </c>
      <c r="C50386" s="1"/>
    </row>
    <row r="50387" spans="1:3">
      <c r="A50387" t="s">
        <v>1963</v>
      </c>
      <c r="B50387" s="1">
        <v>41948</v>
      </c>
      <c r="C50387" s="1"/>
    </row>
    <row r="50388" spans="1:3">
      <c r="A50388" t="s">
        <v>1963</v>
      </c>
      <c r="B50388" s="2">
        <v>41948</v>
      </c>
      <c r="C50388" s="1"/>
    </row>
    <row r="50389" spans="1:3">
      <c r="A50389" t="s">
        <v>1963</v>
      </c>
      <c r="C50389" s="1"/>
    </row>
    <row r="50390" spans="1:3">
      <c r="A50390" t="s">
        <v>1985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1986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1986</v>
      </c>
      <c r="B50394" s="1">
        <v>41223</v>
      </c>
      <c r="C50394" s="1"/>
    </row>
    <row r="50395" spans="1:3">
      <c r="A50395" t="s">
        <v>1987</v>
      </c>
      <c r="B50395" s="1">
        <v>41692</v>
      </c>
      <c r="C50395" s="1"/>
    </row>
    <row r="50396" spans="1:3">
      <c r="A50396" t="s">
        <v>1988</v>
      </c>
      <c r="B50396" s="1">
        <v>42088</v>
      </c>
      <c r="C50396" s="1"/>
    </row>
    <row r="50397" spans="1:3">
      <c r="A50397" t="s">
        <v>1987</v>
      </c>
      <c r="B50397" s="1">
        <v>41692</v>
      </c>
    </row>
    <row r="50398" spans="1:3">
      <c r="A50398" t="s">
        <v>1989</v>
      </c>
      <c r="B50398" s="1">
        <v>41623</v>
      </c>
      <c r="C50398" s="2"/>
    </row>
    <row r="50399" spans="1:3">
      <c r="A50399" t="s">
        <v>1990</v>
      </c>
      <c r="B50399" s="1">
        <v>42167</v>
      </c>
      <c r="C50399" s="1"/>
    </row>
    <row r="50400" spans="1:3">
      <c r="A50400" t="s">
        <v>1991</v>
      </c>
      <c r="B50400" s="1">
        <v>42312</v>
      </c>
      <c r="C50400" s="1"/>
    </row>
    <row r="50401" spans="1:3">
      <c r="A50401" t="s">
        <v>1992</v>
      </c>
      <c r="C50401" s="1"/>
    </row>
    <row r="50402" spans="1:3">
      <c r="A50402" t="s">
        <v>1993</v>
      </c>
      <c r="B50402" s="1">
        <v>41612</v>
      </c>
      <c r="C50402" s="1"/>
    </row>
    <row r="50403" spans="1:3">
      <c r="A50403" t="s">
        <v>1994</v>
      </c>
      <c r="B50403" s="1">
        <v>41271</v>
      </c>
      <c r="C50403" s="1"/>
    </row>
    <row r="50404" spans="1:3">
      <c r="A50404" t="s">
        <v>1995</v>
      </c>
      <c r="B50404" s="1">
        <v>42188</v>
      </c>
      <c r="C50404" s="1"/>
    </row>
    <row r="50405" spans="1:3">
      <c r="A50405" t="s">
        <v>1996</v>
      </c>
      <c r="B50405" s="1">
        <v>41608</v>
      </c>
      <c r="C50405" s="1"/>
    </row>
    <row r="50406" spans="1:3">
      <c r="A50406" t="s">
        <v>1997</v>
      </c>
      <c r="B50406" s="1">
        <v>41732</v>
      </c>
      <c r="C50406" s="1"/>
    </row>
    <row r="50407" spans="1:3">
      <c r="A50407" t="s">
        <v>1998</v>
      </c>
      <c r="B50407" s="1">
        <v>42334</v>
      </c>
      <c r="C50407" s="1"/>
    </row>
    <row r="50408" spans="1:3">
      <c r="A50408" t="s">
        <v>1999</v>
      </c>
      <c r="B50408" s="1">
        <v>41087</v>
      </c>
      <c r="C50408" s="1"/>
    </row>
    <row r="50409" spans="1:3">
      <c r="A50409" t="s">
        <v>2000</v>
      </c>
      <c r="B50409" s="1">
        <v>42293</v>
      </c>
      <c r="C50409" s="1"/>
    </row>
    <row r="50410" spans="1:3">
      <c r="A50410" t="s">
        <v>2001</v>
      </c>
      <c r="B50410" s="1">
        <v>42274</v>
      </c>
      <c r="C50410" s="1"/>
    </row>
    <row r="50411" spans="1:3">
      <c r="A50411" t="s">
        <v>2002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1987</v>
      </c>
      <c r="B50413" s="1">
        <v>41692</v>
      </c>
      <c r="C50413" s="1"/>
    </row>
    <row r="50414" spans="1:3">
      <c r="A50414" t="s">
        <v>1993</v>
      </c>
      <c r="B50414" s="1">
        <v>41612</v>
      </c>
      <c r="C50414" s="1"/>
    </row>
    <row r="50415" spans="1:3">
      <c r="A50415" t="s">
        <v>2003</v>
      </c>
      <c r="B50415" s="1">
        <v>42003</v>
      </c>
      <c r="C50415" s="1"/>
    </row>
    <row r="50416" spans="1:3">
      <c r="A50416" t="s">
        <v>2004</v>
      </c>
      <c r="B50416" s="1">
        <v>41728</v>
      </c>
      <c r="C50416" s="1"/>
    </row>
    <row r="50417" spans="1:3">
      <c r="A50417" t="s">
        <v>2004</v>
      </c>
      <c r="B50417" s="1">
        <v>41728</v>
      </c>
      <c r="C50417" s="1"/>
    </row>
    <row r="50418" spans="1:3">
      <c r="A50418" t="s">
        <v>2005</v>
      </c>
      <c r="B50418" s="1">
        <v>41219</v>
      </c>
      <c r="C50418" s="1"/>
    </row>
    <row r="50419" spans="1:3">
      <c r="A50419" t="s">
        <v>2006</v>
      </c>
      <c r="B50419" s="1">
        <v>42052</v>
      </c>
      <c r="C50419" s="1"/>
    </row>
    <row r="50420" spans="1:3">
      <c r="A50420" t="s">
        <v>2007</v>
      </c>
      <c r="C50420" s="1"/>
    </row>
    <row r="50421" spans="1:3">
      <c r="A50421" t="s">
        <v>2008</v>
      </c>
      <c r="B50421" s="1">
        <v>42173</v>
      </c>
      <c r="C50421" s="1"/>
    </row>
    <row r="50422" spans="1:3">
      <c r="A50422" t="s">
        <v>2009</v>
      </c>
      <c r="B50422" s="1">
        <v>42250</v>
      </c>
      <c r="C50422" s="1"/>
    </row>
    <row r="50423" spans="1:3">
      <c r="A50423" t="s">
        <v>2010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2011</v>
      </c>
      <c r="B50425" s="1">
        <v>42343</v>
      </c>
      <c r="C50425" s="1"/>
    </row>
    <row r="50426" spans="1:3">
      <c r="A50426" t="s">
        <v>2012</v>
      </c>
      <c r="B50426" s="1">
        <v>41969</v>
      </c>
    </row>
    <row r="50427" spans="1:3">
      <c r="A50427" t="s">
        <v>2013</v>
      </c>
      <c r="B50427" s="1">
        <v>40978</v>
      </c>
      <c r="C50427" s="1"/>
    </row>
    <row r="50428" spans="1:3">
      <c r="A50428" t="s">
        <v>2014</v>
      </c>
      <c r="B50428" s="1">
        <v>41909</v>
      </c>
      <c r="C50428" s="1"/>
    </row>
    <row r="50429" spans="1:3">
      <c r="A50429" t="s">
        <v>2015</v>
      </c>
      <c r="B50429" s="1">
        <v>41112</v>
      </c>
      <c r="C50429" s="1"/>
    </row>
    <row r="50430" spans="1:3">
      <c r="A50430" t="s">
        <v>2005</v>
      </c>
      <c r="B50430" s="1">
        <v>41219</v>
      </c>
      <c r="C50430" s="1"/>
    </row>
    <row r="50431" spans="1:3">
      <c r="A50431" t="s">
        <v>2016</v>
      </c>
      <c r="B50431" s="1">
        <v>40958</v>
      </c>
      <c r="C50431" s="1"/>
    </row>
    <row r="50432" spans="1:3">
      <c r="A50432" t="s">
        <v>2017</v>
      </c>
      <c r="B50432" s="1">
        <v>42013</v>
      </c>
      <c r="C50432" s="1"/>
    </row>
    <row r="50433" spans="1:3">
      <c r="A50433" t="s">
        <v>2018</v>
      </c>
      <c r="B50433" s="1">
        <v>41629</v>
      </c>
      <c r="C50433" s="1"/>
    </row>
    <row r="50434" spans="1:3">
      <c r="A50434" t="s">
        <v>2019</v>
      </c>
      <c r="B50434" s="1">
        <v>41240</v>
      </c>
      <c r="C50434" s="1"/>
    </row>
    <row r="50435" spans="1:3">
      <c r="A50435" t="s">
        <v>2020</v>
      </c>
      <c r="B50435" s="1">
        <v>42116</v>
      </c>
      <c r="C50435" s="1"/>
    </row>
    <row r="50436" spans="1:3">
      <c r="A50436" t="s">
        <v>2021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2022</v>
      </c>
      <c r="B50438" s="1">
        <v>42084</v>
      </c>
      <c r="C50438" s="1"/>
    </row>
    <row r="50439" spans="1:3">
      <c r="A50439" t="s">
        <v>2023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2024</v>
      </c>
      <c r="B50441" s="1">
        <v>41900</v>
      </c>
      <c r="C50441" s="1"/>
    </row>
    <row r="50442" spans="1:3">
      <c r="A50442" t="s">
        <v>2025</v>
      </c>
      <c r="B50442" s="1">
        <v>41258</v>
      </c>
      <c r="C50442" s="1"/>
    </row>
    <row r="50443" spans="1:3">
      <c r="A50443" t="s">
        <v>2026</v>
      </c>
      <c r="B50443" s="1">
        <v>41136</v>
      </c>
      <c r="C50443" s="1"/>
    </row>
    <row r="50444" spans="1:3">
      <c r="A50444" t="s">
        <v>2027</v>
      </c>
      <c r="B50444" s="1">
        <v>42314</v>
      </c>
      <c r="C50444" s="1"/>
    </row>
    <row r="50445" spans="1:3">
      <c r="A50445" t="s">
        <v>2028</v>
      </c>
      <c r="B50445" s="1">
        <v>42291</v>
      </c>
    </row>
    <row r="50446" spans="1:3">
      <c r="A50446" t="s">
        <v>2029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2030</v>
      </c>
      <c r="B50448" s="1">
        <v>41270</v>
      </c>
    </row>
    <row r="50449" spans="1:3">
      <c r="A50449" t="s">
        <v>2031</v>
      </c>
      <c r="B50449" s="1">
        <v>41616</v>
      </c>
      <c r="C50449" s="1"/>
    </row>
    <row r="50450" spans="1:3">
      <c r="A50450" t="s">
        <v>2028</v>
      </c>
      <c r="B50450" s="1">
        <v>42291</v>
      </c>
      <c r="C50450" s="1"/>
    </row>
    <row r="50451" spans="1:3">
      <c r="A50451" t="s">
        <v>2032</v>
      </c>
      <c r="B50451" s="1">
        <v>42173</v>
      </c>
      <c r="C50451" s="1"/>
    </row>
    <row r="50452" spans="1:3">
      <c r="A50452" t="s">
        <v>1792</v>
      </c>
      <c r="B50452" s="1">
        <v>41335</v>
      </c>
      <c r="C50452" s="1"/>
    </row>
    <row r="50453" spans="1:3">
      <c r="A50453" t="s">
        <v>2033</v>
      </c>
      <c r="B50453" s="1">
        <v>42279</v>
      </c>
      <c r="C50453" s="1"/>
    </row>
    <row r="50454" spans="1:3">
      <c r="A50454" t="s">
        <v>2034</v>
      </c>
      <c r="B50454" s="1">
        <v>42024</v>
      </c>
      <c r="C50454" s="1"/>
    </row>
    <row r="50455" spans="1:3">
      <c r="A50455" t="s">
        <v>2035</v>
      </c>
      <c r="B50455" s="1">
        <v>41990</v>
      </c>
    </row>
    <row r="50456" spans="1:3">
      <c r="A50456" t="s">
        <v>2036</v>
      </c>
      <c r="B50456" s="1">
        <v>41174</v>
      </c>
      <c r="C50456" s="1"/>
    </row>
    <row r="50457" spans="1:3">
      <c r="A50457" t="s">
        <v>2028</v>
      </c>
      <c r="B50457" s="1">
        <v>42291</v>
      </c>
      <c r="C50457" s="1"/>
    </row>
    <row r="50458" spans="1:3">
      <c r="A50458" t="s">
        <v>2037</v>
      </c>
      <c r="B50458" s="1">
        <v>40933</v>
      </c>
      <c r="C50458" s="1"/>
    </row>
    <row r="50459" spans="1:3">
      <c r="A50459" t="s">
        <v>2038</v>
      </c>
      <c r="B50459" s="1">
        <v>41836</v>
      </c>
      <c r="C50459" s="1"/>
    </row>
    <row r="50460" spans="1:3">
      <c r="A50460" t="s">
        <v>2039</v>
      </c>
      <c r="B50460" s="1">
        <v>42025</v>
      </c>
      <c r="C50460" s="1"/>
    </row>
    <row r="50461" spans="1:3">
      <c r="A50461" t="s">
        <v>2040</v>
      </c>
      <c r="B50461" t="s">
        <v>2041</v>
      </c>
      <c r="C50461" s="1"/>
    </row>
    <row r="50462" spans="1:3">
      <c r="A50462" t="s">
        <v>2042</v>
      </c>
      <c r="B50462" s="1">
        <v>41892</v>
      </c>
      <c r="C50462" s="1"/>
    </row>
    <row r="50463" spans="1:3">
      <c r="A50463" t="s">
        <v>2043</v>
      </c>
      <c r="B50463" s="1">
        <v>40936</v>
      </c>
      <c r="C50463" s="1"/>
    </row>
    <row r="50464" spans="1:3">
      <c r="A50464" t="s">
        <v>2044</v>
      </c>
      <c r="B50464" s="1">
        <v>41440</v>
      </c>
      <c r="C50464" s="1"/>
    </row>
    <row r="50465" spans="1:3">
      <c r="A50465" t="s">
        <v>2045</v>
      </c>
      <c r="B50465" s="1">
        <v>42168</v>
      </c>
    </row>
    <row r="50466" spans="1:3">
      <c r="A50466" t="s">
        <v>2046</v>
      </c>
      <c r="B50466" s="1">
        <v>42154</v>
      </c>
      <c r="C50466" s="1"/>
    </row>
    <row r="50467" spans="1:3">
      <c r="A50467" t="s">
        <v>2027</v>
      </c>
      <c r="B50467" s="1">
        <v>42166</v>
      </c>
      <c r="C50467" s="1"/>
    </row>
    <row r="50468" spans="1:3">
      <c r="A50468" t="s">
        <v>2047</v>
      </c>
      <c r="B50468" s="1">
        <v>41607</v>
      </c>
      <c r="C50468" s="1"/>
    </row>
    <row r="50469" spans="1:3">
      <c r="A50469" t="s">
        <v>2048</v>
      </c>
      <c r="B50469" s="1">
        <v>41660</v>
      </c>
      <c r="C50469" s="1"/>
    </row>
    <row r="50470" spans="1:3">
      <c r="A50470" t="s">
        <v>2049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2050</v>
      </c>
      <c r="B50472" s="1">
        <v>42339</v>
      </c>
      <c r="C50472" s="1"/>
    </row>
    <row r="50473" spans="1:3">
      <c r="A50473" t="s">
        <v>2051</v>
      </c>
      <c r="B50473" s="1">
        <v>42150</v>
      </c>
      <c r="C50473" s="1"/>
    </row>
    <row r="50474" spans="1:3">
      <c r="A50474" t="s">
        <v>2052</v>
      </c>
      <c r="B50474" t="s">
        <v>2053</v>
      </c>
      <c r="C50474" s="1"/>
    </row>
    <row r="50475" spans="1:3">
      <c r="A50475" t="s">
        <v>2054</v>
      </c>
      <c r="B50475" s="1">
        <v>41214</v>
      </c>
      <c r="C50475" s="1"/>
    </row>
    <row r="50476" spans="1:3">
      <c r="A50476" t="s">
        <v>2055</v>
      </c>
      <c r="B50476" s="1">
        <v>41577</v>
      </c>
      <c r="C50476" s="1"/>
    </row>
    <row r="50477" spans="1:3">
      <c r="A50477" t="s">
        <v>2056</v>
      </c>
      <c r="B50477" s="1">
        <v>41675</v>
      </c>
      <c r="C50477" s="1"/>
    </row>
    <row r="50478" spans="1:3">
      <c r="A50478" t="s">
        <v>2057</v>
      </c>
      <c r="B50478" s="1">
        <v>41234</v>
      </c>
      <c r="C50478" s="1"/>
    </row>
    <row r="50479" spans="1:3">
      <c r="A50479" t="s">
        <v>2058</v>
      </c>
      <c r="B50479" s="1">
        <v>41572</v>
      </c>
      <c r="C50479" s="1"/>
    </row>
    <row r="50480" spans="1:3">
      <c r="A50480" t="s">
        <v>2059</v>
      </c>
      <c r="B50480" s="1">
        <v>41126</v>
      </c>
      <c r="C50480" s="1"/>
    </row>
    <row r="50481" spans="1:3">
      <c r="A50481" t="s">
        <v>2060</v>
      </c>
      <c r="B50481" s="1">
        <v>41422</v>
      </c>
      <c r="C50481" s="1"/>
    </row>
    <row r="50482" spans="1:3">
      <c r="A50482" t="s">
        <v>2061</v>
      </c>
      <c r="B50482" s="1">
        <v>42088</v>
      </c>
      <c r="C50482" s="1"/>
    </row>
    <row r="50483" spans="1:3">
      <c r="A50483" t="s">
        <v>2062</v>
      </c>
      <c r="B50483" s="1">
        <v>41510</v>
      </c>
      <c r="C50483" s="1"/>
    </row>
    <row r="50484" spans="1:3">
      <c r="A50484" t="s">
        <v>2063</v>
      </c>
      <c r="B50484" s="1">
        <v>42349</v>
      </c>
      <c r="C50484" s="1"/>
    </row>
    <row r="50485" spans="1:3">
      <c r="A50485" t="s">
        <v>2051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2064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2065</v>
      </c>
      <c r="B50491" s="1">
        <v>41768</v>
      </c>
      <c r="C50491" s="1"/>
    </row>
    <row r="50492" spans="1:3">
      <c r="A50492" t="s">
        <v>2066</v>
      </c>
      <c r="B50492" s="1">
        <v>42118</v>
      </c>
      <c r="C50492" s="1"/>
    </row>
    <row r="50493" spans="1:3">
      <c r="A50493" t="s">
        <v>1688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2067</v>
      </c>
      <c r="B50495" s="1">
        <v>41639</v>
      </c>
      <c r="C50495" s="1"/>
    </row>
    <row r="50496" spans="1:3">
      <c r="A50496" t="s">
        <v>2060</v>
      </c>
      <c r="B50496" s="1">
        <v>41422</v>
      </c>
      <c r="C50496" s="1"/>
    </row>
    <row r="50497" spans="1:3">
      <c r="A50497" t="s">
        <v>2068</v>
      </c>
      <c r="B50497" s="1">
        <v>41866</v>
      </c>
      <c r="C50497" s="1"/>
    </row>
    <row r="50498" spans="1:3">
      <c r="A50498" t="s">
        <v>2051</v>
      </c>
      <c r="B50498" s="1">
        <v>42150</v>
      </c>
      <c r="C50498" s="1"/>
    </row>
    <row r="50499" spans="1:3">
      <c r="A50499" t="s">
        <v>2069</v>
      </c>
      <c r="B50499" s="1">
        <v>42201</v>
      </c>
      <c r="C50499" s="1"/>
    </row>
    <row r="50500" spans="1:3">
      <c r="A50500" t="s">
        <v>2070</v>
      </c>
      <c r="B50500" s="1">
        <v>41639</v>
      </c>
      <c r="C50500" s="1"/>
    </row>
    <row r="50501" spans="1:3">
      <c r="A50501" t="s">
        <v>2071</v>
      </c>
      <c r="B50501" s="1">
        <v>41992</v>
      </c>
      <c r="C50501" s="1"/>
    </row>
    <row r="50502" spans="1:3">
      <c r="A50502" t="s">
        <v>2072</v>
      </c>
      <c r="B50502" s="1">
        <v>40998</v>
      </c>
    </row>
    <row r="50503" spans="1:3">
      <c r="A50503" t="s">
        <v>2073</v>
      </c>
      <c r="B50503" s="1">
        <v>41434</v>
      </c>
      <c r="C50503" s="1"/>
    </row>
    <row r="50504" spans="1:3">
      <c r="A50504" t="s">
        <v>2074</v>
      </c>
      <c r="B50504" s="1">
        <v>42339</v>
      </c>
      <c r="C50504" s="1"/>
    </row>
    <row r="50505" spans="1:3">
      <c r="A50505" t="s">
        <v>2073</v>
      </c>
      <c r="B50505" s="1">
        <v>41434</v>
      </c>
    </row>
    <row r="50506" spans="1:3">
      <c r="A50506" t="s">
        <v>2075</v>
      </c>
      <c r="B50506" s="1">
        <v>42105</v>
      </c>
      <c r="C50506" s="1"/>
    </row>
    <row r="50507" spans="1:3">
      <c r="A50507" t="s">
        <v>2076</v>
      </c>
      <c r="B50507" s="1">
        <v>41611</v>
      </c>
      <c r="C50507" s="1"/>
    </row>
    <row r="50508" spans="1:3">
      <c r="A50508" t="s">
        <v>2077</v>
      </c>
      <c r="B50508" s="1">
        <v>41241</v>
      </c>
      <c r="C50508" s="1"/>
    </row>
    <row r="50509" spans="1:3">
      <c r="A50509" t="s">
        <v>2078</v>
      </c>
      <c r="B50509" s="1">
        <v>41901</v>
      </c>
      <c r="C50509" s="1"/>
    </row>
    <row r="50510" spans="1:3">
      <c r="A50510" t="s">
        <v>2079</v>
      </c>
      <c r="B50510" s="1">
        <v>41079</v>
      </c>
      <c r="C50510" s="1"/>
    </row>
    <row r="50511" spans="1:3">
      <c r="A50511" t="s">
        <v>2080</v>
      </c>
      <c r="B50511" s="1">
        <v>42132</v>
      </c>
      <c r="C50511" s="1"/>
    </row>
    <row r="50512" spans="1:3">
      <c r="A50512" t="s">
        <v>2081</v>
      </c>
      <c r="B50512" t="s">
        <v>2082</v>
      </c>
      <c r="C50512" s="1"/>
    </row>
    <row r="50513" spans="1:3">
      <c r="A50513" t="s">
        <v>2083</v>
      </c>
      <c r="B50513" s="1">
        <v>41321</v>
      </c>
      <c r="C50513" s="1"/>
    </row>
    <row r="50514" spans="1:3">
      <c r="A50514" t="s">
        <v>2084</v>
      </c>
      <c r="B50514" s="1">
        <v>42120</v>
      </c>
      <c r="C50514" s="2"/>
    </row>
    <row r="50515" spans="1:3">
      <c r="A50515" t="s">
        <v>2085</v>
      </c>
      <c r="B50515" s="1">
        <v>41702</v>
      </c>
      <c r="C50515" s="1"/>
    </row>
    <row r="50516" spans="1:3">
      <c r="A50516" t="s">
        <v>2074</v>
      </c>
      <c r="B50516" s="1">
        <v>42339</v>
      </c>
      <c r="C50516" s="1"/>
    </row>
    <row r="50517" spans="1:3">
      <c r="A50517" t="s">
        <v>2086</v>
      </c>
      <c r="B50517" s="1">
        <v>42339</v>
      </c>
      <c r="C50517" s="1"/>
    </row>
    <row r="50518" spans="1:3">
      <c r="A50518" t="s">
        <v>2087</v>
      </c>
      <c r="B50518" s="1">
        <v>41906</v>
      </c>
      <c r="C50518" s="1"/>
    </row>
    <row r="50519" spans="1:3">
      <c r="A50519" t="s">
        <v>2088</v>
      </c>
      <c r="B50519" s="1">
        <v>41247</v>
      </c>
      <c r="C50519" s="1"/>
    </row>
    <row r="50520" spans="1:3">
      <c r="A50520" t="s">
        <v>2089</v>
      </c>
      <c r="B50520" s="1">
        <v>42255</v>
      </c>
      <c r="C50520" s="1"/>
    </row>
    <row r="50521" spans="1:3">
      <c r="A50521" t="s">
        <v>2074</v>
      </c>
      <c r="C50521" s="1"/>
    </row>
    <row r="50522" spans="1:3">
      <c r="A50522" t="s">
        <v>2090</v>
      </c>
      <c r="B50522" s="1">
        <v>41194</v>
      </c>
      <c r="C50522" s="1"/>
    </row>
    <row r="50523" spans="1:3">
      <c r="A50523" t="s">
        <v>1780</v>
      </c>
      <c r="B50523" s="1">
        <v>41122</v>
      </c>
      <c r="C50523" s="1"/>
    </row>
    <row r="50524" spans="1:3">
      <c r="A50524" t="s">
        <v>2091</v>
      </c>
      <c r="B50524" s="1">
        <v>41852</v>
      </c>
      <c r="C50524" s="1"/>
    </row>
    <row r="50525" spans="1:3">
      <c r="A50525" t="s">
        <v>2092</v>
      </c>
      <c r="B50525" s="1">
        <v>41535</v>
      </c>
      <c r="C50525" s="1"/>
    </row>
    <row r="50526" spans="1:3">
      <c r="A50526" t="s">
        <v>2074</v>
      </c>
      <c r="B50526" s="1">
        <v>42339</v>
      </c>
      <c r="C50526" s="1"/>
    </row>
    <row r="50527" spans="1:3">
      <c r="A50527" t="s">
        <v>2093</v>
      </c>
      <c r="B50527" s="1">
        <v>41250</v>
      </c>
      <c r="C50527" s="1"/>
    </row>
    <row r="50528" spans="1:3">
      <c r="A50528" t="s">
        <v>2094</v>
      </c>
      <c r="B50528" s="1">
        <v>41077</v>
      </c>
    </row>
    <row r="50529" spans="1:3">
      <c r="A50529" t="s">
        <v>2095</v>
      </c>
      <c r="B50529" s="1">
        <v>41324</v>
      </c>
      <c r="C50529" s="1"/>
    </row>
    <row r="50530" spans="1:3">
      <c r="A50530" t="s">
        <v>2096</v>
      </c>
      <c r="B50530" s="1">
        <v>41877</v>
      </c>
      <c r="C50530" s="1"/>
    </row>
    <row r="50531" spans="1:3">
      <c r="A50531" t="s">
        <v>2097</v>
      </c>
      <c r="B50531" s="1">
        <v>42004</v>
      </c>
      <c r="C50531" s="2"/>
    </row>
    <row r="50532" spans="1:3">
      <c r="A50532" t="s">
        <v>783</v>
      </c>
      <c r="B50532" s="1">
        <v>42304</v>
      </c>
      <c r="C50532" s="1"/>
    </row>
    <row r="50533" spans="1:3">
      <c r="A50533" t="s">
        <v>2089</v>
      </c>
      <c r="B50533" s="1">
        <v>42225</v>
      </c>
      <c r="C50533" s="1"/>
    </row>
    <row r="50534" spans="1:3">
      <c r="A50534" t="s">
        <v>2098</v>
      </c>
      <c r="B50534" s="1">
        <v>41891</v>
      </c>
    </row>
    <row r="50535" spans="1:3">
      <c r="A50535" t="s">
        <v>2072</v>
      </c>
      <c r="B50535" s="1">
        <v>40998</v>
      </c>
      <c r="C50535" s="1"/>
    </row>
    <row r="50536" spans="1:3">
      <c r="A50536" t="s">
        <v>2092</v>
      </c>
      <c r="B50536" s="1">
        <v>41535</v>
      </c>
      <c r="C50536" s="1"/>
    </row>
    <row r="50537" spans="1:3">
      <c r="A50537" t="s">
        <v>2074</v>
      </c>
      <c r="B50537" s="1">
        <v>42339</v>
      </c>
      <c r="C50537" s="1"/>
    </row>
    <row r="50538" spans="1:3">
      <c r="A50538" t="s">
        <v>2099</v>
      </c>
      <c r="B50538" s="1">
        <v>41854</v>
      </c>
      <c r="C50538" s="1"/>
    </row>
    <row r="50539" spans="1:3">
      <c r="A50539" t="s">
        <v>2100</v>
      </c>
      <c r="B50539" s="1">
        <v>42175</v>
      </c>
      <c r="C50539" s="1"/>
    </row>
    <row r="50540" spans="1:3">
      <c r="A50540" t="s">
        <v>2072</v>
      </c>
      <c r="C50540" s="1"/>
    </row>
    <row r="50541" spans="1:3">
      <c r="A50541" t="s">
        <v>2092</v>
      </c>
    </row>
    <row r="50542" spans="1:3">
      <c r="A50542" t="s">
        <v>2101</v>
      </c>
      <c r="B50542" s="1">
        <v>42145</v>
      </c>
      <c r="C50542" s="1"/>
    </row>
    <row r="50543" spans="1:3">
      <c r="A50543" t="s">
        <v>2102</v>
      </c>
      <c r="B50543" s="1">
        <v>42007</v>
      </c>
      <c r="C50543" s="1"/>
    </row>
    <row r="50544" spans="1:3">
      <c r="A50544" t="s">
        <v>2103</v>
      </c>
      <c r="B50544" s="1">
        <v>41310</v>
      </c>
      <c r="C50544" s="1"/>
    </row>
    <row r="50545" spans="1:3">
      <c r="A50545" t="s">
        <v>2104</v>
      </c>
      <c r="B50545" s="1">
        <v>42299</v>
      </c>
      <c r="C50545" s="1"/>
    </row>
    <row r="50546" spans="1:3">
      <c r="A50546" t="s">
        <v>2105</v>
      </c>
      <c r="B50546" s="1">
        <v>41999</v>
      </c>
      <c r="C50546" s="1"/>
    </row>
    <row r="50547" spans="1:3">
      <c r="A50547" t="s">
        <v>2106</v>
      </c>
      <c r="B50547" s="1">
        <v>42131</v>
      </c>
      <c r="C50547" s="1"/>
    </row>
    <row r="50548" spans="1:3">
      <c r="A50548" t="s">
        <v>2107</v>
      </c>
      <c r="B50548" s="1">
        <v>41389</v>
      </c>
      <c r="C50548" s="1"/>
    </row>
    <row r="50549" spans="1:3">
      <c r="A50549" t="s">
        <v>2108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2109</v>
      </c>
      <c r="B50551" s="1">
        <v>41808</v>
      </c>
      <c r="C50551" s="1"/>
    </row>
    <row r="50552" spans="1:3">
      <c r="A50552" t="s">
        <v>2110</v>
      </c>
      <c r="B50552" s="1">
        <v>42263</v>
      </c>
      <c r="C50552" s="1"/>
    </row>
    <row r="50553" spans="1:3">
      <c r="A50553" t="s">
        <v>2105</v>
      </c>
      <c r="B50553" s="1">
        <v>41999</v>
      </c>
      <c r="C50553" s="1"/>
    </row>
    <row r="50554" spans="1:3">
      <c r="A50554" t="s">
        <v>2111</v>
      </c>
      <c r="B50554" s="1">
        <v>42341</v>
      </c>
      <c r="C50554" s="1"/>
    </row>
    <row r="50555" spans="1:3">
      <c r="A50555" t="s">
        <v>2112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2113</v>
      </c>
      <c r="B50557" s="1">
        <v>41389</v>
      </c>
      <c r="C50557" s="1"/>
    </row>
    <row r="50558" spans="1:3">
      <c r="A50558" t="s">
        <v>2114</v>
      </c>
      <c r="B50558" s="1">
        <v>41142</v>
      </c>
      <c r="C50558" s="1"/>
    </row>
    <row r="50559" spans="1:3">
      <c r="A50559" t="s">
        <v>2105</v>
      </c>
      <c r="B50559" s="1">
        <v>41999</v>
      </c>
    </row>
    <row r="50560" spans="1:3">
      <c r="A50560" t="s">
        <v>2115</v>
      </c>
      <c r="B50560" s="1">
        <v>42259</v>
      </c>
      <c r="C50560" s="1"/>
    </row>
    <row r="50561" spans="1:3">
      <c r="A50561" t="s">
        <v>2116</v>
      </c>
      <c r="B50561" s="1">
        <v>42207</v>
      </c>
      <c r="C50561" s="1"/>
    </row>
    <row r="50562" spans="1:3">
      <c r="A50562" t="s">
        <v>2117</v>
      </c>
      <c r="B50562" s="1">
        <v>41121</v>
      </c>
      <c r="C50562" s="1"/>
    </row>
    <row r="50563" spans="1:3">
      <c r="A50563" t="s">
        <v>2118</v>
      </c>
      <c r="B50563" s="1">
        <v>42321</v>
      </c>
      <c r="C50563" s="1"/>
    </row>
    <row r="50564" spans="1:3">
      <c r="A50564" t="s">
        <v>2119</v>
      </c>
      <c r="B50564" s="1">
        <v>41159</v>
      </c>
      <c r="C50564" s="1"/>
    </row>
    <row r="50565" spans="1:3">
      <c r="A50565" t="s">
        <v>2120</v>
      </c>
      <c r="B50565" s="1">
        <v>42062</v>
      </c>
      <c r="C50565" s="1"/>
    </row>
    <row r="50566" spans="1:3">
      <c r="A50566" t="s">
        <v>2121</v>
      </c>
      <c r="B50566" s="1">
        <v>42312</v>
      </c>
      <c r="C50566" s="1"/>
    </row>
    <row r="50567" spans="1:3">
      <c r="A50567" t="s">
        <v>2102</v>
      </c>
      <c r="B50567" s="1">
        <v>42007</v>
      </c>
      <c r="C50567" s="1"/>
    </row>
    <row r="50568" spans="1:3">
      <c r="A50568" t="s">
        <v>2122</v>
      </c>
      <c r="B50568" t="s">
        <v>2123</v>
      </c>
      <c r="C50568" s="1"/>
    </row>
    <row r="50569" spans="1:3">
      <c r="A50569" t="s">
        <v>2124</v>
      </c>
      <c r="B50569" s="1">
        <v>41949</v>
      </c>
      <c r="C50569" s="1"/>
    </row>
    <row r="50570" spans="1:3">
      <c r="A50570" t="s">
        <v>2105</v>
      </c>
      <c r="B50570" s="1">
        <v>41999</v>
      </c>
      <c r="C50570" s="1"/>
    </row>
    <row r="50571" spans="1:3">
      <c r="A50571" t="s">
        <v>2125</v>
      </c>
      <c r="B50571" s="1">
        <v>41741</v>
      </c>
      <c r="C50571" s="1"/>
    </row>
    <row r="50572" spans="1:3">
      <c r="A50572" t="s">
        <v>2103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2126</v>
      </c>
      <c r="B50574" s="1">
        <v>41730</v>
      </c>
    </row>
    <row r="50575" spans="1:3">
      <c r="A50575" t="s">
        <v>2127</v>
      </c>
      <c r="B50575" s="1">
        <v>42261</v>
      </c>
    </row>
    <row r="50576" spans="1:3">
      <c r="A50576" t="s">
        <v>2102</v>
      </c>
      <c r="B50576" s="1">
        <v>42007</v>
      </c>
      <c r="C50576" s="1"/>
    </row>
    <row r="50577" spans="1:3">
      <c r="A50577" t="s">
        <v>2103</v>
      </c>
      <c r="B50577" s="1">
        <v>41310</v>
      </c>
    </row>
    <row r="50578" spans="1:3">
      <c r="A50578" t="s">
        <v>2128</v>
      </c>
      <c r="B50578" s="1">
        <v>42325</v>
      </c>
      <c r="C50578" s="1"/>
    </row>
    <row r="50579" spans="1:3">
      <c r="A50579" t="s">
        <v>2129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2130</v>
      </c>
      <c r="B50581" s="1">
        <v>41579</v>
      </c>
      <c r="C50581" s="1"/>
    </row>
    <row r="50582" spans="1:3">
      <c r="A50582" t="s">
        <v>2131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2132</v>
      </c>
      <c r="B50584" t="s">
        <v>2133</v>
      </c>
      <c r="C50584" s="1"/>
    </row>
    <row r="50585" spans="1:3">
      <c r="A50585" t="s">
        <v>2134</v>
      </c>
      <c r="B50585" s="1">
        <v>41583</v>
      </c>
      <c r="C50585" s="1"/>
    </row>
    <row r="50586" spans="1:3">
      <c r="A50586" t="s">
        <v>2135</v>
      </c>
      <c r="B50586" s="1">
        <v>42104</v>
      </c>
      <c r="C50586" s="1"/>
    </row>
    <row r="50587" spans="1:3">
      <c r="A50587" t="s">
        <v>2136</v>
      </c>
      <c r="B50587" s="1">
        <v>41364</v>
      </c>
      <c r="C50587" s="1"/>
    </row>
    <row r="50588" spans="1:3">
      <c r="A50588" t="s">
        <v>2137</v>
      </c>
      <c r="B50588" s="1">
        <v>40968</v>
      </c>
      <c r="C50588" s="1"/>
    </row>
    <row r="50589" spans="1:3">
      <c r="A50589" t="s">
        <v>2138</v>
      </c>
      <c r="B50589" s="1">
        <v>41773</v>
      </c>
      <c r="C50589" s="1"/>
    </row>
    <row r="50590" spans="1:3">
      <c r="A50590" t="s">
        <v>2129</v>
      </c>
      <c r="B50590" s="1">
        <v>41124</v>
      </c>
      <c r="C50590" s="1"/>
    </row>
    <row r="50591" spans="1:3">
      <c r="A50591" t="s">
        <v>2139</v>
      </c>
      <c r="B50591" s="1">
        <v>41391</v>
      </c>
      <c r="C50591" s="1"/>
    </row>
    <row r="50592" spans="1:3">
      <c r="A50592" t="s">
        <v>2140</v>
      </c>
      <c r="B50592" s="1">
        <v>41629</v>
      </c>
      <c r="C50592" s="1"/>
    </row>
    <row r="50593" spans="1:3">
      <c r="A50593" t="s">
        <v>2141</v>
      </c>
      <c r="B50593" s="1">
        <v>41392</v>
      </c>
      <c r="C50593" s="1"/>
    </row>
    <row r="50594" spans="1:3">
      <c r="A50594" t="s">
        <v>2142</v>
      </c>
      <c r="B50594" s="1">
        <v>41003</v>
      </c>
      <c r="C50594" s="1"/>
    </row>
    <row r="50595" spans="1:3">
      <c r="A50595" t="s">
        <v>2143</v>
      </c>
      <c r="B50595" s="1">
        <v>42077</v>
      </c>
      <c r="C50595" s="1"/>
    </row>
    <row r="50596" spans="1:3">
      <c r="A50596" t="s">
        <v>2130</v>
      </c>
      <c r="B50596" s="1">
        <v>41579</v>
      </c>
      <c r="C50596" s="1"/>
    </row>
    <row r="50597" spans="1:3">
      <c r="A50597" t="s">
        <v>2144</v>
      </c>
      <c r="B50597" s="1">
        <v>41866</v>
      </c>
      <c r="C50597" s="1"/>
    </row>
    <row r="50598" spans="1:3">
      <c r="A50598" t="s">
        <v>2145</v>
      </c>
      <c r="B50598" s="1">
        <v>42263</v>
      </c>
      <c r="C50598" s="1"/>
    </row>
    <row r="50599" spans="1:3">
      <c r="A50599" t="s">
        <v>2146</v>
      </c>
      <c r="B50599" s="1">
        <v>41332</v>
      </c>
      <c r="C50599" s="1"/>
    </row>
    <row r="50600" spans="1:3">
      <c r="A50600" t="s">
        <v>2130</v>
      </c>
      <c r="B50600" s="1">
        <v>41579</v>
      </c>
      <c r="C50600" s="1"/>
    </row>
    <row r="50601" spans="1:3">
      <c r="A50601" t="s">
        <v>2147</v>
      </c>
      <c r="B50601" t="s">
        <v>125</v>
      </c>
      <c r="C50601" s="1"/>
    </row>
    <row r="50602" spans="1:3">
      <c r="A50602" t="s">
        <v>2148</v>
      </c>
      <c r="B50602" s="1">
        <v>42273</v>
      </c>
    </row>
    <row r="50603" spans="1:3">
      <c r="A50603" t="s">
        <v>2149</v>
      </c>
      <c r="B50603" s="1">
        <v>42109</v>
      </c>
      <c r="C50603" s="1"/>
    </row>
    <row r="50604" spans="1:3">
      <c r="A50604" t="s">
        <v>2150</v>
      </c>
      <c r="B50604" s="1">
        <v>41672</v>
      </c>
      <c r="C50604" s="1"/>
    </row>
    <row r="50605" spans="1:3">
      <c r="A50605" t="s">
        <v>2151</v>
      </c>
      <c r="B50605" s="1">
        <v>41285</v>
      </c>
      <c r="C50605" s="1"/>
    </row>
    <row r="50606" spans="1:3">
      <c r="A50606" t="s">
        <v>2009</v>
      </c>
      <c r="B50606" s="1">
        <v>42250</v>
      </c>
      <c r="C50606" s="1"/>
    </row>
    <row r="50607" spans="1:3">
      <c r="A50607" t="s">
        <v>2152</v>
      </c>
      <c r="B50607" s="1">
        <v>41976</v>
      </c>
      <c r="C50607" s="1"/>
    </row>
    <row r="50608" spans="1:3">
      <c r="A50608" t="s">
        <v>2153</v>
      </c>
      <c r="B50608" s="1">
        <v>41783</v>
      </c>
      <c r="C50608" s="1"/>
    </row>
    <row r="50609" spans="1:3">
      <c r="A50609" t="s">
        <v>2154</v>
      </c>
      <c r="B50609" s="1">
        <v>41010</v>
      </c>
      <c r="C50609" s="1"/>
    </row>
    <row r="50610" spans="1:3">
      <c r="A50610" t="s">
        <v>2155</v>
      </c>
      <c r="C50610" s="1"/>
    </row>
    <row r="50611" spans="1:3">
      <c r="A50611" t="s">
        <v>2156</v>
      </c>
      <c r="B50611" s="1">
        <v>41909</v>
      </c>
      <c r="C50611" s="1"/>
    </row>
    <row r="50612" spans="1:3">
      <c r="A50612" t="s">
        <v>2157</v>
      </c>
      <c r="B50612" s="1">
        <v>41116</v>
      </c>
      <c r="C50612" s="1"/>
    </row>
    <row r="50613" spans="1:3">
      <c r="A50613" t="s">
        <v>2158</v>
      </c>
      <c r="B50613" s="1">
        <v>41746</v>
      </c>
      <c r="C50613" s="1"/>
    </row>
    <row r="50614" spans="1:3">
      <c r="A50614" t="s">
        <v>2159</v>
      </c>
      <c r="C50614" s="1"/>
    </row>
    <row r="50615" spans="1:3">
      <c r="A50615" t="s">
        <v>2160</v>
      </c>
      <c r="B50615" s="1">
        <v>41386</v>
      </c>
      <c r="C50615" s="1"/>
    </row>
    <row r="50616" spans="1:3">
      <c r="A50616" t="s">
        <v>2161</v>
      </c>
      <c r="B50616" s="2">
        <v>41949</v>
      </c>
      <c r="C50616" s="1"/>
    </row>
    <row r="50617" spans="1:3">
      <c r="A50617" t="s">
        <v>2162</v>
      </c>
      <c r="B50617" s="1">
        <v>41208</v>
      </c>
      <c r="C50617" s="1"/>
    </row>
    <row r="50618" spans="1:3">
      <c r="A50618" t="s">
        <v>2163</v>
      </c>
      <c r="B50618" s="1">
        <v>41935</v>
      </c>
      <c r="C50618" s="1"/>
    </row>
    <row r="50619" spans="1:3">
      <c r="A50619" t="s">
        <v>2164</v>
      </c>
      <c r="B50619" s="1">
        <v>41744</v>
      </c>
      <c r="C50619" s="1"/>
    </row>
    <row r="50620" spans="1:3">
      <c r="A50620" t="s">
        <v>2165</v>
      </c>
      <c r="B50620" s="1">
        <v>41912</v>
      </c>
      <c r="C50620" s="1"/>
    </row>
    <row r="50621" spans="1:3">
      <c r="A50621" t="s">
        <v>2129</v>
      </c>
      <c r="B50621" s="1">
        <v>41124</v>
      </c>
      <c r="C50621" s="1"/>
    </row>
    <row r="50622" spans="1:3">
      <c r="A50622" t="s">
        <v>2166</v>
      </c>
      <c r="B50622" s="1">
        <v>42236</v>
      </c>
    </row>
    <row r="50623" spans="1:3">
      <c r="A50623" t="s">
        <v>2167</v>
      </c>
      <c r="B50623" s="1">
        <v>42364</v>
      </c>
      <c r="C50623" s="1"/>
    </row>
    <row r="50624" spans="1:3">
      <c r="A50624" t="s">
        <v>2168</v>
      </c>
      <c r="B50624" s="1">
        <v>41663</v>
      </c>
      <c r="C50624" s="1"/>
    </row>
    <row r="50625" spans="1:3">
      <c r="A50625" t="s">
        <v>2169</v>
      </c>
      <c r="B50625" s="1">
        <v>42073</v>
      </c>
      <c r="C50625" s="1"/>
    </row>
    <row r="50626" spans="1:3">
      <c r="A50626" t="s">
        <v>2170</v>
      </c>
      <c r="B50626" s="1">
        <v>42182</v>
      </c>
      <c r="C50626" s="1"/>
    </row>
    <row r="50627" spans="1:3">
      <c r="A50627" t="s">
        <v>2146</v>
      </c>
      <c r="B50627" s="1">
        <v>41332</v>
      </c>
      <c r="C50627" s="1"/>
    </row>
    <row r="50628" spans="1:3">
      <c r="A50628" t="s">
        <v>2171</v>
      </c>
      <c r="B50628" s="1">
        <v>41471</v>
      </c>
      <c r="C50628" s="1"/>
    </row>
    <row r="50629" spans="1:3">
      <c r="A50629" t="s">
        <v>2130</v>
      </c>
      <c r="B50629" s="1">
        <v>41579</v>
      </c>
      <c r="C50629" s="1"/>
    </row>
    <row r="50630" spans="1:3">
      <c r="A50630" t="s">
        <v>2130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2172</v>
      </c>
      <c r="B50632" s="1">
        <v>42019</v>
      </c>
      <c r="C50632" s="1"/>
    </row>
    <row r="50633" spans="1:3">
      <c r="A50633" t="s">
        <v>2173</v>
      </c>
      <c r="B50633" s="1">
        <v>41594</v>
      </c>
      <c r="C50633" s="1"/>
    </row>
    <row r="50634" spans="1:3">
      <c r="A50634" t="s">
        <v>2129</v>
      </c>
      <c r="B50634" s="1">
        <v>41124</v>
      </c>
      <c r="C50634" s="1"/>
    </row>
    <row r="50635" spans="1:3">
      <c r="A50635" t="s">
        <v>2174</v>
      </c>
      <c r="B50635" s="1">
        <v>42129</v>
      </c>
      <c r="C50635" s="1"/>
    </row>
    <row r="50636" spans="1:3">
      <c r="A50636" t="s">
        <v>2175</v>
      </c>
      <c r="B50636" s="1">
        <v>41181</v>
      </c>
      <c r="C50636" s="1"/>
    </row>
    <row r="50637" spans="1:3">
      <c r="A50637" t="s">
        <v>2176</v>
      </c>
      <c r="B50637" s="1">
        <v>41513</v>
      </c>
    </row>
    <row r="50638" spans="1:3">
      <c r="A50638" t="s">
        <v>2177</v>
      </c>
      <c r="B50638" s="1">
        <v>41736</v>
      </c>
      <c r="C50638" s="1"/>
    </row>
    <row r="50639" spans="1:3">
      <c r="A50639" t="s">
        <v>2178</v>
      </c>
      <c r="B50639" s="1">
        <v>41989</v>
      </c>
      <c r="C50639" s="1"/>
    </row>
    <row r="50640" spans="1:3">
      <c r="A50640" t="s">
        <v>2179</v>
      </c>
      <c r="B50640" s="1">
        <v>42080</v>
      </c>
      <c r="C50640" s="1"/>
    </row>
    <row r="50641" spans="1:3">
      <c r="A50641" t="s">
        <v>2180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2181</v>
      </c>
      <c r="B50643" s="1">
        <v>42308</v>
      </c>
      <c r="C50643" s="1"/>
    </row>
    <row r="50644" spans="1:3">
      <c r="A50644" t="s">
        <v>2182</v>
      </c>
      <c r="B50644" s="1">
        <v>41579</v>
      </c>
      <c r="C50644" s="1"/>
    </row>
    <row r="50645" spans="1:3">
      <c r="A50645" t="s">
        <v>2183</v>
      </c>
      <c r="B50645" t="s">
        <v>125</v>
      </c>
      <c r="C50645" s="1"/>
    </row>
    <row r="50646" spans="1:3">
      <c r="A50646" t="s">
        <v>2179</v>
      </c>
      <c r="B50646" s="1">
        <v>42080</v>
      </c>
      <c r="C50646" s="1"/>
    </row>
    <row r="50647" spans="1:3">
      <c r="A50647" t="s">
        <v>2184</v>
      </c>
      <c r="B50647" s="1">
        <v>41005</v>
      </c>
      <c r="C50647" s="1"/>
    </row>
    <row r="50648" spans="1:3">
      <c r="A50648" t="s">
        <v>2184</v>
      </c>
      <c r="B50648" s="1">
        <v>41005</v>
      </c>
      <c r="C50648" s="1"/>
    </row>
    <row r="50649" spans="1:3">
      <c r="A50649" t="s">
        <v>2185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2182</v>
      </c>
      <c r="B50651" s="1">
        <v>41579</v>
      </c>
      <c r="C50651" s="1"/>
    </row>
    <row r="50652" spans="1:3">
      <c r="A50652" t="s">
        <v>2186</v>
      </c>
      <c r="B50652" s="1">
        <v>41962</v>
      </c>
      <c r="C50652" s="1"/>
    </row>
    <row r="50653" spans="1:3">
      <c r="A50653" t="s">
        <v>2187</v>
      </c>
      <c r="B50653" s="1">
        <v>41412</v>
      </c>
      <c r="C50653" s="1"/>
    </row>
    <row r="50654" spans="1:3">
      <c r="A50654" t="s">
        <v>2179</v>
      </c>
      <c r="B50654" s="1">
        <v>42080</v>
      </c>
      <c r="C50654" s="1"/>
    </row>
    <row r="50655" spans="1:3">
      <c r="A50655" t="s">
        <v>2188</v>
      </c>
      <c r="B50655" s="1">
        <v>42202</v>
      </c>
      <c r="C50655" s="1"/>
    </row>
    <row r="50656" spans="1:3">
      <c r="A50656" t="s">
        <v>2189</v>
      </c>
      <c r="B50656" s="1">
        <v>41369</v>
      </c>
      <c r="C50656" s="1"/>
    </row>
    <row r="50657" spans="1:3">
      <c r="A50657" t="s">
        <v>2190</v>
      </c>
      <c r="B50657" s="1">
        <v>42264</v>
      </c>
      <c r="C50657" s="1"/>
    </row>
    <row r="50658" spans="1:3">
      <c r="A50658" t="s">
        <v>2191</v>
      </c>
      <c r="B50658" t="s">
        <v>2192</v>
      </c>
      <c r="C50658" s="1"/>
    </row>
    <row r="50659" spans="1:3">
      <c r="A50659" t="s">
        <v>2189</v>
      </c>
      <c r="B50659" s="1">
        <v>41369</v>
      </c>
      <c r="C50659" s="1"/>
    </row>
    <row r="50660" spans="1:3">
      <c r="A50660" t="s">
        <v>2193</v>
      </c>
      <c r="B50660" s="1">
        <v>42334</v>
      </c>
      <c r="C50660" s="1"/>
    </row>
    <row r="50661" spans="1:3">
      <c r="A50661" t="s">
        <v>2189</v>
      </c>
      <c r="B50661" s="1">
        <v>41369</v>
      </c>
      <c r="C50661" s="1"/>
    </row>
    <row r="50662" spans="1:3">
      <c r="A50662" t="s">
        <v>2194</v>
      </c>
      <c r="B50662" t="s">
        <v>125</v>
      </c>
      <c r="C50662" s="1"/>
    </row>
    <row r="50663" spans="1:3">
      <c r="A50663" t="s">
        <v>2195</v>
      </c>
      <c r="B50663" s="1">
        <v>42091</v>
      </c>
      <c r="C50663" s="1"/>
    </row>
    <row r="50664" spans="1:3">
      <c r="A50664" t="s">
        <v>2196</v>
      </c>
      <c r="B50664" s="1">
        <v>42252</v>
      </c>
      <c r="C50664" s="1"/>
    </row>
    <row r="50665" spans="1:3">
      <c r="A50665" t="s">
        <v>2197</v>
      </c>
      <c r="B50665" s="1">
        <v>42173</v>
      </c>
      <c r="C50665" s="1"/>
    </row>
    <row r="50666" spans="1:3">
      <c r="A50666" t="s">
        <v>2198</v>
      </c>
      <c r="B50666" s="1">
        <v>41535</v>
      </c>
      <c r="C50666" s="1"/>
    </row>
    <row r="50667" spans="1:3">
      <c r="A50667" t="s">
        <v>2199</v>
      </c>
      <c r="B50667" s="1">
        <v>41991</v>
      </c>
      <c r="C50667" s="1"/>
    </row>
    <row r="50668" spans="1:3">
      <c r="A50668" t="s">
        <v>2200</v>
      </c>
      <c r="B50668" s="1">
        <v>42168</v>
      </c>
      <c r="C50668" s="1"/>
    </row>
    <row r="50669" spans="1:3">
      <c r="A50669" t="s">
        <v>2201</v>
      </c>
      <c r="B50669" s="1">
        <v>41944</v>
      </c>
      <c r="C50669" s="1"/>
    </row>
    <row r="50670" spans="1:3">
      <c r="A50670" t="s">
        <v>2189</v>
      </c>
      <c r="B50670" s="1">
        <v>41369</v>
      </c>
      <c r="C50670" s="1"/>
    </row>
    <row r="50671" spans="1:3">
      <c r="A50671" t="s">
        <v>2068</v>
      </c>
      <c r="B50671" s="1">
        <v>41866</v>
      </c>
      <c r="C50671" s="1"/>
    </row>
    <row r="50672" spans="1:3">
      <c r="A50672" t="s">
        <v>2189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2189</v>
      </c>
      <c r="B50674" s="1">
        <v>41369</v>
      </c>
      <c r="C50674" s="1"/>
    </row>
    <row r="50675" spans="1:3">
      <c r="A50675" t="s">
        <v>2202</v>
      </c>
      <c r="B50675" s="1">
        <v>41430</v>
      </c>
      <c r="C50675" s="1"/>
    </row>
    <row r="50676" spans="1:3">
      <c r="A50676" t="s">
        <v>2189</v>
      </c>
      <c r="B50676" s="1">
        <v>41369</v>
      </c>
    </row>
    <row r="50677" spans="1:3">
      <c r="A50677" t="s">
        <v>2203</v>
      </c>
      <c r="B50677" s="1">
        <v>40968</v>
      </c>
      <c r="C50677" s="1"/>
    </row>
    <row r="50678" spans="1:3">
      <c r="A50678" t="s">
        <v>2204</v>
      </c>
      <c r="B50678" s="1">
        <v>42221</v>
      </c>
      <c r="C50678" s="1"/>
    </row>
    <row r="50679" spans="1:3">
      <c r="A50679" t="s">
        <v>2205</v>
      </c>
      <c r="B50679" s="1">
        <v>42153</v>
      </c>
      <c r="C50679" s="1"/>
    </row>
    <row r="50680" spans="1:3">
      <c r="A50680" t="s">
        <v>2206</v>
      </c>
      <c r="B50680" s="1">
        <v>42194</v>
      </c>
      <c r="C50680" s="1"/>
    </row>
    <row r="50681" spans="1:3">
      <c r="A50681" t="s">
        <v>2207</v>
      </c>
      <c r="B50681" s="1">
        <v>42256</v>
      </c>
      <c r="C50681" s="1"/>
    </row>
    <row r="50682" spans="1:3">
      <c r="A50682" t="s">
        <v>2208</v>
      </c>
      <c r="B50682" s="1">
        <v>41552</v>
      </c>
      <c r="C50682" s="1"/>
    </row>
    <row r="50683" spans="1:3">
      <c r="A50683" t="s">
        <v>2209</v>
      </c>
      <c r="B50683" s="1">
        <v>40964</v>
      </c>
    </row>
    <row r="50684" spans="1:3">
      <c r="A50684" t="s">
        <v>2203</v>
      </c>
      <c r="B50684" s="1">
        <v>40968</v>
      </c>
      <c r="C50684" s="1"/>
    </row>
    <row r="50685" spans="1:3">
      <c r="A50685" t="s">
        <v>2210</v>
      </c>
      <c r="B50685" s="1">
        <v>41898</v>
      </c>
      <c r="C50685" s="1"/>
    </row>
    <row r="50686" spans="1:3">
      <c r="A50686" t="s">
        <v>2211</v>
      </c>
      <c r="B50686" s="1">
        <v>42145</v>
      </c>
      <c r="C50686" s="1"/>
    </row>
    <row r="50687" spans="1:3">
      <c r="A50687" t="s">
        <v>2212</v>
      </c>
      <c r="B50687" s="1">
        <v>42337</v>
      </c>
      <c r="C50687" s="1"/>
    </row>
    <row r="50688" spans="1:3">
      <c r="A50688" t="s">
        <v>798</v>
      </c>
      <c r="B50688" s="1">
        <v>42179</v>
      </c>
      <c r="C50688" s="1"/>
    </row>
    <row r="50689" spans="1:3">
      <c r="A50689" t="s">
        <v>2213</v>
      </c>
      <c r="B50689" s="1">
        <v>41803</v>
      </c>
      <c r="C50689" s="1"/>
    </row>
    <row r="50690" spans="1:3">
      <c r="A50690" t="s">
        <v>2214</v>
      </c>
      <c r="B50690" s="1">
        <v>41442</v>
      </c>
      <c r="C50690" s="1"/>
    </row>
    <row r="50691" spans="1:3">
      <c r="A50691" t="s">
        <v>2215</v>
      </c>
      <c r="B50691" s="1">
        <v>42231</v>
      </c>
      <c r="C50691" s="1"/>
    </row>
    <row r="50692" spans="1:3">
      <c r="A50692" t="s">
        <v>2216</v>
      </c>
      <c r="B50692" s="1">
        <v>41367</v>
      </c>
      <c r="C50692" s="1"/>
    </row>
    <row r="50693" spans="1:3">
      <c r="A50693" t="s">
        <v>2217</v>
      </c>
      <c r="B50693" s="1">
        <v>42318</v>
      </c>
      <c r="C50693" s="1"/>
    </row>
    <row r="50694" spans="1:3">
      <c r="A50694" t="s">
        <v>1850</v>
      </c>
      <c r="B50694" t="s">
        <v>2218</v>
      </c>
      <c r="C50694" s="1"/>
    </row>
    <row r="50695" spans="1:3">
      <c r="A50695" t="s">
        <v>2219</v>
      </c>
      <c r="B50695" s="1">
        <v>41459</v>
      </c>
      <c r="C50695" s="1"/>
    </row>
    <row r="50696" spans="1:3">
      <c r="A50696" t="s">
        <v>1440</v>
      </c>
      <c r="B50696" s="1">
        <v>42181</v>
      </c>
      <c r="C50696" s="1"/>
    </row>
    <row r="50697" spans="1:3">
      <c r="A50697" t="s">
        <v>2220</v>
      </c>
      <c r="B50697" s="1">
        <v>41368</v>
      </c>
    </row>
    <row r="50698" spans="1:3">
      <c r="A50698" t="s">
        <v>2221</v>
      </c>
      <c r="B50698" s="1">
        <v>41942</v>
      </c>
      <c r="C50698" s="1"/>
    </row>
    <row r="50699" spans="1:3">
      <c r="A50699" t="s">
        <v>2222</v>
      </c>
      <c r="B50699" s="1">
        <v>42356</v>
      </c>
      <c r="C50699" s="1"/>
    </row>
    <row r="50700" spans="1:3">
      <c r="A50700" t="s">
        <v>2223</v>
      </c>
      <c r="B50700" s="1">
        <v>42264</v>
      </c>
      <c r="C50700" s="1"/>
    </row>
    <row r="50701" spans="1:3">
      <c r="A50701" t="s">
        <v>2224</v>
      </c>
      <c r="B50701" s="1">
        <v>42179</v>
      </c>
      <c r="C50701" s="1"/>
    </row>
    <row r="50702" spans="1:3">
      <c r="A50702" t="s">
        <v>1853</v>
      </c>
      <c r="B50702" s="1">
        <v>41413</v>
      </c>
      <c r="C50702" s="1"/>
    </row>
    <row r="50703" spans="1:3">
      <c r="A50703" t="s">
        <v>2225</v>
      </c>
      <c r="B50703" s="1">
        <v>41774</v>
      </c>
    </row>
    <row r="50704" spans="1:3">
      <c r="A50704" t="s">
        <v>2226</v>
      </c>
      <c r="B50704" s="1">
        <v>41870</v>
      </c>
      <c r="C50704" s="1"/>
    </row>
    <row r="50705" spans="1:3">
      <c r="A50705" t="s">
        <v>2227</v>
      </c>
      <c r="B50705" s="1">
        <v>41114</v>
      </c>
      <c r="C50705" s="1"/>
    </row>
    <row r="50706" spans="1:3">
      <c r="A50706" t="s">
        <v>2228</v>
      </c>
      <c r="B50706" s="1">
        <v>42216</v>
      </c>
      <c r="C50706" s="1"/>
    </row>
    <row r="50707" spans="1:3">
      <c r="A50707" t="s">
        <v>2206</v>
      </c>
      <c r="B50707" s="1">
        <v>42194</v>
      </c>
      <c r="C50707" s="1"/>
    </row>
    <row r="50708" spans="1:3">
      <c r="A50708" t="s">
        <v>2227</v>
      </c>
      <c r="B50708" s="1">
        <v>41114</v>
      </c>
      <c r="C50708" s="1"/>
    </row>
    <row r="50709" spans="1:3">
      <c r="A50709" t="s">
        <v>2206</v>
      </c>
      <c r="B50709" s="1">
        <v>42254</v>
      </c>
    </row>
    <row r="50710" spans="1:3">
      <c r="A50710" t="s">
        <v>2229</v>
      </c>
      <c r="B50710" s="1">
        <v>42147</v>
      </c>
      <c r="C50710" s="1"/>
    </row>
    <row r="50711" spans="1:3">
      <c r="A50711" t="s">
        <v>2230</v>
      </c>
      <c r="B50711" s="1">
        <v>41833</v>
      </c>
      <c r="C50711" s="1"/>
    </row>
    <row r="50712" spans="1:3">
      <c r="A50712" t="s">
        <v>2206</v>
      </c>
      <c r="B50712" s="1">
        <v>42194</v>
      </c>
      <c r="C50712" s="1"/>
    </row>
    <row r="50713" spans="1:3">
      <c r="A50713" t="s">
        <v>2231</v>
      </c>
      <c r="B50713" s="1">
        <v>41739</v>
      </c>
      <c r="C50713" s="1"/>
    </row>
    <row r="50714" spans="1:3">
      <c r="A50714" t="s">
        <v>2232</v>
      </c>
      <c r="B50714" s="1">
        <v>42089</v>
      </c>
    </row>
    <row r="50715" spans="1:3">
      <c r="A50715" t="s">
        <v>2233</v>
      </c>
      <c r="B50715" s="1">
        <v>40938</v>
      </c>
      <c r="C50715" s="1"/>
    </row>
    <row r="50716" spans="1:3">
      <c r="A50716" t="s">
        <v>2229</v>
      </c>
      <c r="B50716" s="1">
        <v>42147</v>
      </c>
      <c r="C50716" s="1"/>
    </row>
    <row r="50717" spans="1:3">
      <c r="A50717" t="s">
        <v>2234</v>
      </c>
      <c r="B50717" s="1">
        <v>42333</v>
      </c>
      <c r="C50717" s="1"/>
    </row>
    <row r="50718" spans="1:3">
      <c r="A50718" t="s">
        <v>2235</v>
      </c>
      <c r="B50718" s="1">
        <v>42026</v>
      </c>
      <c r="C50718" s="1"/>
    </row>
    <row r="50719" spans="1:3">
      <c r="A50719" t="s">
        <v>2236</v>
      </c>
      <c r="B50719" s="1">
        <v>41426</v>
      </c>
      <c r="C50719" s="1"/>
    </row>
    <row r="50720" spans="1:3">
      <c r="A50720" t="s">
        <v>2237</v>
      </c>
      <c r="B50720" s="1">
        <v>42339</v>
      </c>
    </row>
    <row r="50721" spans="1:3">
      <c r="A50721" t="s">
        <v>2237</v>
      </c>
      <c r="B50721" s="1">
        <v>42339</v>
      </c>
      <c r="C50721" s="1"/>
    </row>
    <row r="50722" spans="1:3">
      <c r="A50722" t="s">
        <v>2238</v>
      </c>
      <c r="B50722" s="1">
        <v>42186</v>
      </c>
      <c r="C50722" s="1"/>
    </row>
    <row r="50723" spans="1:3">
      <c r="A50723" t="s">
        <v>2239</v>
      </c>
      <c r="B50723" s="1">
        <v>42306</v>
      </c>
      <c r="C50723" s="2"/>
    </row>
    <row r="50724" spans="1:3">
      <c r="A50724" t="s">
        <v>2240</v>
      </c>
      <c r="B50724" s="1">
        <v>42293</v>
      </c>
      <c r="C50724" s="1"/>
    </row>
    <row r="50725" spans="1:3">
      <c r="A50725" t="s">
        <v>2241</v>
      </c>
      <c r="B50725" s="1">
        <v>41270</v>
      </c>
      <c r="C50725" s="1"/>
    </row>
    <row r="50726" spans="1:3">
      <c r="A50726" t="s">
        <v>2237</v>
      </c>
      <c r="B50726" s="1">
        <v>42339</v>
      </c>
      <c r="C50726" s="1"/>
    </row>
    <row r="50727" spans="1:3">
      <c r="A50727" t="s">
        <v>2242</v>
      </c>
      <c r="B50727" s="1">
        <v>41460</v>
      </c>
      <c r="C50727" s="2"/>
    </row>
    <row r="50728" spans="1:3">
      <c r="A50728" t="s">
        <v>2243</v>
      </c>
      <c r="B50728" s="1">
        <v>41941</v>
      </c>
      <c r="C50728" s="1"/>
    </row>
    <row r="50729" spans="1:3">
      <c r="A50729" t="s">
        <v>2244</v>
      </c>
      <c r="B50729" t="s">
        <v>125</v>
      </c>
      <c r="C50729" s="1"/>
    </row>
    <row r="50730" spans="1:3">
      <c r="A50730" t="s">
        <v>2245</v>
      </c>
      <c r="B50730" s="1">
        <v>42072</v>
      </c>
      <c r="C50730" s="1"/>
    </row>
    <row r="50731" spans="1:3">
      <c r="A50731" t="s">
        <v>2246</v>
      </c>
      <c r="B50731" s="1">
        <v>41601</v>
      </c>
      <c r="C50731" s="1"/>
    </row>
    <row r="50732" spans="1:3">
      <c r="A50732" t="s">
        <v>2247</v>
      </c>
      <c r="B50732" s="1">
        <v>42171</v>
      </c>
      <c r="C50732" s="1"/>
    </row>
    <row r="50733" spans="1:3">
      <c r="A50733" t="s">
        <v>2248</v>
      </c>
      <c r="B50733" s="1">
        <v>41109</v>
      </c>
      <c r="C50733" s="1"/>
    </row>
    <row r="50734" spans="1:3">
      <c r="A50734" t="s">
        <v>1902</v>
      </c>
      <c r="B50734" s="1">
        <v>41730</v>
      </c>
      <c r="C50734" s="1"/>
    </row>
    <row r="50735" spans="1:3">
      <c r="A50735" t="s">
        <v>2249</v>
      </c>
      <c r="B50735" s="1">
        <v>41276</v>
      </c>
      <c r="C50735" s="1"/>
    </row>
    <row r="50736" spans="1:3">
      <c r="A50736" t="s">
        <v>2250</v>
      </c>
      <c r="B50736" s="1">
        <v>41872</v>
      </c>
      <c r="C50736" s="1"/>
    </row>
    <row r="50737" spans="1:3">
      <c r="A50737" t="s">
        <v>2251</v>
      </c>
      <c r="B50737" s="1">
        <v>42211</v>
      </c>
      <c r="C50737" s="1"/>
    </row>
    <row r="50738" spans="1:3">
      <c r="A50738" t="s">
        <v>2252</v>
      </c>
      <c r="B50738" s="1">
        <v>42318</v>
      </c>
      <c r="C50738" s="1"/>
    </row>
    <row r="50739" spans="1:3">
      <c r="A50739" t="s">
        <v>2253</v>
      </c>
      <c r="B50739" s="1">
        <v>41971</v>
      </c>
      <c r="C50739" s="1"/>
    </row>
    <row r="50740" spans="1:3">
      <c r="A50740" t="s">
        <v>2245</v>
      </c>
      <c r="B50740" s="1">
        <v>42072</v>
      </c>
      <c r="C50740" s="1"/>
    </row>
    <row r="50741" spans="1:3">
      <c r="A50741" t="s">
        <v>2254</v>
      </c>
      <c r="B50741" s="1">
        <v>41240</v>
      </c>
      <c r="C50741" s="1"/>
    </row>
    <row r="50742" spans="1:3">
      <c r="A50742" t="s">
        <v>2255</v>
      </c>
      <c r="B50742" s="1">
        <v>41472</v>
      </c>
      <c r="C50742" s="1"/>
    </row>
    <row r="50743" spans="1:3">
      <c r="A50743" t="s">
        <v>2255</v>
      </c>
      <c r="B50743" s="1">
        <v>41472</v>
      </c>
      <c r="C50743" s="1"/>
    </row>
    <row r="50744" spans="1:3">
      <c r="A50744" t="s">
        <v>2256</v>
      </c>
      <c r="B50744" s="1">
        <v>42283</v>
      </c>
      <c r="C50744" s="1"/>
    </row>
    <row r="50745" spans="1:3">
      <c r="A50745" t="s">
        <v>2257</v>
      </c>
      <c r="B50745" s="1">
        <v>41129</v>
      </c>
      <c r="C50745" s="1"/>
    </row>
    <row r="50746" spans="1:3">
      <c r="A50746" t="s">
        <v>2258</v>
      </c>
      <c r="B50746" s="1">
        <v>42230</v>
      </c>
      <c r="C50746" s="1"/>
    </row>
    <row r="50747" spans="1:3">
      <c r="A50747" t="s">
        <v>2259</v>
      </c>
      <c r="B50747" s="1">
        <v>41454</v>
      </c>
      <c r="C50747" s="1"/>
    </row>
    <row r="50748" spans="1:3">
      <c r="A50748" t="s">
        <v>2260</v>
      </c>
      <c r="B50748" s="2">
        <v>42315</v>
      </c>
      <c r="C50748" s="1"/>
    </row>
    <row r="50749" spans="1:3">
      <c r="A50749" t="s">
        <v>2246</v>
      </c>
      <c r="B50749" s="1">
        <v>41601</v>
      </c>
      <c r="C50749" s="1"/>
    </row>
    <row r="50750" spans="1:3">
      <c r="A50750" t="s">
        <v>2261</v>
      </c>
      <c r="B50750" s="1">
        <v>41601</v>
      </c>
      <c r="C50750" s="1"/>
    </row>
    <row r="50751" spans="1:3">
      <c r="A50751" t="s">
        <v>2262</v>
      </c>
      <c r="B50751" s="1">
        <v>42033</v>
      </c>
    </row>
    <row r="50752" spans="1:3">
      <c r="A50752" t="s">
        <v>2263</v>
      </c>
      <c r="B50752" s="1">
        <v>41423</v>
      </c>
      <c r="C50752" s="1"/>
    </row>
    <row r="50753" spans="1:3">
      <c r="A50753" t="s">
        <v>2264</v>
      </c>
      <c r="B50753" s="1">
        <v>41331</v>
      </c>
      <c r="C50753" s="1"/>
    </row>
    <row r="50754" spans="1:3">
      <c r="A50754" t="s">
        <v>2265</v>
      </c>
      <c r="B50754" s="1">
        <v>41383</v>
      </c>
      <c r="C50754" s="1"/>
    </row>
    <row r="50755" spans="1:3">
      <c r="A50755" t="s">
        <v>2266</v>
      </c>
      <c r="B50755" s="1">
        <v>41202</v>
      </c>
      <c r="C50755" s="1"/>
    </row>
    <row r="50756" spans="1:3">
      <c r="A50756" t="s">
        <v>2267</v>
      </c>
      <c r="B50756" s="1">
        <v>42228</v>
      </c>
      <c r="C50756" s="1"/>
    </row>
    <row r="50757" spans="1:3">
      <c r="A50757" t="s">
        <v>2268</v>
      </c>
      <c r="B50757" s="1">
        <v>41571</v>
      </c>
      <c r="C50757" s="1"/>
    </row>
    <row r="50758" spans="1:3">
      <c r="A50758" t="s">
        <v>2269</v>
      </c>
      <c r="B50758" s="1">
        <v>42248</v>
      </c>
      <c r="C50758" s="1"/>
    </row>
    <row r="50759" spans="1:3">
      <c r="A50759" t="s">
        <v>2270</v>
      </c>
      <c r="B50759" s="1">
        <v>42272</v>
      </c>
      <c r="C50759" s="1"/>
    </row>
    <row r="50760" spans="1:3">
      <c r="A50760" t="s">
        <v>1147</v>
      </c>
      <c r="B50760" s="1">
        <v>42012</v>
      </c>
      <c r="C50760" s="1"/>
    </row>
    <row r="50761" spans="1:3">
      <c r="A50761" t="s">
        <v>2271</v>
      </c>
      <c r="B50761" s="1">
        <v>41565</v>
      </c>
      <c r="C50761" s="1"/>
    </row>
    <row r="50762" spans="1:3">
      <c r="A50762" t="s">
        <v>2272</v>
      </c>
      <c r="B50762" s="1">
        <v>41902</v>
      </c>
      <c r="C50762" s="1"/>
    </row>
    <row r="50763" spans="1:3">
      <c r="A50763" t="s">
        <v>2273</v>
      </c>
      <c r="B50763" s="1">
        <v>41062</v>
      </c>
      <c r="C50763" s="1"/>
    </row>
    <row r="50764" spans="1:3">
      <c r="A50764" t="s">
        <v>2274</v>
      </c>
      <c r="B50764" s="1">
        <v>41559</v>
      </c>
      <c r="C50764" s="1"/>
    </row>
    <row r="50765" spans="1:3">
      <c r="A50765" t="s">
        <v>2275</v>
      </c>
      <c r="B50765" s="1">
        <v>41089</v>
      </c>
      <c r="C50765" s="1"/>
    </row>
    <row r="50766" spans="1:3">
      <c r="A50766" t="s">
        <v>2276</v>
      </c>
      <c r="B50766" s="1">
        <v>42180</v>
      </c>
      <c r="C50766" s="1"/>
    </row>
    <row r="50767" spans="1:3">
      <c r="A50767" t="s">
        <v>2277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2278</v>
      </c>
      <c r="B50769" s="1">
        <v>41636</v>
      </c>
      <c r="C50769" s="1"/>
    </row>
    <row r="50770" spans="1:3">
      <c r="A50770" t="s">
        <v>2279</v>
      </c>
      <c r="B50770" s="1">
        <v>41185</v>
      </c>
      <c r="C50770" s="1"/>
    </row>
    <row r="50771" spans="1:3">
      <c r="A50771" t="s">
        <v>2280</v>
      </c>
      <c r="B50771" s="1">
        <v>41426</v>
      </c>
      <c r="C50771" s="2"/>
    </row>
    <row r="50772" spans="1:3">
      <c r="A50772" t="s">
        <v>2281</v>
      </c>
      <c r="B50772" s="1">
        <v>42294</v>
      </c>
      <c r="C50772" s="1"/>
    </row>
    <row r="50773" spans="1:3">
      <c r="A50773" t="s">
        <v>2282</v>
      </c>
      <c r="B50773" s="1">
        <v>41593</v>
      </c>
      <c r="C50773" s="1"/>
    </row>
    <row r="50774" spans="1:3">
      <c r="A50774" t="s">
        <v>2283</v>
      </c>
      <c r="B50774" s="1">
        <v>42228</v>
      </c>
      <c r="C50774" s="1"/>
    </row>
    <row r="50775" spans="1:3">
      <c r="A50775" t="s">
        <v>756</v>
      </c>
      <c r="B50775" s="1">
        <v>42311</v>
      </c>
      <c r="C50775" s="1"/>
    </row>
    <row r="50776" spans="1:3">
      <c r="A50776" t="s">
        <v>2284</v>
      </c>
      <c r="B50776" s="1">
        <v>42132</v>
      </c>
      <c r="C50776" s="1"/>
    </row>
    <row r="50777" spans="1:3">
      <c r="A50777" t="s">
        <v>2285</v>
      </c>
      <c r="B50777" s="1">
        <v>41817</v>
      </c>
      <c r="C50777" s="1"/>
    </row>
    <row r="50778" spans="1:3">
      <c r="A50778" t="s">
        <v>2286</v>
      </c>
      <c r="B50778" s="1">
        <v>41187</v>
      </c>
      <c r="C50778" s="1"/>
    </row>
    <row r="50779" spans="1:3">
      <c r="A50779" t="s">
        <v>2287</v>
      </c>
      <c r="B50779" s="1">
        <v>42263</v>
      </c>
      <c r="C50779" s="1"/>
    </row>
    <row r="50780" spans="1:3">
      <c r="A50780" t="s">
        <v>2288</v>
      </c>
      <c r="B50780" s="1">
        <v>41157</v>
      </c>
      <c r="C50780" s="1"/>
    </row>
    <row r="50781" spans="1:3">
      <c r="A50781" t="s">
        <v>2289</v>
      </c>
      <c r="B50781" s="1">
        <v>41850</v>
      </c>
      <c r="C50781" s="1"/>
    </row>
    <row r="50782" spans="1:3">
      <c r="A50782" t="s">
        <v>2263</v>
      </c>
      <c r="B50782" s="1">
        <v>41423</v>
      </c>
      <c r="C50782" s="1"/>
    </row>
    <row r="50783" spans="1:3">
      <c r="A50783" t="s">
        <v>2288</v>
      </c>
      <c r="B50783" s="1">
        <v>41157</v>
      </c>
      <c r="C50783" s="1"/>
    </row>
    <row r="50784" spans="1:3">
      <c r="A50784" t="s">
        <v>2285</v>
      </c>
      <c r="B50784" s="1">
        <v>41817</v>
      </c>
      <c r="C50784" s="1"/>
    </row>
    <row r="50785" spans="1:3">
      <c r="A50785" t="s">
        <v>2285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2290</v>
      </c>
      <c r="B50787" s="1">
        <v>42319</v>
      </c>
      <c r="C50787" s="1"/>
    </row>
    <row r="50788" spans="1:3">
      <c r="A50788" t="s">
        <v>2291</v>
      </c>
      <c r="B50788" s="1">
        <v>42112</v>
      </c>
      <c r="C50788" s="1"/>
    </row>
    <row r="50789" spans="1:3">
      <c r="A50789" t="s">
        <v>2292</v>
      </c>
      <c r="B50789" s="1">
        <v>41228</v>
      </c>
    </row>
    <row r="50790" spans="1:3">
      <c r="A50790" t="s">
        <v>2293</v>
      </c>
      <c r="B50790" s="1">
        <v>41429</v>
      </c>
      <c r="C50790" s="1"/>
    </row>
    <row r="50791" spans="1:3">
      <c r="A50791" t="s">
        <v>2294</v>
      </c>
      <c r="B50791" s="1">
        <v>41251</v>
      </c>
      <c r="C50791" s="1"/>
    </row>
    <row r="50792" spans="1:3">
      <c r="A50792" t="s">
        <v>2295</v>
      </c>
      <c r="B50792" s="1">
        <v>41147</v>
      </c>
      <c r="C50792" s="1"/>
    </row>
    <row r="50793" spans="1:3">
      <c r="A50793" t="s">
        <v>2263</v>
      </c>
      <c r="B50793" s="1">
        <v>41423</v>
      </c>
      <c r="C50793" s="1"/>
    </row>
    <row r="50794" spans="1:3">
      <c r="A50794" t="s">
        <v>2296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2297</v>
      </c>
      <c r="B50796" s="1">
        <v>42364</v>
      </c>
      <c r="C50796" s="1"/>
    </row>
    <row r="50797" spans="1:3">
      <c r="A50797" t="s">
        <v>2294</v>
      </c>
      <c r="B50797" s="1">
        <v>41251</v>
      </c>
      <c r="C50797" s="1"/>
    </row>
    <row r="50798" spans="1:3">
      <c r="A50798" t="s">
        <v>2298</v>
      </c>
      <c r="B50798" s="1">
        <v>42284</v>
      </c>
      <c r="C50798" s="1"/>
    </row>
    <row r="50799" spans="1:3">
      <c r="A50799" t="s">
        <v>2299</v>
      </c>
      <c r="B50799" s="1">
        <v>42341</v>
      </c>
      <c r="C50799" s="1"/>
    </row>
    <row r="50800" spans="1:3">
      <c r="A50800" t="s">
        <v>2300</v>
      </c>
      <c r="B50800" s="1">
        <v>41986</v>
      </c>
      <c r="C50800" s="1"/>
    </row>
    <row r="50801" spans="1:3">
      <c r="A50801" t="s">
        <v>2301</v>
      </c>
      <c r="B50801" s="1">
        <v>42252</v>
      </c>
      <c r="C50801" s="1"/>
    </row>
    <row r="50802" spans="1:3">
      <c r="A50802" t="s">
        <v>2302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2303</v>
      </c>
      <c r="B50804" s="1">
        <v>41934</v>
      </c>
      <c r="C50804" s="1"/>
    </row>
    <row r="50805" spans="1:3">
      <c r="A50805" t="s">
        <v>2304</v>
      </c>
      <c r="B50805" s="1">
        <v>41275</v>
      </c>
      <c r="C50805" s="1"/>
    </row>
    <row r="50806" spans="1:3">
      <c r="A50806" t="s">
        <v>2305</v>
      </c>
      <c r="B50806" s="1">
        <v>41801</v>
      </c>
      <c r="C50806" s="1"/>
    </row>
    <row r="50807" spans="1:3">
      <c r="A50807" t="s">
        <v>2306</v>
      </c>
      <c r="B50807" s="1">
        <v>41121</v>
      </c>
      <c r="C50807" s="1"/>
    </row>
    <row r="50808" spans="1:3">
      <c r="A50808" t="s">
        <v>2307</v>
      </c>
      <c r="B50808" s="1">
        <v>42326</v>
      </c>
      <c r="C50808" s="1"/>
    </row>
    <row r="50809" spans="1:3">
      <c r="A50809" t="s">
        <v>1154</v>
      </c>
      <c r="B50809" s="1">
        <v>42362</v>
      </c>
      <c r="C50809" s="1"/>
    </row>
    <row r="50810" spans="1:3">
      <c r="A50810" t="s">
        <v>2308</v>
      </c>
      <c r="B50810" s="1">
        <v>41803</v>
      </c>
      <c r="C50810" s="1"/>
    </row>
    <row r="50811" spans="1:3">
      <c r="A50811" t="s">
        <v>2309</v>
      </c>
      <c r="C50811" s="1"/>
    </row>
    <row r="50812" spans="1:3">
      <c r="A50812" t="s">
        <v>2310</v>
      </c>
      <c r="C50812" s="1"/>
    </row>
    <row r="50813" spans="1:3">
      <c r="A50813" t="s">
        <v>2304</v>
      </c>
      <c r="B50813" s="1">
        <v>41275</v>
      </c>
      <c r="C50813" s="1"/>
    </row>
    <row r="50814" spans="1:3">
      <c r="A50814" t="s">
        <v>2299</v>
      </c>
      <c r="B50814" s="1">
        <v>42341</v>
      </c>
      <c r="C50814" s="1"/>
    </row>
    <row r="50815" spans="1:3">
      <c r="A50815" t="s">
        <v>2311</v>
      </c>
      <c r="B50815" s="1">
        <v>41937</v>
      </c>
      <c r="C50815" s="1"/>
    </row>
    <row r="50816" spans="1:3">
      <c r="A50816" t="s">
        <v>1548</v>
      </c>
      <c r="B50816" t="s">
        <v>2312</v>
      </c>
      <c r="C50816" s="1"/>
    </row>
    <row r="50817" spans="1:3">
      <c r="A50817" t="s">
        <v>2311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2313</v>
      </c>
      <c r="B50819" s="1">
        <v>41559</v>
      </c>
      <c r="C50819" s="1"/>
    </row>
    <row r="50820" spans="1:3">
      <c r="A50820" t="s">
        <v>2314</v>
      </c>
      <c r="B50820" s="1">
        <v>41129</v>
      </c>
      <c r="C50820" s="1"/>
    </row>
    <row r="50821" spans="1:3">
      <c r="A50821" t="s">
        <v>2304</v>
      </c>
      <c r="B50821" s="1">
        <v>41275</v>
      </c>
      <c r="C50821" s="1"/>
    </row>
    <row r="50822" spans="1:3">
      <c r="A50822" t="s">
        <v>2315</v>
      </c>
      <c r="B50822" s="2">
        <v>42007</v>
      </c>
      <c r="C50822" s="1"/>
    </row>
    <row r="50823" spans="1:3">
      <c r="A50823" t="s">
        <v>2316</v>
      </c>
      <c r="B50823" s="1">
        <v>42052</v>
      </c>
      <c r="C50823" s="1"/>
    </row>
    <row r="50824" spans="1:3">
      <c r="A50824" t="s">
        <v>2304</v>
      </c>
      <c r="B50824" s="1">
        <v>41275</v>
      </c>
      <c r="C50824" s="2"/>
    </row>
    <row r="50825" spans="1:3">
      <c r="A50825" t="s">
        <v>2317</v>
      </c>
      <c r="B50825" t="s">
        <v>2318</v>
      </c>
      <c r="C50825" s="1"/>
    </row>
    <row r="50826" spans="1:3">
      <c r="A50826" t="s">
        <v>2319</v>
      </c>
      <c r="B50826" s="1">
        <v>41525</v>
      </c>
      <c r="C50826" s="1"/>
    </row>
    <row r="50827" spans="1:3">
      <c r="A50827" t="s">
        <v>2320</v>
      </c>
      <c r="B50827" s="1">
        <v>41104</v>
      </c>
      <c r="C50827" s="1"/>
    </row>
    <row r="50828" spans="1:3">
      <c r="A50828" t="s">
        <v>2321</v>
      </c>
      <c r="B50828" s="1">
        <v>41193</v>
      </c>
      <c r="C50828" s="1"/>
    </row>
    <row r="50829" spans="1:3">
      <c r="A50829" t="s">
        <v>2322</v>
      </c>
      <c r="B50829" s="1">
        <v>42274</v>
      </c>
      <c r="C50829" s="1"/>
    </row>
    <row r="50830" spans="1:3">
      <c r="C50830" s="1"/>
    </row>
    <row r="50831" spans="1:3">
      <c r="A50831" t="s">
        <v>2299</v>
      </c>
      <c r="B50831" s="1">
        <v>42341</v>
      </c>
      <c r="C50831" s="2"/>
    </row>
    <row r="50832" spans="1:3">
      <c r="A50832" t="s">
        <v>1730</v>
      </c>
      <c r="B50832" s="1">
        <v>41179</v>
      </c>
      <c r="C50832" s="1"/>
    </row>
    <row r="50833" spans="1:3">
      <c r="A50833" t="s">
        <v>2323</v>
      </c>
      <c r="B50833" s="1">
        <v>41496</v>
      </c>
      <c r="C50833" s="1"/>
    </row>
    <row r="50834" spans="1:3">
      <c r="A50834" t="s">
        <v>2304</v>
      </c>
      <c r="B50834" s="1">
        <v>41275</v>
      </c>
      <c r="C50834" s="1"/>
    </row>
    <row r="50835" spans="1:3">
      <c r="A50835" t="s">
        <v>2324</v>
      </c>
      <c r="B50835" s="1">
        <v>41310</v>
      </c>
      <c r="C50835" s="1"/>
    </row>
    <row r="50836" spans="1:3">
      <c r="A50836" t="s">
        <v>2325</v>
      </c>
      <c r="B50836" s="1">
        <v>42047</v>
      </c>
      <c r="C50836" s="1"/>
    </row>
    <row r="50837" spans="1:3">
      <c r="A50837" t="s">
        <v>2320</v>
      </c>
      <c r="B50837" s="1">
        <v>41104</v>
      </c>
      <c r="C50837" s="1"/>
    </row>
    <row r="50838" spans="1:3">
      <c r="A50838" t="s">
        <v>2326</v>
      </c>
      <c r="B50838" s="1">
        <v>42039</v>
      </c>
      <c r="C50838" s="1"/>
    </row>
    <row r="50839" spans="1:3">
      <c r="A50839" t="s">
        <v>2327</v>
      </c>
      <c r="B50839" s="1">
        <v>41236</v>
      </c>
      <c r="C50839" s="1"/>
    </row>
    <row r="50840" spans="1:3">
      <c r="A50840" t="s">
        <v>2328</v>
      </c>
      <c r="B50840" s="1">
        <v>41528</v>
      </c>
    </row>
    <row r="50841" spans="1:3">
      <c r="A50841" t="s">
        <v>2329</v>
      </c>
      <c r="B50841" s="1">
        <v>41066</v>
      </c>
      <c r="C50841" s="1"/>
    </row>
    <row r="50842" spans="1:3">
      <c r="A50842" t="s">
        <v>2330</v>
      </c>
      <c r="B50842" s="1">
        <v>41858</v>
      </c>
      <c r="C50842" s="1"/>
    </row>
    <row r="50843" spans="1:3">
      <c r="A50843" t="s">
        <v>2331</v>
      </c>
      <c r="B50843" s="1">
        <v>41409</v>
      </c>
      <c r="C50843" s="1"/>
    </row>
    <row r="50844" spans="1:3">
      <c r="A50844" t="s">
        <v>2332</v>
      </c>
      <c r="B50844" s="1">
        <v>41908</v>
      </c>
      <c r="C50844" s="1"/>
    </row>
    <row r="50845" spans="1:3">
      <c r="A50845" t="s">
        <v>2333</v>
      </c>
      <c r="B50845" s="1">
        <v>41489</v>
      </c>
      <c r="C50845" s="1"/>
    </row>
    <row r="50846" spans="1:3">
      <c r="A50846" t="s">
        <v>2334</v>
      </c>
      <c r="B50846" t="s">
        <v>125</v>
      </c>
      <c r="C50846" s="1"/>
    </row>
    <row r="50847" spans="1:3">
      <c r="A50847" t="s">
        <v>2335</v>
      </c>
      <c r="B50847" s="1">
        <v>42159</v>
      </c>
      <c r="C50847" s="1"/>
    </row>
    <row r="50848" spans="1:3">
      <c r="A50848" t="s">
        <v>2336</v>
      </c>
      <c r="B50848" s="1">
        <v>42276</v>
      </c>
      <c r="C50848" s="1"/>
    </row>
    <row r="50849" spans="1:3">
      <c r="A50849" t="s">
        <v>2337</v>
      </c>
      <c r="B50849" s="1">
        <v>41919</v>
      </c>
      <c r="C50849" s="1"/>
    </row>
    <row r="50850" spans="1:3">
      <c r="A50850" t="s">
        <v>2338</v>
      </c>
      <c r="B50850" s="1">
        <v>42215</v>
      </c>
      <c r="C50850" s="1"/>
    </row>
    <row r="50851" spans="1:3">
      <c r="A50851" t="s">
        <v>2339</v>
      </c>
      <c r="B50851" s="1">
        <v>42301</v>
      </c>
      <c r="C50851" s="1"/>
    </row>
    <row r="50852" spans="1:3">
      <c r="A50852" t="s">
        <v>2340</v>
      </c>
      <c r="B50852" s="1">
        <v>42306</v>
      </c>
      <c r="C50852" s="1"/>
    </row>
    <row r="50853" spans="1:3">
      <c r="A50853" t="s">
        <v>2341</v>
      </c>
      <c r="B50853" s="1">
        <v>41935</v>
      </c>
      <c r="C50853" s="1"/>
    </row>
    <row r="50854" spans="1:3">
      <c r="A50854" t="s">
        <v>1850</v>
      </c>
      <c r="B50854" s="1">
        <v>41720</v>
      </c>
      <c r="C50854" s="1"/>
    </row>
    <row r="50855" spans="1:3">
      <c r="A50855" t="s">
        <v>2342</v>
      </c>
      <c r="B50855" s="1">
        <v>41544</v>
      </c>
    </row>
    <row r="50856" spans="1:3">
      <c r="A50856" t="s">
        <v>2343</v>
      </c>
      <c r="B50856" s="1">
        <v>42311</v>
      </c>
      <c r="C50856" s="1"/>
    </row>
    <row r="50857" spans="1:3">
      <c r="A50857" t="s">
        <v>2344</v>
      </c>
      <c r="B50857" s="1">
        <v>41929</v>
      </c>
      <c r="C50857" s="1"/>
    </row>
    <row r="50858" spans="1:3">
      <c r="A50858" t="s">
        <v>2345</v>
      </c>
      <c r="C50858" s="1"/>
    </row>
    <row r="50859" spans="1:3">
      <c r="A50859" t="s">
        <v>2346</v>
      </c>
      <c r="B50859" s="1">
        <v>41632</v>
      </c>
      <c r="C50859" s="1"/>
    </row>
    <row r="50860" spans="1:3">
      <c r="A50860" t="s">
        <v>2347</v>
      </c>
      <c r="B50860" s="1">
        <v>42357</v>
      </c>
      <c r="C50860" s="1"/>
    </row>
    <row r="50861" spans="1:3">
      <c r="A50861" t="s">
        <v>2348</v>
      </c>
      <c r="B50861" s="1">
        <v>42351</v>
      </c>
      <c r="C50861" s="1"/>
    </row>
    <row r="50862" spans="1:3">
      <c r="A50862" t="s">
        <v>2349</v>
      </c>
      <c r="B50862" s="1">
        <v>42194</v>
      </c>
      <c r="C50862" s="1"/>
    </row>
    <row r="50863" spans="1:3">
      <c r="A50863" t="s">
        <v>2350</v>
      </c>
      <c r="B50863" s="1">
        <v>41128</v>
      </c>
      <c r="C50863" s="1"/>
    </row>
    <row r="50864" spans="1:3">
      <c r="A50864" t="s">
        <v>2351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2352</v>
      </c>
      <c r="B50866" s="1">
        <v>41616</v>
      </c>
      <c r="C50866" s="1"/>
    </row>
    <row r="50867" spans="1:3">
      <c r="A50867" t="s">
        <v>2353</v>
      </c>
      <c r="B50867" s="1">
        <v>42215</v>
      </c>
      <c r="C50867" s="1"/>
    </row>
    <row r="50868" spans="1:3">
      <c r="A50868" t="s">
        <v>2354</v>
      </c>
      <c r="B50868" s="1">
        <v>42034</v>
      </c>
      <c r="C50868" s="1"/>
    </row>
    <row r="50869" spans="1:3">
      <c r="A50869" t="s">
        <v>2354</v>
      </c>
      <c r="B50869" s="1">
        <v>42034</v>
      </c>
      <c r="C50869" s="1"/>
    </row>
    <row r="50870" spans="1:3">
      <c r="A50870" t="s">
        <v>2355</v>
      </c>
      <c r="B50870" s="1">
        <v>41173</v>
      </c>
      <c r="C50870" s="1"/>
    </row>
    <row r="50871" spans="1:3">
      <c r="A50871" t="s">
        <v>2356</v>
      </c>
      <c r="B50871" s="1">
        <v>41878</v>
      </c>
      <c r="C50871" s="1"/>
    </row>
    <row r="50872" spans="1:3">
      <c r="A50872" t="s">
        <v>2357</v>
      </c>
      <c r="B50872" s="1">
        <v>41723</v>
      </c>
      <c r="C50872" s="1"/>
    </row>
    <row r="50873" spans="1:3">
      <c r="A50873" t="s">
        <v>2358</v>
      </c>
      <c r="B50873" s="1">
        <v>42083</v>
      </c>
      <c r="C50873" s="1"/>
    </row>
    <row r="50874" spans="1:3">
      <c r="A50874" t="s">
        <v>2359</v>
      </c>
      <c r="B50874" s="1">
        <v>41772</v>
      </c>
      <c r="C50874" s="1"/>
    </row>
    <row r="50875" spans="1:3">
      <c r="A50875" t="s">
        <v>2360</v>
      </c>
      <c r="B50875" s="1">
        <v>41541</v>
      </c>
      <c r="C50875" s="1"/>
    </row>
    <row r="50876" spans="1:3">
      <c r="A50876" t="s">
        <v>2356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2361</v>
      </c>
      <c r="B50878" s="1">
        <v>42111</v>
      </c>
      <c r="C50878" s="1"/>
    </row>
    <row r="50879" spans="1:3">
      <c r="A50879" t="s">
        <v>2362</v>
      </c>
      <c r="B50879" s="1">
        <v>41418</v>
      </c>
      <c r="C50879" s="1"/>
    </row>
    <row r="50880" spans="1:3">
      <c r="A50880" t="s">
        <v>2363</v>
      </c>
      <c r="B50880" s="1">
        <v>40916</v>
      </c>
      <c r="C50880" s="1"/>
    </row>
    <row r="50881" spans="1:3">
      <c r="A50881" t="s">
        <v>2364</v>
      </c>
      <c r="B50881" s="1">
        <v>41005</v>
      </c>
      <c r="C50881" s="1"/>
    </row>
    <row r="50882" spans="1:3">
      <c r="A50882" t="s">
        <v>2365</v>
      </c>
    </row>
    <row r="50883" spans="1:3">
      <c r="A50883" t="s">
        <v>2366</v>
      </c>
      <c r="B50883" s="1">
        <v>41769</v>
      </c>
      <c r="C50883" s="1"/>
    </row>
    <row r="50884" spans="1:3">
      <c r="A50884" t="s">
        <v>2367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2368</v>
      </c>
      <c r="B50886" s="1">
        <v>41926</v>
      </c>
      <c r="C50886" s="1"/>
    </row>
    <row r="50887" spans="1:3">
      <c r="A50887" t="s">
        <v>2369</v>
      </c>
      <c r="B50887" s="1">
        <v>42347</v>
      </c>
      <c r="C50887" s="1"/>
    </row>
    <row r="50888" spans="1:3">
      <c r="A50888" t="s">
        <v>2370</v>
      </c>
      <c r="B50888" s="1">
        <v>41604</v>
      </c>
      <c r="C50888" s="1"/>
    </row>
    <row r="50889" spans="1:3">
      <c r="A50889" t="s">
        <v>2371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2372</v>
      </c>
      <c r="B50892" s="1">
        <v>41647</v>
      </c>
      <c r="C50892" s="1"/>
    </row>
    <row r="50893" spans="1:3">
      <c r="A50893" t="s">
        <v>2362</v>
      </c>
      <c r="B50893" s="1">
        <v>41418</v>
      </c>
      <c r="C50893" s="1"/>
    </row>
    <row r="50894" spans="1:3">
      <c r="A50894" t="s">
        <v>2363</v>
      </c>
      <c r="B50894" t="s">
        <v>2373</v>
      </c>
      <c r="C50894" s="1"/>
    </row>
    <row r="50895" spans="1:3">
      <c r="A50895" t="s">
        <v>2374</v>
      </c>
      <c r="B50895" s="1">
        <v>41716</v>
      </c>
      <c r="C50895" s="1"/>
    </row>
    <row r="50896" spans="1:3">
      <c r="A50896" t="s">
        <v>2374</v>
      </c>
      <c r="B50896" s="1">
        <v>41716</v>
      </c>
      <c r="C50896" s="1"/>
    </row>
    <row r="50897" spans="1:3">
      <c r="A50897" t="s">
        <v>2375</v>
      </c>
      <c r="B50897" s="1">
        <v>41772</v>
      </c>
      <c r="C50897" s="1"/>
    </row>
    <row r="50898" spans="1:3">
      <c r="A50898" t="s">
        <v>2376</v>
      </c>
      <c r="B50898" s="1">
        <v>42131</v>
      </c>
      <c r="C50898" s="1"/>
    </row>
    <row r="50899" spans="1:3">
      <c r="A50899" t="s">
        <v>2377</v>
      </c>
      <c r="B50899" s="1">
        <v>41805</v>
      </c>
      <c r="C50899" s="1"/>
    </row>
    <row r="50900" spans="1:3">
      <c r="A50900" t="s">
        <v>2378</v>
      </c>
      <c r="B50900" s="1">
        <v>41585</v>
      </c>
      <c r="C50900" s="1"/>
    </row>
    <row r="50901" spans="1:3">
      <c r="A50901" t="s">
        <v>2379</v>
      </c>
      <c r="B50901" s="1">
        <v>42151</v>
      </c>
      <c r="C50901" s="1"/>
    </row>
    <row r="50902" spans="1:3">
      <c r="A50902" t="s">
        <v>2380</v>
      </c>
      <c r="B50902" s="1">
        <v>42361</v>
      </c>
      <c r="C50902" s="1"/>
    </row>
    <row r="50903" spans="1:3">
      <c r="A50903" t="s">
        <v>2381</v>
      </c>
      <c r="B50903" t="s">
        <v>125</v>
      </c>
      <c r="C50903" s="1"/>
    </row>
    <row r="50904" spans="1:3">
      <c r="A50904" t="s">
        <v>2382</v>
      </c>
      <c r="B50904" s="1">
        <v>42325</v>
      </c>
      <c r="C50904" s="1"/>
    </row>
    <row r="50905" spans="1:3">
      <c r="A50905" t="s">
        <v>2383</v>
      </c>
      <c r="B50905" s="1">
        <v>41178</v>
      </c>
      <c r="C50905" s="1"/>
    </row>
    <row r="50906" spans="1:3">
      <c r="A50906" t="s">
        <v>2384</v>
      </c>
      <c r="B50906" s="1">
        <v>41431</v>
      </c>
      <c r="C50906" s="1"/>
    </row>
    <row r="50907" spans="1:3">
      <c r="A50907" t="s">
        <v>2385</v>
      </c>
      <c r="B50907" s="1">
        <v>42252</v>
      </c>
      <c r="C50907" s="1"/>
    </row>
    <row r="50908" spans="1:3">
      <c r="A50908" t="s">
        <v>2386</v>
      </c>
      <c r="B50908" t="s">
        <v>2387</v>
      </c>
      <c r="C50908" s="1"/>
    </row>
    <row r="50909" spans="1:3">
      <c r="A50909" t="s">
        <v>2375</v>
      </c>
      <c r="B50909" s="1">
        <v>41772</v>
      </c>
      <c r="C50909" s="1"/>
    </row>
    <row r="50910" spans="1:3">
      <c r="A50910" t="s">
        <v>2388</v>
      </c>
      <c r="B50910" s="1">
        <v>41128</v>
      </c>
      <c r="C50910" s="1"/>
    </row>
    <row r="50911" spans="1:3">
      <c r="A50911" t="s">
        <v>2389</v>
      </c>
      <c r="B50911" s="1">
        <v>42178</v>
      </c>
      <c r="C50911" s="1"/>
    </row>
    <row r="50912" spans="1:3">
      <c r="A50912" t="s">
        <v>2390</v>
      </c>
      <c r="B50912" s="1">
        <v>41287</v>
      </c>
      <c r="C50912" s="1"/>
    </row>
    <row r="50913" spans="1:3">
      <c r="A50913" t="s">
        <v>2377</v>
      </c>
      <c r="B50913" s="1">
        <v>41805</v>
      </c>
      <c r="C50913" s="1"/>
    </row>
    <row r="50914" spans="1:3">
      <c r="A50914" t="s">
        <v>2380</v>
      </c>
      <c r="C50914" s="1"/>
    </row>
    <row r="50915" spans="1:3">
      <c r="A50915" t="s">
        <v>2391</v>
      </c>
      <c r="B50915" s="1">
        <v>42185</v>
      </c>
      <c r="C50915" s="1"/>
    </row>
    <row r="50916" spans="1:3">
      <c r="A50916" t="s">
        <v>2392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2393</v>
      </c>
      <c r="B50918" s="1">
        <v>42087</v>
      </c>
      <c r="C50918" s="1"/>
    </row>
    <row r="50919" spans="1:3">
      <c r="A50919" t="s">
        <v>2394</v>
      </c>
      <c r="B50919" s="1">
        <v>41878</v>
      </c>
      <c r="C50919" s="1"/>
    </row>
    <row r="50920" spans="1:3">
      <c r="A50920" t="s">
        <v>2395</v>
      </c>
      <c r="B50920" s="1">
        <v>41985</v>
      </c>
      <c r="C50920" s="1"/>
    </row>
    <row r="50921" spans="1:3">
      <c r="A50921" t="s">
        <v>2396</v>
      </c>
      <c r="B50921" s="1">
        <v>41782</v>
      </c>
      <c r="C50921" s="1"/>
    </row>
    <row r="50922" spans="1:3">
      <c r="A50922" t="s">
        <v>2397</v>
      </c>
      <c r="B50922" s="1">
        <v>41782</v>
      </c>
      <c r="C50922" s="1"/>
    </row>
    <row r="50923" spans="1:3">
      <c r="A50923" t="s">
        <v>2398</v>
      </c>
      <c r="B50923" s="1">
        <v>42035</v>
      </c>
      <c r="C50923" s="1"/>
    </row>
    <row r="50924" spans="1:3">
      <c r="A50924" t="s">
        <v>2399</v>
      </c>
      <c r="B50924" s="1">
        <v>41212</v>
      </c>
      <c r="C50924" s="1"/>
    </row>
    <row r="50925" spans="1:3">
      <c r="A50925" t="s">
        <v>2068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2400</v>
      </c>
      <c r="B50927" s="1">
        <v>41659</v>
      </c>
      <c r="C50927" s="1"/>
    </row>
    <row r="50928" spans="1:3">
      <c r="A50928" t="s">
        <v>2401</v>
      </c>
      <c r="B50928" s="1">
        <v>41496</v>
      </c>
      <c r="C50928" s="1"/>
    </row>
    <row r="50929" spans="1:3">
      <c r="A50929" t="s">
        <v>2402</v>
      </c>
      <c r="B50929" s="1">
        <v>42185</v>
      </c>
      <c r="C50929" s="1"/>
    </row>
    <row r="50930" spans="1:3">
      <c r="A50930" t="s">
        <v>2403</v>
      </c>
      <c r="B50930" s="1">
        <v>41771</v>
      </c>
      <c r="C50930" s="1"/>
    </row>
    <row r="50931" spans="1:3">
      <c r="A50931" t="s">
        <v>2404</v>
      </c>
      <c r="B50931" s="1">
        <v>41216</v>
      </c>
      <c r="C50931" s="1"/>
    </row>
    <row r="50932" spans="1:3">
      <c r="A50932" t="s">
        <v>2405</v>
      </c>
      <c r="C50932" s="1"/>
    </row>
    <row r="50933" spans="1:3">
      <c r="A50933" t="s">
        <v>2406</v>
      </c>
      <c r="B50933" s="1">
        <v>42040</v>
      </c>
      <c r="C50933" s="1"/>
    </row>
    <row r="50934" spans="1:3">
      <c r="A50934" t="s">
        <v>1928</v>
      </c>
      <c r="B50934" s="1">
        <v>42314</v>
      </c>
      <c r="C50934" s="1"/>
    </row>
    <row r="50935" spans="1:3">
      <c r="A50935" t="s">
        <v>2407</v>
      </c>
      <c r="B50935" s="1">
        <v>42281</v>
      </c>
      <c r="C50935" s="1"/>
    </row>
    <row r="50936" spans="1:3">
      <c r="A50936" t="s">
        <v>2408</v>
      </c>
      <c r="B50936" s="1">
        <v>42171</v>
      </c>
      <c r="C50936" s="1"/>
    </row>
    <row r="50937" spans="1:3">
      <c r="A50937" t="s">
        <v>2409</v>
      </c>
      <c r="B50937" s="1">
        <v>41538</v>
      </c>
      <c r="C50937" s="1"/>
    </row>
    <row r="50938" spans="1:3">
      <c r="A50938" t="s">
        <v>2410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2411</v>
      </c>
      <c r="B50940" s="1">
        <v>41783</v>
      </c>
      <c r="C50940" s="1"/>
    </row>
    <row r="50941" spans="1:3">
      <c r="A50941" t="s">
        <v>2412</v>
      </c>
      <c r="B50941" s="1">
        <v>41593</v>
      </c>
      <c r="C50941" s="1"/>
    </row>
    <row r="50942" spans="1:3">
      <c r="A50942" t="s">
        <v>2413</v>
      </c>
      <c r="B50942" s="1">
        <v>41874</v>
      </c>
      <c r="C50942" s="1"/>
    </row>
    <row r="50943" spans="1:3">
      <c r="A50943" t="s">
        <v>2226</v>
      </c>
      <c r="B50943" s="1">
        <v>41870</v>
      </c>
      <c r="C50943" s="1"/>
    </row>
    <row r="50944" spans="1:3">
      <c r="A50944" t="s">
        <v>2414</v>
      </c>
      <c r="B50944" s="1">
        <v>42087</v>
      </c>
      <c r="C50944" s="1"/>
    </row>
    <row r="50945" spans="1:3">
      <c r="A50945" t="s">
        <v>2415</v>
      </c>
      <c r="B50945" s="1">
        <v>41254</v>
      </c>
      <c r="C50945" s="1"/>
    </row>
    <row r="50946" spans="1:3">
      <c r="A50946" t="s">
        <v>2395</v>
      </c>
      <c r="B50946" s="1">
        <v>41985</v>
      </c>
      <c r="C50946" s="1"/>
    </row>
    <row r="50947" spans="1:3">
      <c r="A50947" t="s">
        <v>2391</v>
      </c>
      <c r="B50947" s="1">
        <v>42185</v>
      </c>
      <c r="C50947" s="1"/>
    </row>
    <row r="50948" spans="1:3">
      <c r="A50948" t="s">
        <v>2404</v>
      </c>
      <c r="B50948" s="1">
        <v>41216</v>
      </c>
      <c r="C50948" s="1"/>
    </row>
    <row r="50949" spans="1:3">
      <c r="A50949" t="s">
        <v>2395</v>
      </c>
      <c r="B50949" s="1">
        <v>41985</v>
      </c>
      <c r="C50949" s="2"/>
    </row>
    <row r="50950" spans="1:3">
      <c r="A50950" t="s">
        <v>2416</v>
      </c>
      <c r="B50950" s="1">
        <v>41830</v>
      </c>
      <c r="C50950" s="1"/>
    </row>
    <row r="50951" spans="1:3">
      <c r="A50951" t="s">
        <v>2417</v>
      </c>
      <c r="B50951" t="s">
        <v>2418</v>
      </c>
      <c r="C50951" s="1"/>
    </row>
    <row r="50952" spans="1:3">
      <c r="A50952" t="s">
        <v>2395</v>
      </c>
      <c r="B50952" s="1">
        <v>41985</v>
      </c>
      <c r="C50952" s="1"/>
    </row>
    <row r="50953" spans="1:3">
      <c r="A50953" t="s">
        <v>2419</v>
      </c>
      <c r="B50953" s="1">
        <v>41639</v>
      </c>
      <c r="C50953" s="1"/>
    </row>
    <row r="50954" spans="1:3">
      <c r="A50954" t="s">
        <v>2420</v>
      </c>
      <c r="B50954" s="1">
        <v>41311</v>
      </c>
      <c r="C50954" s="1"/>
    </row>
    <row r="50955" spans="1:3">
      <c r="A50955" t="s">
        <v>2421</v>
      </c>
      <c r="B50955" s="1">
        <v>42357</v>
      </c>
      <c r="C50955" s="1"/>
    </row>
    <row r="50956" spans="1:3">
      <c r="A50956" t="s">
        <v>2422</v>
      </c>
      <c r="B50956" s="1">
        <v>41951</v>
      </c>
      <c r="C50956" s="1"/>
    </row>
    <row r="50957" spans="1:3">
      <c r="A50957" t="s">
        <v>2423</v>
      </c>
      <c r="B50957" s="1">
        <v>41892</v>
      </c>
      <c r="C50957" s="1"/>
    </row>
    <row r="50958" spans="1:3">
      <c r="A50958" t="s">
        <v>2401</v>
      </c>
      <c r="B50958" s="1">
        <v>41496</v>
      </c>
      <c r="C50958" s="1"/>
    </row>
    <row r="50959" spans="1:3">
      <c r="A50959" t="s">
        <v>2424</v>
      </c>
      <c r="B50959" s="1">
        <v>41914</v>
      </c>
      <c r="C50959" s="1"/>
    </row>
    <row r="50960" spans="1:3">
      <c r="A50960" t="s">
        <v>2391</v>
      </c>
      <c r="B50960" s="1">
        <v>42185</v>
      </c>
      <c r="C50960" s="1"/>
    </row>
    <row r="50961" spans="1:3">
      <c r="A50961" t="s">
        <v>2425</v>
      </c>
      <c r="B50961" s="1">
        <v>40919</v>
      </c>
      <c r="C50961" s="1"/>
    </row>
    <row r="50962" spans="1:3">
      <c r="A50962" t="s">
        <v>2426</v>
      </c>
      <c r="B50962" s="2">
        <v>41153</v>
      </c>
      <c r="C50962" s="1"/>
    </row>
    <row r="50963" spans="1:3">
      <c r="A50963" t="s">
        <v>2395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2427</v>
      </c>
      <c r="B50966" s="1">
        <v>41114</v>
      </c>
      <c r="C50966" s="1"/>
    </row>
    <row r="50967" spans="1:3">
      <c r="A50967" t="s">
        <v>2428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2429</v>
      </c>
      <c r="B50969" t="s">
        <v>2430</v>
      </c>
      <c r="C50969" s="1"/>
    </row>
    <row r="50970" spans="1:3">
      <c r="A50970" t="s">
        <v>2431</v>
      </c>
      <c r="B50970" s="1">
        <v>42032</v>
      </c>
      <c r="C50970" s="1"/>
    </row>
    <row r="50971" spans="1:3">
      <c r="A50971" t="s">
        <v>1801</v>
      </c>
      <c r="B50971" s="1">
        <v>42006</v>
      </c>
      <c r="C50971" s="1"/>
    </row>
    <row r="50972" spans="1:3">
      <c r="A50972" t="s">
        <v>2432</v>
      </c>
      <c r="B50972" s="1">
        <v>42287</v>
      </c>
      <c r="C50972" s="1"/>
    </row>
    <row r="50973" spans="1:3">
      <c r="A50973" t="s">
        <v>2433</v>
      </c>
      <c r="B50973" t="s">
        <v>125</v>
      </c>
      <c r="C50973" s="1"/>
    </row>
    <row r="50974" spans="1:3">
      <c r="A50974" t="s">
        <v>2434</v>
      </c>
      <c r="B50974" s="1">
        <v>41620</v>
      </c>
      <c r="C50974" s="1"/>
    </row>
    <row r="50975" spans="1:3">
      <c r="A50975" t="s">
        <v>2435</v>
      </c>
      <c r="B50975" t="s">
        <v>125</v>
      </c>
      <c r="C50975" s="1"/>
    </row>
    <row r="50976" spans="1:3">
      <c r="A50976" t="s">
        <v>2436</v>
      </c>
      <c r="B50976" s="1">
        <v>42349</v>
      </c>
      <c r="C50976" s="1"/>
    </row>
    <row r="50977" spans="1:3">
      <c r="A50977" t="s">
        <v>2437</v>
      </c>
      <c r="B50977" s="1">
        <v>41502</v>
      </c>
      <c r="C50977" s="1"/>
    </row>
    <row r="50978" spans="1:3">
      <c r="A50978" t="s">
        <v>2438</v>
      </c>
      <c r="B50978" s="1">
        <v>41444</v>
      </c>
      <c r="C50978" s="1"/>
    </row>
    <row r="50979" spans="1:3">
      <c r="A50979" t="s">
        <v>2401</v>
      </c>
      <c r="B50979" s="2">
        <v>41555</v>
      </c>
      <c r="C50979" s="1"/>
    </row>
    <row r="50980" spans="1:3">
      <c r="A50980" t="s">
        <v>2395</v>
      </c>
      <c r="B50980" s="1">
        <v>41985</v>
      </c>
      <c r="C50980" s="1"/>
    </row>
    <row r="50981" spans="1:3">
      <c r="A50981" t="s">
        <v>2439</v>
      </c>
      <c r="B50981" s="1">
        <v>41073</v>
      </c>
      <c r="C50981" s="1"/>
    </row>
    <row r="50982" spans="1:3">
      <c r="A50982" t="s">
        <v>2440</v>
      </c>
      <c r="B50982" s="1">
        <v>41034</v>
      </c>
      <c r="C50982" s="1"/>
    </row>
    <row r="50983" spans="1:3">
      <c r="A50983" t="s">
        <v>2395</v>
      </c>
      <c r="B50983" s="1">
        <v>41985</v>
      </c>
      <c r="C50983" s="1"/>
    </row>
    <row r="50984" spans="1:3">
      <c r="A50984" t="s">
        <v>2441</v>
      </c>
      <c r="B50984" s="1">
        <v>42178</v>
      </c>
      <c r="C50984" s="1"/>
    </row>
    <row r="50985" spans="1:3">
      <c r="A50985" t="s">
        <v>2442</v>
      </c>
      <c r="B50985" s="1">
        <v>42228</v>
      </c>
      <c r="C50985" s="1"/>
    </row>
    <row r="50986" spans="1:3">
      <c r="A50986" t="s">
        <v>2443</v>
      </c>
    </row>
    <row r="50987" spans="1:3">
      <c r="A50987" t="s">
        <v>2444</v>
      </c>
    </row>
    <row r="50988" spans="1:3">
      <c r="A50988" t="s">
        <v>2395</v>
      </c>
      <c r="B50988" s="1">
        <v>41985</v>
      </c>
      <c r="C50988" s="1"/>
    </row>
    <row r="50989" spans="1:3">
      <c r="A50989" t="s">
        <v>2395</v>
      </c>
      <c r="B50989" s="1">
        <v>41985</v>
      </c>
      <c r="C50989" s="1"/>
    </row>
    <row r="50990" spans="1:3">
      <c r="A50990" t="s">
        <v>2428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2445</v>
      </c>
      <c r="B50992" s="1">
        <v>41670</v>
      </c>
      <c r="C50992" s="1"/>
    </row>
    <row r="50993" spans="1:3">
      <c r="A50993" t="s">
        <v>2446</v>
      </c>
      <c r="B50993" s="1">
        <v>41488</v>
      </c>
      <c r="C50993" s="1"/>
    </row>
    <row r="50994" spans="1:3">
      <c r="A50994" t="s">
        <v>2447</v>
      </c>
      <c r="B50994" s="1">
        <v>41086</v>
      </c>
      <c r="C50994" s="1"/>
    </row>
    <row r="50995" spans="1:3">
      <c r="A50995" t="s">
        <v>2448</v>
      </c>
      <c r="B50995" s="1">
        <v>42166</v>
      </c>
      <c r="C50995" s="1"/>
    </row>
    <row r="50996" spans="1:3">
      <c r="A50996" t="s">
        <v>2449</v>
      </c>
      <c r="B50996" s="1">
        <v>41654</v>
      </c>
      <c r="C50996" s="1"/>
    </row>
    <row r="50997" spans="1:3">
      <c r="A50997" t="s">
        <v>2450</v>
      </c>
      <c r="B50997" s="1">
        <v>41254</v>
      </c>
      <c r="C50997" s="1"/>
    </row>
    <row r="50998" spans="1:3">
      <c r="A50998" t="s">
        <v>2451</v>
      </c>
      <c r="B50998" s="1">
        <v>42291</v>
      </c>
      <c r="C50998" s="1"/>
    </row>
    <row r="50999" spans="1:3">
      <c r="A50999" t="s">
        <v>2452</v>
      </c>
      <c r="B50999" s="1">
        <v>42321</v>
      </c>
      <c r="C50999" s="1"/>
    </row>
    <row r="51000" spans="1:3">
      <c r="A51000" t="s">
        <v>2453</v>
      </c>
      <c r="B51000" s="1">
        <v>42007</v>
      </c>
      <c r="C51000" s="1"/>
    </row>
    <row r="51001" spans="1:3">
      <c r="A51001" t="s">
        <v>2454</v>
      </c>
      <c r="B51001" s="1">
        <v>42082</v>
      </c>
      <c r="C51001" s="1"/>
    </row>
    <row r="51002" spans="1:3">
      <c r="A51002" t="s">
        <v>2455</v>
      </c>
      <c r="B51002" s="1">
        <v>42024</v>
      </c>
      <c r="C51002" s="1"/>
    </row>
    <row r="51003" spans="1:3">
      <c r="A51003" t="s">
        <v>2456</v>
      </c>
      <c r="B51003" s="1">
        <v>41256</v>
      </c>
      <c r="C51003" s="1"/>
    </row>
    <row r="51004" spans="1:3">
      <c r="A51004" t="s">
        <v>2457</v>
      </c>
      <c r="B51004" s="1">
        <v>41923</v>
      </c>
      <c r="C51004" s="1"/>
    </row>
    <row r="51005" spans="1:3">
      <c r="B51005" t="s">
        <v>125</v>
      </c>
      <c r="C51005" s="1"/>
    </row>
    <row r="51006" spans="1:3">
      <c r="A51006" t="s">
        <v>2458</v>
      </c>
      <c r="B51006" s="1">
        <v>41262</v>
      </c>
      <c r="C51006" s="1"/>
    </row>
    <row r="51007" spans="1:3">
      <c r="A51007" t="s">
        <v>2459</v>
      </c>
      <c r="B51007" s="1">
        <v>42326</v>
      </c>
      <c r="C51007" s="1"/>
    </row>
    <row r="51008" spans="1:3">
      <c r="A51008" t="s">
        <v>2460</v>
      </c>
      <c r="B51008" s="1">
        <v>41242</v>
      </c>
      <c r="C51008" s="1"/>
    </row>
    <row r="51009" spans="1:3">
      <c r="A51009" t="s">
        <v>2461</v>
      </c>
      <c r="B51009" s="1">
        <v>42285</v>
      </c>
      <c r="C51009" s="1"/>
    </row>
    <row r="51010" spans="1:3">
      <c r="A51010" t="s">
        <v>2462</v>
      </c>
      <c r="B51010" s="1">
        <v>41576</v>
      </c>
    </row>
    <row r="51011" spans="1:3">
      <c r="A51011" t="s">
        <v>2463</v>
      </c>
      <c r="B51011" s="1">
        <v>41537</v>
      </c>
      <c r="C51011" s="1"/>
    </row>
    <row r="51012" spans="1:3">
      <c r="A51012" t="s">
        <v>2464</v>
      </c>
      <c r="B51012" s="1">
        <v>41637</v>
      </c>
      <c r="C51012" s="1"/>
    </row>
    <row r="51013" spans="1:3">
      <c r="A51013" t="s">
        <v>2465</v>
      </c>
      <c r="B51013" s="1">
        <v>41543</v>
      </c>
      <c r="C51013" s="1"/>
    </row>
    <row r="51014" spans="1:3">
      <c r="A51014" t="s">
        <v>2466</v>
      </c>
      <c r="B51014" s="1">
        <v>41206</v>
      </c>
      <c r="C51014" s="1"/>
    </row>
    <row r="51015" spans="1:3">
      <c r="A51015" t="s">
        <v>2467</v>
      </c>
      <c r="B51015" s="1">
        <v>41081</v>
      </c>
      <c r="C51015" s="1"/>
    </row>
    <row r="51016" spans="1:3">
      <c r="A51016" t="s">
        <v>2468</v>
      </c>
      <c r="B51016" s="1">
        <v>41671</v>
      </c>
      <c r="C51016" s="1"/>
    </row>
    <row r="51017" spans="1:3">
      <c r="A51017" t="s">
        <v>2469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2470</v>
      </c>
      <c r="B51019" s="1">
        <v>42287</v>
      </c>
      <c r="C51019" s="1"/>
    </row>
    <row r="51020" spans="1:3">
      <c r="A51020" t="s">
        <v>2471</v>
      </c>
      <c r="B51020" s="1">
        <v>42306</v>
      </c>
      <c r="C51020" s="1"/>
    </row>
    <row r="51021" spans="1:3">
      <c r="A51021" t="s">
        <v>2472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2473</v>
      </c>
      <c r="B51023" s="1">
        <v>41552</v>
      </c>
      <c r="C51023" s="1"/>
    </row>
    <row r="51024" spans="1:3">
      <c r="A51024" t="s">
        <v>2474</v>
      </c>
      <c r="B51024" s="1">
        <v>41555</v>
      </c>
      <c r="C51024" s="1"/>
    </row>
    <row r="51025" spans="1:3">
      <c r="A51025" t="s">
        <v>2475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2476</v>
      </c>
      <c r="B51027" s="1">
        <v>42320</v>
      </c>
      <c r="C51027" s="1"/>
    </row>
    <row r="51028" spans="1:3">
      <c r="A51028" t="s">
        <v>2477</v>
      </c>
      <c r="B51028" s="1">
        <v>42067</v>
      </c>
      <c r="C51028" s="1"/>
    </row>
    <row r="51029" spans="1:3">
      <c r="A51029" t="s">
        <v>2478</v>
      </c>
      <c r="B51029" s="1">
        <v>41764</v>
      </c>
      <c r="C51029" s="1"/>
    </row>
    <row r="51030" spans="1:3">
      <c r="A51030" t="s">
        <v>2479</v>
      </c>
      <c r="B51030" s="1">
        <v>41796</v>
      </c>
      <c r="C51030" s="1"/>
    </row>
    <row r="51031" spans="1:3">
      <c r="A51031" t="s">
        <v>2480</v>
      </c>
      <c r="B51031" s="1">
        <v>41654</v>
      </c>
      <c r="C51031" s="1"/>
    </row>
    <row r="51032" spans="1:3">
      <c r="A51032" t="s">
        <v>2481</v>
      </c>
      <c r="B51032" s="1">
        <v>41121</v>
      </c>
    </row>
    <row r="51033" spans="1:3">
      <c r="A51033" t="s">
        <v>2391</v>
      </c>
      <c r="B51033" s="1">
        <v>42185</v>
      </c>
      <c r="C51033" s="1"/>
    </row>
    <row r="51034" spans="1:3">
      <c r="A51034" t="s">
        <v>2404</v>
      </c>
      <c r="B51034" s="1">
        <v>41216</v>
      </c>
      <c r="C51034" s="1"/>
    </row>
    <row r="51035" spans="1:3">
      <c r="A51035" t="s">
        <v>2482</v>
      </c>
      <c r="B51035" s="1">
        <v>41263</v>
      </c>
      <c r="C51035" s="1"/>
    </row>
    <row r="51036" spans="1:3">
      <c r="A51036" t="s">
        <v>2483</v>
      </c>
      <c r="B51036" s="1">
        <v>42364</v>
      </c>
      <c r="C51036" s="1"/>
    </row>
    <row r="51037" spans="1:3">
      <c r="A51037" t="s">
        <v>2484</v>
      </c>
      <c r="B51037" s="1">
        <v>42321</v>
      </c>
      <c r="C51037" s="1"/>
    </row>
    <row r="51038" spans="1:3">
      <c r="A51038" t="s">
        <v>2485</v>
      </c>
      <c r="B51038" s="1">
        <v>41262</v>
      </c>
      <c r="C51038" s="1"/>
    </row>
    <row r="51039" spans="1:3">
      <c r="A51039" t="s">
        <v>2449</v>
      </c>
      <c r="B51039" s="1">
        <v>41654</v>
      </c>
      <c r="C51039" s="1"/>
    </row>
    <row r="51040" spans="1:3">
      <c r="A51040" t="s">
        <v>2486</v>
      </c>
      <c r="B51040" t="s">
        <v>2487</v>
      </c>
    </row>
    <row r="51041" spans="1:3">
      <c r="A51041" t="s">
        <v>2395</v>
      </c>
      <c r="B51041" s="1">
        <v>41985</v>
      </c>
      <c r="C51041" s="1"/>
    </row>
    <row r="51042" spans="1:3">
      <c r="A51042" t="s">
        <v>2488</v>
      </c>
      <c r="B51042" s="1">
        <v>41948</v>
      </c>
      <c r="C51042" s="1"/>
    </row>
    <row r="51043" spans="1:3">
      <c r="A51043" t="s">
        <v>2436</v>
      </c>
      <c r="B51043" s="1">
        <v>42349</v>
      </c>
      <c r="C51043" s="1"/>
    </row>
    <row r="51044" spans="1:3">
      <c r="A51044" t="s">
        <v>2489</v>
      </c>
      <c r="B51044" s="1">
        <v>42139</v>
      </c>
      <c r="C51044" s="1"/>
    </row>
    <row r="51045" spans="1:3">
      <c r="A51045" t="s">
        <v>2404</v>
      </c>
      <c r="B51045" s="1">
        <v>41216</v>
      </c>
      <c r="C51045" s="1"/>
    </row>
    <row r="51046" spans="1:3">
      <c r="A51046" t="s">
        <v>2490</v>
      </c>
      <c r="B51046" s="1">
        <v>41475</v>
      </c>
      <c r="C51046" s="1"/>
    </row>
    <row r="51047" spans="1:3">
      <c r="A51047" t="s">
        <v>2491</v>
      </c>
      <c r="C51047" s="1"/>
    </row>
    <row r="51048" spans="1:3">
      <c r="A51048" t="s">
        <v>2492</v>
      </c>
      <c r="B51048" s="1">
        <v>41955</v>
      </c>
      <c r="C51048" s="1"/>
    </row>
    <row r="51049" spans="1:3">
      <c r="A51049" t="s">
        <v>2493</v>
      </c>
      <c r="B51049" s="1">
        <v>41348</v>
      </c>
      <c r="C51049" s="1"/>
    </row>
    <row r="51050" spans="1:3">
      <c r="A51050" t="s">
        <v>2494</v>
      </c>
      <c r="B51050" s="1">
        <v>41164</v>
      </c>
    </row>
    <row r="51051" spans="1:3">
      <c r="A51051" t="s">
        <v>2495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2428</v>
      </c>
      <c r="B51053" s="1">
        <v>41608</v>
      </c>
      <c r="C51053" s="1"/>
    </row>
    <row r="51054" spans="1:3">
      <c r="A51054" t="s">
        <v>2496</v>
      </c>
      <c r="B51054" s="1">
        <v>41434</v>
      </c>
      <c r="C51054" s="2"/>
    </row>
    <row r="51055" spans="1:3">
      <c r="A51055" t="s">
        <v>2497</v>
      </c>
      <c r="B51055" s="1">
        <v>41179</v>
      </c>
      <c r="C51055" s="1"/>
    </row>
    <row r="51056" spans="1:3">
      <c r="A51056" t="s">
        <v>2498</v>
      </c>
      <c r="B51056" s="1">
        <v>41878</v>
      </c>
      <c r="C51056" s="1"/>
    </row>
    <row r="51057" spans="1:3">
      <c r="A51057" t="s">
        <v>2499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2500</v>
      </c>
      <c r="B51060" s="1">
        <v>41588</v>
      </c>
      <c r="C51060" s="1"/>
    </row>
    <row r="51061" spans="1:3">
      <c r="A51061" t="s">
        <v>2501</v>
      </c>
      <c r="B51061" s="1">
        <v>41132</v>
      </c>
      <c r="C51061" s="1"/>
    </row>
    <row r="51062" spans="1:3">
      <c r="A51062" t="s">
        <v>2502</v>
      </c>
      <c r="B51062" s="1">
        <v>41902</v>
      </c>
      <c r="C51062" s="1"/>
    </row>
    <row r="51063" spans="1:3">
      <c r="A51063" t="s">
        <v>2503</v>
      </c>
      <c r="B51063" s="1">
        <v>41711</v>
      </c>
      <c r="C51063" s="1"/>
    </row>
    <row r="51064" spans="1:3">
      <c r="A51064" t="s">
        <v>2504</v>
      </c>
      <c r="C51064" s="1"/>
    </row>
    <row r="51065" spans="1:3">
      <c r="A51065" t="s">
        <v>2505</v>
      </c>
      <c r="B51065" s="1">
        <v>42144</v>
      </c>
      <c r="C51065" s="1"/>
    </row>
    <row r="51066" spans="1:3">
      <c r="A51066" t="s">
        <v>2506</v>
      </c>
      <c r="B51066" s="1">
        <v>41682</v>
      </c>
      <c r="C51066" s="1"/>
    </row>
    <row r="51067" spans="1:3">
      <c r="A51067" t="s">
        <v>2507</v>
      </c>
      <c r="B51067" s="1">
        <v>40929</v>
      </c>
      <c r="C51067" s="1"/>
    </row>
    <row r="51068" spans="1:3">
      <c r="A51068" t="s">
        <v>2508</v>
      </c>
      <c r="B51068" s="1">
        <v>41219</v>
      </c>
      <c r="C51068" s="1"/>
    </row>
    <row r="51069" spans="1:3">
      <c r="A51069" t="s">
        <v>2509</v>
      </c>
      <c r="B51069" s="1">
        <v>41664</v>
      </c>
    </row>
    <row r="51070" spans="1:3">
      <c r="A51070" t="s">
        <v>2510</v>
      </c>
      <c r="B51070" t="s">
        <v>125</v>
      </c>
      <c r="C51070" s="1"/>
    </row>
    <row r="51071" spans="1:3">
      <c r="A51071" t="s">
        <v>2511</v>
      </c>
      <c r="B51071" s="1">
        <v>41131</v>
      </c>
      <c r="C51071" s="1"/>
    </row>
    <row r="51072" spans="1:3">
      <c r="A51072" t="s">
        <v>2512</v>
      </c>
      <c r="B51072" s="1">
        <v>42115</v>
      </c>
      <c r="C51072" s="1"/>
    </row>
    <row r="51073" spans="1:3">
      <c r="A51073" t="s">
        <v>2513</v>
      </c>
      <c r="B51073" s="1">
        <v>42323</v>
      </c>
      <c r="C51073" s="1"/>
    </row>
    <row r="51074" spans="1:3">
      <c r="A51074" t="s">
        <v>2514</v>
      </c>
      <c r="B51074" s="1">
        <v>41142</v>
      </c>
    </row>
    <row r="51075" spans="1:3">
      <c r="A51075" t="s">
        <v>2515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2516</v>
      </c>
      <c r="B51077" s="1">
        <v>41172</v>
      </c>
      <c r="C51077" s="1"/>
    </row>
    <row r="51078" spans="1:3">
      <c r="A51078" t="s">
        <v>2517</v>
      </c>
      <c r="B51078" s="1">
        <v>41012</v>
      </c>
      <c r="C51078" s="1"/>
    </row>
    <row r="51079" spans="1:3">
      <c r="A51079" t="s">
        <v>1272</v>
      </c>
      <c r="B51079" s="1">
        <v>41828</v>
      </c>
      <c r="C51079" s="1"/>
    </row>
    <row r="51080" spans="1:3">
      <c r="A51080" t="s">
        <v>2507</v>
      </c>
      <c r="B51080" s="1">
        <v>40929</v>
      </c>
      <c r="C51080" s="1"/>
    </row>
    <row r="51081" spans="1:3">
      <c r="A51081" t="s">
        <v>2518</v>
      </c>
      <c r="B51081" s="1">
        <v>42287</v>
      </c>
      <c r="C51081" s="1"/>
    </row>
    <row r="51082" spans="1:3">
      <c r="A51082" t="s">
        <v>2519</v>
      </c>
      <c r="B51082" s="1">
        <v>41611</v>
      </c>
      <c r="C51082" s="1"/>
    </row>
    <row r="51083" spans="1:3">
      <c r="A51083" t="s">
        <v>2499</v>
      </c>
      <c r="B51083" s="1">
        <v>41947</v>
      </c>
      <c r="C51083" s="1"/>
    </row>
    <row r="51084" spans="1:3">
      <c r="A51084" t="s">
        <v>2507</v>
      </c>
      <c r="B51084" s="1">
        <v>40929</v>
      </c>
      <c r="C51084" s="1"/>
    </row>
    <row r="51085" spans="1:3">
      <c r="A51085" t="s">
        <v>2520</v>
      </c>
      <c r="B51085" s="1">
        <v>41620</v>
      </c>
      <c r="C51085" s="1"/>
    </row>
    <row r="51086" spans="1:3">
      <c r="A51086" t="s">
        <v>2521</v>
      </c>
      <c r="B51086" s="1">
        <v>42003</v>
      </c>
      <c r="C51086" s="1"/>
    </row>
    <row r="51087" spans="1:3">
      <c r="A51087" t="s">
        <v>2522</v>
      </c>
      <c r="B51087" s="1">
        <v>42270</v>
      </c>
      <c r="C51087" s="1"/>
    </row>
    <row r="51088" spans="1:3">
      <c r="A51088" t="s">
        <v>2523</v>
      </c>
      <c r="B51088" s="1">
        <v>41237</v>
      </c>
      <c r="C51088" s="1"/>
    </row>
    <row r="51089" spans="1:3">
      <c r="A51089" t="s">
        <v>2524</v>
      </c>
      <c r="B51089" s="1">
        <v>41530</v>
      </c>
    </row>
    <row r="51090" spans="1:3">
      <c r="A51090" t="s">
        <v>2525</v>
      </c>
      <c r="B51090" s="1">
        <v>41532</v>
      </c>
      <c r="C51090" s="1"/>
    </row>
    <row r="51091" spans="1:3">
      <c r="A51091" t="s">
        <v>2526</v>
      </c>
      <c r="B51091" s="1">
        <v>41520</v>
      </c>
      <c r="C51091" s="1"/>
    </row>
    <row r="51092" spans="1:3">
      <c r="A51092" t="s">
        <v>2527</v>
      </c>
      <c r="B51092" s="1">
        <v>41975</v>
      </c>
      <c r="C51092" s="1"/>
    </row>
    <row r="51093" spans="1:3">
      <c r="A51093" t="s">
        <v>2528</v>
      </c>
      <c r="B51093" s="1">
        <v>40970</v>
      </c>
      <c r="C51093" s="1"/>
    </row>
    <row r="51094" spans="1:3">
      <c r="A51094" t="s">
        <v>2529</v>
      </c>
      <c r="B51094" s="1">
        <v>41257</v>
      </c>
      <c r="C51094" s="1"/>
    </row>
    <row r="51095" spans="1:3">
      <c r="A51095" t="s">
        <v>1679</v>
      </c>
      <c r="B51095" s="1">
        <v>41748</v>
      </c>
      <c r="C51095" s="1"/>
    </row>
    <row r="51096" spans="1:3">
      <c r="A51096" t="s">
        <v>1465</v>
      </c>
      <c r="B51096" s="1">
        <v>41962</v>
      </c>
      <c r="C51096" s="1"/>
    </row>
    <row r="51097" spans="1:3">
      <c r="A51097" t="s">
        <v>2499</v>
      </c>
      <c r="B51097" s="1">
        <v>41947</v>
      </c>
      <c r="C51097" s="1"/>
    </row>
    <row r="51098" spans="1:3">
      <c r="A51098" t="s">
        <v>2499</v>
      </c>
      <c r="B51098" s="1">
        <v>41947</v>
      </c>
      <c r="C51098" s="1"/>
    </row>
    <row r="51099" spans="1:3">
      <c r="A51099" t="s">
        <v>2530</v>
      </c>
      <c r="B51099" s="1">
        <v>41945</v>
      </c>
      <c r="C51099" s="1"/>
    </row>
    <row r="51100" spans="1:3">
      <c r="A51100" t="s">
        <v>2520</v>
      </c>
      <c r="B51100" s="1">
        <v>41620</v>
      </c>
      <c r="C51100" s="1"/>
    </row>
    <row r="51101" spans="1:3">
      <c r="A51101" t="s">
        <v>2531</v>
      </c>
      <c r="B51101" s="1">
        <v>41024</v>
      </c>
      <c r="C51101" s="1"/>
    </row>
    <row r="51102" spans="1:3">
      <c r="A51102" t="s">
        <v>2507</v>
      </c>
      <c r="B51102" s="1">
        <v>40929</v>
      </c>
      <c r="C51102" s="1"/>
    </row>
    <row r="51103" spans="1:3">
      <c r="A51103" t="s">
        <v>2507</v>
      </c>
      <c r="B51103" s="1">
        <v>40929</v>
      </c>
      <c r="C51103" s="1"/>
    </row>
    <row r="51104" spans="1:3">
      <c r="A51104" t="s">
        <v>2532</v>
      </c>
      <c r="B51104" s="1">
        <v>42077</v>
      </c>
      <c r="C51104" s="1"/>
    </row>
    <row r="51105" spans="1:3">
      <c r="A51105" t="s">
        <v>2533</v>
      </c>
      <c r="B51105" s="1">
        <v>41905</v>
      </c>
      <c r="C51105" s="1"/>
    </row>
    <row r="51106" spans="1:3">
      <c r="A51106" t="s">
        <v>2534</v>
      </c>
      <c r="B51106" s="1">
        <v>41871</v>
      </c>
      <c r="C51106" s="1"/>
    </row>
    <row r="51107" spans="1:3">
      <c r="A51107" t="s">
        <v>2535</v>
      </c>
      <c r="B51107" s="1">
        <v>42171</v>
      </c>
      <c r="C51107" s="1"/>
    </row>
    <row r="51108" spans="1:3">
      <c r="A51108" t="s">
        <v>2536</v>
      </c>
      <c r="B51108" s="1">
        <v>41303</v>
      </c>
      <c r="C51108" s="1"/>
    </row>
    <row r="51109" spans="1:3">
      <c r="A51109" t="s">
        <v>2537</v>
      </c>
      <c r="B51109" s="1">
        <v>41517</v>
      </c>
      <c r="C51109" s="1"/>
    </row>
    <row r="51110" spans="1:3">
      <c r="A51110" t="s">
        <v>2499</v>
      </c>
      <c r="B51110" s="1">
        <v>41947</v>
      </c>
      <c r="C51110" s="1"/>
    </row>
    <row r="51111" spans="1:3">
      <c r="A51111" t="s">
        <v>2538</v>
      </c>
      <c r="B51111" s="1">
        <v>41126</v>
      </c>
      <c r="C51111" s="1"/>
    </row>
    <row r="51112" spans="1:3">
      <c r="A51112" t="s">
        <v>2539</v>
      </c>
      <c r="B51112" t="s">
        <v>2540</v>
      </c>
      <c r="C51112" s="1"/>
    </row>
    <row r="51113" spans="1:3">
      <c r="A51113" t="s">
        <v>2541</v>
      </c>
      <c r="B51113" s="1">
        <v>41187</v>
      </c>
      <c r="C51113" s="1"/>
    </row>
    <row r="51114" spans="1:3">
      <c r="A51114" t="s">
        <v>2499</v>
      </c>
      <c r="B51114" s="1">
        <v>41947</v>
      </c>
      <c r="C51114" s="1"/>
    </row>
    <row r="51115" spans="1:3">
      <c r="A51115" t="s">
        <v>2513</v>
      </c>
      <c r="B51115" s="1">
        <v>42323</v>
      </c>
      <c r="C51115" s="1"/>
    </row>
    <row r="51116" spans="1:3">
      <c r="A51116" t="s">
        <v>2542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2543</v>
      </c>
      <c r="B51118" s="1">
        <v>41741</v>
      </c>
      <c r="C51118" s="1"/>
    </row>
    <row r="51119" spans="1:3">
      <c r="A51119" t="s">
        <v>2544</v>
      </c>
      <c r="B51119" s="1">
        <v>41525</v>
      </c>
      <c r="C51119" s="1"/>
    </row>
    <row r="51120" spans="1:3">
      <c r="A51120" t="s">
        <v>2545</v>
      </c>
      <c r="B51120" s="1">
        <v>42284</v>
      </c>
      <c r="C51120" s="1"/>
    </row>
    <row r="51121" spans="1:3">
      <c r="A51121" t="s">
        <v>2507</v>
      </c>
      <c r="B51121" s="1">
        <v>40929</v>
      </c>
      <c r="C51121" s="1"/>
    </row>
    <row r="51122" spans="1:3">
      <c r="A51122" t="s">
        <v>2520</v>
      </c>
      <c r="B51122" s="1">
        <v>41620</v>
      </c>
      <c r="C51122" s="1"/>
    </row>
    <row r="51123" spans="1:3">
      <c r="A51123" t="s">
        <v>2507</v>
      </c>
      <c r="B51123" s="1">
        <v>40929</v>
      </c>
      <c r="C51123" s="1"/>
    </row>
    <row r="51124" spans="1:3">
      <c r="A51124" t="s">
        <v>2546</v>
      </c>
      <c r="B51124" s="1">
        <v>41355</v>
      </c>
      <c r="C51124" s="1"/>
    </row>
    <row r="51125" spans="1:3">
      <c r="A51125" t="s">
        <v>2547</v>
      </c>
      <c r="B51125" s="1">
        <v>41509</v>
      </c>
      <c r="C51125" s="1"/>
    </row>
    <row r="51126" spans="1:3">
      <c r="A51126" t="s">
        <v>2548</v>
      </c>
      <c r="B51126" s="1">
        <v>42356</v>
      </c>
      <c r="C51126" s="1"/>
    </row>
    <row r="51127" spans="1:3">
      <c r="A51127" t="s">
        <v>2549</v>
      </c>
      <c r="B51127" s="1">
        <v>42235</v>
      </c>
      <c r="C51127" s="1"/>
    </row>
    <row r="51128" spans="1:3">
      <c r="A51128" t="s">
        <v>2550</v>
      </c>
      <c r="B51128" s="1">
        <v>42360</v>
      </c>
      <c r="C51128" s="1"/>
    </row>
    <row r="51129" spans="1:3">
      <c r="A51129" t="s">
        <v>2549</v>
      </c>
      <c r="B51129" s="1">
        <v>42235</v>
      </c>
      <c r="C51129" s="1"/>
    </row>
    <row r="51130" spans="1:3">
      <c r="A51130" t="s">
        <v>2551</v>
      </c>
      <c r="B51130" s="1">
        <v>41616</v>
      </c>
      <c r="C51130" s="1"/>
    </row>
    <row r="51131" spans="1:3">
      <c r="A51131" t="s">
        <v>2552</v>
      </c>
      <c r="B51131" s="1">
        <v>42108</v>
      </c>
      <c r="C51131" s="1"/>
    </row>
    <row r="51132" spans="1:3">
      <c r="A51132" t="s">
        <v>2553</v>
      </c>
      <c r="B51132" s="1">
        <v>41346</v>
      </c>
      <c r="C51132" s="1"/>
    </row>
    <row r="51133" spans="1:3">
      <c r="A51133" t="s">
        <v>1811</v>
      </c>
      <c r="B51133" s="1">
        <v>41660</v>
      </c>
      <c r="C51133" s="1"/>
    </row>
    <row r="51134" spans="1:3">
      <c r="A51134" t="s">
        <v>2554</v>
      </c>
      <c r="B51134" s="1">
        <v>41893</v>
      </c>
      <c r="C51134" s="1"/>
    </row>
    <row r="51135" spans="1:3">
      <c r="A51135" t="s">
        <v>2551</v>
      </c>
      <c r="C51135" s="1"/>
    </row>
    <row r="51136" spans="1:3">
      <c r="A51136" t="s">
        <v>2555</v>
      </c>
      <c r="B51136" s="1">
        <v>41493</v>
      </c>
      <c r="C51136" s="1"/>
    </row>
    <row r="51137" spans="1:3">
      <c r="A51137" t="s">
        <v>2556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2557</v>
      </c>
      <c r="B51139" s="1">
        <v>41257</v>
      </c>
      <c r="C51139" s="1"/>
    </row>
    <row r="51140" spans="1:3">
      <c r="A51140" t="s">
        <v>2558</v>
      </c>
      <c r="B51140" s="1">
        <v>41783</v>
      </c>
      <c r="C51140" s="1"/>
    </row>
    <row r="51141" spans="1:3">
      <c r="A51141" t="s">
        <v>2559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2560</v>
      </c>
      <c r="B51143" s="1">
        <v>41446</v>
      </c>
      <c r="C51143" s="1"/>
    </row>
    <row r="51144" spans="1:3">
      <c r="A51144" t="s">
        <v>2561</v>
      </c>
      <c r="B51144" s="1">
        <v>41062</v>
      </c>
      <c r="C51144" s="1"/>
    </row>
    <row r="51145" spans="1:3">
      <c r="A51145" t="s">
        <v>2562</v>
      </c>
      <c r="B51145" s="1">
        <v>41503</v>
      </c>
      <c r="C51145" s="1"/>
    </row>
    <row r="51146" spans="1:3">
      <c r="A51146" t="s">
        <v>2563</v>
      </c>
      <c r="B51146" s="1">
        <v>41224</v>
      </c>
      <c r="C51146" s="1"/>
    </row>
    <row r="51147" spans="1:3">
      <c r="A51147" t="s">
        <v>2564</v>
      </c>
      <c r="B51147" s="1">
        <v>41480</v>
      </c>
      <c r="C51147" s="1"/>
    </row>
    <row r="51148" spans="1:3">
      <c r="A51148" t="s">
        <v>2565</v>
      </c>
      <c r="B51148" s="1">
        <v>42130</v>
      </c>
      <c r="C51148" s="1"/>
    </row>
    <row r="51149" spans="1:3">
      <c r="A51149" t="s">
        <v>2549</v>
      </c>
      <c r="B51149" t="s">
        <v>125</v>
      </c>
      <c r="C51149" s="1"/>
    </row>
    <row r="51150" spans="1:3">
      <c r="A51150" t="s">
        <v>2566</v>
      </c>
      <c r="B51150" s="1">
        <v>42189</v>
      </c>
      <c r="C51150" s="1"/>
    </row>
    <row r="51151" spans="1:3">
      <c r="A51151" t="s">
        <v>2567</v>
      </c>
      <c r="B51151" s="1">
        <v>41229</v>
      </c>
      <c r="C51151" s="1"/>
    </row>
    <row r="51152" spans="1:3">
      <c r="A51152" t="s">
        <v>2568</v>
      </c>
      <c r="B51152" s="1">
        <v>41737</v>
      </c>
      <c r="C51152" s="1"/>
    </row>
    <row r="51153" spans="1:3">
      <c r="A51153" t="s">
        <v>2569</v>
      </c>
      <c r="B51153" s="1">
        <v>42365</v>
      </c>
      <c r="C51153" s="1"/>
    </row>
    <row r="51154" spans="1:3">
      <c r="A51154" t="s">
        <v>2570</v>
      </c>
      <c r="B51154" s="1">
        <v>41889</v>
      </c>
      <c r="C51154" s="1"/>
    </row>
    <row r="51155" spans="1:3">
      <c r="A51155" t="s">
        <v>2571</v>
      </c>
      <c r="B51155" s="1">
        <v>42270</v>
      </c>
      <c r="C51155" s="1"/>
    </row>
    <row r="51156" spans="1:3">
      <c r="A51156" t="s">
        <v>2572</v>
      </c>
      <c r="B51156" s="1">
        <v>42159</v>
      </c>
      <c r="C51156" s="1"/>
    </row>
    <row r="51157" spans="1:3">
      <c r="A51157" t="s">
        <v>2573</v>
      </c>
      <c r="B51157" s="1">
        <v>41571</v>
      </c>
    </row>
    <row r="51158" spans="1:3">
      <c r="A51158" t="s">
        <v>2574</v>
      </c>
      <c r="B51158" s="1">
        <v>41952</v>
      </c>
      <c r="C51158" s="1"/>
    </row>
    <row r="51159" spans="1:3">
      <c r="A51159" t="s">
        <v>2575</v>
      </c>
      <c r="B51159" s="1">
        <v>41562</v>
      </c>
      <c r="C51159" s="1"/>
    </row>
    <row r="51160" spans="1:3">
      <c r="A51160" t="s">
        <v>2576</v>
      </c>
      <c r="B51160" s="1">
        <v>41914</v>
      </c>
      <c r="C51160" s="1"/>
    </row>
    <row r="51161" spans="1:3">
      <c r="A51161" t="s">
        <v>2342</v>
      </c>
      <c r="B51161" s="1">
        <v>41544</v>
      </c>
      <c r="C51161" s="1"/>
    </row>
    <row r="51162" spans="1:3">
      <c r="A51162" t="s">
        <v>2577</v>
      </c>
      <c r="C51162" s="1"/>
    </row>
    <row r="51163" spans="1:3">
      <c r="A51163" t="s">
        <v>2578</v>
      </c>
      <c r="B51163" s="1">
        <v>41444</v>
      </c>
      <c r="C51163" s="1"/>
    </row>
    <row r="51164" spans="1:3">
      <c r="A51164" t="s">
        <v>2579</v>
      </c>
      <c r="B51164" s="1">
        <v>42154</v>
      </c>
      <c r="C51164" s="1"/>
    </row>
    <row r="51165" spans="1:3">
      <c r="A51165" t="s">
        <v>1937</v>
      </c>
      <c r="B51165" s="1">
        <v>41164</v>
      </c>
      <c r="C51165" s="1"/>
    </row>
    <row r="51166" spans="1:3">
      <c r="A51166" t="s">
        <v>2580</v>
      </c>
      <c r="B51166" s="1">
        <v>42190</v>
      </c>
      <c r="C51166" s="1"/>
    </row>
    <row r="51167" spans="1:3">
      <c r="A51167" t="s">
        <v>2581</v>
      </c>
      <c r="B51167" s="2">
        <v>41793</v>
      </c>
      <c r="C51167" s="1"/>
    </row>
    <row r="51168" spans="1:3">
      <c r="A51168" t="s">
        <v>2582</v>
      </c>
      <c r="B51168" s="1">
        <v>41431</v>
      </c>
      <c r="C51168" s="1"/>
    </row>
    <row r="51169" spans="1:3">
      <c r="A51169" t="s">
        <v>2583</v>
      </c>
      <c r="B51169" s="1">
        <v>41958</v>
      </c>
      <c r="C51169" s="1"/>
    </row>
    <row r="51170" spans="1:3">
      <c r="A51170" t="s">
        <v>1945</v>
      </c>
      <c r="B51170" s="1">
        <v>41578</v>
      </c>
      <c r="C51170" s="1"/>
    </row>
    <row r="51171" spans="1:3">
      <c r="A51171" t="s">
        <v>2584</v>
      </c>
      <c r="B51171" s="1">
        <v>41552</v>
      </c>
      <c r="C51171" s="1"/>
    </row>
    <row r="51172" spans="1:3">
      <c r="A51172" t="s">
        <v>2585</v>
      </c>
      <c r="B51172" s="1">
        <v>41817</v>
      </c>
      <c r="C51172" s="2"/>
    </row>
    <row r="51173" spans="1:3">
      <c r="A51173" t="s">
        <v>2586</v>
      </c>
      <c r="B51173" s="1">
        <v>42350</v>
      </c>
      <c r="C51173" s="1"/>
    </row>
    <row r="51174" spans="1:3">
      <c r="A51174" t="s">
        <v>2567</v>
      </c>
      <c r="B51174" s="1">
        <v>41229</v>
      </c>
      <c r="C51174" s="1"/>
    </row>
    <row r="51175" spans="1:3">
      <c r="A51175" t="s">
        <v>2587</v>
      </c>
      <c r="B51175" s="1">
        <v>42342</v>
      </c>
      <c r="C51175" s="1"/>
    </row>
    <row r="51176" spans="1:3">
      <c r="A51176" t="s">
        <v>2588</v>
      </c>
      <c r="B51176" s="1">
        <v>41441</v>
      </c>
      <c r="C51176" s="1"/>
    </row>
    <row r="51177" spans="1:3">
      <c r="A51177" t="s">
        <v>2088</v>
      </c>
      <c r="B51177" s="1">
        <v>41247</v>
      </c>
      <c r="C51177" s="1"/>
    </row>
    <row r="51178" spans="1:3">
      <c r="A51178" t="s">
        <v>2589</v>
      </c>
      <c r="B51178" s="1">
        <v>42111</v>
      </c>
      <c r="C51178" s="1"/>
    </row>
    <row r="51179" spans="1:3">
      <c r="A51179" t="s">
        <v>2590</v>
      </c>
      <c r="B51179" s="1">
        <v>41849</v>
      </c>
      <c r="C51179" s="1"/>
    </row>
    <row r="51180" spans="1:3">
      <c r="A51180" t="s">
        <v>2591</v>
      </c>
      <c r="B51180" s="1">
        <v>41791</v>
      </c>
      <c r="C51180" s="1"/>
    </row>
    <row r="51181" spans="1:3">
      <c r="A51181" t="s">
        <v>2592</v>
      </c>
      <c r="B51181" s="1">
        <v>41615</v>
      </c>
    </row>
    <row r="51182" spans="1:3">
      <c r="A51182" t="s">
        <v>2567</v>
      </c>
      <c r="B51182" s="1">
        <v>41229</v>
      </c>
      <c r="C51182" s="1"/>
    </row>
    <row r="51183" spans="1:3">
      <c r="A51183" t="s">
        <v>2593</v>
      </c>
      <c r="B51183" s="1">
        <v>41286</v>
      </c>
      <c r="C51183" s="1"/>
    </row>
    <row r="51184" spans="1:3">
      <c r="A51184" t="s">
        <v>937</v>
      </c>
      <c r="B51184" s="1">
        <v>41728</v>
      </c>
      <c r="C51184" s="1"/>
    </row>
    <row r="51185" spans="1:3">
      <c r="A51185" t="s">
        <v>2594</v>
      </c>
      <c r="B51185" s="1">
        <v>41590</v>
      </c>
      <c r="C51185" s="1"/>
    </row>
    <row r="51186" spans="1:3">
      <c r="A51186" t="s">
        <v>2595</v>
      </c>
      <c r="B51186" s="1">
        <v>41077</v>
      </c>
      <c r="C51186" s="1"/>
    </row>
    <row r="51187" spans="1:3">
      <c r="A51187" t="s">
        <v>2596</v>
      </c>
      <c r="B51187" s="1">
        <v>42322</v>
      </c>
      <c r="C51187" s="1"/>
    </row>
    <row r="51188" spans="1:3">
      <c r="A51188" t="s">
        <v>2571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2597</v>
      </c>
      <c r="B51192" s="1">
        <v>41194</v>
      </c>
      <c r="C51192" s="1"/>
    </row>
    <row r="51193" spans="1:3">
      <c r="A51193" t="s">
        <v>2598</v>
      </c>
      <c r="B51193" s="1">
        <v>41530</v>
      </c>
      <c r="C51193" s="1"/>
    </row>
    <row r="51194" spans="1:3">
      <c r="A51194" t="s">
        <v>2599</v>
      </c>
      <c r="B51194" s="1">
        <v>42284</v>
      </c>
      <c r="C51194" s="1"/>
    </row>
    <row r="51195" spans="1:3">
      <c r="A51195" t="s">
        <v>2600</v>
      </c>
      <c r="B51195" s="1">
        <v>41377</v>
      </c>
      <c r="C51195" s="1"/>
    </row>
    <row r="51196" spans="1:3">
      <c r="A51196" t="s">
        <v>2601</v>
      </c>
      <c r="B51196" s="1">
        <v>41835</v>
      </c>
      <c r="C51196" s="1"/>
    </row>
    <row r="51197" spans="1:3">
      <c r="A51197" t="s">
        <v>2602</v>
      </c>
      <c r="B51197" s="1">
        <v>42192</v>
      </c>
    </row>
    <row r="51198" spans="1:3">
      <c r="A51198" t="s">
        <v>2603</v>
      </c>
      <c r="B51198" s="1">
        <v>40975</v>
      </c>
      <c r="C51198" s="1"/>
    </row>
    <row r="51199" spans="1:3">
      <c r="A51199" t="s">
        <v>2604</v>
      </c>
      <c r="B51199" t="s">
        <v>2605</v>
      </c>
      <c r="C51199" s="1"/>
    </row>
    <row r="51200" spans="1:3">
      <c r="A51200" t="s">
        <v>2606</v>
      </c>
      <c r="B51200" s="1">
        <v>41707</v>
      </c>
      <c r="C51200" s="1"/>
    </row>
    <row r="51201" spans="1:3">
      <c r="A51201" t="s">
        <v>2607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2597</v>
      </c>
      <c r="B51203" s="1">
        <v>41194</v>
      </c>
      <c r="C51203" s="1"/>
    </row>
    <row r="51204" spans="1:3">
      <c r="A51204" t="s">
        <v>2608</v>
      </c>
      <c r="B51204" s="1">
        <v>41738</v>
      </c>
      <c r="C51204" s="1"/>
    </row>
    <row r="51205" spans="1:3">
      <c r="A51205" t="s">
        <v>2609</v>
      </c>
      <c r="B51205" s="1">
        <v>42045</v>
      </c>
      <c r="C51205" s="1"/>
    </row>
    <row r="51206" spans="1:3">
      <c r="A51206" t="s">
        <v>2610</v>
      </c>
      <c r="B51206" s="1">
        <v>41389</v>
      </c>
      <c r="C51206" s="1"/>
    </row>
    <row r="51207" spans="1:3">
      <c r="A51207" t="s">
        <v>2610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2608</v>
      </c>
      <c r="B51210" s="1">
        <v>41738</v>
      </c>
      <c r="C51210" s="1"/>
    </row>
    <row r="51211" spans="1:3">
      <c r="A51211" t="s">
        <v>2611</v>
      </c>
      <c r="B51211" s="1">
        <v>41231</v>
      </c>
      <c r="C51211" s="1"/>
    </row>
    <row r="51212" spans="1:3">
      <c r="A51212" t="s">
        <v>2612</v>
      </c>
      <c r="B51212" s="1">
        <v>42059</v>
      </c>
    </row>
    <row r="51213" spans="1:3">
      <c r="A51213" t="s">
        <v>2613</v>
      </c>
      <c r="B51213" s="1">
        <v>42175</v>
      </c>
      <c r="C51213" s="1"/>
    </row>
    <row r="51214" spans="1:3">
      <c r="A51214" t="s">
        <v>2614</v>
      </c>
      <c r="B51214" s="1">
        <v>41916</v>
      </c>
      <c r="C51214" s="1"/>
    </row>
    <row r="51215" spans="1:3">
      <c r="A51215" t="s">
        <v>2600</v>
      </c>
      <c r="B51215" s="1">
        <v>41377</v>
      </c>
      <c r="C51215" s="1"/>
    </row>
    <row r="51216" spans="1:3">
      <c r="A51216" t="s">
        <v>2615</v>
      </c>
      <c r="B51216" s="1">
        <v>41719</v>
      </c>
      <c r="C51216" s="1"/>
    </row>
    <row r="51217" spans="1:3">
      <c r="A51217" t="s">
        <v>2616</v>
      </c>
      <c r="B51217" s="1">
        <v>41447</v>
      </c>
      <c r="C51217" s="1"/>
    </row>
    <row r="51218" spans="1:3">
      <c r="A51218" t="s">
        <v>2617</v>
      </c>
      <c r="B51218" s="1">
        <v>42332</v>
      </c>
      <c r="C51218" s="1"/>
    </row>
    <row r="51219" spans="1:3">
      <c r="A51219" t="s">
        <v>2618</v>
      </c>
      <c r="B51219" s="1">
        <v>41910</v>
      </c>
      <c r="C51219" s="1"/>
    </row>
    <row r="51220" spans="1:3">
      <c r="A51220" t="s">
        <v>2619</v>
      </c>
      <c r="B51220" s="1">
        <v>42289</v>
      </c>
      <c r="C51220" s="1"/>
    </row>
    <row r="51221" spans="1:3">
      <c r="A51221" t="s">
        <v>2620</v>
      </c>
      <c r="B51221" s="1">
        <v>41727</v>
      </c>
      <c r="C51221" s="1"/>
    </row>
    <row r="51222" spans="1:3">
      <c r="A51222" t="s">
        <v>2621</v>
      </c>
      <c r="B51222" s="1">
        <v>41807</v>
      </c>
      <c r="C51222" s="1"/>
    </row>
    <row r="51223" spans="1:3">
      <c r="A51223" t="s">
        <v>2622</v>
      </c>
      <c r="B51223" s="1">
        <v>40979</v>
      </c>
      <c r="C51223" s="1"/>
    </row>
    <row r="51224" spans="1:3">
      <c r="A51224" t="s">
        <v>2623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2624</v>
      </c>
      <c r="B51226" s="1">
        <v>42136</v>
      </c>
      <c r="C51226" s="1"/>
    </row>
    <row r="51227" spans="1:3">
      <c r="A51227" t="s">
        <v>2597</v>
      </c>
      <c r="B51227" s="1">
        <v>41194</v>
      </c>
      <c r="C51227" s="2"/>
    </row>
    <row r="51228" spans="1:3">
      <c r="A51228" t="s">
        <v>2625</v>
      </c>
      <c r="B51228" s="1">
        <v>42351</v>
      </c>
      <c r="C51228" s="1"/>
    </row>
    <row r="51229" spans="1:3">
      <c r="A51229" t="s">
        <v>2606</v>
      </c>
      <c r="B51229" s="2">
        <v>41707</v>
      </c>
      <c r="C51229" s="1"/>
    </row>
    <row r="51230" spans="1:3">
      <c r="A51230" t="s">
        <v>2626</v>
      </c>
      <c r="B51230" s="1">
        <v>41601</v>
      </c>
      <c r="C51230" s="1"/>
    </row>
    <row r="51231" spans="1:3">
      <c r="A51231" t="s">
        <v>2627</v>
      </c>
      <c r="C51231" s="1"/>
    </row>
    <row r="51232" spans="1:3">
      <c r="A51232" t="s">
        <v>2586</v>
      </c>
      <c r="B51232" s="1">
        <v>42350</v>
      </c>
      <c r="C51232" s="1"/>
    </row>
    <row r="51233" spans="1:3">
      <c r="A51233" t="s">
        <v>2628</v>
      </c>
      <c r="B51233" s="1">
        <v>41434</v>
      </c>
      <c r="C51233" s="1"/>
    </row>
    <row r="51234" spans="1:3">
      <c r="A51234" t="s">
        <v>2629</v>
      </c>
      <c r="B51234" s="1">
        <v>41287</v>
      </c>
      <c r="C51234" s="1"/>
    </row>
    <row r="51235" spans="1:3">
      <c r="A51235" t="s">
        <v>2630</v>
      </c>
      <c r="B51235" s="1">
        <v>41597</v>
      </c>
      <c r="C51235" s="1"/>
    </row>
    <row r="51236" spans="1:3">
      <c r="A51236" t="s">
        <v>2631</v>
      </c>
      <c r="B51236" s="1">
        <v>42315</v>
      </c>
      <c r="C51236" s="1"/>
    </row>
    <row r="51237" spans="1:3">
      <c r="A51237" t="s">
        <v>2632</v>
      </c>
      <c r="B51237" s="1">
        <v>42320</v>
      </c>
      <c r="C51237" s="1"/>
    </row>
    <row r="51238" spans="1:3">
      <c r="A51238" t="s">
        <v>2633</v>
      </c>
      <c r="B51238" s="1">
        <v>41989</v>
      </c>
      <c r="C51238" s="1"/>
    </row>
    <row r="51239" spans="1:3">
      <c r="A51239" t="s">
        <v>2597</v>
      </c>
      <c r="B51239" s="1">
        <v>41194</v>
      </c>
      <c r="C51239" s="1"/>
    </row>
    <row r="51240" spans="1:3">
      <c r="A51240" t="s">
        <v>2634</v>
      </c>
      <c r="C51240" s="1"/>
    </row>
    <row r="51241" spans="1:3">
      <c r="A51241" t="s">
        <v>2631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2635</v>
      </c>
      <c r="B51244" s="1">
        <v>41261</v>
      </c>
      <c r="C51244" s="1"/>
    </row>
    <row r="51245" spans="1:3">
      <c r="A51245" t="s">
        <v>2636</v>
      </c>
      <c r="C51245" s="1"/>
    </row>
    <row r="51246" spans="1:3">
      <c r="B51246" s="1">
        <v>41719</v>
      </c>
      <c r="C51246" s="1"/>
    </row>
    <row r="51247" spans="1:3">
      <c r="A51247" t="s">
        <v>2637</v>
      </c>
      <c r="B51247" t="s">
        <v>2638</v>
      </c>
      <c r="C51247" s="1"/>
    </row>
    <row r="51248" spans="1:3">
      <c r="A51248" t="s">
        <v>2639</v>
      </c>
      <c r="B51248" s="1">
        <v>41846</v>
      </c>
      <c r="C51248" s="1"/>
    </row>
    <row r="51249" spans="1:3">
      <c r="A51249" t="s">
        <v>2640</v>
      </c>
      <c r="B51249" s="1">
        <v>41545</v>
      </c>
      <c r="C51249" s="1"/>
    </row>
    <row r="51250" spans="1:3">
      <c r="A51250" t="s">
        <v>2641</v>
      </c>
      <c r="B51250" t="s">
        <v>125</v>
      </c>
      <c r="C51250" s="1"/>
    </row>
    <row r="51251" spans="1:3">
      <c r="A51251" t="s">
        <v>2640</v>
      </c>
      <c r="B51251" s="1">
        <v>41545</v>
      </c>
      <c r="C51251" s="1"/>
    </row>
    <row r="51252" spans="1:3">
      <c r="A51252" t="s">
        <v>2642</v>
      </c>
      <c r="B51252" s="1">
        <v>42167</v>
      </c>
      <c r="C51252" s="1"/>
    </row>
    <row r="51253" spans="1:3">
      <c r="A51253" t="s">
        <v>2631</v>
      </c>
      <c r="B51253" s="1">
        <v>42315</v>
      </c>
      <c r="C51253" s="1"/>
    </row>
    <row r="51254" spans="1:3">
      <c r="A51254" t="s">
        <v>2643</v>
      </c>
      <c r="B51254" s="1">
        <v>42355</v>
      </c>
      <c r="C51254" s="1"/>
    </row>
    <row r="51255" spans="1:3">
      <c r="A51255" t="s">
        <v>2644</v>
      </c>
      <c r="B51255" s="1">
        <v>41870</v>
      </c>
      <c r="C51255" s="1"/>
    </row>
    <row r="51256" spans="1:3">
      <c r="A51256" t="s">
        <v>2645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2646</v>
      </c>
      <c r="B51258" s="1">
        <v>42147</v>
      </c>
      <c r="C51258" s="1"/>
    </row>
    <row r="51259" spans="1:3">
      <c r="A51259" t="s">
        <v>2640</v>
      </c>
      <c r="B51259" s="1">
        <v>41545</v>
      </c>
      <c r="C51259" s="1"/>
    </row>
    <row r="51260" spans="1:3">
      <c r="A51260" t="s">
        <v>2613</v>
      </c>
      <c r="B51260" s="1">
        <v>42175</v>
      </c>
      <c r="C51260" s="1"/>
    </row>
    <row r="51261" spans="1:3">
      <c r="A51261" t="s">
        <v>2647</v>
      </c>
      <c r="C51261" s="1"/>
    </row>
    <row r="51262" spans="1:3">
      <c r="A51262" t="s">
        <v>2648</v>
      </c>
    </row>
    <row r="51263" spans="1:3">
      <c r="A51263" t="s">
        <v>2649</v>
      </c>
      <c r="B51263" s="1">
        <v>41264</v>
      </c>
      <c r="C51263" s="1"/>
    </row>
    <row r="51264" spans="1:3">
      <c r="A51264" t="s">
        <v>2650</v>
      </c>
      <c r="B51264" s="1">
        <v>42333</v>
      </c>
      <c r="C51264" s="1"/>
    </row>
    <row r="51265" spans="1:3">
      <c r="A51265" t="s">
        <v>2651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2652</v>
      </c>
      <c r="B51267" s="1">
        <v>42167</v>
      </c>
      <c r="C51267" s="1"/>
    </row>
    <row r="51268" spans="1:3">
      <c r="A51268" t="s">
        <v>2653</v>
      </c>
      <c r="B51268" s="1">
        <v>42103</v>
      </c>
      <c r="C51268" s="1"/>
    </row>
    <row r="51269" spans="1:3">
      <c r="A51269" t="s">
        <v>2654</v>
      </c>
      <c r="B51269" s="1">
        <v>41038</v>
      </c>
      <c r="C51269" s="1"/>
    </row>
    <row r="51270" spans="1:3">
      <c r="A51270" t="s">
        <v>2655</v>
      </c>
      <c r="B51270" s="1">
        <v>42221</v>
      </c>
      <c r="C51270" s="1"/>
    </row>
    <row r="51271" spans="1:3">
      <c r="A51271" t="s">
        <v>2651</v>
      </c>
      <c r="B51271" s="1">
        <v>41733</v>
      </c>
      <c r="C51271" s="1"/>
    </row>
    <row r="51272" spans="1:3">
      <c r="A51272" t="s">
        <v>1266</v>
      </c>
      <c r="B51272" s="1">
        <v>42111</v>
      </c>
      <c r="C51272" s="1"/>
    </row>
    <row r="51273" spans="1:3">
      <c r="A51273" t="s">
        <v>2656</v>
      </c>
      <c r="B51273" s="1">
        <v>42258</v>
      </c>
      <c r="C51273" s="1"/>
    </row>
    <row r="51274" spans="1:3">
      <c r="A51274" t="s">
        <v>2165</v>
      </c>
      <c r="B51274" s="1">
        <v>41912</v>
      </c>
      <c r="C51274" s="1"/>
    </row>
    <row r="51275" spans="1:3">
      <c r="A51275" t="s">
        <v>2657</v>
      </c>
      <c r="B51275" s="1">
        <v>40988</v>
      </c>
      <c r="C51275" s="1"/>
    </row>
    <row r="51276" spans="1:3">
      <c r="A51276" t="s">
        <v>2648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1234</v>
      </c>
      <c r="B51278" s="1">
        <v>41245</v>
      </c>
      <c r="C51278" s="1"/>
    </row>
    <row r="51279" spans="1:3">
      <c r="A51279" t="s">
        <v>2658</v>
      </c>
      <c r="B51279" s="1">
        <v>41159</v>
      </c>
      <c r="C51279" s="1"/>
    </row>
    <row r="51280" spans="1:3">
      <c r="A51280" t="s">
        <v>2647</v>
      </c>
      <c r="B51280" s="1">
        <v>41829</v>
      </c>
      <c r="C51280" s="1"/>
    </row>
    <row r="51281" spans="1:3">
      <c r="A51281" t="s">
        <v>2659</v>
      </c>
      <c r="B51281" s="1">
        <v>42164</v>
      </c>
      <c r="C51281" s="1"/>
    </row>
    <row r="51282" spans="1:3">
      <c r="A51282" t="s">
        <v>2660</v>
      </c>
      <c r="B51282" s="1">
        <v>42221</v>
      </c>
      <c r="C51282" s="1"/>
    </row>
    <row r="51283" spans="1:3">
      <c r="A51283" t="s">
        <v>2661</v>
      </c>
      <c r="B51283" s="1">
        <v>42154</v>
      </c>
      <c r="C51283" s="1"/>
    </row>
    <row r="51284" spans="1:3">
      <c r="A51284" t="s">
        <v>2278</v>
      </c>
      <c r="B51284" s="1">
        <v>41636</v>
      </c>
      <c r="C51284" s="1"/>
    </row>
    <row r="51285" spans="1:3">
      <c r="A51285" t="s">
        <v>2662</v>
      </c>
      <c r="B51285" s="1">
        <v>42174</v>
      </c>
      <c r="C51285" s="1"/>
    </row>
    <row r="51286" spans="1:3">
      <c r="A51286" t="s">
        <v>2663</v>
      </c>
      <c r="B51286" s="1">
        <v>41765</v>
      </c>
      <c r="C51286" s="1"/>
    </row>
    <row r="51287" spans="1:3">
      <c r="A51287" t="s">
        <v>2648</v>
      </c>
      <c r="B51287" s="1">
        <v>41147</v>
      </c>
      <c r="C51287" s="1"/>
    </row>
    <row r="51288" spans="1:3">
      <c r="A51288" t="s">
        <v>2664</v>
      </c>
      <c r="B51288" s="1">
        <v>41322</v>
      </c>
      <c r="C51288" s="1"/>
    </row>
    <row r="51289" spans="1:3">
      <c r="A51289" t="s">
        <v>2665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Z879"/>
  <sheetViews>
    <sheetView tabSelected="1" workbookViewId="0">
      <selection activeCell="J3" sqref="J3"/>
    </sheetView>
  </sheetViews>
  <sheetFormatPr defaultRowHeight="15"/>
  <cols>
    <col min="1" max="1" width="30.140625" bestFit="1" customWidth="1"/>
    <col min="2" max="2" width="20.28515625" customWidth="1"/>
    <col min="3" max="3" width="19" customWidth="1"/>
    <col min="4" max="4" width="20.85546875" bestFit="1" customWidth="1"/>
    <col min="5" max="5" width="30.7109375" bestFit="1" customWidth="1"/>
    <col min="6" max="6" width="21.5703125" bestFit="1" customWidth="1"/>
    <col min="7" max="7" width="16.85546875" bestFit="1" customWidth="1"/>
    <col min="8" max="8" width="16.28515625" bestFit="1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27" customWidth="1"/>
    <col min="16" max="16" width="25.28515625" customWidth="1"/>
    <col min="17" max="17" width="24.140625" customWidth="1"/>
    <col min="18" max="18" width="17.7109375" customWidth="1"/>
    <col min="19" max="19" width="25" bestFit="1" customWidth="1"/>
    <col min="20" max="20" width="24.140625" customWidth="1"/>
    <col min="21" max="21" width="23.28515625" customWidth="1"/>
    <col min="22" max="22" width="26.7109375" style="28" customWidth="1"/>
    <col min="23" max="23" width="21.42578125" style="31" customWidth="1"/>
    <col min="24" max="24" width="17.28515625" customWidth="1"/>
    <col min="25" max="25" width="16.85546875" style="28" customWidth="1"/>
    <col min="26" max="26" width="33.5703125" style="28" customWidth="1"/>
  </cols>
  <sheetData>
    <row r="1" spans="1:26" ht="15.7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38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2666</v>
      </c>
      <c r="O1" s="24" t="s">
        <v>2667</v>
      </c>
      <c r="P1" s="24" t="s">
        <v>2668</v>
      </c>
      <c r="Q1" s="24" t="s">
        <v>2669</v>
      </c>
      <c r="R1" s="24" t="s">
        <v>2670</v>
      </c>
      <c r="S1" s="24" t="s">
        <v>2671</v>
      </c>
      <c r="T1" s="25" t="s">
        <v>2672</v>
      </c>
      <c r="U1" t="s">
        <v>2673</v>
      </c>
      <c r="V1" s="22" t="s">
        <v>2674</v>
      </c>
      <c r="W1" s="29" t="s">
        <v>2675</v>
      </c>
      <c r="X1" s="26" t="s">
        <v>2676</v>
      </c>
      <c r="Y1" s="26" t="s">
        <v>2677</v>
      </c>
      <c r="Z1" s="26" t="s">
        <v>2678</v>
      </c>
    </row>
    <row r="2" spans="1:26" ht="15.75">
      <c r="A2" s="16" t="s">
        <v>28</v>
      </c>
      <c r="B2" s="4">
        <v>41818</v>
      </c>
      <c r="C2" s="4">
        <v>41821</v>
      </c>
      <c r="D2" s="5" t="s">
        <v>29</v>
      </c>
      <c r="E2" s="5" t="s">
        <v>15</v>
      </c>
      <c r="F2" s="5" t="s">
        <v>16</v>
      </c>
      <c r="G2" s="5" t="s">
        <v>17</v>
      </c>
      <c r="H2" s="5" t="s">
        <v>26</v>
      </c>
      <c r="I2" s="6">
        <v>2862.6750000000002</v>
      </c>
      <c r="J2" s="5">
        <v>5</v>
      </c>
      <c r="K2" s="17">
        <v>0.1</v>
      </c>
      <c r="L2" s="6">
        <v>763.27499999999998</v>
      </c>
      <c r="M2" s="5" t="s">
        <v>27</v>
      </c>
      <c r="N2" s="7" t="s">
        <v>2679</v>
      </c>
      <c r="O2" s="8" t="str">
        <f t="shared" ref="O2:O65" si="0">PROPER(D2)</f>
        <v>Jim Mitchum</v>
      </c>
      <c r="P2" s="8" t="str">
        <f t="shared" ref="P2:P65" si="1">LEFT(A2,2)</f>
        <v>IN</v>
      </c>
      <c r="Q2" s="8" t="str">
        <f t="shared" ref="Q2:Q65" si="2">MID(A2,4,4)</f>
        <v>2014</v>
      </c>
      <c r="R2" s="8" t="str">
        <f t="shared" ref="R2:R65" si="3">UPPER(M2)</f>
        <v>CRITICAL</v>
      </c>
      <c r="S2" s="8" t="str">
        <f t="shared" ref="S2:S65" si="4">LOWER(G2)</f>
        <v>technology</v>
      </c>
      <c r="T2" s="18" t="str">
        <f t="shared" ref="T2:T65" si="5">RIGHT(A2,5)</f>
        <v>41818</v>
      </c>
      <c r="U2" s="27" t="s">
        <v>2680</v>
      </c>
      <c r="V2" s="16" t="s">
        <v>2681</v>
      </c>
      <c r="W2" s="30">
        <v>2014</v>
      </c>
      <c r="X2" t="s">
        <v>2680</v>
      </c>
      <c r="Y2" s="28">
        <v>41818</v>
      </c>
      <c r="Z2" s="28" t="str">
        <f t="shared" ref="Z2:Z65" si="6">TRIM(A2)</f>
        <v>IN-2014-JM156557-41818</v>
      </c>
    </row>
    <row r="3" spans="1:26" ht="15.75">
      <c r="A3" s="19" t="s">
        <v>38</v>
      </c>
      <c r="B3" s="9">
        <v>41954</v>
      </c>
      <c r="C3" s="9">
        <v>41956</v>
      </c>
      <c r="D3" s="10" t="s">
        <v>39</v>
      </c>
      <c r="E3" s="10" t="s">
        <v>40</v>
      </c>
      <c r="F3" s="10" t="s">
        <v>41</v>
      </c>
      <c r="G3" s="10" t="s">
        <v>32</v>
      </c>
      <c r="H3" s="10" t="s">
        <v>23</v>
      </c>
      <c r="I3" s="11">
        <v>341.96</v>
      </c>
      <c r="J3" s="10">
        <v>2</v>
      </c>
      <c r="K3" s="20">
        <v>0</v>
      </c>
      <c r="L3" s="11">
        <v>54.7135999999999</v>
      </c>
      <c r="M3" s="10" t="s">
        <v>37</v>
      </c>
      <c r="N3" s="12" t="s">
        <v>2679</v>
      </c>
      <c r="O3" s="13" t="str">
        <f t="shared" si="0"/>
        <v>Aaron Bergman</v>
      </c>
      <c r="P3" s="13" t="str">
        <f t="shared" si="1"/>
        <v>CA</v>
      </c>
      <c r="Q3" s="13" t="str">
        <f t="shared" si="2"/>
        <v>2014</v>
      </c>
      <c r="R3" s="13" t="str">
        <f t="shared" si="3"/>
        <v>HIGH</v>
      </c>
      <c r="S3" s="13" t="str">
        <f t="shared" si="4"/>
        <v>furniture</v>
      </c>
      <c r="T3" s="21" t="str">
        <f t="shared" si="5"/>
        <v>41954</v>
      </c>
      <c r="U3" s="27" t="s">
        <v>2682</v>
      </c>
      <c r="V3" s="19" t="s">
        <v>2683</v>
      </c>
      <c r="W3" s="30">
        <v>2014</v>
      </c>
      <c r="X3" t="s">
        <v>2682</v>
      </c>
      <c r="Y3" s="28">
        <v>41954</v>
      </c>
      <c r="Z3" s="28" t="str">
        <f t="shared" si="6"/>
        <v>CA-2014-AB10015140-41954</v>
      </c>
    </row>
    <row r="4" spans="1:26" ht="15.75">
      <c r="A4" s="16" t="s">
        <v>72</v>
      </c>
      <c r="B4" s="4">
        <v>40958</v>
      </c>
      <c r="C4" s="4">
        <v>40964</v>
      </c>
      <c r="D4" s="5" t="s">
        <v>39</v>
      </c>
      <c r="E4" s="5" t="s">
        <v>40</v>
      </c>
      <c r="F4" s="5" t="s">
        <v>41</v>
      </c>
      <c r="G4" s="5" t="s">
        <v>45</v>
      </c>
      <c r="H4" s="5" t="s">
        <v>73</v>
      </c>
      <c r="I4" s="6">
        <v>12.624000000000001</v>
      </c>
      <c r="J4" s="5">
        <v>2</v>
      </c>
      <c r="K4" s="17">
        <v>0.2</v>
      </c>
      <c r="L4" s="6">
        <v>-2.5247999999999999</v>
      </c>
      <c r="M4" s="5" t="s">
        <v>74</v>
      </c>
      <c r="N4" s="7" t="s">
        <v>2679</v>
      </c>
      <c r="O4" s="8" t="str">
        <f t="shared" si="0"/>
        <v>Aaron Bergman</v>
      </c>
      <c r="P4" s="8" t="str">
        <f t="shared" si="1"/>
        <v>CA</v>
      </c>
      <c r="Q4" s="8" t="str">
        <f t="shared" si="2"/>
        <v>2012</v>
      </c>
      <c r="R4" s="8" t="str">
        <f t="shared" si="3"/>
        <v>LOW</v>
      </c>
      <c r="S4" s="8" t="str">
        <f t="shared" si="4"/>
        <v>office supplies</v>
      </c>
      <c r="T4" s="18" t="str">
        <f t="shared" si="5"/>
        <v>40958</v>
      </c>
      <c r="U4" s="27" t="s">
        <v>2682</v>
      </c>
      <c r="V4" s="16" t="s">
        <v>2683</v>
      </c>
      <c r="W4" s="30">
        <v>2012</v>
      </c>
      <c r="X4" t="s">
        <v>2682</v>
      </c>
      <c r="Y4" s="28">
        <v>40958</v>
      </c>
      <c r="Z4" s="28" t="str">
        <f t="shared" si="6"/>
        <v>CA-2012-AB10015140-40958</v>
      </c>
    </row>
    <row r="5" spans="1:26" ht="15.75">
      <c r="A5" s="19" t="s">
        <v>42</v>
      </c>
      <c r="B5" s="9">
        <v>40974</v>
      </c>
      <c r="C5" s="9">
        <v>40975</v>
      </c>
      <c r="D5" s="10" t="s">
        <v>39</v>
      </c>
      <c r="E5" s="10" t="s">
        <v>40</v>
      </c>
      <c r="F5" s="10" t="s">
        <v>43</v>
      </c>
      <c r="G5" s="10" t="s">
        <v>45</v>
      </c>
      <c r="H5" s="10" t="s">
        <v>73</v>
      </c>
      <c r="I5" s="11">
        <v>242.94</v>
      </c>
      <c r="J5" s="10">
        <v>3</v>
      </c>
      <c r="K5" s="20">
        <v>0</v>
      </c>
      <c r="L5" s="11">
        <v>4.8588000000000102</v>
      </c>
      <c r="M5" s="10" t="s">
        <v>37</v>
      </c>
      <c r="N5" s="12" t="s">
        <v>2679</v>
      </c>
      <c r="O5" s="13" t="str">
        <f t="shared" si="0"/>
        <v>Aaron Bergman</v>
      </c>
      <c r="P5" s="13" t="str">
        <f t="shared" si="1"/>
        <v>CA</v>
      </c>
      <c r="Q5" s="13" t="str">
        <f t="shared" si="2"/>
        <v>2012</v>
      </c>
      <c r="R5" s="13" t="str">
        <f t="shared" si="3"/>
        <v>HIGH</v>
      </c>
      <c r="S5" s="13" t="str">
        <f t="shared" si="4"/>
        <v>office supplies</v>
      </c>
      <c r="T5" s="21" t="str">
        <f t="shared" si="5"/>
        <v>40974</v>
      </c>
      <c r="U5" s="27" t="s">
        <v>2682</v>
      </c>
      <c r="V5" s="19" t="s">
        <v>2683</v>
      </c>
      <c r="W5" s="30">
        <v>2012</v>
      </c>
      <c r="X5" t="s">
        <v>2682</v>
      </c>
      <c r="Y5" s="28">
        <v>40974</v>
      </c>
      <c r="Z5" s="28" t="str">
        <f t="shared" si="6"/>
        <v>CA-2012-AB10015140-40974</v>
      </c>
    </row>
    <row r="6" spans="1:26" ht="15.75">
      <c r="A6" s="16" t="s">
        <v>95</v>
      </c>
      <c r="B6" s="4">
        <v>42216</v>
      </c>
      <c r="C6" s="4">
        <v>42217</v>
      </c>
      <c r="D6" s="5" t="s">
        <v>96</v>
      </c>
      <c r="E6" s="5" t="s">
        <v>97</v>
      </c>
      <c r="F6" s="5" t="s">
        <v>98</v>
      </c>
      <c r="G6" s="5" t="s">
        <v>17</v>
      </c>
      <c r="H6" s="5" t="s">
        <v>23</v>
      </c>
      <c r="I6" s="6">
        <v>1713.84</v>
      </c>
      <c r="J6" s="5">
        <v>4</v>
      </c>
      <c r="K6" s="17">
        <v>0</v>
      </c>
      <c r="L6" s="6">
        <v>445.52</v>
      </c>
      <c r="M6" s="5" t="s">
        <v>27</v>
      </c>
      <c r="N6" s="7" t="s">
        <v>2679</v>
      </c>
      <c r="O6" s="8" t="str">
        <f t="shared" si="0"/>
        <v>Naresj Patel</v>
      </c>
      <c r="P6" s="8" t="str">
        <f t="shared" si="1"/>
        <v>US</v>
      </c>
      <c r="Q6" s="8" t="str">
        <f t="shared" si="2"/>
        <v>2015</v>
      </c>
      <c r="R6" s="8" t="str">
        <f t="shared" si="3"/>
        <v>CRITICAL</v>
      </c>
      <c r="S6" s="8" t="str">
        <f t="shared" si="4"/>
        <v>technology</v>
      </c>
      <c r="T6" s="18" t="str">
        <f t="shared" si="5"/>
        <v>42216</v>
      </c>
      <c r="U6" s="27" t="s">
        <v>2684</v>
      </c>
      <c r="V6" s="16" t="s">
        <v>2685</v>
      </c>
      <c r="W6" s="30">
        <v>2015</v>
      </c>
      <c r="X6" t="s">
        <v>2684</v>
      </c>
      <c r="Y6" s="28">
        <v>42216</v>
      </c>
      <c r="Z6" s="28" t="str">
        <f t="shared" si="6"/>
        <v>US-2015-NP1832582-42216</v>
      </c>
    </row>
    <row r="7" spans="1:26" ht="15.75">
      <c r="A7" s="19" t="s">
        <v>124</v>
      </c>
      <c r="B7" s="10" t="s">
        <v>125</v>
      </c>
      <c r="C7" s="9">
        <v>41217</v>
      </c>
      <c r="D7" s="10" t="s">
        <v>126</v>
      </c>
      <c r="E7" s="10" t="s">
        <v>15</v>
      </c>
      <c r="F7" s="10" t="s">
        <v>16</v>
      </c>
      <c r="G7" s="10" t="s">
        <v>45</v>
      </c>
      <c r="H7" s="10" t="s">
        <v>127</v>
      </c>
      <c r="I7" s="11">
        <v>2526.9299999999998</v>
      </c>
      <c r="J7" s="10">
        <v>5</v>
      </c>
      <c r="K7" s="20">
        <v>0.1</v>
      </c>
      <c r="L7" s="11">
        <v>561.48</v>
      </c>
      <c r="M7" s="10" t="s">
        <v>27</v>
      </c>
      <c r="N7" s="12" t="s">
        <v>2679</v>
      </c>
      <c r="O7" s="13" t="str">
        <f t="shared" si="0"/>
        <v>Dave Poirier</v>
      </c>
      <c r="P7" s="13" t="str">
        <f t="shared" si="1"/>
        <v>IN</v>
      </c>
      <c r="Q7" s="13" t="str">
        <f t="shared" si="2"/>
        <v>2012</v>
      </c>
      <c r="R7" s="13" t="str">
        <f t="shared" si="3"/>
        <v>CRITICAL</v>
      </c>
      <c r="S7" s="13" t="str">
        <f t="shared" si="4"/>
        <v>office supplies</v>
      </c>
      <c r="T7" s="21" t="str">
        <f t="shared" si="5"/>
        <v>41215</v>
      </c>
      <c r="U7" s="27" t="s">
        <v>2686</v>
      </c>
      <c r="V7" s="19" t="s">
        <v>2681</v>
      </c>
      <c r="W7" s="30">
        <v>2012</v>
      </c>
      <c r="X7" t="s">
        <v>2686</v>
      </c>
      <c r="Y7" s="28">
        <v>41215</v>
      </c>
      <c r="Z7" s="28" t="str">
        <f t="shared" si="6"/>
        <v>IN-2012-DP131057-41215</v>
      </c>
    </row>
    <row r="8" spans="1:26" ht="15.75">
      <c r="A8" s="16" t="s">
        <v>128</v>
      </c>
      <c r="B8" s="4">
        <v>41635</v>
      </c>
      <c r="C8" s="4">
        <v>41639</v>
      </c>
      <c r="D8" s="5" t="s">
        <v>110</v>
      </c>
      <c r="E8" s="5" t="s">
        <v>40</v>
      </c>
      <c r="F8" s="5" t="s">
        <v>43</v>
      </c>
      <c r="G8" s="5" t="s">
        <v>45</v>
      </c>
      <c r="H8" s="5" t="s">
        <v>23</v>
      </c>
      <c r="I8" s="6">
        <v>323.10000000000002</v>
      </c>
      <c r="J8" s="5">
        <v>2</v>
      </c>
      <c r="K8" s="17">
        <v>0</v>
      </c>
      <c r="L8" s="6">
        <v>61.389000000000003</v>
      </c>
      <c r="M8" s="5" t="s">
        <v>19</v>
      </c>
      <c r="N8" s="7" t="s">
        <v>2679</v>
      </c>
      <c r="O8" s="8" t="str">
        <f t="shared" si="0"/>
        <v>Aaron Hawkins</v>
      </c>
      <c r="P8" s="8" t="str">
        <f t="shared" si="1"/>
        <v>CA</v>
      </c>
      <c r="Q8" s="8" t="str">
        <f t="shared" si="2"/>
        <v>2013</v>
      </c>
      <c r="R8" s="8" t="str">
        <f t="shared" si="3"/>
        <v>MEDIUM</v>
      </c>
      <c r="S8" s="8" t="str">
        <f t="shared" si="4"/>
        <v>office supplies</v>
      </c>
      <c r="T8" s="18" t="str">
        <f t="shared" si="5"/>
        <v>41635</v>
      </c>
      <c r="U8" s="27" t="s">
        <v>2687</v>
      </c>
      <c r="V8" s="16" t="s">
        <v>2683</v>
      </c>
      <c r="W8" s="30">
        <v>2013</v>
      </c>
      <c r="X8" t="s">
        <v>2687</v>
      </c>
      <c r="Y8" s="28">
        <v>41635</v>
      </c>
      <c r="Z8" s="28" t="str">
        <f t="shared" si="6"/>
        <v>CA-2013-AH10030140-41635</v>
      </c>
    </row>
    <row r="9" spans="1:26" ht="15.75">
      <c r="A9" s="19" t="s">
        <v>137</v>
      </c>
      <c r="B9" s="9">
        <v>40918</v>
      </c>
      <c r="C9" s="9">
        <v>41214</v>
      </c>
      <c r="D9" s="10" t="s">
        <v>138</v>
      </c>
      <c r="E9" s="10" t="s">
        <v>15</v>
      </c>
      <c r="F9" s="10" t="s">
        <v>16</v>
      </c>
      <c r="G9" s="10" t="s">
        <v>17</v>
      </c>
      <c r="H9" s="10" t="s">
        <v>127</v>
      </c>
      <c r="I9" s="11">
        <v>2875.0949999999998</v>
      </c>
      <c r="J9" s="10">
        <v>5</v>
      </c>
      <c r="K9" s="20">
        <v>0.1</v>
      </c>
      <c r="L9" s="11">
        <v>511.094999999999</v>
      </c>
      <c r="M9" s="10" t="s">
        <v>19</v>
      </c>
      <c r="N9" s="12" t="s">
        <v>2679</v>
      </c>
      <c r="O9" s="13" t="str">
        <f t="shared" si="0"/>
        <v>Dan Lawera</v>
      </c>
      <c r="P9" s="13" t="str">
        <f t="shared" si="1"/>
        <v>IN</v>
      </c>
      <c r="Q9" s="13" t="str">
        <f t="shared" si="2"/>
        <v>2012</v>
      </c>
      <c r="R9" s="13" t="str">
        <f t="shared" si="3"/>
        <v>MEDIUM</v>
      </c>
      <c r="S9" s="13" t="str">
        <f t="shared" si="4"/>
        <v>technology</v>
      </c>
      <c r="T9" s="21" t="str">
        <f t="shared" si="5"/>
        <v>40918</v>
      </c>
      <c r="U9" s="27" t="s">
        <v>2688</v>
      </c>
      <c r="V9" s="19" t="s">
        <v>2681</v>
      </c>
      <c r="W9" s="30">
        <v>2012</v>
      </c>
      <c r="X9" t="s">
        <v>2688</v>
      </c>
      <c r="Y9" s="28">
        <v>40918</v>
      </c>
      <c r="Z9" s="28" t="str">
        <f t="shared" si="6"/>
        <v>IN-2012-DL128657-40918</v>
      </c>
    </row>
    <row r="10" spans="1:26" ht="15.75">
      <c r="A10" s="16" t="s">
        <v>154</v>
      </c>
      <c r="B10" s="4">
        <v>41706</v>
      </c>
      <c r="C10" s="4">
        <v>41854</v>
      </c>
      <c r="D10" s="5" t="s">
        <v>155</v>
      </c>
      <c r="E10" s="5" t="s">
        <v>70</v>
      </c>
      <c r="F10" s="5" t="s">
        <v>71</v>
      </c>
      <c r="G10" s="5" t="s">
        <v>32</v>
      </c>
      <c r="H10" s="5" t="s">
        <v>73</v>
      </c>
      <c r="I10" s="6">
        <v>2092.49999999999</v>
      </c>
      <c r="J10" s="5">
        <v>5</v>
      </c>
      <c r="K10" s="17">
        <v>0.1</v>
      </c>
      <c r="L10" s="6">
        <v>720.74999999999898</v>
      </c>
      <c r="M10" s="5" t="s">
        <v>27</v>
      </c>
      <c r="N10" s="7" t="s">
        <v>2679</v>
      </c>
      <c r="O10" s="8" t="str">
        <f t="shared" si="0"/>
        <v>Elli Sballard</v>
      </c>
      <c r="P10" s="8" t="str">
        <f t="shared" si="1"/>
        <v>IT</v>
      </c>
      <c r="Q10" s="8" t="str">
        <f t="shared" si="2"/>
        <v>2014</v>
      </c>
      <c r="R10" s="8" t="str">
        <f t="shared" si="3"/>
        <v>CRITICAL</v>
      </c>
      <c r="S10" s="8" t="str">
        <f t="shared" si="4"/>
        <v>furniture</v>
      </c>
      <c r="T10" s="18" t="str">
        <f t="shared" si="5"/>
        <v>41706</v>
      </c>
      <c r="U10" s="27" t="s">
        <v>2689</v>
      </c>
      <c r="V10" s="16" t="s">
        <v>2690</v>
      </c>
      <c r="W10" s="30">
        <v>2014</v>
      </c>
      <c r="X10" t="s">
        <v>2689</v>
      </c>
      <c r="Y10" s="28">
        <v>41706</v>
      </c>
      <c r="Z10" s="28" t="str">
        <f t="shared" si="6"/>
        <v>IT-2014-EB1384045-41706</v>
      </c>
    </row>
    <row r="11" spans="1:26" ht="15.75">
      <c r="A11" s="19" t="s">
        <v>174</v>
      </c>
      <c r="B11" s="9">
        <v>41424</v>
      </c>
      <c r="C11" s="9">
        <v>41425</v>
      </c>
      <c r="D11" s="10" t="s">
        <v>175</v>
      </c>
      <c r="E11" s="10" t="s">
        <v>114</v>
      </c>
      <c r="F11" s="10" t="s">
        <v>115</v>
      </c>
      <c r="G11" s="10" t="s">
        <v>17</v>
      </c>
      <c r="H11" s="10" t="s">
        <v>151</v>
      </c>
      <c r="I11" s="11">
        <v>1526.52</v>
      </c>
      <c r="J11" s="10">
        <v>4</v>
      </c>
      <c r="K11" s="20">
        <v>0</v>
      </c>
      <c r="L11" s="11">
        <v>732.72</v>
      </c>
      <c r="M11" s="10" t="s">
        <v>27</v>
      </c>
      <c r="N11" s="12" t="s">
        <v>2679</v>
      </c>
      <c r="O11" s="13" t="str">
        <f t="shared" si="0"/>
        <v xml:space="preserve"> Sheri Gordon </v>
      </c>
      <c r="P11" s="13" t="str">
        <f t="shared" si="1"/>
        <v>IN</v>
      </c>
      <c r="Q11" s="13" t="str">
        <f t="shared" si="2"/>
        <v>2013</v>
      </c>
      <c r="R11" s="13" t="str">
        <f t="shared" si="3"/>
        <v>CRITICAL</v>
      </c>
      <c r="S11" s="13" t="str">
        <f t="shared" si="4"/>
        <v>technology</v>
      </c>
      <c r="T11" s="21" t="str">
        <f t="shared" si="5"/>
        <v>41424</v>
      </c>
      <c r="U11" s="27" t="s">
        <v>2691</v>
      </c>
      <c r="V11" s="19" t="s">
        <v>2681</v>
      </c>
      <c r="W11" s="30">
        <v>2013</v>
      </c>
      <c r="X11" t="s">
        <v>2691</v>
      </c>
      <c r="Y11" s="28">
        <v>41424</v>
      </c>
      <c r="Z11" s="28" t="str">
        <f t="shared" si="6"/>
        <v>IN-2013-SG2047058-41424</v>
      </c>
    </row>
    <row r="12" spans="1:26" ht="15.75">
      <c r="A12" s="16" t="s">
        <v>177</v>
      </c>
      <c r="B12" s="4">
        <v>41419</v>
      </c>
      <c r="C12" s="4">
        <v>41422</v>
      </c>
      <c r="D12" s="5" t="s">
        <v>178</v>
      </c>
      <c r="E12" s="5" t="s">
        <v>114</v>
      </c>
      <c r="F12" s="5" t="s">
        <v>115</v>
      </c>
      <c r="G12" s="5" t="s">
        <v>179</v>
      </c>
      <c r="H12" s="5" t="s">
        <v>33</v>
      </c>
      <c r="I12" s="6">
        <v>1745.34</v>
      </c>
      <c r="J12" s="5">
        <v>2</v>
      </c>
      <c r="K12" s="17">
        <v>0</v>
      </c>
      <c r="L12" s="6">
        <v>226.86</v>
      </c>
      <c r="M12" s="5" t="s">
        <v>27</v>
      </c>
      <c r="N12" s="7" t="s">
        <v>2679</v>
      </c>
      <c r="O12" s="8" t="str">
        <f t="shared" si="0"/>
        <v>Guy Phonely</v>
      </c>
      <c r="P12" s="8" t="str">
        <f t="shared" si="1"/>
        <v>IN</v>
      </c>
      <c r="Q12" s="8" t="str">
        <f t="shared" si="2"/>
        <v>2013</v>
      </c>
      <c r="R12" s="8" t="str">
        <f t="shared" si="3"/>
        <v>CRITICAL</v>
      </c>
      <c r="S12" s="8" t="str">
        <f t="shared" si="4"/>
        <v xml:space="preserve"> furniture </v>
      </c>
      <c r="T12" s="18" t="str">
        <f t="shared" si="5"/>
        <v>41419</v>
      </c>
      <c r="U12" s="27" t="s">
        <v>2692</v>
      </c>
      <c r="V12" s="16" t="s">
        <v>2681</v>
      </c>
      <c r="W12" s="30">
        <v>2013</v>
      </c>
      <c r="X12" t="s">
        <v>2692</v>
      </c>
      <c r="Y12" s="28">
        <v>41419</v>
      </c>
      <c r="Z12" s="28" t="str">
        <f t="shared" si="6"/>
        <v>IN-2013-GP1474058-41419</v>
      </c>
    </row>
    <row r="13" spans="1:26" ht="15.75">
      <c r="A13" s="19" t="s">
        <v>195</v>
      </c>
      <c r="B13" s="9">
        <v>42345</v>
      </c>
      <c r="C13" s="9">
        <v>42228</v>
      </c>
      <c r="D13" s="10" t="s">
        <v>196</v>
      </c>
      <c r="E13" s="10" t="s">
        <v>197</v>
      </c>
      <c r="F13" s="10" t="s">
        <v>77</v>
      </c>
      <c r="G13" s="10" t="s">
        <v>32</v>
      </c>
      <c r="H13" s="10" t="s">
        <v>23</v>
      </c>
      <c r="I13" s="11">
        <v>2188.0500000000002</v>
      </c>
      <c r="J13" s="10">
        <v>5</v>
      </c>
      <c r="K13" s="20">
        <v>0</v>
      </c>
      <c r="L13" s="11">
        <v>1050.1500000000001</v>
      </c>
      <c r="M13" s="10" t="s">
        <v>37</v>
      </c>
      <c r="N13" s="12" t="s">
        <v>2679</v>
      </c>
      <c r="O13" s="13" t="str">
        <f t="shared" si="0"/>
        <v>Dave Kipp</v>
      </c>
      <c r="P13" s="13" t="str">
        <f t="shared" si="1"/>
        <v>IT</v>
      </c>
      <c r="Q13" s="13" t="str">
        <f t="shared" si="2"/>
        <v>2015</v>
      </c>
      <c r="R13" s="13" t="str">
        <f t="shared" si="3"/>
        <v>HIGH</v>
      </c>
      <c r="S13" s="13" t="str">
        <f t="shared" si="4"/>
        <v>furniture</v>
      </c>
      <c r="T13" s="21" t="str">
        <f t="shared" si="5"/>
        <v>42345</v>
      </c>
      <c r="U13" s="27" t="s">
        <v>2693</v>
      </c>
      <c r="V13" s="19" t="s">
        <v>2690</v>
      </c>
      <c r="W13" s="30">
        <v>2015</v>
      </c>
      <c r="X13" t="s">
        <v>2693</v>
      </c>
      <c r="Y13" s="28">
        <v>42345</v>
      </c>
      <c r="Z13" s="28" t="str">
        <f t="shared" si="6"/>
        <v>IT-2015-DK13090120-42345</v>
      </c>
    </row>
    <row r="14" spans="1:26" ht="15.75">
      <c r="A14" s="16" t="s">
        <v>200</v>
      </c>
      <c r="B14" s="4">
        <v>42328</v>
      </c>
      <c r="C14" s="4">
        <v>42328</v>
      </c>
      <c r="D14" s="5" t="s">
        <v>201</v>
      </c>
      <c r="E14" s="5" t="s">
        <v>97</v>
      </c>
      <c r="F14" s="5" t="s">
        <v>98</v>
      </c>
      <c r="G14" s="5" t="s">
        <v>17</v>
      </c>
      <c r="H14" s="5" t="s">
        <v>151</v>
      </c>
      <c r="I14" s="6">
        <v>1704</v>
      </c>
      <c r="J14" s="5">
        <v>4</v>
      </c>
      <c r="K14" s="17">
        <v>0</v>
      </c>
      <c r="L14" s="6">
        <v>119.28</v>
      </c>
      <c r="M14" s="5" t="s">
        <v>27</v>
      </c>
      <c r="N14" s="7" t="s">
        <v>2679</v>
      </c>
      <c r="O14" s="8" t="str">
        <f t="shared" si="0"/>
        <v>Evan Minnotte</v>
      </c>
      <c r="P14" s="8" t="str">
        <f t="shared" si="1"/>
        <v>MX</v>
      </c>
      <c r="Q14" s="8" t="str">
        <f t="shared" si="2"/>
        <v>2015</v>
      </c>
      <c r="R14" s="8" t="str">
        <f t="shared" si="3"/>
        <v>CRITICAL</v>
      </c>
      <c r="S14" s="8" t="str">
        <f t="shared" si="4"/>
        <v>technology</v>
      </c>
      <c r="T14" s="18" t="str">
        <f t="shared" si="5"/>
        <v>42328</v>
      </c>
      <c r="U14" s="27" t="s">
        <v>2694</v>
      </c>
      <c r="V14" s="16" t="s">
        <v>2695</v>
      </c>
      <c r="W14" s="30">
        <v>2015</v>
      </c>
      <c r="X14" t="s">
        <v>2694</v>
      </c>
      <c r="Y14" s="28">
        <v>42328</v>
      </c>
      <c r="Z14" s="28" t="str">
        <f t="shared" si="6"/>
        <v>MX-2015-EM1420082-42328</v>
      </c>
    </row>
    <row r="15" spans="1:26" ht="15.75">
      <c r="A15" s="19" t="s">
        <v>219</v>
      </c>
      <c r="B15" s="9">
        <v>42140</v>
      </c>
      <c r="C15" s="9">
        <v>42142</v>
      </c>
      <c r="D15" s="10" t="s">
        <v>161</v>
      </c>
      <c r="E15" s="10" t="s">
        <v>15</v>
      </c>
      <c r="F15" s="10" t="s">
        <v>16</v>
      </c>
      <c r="G15" s="10" t="s">
        <v>17</v>
      </c>
      <c r="H15" s="10" t="s">
        <v>44</v>
      </c>
      <c r="I15" s="11">
        <v>2863.35</v>
      </c>
      <c r="J15" s="10">
        <v>5</v>
      </c>
      <c r="K15" s="20">
        <v>0.1</v>
      </c>
      <c r="L15" s="11">
        <v>858.9</v>
      </c>
      <c r="M15" s="10" t="s">
        <v>220</v>
      </c>
      <c r="N15" s="12" t="s">
        <v>2679</v>
      </c>
      <c r="O15" s="13" t="str">
        <f t="shared" si="0"/>
        <v>John Huston</v>
      </c>
      <c r="P15" s="13" t="str">
        <f t="shared" si="1"/>
        <v>IN</v>
      </c>
      <c r="Q15" s="13" t="str">
        <f t="shared" si="2"/>
        <v>2015</v>
      </c>
      <c r="R15" s="13" t="str">
        <f t="shared" si="3"/>
        <v>CRITIACL</v>
      </c>
      <c r="S15" s="13" t="str">
        <f t="shared" si="4"/>
        <v>technology</v>
      </c>
      <c r="T15" s="21" t="str">
        <f t="shared" si="5"/>
        <v>42140</v>
      </c>
      <c r="U15" s="27" t="s">
        <v>2696</v>
      </c>
      <c r="V15" s="19" t="s">
        <v>2681</v>
      </c>
      <c r="W15" s="30">
        <v>2015</v>
      </c>
      <c r="X15" t="s">
        <v>2696</v>
      </c>
      <c r="Y15" s="28">
        <v>42140</v>
      </c>
      <c r="Z15" s="28" t="str">
        <f t="shared" si="6"/>
        <v>IN-2015-JH158207-42140</v>
      </c>
    </row>
    <row r="16" spans="1:26" ht="15.75">
      <c r="A16" s="16" t="s">
        <v>238</v>
      </c>
      <c r="B16" s="4">
        <v>41966</v>
      </c>
      <c r="C16" s="4">
        <v>41966</v>
      </c>
      <c r="D16" s="5" t="s">
        <v>239</v>
      </c>
      <c r="E16" s="5" t="s">
        <v>232</v>
      </c>
      <c r="F16" s="5" t="s">
        <v>233</v>
      </c>
      <c r="G16" s="5" t="s">
        <v>45</v>
      </c>
      <c r="H16" s="5" t="s">
        <v>26</v>
      </c>
      <c r="I16" s="6">
        <v>2266.44</v>
      </c>
      <c r="J16" s="5">
        <v>4</v>
      </c>
      <c r="K16" s="17">
        <v>0</v>
      </c>
      <c r="L16" s="6">
        <v>113.28</v>
      </c>
      <c r="M16" s="5" t="s">
        <v>19</v>
      </c>
      <c r="N16" s="7" t="s">
        <v>2679</v>
      </c>
      <c r="O16" s="8" t="str">
        <f t="shared" si="0"/>
        <v>Alejandro Ballentine</v>
      </c>
      <c r="P16" s="8" t="str">
        <f t="shared" si="1"/>
        <v>MO</v>
      </c>
      <c r="Q16" s="8" t="str">
        <f t="shared" si="2"/>
        <v>2014</v>
      </c>
      <c r="R16" s="8" t="str">
        <f t="shared" si="3"/>
        <v>MEDIUM</v>
      </c>
      <c r="S16" s="8" t="str">
        <f t="shared" si="4"/>
        <v>office supplies</v>
      </c>
      <c r="T16" s="18" t="str">
        <f t="shared" si="5"/>
        <v>41966</v>
      </c>
      <c r="U16" s="27" t="s">
        <v>2697</v>
      </c>
      <c r="V16" s="16" t="s">
        <v>2698</v>
      </c>
      <c r="W16" s="30">
        <v>2014</v>
      </c>
      <c r="X16" t="s">
        <v>2697</v>
      </c>
      <c r="Y16" s="28">
        <v>41966</v>
      </c>
      <c r="Z16" s="28" t="str">
        <f t="shared" si="6"/>
        <v>MO-2014-AB25586-41966</v>
      </c>
    </row>
    <row r="17" spans="1:26" ht="15.75">
      <c r="A17" s="19" t="s">
        <v>243</v>
      </c>
      <c r="B17" s="9">
        <v>41419</v>
      </c>
      <c r="C17" s="9">
        <v>41422</v>
      </c>
      <c r="D17" s="10" t="s">
        <v>178</v>
      </c>
      <c r="E17" s="10" t="s">
        <v>114</v>
      </c>
      <c r="F17" s="10" t="s">
        <v>115</v>
      </c>
      <c r="G17" s="10" t="s">
        <v>17</v>
      </c>
      <c r="H17" s="10" t="s">
        <v>151</v>
      </c>
      <c r="I17" s="11">
        <v>1916.73</v>
      </c>
      <c r="J17" s="10">
        <v>3</v>
      </c>
      <c r="K17" s="20">
        <v>0</v>
      </c>
      <c r="L17" s="11">
        <v>498.32999999999902</v>
      </c>
      <c r="M17" s="10" t="s">
        <v>27</v>
      </c>
      <c r="N17" s="12" t="s">
        <v>2679</v>
      </c>
      <c r="O17" s="13" t="str">
        <f t="shared" si="0"/>
        <v>Guy Phonely</v>
      </c>
      <c r="P17" s="13" t="str">
        <f t="shared" si="1"/>
        <v>IN</v>
      </c>
      <c r="Q17" s="13" t="str">
        <f t="shared" si="2"/>
        <v>2013</v>
      </c>
      <c r="R17" s="13" t="str">
        <f t="shared" si="3"/>
        <v>CRITICAL</v>
      </c>
      <c r="S17" s="13" t="str">
        <f t="shared" si="4"/>
        <v>technology</v>
      </c>
      <c r="T17" s="21" t="str">
        <f t="shared" si="5"/>
        <v>41419</v>
      </c>
      <c r="U17" s="27" t="s">
        <v>2699</v>
      </c>
      <c r="V17" s="19" t="s">
        <v>2681</v>
      </c>
      <c r="W17" s="30">
        <v>2013</v>
      </c>
      <c r="X17" t="s">
        <v>2699</v>
      </c>
      <c r="Y17" s="28">
        <v>41419</v>
      </c>
      <c r="Z17" s="28" t="str">
        <f t="shared" si="6"/>
        <v>IN-2013-GP1474085-41419</v>
      </c>
    </row>
    <row r="18" spans="1:26" ht="15.75">
      <c r="A18" s="16" t="s">
        <v>244</v>
      </c>
      <c r="B18" s="4">
        <v>42281</v>
      </c>
      <c r="C18" s="4">
        <v>42286</v>
      </c>
      <c r="D18" s="5" t="s">
        <v>194</v>
      </c>
      <c r="E18" s="5" t="s">
        <v>40</v>
      </c>
      <c r="F18" s="5" t="s">
        <v>245</v>
      </c>
      <c r="G18" s="5" t="s">
        <v>32</v>
      </c>
      <c r="H18" s="5" t="s">
        <v>33</v>
      </c>
      <c r="I18" s="6">
        <v>171.28800000000001</v>
      </c>
      <c r="J18" s="5">
        <v>3</v>
      </c>
      <c r="K18" s="17">
        <v>1.4339994914666701</v>
      </c>
      <c r="L18" s="6">
        <v>-6.4233000000000198</v>
      </c>
      <c r="M18" s="5" t="s">
        <v>19</v>
      </c>
      <c r="N18" s="7" t="s">
        <v>2679</v>
      </c>
      <c r="O18" s="8" t="str">
        <f t="shared" si="0"/>
        <v>Aaron Smayling</v>
      </c>
      <c r="P18" s="8" t="str">
        <f t="shared" si="1"/>
        <v>CA</v>
      </c>
      <c r="Q18" s="8" t="str">
        <f t="shared" si="2"/>
        <v>2015</v>
      </c>
      <c r="R18" s="8" t="str">
        <f t="shared" si="3"/>
        <v>MEDIUM</v>
      </c>
      <c r="S18" s="8" t="str">
        <f t="shared" si="4"/>
        <v>furniture</v>
      </c>
      <c r="T18" s="18" t="str">
        <f t="shared" si="5"/>
        <v>42281</v>
      </c>
      <c r="U18" s="27" t="s">
        <v>2700</v>
      </c>
      <c r="V18" s="16" t="s">
        <v>2683</v>
      </c>
      <c r="W18" s="30">
        <v>2015</v>
      </c>
      <c r="X18" t="s">
        <v>2700</v>
      </c>
      <c r="Y18" s="28">
        <v>42281</v>
      </c>
      <c r="Z18" s="28" t="str">
        <f t="shared" si="6"/>
        <v>CA-2015-AS10045140-42281</v>
      </c>
    </row>
    <row r="19" spans="1:26" ht="15.75">
      <c r="A19" s="19" t="s">
        <v>288</v>
      </c>
      <c r="B19" s="9">
        <v>41747</v>
      </c>
      <c r="C19" s="9">
        <v>41748</v>
      </c>
      <c r="D19" s="10" t="s">
        <v>289</v>
      </c>
      <c r="E19" s="10" t="s">
        <v>15</v>
      </c>
      <c r="F19" s="10" t="s">
        <v>16</v>
      </c>
      <c r="G19" s="10" t="s">
        <v>17</v>
      </c>
      <c r="H19" s="10" t="s">
        <v>26</v>
      </c>
      <c r="I19" s="11">
        <v>1601.64</v>
      </c>
      <c r="J19" s="10">
        <v>5</v>
      </c>
      <c r="K19" s="20">
        <v>0.1</v>
      </c>
      <c r="L19" s="11">
        <v>587.18999999999903</v>
      </c>
      <c r="M19" s="10" t="s">
        <v>27</v>
      </c>
      <c r="N19" s="12" t="s">
        <v>2679</v>
      </c>
      <c r="O19" s="13" t="str">
        <f t="shared" si="0"/>
        <v>Lena Creighton</v>
      </c>
      <c r="P19" s="13" t="str">
        <f t="shared" si="1"/>
        <v>IN</v>
      </c>
      <c r="Q19" s="13" t="str">
        <f t="shared" si="2"/>
        <v>2014</v>
      </c>
      <c r="R19" s="13" t="str">
        <f t="shared" si="3"/>
        <v>CRITICAL</v>
      </c>
      <c r="S19" s="13" t="str">
        <f t="shared" si="4"/>
        <v>technology</v>
      </c>
      <c r="T19" s="21" t="str">
        <f t="shared" si="5"/>
        <v>41747</v>
      </c>
      <c r="U19" s="27" t="s">
        <v>2701</v>
      </c>
      <c r="V19" s="19" t="s">
        <v>2681</v>
      </c>
      <c r="W19" s="30">
        <v>2014</v>
      </c>
      <c r="X19" t="s">
        <v>2701</v>
      </c>
      <c r="Y19" s="28">
        <v>41747</v>
      </c>
      <c r="Z19" s="28" t="str">
        <f t="shared" si="6"/>
        <v>IN-2014-LC168857-41747</v>
      </c>
    </row>
    <row r="20" spans="1:26" ht="15.75">
      <c r="A20" s="16" t="s">
        <v>193</v>
      </c>
      <c r="B20" s="4">
        <v>42007</v>
      </c>
      <c r="C20" s="4">
        <v>42009</v>
      </c>
      <c r="D20" s="5" t="s">
        <v>194</v>
      </c>
      <c r="E20" s="5" t="s">
        <v>40</v>
      </c>
      <c r="F20" s="5" t="s">
        <v>153</v>
      </c>
      <c r="G20" s="5" t="s">
        <v>45</v>
      </c>
      <c r="H20" s="5" t="s">
        <v>127</v>
      </c>
      <c r="I20" s="6">
        <v>15.66</v>
      </c>
      <c r="J20" s="5">
        <v>5</v>
      </c>
      <c r="K20" s="17">
        <v>0.7</v>
      </c>
      <c r="L20" s="6">
        <v>-12.527999999999899</v>
      </c>
      <c r="M20" s="5" t="s">
        <v>37</v>
      </c>
      <c r="N20" s="7" t="s">
        <v>2679</v>
      </c>
      <c r="O20" s="8" t="str">
        <f t="shared" si="0"/>
        <v>Aaron Smayling</v>
      </c>
      <c r="P20" s="8" t="str">
        <f t="shared" si="1"/>
        <v>CA</v>
      </c>
      <c r="Q20" s="8" t="str">
        <f t="shared" si="2"/>
        <v>2015</v>
      </c>
      <c r="R20" s="8" t="str">
        <f t="shared" si="3"/>
        <v>HIGH</v>
      </c>
      <c r="S20" s="8" t="str">
        <f t="shared" si="4"/>
        <v>office supplies</v>
      </c>
      <c r="T20" s="18" t="str">
        <f t="shared" si="5"/>
        <v>42007</v>
      </c>
      <c r="U20" s="27" t="s">
        <v>2700</v>
      </c>
      <c r="V20" s="16" t="s">
        <v>2683</v>
      </c>
      <c r="W20" s="30">
        <v>2015</v>
      </c>
      <c r="X20" t="s">
        <v>2700</v>
      </c>
      <c r="Y20" s="28">
        <v>42007</v>
      </c>
      <c r="Z20" s="28" t="str">
        <f t="shared" si="6"/>
        <v>CA-2015-AS10045140-42007</v>
      </c>
    </row>
    <row r="21" spans="1:26" ht="15.75">
      <c r="A21" s="19" t="s">
        <v>297</v>
      </c>
      <c r="B21" s="9">
        <v>41790</v>
      </c>
      <c r="C21" s="9">
        <v>41792</v>
      </c>
      <c r="D21" s="10" t="s">
        <v>298</v>
      </c>
      <c r="E21" s="10" t="s">
        <v>66</v>
      </c>
      <c r="F21" s="10" t="s">
        <v>90</v>
      </c>
      <c r="G21" s="10" t="s">
        <v>32</v>
      </c>
      <c r="H21" s="10" t="s">
        <v>299</v>
      </c>
      <c r="I21" s="11">
        <v>1455.12</v>
      </c>
      <c r="J21" s="10">
        <v>4</v>
      </c>
      <c r="K21" s="20">
        <v>0</v>
      </c>
      <c r="L21" s="11">
        <v>116.399999999999</v>
      </c>
      <c r="M21" s="10" t="s">
        <v>27</v>
      </c>
      <c r="N21" s="12" t="s">
        <v>2679</v>
      </c>
      <c r="O21" s="13" t="str">
        <f t="shared" si="0"/>
        <v>Vivek Sundaresam</v>
      </c>
      <c r="P21" s="13" t="str">
        <f t="shared" si="1"/>
        <v>IN</v>
      </c>
      <c r="Q21" s="13" t="str">
        <f t="shared" si="2"/>
        <v>2014</v>
      </c>
      <c r="R21" s="13" t="str">
        <f t="shared" si="3"/>
        <v>CRITICAL</v>
      </c>
      <c r="S21" s="13" t="str">
        <f t="shared" si="4"/>
        <v>furniture</v>
      </c>
      <c r="T21" s="21" t="str">
        <f t="shared" si="5"/>
        <v>41790</v>
      </c>
      <c r="U21" s="27" t="s">
        <v>2702</v>
      </c>
      <c r="V21" s="19" t="s">
        <v>2681</v>
      </c>
      <c r="W21" s="30">
        <v>2014</v>
      </c>
      <c r="X21" t="s">
        <v>2702</v>
      </c>
      <c r="Y21" s="28">
        <v>41790</v>
      </c>
      <c r="Z21" s="28" t="str">
        <f t="shared" si="6"/>
        <v>IN-2014-VS2182027-41790</v>
      </c>
    </row>
    <row r="22" spans="1:26" ht="15.75">
      <c r="A22" s="16" t="s">
        <v>304</v>
      </c>
      <c r="B22" s="4">
        <v>41884</v>
      </c>
      <c r="C22" s="4">
        <v>41886</v>
      </c>
      <c r="D22" s="5" t="s">
        <v>275</v>
      </c>
      <c r="E22" s="5" t="s">
        <v>40</v>
      </c>
      <c r="F22" s="5" t="s">
        <v>111</v>
      </c>
      <c r="G22" s="5" t="s">
        <v>45</v>
      </c>
      <c r="H22" s="5" t="s">
        <v>33</v>
      </c>
      <c r="I22" s="6" t="s">
        <v>163</v>
      </c>
      <c r="J22" s="5">
        <v>4</v>
      </c>
      <c r="K22" s="17">
        <v>0.2</v>
      </c>
      <c r="L22" s="6">
        <v>1415.4295999999899</v>
      </c>
      <c r="M22" s="5" t="s">
        <v>27</v>
      </c>
      <c r="N22" s="7" t="s">
        <v>2679</v>
      </c>
      <c r="O22" s="8" t="str">
        <f t="shared" si="0"/>
        <v>Adam Bellavance</v>
      </c>
      <c r="P22" s="8" t="str">
        <f t="shared" si="1"/>
        <v>CA</v>
      </c>
      <c r="Q22" s="8" t="str">
        <f t="shared" si="2"/>
        <v>2014</v>
      </c>
      <c r="R22" s="8" t="str">
        <f t="shared" si="3"/>
        <v>CRITICAL</v>
      </c>
      <c r="S22" s="8" t="str">
        <f t="shared" si="4"/>
        <v>office supplies</v>
      </c>
      <c r="T22" s="18" t="str">
        <f t="shared" si="5"/>
        <v>41884</v>
      </c>
      <c r="U22" s="27" t="s">
        <v>2703</v>
      </c>
      <c r="V22" s="16" t="s">
        <v>2683</v>
      </c>
      <c r="W22" s="30">
        <v>2014</v>
      </c>
      <c r="X22" t="s">
        <v>2703</v>
      </c>
      <c r="Y22" s="28">
        <v>41884</v>
      </c>
      <c r="Z22" s="28" t="str">
        <f t="shared" si="6"/>
        <v>CA-2014-AB10060140-41884</v>
      </c>
    </row>
    <row r="23" spans="1:26" ht="15.75">
      <c r="A23" s="19" t="s">
        <v>305</v>
      </c>
      <c r="B23" s="9">
        <v>41984</v>
      </c>
      <c r="C23" s="9">
        <v>41987</v>
      </c>
      <c r="D23" s="10" t="s">
        <v>89</v>
      </c>
      <c r="E23" s="10" t="s">
        <v>15</v>
      </c>
      <c r="F23" s="10" t="s">
        <v>16</v>
      </c>
      <c r="G23" s="10" t="s">
        <v>17</v>
      </c>
      <c r="H23" s="10" t="s">
        <v>127</v>
      </c>
      <c r="I23" s="11">
        <v>1695.87</v>
      </c>
      <c r="J23" s="10">
        <v>5</v>
      </c>
      <c r="K23" s="20">
        <v>0.1</v>
      </c>
      <c r="L23" s="11">
        <v>-37.83</v>
      </c>
      <c r="M23" s="10" t="s">
        <v>27</v>
      </c>
      <c r="N23" s="12" t="s">
        <v>2679</v>
      </c>
      <c r="O23" s="13" t="str">
        <f t="shared" si="0"/>
        <v>Jason Klamczynski</v>
      </c>
      <c r="P23" s="13" t="str">
        <f t="shared" si="1"/>
        <v>ID</v>
      </c>
      <c r="Q23" s="13" t="str">
        <f t="shared" si="2"/>
        <v>2014</v>
      </c>
      <c r="R23" s="13" t="str">
        <f t="shared" si="3"/>
        <v>CRITICAL</v>
      </c>
      <c r="S23" s="13" t="str">
        <f t="shared" si="4"/>
        <v>technology</v>
      </c>
      <c r="T23" s="21" t="str">
        <f t="shared" si="5"/>
        <v>41984</v>
      </c>
      <c r="U23" s="27" t="s">
        <v>2704</v>
      </c>
      <c r="V23" s="19" t="s">
        <v>2705</v>
      </c>
      <c r="W23" s="30">
        <v>2014</v>
      </c>
      <c r="X23" t="s">
        <v>2704</v>
      </c>
      <c r="Y23" s="28">
        <v>41984</v>
      </c>
      <c r="Z23" s="28" t="str">
        <f t="shared" si="6"/>
        <v>ID-2014-JK153257-41984</v>
      </c>
    </row>
    <row r="24" spans="1:26" ht="15.75">
      <c r="A24" s="16" t="s">
        <v>308</v>
      </c>
      <c r="B24" s="4">
        <v>42357</v>
      </c>
      <c r="C24" s="4">
        <v>42358</v>
      </c>
      <c r="D24" s="5" t="s">
        <v>309</v>
      </c>
      <c r="E24" s="5" t="s">
        <v>310</v>
      </c>
      <c r="F24" s="5" t="s">
        <v>142</v>
      </c>
      <c r="G24" s="5" t="s">
        <v>17</v>
      </c>
      <c r="H24" s="5" t="s">
        <v>33</v>
      </c>
      <c r="I24" s="6">
        <v>1954.17</v>
      </c>
      <c r="J24" s="5">
        <v>3</v>
      </c>
      <c r="K24" s="17">
        <v>0</v>
      </c>
      <c r="L24" s="6">
        <v>312.659999999999</v>
      </c>
      <c r="M24" s="5" t="s">
        <v>27</v>
      </c>
      <c r="N24" s="7" t="s">
        <v>2679</v>
      </c>
      <c r="O24" s="8" t="str">
        <f t="shared" si="0"/>
        <v>Don Weiss</v>
      </c>
      <c r="P24" s="8" t="str">
        <f t="shared" si="1"/>
        <v>IN</v>
      </c>
      <c r="Q24" s="8" t="str">
        <f t="shared" si="2"/>
        <v>2015</v>
      </c>
      <c r="R24" s="8" t="str">
        <f t="shared" si="3"/>
        <v>CRITICAL</v>
      </c>
      <c r="S24" s="8" t="str">
        <f t="shared" si="4"/>
        <v>technology</v>
      </c>
      <c r="T24" s="18" t="str">
        <f t="shared" si="5"/>
        <v>42357</v>
      </c>
      <c r="U24" s="27" t="s">
        <v>2706</v>
      </c>
      <c r="V24" s="16" t="s">
        <v>2681</v>
      </c>
      <c r="W24" s="30">
        <v>2015</v>
      </c>
      <c r="X24" t="s">
        <v>2706</v>
      </c>
      <c r="Y24" s="28">
        <v>42357</v>
      </c>
      <c r="Z24" s="28" t="str">
        <f t="shared" si="6"/>
        <v>IN-2015-DW1354078-42357</v>
      </c>
    </row>
    <row r="25" spans="1:26" ht="15.75">
      <c r="A25" s="19" t="s">
        <v>302</v>
      </c>
      <c r="B25" s="9">
        <v>42315</v>
      </c>
      <c r="C25" s="9">
        <v>42322</v>
      </c>
      <c r="D25" s="10" t="s">
        <v>275</v>
      </c>
      <c r="E25" s="10" t="s">
        <v>40</v>
      </c>
      <c r="F25" s="10" t="s">
        <v>43</v>
      </c>
      <c r="G25" s="10" t="s">
        <v>32</v>
      </c>
      <c r="H25" s="10" t="s">
        <v>33</v>
      </c>
      <c r="I25" s="11">
        <v>449.56799999999998</v>
      </c>
      <c r="J25" s="10">
        <v>2</v>
      </c>
      <c r="K25" s="20">
        <v>0.2</v>
      </c>
      <c r="L25" s="11">
        <v>-73.0548</v>
      </c>
      <c r="M25" s="10" t="s">
        <v>74</v>
      </c>
      <c r="N25" s="12" t="s">
        <v>2679</v>
      </c>
      <c r="O25" s="13" t="str">
        <f t="shared" si="0"/>
        <v>Adam Bellavance</v>
      </c>
      <c r="P25" s="13" t="str">
        <f t="shared" si="1"/>
        <v>CA</v>
      </c>
      <c r="Q25" s="13" t="str">
        <f t="shared" si="2"/>
        <v>2015</v>
      </c>
      <c r="R25" s="13" t="str">
        <f t="shared" si="3"/>
        <v>LOW</v>
      </c>
      <c r="S25" s="13" t="str">
        <f t="shared" si="4"/>
        <v>furniture</v>
      </c>
      <c r="T25" s="21" t="str">
        <f t="shared" si="5"/>
        <v>42315</v>
      </c>
      <c r="U25" s="27" t="s">
        <v>2703</v>
      </c>
      <c r="V25" s="19" t="s">
        <v>2683</v>
      </c>
      <c r="W25" s="30">
        <v>2015</v>
      </c>
      <c r="X25" t="s">
        <v>2703</v>
      </c>
      <c r="Y25" s="28">
        <v>42315</v>
      </c>
      <c r="Z25" s="28" t="str">
        <f t="shared" si="6"/>
        <v>CA-2015-AB10060140-42315</v>
      </c>
    </row>
    <row r="26" spans="1:26" ht="15.75">
      <c r="A26" s="16" t="s">
        <v>311</v>
      </c>
      <c r="B26" s="5" t="s">
        <v>312</v>
      </c>
      <c r="C26" s="4">
        <v>41717</v>
      </c>
      <c r="D26" s="5" t="s">
        <v>275</v>
      </c>
      <c r="E26" s="5" t="s">
        <v>40</v>
      </c>
      <c r="F26" s="5" t="s">
        <v>153</v>
      </c>
      <c r="G26" s="5" t="s">
        <v>45</v>
      </c>
      <c r="H26" s="5" t="s">
        <v>26</v>
      </c>
      <c r="I26" s="6">
        <v>160.32</v>
      </c>
      <c r="J26" s="5">
        <v>2</v>
      </c>
      <c r="K26" s="17">
        <v>0</v>
      </c>
      <c r="L26" s="6">
        <v>291.20200743633302</v>
      </c>
      <c r="M26" s="5" t="s">
        <v>19</v>
      </c>
      <c r="N26" s="7" t="s">
        <v>2679</v>
      </c>
      <c r="O26" s="8" t="str">
        <f t="shared" si="0"/>
        <v>Adam Bellavance</v>
      </c>
      <c r="P26" s="8" t="str">
        <f t="shared" si="1"/>
        <v>US</v>
      </c>
      <c r="Q26" s="8" t="str">
        <f t="shared" si="2"/>
        <v>2014</v>
      </c>
      <c r="R26" s="8" t="str">
        <f t="shared" si="3"/>
        <v>MEDIUM</v>
      </c>
      <c r="S26" s="8" t="str">
        <f t="shared" si="4"/>
        <v>office supplies</v>
      </c>
      <c r="T26" s="18" t="str">
        <f t="shared" si="5"/>
        <v>41712</v>
      </c>
      <c r="U26" s="27" t="s">
        <v>2703</v>
      </c>
      <c r="V26" s="16" t="s">
        <v>2685</v>
      </c>
      <c r="W26" s="30">
        <v>2014</v>
      </c>
      <c r="X26" t="s">
        <v>2703</v>
      </c>
      <c r="Y26" s="28">
        <v>41712</v>
      </c>
      <c r="Z26" s="28" t="str">
        <f t="shared" si="6"/>
        <v>US-2014-AB10060140-41712</v>
      </c>
    </row>
    <row r="27" spans="1:26" ht="15.75">
      <c r="A27" s="19" t="s">
        <v>304</v>
      </c>
      <c r="B27" s="9">
        <v>41884</v>
      </c>
      <c r="C27" s="9">
        <v>41886</v>
      </c>
      <c r="D27" s="10" t="s">
        <v>275</v>
      </c>
      <c r="E27" s="10" t="s">
        <v>334</v>
      </c>
      <c r="F27" s="10" t="s">
        <v>111</v>
      </c>
      <c r="G27" s="10" t="s">
        <v>45</v>
      </c>
      <c r="H27" s="10" t="s">
        <v>33</v>
      </c>
      <c r="I27" s="11">
        <v>49.12</v>
      </c>
      <c r="J27" s="10">
        <v>4</v>
      </c>
      <c r="K27" s="20">
        <v>0</v>
      </c>
      <c r="L27" s="11">
        <v>23.086399999999902</v>
      </c>
      <c r="M27" s="10" t="s">
        <v>27</v>
      </c>
      <c r="N27" s="12" t="s">
        <v>2679</v>
      </c>
      <c r="O27" s="13" t="str">
        <f t="shared" si="0"/>
        <v>Adam Bellavance</v>
      </c>
      <c r="P27" s="13" t="str">
        <f t="shared" si="1"/>
        <v>CA</v>
      </c>
      <c r="Q27" s="13" t="str">
        <f t="shared" si="2"/>
        <v>2014</v>
      </c>
      <c r="R27" s="13" t="str">
        <f t="shared" si="3"/>
        <v>CRITICAL</v>
      </c>
      <c r="S27" s="13" t="str">
        <f t="shared" si="4"/>
        <v>office supplies</v>
      </c>
      <c r="T27" s="21" t="str">
        <f t="shared" si="5"/>
        <v>41884</v>
      </c>
      <c r="U27" s="27" t="s">
        <v>2703</v>
      </c>
      <c r="V27" s="19" t="s">
        <v>2683</v>
      </c>
      <c r="W27" s="30">
        <v>2014</v>
      </c>
      <c r="X27" t="s">
        <v>2703</v>
      </c>
      <c r="Y27" s="28">
        <v>41884</v>
      </c>
      <c r="Z27" s="28" t="str">
        <f t="shared" si="6"/>
        <v>CA-2014-AB10060140-41884</v>
      </c>
    </row>
    <row r="28" spans="1:26" ht="15.75">
      <c r="A28" s="16" t="s">
        <v>339</v>
      </c>
      <c r="B28" s="4">
        <v>41572</v>
      </c>
      <c r="C28" s="4">
        <v>41575</v>
      </c>
      <c r="D28" s="5" t="s">
        <v>340</v>
      </c>
      <c r="E28" s="5" t="s">
        <v>66</v>
      </c>
      <c r="F28" s="5" t="s">
        <v>90</v>
      </c>
      <c r="G28" s="5" t="s">
        <v>17</v>
      </c>
      <c r="H28" s="5" t="s">
        <v>73</v>
      </c>
      <c r="I28" s="6">
        <v>1583.7</v>
      </c>
      <c r="J28" s="5">
        <v>5</v>
      </c>
      <c r="K28" s="17">
        <v>0</v>
      </c>
      <c r="L28" s="6">
        <v>174.14999999999901</v>
      </c>
      <c r="M28" s="5" t="s">
        <v>27</v>
      </c>
      <c r="N28" s="7" t="s">
        <v>2679</v>
      </c>
      <c r="O28" s="8" t="str">
        <f t="shared" si="0"/>
        <v>Lisa Hazard</v>
      </c>
      <c r="P28" s="8" t="str">
        <f t="shared" si="1"/>
        <v>IN</v>
      </c>
      <c r="Q28" s="8" t="str">
        <f t="shared" si="2"/>
        <v>2013</v>
      </c>
      <c r="R28" s="8" t="str">
        <f t="shared" si="3"/>
        <v>CRITICAL</v>
      </c>
      <c r="S28" s="8" t="str">
        <f t="shared" si="4"/>
        <v>technology</v>
      </c>
      <c r="T28" s="18" t="str">
        <f t="shared" si="5"/>
        <v>41572</v>
      </c>
      <c r="U28" s="27" t="s">
        <v>2707</v>
      </c>
      <c r="V28" s="16" t="s">
        <v>2681</v>
      </c>
      <c r="W28" s="30">
        <v>2013</v>
      </c>
      <c r="X28" t="s">
        <v>2707</v>
      </c>
      <c r="Y28" s="28">
        <v>41572</v>
      </c>
      <c r="Z28" s="28" t="str">
        <f t="shared" si="6"/>
        <v>IN-2013-LH1702027-41572</v>
      </c>
    </row>
    <row r="29" spans="1:26" ht="15.75">
      <c r="A29" s="19" t="s">
        <v>311</v>
      </c>
      <c r="B29" s="9">
        <v>41712</v>
      </c>
      <c r="C29" s="9">
        <v>41717</v>
      </c>
      <c r="D29" s="10" t="s">
        <v>275</v>
      </c>
      <c r="E29" s="10" t="s">
        <v>334</v>
      </c>
      <c r="F29" s="10" t="s">
        <v>153</v>
      </c>
      <c r="G29" s="10" t="s">
        <v>32</v>
      </c>
      <c r="H29" s="10" t="s">
        <v>151</v>
      </c>
      <c r="I29" s="11">
        <v>127.88</v>
      </c>
      <c r="J29" s="10">
        <v>2</v>
      </c>
      <c r="K29" s="20">
        <v>0</v>
      </c>
      <c r="L29" s="11">
        <v>40.921599999999998</v>
      </c>
      <c r="M29" s="10" t="s">
        <v>19</v>
      </c>
      <c r="N29" s="12" t="s">
        <v>2679</v>
      </c>
      <c r="O29" s="13" t="str">
        <f t="shared" si="0"/>
        <v>Adam Bellavance</v>
      </c>
      <c r="P29" s="13" t="str">
        <f t="shared" si="1"/>
        <v>US</v>
      </c>
      <c r="Q29" s="13" t="str">
        <f t="shared" si="2"/>
        <v>2014</v>
      </c>
      <c r="R29" s="13" t="str">
        <f t="shared" si="3"/>
        <v>MEDIUM</v>
      </c>
      <c r="S29" s="13" t="str">
        <f t="shared" si="4"/>
        <v>furniture</v>
      </c>
      <c r="T29" s="21" t="str">
        <f t="shared" si="5"/>
        <v>41712</v>
      </c>
      <c r="U29" s="27" t="s">
        <v>2703</v>
      </c>
      <c r="V29" s="19" t="s">
        <v>2685</v>
      </c>
      <c r="W29" s="30">
        <v>2014</v>
      </c>
      <c r="X29" t="s">
        <v>2703</v>
      </c>
      <c r="Y29" s="28">
        <v>41712</v>
      </c>
      <c r="Z29" s="28" t="str">
        <f t="shared" si="6"/>
        <v>US-2014-AB10060140-41712</v>
      </c>
    </row>
    <row r="30" spans="1:26" ht="15.75">
      <c r="A30" s="16" t="s">
        <v>351</v>
      </c>
      <c r="B30" s="4">
        <v>41709</v>
      </c>
      <c r="C30" s="4">
        <v>41713</v>
      </c>
      <c r="D30" s="5" t="s">
        <v>352</v>
      </c>
      <c r="E30" s="5" t="s">
        <v>15</v>
      </c>
      <c r="F30" s="5" t="s">
        <v>16</v>
      </c>
      <c r="G30" s="5" t="s">
        <v>17</v>
      </c>
      <c r="H30" s="5" t="s">
        <v>33</v>
      </c>
      <c r="I30" s="6">
        <v>2892.10499999999</v>
      </c>
      <c r="J30" s="5">
        <v>5</v>
      </c>
      <c r="K30" s="17">
        <v>0.1</v>
      </c>
      <c r="L30" s="6">
        <v>160.60499999999999</v>
      </c>
      <c r="M30" s="5" t="s">
        <v>37</v>
      </c>
      <c r="N30" s="7" t="s">
        <v>2679</v>
      </c>
      <c r="O30" s="8" t="str">
        <f t="shared" si="0"/>
        <v>Roland Fjeld</v>
      </c>
      <c r="P30" s="8" t="str">
        <f t="shared" si="1"/>
        <v>IN</v>
      </c>
      <c r="Q30" s="8" t="str">
        <f t="shared" si="2"/>
        <v>2014</v>
      </c>
      <c r="R30" s="8" t="str">
        <f t="shared" si="3"/>
        <v>HIGH</v>
      </c>
      <c r="S30" s="8" t="str">
        <f t="shared" si="4"/>
        <v>technology</v>
      </c>
      <c r="T30" s="18" t="str">
        <f t="shared" si="5"/>
        <v>41709</v>
      </c>
      <c r="U30" s="27" t="s">
        <v>2708</v>
      </c>
      <c r="V30" s="16" t="s">
        <v>2681</v>
      </c>
      <c r="W30" s="30">
        <v>2014</v>
      </c>
      <c r="X30" t="s">
        <v>2708</v>
      </c>
      <c r="Y30" s="28">
        <v>41709</v>
      </c>
      <c r="Z30" s="28" t="str">
        <f t="shared" si="6"/>
        <v>IN-2014-RF197357-41709</v>
      </c>
    </row>
    <row r="31" spans="1:26" ht="15.75">
      <c r="A31" s="19" t="s">
        <v>353</v>
      </c>
      <c r="B31" s="9">
        <v>41306</v>
      </c>
      <c r="C31" s="9">
        <v>41309</v>
      </c>
      <c r="D31" s="10" t="s">
        <v>161</v>
      </c>
      <c r="E31" s="10" t="s">
        <v>22</v>
      </c>
      <c r="F31" s="10" t="s">
        <v>71</v>
      </c>
      <c r="G31" s="10" t="s">
        <v>17</v>
      </c>
      <c r="H31" s="10" t="s">
        <v>127</v>
      </c>
      <c r="I31" s="11">
        <v>3263.4</v>
      </c>
      <c r="J31" s="10">
        <v>5</v>
      </c>
      <c r="K31" s="20">
        <v>0</v>
      </c>
      <c r="L31" s="11">
        <v>848.4</v>
      </c>
      <c r="M31" s="10" t="s">
        <v>354</v>
      </c>
      <c r="N31" s="12" t="s">
        <v>2679</v>
      </c>
      <c r="O31" s="13" t="str">
        <f t="shared" si="0"/>
        <v>John Huston</v>
      </c>
      <c r="P31" s="13" t="str">
        <f t="shared" si="1"/>
        <v>ES</v>
      </c>
      <c r="Q31" s="13" t="str">
        <f t="shared" si="2"/>
        <v>2013</v>
      </c>
      <c r="R31" s="13" t="str">
        <f t="shared" si="3"/>
        <v>HIGH#</v>
      </c>
      <c r="S31" s="13" t="str">
        <f t="shared" si="4"/>
        <v>technology</v>
      </c>
      <c r="T31" s="21" t="str">
        <f t="shared" si="5"/>
        <v>1306#</v>
      </c>
      <c r="U31" s="27" t="s">
        <v>2709</v>
      </c>
      <c r="V31" s="19" t="s">
        <v>2710</v>
      </c>
      <c r="W31" s="30">
        <v>2013</v>
      </c>
      <c r="X31" t="s">
        <v>2709</v>
      </c>
      <c r="Y31" s="28" t="s">
        <v>2711</v>
      </c>
      <c r="Z31" s="28" t="str">
        <f t="shared" si="6"/>
        <v>ES-2013-JH1582048-41306#</v>
      </c>
    </row>
    <row r="32" spans="1:26" ht="15.75">
      <c r="A32" s="16" t="s">
        <v>355</v>
      </c>
      <c r="B32" s="4">
        <v>41712</v>
      </c>
      <c r="C32" s="4">
        <v>41717</v>
      </c>
      <c r="D32" s="5" t="s">
        <v>275</v>
      </c>
      <c r="E32" s="5" t="s">
        <v>40</v>
      </c>
      <c r="F32" s="5" t="s">
        <v>153</v>
      </c>
      <c r="G32" s="5" t="s">
        <v>45</v>
      </c>
      <c r="H32" s="5" t="s">
        <v>26</v>
      </c>
      <c r="I32" s="6">
        <v>46</v>
      </c>
      <c r="J32" s="5">
        <v>4</v>
      </c>
      <c r="K32" s="17">
        <v>0</v>
      </c>
      <c r="L32" s="6">
        <v>20.7</v>
      </c>
      <c r="M32" s="5" t="s">
        <v>19</v>
      </c>
      <c r="N32" s="7" t="s">
        <v>2679</v>
      </c>
      <c r="O32" s="8" t="str">
        <f t="shared" si="0"/>
        <v>Adam Bellavance</v>
      </c>
      <c r="P32" s="8" t="str">
        <f t="shared" si="1"/>
        <v xml:space="preserve"> U</v>
      </c>
      <c r="Q32" s="8" t="str">
        <f t="shared" si="2"/>
        <v>-201</v>
      </c>
      <c r="R32" s="8" t="str">
        <f t="shared" si="3"/>
        <v>MEDIUM</v>
      </c>
      <c r="S32" s="8" t="str">
        <f t="shared" si="4"/>
        <v>office supplies</v>
      </c>
      <c r="T32" s="18" t="str">
        <f t="shared" si="5"/>
        <v xml:space="preserve">1712 </v>
      </c>
      <c r="U32" s="27" t="s">
        <v>2703</v>
      </c>
      <c r="V32" s="16" t="s">
        <v>2712</v>
      </c>
      <c r="W32" s="30">
        <v>2014</v>
      </c>
      <c r="X32" t="s">
        <v>2703</v>
      </c>
      <c r="Y32" s="28">
        <v>41712</v>
      </c>
      <c r="Z32" s="28" t="str">
        <f t="shared" si="6"/>
        <v>US-2014-AB10060140-41712</v>
      </c>
    </row>
    <row r="33" spans="1:26" ht="15.75">
      <c r="A33" s="19" t="s">
        <v>359</v>
      </c>
      <c r="B33" s="9">
        <v>41881</v>
      </c>
      <c r="C33" s="9">
        <v>41886</v>
      </c>
      <c r="D33" s="10" t="s">
        <v>275</v>
      </c>
      <c r="E33" s="10" t="s">
        <v>40</v>
      </c>
      <c r="F33" s="10" t="s">
        <v>111</v>
      </c>
      <c r="G33" s="10" t="s">
        <v>45</v>
      </c>
      <c r="H33" s="10" t="s">
        <v>151</v>
      </c>
      <c r="I33" s="11">
        <v>27.93</v>
      </c>
      <c r="J33" s="10">
        <v>3</v>
      </c>
      <c r="K33" s="20">
        <v>0</v>
      </c>
      <c r="L33" s="11">
        <v>8.0996999999999897</v>
      </c>
      <c r="M33" s="10" t="s">
        <v>19</v>
      </c>
      <c r="N33" s="12" t="s">
        <v>2679</v>
      </c>
      <c r="O33" s="13" t="str">
        <f t="shared" si="0"/>
        <v>Adam Bellavance</v>
      </c>
      <c r="P33" s="13" t="str">
        <f t="shared" si="1"/>
        <v>CA</v>
      </c>
      <c r="Q33" s="13" t="str">
        <f t="shared" si="2"/>
        <v>2014</v>
      </c>
      <c r="R33" s="13" t="str">
        <f t="shared" si="3"/>
        <v>MEDIUM</v>
      </c>
      <c r="S33" s="13" t="str">
        <f t="shared" si="4"/>
        <v>office supplies</v>
      </c>
      <c r="T33" s="21" t="str">
        <f t="shared" si="5"/>
        <v>41881</v>
      </c>
      <c r="U33" s="27" t="s">
        <v>2703</v>
      </c>
      <c r="V33" s="19" t="s">
        <v>2683</v>
      </c>
      <c r="W33" s="30">
        <v>2014</v>
      </c>
      <c r="X33" t="s">
        <v>2703</v>
      </c>
      <c r="Y33" s="28">
        <v>41881</v>
      </c>
      <c r="Z33" s="28" t="str">
        <f t="shared" si="6"/>
        <v>CA-2014-AB10060140-41881</v>
      </c>
    </row>
    <row r="34" spans="1:26" ht="15.75">
      <c r="A34" s="16" t="s">
        <v>360</v>
      </c>
      <c r="B34" s="4">
        <v>42082</v>
      </c>
      <c r="C34" s="4">
        <v>42084</v>
      </c>
      <c r="D34" s="5" t="s">
        <v>361</v>
      </c>
      <c r="E34" s="5" t="s">
        <v>97</v>
      </c>
      <c r="F34" s="5" t="s">
        <v>98</v>
      </c>
      <c r="G34" s="5" t="s">
        <v>45</v>
      </c>
      <c r="H34" s="5" t="s">
        <v>44</v>
      </c>
      <c r="I34" s="6">
        <v>1888.7</v>
      </c>
      <c r="J34" s="5">
        <v>5</v>
      </c>
      <c r="K34" s="17">
        <v>0</v>
      </c>
      <c r="L34" s="6">
        <v>887.6</v>
      </c>
      <c r="M34" s="5" t="s">
        <v>37</v>
      </c>
      <c r="N34" s="7" t="s">
        <v>2679</v>
      </c>
      <c r="O34" s="8" t="str">
        <f t="shared" si="0"/>
        <v>Bill Eplett</v>
      </c>
      <c r="P34" s="8" t="str">
        <f t="shared" si="1"/>
        <v>MX</v>
      </c>
      <c r="Q34" s="8" t="str">
        <f t="shared" si="2"/>
        <v>2015</v>
      </c>
      <c r="R34" s="8" t="str">
        <f t="shared" si="3"/>
        <v>HIGH</v>
      </c>
      <c r="S34" s="8" t="str">
        <f t="shared" si="4"/>
        <v>office supplies</v>
      </c>
      <c r="T34" s="18" t="str">
        <f t="shared" si="5"/>
        <v>42082</v>
      </c>
      <c r="U34" s="27" t="s">
        <v>2713</v>
      </c>
      <c r="V34" s="16" t="s">
        <v>2695</v>
      </c>
      <c r="W34" s="30">
        <v>2015</v>
      </c>
      <c r="X34" t="s">
        <v>2713</v>
      </c>
      <c r="Y34" s="28">
        <v>42082</v>
      </c>
      <c r="Z34" s="28" t="str">
        <f t="shared" si="6"/>
        <v>MX-2015-BE1133582-42082</v>
      </c>
    </row>
    <row r="35" spans="1:26" ht="15.75">
      <c r="A35" s="19" t="s">
        <v>370</v>
      </c>
      <c r="B35" s="9">
        <v>41535</v>
      </c>
      <c r="C35" s="9">
        <v>41541</v>
      </c>
      <c r="D35" s="10" t="s">
        <v>275</v>
      </c>
      <c r="E35" s="10" t="s">
        <v>40</v>
      </c>
      <c r="F35" s="10" t="s">
        <v>43</v>
      </c>
      <c r="G35" s="10" t="s">
        <v>45</v>
      </c>
      <c r="H35" s="10" t="s">
        <v>44</v>
      </c>
      <c r="I35" s="11">
        <v>18.54</v>
      </c>
      <c r="J35" s="10">
        <v>2</v>
      </c>
      <c r="K35" s="20">
        <v>0</v>
      </c>
      <c r="L35" s="11">
        <v>8.7137999999999902</v>
      </c>
      <c r="M35" s="10" t="s">
        <v>19</v>
      </c>
      <c r="N35" s="12" t="s">
        <v>2679</v>
      </c>
      <c r="O35" s="13" t="str">
        <f t="shared" si="0"/>
        <v>Adam Bellavance</v>
      </c>
      <c r="P35" s="13" t="str">
        <f t="shared" si="1"/>
        <v>CA</v>
      </c>
      <c r="Q35" s="13" t="str">
        <f t="shared" si="2"/>
        <v>2013</v>
      </c>
      <c r="R35" s="13" t="str">
        <f t="shared" si="3"/>
        <v>MEDIUM</v>
      </c>
      <c r="S35" s="13" t="str">
        <f t="shared" si="4"/>
        <v>office supplies</v>
      </c>
      <c r="T35" s="21" t="str">
        <f t="shared" si="5"/>
        <v>41535</v>
      </c>
      <c r="U35" s="27" t="s">
        <v>2703</v>
      </c>
      <c r="V35" s="19" t="s">
        <v>2683</v>
      </c>
      <c r="W35" s="30">
        <v>2013</v>
      </c>
      <c r="X35" t="s">
        <v>2703</v>
      </c>
      <c r="Y35" s="28">
        <v>41535</v>
      </c>
      <c r="Z35" s="28" t="str">
        <f t="shared" si="6"/>
        <v>CA-2013-AB10060140-41535</v>
      </c>
    </row>
    <row r="36" spans="1:26" ht="15.75">
      <c r="A36" s="16" t="s">
        <v>377</v>
      </c>
      <c r="B36" s="4">
        <v>41641</v>
      </c>
      <c r="C36" s="4">
        <v>41642</v>
      </c>
      <c r="D36" s="5" t="s">
        <v>378</v>
      </c>
      <c r="E36" s="5" t="s">
        <v>15</v>
      </c>
      <c r="F36" s="5" t="s">
        <v>16</v>
      </c>
      <c r="G36" s="5" t="s">
        <v>32</v>
      </c>
      <c r="H36" s="5" t="s">
        <v>26</v>
      </c>
      <c r="I36" s="6">
        <v>1637.01</v>
      </c>
      <c r="J36" s="5">
        <v>5</v>
      </c>
      <c r="K36" s="17">
        <v>0.1</v>
      </c>
      <c r="L36" s="6">
        <v>-36.39</v>
      </c>
      <c r="M36" s="5" t="s">
        <v>19</v>
      </c>
      <c r="N36" s="7" t="s">
        <v>2679</v>
      </c>
      <c r="O36" s="8" t="str">
        <f t="shared" si="0"/>
        <v>Rob Lucas</v>
      </c>
      <c r="P36" s="8" t="str">
        <f t="shared" si="1"/>
        <v>ID</v>
      </c>
      <c r="Q36" s="8" t="str">
        <f t="shared" si="2"/>
        <v>2014</v>
      </c>
      <c r="R36" s="8" t="str">
        <f t="shared" si="3"/>
        <v>MEDIUM</v>
      </c>
      <c r="S36" s="8" t="str">
        <f t="shared" si="4"/>
        <v>furniture</v>
      </c>
      <c r="T36" s="18" t="str">
        <f t="shared" si="5"/>
        <v>41641</v>
      </c>
      <c r="U36" s="27" t="s">
        <v>2714</v>
      </c>
      <c r="V36" s="16" t="s">
        <v>2705</v>
      </c>
      <c r="W36" s="30">
        <v>2014</v>
      </c>
      <c r="X36" t="s">
        <v>2714</v>
      </c>
      <c r="Y36" s="28">
        <v>41641</v>
      </c>
      <c r="Z36" s="28" t="str">
        <f t="shared" si="6"/>
        <v>ID-2014-RL196157-41641</v>
      </c>
    </row>
    <row r="37" spans="1:26" ht="15.75">
      <c r="A37" s="19" t="s">
        <v>304</v>
      </c>
      <c r="B37" s="9">
        <v>41884</v>
      </c>
      <c r="C37" s="9">
        <v>41886</v>
      </c>
      <c r="D37" s="10" t="s">
        <v>275</v>
      </c>
      <c r="E37" s="10" t="s">
        <v>40</v>
      </c>
      <c r="F37" s="10" t="s">
        <v>111</v>
      </c>
      <c r="G37" s="10" t="s">
        <v>45</v>
      </c>
      <c r="H37" s="10" t="s">
        <v>26</v>
      </c>
      <c r="I37" s="11">
        <v>3.048</v>
      </c>
      <c r="J37" s="10">
        <v>1</v>
      </c>
      <c r="K37" s="20">
        <v>0.2</v>
      </c>
      <c r="L37" s="11">
        <v>1.0668</v>
      </c>
      <c r="M37" s="10" t="s">
        <v>27</v>
      </c>
      <c r="N37" s="12" t="s">
        <v>2679</v>
      </c>
      <c r="O37" s="13" t="str">
        <f t="shared" si="0"/>
        <v>Adam Bellavance</v>
      </c>
      <c r="P37" s="13" t="str">
        <f t="shared" si="1"/>
        <v>CA</v>
      </c>
      <c r="Q37" s="13" t="str">
        <f t="shared" si="2"/>
        <v>2014</v>
      </c>
      <c r="R37" s="13" t="str">
        <f t="shared" si="3"/>
        <v>CRITICAL</v>
      </c>
      <c r="S37" s="13" t="str">
        <f t="shared" si="4"/>
        <v>office supplies</v>
      </c>
      <c r="T37" s="21" t="str">
        <f t="shared" si="5"/>
        <v>41884</v>
      </c>
      <c r="U37" s="27" t="s">
        <v>2703</v>
      </c>
      <c r="V37" s="19" t="s">
        <v>2683</v>
      </c>
      <c r="W37" s="30">
        <v>2014</v>
      </c>
      <c r="X37" t="s">
        <v>2703</v>
      </c>
      <c r="Y37" s="28">
        <v>41884</v>
      </c>
      <c r="Z37" s="28" t="str">
        <f t="shared" si="6"/>
        <v>CA-2014-AB10060140-41884</v>
      </c>
    </row>
    <row r="38" spans="1:26" ht="15.75">
      <c r="A38" s="16" t="s">
        <v>383</v>
      </c>
      <c r="B38" s="4">
        <v>41076</v>
      </c>
      <c r="C38" s="4">
        <v>41078</v>
      </c>
      <c r="D38" s="5" t="s">
        <v>384</v>
      </c>
      <c r="E38" s="5" t="s">
        <v>66</v>
      </c>
      <c r="F38" s="5" t="s">
        <v>90</v>
      </c>
      <c r="G38" s="5" t="s">
        <v>32</v>
      </c>
      <c r="H38" s="5" t="s">
        <v>26</v>
      </c>
      <c r="I38" s="6">
        <v>3238.3049999999998</v>
      </c>
      <c r="J38" s="5">
        <v>5</v>
      </c>
      <c r="K38" s="17">
        <v>0.3</v>
      </c>
      <c r="L38" s="6">
        <v>-740.29499999999905</v>
      </c>
      <c r="M38" s="5" t="s">
        <v>37</v>
      </c>
      <c r="N38" s="7" t="s">
        <v>2679</v>
      </c>
      <c r="O38" s="8" t="str">
        <f t="shared" si="0"/>
        <v>Bart Watters</v>
      </c>
      <c r="P38" s="8" t="str">
        <f t="shared" si="1"/>
        <v>IN</v>
      </c>
      <c r="Q38" s="8" t="str">
        <f t="shared" si="2"/>
        <v>2012</v>
      </c>
      <c r="R38" s="8" t="str">
        <f t="shared" si="3"/>
        <v>HIGH</v>
      </c>
      <c r="S38" s="8" t="str">
        <f t="shared" si="4"/>
        <v>furniture</v>
      </c>
      <c r="T38" s="18" t="str">
        <f t="shared" si="5"/>
        <v>41076</v>
      </c>
      <c r="U38" s="27" t="s">
        <v>2715</v>
      </c>
      <c r="V38" s="16" t="s">
        <v>2681</v>
      </c>
      <c r="W38" s="30">
        <v>2012</v>
      </c>
      <c r="X38" t="s">
        <v>2715</v>
      </c>
      <c r="Y38" s="28">
        <v>41076</v>
      </c>
      <c r="Z38" s="28" t="str">
        <f t="shared" si="6"/>
        <v>IN-2012-BW1111027-41076</v>
      </c>
    </row>
    <row r="39" spans="1:26" ht="15.75">
      <c r="A39" s="19" t="s">
        <v>388</v>
      </c>
      <c r="B39" s="9">
        <v>41045</v>
      </c>
      <c r="C39" s="9">
        <v>41048</v>
      </c>
      <c r="D39" s="10" t="s">
        <v>389</v>
      </c>
      <c r="E39" s="10" t="s">
        <v>97</v>
      </c>
      <c r="F39" s="10" t="s">
        <v>98</v>
      </c>
      <c r="G39" s="10" t="s">
        <v>17</v>
      </c>
      <c r="H39" s="10" t="s">
        <v>44</v>
      </c>
      <c r="I39" s="11">
        <v>2124.5</v>
      </c>
      <c r="J39" s="10">
        <v>5</v>
      </c>
      <c r="K39" s="20">
        <v>0</v>
      </c>
      <c r="L39" s="11">
        <v>488.6</v>
      </c>
      <c r="M39" s="10" t="s">
        <v>37</v>
      </c>
      <c r="N39" s="12" t="s">
        <v>2679</v>
      </c>
      <c r="O39" s="13" t="str">
        <f t="shared" si="0"/>
        <v>Jill Matthias</v>
      </c>
      <c r="P39" s="13" t="str">
        <f t="shared" si="1"/>
        <v>MX</v>
      </c>
      <c r="Q39" s="13" t="str">
        <f t="shared" si="2"/>
        <v>2012</v>
      </c>
      <c r="R39" s="13" t="str">
        <f t="shared" si="3"/>
        <v>HIGH</v>
      </c>
      <c r="S39" s="13" t="str">
        <f t="shared" si="4"/>
        <v>technology</v>
      </c>
      <c r="T39" s="21" t="str">
        <f t="shared" si="5"/>
        <v>41045</v>
      </c>
      <c r="U39" s="27" t="s">
        <v>2716</v>
      </c>
      <c r="V39" s="19" t="s">
        <v>2695</v>
      </c>
      <c r="W39" s="30">
        <v>2012</v>
      </c>
      <c r="X39" t="s">
        <v>2716</v>
      </c>
      <c r="Y39" s="28">
        <v>41045</v>
      </c>
      <c r="Z39" s="28" t="str">
        <f t="shared" si="6"/>
        <v>MX-2012-JM1558082-41045</v>
      </c>
    </row>
    <row r="40" spans="1:26" ht="15.75">
      <c r="A40" s="16" t="s">
        <v>326</v>
      </c>
      <c r="B40" s="4">
        <v>42314</v>
      </c>
      <c r="C40" s="4">
        <v>42316</v>
      </c>
      <c r="D40" s="5" t="s">
        <v>275</v>
      </c>
      <c r="E40" s="5" t="s">
        <v>40</v>
      </c>
      <c r="F40" s="5" t="s">
        <v>41</v>
      </c>
      <c r="G40" s="5" t="s">
        <v>45</v>
      </c>
      <c r="H40" s="5" t="s">
        <v>127</v>
      </c>
      <c r="I40" s="6">
        <v>4.41</v>
      </c>
      <c r="J40" s="5">
        <v>1</v>
      </c>
      <c r="K40" s="17">
        <v>0</v>
      </c>
      <c r="L40" s="6">
        <v>2.0286</v>
      </c>
      <c r="M40" s="5" t="s">
        <v>37</v>
      </c>
      <c r="N40" s="7" t="s">
        <v>2679</v>
      </c>
      <c r="O40" s="8" t="str">
        <f t="shared" si="0"/>
        <v>Adam Bellavance</v>
      </c>
      <c r="P40" s="8" t="str">
        <f t="shared" si="1"/>
        <v>CA</v>
      </c>
      <c r="Q40" s="8" t="str">
        <f t="shared" si="2"/>
        <v>2015</v>
      </c>
      <c r="R40" s="8" t="str">
        <f t="shared" si="3"/>
        <v>HIGH</v>
      </c>
      <c r="S40" s="8" t="str">
        <f t="shared" si="4"/>
        <v>office supplies</v>
      </c>
      <c r="T40" s="18" t="str">
        <f t="shared" si="5"/>
        <v>42314</v>
      </c>
      <c r="U40" s="27" t="s">
        <v>2703</v>
      </c>
      <c r="V40" s="16" t="s">
        <v>2683</v>
      </c>
      <c r="W40" s="30">
        <v>2015</v>
      </c>
      <c r="X40" t="s">
        <v>2703</v>
      </c>
      <c r="Y40" s="28">
        <v>42314</v>
      </c>
      <c r="Z40" s="28" t="str">
        <f t="shared" si="6"/>
        <v>CA-2015-AB10060140-42314</v>
      </c>
    </row>
    <row r="41" spans="1:26" ht="15.75">
      <c r="A41" s="19" t="s">
        <v>417</v>
      </c>
      <c r="B41" s="9">
        <v>42301</v>
      </c>
      <c r="C41" s="9">
        <v>42302</v>
      </c>
      <c r="D41" s="10" t="s">
        <v>418</v>
      </c>
      <c r="E41" s="10" t="s">
        <v>40</v>
      </c>
      <c r="F41" s="10" t="s">
        <v>111</v>
      </c>
      <c r="G41" s="10" t="s">
        <v>32</v>
      </c>
      <c r="H41" s="10" t="s">
        <v>23</v>
      </c>
      <c r="I41" s="11">
        <v>637.89599999999996</v>
      </c>
      <c r="J41" s="10">
        <v>3</v>
      </c>
      <c r="K41" s="20">
        <v>0.3</v>
      </c>
      <c r="L41" s="11">
        <v>-127.57919999999901</v>
      </c>
      <c r="M41" s="10" t="s">
        <v>27</v>
      </c>
      <c r="N41" s="12" t="s">
        <v>2679</v>
      </c>
      <c r="O41" s="13" t="str">
        <f t="shared" si="0"/>
        <v>Adam Hart</v>
      </c>
      <c r="P41" s="13" t="str">
        <f t="shared" si="1"/>
        <v>CA</v>
      </c>
      <c r="Q41" s="13" t="str">
        <f t="shared" si="2"/>
        <v>2015</v>
      </c>
      <c r="R41" s="13" t="str">
        <f t="shared" si="3"/>
        <v>CRITICAL</v>
      </c>
      <c r="S41" s="13" t="str">
        <f t="shared" si="4"/>
        <v>furniture</v>
      </c>
      <c r="T41" s="21" t="str">
        <f t="shared" si="5"/>
        <v>42301</v>
      </c>
      <c r="U41" s="27" t="s">
        <v>2717</v>
      </c>
      <c r="V41" s="19" t="s">
        <v>2683</v>
      </c>
      <c r="W41" s="30">
        <v>2015</v>
      </c>
      <c r="X41" t="s">
        <v>2717</v>
      </c>
      <c r="Y41" s="28">
        <v>42301</v>
      </c>
      <c r="Z41" s="28" t="str">
        <f t="shared" si="6"/>
        <v>CA-2015-AH10075140-42301</v>
      </c>
    </row>
    <row r="42" spans="1:26" ht="15.75">
      <c r="A42" s="16" t="s">
        <v>419</v>
      </c>
      <c r="B42" s="4">
        <v>42197</v>
      </c>
      <c r="C42" s="4">
        <v>42199</v>
      </c>
      <c r="D42" s="5" t="s">
        <v>420</v>
      </c>
      <c r="E42" s="5" t="s">
        <v>141</v>
      </c>
      <c r="F42" s="5" t="s">
        <v>142</v>
      </c>
      <c r="G42" s="5" t="s">
        <v>45</v>
      </c>
      <c r="H42" s="5" t="s">
        <v>44</v>
      </c>
      <c r="I42" s="6">
        <v>1722.2831999999901</v>
      </c>
      <c r="J42" s="5">
        <v>4</v>
      </c>
      <c r="K42" s="17">
        <v>0.17</v>
      </c>
      <c r="L42" s="6">
        <v>539.44319999999902</v>
      </c>
      <c r="M42" s="5" t="s">
        <v>27</v>
      </c>
      <c r="N42" s="7" t="s">
        <v>2679</v>
      </c>
      <c r="O42" s="8" t="str">
        <f t="shared" si="0"/>
        <v>Alex Grayson</v>
      </c>
      <c r="P42" s="8" t="str">
        <f t="shared" si="1"/>
        <v>IN</v>
      </c>
      <c r="Q42" s="8" t="str">
        <f t="shared" si="2"/>
        <v>2015</v>
      </c>
      <c r="R42" s="8" t="str">
        <f t="shared" si="3"/>
        <v>CRITICAL</v>
      </c>
      <c r="S42" s="8" t="str">
        <f t="shared" si="4"/>
        <v>office supplies</v>
      </c>
      <c r="T42" s="18" t="str">
        <f t="shared" si="5"/>
        <v>42197</v>
      </c>
      <c r="U42" s="27" t="s">
        <v>2718</v>
      </c>
      <c r="V42" s="16" t="s">
        <v>2681</v>
      </c>
      <c r="W42" s="30">
        <v>2015</v>
      </c>
      <c r="X42" t="s">
        <v>2718</v>
      </c>
      <c r="Y42" s="28">
        <v>42197</v>
      </c>
      <c r="Z42" s="28" t="str">
        <f t="shared" si="6"/>
        <v>IN-2015-AG1033059-42197</v>
      </c>
    </row>
    <row r="43" spans="1:26" ht="15.75">
      <c r="A43" s="19" t="s">
        <v>417</v>
      </c>
      <c r="B43" s="10" t="s">
        <v>421</v>
      </c>
      <c r="C43" s="9">
        <v>42302</v>
      </c>
      <c r="D43" s="10" t="s">
        <v>422</v>
      </c>
      <c r="E43" s="10" t="s">
        <v>40</v>
      </c>
      <c r="F43" s="10" t="s">
        <v>111</v>
      </c>
      <c r="G43" s="10" t="s">
        <v>32</v>
      </c>
      <c r="H43" s="10" t="s">
        <v>46</v>
      </c>
      <c r="I43" s="11">
        <v>210.68</v>
      </c>
      <c r="J43" s="10">
        <v>2</v>
      </c>
      <c r="K43" s="20">
        <v>0</v>
      </c>
      <c r="L43" s="11">
        <v>50.563199999999902</v>
      </c>
      <c r="M43" s="10" t="s">
        <v>27</v>
      </c>
      <c r="N43" s="12" t="s">
        <v>2679</v>
      </c>
      <c r="O43" s="13" t="str">
        <f t="shared" si="0"/>
        <v>Daam Hart</v>
      </c>
      <c r="P43" s="13" t="str">
        <f t="shared" si="1"/>
        <v>CA</v>
      </c>
      <c r="Q43" s="13" t="str">
        <f t="shared" si="2"/>
        <v>2015</v>
      </c>
      <c r="R43" s="13" t="str">
        <f t="shared" si="3"/>
        <v>CRITICAL</v>
      </c>
      <c r="S43" s="13" t="str">
        <f t="shared" si="4"/>
        <v>furniture</v>
      </c>
      <c r="T43" s="21" t="str">
        <f t="shared" si="5"/>
        <v>42301</v>
      </c>
      <c r="U43" s="27" t="s">
        <v>2717</v>
      </c>
      <c r="V43" s="19" t="s">
        <v>2683</v>
      </c>
      <c r="W43" s="30">
        <v>2015</v>
      </c>
      <c r="X43" t="s">
        <v>2717</v>
      </c>
      <c r="Y43" s="28">
        <v>42301</v>
      </c>
      <c r="Z43" s="28" t="str">
        <f t="shared" si="6"/>
        <v>CA-2015-AH10075140-42301</v>
      </c>
    </row>
    <row r="44" spans="1:26" ht="15.75">
      <c r="A44" s="16" t="s">
        <v>423</v>
      </c>
      <c r="B44" s="4">
        <v>42248</v>
      </c>
      <c r="C44" s="4">
        <v>42248</v>
      </c>
      <c r="D44" s="5" t="s">
        <v>424</v>
      </c>
      <c r="E44" s="5" t="s">
        <v>22</v>
      </c>
      <c r="F44" s="5" t="s">
        <v>71</v>
      </c>
      <c r="G44" s="5" t="s">
        <v>45</v>
      </c>
      <c r="H44" s="5" t="s">
        <v>73</v>
      </c>
      <c r="I44" s="6">
        <v>1007.424</v>
      </c>
      <c r="J44" s="5">
        <v>2</v>
      </c>
      <c r="K44" s="17">
        <v>0.1</v>
      </c>
      <c r="L44" s="6">
        <v>134.30399999999901</v>
      </c>
      <c r="M44" s="5" t="s">
        <v>27</v>
      </c>
      <c r="N44" s="7" t="s">
        <v>2679</v>
      </c>
      <c r="O44" s="8" t="str">
        <f t="shared" si="0"/>
        <v>Neil Franzã¶Sisch</v>
      </c>
      <c r="P44" s="8" t="str">
        <f t="shared" si="1"/>
        <v>ES</v>
      </c>
      <c r="Q44" s="8" t="str">
        <f t="shared" si="2"/>
        <v>2015</v>
      </c>
      <c r="R44" s="8" t="str">
        <f t="shared" si="3"/>
        <v>CRITICAL</v>
      </c>
      <c r="S44" s="8" t="str">
        <f t="shared" si="4"/>
        <v>office supplies</v>
      </c>
      <c r="T44" s="18" t="str">
        <f t="shared" si="5"/>
        <v>42248</v>
      </c>
      <c r="U44" s="27" t="s">
        <v>2719</v>
      </c>
      <c r="V44" s="16" t="s">
        <v>2710</v>
      </c>
      <c r="W44" s="30">
        <v>2015</v>
      </c>
      <c r="X44" t="s">
        <v>2719</v>
      </c>
      <c r="Y44" s="28">
        <v>42248</v>
      </c>
      <c r="Z44" s="28" t="str">
        <f t="shared" si="6"/>
        <v>ES-2015-NF1847548-42248</v>
      </c>
    </row>
    <row r="45" spans="1:26" ht="15.75">
      <c r="A45" s="19" t="s">
        <v>417</v>
      </c>
      <c r="B45" s="9">
        <v>42301</v>
      </c>
      <c r="C45" s="9">
        <v>42302</v>
      </c>
      <c r="D45" s="10" t="s">
        <v>418</v>
      </c>
      <c r="E45" s="10" t="s">
        <v>40</v>
      </c>
      <c r="F45" s="10" t="s">
        <v>111</v>
      </c>
      <c r="G45" s="10" t="s">
        <v>32</v>
      </c>
      <c r="H45" s="10" t="s">
        <v>26</v>
      </c>
      <c r="I45" s="11">
        <v>240.744</v>
      </c>
      <c r="J45" s="10">
        <v>4</v>
      </c>
      <c r="K45" s="20">
        <v>0.3</v>
      </c>
      <c r="L45" s="11">
        <v>-13.756799999999901</v>
      </c>
      <c r="M45" s="10" t="s">
        <v>27</v>
      </c>
      <c r="N45" s="12" t="s">
        <v>2679</v>
      </c>
      <c r="O45" s="13" t="str">
        <f t="shared" si="0"/>
        <v>Adam Hart</v>
      </c>
      <c r="P45" s="13" t="str">
        <f t="shared" si="1"/>
        <v>CA</v>
      </c>
      <c r="Q45" s="13" t="str">
        <f t="shared" si="2"/>
        <v>2015</v>
      </c>
      <c r="R45" s="13" t="str">
        <f t="shared" si="3"/>
        <v>CRITICAL</v>
      </c>
      <c r="S45" s="13" t="str">
        <f t="shared" si="4"/>
        <v>furniture</v>
      </c>
      <c r="T45" s="21" t="str">
        <f t="shared" si="5"/>
        <v>42301</v>
      </c>
      <c r="U45" s="27" t="s">
        <v>2717</v>
      </c>
      <c r="V45" s="19" t="s">
        <v>2683</v>
      </c>
      <c r="W45" s="30">
        <v>2015</v>
      </c>
      <c r="X45" t="s">
        <v>2717</v>
      </c>
      <c r="Y45" s="28">
        <v>42301</v>
      </c>
      <c r="Z45" s="28" t="str">
        <f t="shared" si="6"/>
        <v>CA-2015-AH10075140-42301</v>
      </c>
    </row>
    <row r="46" spans="1:26" ht="15.75">
      <c r="A46" s="16" t="s">
        <v>430</v>
      </c>
      <c r="B46" s="4">
        <v>41800</v>
      </c>
      <c r="C46" s="4">
        <v>41800</v>
      </c>
      <c r="D46" s="5" t="s">
        <v>431</v>
      </c>
      <c r="E46" s="5" t="s">
        <v>66</v>
      </c>
      <c r="F46" s="5" t="s">
        <v>90</v>
      </c>
      <c r="G46" s="5" t="s">
        <v>17</v>
      </c>
      <c r="H46" s="5" t="s">
        <v>73</v>
      </c>
      <c r="I46" s="6">
        <v>957.599999999999</v>
      </c>
      <c r="J46" s="5">
        <v>4</v>
      </c>
      <c r="K46" s="17">
        <v>0</v>
      </c>
      <c r="L46" s="6">
        <v>0</v>
      </c>
      <c r="M46" s="5" t="s">
        <v>408</v>
      </c>
      <c r="N46" s="7" t="s">
        <v>2679</v>
      </c>
      <c r="O46" s="8" t="str">
        <f t="shared" si="0"/>
        <v>Nathan Amutz</v>
      </c>
      <c r="P46" s="8" t="str">
        <f t="shared" si="1"/>
        <v>IN</v>
      </c>
      <c r="Q46" s="8" t="str">
        <f t="shared" si="2"/>
        <v>2014</v>
      </c>
      <c r="R46" s="8" t="str">
        <f t="shared" si="3"/>
        <v xml:space="preserve"> CRITICAL </v>
      </c>
      <c r="S46" s="8" t="str">
        <f t="shared" si="4"/>
        <v>technology</v>
      </c>
      <c r="T46" s="18" t="str">
        <f t="shared" si="5"/>
        <v>41800</v>
      </c>
      <c r="U46" s="27" t="s">
        <v>2720</v>
      </c>
      <c r="V46" s="16" t="s">
        <v>2681</v>
      </c>
      <c r="W46" s="30">
        <v>2014</v>
      </c>
      <c r="X46" t="s">
        <v>2720</v>
      </c>
      <c r="Y46" s="28">
        <v>41800</v>
      </c>
      <c r="Z46" s="28" t="str">
        <f t="shared" si="6"/>
        <v>IN-2014-NM1844527-41800</v>
      </c>
    </row>
    <row r="47" spans="1:26" ht="15.75">
      <c r="A47" s="19" t="s">
        <v>441</v>
      </c>
      <c r="B47" s="9">
        <v>41817</v>
      </c>
      <c r="C47" s="9">
        <v>41817</v>
      </c>
      <c r="D47" s="10" t="s">
        <v>418</v>
      </c>
      <c r="E47" s="10" t="s">
        <v>40</v>
      </c>
      <c r="F47" s="10" t="s">
        <v>43</v>
      </c>
      <c r="G47" s="10" t="s">
        <v>45</v>
      </c>
      <c r="H47" s="10" t="s">
        <v>299</v>
      </c>
      <c r="I47" s="11" t="s">
        <v>163</v>
      </c>
      <c r="J47" s="10">
        <v>2</v>
      </c>
      <c r="K47" s="20">
        <v>0</v>
      </c>
      <c r="L47" s="11">
        <v>11.585999999999901</v>
      </c>
      <c r="M47" s="10" t="s">
        <v>27</v>
      </c>
      <c r="N47" s="12" t="s">
        <v>2679</v>
      </c>
      <c r="O47" s="13" t="str">
        <f t="shared" si="0"/>
        <v>Adam Hart</v>
      </c>
      <c r="P47" s="13" t="str">
        <f t="shared" si="1"/>
        <v>CA</v>
      </c>
      <c r="Q47" s="13" t="str">
        <f t="shared" si="2"/>
        <v>2014</v>
      </c>
      <c r="R47" s="13" t="str">
        <f t="shared" si="3"/>
        <v>CRITICAL</v>
      </c>
      <c r="S47" s="13" t="str">
        <f t="shared" si="4"/>
        <v>office supplies</v>
      </c>
      <c r="T47" s="21" t="str">
        <f t="shared" si="5"/>
        <v>41817</v>
      </c>
      <c r="U47" s="27" t="s">
        <v>2717</v>
      </c>
      <c r="V47" s="19" t="s">
        <v>2683</v>
      </c>
      <c r="W47" s="30">
        <v>2014</v>
      </c>
      <c r="X47" t="s">
        <v>2717</v>
      </c>
      <c r="Y47" s="28">
        <v>41817</v>
      </c>
      <c r="Z47" s="28" t="str">
        <f t="shared" si="6"/>
        <v>CA-2014-AH10075140-41817</v>
      </c>
    </row>
    <row r="48" spans="1:26" ht="15.75">
      <c r="A48" s="16" t="s">
        <v>446</v>
      </c>
      <c r="B48" s="4">
        <v>41488</v>
      </c>
      <c r="C48" s="14">
        <v>74361</v>
      </c>
      <c r="D48" s="5" t="s">
        <v>447</v>
      </c>
      <c r="E48" s="5" t="s">
        <v>66</v>
      </c>
      <c r="F48" s="5" t="s">
        <v>90</v>
      </c>
      <c r="G48" s="5" t="s">
        <v>17</v>
      </c>
      <c r="H48" s="5" t="s">
        <v>26</v>
      </c>
      <c r="I48" s="6">
        <v>1521</v>
      </c>
      <c r="J48" s="5">
        <v>4</v>
      </c>
      <c r="K48" s="17">
        <v>0</v>
      </c>
      <c r="L48" s="6">
        <v>0</v>
      </c>
      <c r="M48" s="5" t="s">
        <v>37</v>
      </c>
      <c r="N48" s="7" t="s">
        <v>2679</v>
      </c>
      <c r="O48" s="8" t="str">
        <f t="shared" si="0"/>
        <v>Ken Black</v>
      </c>
      <c r="P48" s="8" t="str">
        <f t="shared" si="1"/>
        <v>IN</v>
      </c>
      <c r="Q48" s="8" t="str">
        <f t="shared" si="2"/>
        <v>2013</v>
      </c>
      <c r="R48" s="8" t="str">
        <f t="shared" si="3"/>
        <v>HIGH</v>
      </c>
      <c r="S48" s="8" t="str">
        <f t="shared" si="4"/>
        <v>technology</v>
      </c>
      <c r="T48" s="18" t="str">
        <f t="shared" si="5"/>
        <v>1488#</v>
      </c>
      <c r="U48" s="27" t="s">
        <v>2721</v>
      </c>
      <c r="V48" s="16" t="s">
        <v>2681</v>
      </c>
      <c r="W48" s="30">
        <v>2013</v>
      </c>
      <c r="X48" t="s">
        <v>2721</v>
      </c>
      <c r="Y48" s="28" t="s">
        <v>2722</v>
      </c>
      <c r="Z48" s="28" t="str">
        <f t="shared" si="6"/>
        <v>IN-2013-KB1658527-41488#</v>
      </c>
    </row>
    <row r="49" spans="1:26" ht="15.75">
      <c r="A49" s="19" t="s">
        <v>448</v>
      </c>
      <c r="B49" s="9">
        <v>41444</v>
      </c>
      <c r="C49" s="9">
        <v>41444</v>
      </c>
      <c r="D49" s="10" t="s">
        <v>268</v>
      </c>
      <c r="E49" s="10" t="s">
        <v>70</v>
      </c>
      <c r="F49" s="10" t="s">
        <v>71</v>
      </c>
      <c r="G49" s="10" t="s">
        <v>45</v>
      </c>
      <c r="H49" s="10" t="s">
        <v>26</v>
      </c>
      <c r="I49" s="11">
        <v>2443.9050000000002</v>
      </c>
      <c r="J49" s="10">
        <v>5</v>
      </c>
      <c r="K49" s="20">
        <v>0.1</v>
      </c>
      <c r="L49" s="11">
        <v>760.30499999999904</v>
      </c>
      <c r="M49" s="10" t="s">
        <v>37</v>
      </c>
      <c r="N49" s="12" t="s">
        <v>2679</v>
      </c>
      <c r="O49" s="13" t="str">
        <f t="shared" si="0"/>
        <v>Logan Haushalter</v>
      </c>
      <c r="P49" s="13" t="str">
        <f t="shared" si="1"/>
        <v>ES</v>
      </c>
      <c r="Q49" s="13" t="str">
        <f t="shared" si="2"/>
        <v>2013</v>
      </c>
      <c r="R49" s="13" t="str">
        <f t="shared" si="3"/>
        <v>HIGH</v>
      </c>
      <c r="S49" s="13" t="str">
        <f t="shared" si="4"/>
        <v>office supplies</v>
      </c>
      <c r="T49" s="21" t="str">
        <f t="shared" si="5"/>
        <v>41444</v>
      </c>
      <c r="U49" s="27" t="s">
        <v>2723</v>
      </c>
      <c r="V49" s="19" t="s">
        <v>2710</v>
      </c>
      <c r="W49" s="30">
        <v>2013</v>
      </c>
      <c r="X49" t="s">
        <v>2723</v>
      </c>
      <c r="Y49" s="28">
        <v>41444</v>
      </c>
      <c r="Z49" s="28" t="str">
        <f t="shared" si="6"/>
        <v>ES-2013-LH1715545-41444</v>
      </c>
    </row>
    <row r="50" spans="1:26" ht="15.75">
      <c r="A50" s="16" t="s">
        <v>449</v>
      </c>
      <c r="B50" s="4">
        <v>42101</v>
      </c>
      <c r="C50" s="4">
        <v>42106</v>
      </c>
      <c r="D50" s="5" t="s">
        <v>418</v>
      </c>
      <c r="E50" s="5" t="s">
        <v>450</v>
      </c>
      <c r="F50" s="5" t="s">
        <v>451</v>
      </c>
      <c r="G50" s="5" t="s">
        <v>45</v>
      </c>
      <c r="H50" s="5" t="s">
        <v>33</v>
      </c>
      <c r="I50" s="6">
        <v>137.31</v>
      </c>
      <c r="J50" s="5">
        <v>1</v>
      </c>
      <c r="K50" s="17">
        <v>0</v>
      </c>
      <c r="L50" s="6">
        <v>54.9</v>
      </c>
      <c r="M50" s="5" t="s">
        <v>37</v>
      </c>
      <c r="N50" s="7" t="s">
        <v>2679</v>
      </c>
      <c r="O50" s="8" t="str">
        <f t="shared" si="0"/>
        <v>Adam Hart</v>
      </c>
      <c r="P50" s="8" t="str">
        <f t="shared" si="1"/>
        <v>CA</v>
      </c>
      <c r="Q50" s="8" t="str">
        <f t="shared" si="2"/>
        <v>2015</v>
      </c>
      <c r="R50" s="8" t="str">
        <f t="shared" si="3"/>
        <v>HIGH</v>
      </c>
      <c r="S50" s="8" t="str">
        <f t="shared" si="4"/>
        <v>office supplies</v>
      </c>
      <c r="T50" s="18" t="str">
        <f t="shared" si="5"/>
        <v>42101</v>
      </c>
      <c r="U50" s="27" t="s">
        <v>2724</v>
      </c>
      <c r="V50" s="16" t="s">
        <v>2683</v>
      </c>
      <c r="W50" s="30">
        <v>2015</v>
      </c>
      <c r="X50" t="s">
        <v>2724</v>
      </c>
      <c r="Y50" s="28">
        <v>42101</v>
      </c>
      <c r="Z50" s="28" t="str">
        <f t="shared" si="6"/>
        <v>CA-2015-AH1007523-42101</v>
      </c>
    </row>
    <row r="51" spans="1:26" ht="15.75">
      <c r="A51" s="19" t="s">
        <v>456</v>
      </c>
      <c r="B51" s="9">
        <v>41909</v>
      </c>
      <c r="C51" s="9">
        <v>41909</v>
      </c>
      <c r="D51" s="10" t="s">
        <v>457</v>
      </c>
      <c r="E51" s="10" t="s">
        <v>197</v>
      </c>
      <c r="F51" s="10" t="s">
        <v>77</v>
      </c>
      <c r="G51" s="10" t="s">
        <v>32</v>
      </c>
      <c r="H51" s="10" t="s">
        <v>299</v>
      </c>
      <c r="I51" s="11">
        <v>1091.25</v>
      </c>
      <c r="J51" s="10">
        <v>3</v>
      </c>
      <c r="K51" s="20">
        <v>0</v>
      </c>
      <c r="L51" s="11">
        <v>119.97</v>
      </c>
      <c r="M51" s="10" t="s">
        <v>27</v>
      </c>
      <c r="N51" s="12" t="s">
        <v>2679</v>
      </c>
      <c r="O51" s="13" t="str">
        <f t="shared" si="0"/>
        <v>Sean Christensen</v>
      </c>
      <c r="P51" s="13" t="str">
        <f t="shared" si="1"/>
        <v>ES</v>
      </c>
      <c r="Q51" s="13" t="str">
        <f t="shared" si="2"/>
        <v>2014</v>
      </c>
      <c r="R51" s="13" t="str">
        <f t="shared" si="3"/>
        <v>CRITICAL</v>
      </c>
      <c r="S51" s="13" t="str">
        <f t="shared" si="4"/>
        <v>furniture</v>
      </c>
      <c r="T51" s="21" t="str">
        <f t="shared" si="5"/>
        <v>41909</v>
      </c>
      <c r="U51" s="27" t="s">
        <v>2725</v>
      </c>
      <c r="V51" s="19" t="s">
        <v>2710</v>
      </c>
      <c r="W51" s="30">
        <v>2014</v>
      </c>
      <c r="X51" t="s">
        <v>2725</v>
      </c>
      <c r="Y51" s="28">
        <v>41909</v>
      </c>
      <c r="Z51" s="28" t="str">
        <f t="shared" si="6"/>
        <v>ES-2014-SC20305120-41909</v>
      </c>
    </row>
    <row r="52" spans="1:26" ht="15.75">
      <c r="A52" s="16" t="s">
        <v>461</v>
      </c>
      <c r="B52" s="4">
        <v>41108</v>
      </c>
      <c r="C52" s="4">
        <v>41109</v>
      </c>
      <c r="D52" s="5" t="s">
        <v>462</v>
      </c>
      <c r="E52" s="5" t="s">
        <v>310</v>
      </c>
      <c r="F52" s="5" t="s">
        <v>142</v>
      </c>
      <c r="G52" s="5" t="s">
        <v>17</v>
      </c>
      <c r="H52" s="5" t="s">
        <v>151</v>
      </c>
      <c r="I52" s="6">
        <v>2555.64</v>
      </c>
      <c r="J52" s="5">
        <v>4</v>
      </c>
      <c r="K52" s="17">
        <v>0</v>
      </c>
      <c r="L52" s="6">
        <v>664.43999999999903</v>
      </c>
      <c r="M52" s="5" t="s">
        <v>37</v>
      </c>
      <c r="N52" s="7" t="s">
        <v>2679</v>
      </c>
      <c r="O52" s="8" t="str">
        <f t="shared" si="0"/>
        <v>Bruce Geld</v>
      </c>
      <c r="P52" s="8" t="str">
        <f t="shared" si="1"/>
        <v>IN</v>
      </c>
      <c r="Q52" s="8" t="str">
        <f t="shared" si="2"/>
        <v>2012</v>
      </c>
      <c r="R52" s="8" t="str">
        <f t="shared" si="3"/>
        <v>HIGH</v>
      </c>
      <c r="S52" s="8" t="str">
        <f t="shared" si="4"/>
        <v>technology</v>
      </c>
      <c r="T52" s="18" t="str">
        <f t="shared" si="5"/>
        <v>41108</v>
      </c>
      <c r="U52" s="27" t="s">
        <v>2726</v>
      </c>
      <c r="V52" s="16" t="s">
        <v>2681</v>
      </c>
      <c r="W52" s="30">
        <v>2012</v>
      </c>
      <c r="X52" t="s">
        <v>2726</v>
      </c>
      <c r="Y52" s="28">
        <v>41108</v>
      </c>
      <c r="Z52" s="28" t="str">
        <f t="shared" si="6"/>
        <v>IN-2012-BG1174078-41108</v>
      </c>
    </row>
    <row r="53" spans="1:26" ht="15.75">
      <c r="A53" s="19" t="s">
        <v>468</v>
      </c>
      <c r="B53" s="9">
        <v>42284</v>
      </c>
      <c r="C53" s="9">
        <v>42288</v>
      </c>
      <c r="D53" s="10" t="s">
        <v>469</v>
      </c>
      <c r="E53" s="10" t="s">
        <v>114</v>
      </c>
      <c r="F53" s="10" t="s">
        <v>115</v>
      </c>
      <c r="G53" s="10" t="s">
        <v>17</v>
      </c>
      <c r="H53" s="10" t="s">
        <v>33</v>
      </c>
      <c r="I53" s="11">
        <v>2582.16</v>
      </c>
      <c r="J53" s="10">
        <v>4</v>
      </c>
      <c r="K53" s="20">
        <v>0</v>
      </c>
      <c r="L53" s="11">
        <v>361.44</v>
      </c>
      <c r="M53" s="10" t="s">
        <v>37</v>
      </c>
      <c r="N53" s="12" t="s">
        <v>2679</v>
      </c>
      <c r="O53" s="13" t="str">
        <f t="shared" si="0"/>
        <v>Anne Pryor</v>
      </c>
      <c r="P53" s="13" t="str">
        <f t="shared" si="1"/>
        <v>IN</v>
      </c>
      <c r="Q53" s="13" t="str">
        <f t="shared" si="2"/>
        <v>2015</v>
      </c>
      <c r="R53" s="13" t="str">
        <f t="shared" si="3"/>
        <v>HIGH</v>
      </c>
      <c r="S53" s="13" t="str">
        <f t="shared" si="4"/>
        <v>technology</v>
      </c>
      <c r="T53" s="21" t="str">
        <f t="shared" si="5"/>
        <v>42284</v>
      </c>
      <c r="U53" s="27" t="s">
        <v>2727</v>
      </c>
      <c r="V53" s="19" t="s">
        <v>2681</v>
      </c>
      <c r="W53" s="30">
        <v>2015</v>
      </c>
      <c r="X53" t="s">
        <v>2727</v>
      </c>
      <c r="Y53" s="28">
        <v>42284</v>
      </c>
      <c r="Z53" s="28" t="str">
        <f t="shared" si="6"/>
        <v>IN-2015-AP1072058-42284</v>
      </c>
    </row>
    <row r="54" spans="1:26" ht="15.75">
      <c r="A54" s="16" t="s">
        <v>476</v>
      </c>
      <c r="B54" s="4">
        <v>41172</v>
      </c>
      <c r="C54" s="4">
        <v>41174</v>
      </c>
      <c r="D54" s="5" t="s">
        <v>477</v>
      </c>
      <c r="E54" s="5" t="s">
        <v>70</v>
      </c>
      <c r="F54" s="5" t="s">
        <v>71</v>
      </c>
      <c r="G54" s="5" t="s">
        <v>478</v>
      </c>
      <c r="H54" s="5" t="s">
        <v>73</v>
      </c>
      <c r="I54" s="6">
        <v>1181.547</v>
      </c>
      <c r="J54" s="5">
        <v>3</v>
      </c>
      <c r="K54" s="17">
        <v>0.1</v>
      </c>
      <c r="L54" s="6">
        <v>498.80700000000002</v>
      </c>
      <c r="M54" s="5" t="s">
        <v>27</v>
      </c>
      <c r="N54" s="7" t="s">
        <v>2679</v>
      </c>
      <c r="O54" s="8" t="str">
        <f t="shared" si="0"/>
        <v>Tamara Willingham</v>
      </c>
      <c r="P54" s="8" t="str">
        <f t="shared" si="1"/>
        <v>IT</v>
      </c>
      <c r="Q54" s="8" t="str">
        <f t="shared" si="2"/>
        <v>2012</v>
      </c>
      <c r="R54" s="8" t="str">
        <f t="shared" si="3"/>
        <v>CRITICAL</v>
      </c>
      <c r="S54" s="8" t="str">
        <f t="shared" si="4"/>
        <v>furniture#</v>
      </c>
      <c r="T54" s="18" t="str">
        <f t="shared" si="5"/>
        <v>41172</v>
      </c>
      <c r="U54" s="27" t="s">
        <v>2728</v>
      </c>
      <c r="V54" s="16" t="s">
        <v>2690</v>
      </c>
      <c r="W54" s="30">
        <v>2012</v>
      </c>
      <c r="X54" t="s">
        <v>2728</v>
      </c>
      <c r="Y54" s="28">
        <v>41172</v>
      </c>
      <c r="Z54" s="28" t="str">
        <f t="shared" si="6"/>
        <v>IT-2012-TW2102545-41172</v>
      </c>
    </row>
    <row r="55" spans="1:26" ht="15.75">
      <c r="A55" s="19" t="s">
        <v>479</v>
      </c>
      <c r="B55" s="9">
        <v>41080</v>
      </c>
      <c r="C55" s="9">
        <v>41083</v>
      </c>
      <c r="D55" s="10" t="s">
        <v>480</v>
      </c>
      <c r="E55" s="10" t="s">
        <v>70</v>
      </c>
      <c r="F55" s="10" t="s">
        <v>71</v>
      </c>
      <c r="G55" s="10" t="s">
        <v>32</v>
      </c>
      <c r="H55" s="10" t="s">
        <v>23</v>
      </c>
      <c r="I55" s="11">
        <v>1696.24799999999</v>
      </c>
      <c r="J55" s="10">
        <v>4</v>
      </c>
      <c r="K55" s="20">
        <v>0.1</v>
      </c>
      <c r="L55" s="11">
        <v>734.928</v>
      </c>
      <c r="M55" s="10" t="s">
        <v>37</v>
      </c>
      <c r="N55" s="12" t="s">
        <v>2679</v>
      </c>
      <c r="O55" s="13" t="str">
        <f t="shared" si="0"/>
        <v>Randy Bradley</v>
      </c>
      <c r="P55" s="13" t="str">
        <f t="shared" si="1"/>
        <v>IT</v>
      </c>
      <c r="Q55" s="13" t="str">
        <f t="shared" si="2"/>
        <v>2012</v>
      </c>
      <c r="R55" s="13" t="str">
        <f t="shared" si="3"/>
        <v>HIGH</v>
      </c>
      <c r="S55" s="13" t="str">
        <f t="shared" si="4"/>
        <v>furniture</v>
      </c>
      <c r="T55" s="21" t="str">
        <f t="shared" si="5"/>
        <v>41080</v>
      </c>
      <c r="U55" s="27" t="s">
        <v>2729</v>
      </c>
      <c r="V55" s="19" t="s">
        <v>2690</v>
      </c>
      <c r="W55" s="30">
        <v>2012</v>
      </c>
      <c r="X55" t="s">
        <v>2729</v>
      </c>
      <c r="Y55" s="28">
        <v>41080</v>
      </c>
      <c r="Z55" s="28" t="str">
        <f t="shared" si="6"/>
        <v>IT-2012-RB1933045-41080</v>
      </c>
    </row>
    <row r="56" spans="1:26" ht="15.75">
      <c r="A56" s="16" t="s">
        <v>482</v>
      </c>
      <c r="B56" s="4">
        <v>42273</v>
      </c>
      <c r="C56" s="4">
        <v>42276</v>
      </c>
      <c r="D56" s="5" t="s">
        <v>418</v>
      </c>
      <c r="E56" s="5" t="s">
        <v>40</v>
      </c>
      <c r="F56" s="5" t="s">
        <v>111</v>
      </c>
      <c r="G56" s="5" t="s">
        <v>165</v>
      </c>
      <c r="H56" s="5" t="s">
        <v>151</v>
      </c>
      <c r="I56" s="6">
        <v>190.89599999999999</v>
      </c>
      <c r="J56" s="5">
        <v>2</v>
      </c>
      <c r="K56" s="17">
        <v>0.2</v>
      </c>
      <c r="L56" s="6">
        <v>-42.951599999999999</v>
      </c>
      <c r="M56" s="5" t="s">
        <v>19</v>
      </c>
      <c r="N56" s="7" t="s">
        <v>2679</v>
      </c>
      <c r="O56" s="8" t="str">
        <f t="shared" si="0"/>
        <v>Adam Hart</v>
      </c>
      <c r="P56" s="8" t="str">
        <f t="shared" si="1"/>
        <v>CA</v>
      </c>
      <c r="Q56" s="8" t="str">
        <f t="shared" si="2"/>
        <v>2015</v>
      </c>
      <c r="R56" s="8" t="str">
        <f t="shared" si="3"/>
        <v>MEDIUM</v>
      </c>
      <c r="S56" s="8" t="str">
        <f t="shared" si="4"/>
        <v>office_supplies</v>
      </c>
      <c r="T56" s="18" t="str">
        <f t="shared" si="5"/>
        <v>42273</v>
      </c>
      <c r="U56" s="27" t="s">
        <v>2717</v>
      </c>
      <c r="V56" s="16" t="s">
        <v>2683</v>
      </c>
      <c r="W56" s="30">
        <v>2015</v>
      </c>
      <c r="X56" t="s">
        <v>2717</v>
      </c>
      <c r="Y56" s="28">
        <v>42273</v>
      </c>
      <c r="Z56" s="28" t="str">
        <f t="shared" si="6"/>
        <v>CA-2015-AH10075140-42273</v>
      </c>
    </row>
    <row r="57" spans="1:26" ht="15.75">
      <c r="A57" s="19" t="s">
        <v>485</v>
      </c>
      <c r="B57" s="9">
        <v>42334</v>
      </c>
      <c r="C57" s="9">
        <v>42337</v>
      </c>
      <c r="D57" s="10" t="s">
        <v>275</v>
      </c>
      <c r="E57" s="10" t="s">
        <v>437</v>
      </c>
      <c r="F57" s="10" t="s">
        <v>438</v>
      </c>
      <c r="G57" s="10" t="s">
        <v>45</v>
      </c>
      <c r="H57" s="10" t="s">
        <v>33</v>
      </c>
      <c r="I57" s="11">
        <v>1237.56</v>
      </c>
      <c r="J57" s="10">
        <v>4</v>
      </c>
      <c r="K57" s="20">
        <v>0</v>
      </c>
      <c r="L57" s="11">
        <v>606.36</v>
      </c>
      <c r="M57" s="10" t="s">
        <v>27</v>
      </c>
      <c r="N57" s="12" t="s">
        <v>2679</v>
      </c>
      <c r="O57" s="13" t="str">
        <f t="shared" si="0"/>
        <v>Adam Bellavance</v>
      </c>
      <c r="P57" s="13" t="str">
        <f t="shared" si="1"/>
        <v>SF</v>
      </c>
      <c r="Q57" s="13" t="str">
        <f t="shared" si="2"/>
        <v>2015</v>
      </c>
      <c r="R57" s="13" t="str">
        <f t="shared" si="3"/>
        <v>CRITICAL</v>
      </c>
      <c r="S57" s="13" t="str">
        <f t="shared" si="4"/>
        <v>office supplies</v>
      </c>
      <c r="T57" s="21" t="str">
        <f t="shared" si="5"/>
        <v>42334</v>
      </c>
      <c r="U57" s="27" t="s">
        <v>2730</v>
      </c>
      <c r="V57" s="19" t="s">
        <v>2731</v>
      </c>
      <c r="W57" s="30">
        <v>2015</v>
      </c>
      <c r="X57" t="s">
        <v>2730</v>
      </c>
      <c r="Y57" s="28">
        <v>42334</v>
      </c>
      <c r="Z57" s="28" t="str">
        <f t="shared" si="6"/>
        <v>SF-2015-AB10060117-42334</v>
      </c>
    </row>
    <row r="58" spans="1:26" ht="15.75">
      <c r="A58" s="16" t="s">
        <v>441</v>
      </c>
      <c r="B58" s="4">
        <v>41817</v>
      </c>
      <c r="C58" s="4">
        <v>41817</v>
      </c>
      <c r="D58" s="5" t="s">
        <v>418</v>
      </c>
      <c r="E58" s="5" t="s">
        <v>40</v>
      </c>
      <c r="F58" s="5" t="s">
        <v>43</v>
      </c>
      <c r="G58" s="5" t="s">
        <v>45</v>
      </c>
      <c r="H58" s="5" t="s">
        <v>73</v>
      </c>
      <c r="I58" s="6">
        <v>17.899999999999999</v>
      </c>
      <c r="J58" s="5">
        <v>5</v>
      </c>
      <c r="K58" s="17">
        <v>0</v>
      </c>
      <c r="L58" s="6">
        <v>8.9499999999999993</v>
      </c>
      <c r="M58" s="5" t="s">
        <v>27</v>
      </c>
      <c r="N58" s="7" t="s">
        <v>2679</v>
      </c>
      <c r="O58" s="8" t="str">
        <f t="shared" si="0"/>
        <v>Adam Hart</v>
      </c>
      <c r="P58" s="8" t="str">
        <f t="shared" si="1"/>
        <v>CA</v>
      </c>
      <c r="Q58" s="8" t="str">
        <f t="shared" si="2"/>
        <v>2014</v>
      </c>
      <c r="R58" s="8" t="str">
        <f t="shared" si="3"/>
        <v>CRITICAL</v>
      </c>
      <c r="S58" s="8" t="str">
        <f t="shared" si="4"/>
        <v>office supplies</v>
      </c>
      <c r="T58" s="18" t="str">
        <f t="shared" si="5"/>
        <v>41817</v>
      </c>
      <c r="U58" s="27" t="s">
        <v>2717</v>
      </c>
      <c r="V58" s="16" t="s">
        <v>2683</v>
      </c>
      <c r="W58" s="30">
        <v>2014</v>
      </c>
      <c r="X58" t="s">
        <v>2717</v>
      </c>
      <c r="Y58" s="28">
        <v>41817</v>
      </c>
      <c r="Z58" s="28" t="str">
        <f t="shared" si="6"/>
        <v>CA-2014-AH10075140-41817</v>
      </c>
    </row>
    <row r="59" spans="1:26" ht="15.75">
      <c r="A59" s="19" t="s">
        <v>494</v>
      </c>
      <c r="B59" s="9">
        <v>41662</v>
      </c>
      <c r="C59" s="9">
        <v>41666</v>
      </c>
      <c r="D59" s="10" t="s">
        <v>467</v>
      </c>
      <c r="E59" s="10" t="s">
        <v>495</v>
      </c>
      <c r="F59" s="10" t="s">
        <v>56</v>
      </c>
      <c r="G59" s="10" t="s">
        <v>32</v>
      </c>
      <c r="H59" s="10" t="s">
        <v>127</v>
      </c>
      <c r="I59" s="11">
        <v>2058</v>
      </c>
      <c r="J59" s="10">
        <v>4</v>
      </c>
      <c r="K59" s="20">
        <v>0</v>
      </c>
      <c r="L59" s="11">
        <v>946.68</v>
      </c>
      <c r="M59" s="10" t="s">
        <v>37</v>
      </c>
      <c r="N59" s="12" t="s">
        <v>2679</v>
      </c>
      <c r="O59" s="13" t="str">
        <f t="shared" si="0"/>
        <v>John Lee</v>
      </c>
      <c r="P59" s="13" t="str">
        <f t="shared" si="1"/>
        <v>AJ</v>
      </c>
      <c r="Q59" s="13" t="str">
        <f t="shared" si="2"/>
        <v>2014</v>
      </c>
      <c r="R59" s="13" t="str">
        <f t="shared" si="3"/>
        <v>HIGH</v>
      </c>
      <c r="S59" s="13" t="str">
        <f t="shared" si="4"/>
        <v>furniture</v>
      </c>
      <c r="T59" s="21" t="str">
        <f t="shared" si="5"/>
        <v>41662</v>
      </c>
      <c r="U59" s="27" t="s">
        <v>2732</v>
      </c>
      <c r="V59" s="19" t="s">
        <v>2733</v>
      </c>
      <c r="W59" s="30">
        <v>2014</v>
      </c>
      <c r="X59" t="s">
        <v>2732</v>
      </c>
      <c r="Y59" s="28">
        <v>41662</v>
      </c>
      <c r="Z59" s="28" t="str">
        <f t="shared" si="6"/>
        <v>AJ-2014-JL58359-41662</v>
      </c>
    </row>
    <row r="60" spans="1:26" ht="15.75">
      <c r="A60" s="16" t="s">
        <v>500</v>
      </c>
      <c r="B60" s="4">
        <v>41218</v>
      </c>
      <c r="C60" s="4">
        <v>41220</v>
      </c>
      <c r="D60" s="5" t="s">
        <v>501</v>
      </c>
      <c r="E60" s="5" t="s">
        <v>70</v>
      </c>
      <c r="F60" s="5" t="s">
        <v>71</v>
      </c>
      <c r="G60" s="5" t="s">
        <v>17</v>
      </c>
      <c r="H60" s="5" t="s">
        <v>151</v>
      </c>
      <c r="I60" s="6">
        <v>1320.0074999999999</v>
      </c>
      <c r="J60" s="5">
        <v>5</v>
      </c>
      <c r="K60" s="17">
        <v>0.15</v>
      </c>
      <c r="L60" s="6">
        <v>357.15750000000003</v>
      </c>
      <c r="M60" s="5" t="s">
        <v>27</v>
      </c>
      <c r="N60" s="7" t="s">
        <v>2679</v>
      </c>
      <c r="O60" s="8" t="str">
        <f t="shared" si="0"/>
        <v>Corinna Mitchell</v>
      </c>
      <c r="P60" s="8" t="str">
        <f t="shared" si="1"/>
        <v>IT</v>
      </c>
      <c r="Q60" s="8" t="str">
        <f t="shared" si="2"/>
        <v>2012</v>
      </c>
      <c r="R60" s="8" t="str">
        <f t="shared" si="3"/>
        <v>CRITICAL</v>
      </c>
      <c r="S60" s="8" t="str">
        <f t="shared" si="4"/>
        <v>technology</v>
      </c>
      <c r="T60" s="18" t="str">
        <f t="shared" si="5"/>
        <v>41218</v>
      </c>
      <c r="U60" s="27" t="s">
        <v>2734</v>
      </c>
      <c r="V60" s="16" t="s">
        <v>2690</v>
      </c>
      <c r="W60" s="30">
        <v>2012</v>
      </c>
      <c r="X60" t="s">
        <v>2734</v>
      </c>
      <c r="Y60" s="28">
        <v>41218</v>
      </c>
      <c r="Z60" s="28" t="str">
        <f t="shared" si="6"/>
        <v>IT-2012-CM1265545-41218</v>
      </c>
    </row>
    <row r="61" spans="1:26" ht="15.75">
      <c r="A61" s="19" t="s">
        <v>508</v>
      </c>
      <c r="B61" s="9">
        <v>42335</v>
      </c>
      <c r="C61" s="9">
        <v>42016</v>
      </c>
      <c r="D61" s="10" t="s">
        <v>418</v>
      </c>
      <c r="E61" s="10" t="s">
        <v>40</v>
      </c>
      <c r="F61" s="10" t="s">
        <v>153</v>
      </c>
      <c r="G61" s="10" t="s">
        <v>45</v>
      </c>
      <c r="H61" s="10" t="s">
        <v>44</v>
      </c>
      <c r="I61" s="11">
        <v>12.84</v>
      </c>
      <c r="J61" s="10">
        <v>3</v>
      </c>
      <c r="K61" s="20">
        <v>0</v>
      </c>
      <c r="L61" s="11">
        <v>3.72359999999999</v>
      </c>
      <c r="M61" s="10" t="s">
        <v>19</v>
      </c>
      <c r="N61" s="12" t="s">
        <v>2679</v>
      </c>
      <c r="O61" s="13" t="str">
        <f t="shared" si="0"/>
        <v>Adam Hart</v>
      </c>
      <c r="P61" s="13" t="str">
        <f t="shared" si="1"/>
        <v>CA</v>
      </c>
      <c r="Q61" s="13" t="str">
        <f t="shared" si="2"/>
        <v>2015</v>
      </c>
      <c r="R61" s="13" t="str">
        <f t="shared" si="3"/>
        <v>MEDIUM</v>
      </c>
      <c r="S61" s="13" t="str">
        <f t="shared" si="4"/>
        <v>office supplies</v>
      </c>
      <c r="T61" s="21" t="str">
        <f t="shared" si="5"/>
        <v>42335</v>
      </c>
      <c r="U61" s="27" t="s">
        <v>2717</v>
      </c>
      <c r="V61" s="19" t="s">
        <v>2683</v>
      </c>
      <c r="W61" s="30">
        <v>2015</v>
      </c>
      <c r="X61" t="s">
        <v>2717</v>
      </c>
      <c r="Y61" s="28">
        <v>42335</v>
      </c>
      <c r="Z61" s="28" t="str">
        <f t="shared" si="6"/>
        <v>CA-2015-AH10075140-42335</v>
      </c>
    </row>
    <row r="62" spans="1:26" ht="15.75">
      <c r="A62" s="16" t="s">
        <v>417</v>
      </c>
      <c r="B62" s="4">
        <v>42301</v>
      </c>
      <c r="C62" s="4">
        <v>42302</v>
      </c>
      <c r="D62" s="5" t="s">
        <v>418</v>
      </c>
      <c r="E62" s="5" t="s">
        <v>40</v>
      </c>
      <c r="F62" s="5" t="s">
        <v>111</v>
      </c>
      <c r="G62" s="5" t="s">
        <v>45</v>
      </c>
      <c r="H62" s="5" t="s">
        <v>151</v>
      </c>
      <c r="I62" s="6">
        <v>2.2200000000000002</v>
      </c>
      <c r="J62" s="5">
        <v>1</v>
      </c>
      <c r="K62" s="17">
        <v>0</v>
      </c>
      <c r="L62" s="6">
        <v>0.66599999999999904</v>
      </c>
      <c r="M62" s="5" t="s">
        <v>27</v>
      </c>
      <c r="N62" s="7" t="s">
        <v>2679</v>
      </c>
      <c r="O62" s="8" t="str">
        <f t="shared" si="0"/>
        <v>Adam Hart</v>
      </c>
      <c r="P62" s="8" t="str">
        <f t="shared" si="1"/>
        <v>CA</v>
      </c>
      <c r="Q62" s="8" t="str">
        <f t="shared" si="2"/>
        <v>2015</v>
      </c>
      <c r="R62" s="8" t="str">
        <f t="shared" si="3"/>
        <v>CRITICAL</v>
      </c>
      <c r="S62" s="8" t="str">
        <f t="shared" si="4"/>
        <v>office supplies</v>
      </c>
      <c r="T62" s="18" t="str">
        <f t="shared" si="5"/>
        <v>42301</v>
      </c>
      <c r="U62" s="27" t="s">
        <v>2717</v>
      </c>
      <c r="V62" s="16" t="s">
        <v>2683</v>
      </c>
      <c r="W62" s="30">
        <v>2015</v>
      </c>
      <c r="X62" t="s">
        <v>2717</v>
      </c>
      <c r="Y62" s="28">
        <v>42301</v>
      </c>
      <c r="Z62" s="28" t="str">
        <f t="shared" si="6"/>
        <v>CA-2015-AH10075140-42301</v>
      </c>
    </row>
    <row r="63" spans="1:26" ht="15.75">
      <c r="A63" s="19" t="s">
        <v>524</v>
      </c>
      <c r="B63" s="9">
        <v>41903</v>
      </c>
      <c r="C63" s="9">
        <v>41906</v>
      </c>
      <c r="D63" s="10" t="s">
        <v>525</v>
      </c>
      <c r="E63" s="10" t="s">
        <v>60</v>
      </c>
      <c r="F63" s="10" t="s">
        <v>61</v>
      </c>
      <c r="G63" s="10" t="s">
        <v>32</v>
      </c>
      <c r="H63" s="10" t="s">
        <v>44</v>
      </c>
      <c r="I63" s="11">
        <v>1236.47999999999</v>
      </c>
      <c r="J63" s="10">
        <v>4</v>
      </c>
      <c r="K63" s="20">
        <v>0</v>
      </c>
      <c r="L63" s="11">
        <v>111.28</v>
      </c>
      <c r="M63" s="10" t="s">
        <v>27</v>
      </c>
      <c r="N63" s="12" t="s">
        <v>2679</v>
      </c>
      <c r="O63" s="13" t="str">
        <f t="shared" si="0"/>
        <v>James Lanier</v>
      </c>
      <c r="P63" s="13" t="str">
        <f t="shared" si="1"/>
        <v>MX</v>
      </c>
      <c r="Q63" s="13" t="str">
        <f t="shared" si="2"/>
        <v>2014</v>
      </c>
      <c r="R63" s="13" t="str">
        <f t="shared" si="3"/>
        <v>CRITICAL</v>
      </c>
      <c r="S63" s="13" t="str">
        <f t="shared" si="4"/>
        <v>furniture</v>
      </c>
      <c r="T63" s="21" t="str">
        <f t="shared" si="5"/>
        <v>41903</v>
      </c>
      <c r="U63" s="27" t="s">
        <v>2735</v>
      </c>
      <c r="V63" s="19" t="s">
        <v>2695</v>
      </c>
      <c r="W63" s="30">
        <v>2014</v>
      </c>
      <c r="X63" t="s">
        <v>2735</v>
      </c>
      <c r="Y63" s="28">
        <v>41903</v>
      </c>
      <c r="Z63" s="28" t="str">
        <f t="shared" si="6"/>
        <v>MX-2014-JL1517518-41903</v>
      </c>
    </row>
    <row r="64" spans="1:26" ht="15.75">
      <c r="A64" s="16" t="s">
        <v>528</v>
      </c>
      <c r="B64" s="5" t="s">
        <v>125</v>
      </c>
      <c r="C64" s="4">
        <v>41234</v>
      </c>
      <c r="D64" s="5" t="s">
        <v>418</v>
      </c>
      <c r="E64" s="5" t="s">
        <v>40</v>
      </c>
      <c r="F64" s="5" t="s">
        <v>245</v>
      </c>
      <c r="G64" s="5" t="s">
        <v>45</v>
      </c>
      <c r="H64" s="5" t="s">
        <v>23</v>
      </c>
      <c r="I64" s="6">
        <v>5.22</v>
      </c>
      <c r="J64" s="5">
        <v>2</v>
      </c>
      <c r="K64" s="17">
        <v>0</v>
      </c>
      <c r="L64" s="6">
        <v>2.4011999999999998</v>
      </c>
      <c r="M64" s="5" t="s">
        <v>19</v>
      </c>
      <c r="N64" s="7" t="s">
        <v>2679</v>
      </c>
      <c r="O64" s="8" t="str">
        <f t="shared" si="0"/>
        <v>Adam Hart</v>
      </c>
      <c r="P64" s="8" t="str">
        <f t="shared" si="1"/>
        <v>CA</v>
      </c>
      <c r="Q64" s="8" t="str">
        <f t="shared" si="2"/>
        <v>2012</v>
      </c>
      <c r="R64" s="8" t="str">
        <f t="shared" si="3"/>
        <v>MEDIUM</v>
      </c>
      <c r="S64" s="8" t="str">
        <f t="shared" si="4"/>
        <v>office supplies</v>
      </c>
      <c r="T64" s="18" t="str">
        <f t="shared" si="5"/>
        <v>41228</v>
      </c>
      <c r="U64" s="27" t="s">
        <v>2717</v>
      </c>
      <c r="V64" s="16" t="s">
        <v>2683</v>
      </c>
      <c r="W64" s="30">
        <v>2012</v>
      </c>
      <c r="X64" t="s">
        <v>2717</v>
      </c>
      <c r="Y64" s="28">
        <v>41228</v>
      </c>
      <c r="Z64" s="28" t="str">
        <f t="shared" si="6"/>
        <v>CA-2012-AH10075140-41228</v>
      </c>
    </row>
    <row r="65" spans="1:26" ht="15.75">
      <c r="A65" s="19" t="s">
        <v>482</v>
      </c>
      <c r="B65" s="9">
        <v>42273</v>
      </c>
      <c r="C65" s="9">
        <v>42276</v>
      </c>
      <c r="D65" s="10" t="s">
        <v>418</v>
      </c>
      <c r="E65" s="10" t="s">
        <v>40</v>
      </c>
      <c r="F65" s="10" t="s">
        <v>111</v>
      </c>
      <c r="G65" s="10" t="s">
        <v>45</v>
      </c>
      <c r="H65" s="10" t="s">
        <v>127</v>
      </c>
      <c r="I65" s="11">
        <v>8.5950000000000006</v>
      </c>
      <c r="J65" s="10">
        <v>5</v>
      </c>
      <c r="K65" s="20">
        <v>0.7</v>
      </c>
      <c r="L65" s="11">
        <v>-6.3029999999999999</v>
      </c>
      <c r="M65" s="10" t="s">
        <v>19</v>
      </c>
      <c r="N65" s="12" t="s">
        <v>2679</v>
      </c>
      <c r="O65" s="13" t="str">
        <f t="shared" si="0"/>
        <v>Adam Hart</v>
      </c>
      <c r="P65" s="13" t="str">
        <f t="shared" si="1"/>
        <v>CA</v>
      </c>
      <c r="Q65" s="13" t="str">
        <f t="shared" si="2"/>
        <v>2015</v>
      </c>
      <c r="R65" s="13" t="str">
        <f t="shared" si="3"/>
        <v>MEDIUM</v>
      </c>
      <c r="S65" s="13" t="str">
        <f t="shared" si="4"/>
        <v>office supplies</v>
      </c>
      <c r="T65" s="21" t="str">
        <f t="shared" si="5"/>
        <v>42273</v>
      </c>
      <c r="U65" s="27" t="s">
        <v>2717</v>
      </c>
      <c r="V65" s="19" t="s">
        <v>2683</v>
      </c>
      <c r="W65" s="30">
        <v>2015</v>
      </c>
      <c r="X65" t="s">
        <v>2717</v>
      </c>
      <c r="Y65" s="28">
        <v>42273</v>
      </c>
      <c r="Z65" s="28" t="str">
        <f t="shared" si="6"/>
        <v>CA-2015-AH10075140-42273</v>
      </c>
    </row>
    <row r="66" spans="1:26" ht="15.75">
      <c r="A66" s="16" t="s">
        <v>532</v>
      </c>
      <c r="B66" s="4">
        <v>42259</v>
      </c>
      <c r="C66" s="4">
        <v>42261</v>
      </c>
      <c r="D66" s="5" t="s">
        <v>183</v>
      </c>
      <c r="E66" s="5" t="s">
        <v>211</v>
      </c>
      <c r="F66" s="5" t="s">
        <v>98</v>
      </c>
      <c r="G66" s="5" t="s">
        <v>17</v>
      </c>
      <c r="H66" s="5" t="s">
        <v>46</v>
      </c>
      <c r="I66" s="6">
        <v>2120.5</v>
      </c>
      <c r="J66" s="5">
        <v>5</v>
      </c>
      <c r="K66" s="17">
        <v>0</v>
      </c>
      <c r="L66" s="6">
        <v>106</v>
      </c>
      <c r="M66" s="5" t="s">
        <v>27</v>
      </c>
      <c r="N66" s="7" t="s">
        <v>2679</v>
      </c>
      <c r="O66" s="8" t="str">
        <f t="shared" ref="O66:O129" si="7">PROPER(D66)</f>
        <v>Chuck Sachs</v>
      </c>
      <c r="P66" s="8" t="str">
        <f t="shared" ref="P66:P129" si="8">LEFT(A66,2)</f>
        <v>MX</v>
      </c>
      <c r="Q66" s="8" t="str">
        <f t="shared" ref="Q66:Q129" si="9">MID(A66,4,4)</f>
        <v>2015</v>
      </c>
      <c r="R66" s="8" t="str">
        <f t="shared" ref="R66:R129" si="10">UPPER(M66)</f>
        <v>CRITICAL</v>
      </c>
      <c r="S66" s="8" t="str">
        <f t="shared" ref="S66:S129" si="11">LOWER(G66)</f>
        <v>technology</v>
      </c>
      <c r="T66" s="18" t="str">
        <f t="shared" ref="T66:T129" si="12">RIGHT(A66,5)</f>
        <v>42259</v>
      </c>
      <c r="U66" s="27" t="s">
        <v>2736</v>
      </c>
      <c r="V66" s="16" t="s">
        <v>2695</v>
      </c>
      <c r="W66" s="30">
        <v>2015</v>
      </c>
      <c r="X66" t="s">
        <v>2736</v>
      </c>
      <c r="Y66" s="28">
        <v>42259</v>
      </c>
      <c r="Z66" s="28" t="str">
        <f t="shared" ref="Z66:Z129" si="13">TRIM(A66)</f>
        <v>MX-2015-CS1246093-42259</v>
      </c>
    </row>
    <row r="67" spans="1:26" ht="15.75">
      <c r="A67" s="19" t="s">
        <v>533</v>
      </c>
      <c r="B67" s="15">
        <v>42111</v>
      </c>
      <c r="C67" s="9">
        <v>42111</v>
      </c>
      <c r="D67" s="10" t="s">
        <v>534</v>
      </c>
      <c r="E67" s="10" t="s">
        <v>66</v>
      </c>
      <c r="F67" s="10" t="s">
        <v>90</v>
      </c>
      <c r="G67" s="10" t="s">
        <v>17</v>
      </c>
      <c r="H67" s="10" t="s">
        <v>73</v>
      </c>
      <c r="I67" s="11">
        <v>1275</v>
      </c>
      <c r="J67" s="10">
        <v>2</v>
      </c>
      <c r="K67" s="20">
        <v>0</v>
      </c>
      <c r="L67" s="11">
        <v>140.22</v>
      </c>
      <c r="M67" s="10" t="s">
        <v>27</v>
      </c>
      <c r="N67" s="12" t="s">
        <v>2679</v>
      </c>
      <c r="O67" s="13" t="str">
        <f t="shared" si="7"/>
        <v>Helen Andreada</v>
      </c>
      <c r="P67" s="13" t="str">
        <f t="shared" si="8"/>
        <v>IN</v>
      </c>
      <c r="Q67" s="13" t="str">
        <f t="shared" si="9"/>
        <v>2015</v>
      </c>
      <c r="R67" s="13" t="str">
        <f t="shared" si="10"/>
        <v>CRITICAL</v>
      </c>
      <c r="S67" s="13" t="str">
        <f t="shared" si="11"/>
        <v>technology</v>
      </c>
      <c r="T67" s="21" t="str">
        <f t="shared" si="12"/>
        <v>42111</v>
      </c>
      <c r="U67" s="27" t="s">
        <v>2737</v>
      </c>
      <c r="V67" s="19" t="s">
        <v>2681</v>
      </c>
      <c r="W67" s="30">
        <v>2015</v>
      </c>
      <c r="X67" t="s">
        <v>2737</v>
      </c>
      <c r="Y67" s="28">
        <v>42111</v>
      </c>
      <c r="Z67" s="28" t="str">
        <f t="shared" si="13"/>
        <v>IN-2015-HA1492027-42111</v>
      </c>
    </row>
    <row r="68" spans="1:26" ht="15.75">
      <c r="A68" s="16" t="s">
        <v>538</v>
      </c>
      <c r="B68" s="4">
        <v>41478</v>
      </c>
      <c r="C68" s="4">
        <v>41483</v>
      </c>
      <c r="D68" s="5" t="s">
        <v>539</v>
      </c>
      <c r="E68" s="5" t="s">
        <v>22</v>
      </c>
      <c r="F68" s="5" t="s">
        <v>71</v>
      </c>
      <c r="G68" s="5" t="s">
        <v>17</v>
      </c>
      <c r="H68" s="5" t="s">
        <v>127</v>
      </c>
      <c r="I68" s="6">
        <v>2944.08</v>
      </c>
      <c r="J68" s="5">
        <v>5</v>
      </c>
      <c r="K68" s="17">
        <v>0.1</v>
      </c>
      <c r="L68" s="6">
        <v>1112.1300000000001</v>
      </c>
      <c r="M68" s="5" t="s">
        <v>37</v>
      </c>
      <c r="N68" s="7" t="s">
        <v>2679</v>
      </c>
      <c r="O68" s="8" t="str">
        <f t="shared" si="7"/>
        <v>Brosina Hoffman</v>
      </c>
      <c r="P68" s="8" t="str">
        <f t="shared" si="8"/>
        <v>ES</v>
      </c>
      <c r="Q68" s="8" t="str">
        <f t="shared" si="9"/>
        <v>2013</v>
      </c>
      <c r="R68" s="8" t="str">
        <f t="shared" si="10"/>
        <v>HIGH</v>
      </c>
      <c r="S68" s="8" t="str">
        <f t="shared" si="11"/>
        <v>technology</v>
      </c>
      <c r="T68" s="18" t="str">
        <f t="shared" si="12"/>
        <v>41478</v>
      </c>
      <c r="U68" s="27" t="s">
        <v>2738</v>
      </c>
      <c r="V68" s="16" t="s">
        <v>2710</v>
      </c>
      <c r="W68" s="30">
        <v>2013</v>
      </c>
      <c r="X68" t="s">
        <v>2738</v>
      </c>
      <c r="Y68" s="28">
        <v>41478</v>
      </c>
      <c r="Z68" s="28" t="str">
        <f t="shared" si="13"/>
        <v>ES-2013-BH1171048-41478</v>
      </c>
    </row>
    <row r="69" spans="1:26" ht="15.75">
      <c r="A69" s="19" t="s">
        <v>545</v>
      </c>
      <c r="B69" s="9">
        <v>41070</v>
      </c>
      <c r="C69" s="9">
        <v>41073</v>
      </c>
      <c r="D69" s="10" t="s">
        <v>546</v>
      </c>
      <c r="E69" s="10" t="s">
        <v>256</v>
      </c>
      <c r="F69" s="10" t="s">
        <v>71</v>
      </c>
      <c r="G69" s="10" t="s">
        <v>32</v>
      </c>
      <c r="H69" s="10" t="s">
        <v>73</v>
      </c>
      <c r="I69" s="11">
        <v>2056.0499999999902</v>
      </c>
      <c r="J69" s="10">
        <v>5</v>
      </c>
      <c r="K69" s="20">
        <v>0</v>
      </c>
      <c r="L69" s="11">
        <v>390.6</v>
      </c>
      <c r="M69" s="10" t="s">
        <v>37</v>
      </c>
      <c r="N69" s="12" t="s">
        <v>2679</v>
      </c>
      <c r="O69" s="13" t="str">
        <f t="shared" si="7"/>
        <v>Sung Chung</v>
      </c>
      <c r="P69" s="13" t="str">
        <f t="shared" si="8"/>
        <v>ES</v>
      </c>
      <c r="Q69" s="13" t="str">
        <f t="shared" si="9"/>
        <v>2012</v>
      </c>
      <c r="R69" s="13" t="str">
        <f t="shared" si="10"/>
        <v>HIGH</v>
      </c>
      <c r="S69" s="13" t="str">
        <f t="shared" si="11"/>
        <v>furniture</v>
      </c>
      <c r="T69" s="21" t="str">
        <f t="shared" si="12"/>
        <v>41070</v>
      </c>
      <c r="U69" s="27" t="s">
        <v>2739</v>
      </c>
      <c r="V69" s="19" t="s">
        <v>2710</v>
      </c>
      <c r="W69" s="30">
        <v>2012</v>
      </c>
      <c r="X69" t="s">
        <v>2739</v>
      </c>
      <c r="Y69" s="28">
        <v>41070</v>
      </c>
      <c r="Z69" s="28" t="str">
        <f t="shared" si="13"/>
        <v>ES-2012-SC208458-41070</v>
      </c>
    </row>
    <row r="70" spans="1:26" ht="15.75">
      <c r="A70" s="16" t="s">
        <v>568</v>
      </c>
      <c r="B70" s="4">
        <v>42329</v>
      </c>
      <c r="C70" s="4">
        <v>42329</v>
      </c>
      <c r="D70" s="5" t="s">
        <v>569</v>
      </c>
      <c r="E70" s="5" t="s">
        <v>570</v>
      </c>
      <c r="F70" s="5" t="s">
        <v>120</v>
      </c>
      <c r="G70" s="5" t="s">
        <v>17</v>
      </c>
      <c r="H70" s="5" t="s">
        <v>23</v>
      </c>
      <c r="I70" s="6">
        <v>1053.6884</v>
      </c>
      <c r="J70" s="5">
        <v>5</v>
      </c>
      <c r="K70" s="17">
        <v>2E-3</v>
      </c>
      <c r="L70" s="6">
        <v>441.28840000000002</v>
      </c>
      <c r="M70" s="5" t="s">
        <v>37</v>
      </c>
      <c r="N70" s="7" t="s">
        <v>2679</v>
      </c>
      <c r="O70" s="8" t="str">
        <f t="shared" si="7"/>
        <v>Tony Molinari</v>
      </c>
      <c r="P70" s="8" t="str">
        <f t="shared" si="8"/>
        <v>MX</v>
      </c>
      <c r="Q70" s="8" t="str">
        <f t="shared" si="9"/>
        <v>2015</v>
      </c>
      <c r="R70" s="8" t="str">
        <f t="shared" si="10"/>
        <v>HIGH</v>
      </c>
      <c r="S70" s="8" t="str">
        <f t="shared" si="11"/>
        <v>technology</v>
      </c>
      <c r="T70" s="18" t="str">
        <f t="shared" si="12"/>
        <v>42329</v>
      </c>
      <c r="U70" s="27" t="s">
        <v>2740</v>
      </c>
      <c r="V70" s="16" t="s">
        <v>2695</v>
      </c>
      <c r="W70" s="30">
        <v>2015</v>
      </c>
      <c r="X70" t="s">
        <v>2740</v>
      </c>
      <c r="Y70" s="28">
        <v>42329</v>
      </c>
      <c r="Z70" s="28" t="str">
        <f t="shared" si="13"/>
        <v>MX-2015-TM2149031-42329</v>
      </c>
    </row>
    <row r="71" spans="1:26" ht="15.75">
      <c r="A71" s="19" t="s">
        <v>576</v>
      </c>
      <c r="B71" s="9">
        <v>41976</v>
      </c>
      <c r="C71" s="9">
        <v>41977</v>
      </c>
      <c r="D71" s="10" t="s">
        <v>577</v>
      </c>
      <c r="E71" s="10" t="s">
        <v>97</v>
      </c>
      <c r="F71" s="10" t="s">
        <v>98</v>
      </c>
      <c r="G71" s="10" t="s">
        <v>17</v>
      </c>
      <c r="H71" s="10" t="s">
        <v>73</v>
      </c>
      <c r="I71" s="11">
        <v>1278</v>
      </c>
      <c r="J71" s="10">
        <v>3</v>
      </c>
      <c r="K71" s="20">
        <v>0</v>
      </c>
      <c r="L71" s="11">
        <v>89.46</v>
      </c>
      <c r="M71" s="10" t="s">
        <v>37</v>
      </c>
      <c r="N71" s="12" t="s">
        <v>2679</v>
      </c>
      <c r="O71" s="13" t="str">
        <f t="shared" si="7"/>
        <v>Bryan Mills</v>
      </c>
      <c r="P71" s="13" t="str">
        <f t="shared" si="8"/>
        <v>MX</v>
      </c>
      <c r="Q71" s="13" t="str">
        <f t="shared" si="9"/>
        <v>2014</v>
      </c>
      <c r="R71" s="13" t="str">
        <f t="shared" si="10"/>
        <v>HIGH</v>
      </c>
      <c r="S71" s="13" t="str">
        <f t="shared" si="11"/>
        <v>technology</v>
      </c>
      <c r="T71" s="21" t="str">
        <f t="shared" si="12"/>
        <v>41976</v>
      </c>
      <c r="U71" s="27" t="s">
        <v>2741</v>
      </c>
      <c r="V71" s="19" t="s">
        <v>2695</v>
      </c>
      <c r="W71" s="30">
        <v>2014</v>
      </c>
      <c r="X71" t="s">
        <v>2741</v>
      </c>
      <c r="Y71" s="28">
        <v>41976</v>
      </c>
      <c r="Z71" s="28" t="str">
        <f t="shared" si="13"/>
        <v>MX-2014-BM1178582-41976</v>
      </c>
    </row>
    <row r="72" spans="1:26" ht="15.75">
      <c r="A72" s="16" t="s">
        <v>582</v>
      </c>
      <c r="B72" s="4">
        <v>42264</v>
      </c>
      <c r="C72" s="4">
        <v>42266</v>
      </c>
      <c r="D72" s="5" t="s">
        <v>583</v>
      </c>
      <c r="E72" s="5" t="s">
        <v>40</v>
      </c>
      <c r="F72" s="5" t="s">
        <v>111</v>
      </c>
      <c r="G72" s="5" t="s">
        <v>45</v>
      </c>
      <c r="H72" s="5" t="s">
        <v>26</v>
      </c>
      <c r="I72" s="6">
        <v>538.19399999999996</v>
      </c>
      <c r="J72" s="5">
        <v>2</v>
      </c>
      <c r="K72" s="17">
        <v>0.7</v>
      </c>
      <c r="L72" s="6">
        <v>-412.615399999999</v>
      </c>
      <c r="M72" s="5" t="s">
        <v>27</v>
      </c>
      <c r="N72" s="7" t="s">
        <v>2679</v>
      </c>
      <c r="O72" s="8" t="str">
        <f t="shared" si="7"/>
        <v>Adam Shillingsburg</v>
      </c>
      <c r="P72" s="8" t="str">
        <f t="shared" si="8"/>
        <v>CA</v>
      </c>
      <c r="Q72" s="8" t="str">
        <f t="shared" si="9"/>
        <v>2015</v>
      </c>
      <c r="R72" s="8" t="str">
        <f t="shared" si="10"/>
        <v>CRITICAL</v>
      </c>
      <c r="S72" s="8" t="str">
        <f t="shared" si="11"/>
        <v>office supplies</v>
      </c>
      <c r="T72" s="18" t="str">
        <f t="shared" si="12"/>
        <v>42264</v>
      </c>
      <c r="U72" s="27" t="s">
        <v>2742</v>
      </c>
      <c r="V72" s="16" t="s">
        <v>2683</v>
      </c>
      <c r="W72" s="30">
        <v>2015</v>
      </c>
      <c r="X72" t="s">
        <v>2742</v>
      </c>
      <c r="Y72" s="28">
        <v>42264</v>
      </c>
      <c r="Z72" s="28" t="str">
        <f t="shared" si="13"/>
        <v>CA-2015-AS10090140-42264</v>
      </c>
    </row>
    <row r="73" spans="1:26" ht="15.75">
      <c r="A73" s="19" t="s">
        <v>597</v>
      </c>
      <c r="B73" s="9">
        <v>42245</v>
      </c>
      <c r="C73" s="9">
        <v>42249</v>
      </c>
      <c r="D73" s="10" t="s">
        <v>598</v>
      </c>
      <c r="E73" s="10" t="s">
        <v>97</v>
      </c>
      <c r="F73" s="10" t="s">
        <v>98</v>
      </c>
      <c r="G73" s="10" t="s">
        <v>17</v>
      </c>
      <c r="H73" s="10" t="s">
        <v>33</v>
      </c>
      <c r="I73" s="11">
        <v>2142.3000000000002</v>
      </c>
      <c r="J73" s="10">
        <v>5</v>
      </c>
      <c r="K73" s="20">
        <v>0</v>
      </c>
      <c r="L73" s="11">
        <v>556.9</v>
      </c>
      <c r="M73" s="10" t="s">
        <v>37</v>
      </c>
      <c r="N73" s="12" t="s">
        <v>2679</v>
      </c>
      <c r="O73" s="13" t="str">
        <f t="shared" si="7"/>
        <v>Chad Cunningham</v>
      </c>
      <c r="P73" s="13" t="str">
        <f t="shared" si="8"/>
        <v>MX</v>
      </c>
      <c r="Q73" s="13" t="str">
        <f t="shared" si="9"/>
        <v>2015</v>
      </c>
      <c r="R73" s="13" t="str">
        <f t="shared" si="10"/>
        <v>HIGH</v>
      </c>
      <c r="S73" s="13" t="str">
        <f t="shared" si="11"/>
        <v>technology</v>
      </c>
      <c r="T73" s="21" t="str">
        <f t="shared" si="12"/>
        <v>42245</v>
      </c>
      <c r="U73" s="27" t="s">
        <v>2743</v>
      </c>
      <c r="V73" s="19" t="s">
        <v>2695</v>
      </c>
      <c r="W73" s="30">
        <v>2015</v>
      </c>
      <c r="X73" t="s">
        <v>2743</v>
      </c>
      <c r="Y73" s="28">
        <v>42245</v>
      </c>
      <c r="Z73" s="28" t="str">
        <f t="shared" si="13"/>
        <v>MX-2015-CC1210082-42245</v>
      </c>
    </row>
    <row r="74" spans="1:26" ht="15.75">
      <c r="A74" s="16" t="s">
        <v>622</v>
      </c>
      <c r="B74" s="4">
        <v>42362</v>
      </c>
      <c r="C74" s="4">
        <v>42365</v>
      </c>
      <c r="D74" s="5" t="s">
        <v>623</v>
      </c>
      <c r="E74" s="5" t="s">
        <v>437</v>
      </c>
      <c r="F74" s="5" t="s">
        <v>438</v>
      </c>
      <c r="G74" s="5" t="s">
        <v>624</v>
      </c>
      <c r="H74" s="5" t="s">
        <v>44</v>
      </c>
      <c r="I74" s="6">
        <v>2550</v>
      </c>
      <c r="J74" s="5">
        <v>4</v>
      </c>
      <c r="K74" s="17">
        <v>0</v>
      </c>
      <c r="L74" s="6">
        <v>714</v>
      </c>
      <c r="M74" s="5" t="s">
        <v>19</v>
      </c>
      <c r="N74" s="7" t="s">
        <v>2679</v>
      </c>
      <c r="O74" s="8" t="str">
        <f t="shared" si="7"/>
        <v>Mike Vittorini</v>
      </c>
      <c r="P74" s="8" t="str">
        <f t="shared" si="8"/>
        <v>SF</v>
      </c>
      <c r="Q74" s="8" t="str">
        <f t="shared" si="9"/>
        <v>2015</v>
      </c>
      <c r="R74" s="8" t="str">
        <f t="shared" si="10"/>
        <v>MEDIUM</v>
      </c>
      <c r="S74" s="8" t="str">
        <f t="shared" si="11"/>
        <v xml:space="preserve"> technology </v>
      </c>
      <c r="T74" s="18" t="str">
        <f t="shared" si="12"/>
        <v>42362</v>
      </c>
      <c r="U74" s="27" t="s">
        <v>2744</v>
      </c>
      <c r="V74" s="16" t="s">
        <v>2731</v>
      </c>
      <c r="W74" s="30">
        <v>2015</v>
      </c>
      <c r="X74" t="s">
        <v>2744</v>
      </c>
      <c r="Y74" s="28">
        <v>42362</v>
      </c>
      <c r="Z74" s="28" t="str">
        <f t="shared" si="13"/>
        <v>SF-2015-MV8190117-42362</v>
      </c>
    </row>
    <row r="75" spans="1:26" ht="15.75">
      <c r="A75" s="19" t="s">
        <v>629</v>
      </c>
      <c r="B75" s="9">
        <v>42115</v>
      </c>
      <c r="C75" s="9">
        <v>42117</v>
      </c>
      <c r="D75" s="10" t="s">
        <v>630</v>
      </c>
      <c r="E75" s="10" t="s">
        <v>358</v>
      </c>
      <c r="F75" s="10" t="s">
        <v>98</v>
      </c>
      <c r="G75" s="10" t="s">
        <v>17</v>
      </c>
      <c r="H75" s="10" t="s">
        <v>23</v>
      </c>
      <c r="I75" s="11">
        <v>1058.2791999999999</v>
      </c>
      <c r="J75" s="10">
        <v>5</v>
      </c>
      <c r="K75" s="20">
        <v>2E-3</v>
      </c>
      <c r="L75" s="11">
        <v>-2.1208</v>
      </c>
      <c r="M75" s="10" t="s">
        <v>27</v>
      </c>
      <c r="N75" s="12" t="s">
        <v>2679</v>
      </c>
      <c r="O75" s="13" t="str">
        <f t="shared" si="7"/>
        <v>Filia Mcadams</v>
      </c>
      <c r="P75" s="13" t="str">
        <f t="shared" si="8"/>
        <v>US</v>
      </c>
      <c r="Q75" s="13" t="str">
        <f t="shared" si="9"/>
        <v>2015</v>
      </c>
      <c r="R75" s="13" t="str">
        <f t="shared" si="10"/>
        <v>CRITICAL</v>
      </c>
      <c r="S75" s="13" t="str">
        <f t="shared" si="11"/>
        <v>technology</v>
      </c>
      <c r="T75" s="21" t="str">
        <f t="shared" si="12"/>
        <v>42115</v>
      </c>
      <c r="U75" s="27" t="s">
        <v>2745</v>
      </c>
      <c r="V75" s="19" t="s">
        <v>2685</v>
      </c>
      <c r="W75" s="30">
        <v>2015</v>
      </c>
      <c r="X75" t="s">
        <v>2745</v>
      </c>
      <c r="Y75" s="28">
        <v>42115</v>
      </c>
      <c r="Z75" s="28" t="str">
        <f t="shared" si="13"/>
        <v>US-2015-FM1421551-42115</v>
      </c>
    </row>
    <row r="76" spans="1:26" ht="15.75">
      <c r="A76" s="16" t="s">
        <v>423</v>
      </c>
      <c r="B76" s="4">
        <v>42248</v>
      </c>
      <c r="C76" s="4">
        <v>42248</v>
      </c>
      <c r="D76" s="5" t="s">
        <v>424</v>
      </c>
      <c r="E76" s="5" t="s">
        <v>639</v>
      </c>
      <c r="F76" s="5" t="s">
        <v>71</v>
      </c>
      <c r="G76" s="5" t="s">
        <v>17</v>
      </c>
      <c r="H76" s="5" t="s">
        <v>299</v>
      </c>
      <c r="I76" s="6">
        <v>1599.9</v>
      </c>
      <c r="J76" s="5">
        <v>5</v>
      </c>
      <c r="K76" s="17">
        <v>0</v>
      </c>
      <c r="L76" s="6">
        <v>719.85</v>
      </c>
      <c r="M76" s="5" t="s">
        <v>27</v>
      </c>
      <c r="N76" s="7" t="s">
        <v>2679</v>
      </c>
      <c r="O76" s="8" t="str">
        <f t="shared" si="7"/>
        <v>Neil Franzã¶Sisch</v>
      </c>
      <c r="P76" s="8" t="str">
        <f t="shared" si="8"/>
        <v>ES</v>
      </c>
      <c r="Q76" s="8" t="str">
        <f t="shared" si="9"/>
        <v>2015</v>
      </c>
      <c r="R76" s="8" t="str">
        <f t="shared" si="10"/>
        <v>CRITICAL</v>
      </c>
      <c r="S76" s="8" t="str">
        <f t="shared" si="11"/>
        <v>technology</v>
      </c>
      <c r="T76" s="18" t="str">
        <f t="shared" si="12"/>
        <v>42248</v>
      </c>
      <c r="U76" s="27" t="s">
        <v>2719</v>
      </c>
      <c r="V76" s="16" t="s">
        <v>2710</v>
      </c>
      <c r="W76" s="30">
        <v>2015</v>
      </c>
      <c r="X76" t="s">
        <v>2719</v>
      </c>
      <c r="Y76" s="28">
        <v>42248</v>
      </c>
      <c r="Z76" s="28" t="str">
        <f t="shared" si="13"/>
        <v>ES-2015-NF1847548-42248</v>
      </c>
    </row>
    <row r="77" spans="1:26" ht="15.75">
      <c r="A77" s="19" t="s">
        <v>640</v>
      </c>
      <c r="B77" s="9">
        <v>42175</v>
      </c>
      <c r="C77" s="9">
        <v>42181</v>
      </c>
      <c r="D77" s="10" t="s">
        <v>641</v>
      </c>
      <c r="E77" s="10" t="s">
        <v>66</v>
      </c>
      <c r="F77" s="10" t="s">
        <v>90</v>
      </c>
      <c r="G77" s="10" t="s">
        <v>32</v>
      </c>
      <c r="H77" s="10" t="s">
        <v>73</v>
      </c>
      <c r="I77" s="11">
        <v>2063.4</v>
      </c>
      <c r="J77" s="10">
        <v>5</v>
      </c>
      <c r="K77" s="20">
        <v>0</v>
      </c>
      <c r="L77" s="11">
        <v>123.75</v>
      </c>
      <c r="M77" s="10" t="s">
        <v>74</v>
      </c>
      <c r="N77" s="12" t="s">
        <v>2679</v>
      </c>
      <c r="O77" s="13" t="str">
        <f t="shared" si="7"/>
        <v>Keith Dawkins</v>
      </c>
      <c r="P77" s="13" t="str">
        <f t="shared" si="8"/>
        <v>IN</v>
      </c>
      <c r="Q77" s="13" t="str">
        <f t="shared" si="9"/>
        <v>2015</v>
      </c>
      <c r="R77" s="13" t="str">
        <f t="shared" si="10"/>
        <v>LOW</v>
      </c>
      <c r="S77" s="13" t="str">
        <f t="shared" si="11"/>
        <v>furniture</v>
      </c>
      <c r="T77" s="21" t="str">
        <f t="shared" si="12"/>
        <v>42175</v>
      </c>
      <c r="U77" s="27" t="s">
        <v>2746</v>
      </c>
      <c r="V77" s="19" t="s">
        <v>2681</v>
      </c>
      <c r="W77" s="30">
        <v>2015</v>
      </c>
      <c r="X77" t="s">
        <v>2746</v>
      </c>
      <c r="Y77" s="28">
        <v>42175</v>
      </c>
      <c r="Z77" s="28" t="str">
        <f t="shared" si="13"/>
        <v>IN-2015-KD1649527-42175</v>
      </c>
    </row>
    <row r="78" spans="1:26" ht="15.75">
      <c r="A78" s="16" t="s">
        <v>532</v>
      </c>
      <c r="B78" s="4">
        <v>42259</v>
      </c>
      <c r="C78" s="4">
        <v>42261</v>
      </c>
      <c r="D78" s="5" t="s">
        <v>183</v>
      </c>
      <c r="E78" s="5" t="s">
        <v>211</v>
      </c>
      <c r="F78" s="5" t="s">
        <v>98</v>
      </c>
      <c r="G78" s="5" t="s">
        <v>17</v>
      </c>
      <c r="H78" s="5" t="s">
        <v>299</v>
      </c>
      <c r="I78" s="6">
        <v>848.32</v>
      </c>
      <c r="J78" s="5">
        <v>2</v>
      </c>
      <c r="K78" s="17">
        <v>0</v>
      </c>
      <c r="L78" s="6">
        <v>110.28</v>
      </c>
      <c r="M78" s="5" t="s">
        <v>27</v>
      </c>
      <c r="N78" s="7" t="s">
        <v>2679</v>
      </c>
      <c r="O78" s="8" t="str">
        <f t="shared" si="7"/>
        <v>Chuck Sachs</v>
      </c>
      <c r="P78" s="8" t="str">
        <f t="shared" si="8"/>
        <v>MX</v>
      </c>
      <c r="Q78" s="8" t="str">
        <f t="shared" si="9"/>
        <v>2015</v>
      </c>
      <c r="R78" s="8" t="str">
        <f t="shared" si="10"/>
        <v>CRITICAL</v>
      </c>
      <c r="S78" s="8" t="str">
        <f t="shared" si="11"/>
        <v>technology</v>
      </c>
      <c r="T78" s="18" t="str">
        <f t="shared" si="12"/>
        <v>42259</v>
      </c>
      <c r="U78" s="27" t="s">
        <v>2736</v>
      </c>
      <c r="V78" s="16" t="s">
        <v>2695</v>
      </c>
      <c r="W78" s="30">
        <v>2015</v>
      </c>
      <c r="X78" t="s">
        <v>2736</v>
      </c>
      <c r="Y78" s="28">
        <v>42259</v>
      </c>
      <c r="Z78" s="28" t="str">
        <f t="shared" si="13"/>
        <v>MX-2015-CS1246093-42259</v>
      </c>
    </row>
    <row r="79" spans="1:26" ht="15.75">
      <c r="A79" s="19" t="s">
        <v>582</v>
      </c>
      <c r="B79" s="9">
        <v>42264</v>
      </c>
      <c r="C79" s="10" t="s">
        <v>652</v>
      </c>
      <c r="D79" s="10" t="s">
        <v>583</v>
      </c>
      <c r="E79" s="10" t="s">
        <v>653</v>
      </c>
      <c r="F79" s="10" t="s">
        <v>111</v>
      </c>
      <c r="G79" s="10" t="s">
        <v>32</v>
      </c>
      <c r="H79" s="10" t="s">
        <v>23</v>
      </c>
      <c r="I79" s="11">
        <v>22.512</v>
      </c>
      <c r="J79" s="10">
        <v>3</v>
      </c>
      <c r="K79" s="20">
        <v>0.2</v>
      </c>
      <c r="L79" s="11">
        <v>2.2511999999999999</v>
      </c>
      <c r="M79" s="10" t="s">
        <v>27</v>
      </c>
      <c r="N79" s="12" t="s">
        <v>2679</v>
      </c>
      <c r="O79" s="13" t="str">
        <f t="shared" si="7"/>
        <v>Adam Shillingsburg</v>
      </c>
      <c r="P79" s="13" t="str">
        <f t="shared" si="8"/>
        <v>CA</v>
      </c>
      <c r="Q79" s="13" t="str">
        <f t="shared" si="9"/>
        <v>2015</v>
      </c>
      <c r="R79" s="13" t="str">
        <f t="shared" si="10"/>
        <v>CRITICAL</v>
      </c>
      <c r="S79" s="13" t="str">
        <f t="shared" si="11"/>
        <v>furniture</v>
      </c>
      <c r="T79" s="21" t="str">
        <f t="shared" si="12"/>
        <v>42264</v>
      </c>
      <c r="U79" s="27" t="s">
        <v>2742</v>
      </c>
      <c r="V79" s="19" t="s">
        <v>2683</v>
      </c>
      <c r="W79" s="30">
        <v>2015</v>
      </c>
      <c r="X79" t="s">
        <v>2742</v>
      </c>
      <c r="Y79" s="28">
        <v>42264</v>
      </c>
      <c r="Z79" s="28" t="str">
        <f t="shared" si="13"/>
        <v>CA-2015-AS10090140-42264</v>
      </c>
    </row>
    <row r="80" spans="1:26" ht="15.75">
      <c r="A80" s="16" t="s">
        <v>661</v>
      </c>
      <c r="B80" s="4">
        <v>41850</v>
      </c>
      <c r="C80" s="4">
        <v>41850</v>
      </c>
      <c r="D80" s="5" t="s">
        <v>662</v>
      </c>
      <c r="E80" s="5" t="s">
        <v>554</v>
      </c>
      <c r="F80" s="5" t="s">
        <v>90</v>
      </c>
      <c r="G80" s="5" t="s">
        <v>223</v>
      </c>
      <c r="H80" s="5" t="s">
        <v>151</v>
      </c>
      <c r="I80" s="6">
        <v>959.76</v>
      </c>
      <c r="J80" s="5">
        <v>3</v>
      </c>
      <c r="K80" s="17">
        <v>0</v>
      </c>
      <c r="L80" s="6">
        <v>460.62</v>
      </c>
      <c r="M80" s="5" t="s">
        <v>27</v>
      </c>
      <c r="N80" s="7" t="s">
        <v>2679</v>
      </c>
      <c r="O80" s="8" t="str">
        <f t="shared" si="7"/>
        <v>Elizabeth Moffitt</v>
      </c>
      <c r="P80" s="8" t="str">
        <f t="shared" si="8"/>
        <v>IN</v>
      </c>
      <c r="Q80" s="8" t="str">
        <f t="shared" si="9"/>
        <v>2014</v>
      </c>
      <c r="R80" s="8" t="str">
        <f t="shared" si="10"/>
        <v>CRITICAL</v>
      </c>
      <c r="S80" s="8" t="str">
        <f t="shared" si="11"/>
        <v>technology#</v>
      </c>
      <c r="T80" s="18" t="str">
        <f t="shared" si="12"/>
        <v>41850</v>
      </c>
      <c r="U80" s="27" t="s">
        <v>2747</v>
      </c>
      <c r="V80" s="16" t="s">
        <v>2681</v>
      </c>
      <c r="W80" s="30">
        <v>2014</v>
      </c>
      <c r="X80" t="s">
        <v>2747</v>
      </c>
      <c r="Y80" s="28">
        <v>41850</v>
      </c>
      <c r="Z80" s="28" t="str">
        <f t="shared" si="13"/>
        <v>IN-2014-EM1382566-41850</v>
      </c>
    </row>
    <row r="81" spans="1:26" ht="15.75">
      <c r="A81" s="19" t="s">
        <v>663</v>
      </c>
      <c r="B81" s="9">
        <v>42341</v>
      </c>
      <c r="C81" s="15">
        <v>42344</v>
      </c>
      <c r="D81" s="10" t="s">
        <v>583</v>
      </c>
      <c r="E81" s="10" t="s">
        <v>40</v>
      </c>
      <c r="F81" s="10" t="s">
        <v>664</v>
      </c>
      <c r="G81" s="10" t="s">
        <v>45</v>
      </c>
      <c r="H81" s="10" t="s">
        <v>33</v>
      </c>
      <c r="I81" s="11">
        <v>34.65</v>
      </c>
      <c r="J81" s="10">
        <v>3</v>
      </c>
      <c r="K81" s="20">
        <v>0</v>
      </c>
      <c r="L81" s="11">
        <v>72.253413101131102</v>
      </c>
      <c r="M81" s="10" t="s">
        <v>19</v>
      </c>
      <c r="N81" s="12" t="s">
        <v>2679</v>
      </c>
      <c r="O81" s="13" t="str">
        <f t="shared" si="7"/>
        <v>Adam Shillingsburg</v>
      </c>
      <c r="P81" s="13" t="str">
        <f t="shared" si="8"/>
        <v>US</v>
      </c>
      <c r="Q81" s="13" t="str">
        <f t="shared" si="9"/>
        <v>2015</v>
      </c>
      <c r="R81" s="13" t="str">
        <f t="shared" si="10"/>
        <v>MEDIUM</v>
      </c>
      <c r="S81" s="13" t="str">
        <f t="shared" si="11"/>
        <v>office supplies</v>
      </c>
      <c r="T81" s="21" t="str">
        <f t="shared" si="12"/>
        <v>42341</v>
      </c>
      <c r="U81" s="27" t="s">
        <v>2742</v>
      </c>
      <c r="V81" s="19" t="s">
        <v>2685</v>
      </c>
      <c r="W81" s="30">
        <v>2015</v>
      </c>
      <c r="X81" t="s">
        <v>2742</v>
      </c>
      <c r="Y81" s="28">
        <v>42341</v>
      </c>
      <c r="Z81" s="28" t="str">
        <f t="shared" si="13"/>
        <v>US-2015-AS10090140-42341</v>
      </c>
    </row>
    <row r="82" spans="1:26" ht="15.75">
      <c r="A82" s="16" t="s">
        <v>674</v>
      </c>
      <c r="B82" s="4">
        <v>42223</v>
      </c>
      <c r="C82" s="4">
        <v>42225</v>
      </c>
      <c r="D82" s="5" t="s">
        <v>675</v>
      </c>
      <c r="E82" s="5" t="s">
        <v>70</v>
      </c>
      <c r="F82" s="5" t="s">
        <v>71</v>
      </c>
      <c r="G82" s="5" t="s">
        <v>17</v>
      </c>
      <c r="H82" s="5" t="s">
        <v>151</v>
      </c>
      <c r="I82" s="6">
        <v>1625.2425000000001</v>
      </c>
      <c r="J82" s="5">
        <v>3</v>
      </c>
      <c r="K82" s="17">
        <v>0.15</v>
      </c>
      <c r="L82" s="6">
        <v>-76.567499999999995</v>
      </c>
      <c r="M82" s="5" t="s">
        <v>27</v>
      </c>
      <c r="N82" s="7" t="s">
        <v>2679</v>
      </c>
      <c r="O82" s="8" t="str">
        <f t="shared" si="7"/>
        <v>Christine Abelman</v>
      </c>
      <c r="P82" s="8" t="str">
        <f t="shared" si="8"/>
        <v>IT</v>
      </c>
      <c r="Q82" s="8" t="str">
        <f t="shared" si="9"/>
        <v>2015</v>
      </c>
      <c r="R82" s="8" t="str">
        <f t="shared" si="10"/>
        <v>CRITICAL</v>
      </c>
      <c r="S82" s="8" t="str">
        <f t="shared" si="11"/>
        <v>technology</v>
      </c>
      <c r="T82" s="18" t="str">
        <f t="shared" si="12"/>
        <v>42223</v>
      </c>
      <c r="U82" s="27" t="s">
        <v>2748</v>
      </c>
      <c r="V82" s="16" t="s">
        <v>2690</v>
      </c>
      <c r="W82" s="30">
        <v>2015</v>
      </c>
      <c r="X82" t="s">
        <v>2748</v>
      </c>
      <c r="Y82" s="28">
        <v>42223</v>
      </c>
      <c r="Z82" s="28" t="str">
        <f t="shared" si="13"/>
        <v>IT-2015-CA1231045-42223</v>
      </c>
    </row>
    <row r="83" spans="1:26" ht="15.75">
      <c r="A83" s="19" t="s">
        <v>646</v>
      </c>
      <c r="B83" s="9">
        <v>42039</v>
      </c>
      <c r="C83" s="9">
        <v>42099</v>
      </c>
      <c r="D83" s="10" t="s">
        <v>583</v>
      </c>
      <c r="E83" s="10" t="s">
        <v>40</v>
      </c>
      <c r="F83" s="10" t="s">
        <v>41</v>
      </c>
      <c r="G83" s="10" t="s">
        <v>45</v>
      </c>
      <c r="H83" s="10" t="s">
        <v>299</v>
      </c>
      <c r="I83" s="11">
        <v>28.4</v>
      </c>
      <c r="J83" s="10">
        <v>5</v>
      </c>
      <c r="K83" s="20">
        <v>0</v>
      </c>
      <c r="L83" s="11">
        <v>13.3479999999999</v>
      </c>
      <c r="M83" s="10" t="s">
        <v>37</v>
      </c>
      <c r="N83" s="12" t="s">
        <v>2679</v>
      </c>
      <c r="O83" s="13" t="str">
        <f t="shared" si="7"/>
        <v>Adam Shillingsburg</v>
      </c>
      <c r="P83" s="13" t="str">
        <f t="shared" si="8"/>
        <v>CA</v>
      </c>
      <c r="Q83" s="13" t="str">
        <f t="shared" si="9"/>
        <v>2015</v>
      </c>
      <c r="R83" s="13" t="str">
        <f t="shared" si="10"/>
        <v>HIGH</v>
      </c>
      <c r="S83" s="13" t="str">
        <f t="shared" si="11"/>
        <v>office supplies</v>
      </c>
      <c r="T83" s="21" t="str">
        <f t="shared" si="12"/>
        <v>42096</v>
      </c>
      <c r="U83" s="27" t="s">
        <v>2742</v>
      </c>
      <c r="V83" s="19" t="s">
        <v>2683</v>
      </c>
      <c r="W83" s="30">
        <v>2015</v>
      </c>
      <c r="X83" t="s">
        <v>2742</v>
      </c>
      <c r="Y83" s="28">
        <v>42096</v>
      </c>
      <c r="Z83" s="28" t="str">
        <f t="shared" si="13"/>
        <v>CA-2015-AS10090140-42096</v>
      </c>
    </row>
    <row r="84" spans="1:26" ht="15.75">
      <c r="A84" s="16" t="s">
        <v>679</v>
      </c>
      <c r="B84" s="4">
        <v>41266</v>
      </c>
      <c r="C84" s="4">
        <v>41268</v>
      </c>
      <c r="D84" s="5" t="s">
        <v>583</v>
      </c>
      <c r="E84" s="5" t="s">
        <v>40</v>
      </c>
      <c r="F84" s="5" t="s">
        <v>43</v>
      </c>
      <c r="G84" s="5" t="s">
        <v>45</v>
      </c>
      <c r="H84" s="5" t="s">
        <v>18</v>
      </c>
      <c r="I84" s="6">
        <v>13.97</v>
      </c>
      <c r="J84" s="5">
        <v>1</v>
      </c>
      <c r="K84" s="17">
        <v>0</v>
      </c>
      <c r="L84" s="6">
        <v>3.6322000000000001</v>
      </c>
      <c r="M84" s="5" t="s">
        <v>37</v>
      </c>
      <c r="N84" s="7" t="s">
        <v>2679</v>
      </c>
      <c r="O84" s="8" t="str">
        <f t="shared" si="7"/>
        <v>Adam Shillingsburg</v>
      </c>
      <c r="P84" s="8" t="str">
        <f t="shared" si="8"/>
        <v>CA</v>
      </c>
      <c r="Q84" s="8" t="str">
        <f t="shared" si="9"/>
        <v>2012</v>
      </c>
      <c r="R84" s="8" t="str">
        <f t="shared" si="10"/>
        <v>HIGH</v>
      </c>
      <c r="S84" s="8" t="str">
        <f t="shared" si="11"/>
        <v>office supplies</v>
      </c>
      <c r="T84" s="18" t="str">
        <f t="shared" si="12"/>
        <v>41266</v>
      </c>
      <c r="U84" s="27" t="s">
        <v>2742</v>
      </c>
      <c r="V84" s="16" t="s">
        <v>2683</v>
      </c>
      <c r="W84" s="30">
        <v>2012</v>
      </c>
      <c r="X84" t="s">
        <v>2742</v>
      </c>
      <c r="Y84" s="28">
        <v>41266</v>
      </c>
      <c r="Z84" s="28" t="str">
        <f t="shared" si="13"/>
        <v>CA-2012-AS10090140-41266</v>
      </c>
    </row>
    <row r="85" spans="1:26" ht="15.75">
      <c r="A85" s="19" t="s">
        <v>586</v>
      </c>
      <c r="B85" s="9">
        <v>41587</v>
      </c>
      <c r="C85" s="9">
        <v>41591</v>
      </c>
      <c r="D85" s="10" t="s">
        <v>583</v>
      </c>
      <c r="E85" s="10" t="s">
        <v>40</v>
      </c>
      <c r="F85" s="10" t="s">
        <v>683</v>
      </c>
      <c r="G85" s="10" t="s">
        <v>45</v>
      </c>
      <c r="H85" s="10" t="s">
        <v>44</v>
      </c>
      <c r="I85" s="11">
        <v>26.22</v>
      </c>
      <c r="J85" s="10">
        <v>3</v>
      </c>
      <c r="K85" s="20">
        <v>0</v>
      </c>
      <c r="L85" s="11">
        <v>12.323399999999999</v>
      </c>
      <c r="M85" s="10" t="s">
        <v>19</v>
      </c>
      <c r="N85" s="12" t="s">
        <v>2679</v>
      </c>
      <c r="O85" s="13" t="str">
        <f t="shared" si="7"/>
        <v>Adam Shillingsburg</v>
      </c>
      <c r="P85" s="13" t="str">
        <f t="shared" si="8"/>
        <v>CA</v>
      </c>
      <c r="Q85" s="13" t="str">
        <f t="shared" si="9"/>
        <v>2013</v>
      </c>
      <c r="R85" s="13" t="str">
        <f t="shared" si="10"/>
        <v>MEDIUM</v>
      </c>
      <c r="S85" s="13" t="str">
        <f t="shared" si="11"/>
        <v>office supplies</v>
      </c>
      <c r="T85" s="21" t="str">
        <f t="shared" si="12"/>
        <v>41587</v>
      </c>
      <c r="U85" s="27" t="s">
        <v>2742</v>
      </c>
      <c r="V85" s="19" t="s">
        <v>2683</v>
      </c>
      <c r="W85" s="30">
        <v>2013</v>
      </c>
      <c r="X85" t="s">
        <v>2742</v>
      </c>
      <c r="Y85" s="28">
        <v>41587</v>
      </c>
      <c r="Z85" s="28" t="str">
        <f t="shared" si="13"/>
        <v>CA-2013-AS10090140-41587</v>
      </c>
    </row>
    <row r="86" spans="1:26" ht="15.75">
      <c r="A86" s="16" t="s">
        <v>589</v>
      </c>
      <c r="B86" s="4">
        <v>41812</v>
      </c>
      <c r="C86" s="4">
        <v>41817</v>
      </c>
      <c r="D86" s="5" t="s">
        <v>583</v>
      </c>
      <c r="E86" s="5" t="s">
        <v>40</v>
      </c>
      <c r="F86" s="5" t="s">
        <v>111</v>
      </c>
      <c r="G86" s="5" t="s">
        <v>45</v>
      </c>
      <c r="H86" s="5" t="s">
        <v>151</v>
      </c>
      <c r="I86" s="6">
        <v>36.56</v>
      </c>
      <c r="J86" s="5">
        <v>5</v>
      </c>
      <c r="K86" s="17">
        <v>0.2</v>
      </c>
      <c r="L86" s="6">
        <v>12.795999999999999</v>
      </c>
      <c r="M86" s="5" t="s">
        <v>37</v>
      </c>
      <c r="N86" s="7" t="s">
        <v>2679</v>
      </c>
      <c r="O86" s="8" t="str">
        <f t="shared" si="7"/>
        <v>Adam Shillingsburg</v>
      </c>
      <c r="P86" s="8" t="str">
        <f t="shared" si="8"/>
        <v>CA</v>
      </c>
      <c r="Q86" s="8" t="str">
        <f t="shared" si="9"/>
        <v>2014</v>
      </c>
      <c r="R86" s="8" t="str">
        <f t="shared" si="10"/>
        <v>HIGH</v>
      </c>
      <c r="S86" s="8" t="str">
        <f t="shared" si="11"/>
        <v>office supplies</v>
      </c>
      <c r="T86" s="18" t="str">
        <f t="shared" si="12"/>
        <v>41812</v>
      </c>
      <c r="U86" s="27" t="s">
        <v>2742</v>
      </c>
      <c r="V86" s="16" t="s">
        <v>2683</v>
      </c>
      <c r="W86" s="30">
        <v>2014</v>
      </c>
      <c r="X86" t="s">
        <v>2742</v>
      </c>
      <c r="Y86" s="28">
        <v>41812</v>
      </c>
      <c r="Z86" s="28" t="str">
        <f t="shared" si="13"/>
        <v>CA-2014-AS10090140-41812</v>
      </c>
    </row>
    <row r="87" spans="1:26" ht="15.75">
      <c r="A87" s="19" t="s">
        <v>685</v>
      </c>
      <c r="B87" s="9">
        <v>41762</v>
      </c>
      <c r="C87" s="9">
        <v>41766</v>
      </c>
      <c r="D87" s="10" t="s">
        <v>583</v>
      </c>
      <c r="E87" s="10" t="s">
        <v>40</v>
      </c>
      <c r="F87" s="10" t="s">
        <v>41</v>
      </c>
      <c r="G87" s="10" t="s">
        <v>45</v>
      </c>
      <c r="H87" s="10" t="s">
        <v>73</v>
      </c>
      <c r="I87" s="11">
        <v>18.936</v>
      </c>
      <c r="J87" s="10">
        <v>3</v>
      </c>
      <c r="K87" s="20">
        <v>0.2</v>
      </c>
      <c r="L87" s="11">
        <v>-3.7871999999999999</v>
      </c>
      <c r="M87" s="10" t="s">
        <v>19</v>
      </c>
      <c r="N87" s="12" t="s">
        <v>2679</v>
      </c>
      <c r="O87" s="13" t="str">
        <f t="shared" si="7"/>
        <v>Adam Shillingsburg</v>
      </c>
      <c r="P87" s="13" t="str">
        <f t="shared" si="8"/>
        <v>CA</v>
      </c>
      <c r="Q87" s="13" t="str">
        <f t="shared" si="9"/>
        <v>2014</v>
      </c>
      <c r="R87" s="13" t="str">
        <f t="shared" si="10"/>
        <v>MEDIUM</v>
      </c>
      <c r="S87" s="13" t="str">
        <f t="shared" si="11"/>
        <v>office supplies</v>
      </c>
      <c r="T87" s="21" t="str">
        <f t="shared" si="12"/>
        <v>41762</v>
      </c>
      <c r="U87" s="27" t="s">
        <v>2742</v>
      </c>
      <c r="V87" s="19" t="s">
        <v>2683</v>
      </c>
      <c r="W87" s="30">
        <v>2014</v>
      </c>
      <c r="X87" t="s">
        <v>2742</v>
      </c>
      <c r="Y87" s="28">
        <v>41762</v>
      </c>
      <c r="Z87" s="28" t="str">
        <f t="shared" si="13"/>
        <v>CA-2014-AS10090140-41762</v>
      </c>
    </row>
    <row r="88" spans="1:26" ht="15.75">
      <c r="A88" s="16" t="s">
        <v>690</v>
      </c>
      <c r="B88" s="14">
        <v>41691</v>
      </c>
      <c r="C88" s="4">
        <v>41692</v>
      </c>
      <c r="D88" s="5" t="s">
        <v>691</v>
      </c>
      <c r="E88" s="5" t="s">
        <v>15</v>
      </c>
      <c r="F88" s="5" t="s">
        <v>16</v>
      </c>
      <c r="G88" s="5" t="s">
        <v>32</v>
      </c>
      <c r="H88" s="5" t="s">
        <v>127</v>
      </c>
      <c r="I88" s="6">
        <v>1809.2550000000001</v>
      </c>
      <c r="J88" s="5">
        <v>5</v>
      </c>
      <c r="K88" s="17">
        <v>0.3</v>
      </c>
      <c r="L88" s="6">
        <v>-258.495</v>
      </c>
      <c r="M88" s="5" t="s">
        <v>37</v>
      </c>
      <c r="N88" s="7" t="s">
        <v>2679</v>
      </c>
      <c r="O88" s="8" t="str">
        <f t="shared" si="7"/>
        <v>Pete Kriz</v>
      </c>
      <c r="P88" s="8" t="str">
        <f t="shared" si="8"/>
        <v>ID</v>
      </c>
      <c r="Q88" s="8" t="str">
        <f t="shared" si="9"/>
        <v>2014</v>
      </c>
      <c r="R88" s="8" t="str">
        <f t="shared" si="10"/>
        <v>HIGH</v>
      </c>
      <c r="S88" s="8" t="str">
        <f t="shared" si="11"/>
        <v>furniture</v>
      </c>
      <c r="T88" s="18" t="str">
        <f t="shared" si="12"/>
        <v>41691</v>
      </c>
      <c r="U88" s="27" t="s">
        <v>2749</v>
      </c>
      <c r="V88" s="16" t="s">
        <v>2705</v>
      </c>
      <c r="W88" s="30">
        <v>2014</v>
      </c>
      <c r="X88" t="s">
        <v>2749</v>
      </c>
      <c r="Y88" s="28">
        <v>41691</v>
      </c>
      <c r="Z88" s="28" t="str">
        <f t="shared" si="13"/>
        <v>ID-2014-PK190757-41691</v>
      </c>
    </row>
    <row r="89" spans="1:26" ht="15.75">
      <c r="A89" s="19" t="s">
        <v>693</v>
      </c>
      <c r="B89" s="9">
        <v>41894</v>
      </c>
      <c r="C89" s="9">
        <v>41899</v>
      </c>
      <c r="D89" s="10" t="s">
        <v>583</v>
      </c>
      <c r="E89" s="10" t="s">
        <v>40</v>
      </c>
      <c r="F89" s="10" t="s">
        <v>41</v>
      </c>
      <c r="G89" s="10" t="s">
        <v>45</v>
      </c>
      <c r="H89" s="10" t="s">
        <v>44</v>
      </c>
      <c r="I89" s="11">
        <v>6</v>
      </c>
      <c r="J89" s="10">
        <v>2</v>
      </c>
      <c r="K89" s="20">
        <v>0.2</v>
      </c>
      <c r="L89" s="11">
        <v>2.0999999999999899</v>
      </c>
      <c r="M89" s="10" t="s">
        <v>37</v>
      </c>
      <c r="N89" s="12" t="s">
        <v>2679</v>
      </c>
      <c r="O89" s="13" t="str">
        <f t="shared" si="7"/>
        <v>Adam Shillingsburg</v>
      </c>
      <c r="P89" s="13" t="str">
        <f t="shared" si="8"/>
        <v>CA</v>
      </c>
      <c r="Q89" s="13" t="str">
        <f t="shared" si="9"/>
        <v>2014</v>
      </c>
      <c r="R89" s="13" t="str">
        <f t="shared" si="10"/>
        <v>HIGH</v>
      </c>
      <c r="S89" s="13" t="str">
        <f t="shared" si="11"/>
        <v>office supplies</v>
      </c>
      <c r="T89" s="21" t="str">
        <f t="shared" si="12"/>
        <v>41894</v>
      </c>
      <c r="U89" s="27" t="s">
        <v>2742</v>
      </c>
      <c r="V89" s="19" t="s">
        <v>2683</v>
      </c>
      <c r="W89" s="30">
        <v>2014</v>
      </c>
      <c r="X89" t="s">
        <v>2742</v>
      </c>
      <c r="Y89" s="28">
        <v>41894</v>
      </c>
      <c r="Z89" s="28" t="str">
        <f t="shared" si="13"/>
        <v>CA-2014-AS10090140-41894</v>
      </c>
    </row>
    <row r="90" spans="1:26" ht="15.75">
      <c r="A90" s="16" t="s">
        <v>696</v>
      </c>
      <c r="B90" s="4">
        <v>41443</v>
      </c>
      <c r="C90" s="4">
        <v>41445</v>
      </c>
      <c r="D90" s="5" t="s">
        <v>697</v>
      </c>
      <c r="E90" s="5" t="s">
        <v>70</v>
      </c>
      <c r="F90" s="5" t="s">
        <v>71</v>
      </c>
      <c r="G90" s="5" t="s">
        <v>32</v>
      </c>
      <c r="H90" s="5" t="s">
        <v>26</v>
      </c>
      <c r="I90" s="6">
        <v>2364.1019999999999</v>
      </c>
      <c r="J90" s="5">
        <v>4</v>
      </c>
      <c r="K90" s="17">
        <v>0.35</v>
      </c>
      <c r="L90" s="6">
        <v>-218.29799999999901</v>
      </c>
      <c r="M90" s="5" t="s">
        <v>19</v>
      </c>
      <c r="N90" s="7" t="s">
        <v>2679</v>
      </c>
      <c r="O90" s="8" t="str">
        <f t="shared" si="7"/>
        <v>Shirley Jackson</v>
      </c>
      <c r="P90" s="8" t="str">
        <f t="shared" si="8"/>
        <v>ES</v>
      </c>
      <c r="Q90" s="8" t="str">
        <f t="shared" si="9"/>
        <v>2013</v>
      </c>
      <c r="R90" s="8" t="str">
        <f t="shared" si="10"/>
        <v>MEDIUM</v>
      </c>
      <c r="S90" s="8" t="str">
        <f t="shared" si="11"/>
        <v>furniture</v>
      </c>
      <c r="T90" s="18" t="str">
        <f t="shared" si="12"/>
        <v>41443</v>
      </c>
      <c r="U90" s="27" t="s">
        <v>2750</v>
      </c>
      <c r="V90" s="16" t="s">
        <v>2710</v>
      </c>
      <c r="W90" s="30">
        <v>2013</v>
      </c>
      <c r="X90" t="s">
        <v>2750</v>
      </c>
      <c r="Y90" s="28">
        <v>41443</v>
      </c>
      <c r="Z90" s="28" t="str">
        <f t="shared" si="13"/>
        <v>ES-2013-SJ2050045-41443</v>
      </c>
    </row>
    <row r="91" spans="1:26" ht="15.75">
      <c r="A91" s="19" t="s">
        <v>685</v>
      </c>
      <c r="B91" s="9">
        <v>41762</v>
      </c>
      <c r="C91" s="9">
        <v>41766</v>
      </c>
      <c r="D91" s="10" t="s">
        <v>583</v>
      </c>
      <c r="E91" s="10" t="s">
        <v>40</v>
      </c>
      <c r="F91" s="10" t="s">
        <v>41</v>
      </c>
      <c r="G91" s="10" t="s">
        <v>45</v>
      </c>
      <c r="H91" s="10" t="s">
        <v>33</v>
      </c>
      <c r="I91" s="11">
        <v>5.04</v>
      </c>
      <c r="J91" s="10">
        <v>2</v>
      </c>
      <c r="K91" s="20">
        <v>0.2</v>
      </c>
      <c r="L91" s="11">
        <v>1.764</v>
      </c>
      <c r="M91" s="10" t="s">
        <v>19</v>
      </c>
      <c r="N91" s="12" t="s">
        <v>2679</v>
      </c>
      <c r="O91" s="13" t="str">
        <f t="shared" si="7"/>
        <v>Adam Shillingsburg</v>
      </c>
      <c r="P91" s="13" t="str">
        <f t="shared" si="8"/>
        <v>CA</v>
      </c>
      <c r="Q91" s="13" t="str">
        <f t="shared" si="9"/>
        <v>2014</v>
      </c>
      <c r="R91" s="13" t="str">
        <f t="shared" si="10"/>
        <v>MEDIUM</v>
      </c>
      <c r="S91" s="13" t="str">
        <f t="shared" si="11"/>
        <v>office supplies</v>
      </c>
      <c r="T91" s="21" t="str">
        <f t="shared" si="12"/>
        <v>41762</v>
      </c>
      <c r="U91" s="27" t="s">
        <v>2742</v>
      </c>
      <c r="V91" s="19" t="s">
        <v>2683</v>
      </c>
      <c r="W91" s="30">
        <v>2014</v>
      </c>
      <c r="X91" t="s">
        <v>2742</v>
      </c>
      <c r="Y91" s="28">
        <v>41762</v>
      </c>
      <c r="Z91" s="28" t="str">
        <f t="shared" si="13"/>
        <v>CA-2014-AS10090140-41762</v>
      </c>
    </row>
    <row r="92" spans="1:26" ht="15.75">
      <c r="A92" s="16" t="s">
        <v>582</v>
      </c>
      <c r="B92" s="4">
        <v>42264</v>
      </c>
      <c r="C92" s="4">
        <v>42266</v>
      </c>
      <c r="D92" s="5" t="s">
        <v>583</v>
      </c>
      <c r="E92" s="5" t="s">
        <v>40</v>
      </c>
      <c r="F92" s="5" t="s">
        <v>111</v>
      </c>
      <c r="G92" s="5" t="s">
        <v>45</v>
      </c>
      <c r="H92" s="5" t="s">
        <v>73</v>
      </c>
      <c r="I92" s="6">
        <v>3.444</v>
      </c>
      <c r="J92" s="5">
        <v>2</v>
      </c>
      <c r="K92" s="17">
        <v>0.7</v>
      </c>
      <c r="L92" s="6">
        <v>-2.7551999999999901</v>
      </c>
      <c r="M92" s="5" t="s">
        <v>27</v>
      </c>
      <c r="N92" s="7" t="s">
        <v>2679</v>
      </c>
      <c r="O92" s="8" t="str">
        <f t="shared" si="7"/>
        <v>Adam Shillingsburg</v>
      </c>
      <c r="P92" s="8" t="str">
        <f t="shared" si="8"/>
        <v>CA</v>
      </c>
      <c r="Q92" s="8" t="str">
        <f t="shared" si="9"/>
        <v>2015</v>
      </c>
      <c r="R92" s="8" t="str">
        <f t="shared" si="10"/>
        <v>CRITICAL</v>
      </c>
      <c r="S92" s="8" t="str">
        <f t="shared" si="11"/>
        <v>office supplies</v>
      </c>
      <c r="T92" s="18" t="str">
        <f t="shared" si="12"/>
        <v>42264</v>
      </c>
      <c r="U92" s="27" t="s">
        <v>2742</v>
      </c>
      <c r="V92" s="16" t="s">
        <v>2683</v>
      </c>
      <c r="W92" s="30">
        <v>2015</v>
      </c>
      <c r="X92" t="s">
        <v>2742</v>
      </c>
      <c r="Y92" s="28">
        <v>42264</v>
      </c>
      <c r="Z92" s="28" t="str">
        <f t="shared" si="13"/>
        <v>CA-2015-AS10090140-42264</v>
      </c>
    </row>
    <row r="93" spans="1:26" ht="15.75">
      <c r="A93" s="19" t="s">
        <v>586</v>
      </c>
      <c r="B93" s="9">
        <v>41587</v>
      </c>
      <c r="C93" s="9">
        <v>41591</v>
      </c>
      <c r="D93" s="10" t="s">
        <v>583</v>
      </c>
      <c r="E93" s="10" t="s">
        <v>40</v>
      </c>
      <c r="F93" s="10" t="s">
        <v>41</v>
      </c>
      <c r="G93" s="10" t="s">
        <v>45</v>
      </c>
      <c r="H93" s="10" t="s">
        <v>33</v>
      </c>
      <c r="I93" s="11">
        <v>17.22</v>
      </c>
      <c r="J93" s="10">
        <v>3</v>
      </c>
      <c r="K93" s="20">
        <v>0</v>
      </c>
      <c r="L93" s="11">
        <v>7.9211999999999998</v>
      </c>
      <c r="M93" s="10" t="s">
        <v>19</v>
      </c>
      <c r="N93" s="12" t="s">
        <v>2679</v>
      </c>
      <c r="O93" s="13" t="str">
        <f t="shared" si="7"/>
        <v>Adam Shillingsburg</v>
      </c>
      <c r="P93" s="13" t="str">
        <f t="shared" si="8"/>
        <v>CA</v>
      </c>
      <c r="Q93" s="13" t="str">
        <f t="shared" si="9"/>
        <v>2013</v>
      </c>
      <c r="R93" s="13" t="str">
        <f t="shared" si="10"/>
        <v>MEDIUM</v>
      </c>
      <c r="S93" s="13" t="str">
        <f t="shared" si="11"/>
        <v>office supplies</v>
      </c>
      <c r="T93" s="21" t="str">
        <f t="shared" si="12"/>
        <v>41587</v>
      </c>
      <c r="U93" s="27" t="s">
        <v>2742</v>
      </c>
      <c r="V93" s="19" t="s">
        <v>2683</v>
      </c>
      <c r="W93" s="30">
        <v>2013</v>
      </c>
      <c r="X93" t="s">
        <v>2742</v>
      </c>
      <c r="Y93" s="28">
        <v>41587</v>
      </c>
      <c r="Z93" s="28" t="str">
        <f t="shared" si="13"/>
        <v>CA-2013-AS10090140-41587</v>
      </c>
    </row>
    <row r="94" spans="1:26" ht="15.75">
      <c r="A94" s="16" t="s">
        <v>717</v>
      </c>
      <c r="B94" s="4">
        <v>41468</v>
      </c>
      <c r="C94" s="14">
        <v>41471</v>
      </c>
      <c r="D94" s="5" t="s">
        <v>718</v>
      </c>
      <c r="E94" s="5" t="s">
        <v>719</v>
      </c>
      <c r="F94" s="5" t="s">
        <v>94</v>
      </c>
      <c r="G94" s="5" t="s">
        <v>17</v>
      </c>
      <c r="H94" s="5" t="s">
        <v>44</v>
      </c>
      <c r="I94" s="6">
        <v>1245</v>
      </c>
      <c r="J94" s="5">
        <v>4</v>
      </c>
      <c r="K94" s="17">
        <v>0</v>
      </c>
      <c r="L94" s="6">
        <v>161.76</v>
      </c>
      <c r="M94" s="5" t="s">
        <v>27</v>
      </c>
      <c r="N94" s="7" t="s">
        <v>2679</v>
      </c>
      <c r="O94" s="8" t="str">
        <f t="shared" si="7"/>
        <v>Barry Gonzalez</v>
      </c>
      <c r="P94" s="8" t="str">
        <f t="shared" si="8"/>
        <v>ES</v>
      </c>
      <c r="Q94" s="8" t="str">
        <f t="shared" si="9"/>
        <v>2013</v>
      </c>
      <c r="R94" s="8" t="str">
        <f t="shared" si="10"/>
        <v>CRITICAL</v>
      </c>
      <c r="S94" s="8" t="str">
        <f t="shared" si="11"/>
        <v>technology</v>
      </c>
      <c r="T94" s="18" t="str">
        <f t="shared" si="12"/>
        <v>41468</v>
      </c>
      <c r="U94" s="27" t="s">
        <v>2751</v>
      </c>
      <c r="V94" s="16" t="s">
        <v>2710</v>
      </c>
      <c r="W94" s="30">
        <v>2013</v>
      </c>
      <c r="X94" t="s">
        <v>2751</v>
      </c>
      <c r="Y94" s="28">
        <v>41468</v>
      </c>
      <c r="Z94" s="28" t="str">
        <f t="shared" si="13"/>
        <v>ES-2013-BG1103544-41468</v>
      </c>
    </row>
    <row r="95" spans="1:26" ht="15.75">
      <c r="A95" s="19" t="s">
        <v>725</v>
      </c>
      <c r="B95" s="9">
        <v>42335</v>
      </c>
      <c r="C95" s="9">
        <v>42337</v>
      </c>
      <c r="D95" s="10" t="s">
        <v>726</v>
      </c>
      <c r="E95" s="10" t="s">
        <v>70</v>
      </c>
      <c r="F95" s="10" t="s">
        <v>71</v>
      </c>
      <c r="G95" s="10" t="s">
        <v>32</v>
      </c>
      <c r="H95" s="10" t="s">
        <v>33</v>
      </c>
      <c r="I95" s="11">
        <v>676.48500000000001</v>
      </c>
      <c r="J95" s="10">
        <v>5</v>
      </c>
      <c r="K95" s="20">
        <v>0.1</v>
      </c>
      <c r="L95" s="11">
        <v>195.285</v>
      </c>
      <c r="M95" s="10" t="s">
        <v>27</v>
      </c>
      <c r="N95" s="12" t="s">
        <v>2679</v>
      </c>
      <c r="O95" s="13" t="str">
        <f t="shared" si="7"/>
        <v>Helen Wasserman</v>
      </c>
      <c r="P95" s="13" t="str">
        <f t="shared" si="8"/>
        <v>ES</v>
      </c>
      <c r="Q95" s="13" t="str">
        <f t="shared" si="9"/>
        <v>2015</v>
      </c>
      <c r="R95" s="13" t="str">
        <f t="shared" si="10"/>
        <v>CRITICAL</v>
      </c>
      <c r="S95" s="13" t="str">
        <f t="shared" si="11"/>
        <v>furniture</v>
      </c>
      <c r="T95" s="21" t="str">
        <f t="shared" si="12"/>
        <v>42335</v>
      </c>
      <c r="U95" s="27" t="s">
        <v>2752</v>
      </c>
      <c r="V95" s="19" t="s">
        <v>2710</v>
      </c>
      <c r="W95" s="30">
        <v>2015</v>
      </c>
      <c r="X95" t="s">
        <v>2752</v>
      </c>
      <c r="Y95" s="28">
        <v>42335</v>
      </c>
      <c r="Z95" s="28" t="str">
        <f t="shared" si="13"/>
        <v>ES-2015-HW1493545-42335</v>
      </c>
    </row>
    <row r="96" spans="1:26" ht="15.75">
      <c r="A96" s="16" t="s">
        <v>736</v>
      </c>
      <c r="B96" s="4">
        <v>41996</v>
      </c>
      <c r="C96" s="4">
        <v>41998</v>
      </c>
      <c r="D96" s="5" t="s">
        <v>146</v>
      </c>
      <c r="E96" s="5" t="s">
        <v>737</v>
      </c>
      <c r="F96" s="5" t="s">
        <v>90</v>
      </c>
      <c r="G96" s="5" t="s">
        <v>32</v>
      </c>
      <c r="H96" s="5" t="s">
        <v>33</v>
      </c>
      <c r="I96" s="6">
        <v>731.34</v>
      </c>
      <c r="J96" s="5">
        <v>2</v>
      </c>
      <c r="K96" s="17">
        <v>0</v>
      </c>
      <c r="L96" s="6">
        <v>175.5</v>
      </c>
      <c r="M96" s="5" t="s">
        <v>27</v>
      </c>
      <c r="N96" s="7" t="s">
        <v>2679</v>
      </c>
      <c r="O96" s="8" t="str">
        <f t="shared" si="7"/>
        <v>Vivek Grady</v>
      </c>
      <c r="P96" s="8" t="str">
        <f t="shared" si="8"/>
        <v>IN</v>
      </c>
      <c r="Q96" s="8" t="str">
        <f t="shared" si="9"/>
        <v>2014</v>
      </c>
      <c r="R96" s="8" t="str">
        <f t="shared" si="10"/>
        <v>CRITICAL</v>
      </c>
      <c r="S96" s="8" t="str">
        <f t="shared" si="11"/>
        <v>furniture</v>
      </c>
      <c r="T96" s="18" t="str">
        <f t="shared" si="12"/>
        <v>41996</v>
      </c>
      <c r="U96" s="27" t="s">
        <v>2753</v>
      </c>
      <c r="V96" s="16" t="s">
        <v>2681</v>
      </c>
      <c r="W96" s="30">
        <v>2014</v>
      </c>
      <c r="X96" t="s">
        <v>2753</v>
      </c>
      <c r="Y96" s="28">
        <v>41996</v>
      </c>
      <c r="Z96" s="28" t="str">
        <f t="shared" si="13"/>
        <v>IN-2014-VG2180527-41996</v>
      </c>
    </row>
    <row r="97" spans="1:26" ht="15.75">
      <c r="A97" s="19" t="s">
        <v>738</v>
      </c>
      <c r="B97" s="9">
        <v>42172</v>
      </c>
      <c r="C97" s="9">
        <v>42174</v>
      </c>
      <c r="D97" s="10" t="s">
        <v>609</v>
      </c>
      <c r="E97" s="10" t="s">
        <v>739</v>
      </c>
      <c r="F97" s="10" t="s">
        <v>25</v>
      </c>
      <c r="G97" s="10" t="s">
        <v>45</v>
      </c>
      <c r="H97" s="10" t="s">
        <v>23</v>
      </c>
      <c r="I97" s="11">
        <v>1239</v>
      </c>
      <c r="J97" s="10">
        <v>4</v>
      </c>
      <c r="K97" s="20">
        <v>0</v>
      </c>
      <c r="L97" s="11">
        <v>0</v>
      </c>
      <c r="M97" s="10" t="s">
        <v>27</v>
      </c>
      <c r="N97" s="12" t="s">
        <v>2679</v>
      </c>
      <c r="O97" s="13" t="str">
        <f t="shared" si="7"/>
        <v>Julia Dunbar</v>
      </c>
      <c r="P97" s="13" t="str">
        <f t="shared" si="8"/>
        <v>GH</v>
      </c>
      <c r="Q97" s="13" t="str">
        <f t="shared" si="9"/>
        <v>2015</v>
      </c>
      <c r="R97" s="13" t="str">
        <f t="shared" si="10"/>
        <v>CRITICAL</v>
      </c>
      <c r="S97" s="13" t="str">
        <f t="shared" si="11"/>
        <v>office supplies</v>
      </c>
      <c r="T97" s="21" t="str">
        <f t="shared" si="12"/>
        <v>42172</v>
      </c>
      <c r="U97" s="27" t="s">
        <v>2754</v>
      </c>
      <c r="V97" s="19" t="s">
        <v>2755</v>
      </c>
      <c r="W97" s="30">
        <v>2015</v>
      </c>
      <c r="X97" t="s">
        <v>2754</v>
      </c>
      <c r="Y97" s="28">
        <v>42172</v>
      </c>
      <c r="Z97" s="28" t="str">
        <f t="shared" si="13"/>
        <v>GH-2015-JD606049-42172</v>
      </c>
    </row>
    <row r="98" spans="1:26" ht="15.75">
      <c r="A98" s="16" t="s">
        <v>740</v>
      </c>
      <c r="B98" s="4">
        <v>42078</v>
      </c>
      <c r="C98" s="4">
        <v>42080</v>
      </c>
      <c r="D98" s="5" t="s">
        <v>741</v>
      </c>
      <c r="E98" s="5" t="s">
        <v>742</v>
      </c>
      <c r="F98" s="5" t="s">
        <v>142</v>
      </c>
      <c r="G98" s="5" t="s">
        <v>32</v>
      </c>
      <c r="H98" s="5" t="s">
        <v>151</v>
      </c>
      <c r="I98" s="6">
        <v>1680.60599999999</v>
      </c>
      <c r="J98" s="5">
        <v>5</v>
      </c>
      <c r="K98" s="17">
        <v>0.27</v>
      </c>
      <c r="L98" s="6">
        <v>368.25599999999997</v>
      </c>
      <c r="M98" s="5" t="s">
        <v>37</v>
      </c>
      <c r="N98" s="7" t="s">
        <v>2679</v>
      </c>
      <c r="O98" s="8" t="str">
        <f t="shared" si="7"/>
        <v>Maureen Gastineau</v>
      </c>
      <c r="P98" s="8" t="str">
        <f t="shared" si="8"/>
        <v>ID</v>
      </c>
      <c r="Q98" s="8" t="str">
        <f t="shared" si="9"/>
        <v>2015</v>
      </c>
      <c r="R98" s="8" t="str">
        <f t="shared" si="10"/>
        <v>HIGH</v>
      </c>
      <c r="S98" s="8" t="str">
        <f t="shared" si="11"/>
        <v>furniture</v>
      </c>
      <c r="T98" s="18" t="str">
        <f t="shared" si="12"/>
        <v>42078</v>
      </c>
      <c r="U98" s="27" t="s">
        <v>2756</v>
      </c>
      <c r="V98" s="16" t="s">
        <v>2705</v>
      </c>
      <c r="W98" s="30">
        <v>2015</v>
      </c>
      <c r="X98" t="s">
        <v>2756</v>
      </c>
      <c r="Y98" s="28">
        <v>42078</v>
      </c>
      <c r="Z98" s="28" t="str">
        <f t="shared" si="13"/>
        <v>ID-2015-MG17680144-42078</v>
      </c>
    </row>
    <row r="99" spans="1:26" ht="15.75">
      <c r="A99" s="19" t="s">
        <v>743</v>
      </c>
      <c r="B99" s="9">
        <v>42197</v>
      </c>
      <c r="C99" s="9">
        <v>42198</v>
      </c>
      <c r="D99" s="10" t="s">
        <v>715</v>
      </c>
      <c r="E99" s="10" t="s">
        <v>114</v>
      </c>
      <c r="F99" s="10" t="s">
        <v>115</v>
      </c>
      <c r="G99" s="10" t="s">
        <v>32</v>
      </c>
      <c r="H99" s="10" t="s">
        <v>73</v>
      </c>
      <c r="I99" s="11">
        <v>2190.75</v>
      </c>
      <c r="J99" s="10">
        <v>5</v>
      </c>
      <c r="K99" s="20">
        <v>0</v>
      </c>
      <c r="L99" s="11">
        <v>65.7</v>
      </c>
      <c r="M99" s="10" t="s">
        <v>19</v>
      </c>
      <c r="N99" s="12" t="s">
        <v>2679</v>
      </c>
      <c r="O99" s="13" t="str">
        <f t="shared" si="7"/>
        <v>Christina Demoss</v>
      </c>
      <c r="P99" s="13" t="str">
        <f t="shared" si="8"/>
        <v>IN</v>
      </c>
      <c r="Q99" s="13" t="str">
        <f t="shared" si="9"/>
        <v>2015</v>
      </c>
      <c r="R99" s="13" t="str">
        <f t="shared" si="10"/>
        <v>MEDIUM</v>
      </c>
      <c r="S99" s="13" t="str">
        <f t="shared" si="11"/>
        <v>furniture</v>
      </c>
      <c r="T99" s="21" t="str">
        <f t="shared" si="12"/>
        <v>42197</v>
      </c>
      <c r="U99" s="27" t="s">
        <v>2757</v>
      </c>
      <c r="V99" s="19" t="s">
        <v>2681</v>
      </c>
      <c r="W99" s="30">
        <v>2015</v>
      </c>
      <c r="X99" t="s">
        <v>2757</v>
      </c>
      <c r="Y99" s="28">
        <v>42197</v>
      </c>
      <c r="Z99" s="28" t="str">
        <f t="shared" si="13"/>
        <v>IN-2015-CD1228058-42197</v>
      </c>
    </row>
    <row r="100" spans="1:26" ht="15.75">
      <c r="A100" s="16" t="s">
        <v>750</v>
      </c>
      <c r="B100" s="4">
        <v>41633</v>
      </c>
      <c r="C100" s="4">
        <v>41636</v>
      </c>
      <c r="D100" s="5" t="s">
        <v>751</v>
      </c>
      <c r="E100" s="5" t="s">
        <v>322</v>
      </c>
      <c r="F100" s="5" t="s">
        <v>142</v>
      </c>
      <c r="G100" s="5" t="s">
        <v>17</v>
      </c>
      <c r="H100" s="5" t="s">
        <v>299</v>
      </c>
      <c r="I100" s="6">
        <v>2667.5369999999998</v>
      </c>
      <c r="J100" s="5">
        <v>5</v>
      </c>
      <c r="K100" s="17">
        <v>0.17</v>
      </c>
      <c r="L100" s="6">
        <v>-417.81299999999902</v>
      </c>
      <c r="M100" s="5" t="s">
        <v>19</v>
      </c>
      <c r="N100" s="7" t="s">
        <v>2679</v>
      </c>
      <c r="O100" s="8" t="str">
        <f t="shared" si="7"/>
        <v>Brad Norvell</v>
      </c>
      <c r="P100" s="8" t="str">
        <f t="shared" si="8"/>
        <v>ID</v>
      </c>
      <c r="Q100" s="8" t="str">
        <f t="shared" si="9"/>
        <v>2013</v>
      </c>
      <c r="R100" s="8" t="str">
        <f t="shared" si="10"/>
        <v>MEDIUM</v>
      </c>
      <c r="S100" s="8" t="str">
        <f t="shared" si="11"/>
        <v>technology</v>
      </c>
      <c r="T100" s="18" t="str">
        <f t="shared" si="12"/>
        <v>41633</v>
      </c>
      <c r="U100" s="27" t="s">
        <v>2758</v>
      </c>
      <c r="V100" s="16" t="s">
        <v>2705</v>
      </c>
      <c r="W100" s="30">
        <v>2013</v>
      </c>
      <c r="X100" t="s">
        <v>2758</v>
      </c>
      <c r="Y100" s="28">
        <v>41633</v>
      </c>
      <c r="Z100" s="28" t="str">
        <f t="shared" si="13"/>
        <v>ID-2013-BN11470130-41633</v>
      </c>
    </row>
    <row r="101" spans="1:26" ht="15.75">
      <c r="A101" s="19" t="s">
        <v>753</v>
      </c>
      <c r="B101" s="9">
        <v>41775</v>
      </c>
      <c r="C101" s="9">
        <v>41779</v>
      </c>
      <c r="D101" s="10" t="s">
        <v>754</v>
      </c>
      <c r="E101" s="10" t="s">
        <v>22</v>
      </c>
      <c r="F101" s="10" t="s">
        <v>71</v>
      </c>
      <c r="G101" s="10" t="s">
        <v>17</v>
      </c>
      <c r="H101" s="10" t="s">
        <v>33</v>
      </c>
      <c r="I101" s="11">
        <v>2605.92</v>
      </c>
      <c r="J101" s="10">
        <v>4</v>
      </c>
      <c r="K101" s="20">
        <v>0</v>
      </c>
      <c r="L101" s="11">
        <v>8994.9828630280499</v>
      </c>
      <c r="M101" s="10" t="s">
        <v>37</v>
      </c>
      <c r="N101" s="12" t="s">
        <v>2679</v>
      </c>
      <c r="O101" s="13" t="str">
        <f t="shared" si="7"/>
        <v>Erin Mull#</v>
      </c>
      <c r="P101" s="13" t="str">
        <f t="shared" si="8"/>
        <v>ES</v>
      </c>
      <c r="Q101" s="13" t="str">
        <f t="shared" si="9"/>
        <v>2014</v>
      </c>
      <c r="R101" s="13" t="str">
        <f t="shared" si="10"/>
        <v>HIGH</v>
      </c>
      <c r="S101" s="13" t="str">
        <f t="shared" si="11"/>
        <v>technology</v>
      </c>
      <c r="T101" s="21" t="str">
        <f t="shared" si="12"/>
        <v>41775</v>
      </c>
      <c r="U101" s="27" t="s">
        <v>2759</v>
      </c>
      <c r="V101" s="19" t="s">
        <v>2710</v>
      </c>
      <c r="W101" s="30">
        <v>2014</v>
      </c>
      <c r="X101" t="s">
        <v>2759</v>
      </c>
      <c r="Y101" s="28">
        <v>41775</v>
      </c>
      <c r="Z101" s="28" t="str">
        <f t="shared" si="13"/>
        <v>ES-2014-EM1406548-41775</v>
      </c>
    </row>
    <row r="102" spans="1:26" ht="15.75">
      <c r="A102" s="16" t="s">
        <v>758</v>
      </c>
      <c r="B102" s="4">
        <v>41422</v>
      </c>
      <c r="C102" s="4">
        <v>41425</v>
      </c>
      <c r="D102" s="5" t="s">
        <v>759</v>
      </c>
      <c r="E102" s="5" t="s">
        <v>76</v>
      </c>
      <c r="F102" s="5" t="s">
        <v>77</v>
      </c>
      <c r="G102" s="5" t="s">
        <v>17</v>
      </c>
      <c r="H102" s="5" t="s">
        <v>299</v>
      </c>
      <c r="I102" s="6">
        <v>1513.56</v>
      </c>
      <c r="J102" s="5">
        <v>4</v>
      </c>
      <c r="K102" s="17">
        <v>0</v>
      </c>
      <c r="L102" s="6">
        <v>741.599999999999</v>
      </c>
      <c r="M102" s="5" t="s">
        <v>760</v>
      </c>
      <c r="N102" s="7" t="s">
        <v>2679</v>
      </c>
      <c r="O102" s="8" t="str">
        <f t="shared" si="7"/>
        <v>Chloris Kastensmidt</v>
      </c>
      <c r="P102" s="8" t="str">
        <f t="shared" si="8"/>
        <v>ES</v>
      </c>
      <c r="Q102" s="8" t="str">
        <f t="shared" si="9"/>
        <v>2013</v>
      </c>
      <c r="R102" s="8" t="str">
        <f t="shared" si="10"/>
        <v>CRTIICAL</v>
      </c>
      <c r="S102" s="8" t="str">
        <f t="shared" si="11"/>
        <v>technology</v>
      </c>
      <c r="T102" s="18" t="str">
        <f t="shared" si="12"/>
        <v>41422</v>
      </c>
      <c r="U102" s="27" t="s">
        <v>2760</v>
      </c>
      <c r="V102" s="16" t="s">
        <v>2710</v>
      </c>
      <c r="W102" s="30">
        <v>2013</v>
      </c>
      <c r="X102" t="s">
        <v>2760</v>
      </c>
      <c r="Y102" s="28">
        <v>41422</v>
      </c>
      <c r="Z102" s="28" t="str">
        <f t="shared" si="13"/>
        <v>ES-2013-CK1220564-41422</v>
      </c>
    </row>
    <row r="103" spans="1:26" ht="15.75">
      <c r="A103" s="19" t="s">
        <v>763</v>
      </c>
      <c r="B103" s="9">
        <v>41062</v>
      </c>
      <c r="C103" s="9">
        <v>41064</v>
      </c>
      <c r="D103" s="10" t="s">
        <v>721</v>
      </c>
      <c r="E103" s="10" t="s">
        <v>204</v>
      </c>
      <c r="F103" s="10" t="s">
        <v>87</v>
      </c>
      <c r="G103" s="10" t="s">
        <v>32</v>
      </c>
      <c r="H103" s="10" t="s">
        <v>33</v>
      </c>
      <c r="I103" s="11">
        <v>855.14999999999895</v>
      </c>
      <c r="J103" s="10">
        <v>1</v>
      </c>
      <c r="K103" s="20">
        <v>0</v>
      </c>
      <c r="L103" s="11">
        <v>384.81</v>
      </c>
      <c r="M103" s="10" t="s">
        <v>27</v>
      </c>
      <c r="N103" s="12" t="s">
        <v>2679</v>
      </c>
      <c r="O103" s="13" t="str">
        <f t="shared" si="7"/>
        <v>Clay Cheatham</v>
      </c>
      <c r="P103" s="13" t="str">
        <f t="shared" si="8"/>
        <v>UP</v>
      </c>
      <c r="Q103" s="13" t="str">
        <f t="shared" si="9"/>
        <v>2012</v>
      </c>
      <c r="R103" s="13" t="str">
        <f t="shared" si="10"/>
        <v>CRITICAL</v>
      </c>
      <c r="S103" s="13" t="str">
        <f t="shared" si="11"/>
        <v>furniture</v>
      </c>
      <c r="T103" s="21" t="str">
        <f t="shared" si="12"/>
        <v>41062</v>
      </c>
      <c r="U103" s="27" t="s">
        <v>2761</v>
      </c>
      <c r="V103" s="19" t="s">
        <v>2762</v>
      </c>
      <c r="W103" s="30">
        <v>2012</v>
      </c>
      <c r="X103" t="s">
        <v>2761</v>
      </c>
      <c r="Y103" s="28">
        <v>41062</v>
      </c>
      <c r="Z103" s="28" t="str">
        <f t="shared" si="13"/>
        <v>UP-2012-CC2550137-41062</v>
      </c>
    </row>
    <row r="104" spans="1:26" ht="15.75">
      <c r="A104" s="16" t="s">
        <v>764</v>
      </c>
      <c r="B104" s="4">
        <v>41103</v>
      </c>
      <c r="C104" s="4">
        <v>41104</v>
      </c>
      <c r="D104" s="5" t="s">
        <v>765</v>
      </c>
      <c r="E104" s="5" t="s">
        <v>93</v>
      </c>
      <c r="F104" s="5" t="s">
        <v>766</v>
      </c>
      <c r="G104" s="5" t="s">
        <v>17</v>
      </c>
      <c r="H104" s="5" t="s">
        <v>151</v>
      </c>
      <c r="I104" s="6">
        <v>956.34</v>
      </c>
      <c r="J104" s="5">
        <v>4</v>
      </c>
      <c r="K104" s="17">
        <v>0.1</v>
      </c>
      <c r="L104" s="6">
        <v>-95.7</v>
      </c>
      <c r="M104" s="5" t="s">
        <v>27</v>
      </c>
      <c r="N104" s="7" t="s">
        <v>2679</v>
      </c>
      <c r="O104" s="8" t="str">
        <f t="shared" si="7"/>
        <v>Melanie Seite</v>
      </c>
      <c r="P104" s="8" t="str">
        <f t="shared" si="8"/>
        <v>IT</v>
      </c>
      <c r="Q104" s="8" t="str">
        <f t="shared" si="9"/>
        <v>2012</v>
      </c>
      <c r="R104" s="8" t="str">
        <f t="shared" si="10"/>
        <v>CRITICAL</v>
      </c>
      <c r="S104" s="8" t="str">
        <f t="shared" si="11"/>
        <v>technology</v>
      </c>
      <c r="T104" s="18" t="str">
        <f t="shared" si="12"/>
        <v>41103</v>
      </c>
      <c r="U104" s="27" t="s">
        <v>2763</v>
      </c>
      <c r="V104" s="16" t="s">
        <v>2690</v>
      </c>
      <c r="W104" s="30">
        <v>2012</v>
      </c>
      <c r="X104" t="s">
        <v>2763</v>
      </c>
      <c r="Y104" s="28">
        <v>41103</v>
      </c>
      <c r="Z104" s="28" t="str">
        <f t="shared" si="13"/>
        <v>IT-2012-MS17830139-41103</v>
      </c>
    </row>
    <row r="105" spans="1:26" ht="15.75">
      <c r="A105" s="19" t="s">
        <v>767</v>
      </c>
      <c r="B105" s="9">
        <v>41198</v>
      </c>
      <c r="C105" s="9">
        <v>41205</v>
      </c>
      <c r="D105" s="10" t="s">
        <v>148</v>
      </c>
      <c r="E105" s="10" t="s">
        <v>197</v>
      </c>
      <c r="F105" s="10" t="s">
        <v>77</v>
      </c>
      <c r="G105" s="10" t="s">
        <v>32</v>
      </c>
      <c r="H105" s="10" t="s">
        <v>127</v>
      </c>
      <c r="I105" s="11">
        <v>1838.51999999999</v>
      </c>
      <c r="J105" s="10">
        <v>5</v>
      </c>
      <c r="K105" s="20">
        <v>0.2</v>
      </c>
      <c r="L105" s="11">
        <v>160.77000000000001</v>
      </c>
      <c r="M105" s="10" t="s">
        <v>74</v>
      </c>
      <c r="N105" s="12" t="s">
        <v>2679</v>
      </c>
      <c r="O105" s="13" t="str">
        <f t="shared" si="7"/>
        <v>Greg Tran</v>
      </c>
      <c r="P105" s="13" t="str">
        <f t="shared" si="8"/>
        <v>ES</v>
      </c>
      <c r="Q105" s="13" t="str">
        <f t="shared" si="9"/>
        <v>2012</v>
      </c>
      <c r="R105" s="13" t="str">
        <f t="shared" si="10"/>
        <v>LOW</v>
      </c>
      <c r="S105" s="13" t="str">
        <f t="shared" si="11"/>
        <v>furniture</v>
      </c>
      <c r="T105" s="21" t="str">
        <f t="shared" si="12"/>
        <v>41198</v>
      </c>
      <c r="U105" s="27" t="s">
        <v>2764</v>
      </c>
      <c r="V105" s="19" t="s">
        <v>2710</v>
      </c>
      <c r="W105" s="30">
        <v>2012</v>
      </c>
      <c r="X105" t="s">
        <v>2764</v>
      </c>
      <c r="Y105" s="28">
        <v>41198</v>
      </c>
      <c r="Z105" s="28" t="str">
        <f t="shared" si="13"/>
        <v>ES-2012-GT14710120-41198</v>
      </c>
    </row>
    <row r="106" spans="1:26" ht="15.75">
      <c r="A106" s="16" t="s">
        <v>778</v>
      </c>
      <c r="B106" s="4">
        <v>41310</v>
      </c>
      <c r="C106" s="4">
        <v>41313</v>
      </c>
      <c r="D106" s="5" t="s">
        <v>779</v>
      </c>
      <c r="E106" s="5" t="s">
        <v>15</v>
      </c>
      <c r="F106" s="5" t="s">
        <v>16</v>
      </c>
      <c r="G106" s="5" t="s">
        <v>32</v>
      </c>
      <c r="H106" s="5" t="s">
        <v>299</v>
      </c>
      <c r="I106" s="6">
        <v>819.93599999999901</v>
      </c>
      <c r="J106" s="5">
        <v>2</v>
      </c>
      <c r="K106" s="17">
        <v>0.1</v>
      </c>
      <c r="L106" s="6">
        <v>191.316</v>
      </c>
      <c r="M106" s="5" t="s">
        <v>27</v>
      </c>
      <c r="N106" s="7" t="s">
        <v>2679</v>
      </c>
      <c r="O106" s="8" t="str">
        <f t="shared" si="7"/>
        <v>John Castell</v>
      </c>
      <c r="P106" s="8" t="str">
        <f t="shared" si="8"/>
        <v>IN</v>
      </c>
      <c r="Q106" s="8" t="str">
        <f t="shared" si="9"/>
        <v>2013</v>
      </c>
      <c r="R106" s="8" t="str">
        <f t="shared" si="10"/>
        <v>CRITICAL</v>
      </c>
      <c r="S106" s="8" t="str">
        <f t="shared" si="11"/>
        <v>furniture</v>
      </c>
      <c r="T106" s="18" t="str">
        <f t="shared" si="12"/>
        <v>41310</v>
      </c>
      <c r="U106" s="27" t="s">
        <v>2765</v>
      </c>
      <c r="V106" s="16" t="s">
        <v>2681</v>
      </c>
      <c r="W106" s="30">
        <v>2013</v>
      </c>
      <c r="X106" t="s">
        <v>2765</v>
      </c>
      <c r="Y106" s="28">
        <v>41310</v>
      </c>
      <c r="Z106" s="28" t="str">
        <f t="shared" si="13"/>
        <v>IN-2013-JC157757-41310</v>
      </c>
    </row>
    <row r="107" spans="1:26" ht="15.75">
      <c r="A107" s="19" t="s">
        <v>791</v>
      </c>
      <c r="B107" s="9">
        <v>40962</v>
      </c>
      <c r="C107" s="9">
        <v>40965</v>
      </c>
      <c r="D107" s="10" t="s">
        <v>792</v>
      </c>
      <c r="E107" s="10" t="s">
        <v>114</v>
      </c>
      <c r="F107" s="10" t="s">
        <v>115</v>
      </c>
      <c r="G107" s="10" t="s">
        <v>17</v>
      </c>
      <c r="H107" s="10" t="s">
        <v>44</v>
      </c>
      <c r="I107" s="11">
        <v>1526.52</v>
      </c>
      <c r="J107" s="10">
        <v>4</v>
      </c>
      <c r="K107" s="20">
        <v>0</v>
      </c>
      <c r="L107" s="11">
        <v>3985.40136153395</v>
      </c>
      <c r="M107" s="10" t="s">
        <v>37</v>
      </c>
      <c r="N107" s="12" t="s">
        <v>2679</v>
      </c>
      <c r="O107" s="13" t="str">
        <f t="shared" si="7"/>
        <v>Mitch Gastineau</v>
      </c>
      <c r="P107" s="13" t="str">
        <f t="shared" si="8"/>
        <v>IN</v>
      </c>
      <c r="Q107" s="13" t="str">
        <f t="shared" si="9"/>
        <v>2012</v>
      </c>
      <c r="R107" s="13" t="str">
        <f t="shared" si="10"/>
        <v>HIGH</v>
      </c>
      <c r="S107" s="13" t="str">
        <f t="shared" si="11"/>
        <v>technology</v>
      </c>
      <c r="T107" s="21" t="str">
        <f t="shared" si="12"/>
        <v>40962</v>
      </c>
      <c r="U107" s="27" t="s">
        <v>2766</v>
      </c>
      <c r="V107" s="19" t="s">
        <v>2681</v>
      </c>
      <c r="W107" s="30">
        <v>2012</v>
      </c>
      <c r="X107" t="s">
        <v>2766</v>
      </c>
      <c r="Y107" s="28">
        <v>40962</v>
      </c>
      <c r="Z107" s="28" t="str">
        <f t="shared" si="13"/>
        <v>IN-2012-MG1820558-40962</v>
      </c>
    </row>
    <row r="108" spans="1:26" ht="15.75">
      <c r="A108" s="16" t="s">
        <v>584</v>
      </c>
      <c r="B108" s="4">
        <v>41173</v>
      </c>
      <c r="C108" s="4">
        <v>41180</v>
      </c>
      <c r="D108" s="5" t="s">
        <v>583</v>
      </c>
      <c r="E108" s="5" t="s">
        <v>40</v>
      </c>
      <c r="F108" s="5" t="s">
        <v>111</v>
      </c>
      <c r="G108" s="5" t="s">
        <v>45</v>
      </c>
      <c r="H108" s="5" t="s">
        <v>26</v>
      </c>
      <c r="I108" s="6">
        <v>3.984</v>
      </c>
      <c r="J108" s="5">
        <v>1</v>
      </c>
      <c r="K108" s="17">
        <v>0.2</v>
      </c>
      <c r="L108" s="6">
        <v>1.3944000000000001</v>
      </c>
      <c r="M108" s="5" t="s">
        <v>19</v>
      </c>
      <c r="N108" s="7" t="s">
        <v>2679</v>
      </c>
      <c r="O108" s="8" t="str">
        <f t="shared" si="7"/>
        <v>Adam Shillingsburg</v>
      </c>
      <c r="P108" s="8" t="str">
        <f t="shared" si="8"/>
        <v>CA</v>
      </c>
      <c r="Q108" s="8" t="str">
        <f t="shared" si="9"/>
        <v>2012</v>
      </c>
      <c r="R108" s="8" t="str">
        <f t="shared" si="10"/>
        <v>MEDIUM</v>
      </c>
      <c r="S108" s="8" t="str">
        <f t="shared" si="11"/>
        <v>office supplies</v>
      </c>
      <c r="T108" s="18" t="str">
        <f t="shared" si="12"/>
        <v>41173</v>
      </c>
      <c r="U108" s="27" t="s">
        <v>2742</v>
      </c>
      <c r="V108" s="16" t="s">
        <v>2683</v>
      </c>
      <c r="W108" s="30">
        <v>2012</v>
      </c>
      <c r="X108" t="s">
        <v>2742</v>
      </c>
      <c r="Y108" s="28">
        <v>41173</v>
      </c>
      <c r="Z108" s="28" t="str">
        <f t="shared" si="13"/>
        <v>CA-2012-AS10090140-41173</v>
      </c>
    </row>
    <row r="109" spans="1:26" ht="15.75">
      <c r="A109" s="19" t="s">
        <v>800</v>
      </c>
      <c r="B109" s="9">
        <v>41942</v>
      </c>
      <c r="C109" s="9">
        <v>41948</v>
      </c>
      <c r="D109" s="10" t="s">
        <v>801</v>
      </c>
      <c r="E109" s="10" t="s">
        <v>802</v>
      </c>
      <c r="F109" s="10" t="s">
        <v>98</v>
      </c>
      <c r="G109" s="10" t="s">
        <v>17</v>
      </c>
      <c r="H109" s="10" t="s">
        <v>33</v>
      </c>
      <c r="I109" s="11">
        <v>2125</v>
      </c>
      <c r="J109" s="10">
        <v>5</v>
      </c>
      <c r="K109" s="20">
        <v>0</v>
      </c>
      <c r="L109" s="11">
        <v>297.5</v>
      </c>
      <c r="M109" s="10" t="s">
        <v>74</v>
      </c>
      <c r="N109" s="12" t="s">
        <v>2679</v>
      </c>
      <c r="O109" s="13" t="str">
        <f t="shared" si="7"/>
        <v>Patrick Bzostek</v>
      </c>
      <c r="P109" s="13" t="str">
        <f t="shared" si="8"/>
        <v>MX</v>
      </c>
      <c r="Q109" s="13" t="str">
        <f t="shared" si="9"/>
        <v>2014</v>
      </c>
      <c r="R109" s="13" t="str">
        <f t="shared" si="10"/>
        <v>LOW</v>
      </c>
      <c r="S109" s="13" t="str">
        <f t="shared" si="11"/>
        <v>technology</v>
      </c>
      <c r="T109" s="21" t="str">
        <f t="shared" si="12"/>
        <v>41942</v>
      </c>
      <c r="U109" s="27" t="s">
        <v>2767</v>
      </c>
      <c r="V109" s="19" t="s">
        <v>2695</v>
      </c>
      <c r="W109" s="30">
        <v>2014</v>
      </c>
      <c r="X109" t="s">
        <v>2767</v>
      </c>
      <c r="Y109" s="28">
        <v>41942</v>
      </c>
      <c r="Z109" s="28" t="str">
        <f t="shared" si="13"/>
        <v>MX-2014-PB1880593-41942</v>
      </c>
    </row>
    <row r="110" spans="1:26" ht="15.75">
      <c r="A110" s="16" t="s">
        <v>803</v>
      </c>
      <c r="B110" s="4">
        <v>41621</v>
      </c>
      <c r="C110" s="4">
        <v>41623</v>
      </c>
      <c r="D110" s="5" t="s">
        <v>113</v>
      </c>
      <c r="E110" s="5" t="s">
        <v>602</v>
      </c>
      <c r="F110" s="5" t="s">
        <v>131</v>
      </c>
      <c r="G110" s="5" t="s">
        <v>17</v>
      </c>
      <c r="H110" s="5" t="s">
        <v>26</v>
      </c>
      <c r="I110" s="6">
        <v>976.08</v>
      </c>
      <c r="J110" s="5">
        <v>4</v>
      </c>
      <c r="K110" s="17">
        <v>0</v>
      </c>
      <c r="L110" s="6">
        <v>292.79999999999899</v>
      </c>
      <c r="M110" s="5" t="s">
        <v>27</v>
      </c>
      <c r="N110" s="7" t="s">
        <v>2679</v>
      </c>
      <c r="O110" s="8" t="str">
        <f t="shared" si="7"/>
        <v>Benjamin Patterson</v>
      </c>
      <c r="P110" s="8" t="str">
        <f t="shared" si="8"/>
        <v>CM</v>
      </c>
      <c r="Q110" s="8" t="str">
        <f t="shared" si="9"/>
        <v>2013</v>
      </c>
      <c r="R110" s="8" t="str">
        <f t="shared" si="10"/>
        <v>CRITICAL</v>
      </c>
      <c r="S110" s="8" t="str">
        <f t="shared" si="11"/>
        <v>technology</v>
      </c>
      <c r="T110" s="18" t="str">
        <f t="shared" si="12"/>
        <v>41621</v>
      </c>
      <c r="U110" s="27" t="s">
        <v>2768</v>
      </c>
      <c r="V110" s="16" t="s">
        <v>2769</v>
      </c>
      <c r="W110" s="30">
        <v>2013</v>
      </c>
      <c r="X110" t="s">
        <v>2768</v>
      </c>
      <c r="Y110" s="28">
        <v>41621</v>
      </c>
      <c r="Z110" s="28" t="str">
        <f t="shared" si="13"/>
        <v>CM-2013-BP123022-41621</v>
      </c>
    </row>
    <row r="111" spans="1:26" ht="15.75">
      <c r="A111" s="19" t="s">
        <v>806</v>
      </c>
      <c r="B111" s="9">
        <v>41173</v>
      </c>
      <c r="C111" s="9">
        <v>41180</v>
      </c>
      <c r="D111" s="10" t="s">
        <v>583</v>
      </c>
      <c r="E111" s="10" t="s">
        <v>40</v>
      </c>
      <c r="F111" s="10" t="s">
        <v>111</v>
      </c>
      <c r="G111" s="10" t="s">
        <v>45</v>
      </c>
      <c r="H111" s="10" t="s">
        <v>18</v>
      </c>
      <c r="I111" s="11">
        <v>13.04</v>
      </c>
      <c r="J111" s="10">
        <v>4</v>
      </c>
      <c r="K111" s="20">
        <v>0</v>
      </c>
      <c r="L111" s="11">
        <v>42.544024685653</v>
      </c>
      <c r="M111" s="10" t="s">
        <v>19</v>
      </c>
      <c r="N111" s="12" t="s">
        <v>2679</v>
      </c>
      <c r="O111" s="13" t="str">
        <f t="shared" si="7"/>
        <v>Adam Shillingsburg</v>
      </c>
      <c r="P111" s="13" t="str">
        <f t="shared" si="8"/>
        <v>CA</v>
      </c>
      <c r="Q111" s="13" t="str">
        <f t="shared" si="9"/>
        <v>2012</v>
      </c>
      <c r="R111" s="13" t="str">
        <f t="shared" si="10"/>
        <v>MEDIUM</v>
      </c>
      <c r="S111" s="13" t="str">
        <f t="shared" si="11"/>
        <v>office supplies</v>
      </c>
      <c r="T111" s="21" t="str">
        <f t="shared" si="12"/>
        <v>1173#</v>
      </c>
      <c r="U111" s="27" t="s">
        <v>2742</v>
      </c>
      <c r="V111" s="19" t="s">
        <v>2683</v>
      </c>
      <c r="W111" s="30">
        <v>2012</v>
      </c>
      <c r="X111" t="s">
        <v>2742</v>
      </c>
      <c r="Y111" s="28" t="s">
        <v>2770</v>
      </c>
      <c r="Z111" s="28" t="str">
        <f t="shared" si="13"/>
        <v>CA-2012-AS10090140-41173#</v>
      </c>
    </row>
    <row r="112" spans="1:26" ht="15.75">
      <c r="A112" s="16" t="s">
        <v>807</v>
      </c>
      <c r="B112" s="4">
        <v>41159</v>
      </c>
      <c r="C112" s="4">
        <v>41161</v>
      </c>
      <c r="D112" s="5" t="s">
        <v>808</v>
      </c>
      <c r="E112" s="5" t="s">
        <v>809</v>
      </c>
      <c r="F112" s="5" t="s">
        <v>84</v>
      </c>
      <c r="G112" s="5" t="s">
        <v>32</v>
      </c>
      <c r="H112" s="5" t="s">
        <v>33</v>
      </c>
      <c r="I112" s="6">
        <v>2134.4399999999901</v>
      </c>
      <c r="J112" s="5">
        <v>4</v>
      </c>
      <c r="K112" s="17">
        <v>0</v>
      </c>
      <c r="L112" s="6">
        <v>682.92</v>
      </c>
      <c r="M112" s="5" t="s">
        <v>27</v>
      </c>
      <c r="N112" s="7" t="s">
        <v>2679</v>
      </c>
      <c r="O112" s="8" t="str">
        <f t="shared" si="7"/>
        <v>Dennis Bolton</v>
      </c>
      <c r="P112" s="8" t="str">
        <f t="shared" si="8"/>
        <v>ZA</v>
      </c>
      <c r="Q112" s="8" t="str">
        <f t="shared" si="9"/>
        <v>2012</v>
      </c>
      <c r="R112" s="8" t="str">
        <f t="shared" si="10"/>
        <v>CRITICAL</v>
      </c>
      <c r="S112" s="8" t="str">
        <f t="shared" si="11"/>
        <v>furniture</v>
      </c>
      <c r="T112" s="18" t="str">
        <f t="shared" si="12"/>
        <v>41159</v>
      </c>
      <c r="U112" s="27" t="s">
        <v>2771</v>
      </c>
      <c r="V112" s="16" t="s">
        <v>2772</v>
      </c>
      <c r="W112" s="30">
        <v>2012</v>
      </c>
      <c r="X112" t="s">
        <v>2771</v>
      </c>
      <c r="Y112" s="28">
        <v>41159</v>
      </c>
      <c r="Z112" s="28" t="str">
        <f t="shared" si="13"/>
        <v>ZA-2012-DB3360146-41159</v>
      </c>
    </row>
    <row r="113" spans="1:26" ht="15.75">
      <c r="A113" s="19" t="s">
        <v>819</v>
      </c>
      <c r="B113" s="9">
        <v>41741</v>
      </c>
      <c r="C113" s="9">
        <v>41743</v>
      </c>
      <c r="D113" s="10" t="s">
        <v>424</v>
      </c>
      <c r="E113" s="10" t="s">
        <v>820</v>
      </c>
      <c r="F113" s="10" t="s">
        <v>90</v>
      </c>
      <c r="G113" s="10" t="s">
        <v>45</v>
      </c>
      <c r="H113" s="10" t="s">
        <v>46</v>
      </c>
      <c r="I113" s="11">
        <v>899.55</v>
      </c>
      <c r="J113" s="10">
        <v>3</v>
      </c>
      <c r="K113" s="20">
        <v>0</v>
      </c>
      <c r="L113" s="11">
        <v>323.82</v>
      </c>
      <c r="M113" s="10" t="s">
        <v>27</v>
      </c>
      <c r="N113" s="12" t="s">
        <v>2679</v>
      </c>
      <c r="O113" s="13" t="str">
        <f t="shared" si="7"/>
        <v>Neil Franzã¶Sisch</v>
      </c>
      <c r="P113" s="13" t="str">
        <f t="shared" si="8"/>
        <v>IN</v>
      </c>
      <c r="Q113" s="13" t="str">
        <f t="shared" si="9"/>
        <v>2014</v>
      </c>
      <c r="R113" s="13" t="str">
        <f t="shared" si="10"/>
        <v>CRITICAL</v>
      </c>
      <c r="S113" s="13" t="str">
        <f t="shared" si="11"/>
        <v>office supplies</v>
      </c>
      <c r="T113" s="21" t="str">
        <f t="shared" si="12"/>
        <v>41741</v>
      </c>
      <c r="U113" s="27" t="s">
        <v>2773</v>
      </c>
      <c r="V113" s="19" t="s">
        <v>2681</v>
      </c>
      <c r="W113" s="30">
        <v>2014</v>
      </c>
      <c r="X113" t="s">
        <v>2773</v>
      </c>
      <c r="Y113" s="28">
        <v>41741</v>
      </c>
      <c r="Z113" s="28" t="str">
        <f t="shared" si="13"/>
        <v>IN-2014-NF1847527-41741</v>
      </c>
    </row>
    <row r="114" spans="1:26" ht="15.75">
      <c r="A114" s="16" t="s">
        <v>825</v>
      </c>
      <c r="B114" s="4">
        <v>41560</v>
      </c>
      <c r="C114" s="4">
        <v>41563</v>
      </c>
      <c r="D114" s="5" t="s">
        <v>366</v>
      </c>
      <c r="E114" s="5" t="s">
        <v>826</v>
      </c>
      <c r="F114" s="5" t="s">
        <v>16</v>
      </c>
      <c r="G114" s="5" t="s">
        <v>32</v>
      </c>
      <c r="H114" s="5" t="s">
        <v>33</v>
      </c>
      <c r="I114" s="6">
        <v>1136.66399999999</v>
      </c>
      <c r="J114" s="5">
        <v>4</v>
      </c>
      <c r="K114" s="17">
        <v>0.4</v>
      </c>
      <c r="L114" s="6">
        <v>-189.45599999999899</v>
      </c>
      <c r="M114" s="5" t="s">
        <v>27</v>
      </c>
      <c r="N114" s="7" t="s">
        <v>2679</v>
      </c>
      <c r="O114" s="8" t="str">
        <f t="shared" si="7"/>
        <v>Liz Carlisle</v>
      </c>
      <c r="P114" s="8" t="str">
        <f t="shared" si="8"/>
        <v>ID</v>
      </c>
      <c r="Q114" s="8" t="str">
        <f t="shared" si="9"/>
        <v>2013</v>
      </c>
      <c r="R114" s="8" t="str">
        <f t="shared" si="10"/>
        <v>CRITICAL</v>
      </c>
      <c r="S114" s="8" t="str">
        <f t="shared" si="11"/>
        <v>furniture</v>
      </c>
      <c r="T114" s="18" t="str">
        <f t="shared" si="12"/>
        <v>41560</v>
      </c>
      <c r="U114" s="27" t="s">
        <v>2774</v>
      </c>
      <c r="V114" s="16" t="s">
        <v>2705</v>
      </c>
      <c r="W114" s="30">
        <v>2013</v>
      </c>
      <c r="X114" t="s">
        <v>2774</v>
      </c>
      <c r="Y114" s="28">
        <v>41560</v>
      </c>
      <c r="Z114" s="28" t="str">
        <f t="shared" si="13"/>
        <v>ID-2013-LC1705092-41560</v>
      </c>
    </row>
    <row r="115" spans="1:26" ht="15.75">
      <c r="A115" s="19" t="s">
        <v>827</v>
      </c>
      <c r="B115" s="9">
        <v>42034</v>
      </c>
      <c r="C115" s="9">
        <v>42038</v>
      </c>
      <c r="D115" s="10" t="s">
        <v>828</v>
      </c>
      <c r="E115" s="10" t="s">
        <v>66</v>
      </c>
      <c r="F115" s="10" t="s">
        <v>90</v>
      </c>
      <c r="G115" s="10" t="s">
        <v>32</v>
      </c>
      <c r="H115" s="10" t="s">
        <v>26</v>
      </c>
      <c r="I115" s="11">
        <v>2300.99999999999</v>
      </c>
      <c r="J115" s="10">
        <v>5</v>
      </c>
      <c r="K115" s="20">
        <v>0</v>
      </c>
      <c r="L115" s="11">
        <v>91.95</v>
      </c>
      <c r="M115" s="10" t="s">
        <v>37</v>
      </c>
      <c r="N115" s="12" t="s">
        <v>2679</v>
      </c>
      <c r="O115" s="13" t="str">
        <f t="shared" si="7"/>
        <v>Ruben Ausman</v>
      </c>
      <c r="P115" s="13" t="str">
        <f t="shared" si="8"/>
        <v>IN</v>
      </c>
      <c r="Q115" s="13" t="str">
        <f t="shared" si="9"/>
        <v>2015</v>
      </c>
      <c r="R115" s="13" t="str">
        <f t="shared" si="10"/>
        <v>HIGH</v>
      </c>
      <c r="S115" s="13" t="str">
        <f t="shared" si="11"/>
        <v>furniture</v>
      </c>
      <c r="T115" s="21" t="str">
        <f t="shared" si="12"/>
        <v>42034</v>
      </c>
      <c r="U115" s="27" t="s">
        <v>2775</v>
      </c>
      <c r="V115" s="19" t="s">
        <v>2681</v>
      </c>
      <c r="W115" s="30">
        <v>2015</v>
      </c>
      <c r="X115" t="s">
        <v>2775</v>
      </c>
      <c r="Y115" s="28">
        <v>42034</v>
      </c>
      <c r="Z115" s="28" t="str">
        <f t="shared" si="13"/>
        <v>IN-2015-RA1988527-42034</v>
      </c>
    </row>
    <row r="116" spans="1:26" ht="15.75">
      <c r="A116" s="16" t="s">
        <v>831</v>
      </c>
      <c r="B116" s="4">
        <v>42161</v>
      </c>
      <c r="C116" s="4">
        <v>42162</v>
      </c>
      <c r="D116" s="5" t="s">
        <v>515</v>
      </c>
      <c r="E116" s="5" t="s">
        <v>40</v>
      </c>
      <c r="F116" s="5" t="s">
        <v>41</v>
      </c>
      <c r="G116" s="5" t="s">
        <v>17</v>
      </c>
      <c r="H116" s="5" t="s">
        <v>23</v>
      </c>
      <c r="I116" s="6">
        <v>470.37599999999998</v>
      </c>
      <c r="J116" s="5">
        <v>3</v>
      </c>
      <c r="K116" s="17">
        <v>0.2</v>
      </c>
      <c r="L116" s="6">
        <v>52.917299999999898</v>
      </c>
      <c r="M116" s="5" t="s">
        <v>37</v>
      </c>
      <c r="N116" s="7" t="s">
        <v>2679</v>
      </c>
      <c r="O116" s="8" t="str">
        <f t="shared" si="7"/>
        <v>Adrian Barton</v>
      </c>
      <c r="P116" s="8" t="str">
        <f t="shared" si="8"/>
        <v>CA</v>
      </c>
      <c r="Q116" s="8" t="str">
        <f t="shared" si="9"/>
        <v>2015</v>
      </c>
      <c r="R116" s="8" t="str">
        <f t="shared" si="10"/>
        <v>HIGH</v>
      </c>
      <c r="S116" s="8" t="str">
        <f t="shared" si="11"/>
        <v>technology</v>
      </c>
      <c r="T116" s="18" t="str">
        <f t="shared" si="12"/>
        <v>42161</v>
      </c>
      <c r="U116" s="27" t="s">
        <v>2776</v>
      </c>
      <c r="V116" s="16" t="s">
        <v>2683</v>
      </c>
      <c r="W116" s="30">
        <v>2015</v>
      </c>
      <c r="X116" t="s">
        <v>2776</v>
      </c>
      <c r="Y116" s="28">
        <v>42161</v>
      </c>
      <c r="Z116" s="28" t="str">
        <f t="shared" si="13"/>
        <v>CA-2015-AB10105140-42161</v>
      </c>
    </row>
    <row r="117" spans="1:26" ht="15.75">
      <c r="A117" s="19" t="s">
        <v>834</v>
      </c>
      <c r="B117" s="9">
        <v>41901</v>
      </c>
      <c r="C117" s="9">
        <v>41905</v>
      </c>
      <c r="D117" s="10" t="s">
        <v>835</v>
      </c>
      <c r="E117" s="10" t="s">
        <v>114</v>
      </c>
      <c r="F117" s="10" t="s">
        <v>115</v>
      </c>
      <c r="G117" s="10" t="s">
        <v>45</v>
      </c>
      <c r="H117" s="10" t="s">
        <v>23</v>
      </c>
      <c r="I117" s="11">
        <v>2249.16</v>
      </c>
      <c r="J117" s="10">
        <v>4</v>
      </c>
      <c r="K117" s="20">
        <v>0</v>
      </c>
      <c r="L117" s="11">
        <v>224.88</v>
      </c>
      <c r="M117" s="10" t="s">
        <v>37</v>
      </c>
      <c r="N117" s="12" t="s">
        <v>2679</v>
      </c>
      <c r="O117" s="13" t="str">
        <f t="shared" si="7"/>
        <v>Eric Murdock</v>
      </c>
      <c r="P117" s="13" t="str">
        <f t="shared" si="8"/>
        <v>ID</v>
      </c>
      <c r="Q117" s="13" t="str">
        <f t="shared" si="9"/>
        <v>2014</v>
      </c>
      <c r="R117" s="13" t="str">
        <f t="shared" si="10"/>
        <v>HIGH</v>
      </c>
      <c r="S117" s="13" t="str">
        <f t="shared" si="11"/>
        <v>office supplies</v>
      </c>
      <c r="T117" s="21" t="str">
        <f t="shared" si="12"/>
        <v>41901</v>
      </c>
      <c r="U117" s="27" t="s">
        <v>2777</v>
      </c>
      <c r="V117" s="19" t="s">
        <v>2705</v>
      </c>
      <c r="W117" s="30">
        <v>2014</v>
      </c>
      <c r="X117" t="s">
        <v>2777</v>
      </c>
      <c r="Y117" s="28">
        <v>41901</v>
      </c>
      <c r="Z117" s="28" t="str">
        <f t="shared" si="13"/>
        <v>ID-2014-EM1396058-41901</v>
      </c>
    </row>
    <row r="118" spans="1:26" ht="15.75">
      <c r="A118" s="16" t="s">
        <v>841</v>
      </c>
      <c r="B118" s="4">
        <v>41262</v>
      </c>
      <c r="C118" s="4">
        <v>41265</v>
      </c>
      <c r="D118" s="5" t="s">
        <v>515</v>
      </c>
      <c r="E118" s="5" t="s">
        <v>334</v>
      </c>
      <c r="F118" s="5" t="s">
        <v>41</v>
      </c>
      <c r="G118" s="5" t="s">
        <v>45</v>
      </c>
      <c r="H118" s="5" t="s">
        <v>44</v>
      </c>
      <c r="I118" s="6">
        <v>1103.97</v>
      </c>
      <c r="J118" s="5">
        <v>3</v>
      </c>
      <c r="K118" s="17">
        <v>0</v>
      </c>
      <c r="L118" s="6">
        <v>496.78649999999902</v>
      </c>
      <c r="M118" s="5" t="s">
        <v>19</v>
      </c>
      <c r="N118" s="7" t="s">
        <v>2679</v>
      </c>
      <c r="O118" s="8" t="str">
        <f t="shared" si="7"/>
        <v>Adrian Barton</v>
      </c>
      <c r="P118" s="8" t="str">
        <f t="shared" si="8"/>
        <v>CA</v>
      </c>
      <c r="Q118" s="8" t="str">
        <f t="shared" si="9"/>
        <v>2012</v>
      </c>
      <c r="R118" s="8" t="str">
        <f t="shared" si="10"/>
        <v>MEDIUM</v>
      </c>
      <c r="S118" s="8" t="str">
        <f t="shared" si="11"/>
        <v>office supplies</v>
      </c>
      <c r="T118" s="18" t="str">
        <f t="shared" si="12"/>
        <v>41262</v>
      </c>
      <c r="U118" s="27" t="s">
        <v>2776</v>
      </c>
      <c r="V118" s="16" t="s">
        <v>2683</v>
      </c>
      <c r="W118" s="30">
        <v>2012</v>
      </c>
      <c r="X118" t="s">
        <v>2776</v>
      </c>
      <c r="Y118" s="28">
        <v>41262</v>
      </c>
      <c r="Z118" s="28" t="str">
        <f t="shared" si="13"/>
        <v>CA-2012-AB10105140-41262</v>
      </c>
    </row>
    <row r="119" spans="1:26" ht="15.75">
      <c r="A119" s="19" t="s">
        <v>842</v>
      </c>
      <c r="B119" s="9">
        <v>42143</v>
      </c>
      <c r="C119" s="9">
        <v>42145</v>
      </c>
      <c r="D119" s="10" t="s">
        <v>515</v>
      </c>
      <c r="E119" s="10" t="s">
        <v>40</v>
      </c>
      <c r="F119" s="10" t="s">
        <v>43</v>
      </c>
      <c r="G119" s="10" t="s">
        <v>17</v>
      </c>
      <c r="H119" s="10" t="s">
        <v>26</v>
      </c>
      <c r="I119" s="11">
        <v>344.70400000000001</v>
      </c>
      <c r="J119" s="10">
        <v>2</v>
      </c>
      <c r="K119" s="20">
        <v>0.2</v>
      </c>
      <c r="L119" s="11">
        <v>38.779199999999904</v>
      </c>
      <c r="M119" s="10" t="s">
        <v>19</v>
      </c>
      <c r="N119" s="12" t="s">
        <v>2679</v>
      </c>
      <c r="O119" s="13" t="str">
        <f t="shared" si="7"/>
        <v>Adrian Barton</v>
      </c>
      <c r="P119" s="13" t="str">
        <f t="shared" si="8"/>
        <v>CA</v>
      </c>
      <c r="Q119" s="13" t="str">
        <f t="shared" si="9"/>
        <v>2015</v>
      </c>
      <c r="R119" s="13" t="str">
        <f t="shared" si="10"/>
        <v>MEDIUM</v>
      </c>
      <c r="S119" s="13" t="str">
        <f t="shared" si="11"/>
        <v>technology</v>
      </c>
      <c r="T119" s="21" t="str">
        <f t="shared" si="12"/>
        <v>42143</v>
      </c>
      <c r="U119" s="27" t="s">
        <v>2776</v>
      </c>
      <c r="V119" s="19" t="s">
        <v>2683</v>
      </c>
      <c r="W119" s="30">
        <v>2015</v>
      </c>
      <c r="X119" t="s">
        <v>2776</v>
      </c>
      <c r="Y119" s="28">
        <v>42143</v>
      </c>
      <c r="Z119" s="28" t="str">
        <f t="shared" si="13"/>
        <v>CA-2015-AB10105140-42143</v>
      </c>
    </row>
    <row r="120" spans="1:26" ht="15.75">
      <c r="A120" s="16" t="s">
        <v>845</v>
      </c>
      <c r="B120" s="4">
        <v>41807</v>
      </c>
      <c r="C120" s="4">
        <v>41809</v>
      </c>
      <c r="D120" s="5" t="s">
        <v>724</v>
      </c>
      <c r="E120" s="5" t="s">
        <v>70</v>
      </c>
      <c r="F120" s="5" t="s">
        <v>71</v>
      </c>
      <c r="G120" s="5" t="s">
        <v>17</v>
      </c>
      <c r="H120" s="5" t="s">
        <v>18</v>
      </c>
      <c r="I120" s="6">
        <v>1244.0999999999999</v>
      </c>
      <c r="J120" s="5">
        <v>5</v>
      </c>
      <c r="K120" s="17">
        <v>0</v>
      </c>
      <c r="L120" s="6">
        <v>447.75</v>
      </c>
      <c r="M120" s="5" t="s">
        <v>37</v>
      </c>
      <c r="N120" s="7" t="s">
        <v>2679</v>
      </c>
      <c r="O120" s="8" t="str">
        <f t="shared" si="7"/>
        <v>Stewart Visinsky</v>
      </c>
      <c r="P120" s="8" t="str">
        <f t="shared" si="8"/>
        <v>ES</v>
      </c>
      <c r="Q120" s="8" t="str">
        <f t="shared" si="9"/>
        <v>2014</v>
      </c>
      <c r="R120" s="8" t="str">
        <f t="shared" si="10"/>
        <v>HIGH</v>
      </c>
      <c r="S120" s="8" t="str">
        <f t="shared" si="11"/>
        <v>technology</v>
      </c>
      <c r="T120" s="18" t="str">
        <f t="shared" si="12"/>
        <v>41807</v>
      </c>
      <c r="U120" s="27" t="s">
        <v>2778</v>
      </c>
      <c r="V120" s="16" t="s">
        <v>2710</v>
      </c>
      <c r="W120" s="30">
        <v>2014</v>
      </c>
      <c r="X120" t="s">
        <v>2778</v>
      </c>
      <c r="Y120" s="28">
        <v>41807</v>
      </c>
      <c r="Z120" s="28" t="str">
        <f t="shared" si="13"/>
        <v>ES-2014-SV2078545-41807</v>
      </c>
    </row>
    <row r="121" spans="1:26" ht="15.75">
      <c r="A121" s="19" t="s">
        <v>848</v>
      </c>
      <c r="B121" s="9">
        <v>42266</v>
      </c>
      <c r="C121" s="9">
        <v>42268</v>
      </c>
      <c r="D121" s="10" t="s">
        <v>849</v>
      </c>
      <c r="E121" s="10" t="s">
        <v>15</v>
      </c>
      <c r="F121" s="10" t="s">
        <v>16</v>
      </c>
      <c r="G121" s="10" t="s">
        <v>32</v>
      </c>
      <c r="H121" s="10" t="s">
        <v>18</v>
      </c>
      <c r="I121" s="11">
        <v>1586.41199999999</v>
      </c>
      <c r="J121" s="10">
        <v>4</v>
      </c>
      <c r="K121" s="20">
        <v>0.1</v>
      </c>
      <c r="L121" s="11">
        <v>17.531999999999901</v>
      </c>
      <c r="M121" s="10" t="s">
        <v>37</v>
      </c>
      <c r="N121" s="12" t="s">
        <v>2679</v>
      </c>
      <c r="O121" s="13" t="str">
        <f t="shared" si="7"/>
        <v>Chad Sievert</v>
      </c>
      <c r="P121" s="13" t="str">
        <f t="shared" si="8"/>
        <v>IN</v>
      </c>
      <c r="Q121" s="13" t="str">
        <f t="shared" si="9"/>
        <v>2015</v>
      </c>
      <c r="R121" s="13" t="str">
        <f t="shared" si="10"/>
        <v>HIGH</v>
      </c>
      <c r="S121" s="13" t="str">
        <f t="shared" si="11"/>
        <v>furniture</v>
      </c>
      <c r="T121" s="21" t="str">
        <f t="shared" si="12"/>
        <v>42266</v>
      </c>
      <c r="U121" s="27" t="s">
        <v>2779</v>
      </c>
      <c r="V121" s="19" t="s">
        <v>2681</v>
      </c>
      <c r="W121" s="30">
        <v>2015</v>
      </c>
      <c r="X121" t="s">
        <v>2779</v>
      </c>
      <c r="Y121" s="28">
        <v>42266</v>
      </c>
      <c r="Z121" s="28" t="str">
        <f t="shared" si="13"/>
        <v>IN-2015-CS121307-42266</v>
      </c>
    </row>
    <row r="122" spans="1:26" ht="15.75">
      <c r="A122" s="16" t="s">
        <v>856</v>
      </c>
      <c r="B122" s="4">
        <v>42109</v>
      </c>
      <c r="C122" s="4">
        <v>42112</v>
      </c>
      <c r="D122" s="5" t="s">
        <v>741</v>
      </c>
      <c r="E122" s="5" t="s">
        <v>790</v>
      </c>
      <c r="F122" s="5" t="s">
        <v>115</v>
      </c>
      <c r="G122" s="5" t="s">
        <v>32</v>
      </c>
      <c r="H122" s="5" t="s">
        <v>73</v>
      </c>
      <c r="I122" s="6">
        <v>731.34</v>
      </c>
      <c r="J122" s="5">
        <v>2</v>
      </c>
      <c r="K122" s="17">
        <v>0</v>
      </c>
      <c r="L122" s="6">
        <v>80.400000000000006</v>
      </c>
      <c r="M122" s="5" t="s">
        <v>27</v>
      </c>
      <c r="N122" s="7" t="s">
        <v>2679</v>
      </c>
      <c r="O122" s="8" t="str">
        <f t="shared" si="7"/>
        <v>Maureen Gastineau</v>
      </c>
      <c r="P122" s="8" t="str">
        <f t="shared" si="8"/>
        <v>IR</v>
      </c>
      <c r="Q122" s="8" t="str">
        <f t="shared" si="9"/>
        <v>2015</v>
      </c>
      <c r="R122" s="8" t="str">
        <f t="shared" si="10"/>
        <v>CRITICAL</v>
      </c>
      <c r="S122" s="8" t="str">
        <f t="shared" si="11"/>
        <v>furniture</v>
      </c>
      <c r="T122" s="18" t="str">
        <f t="shared" si="12"/>
        <v>42109</v>
      </c>
      <c r="U122" s="27" t="s">
        <v>2780</v>
      </c>
      <c r="V122" s="16" t="s">
        <v>2781</v>
      </c>
      <c r="W122" s="30">
        <v>2015</v>
      </c>
      <c r="X122" t="s">
        <v>2780</v>
      </c>
      <c r="Y122" s="28">
        <v>42109</v>
      </c>
      <c r="Z122" s="28" t="str">
        <f t="shared" si="13"/>
        <v>IR-2015-MG768060-42109</v>
      </c>
    </row>
    <row r="123" spans="1:26" ht="15.75">
      <c r="A123" s="19" t="s">
        <v>857</v>
      </c>
      <c r="B123" s="9">
        <v>41585</v>
      </c>
      <c r="C123" s="9">
        <v>41590</v>
      </c>
      <c r="D123" s="10" t="s">
        <v>515</v>
      </c>
      <c r="E123" s="10" t="s">
        <v>40</v>
      </c>
      <c r="F123" s="10" t="s">
        <v>41</v>
      </c>
      <c r="G123" s="10" t="s">
        <v>17</v>
      </c>
      <c r="H123" s="10" t="s">
        <v>151</v>
      </c>
      <c r="I123" s="11">
        <v>287.909999999999</v>
      </c>
      <c r="J123" s="10">
        <v>3</v>
      </c>
      <c r="K123" s="20">
        <v>0.4</v>
      </c>
      <c r="L123" s="11">
        <v>33.589499999999902</v>
      </c>
      <c r="M123" s="10" t="s">
        <v>19</v>
      </c>
      <c r="N123" s="12" t="s">
        <v>2679</v>
      </c>
      <c r="O123" s="13" t="str">
        <f t="shared" si="7"/>
        <v>Adrian Barton</v>
      </c>
      <c r="P123" s="13" t="str">
        <f t="shared" si="8"/>
        <v>CA</v>
      </c>
      <c r="Q123" s="13" t="str">
        <f t="shared" si="9"/>
        <v>2013</v>
      </c>
      <c r="R123" s="13" t="str">
        <f t="shared" si="10"/>
        <v>MEDIUM</v>
      </c>
      <c r="S123" s="13" t="str">
        <f t="shared" si="11"/>
        <v>technology</v>
      </c>
      <c r="T123" s="21" t="str">
        <f t="shared" si="12"/>
        <v>41585</v>
      </c>
      <c r="U123" s="27" t="s">
        <v>2776</v>
      </c>
      <c r="V123" s="19" t="s">
        <v>2683</v>
      </c>
      <c r="W123" s="30">
        <v>2013</v>
      </c>
      <c r="X123" t="s">
        <v>2776</v>
      </c>
      <c r="Y123" s="28">
        <v>41585</v>
      </c>
      <c r="Z123" s="28" t="str">
        <f t="shared" si="13"/>
        <v>CA-2013-AB10105140-41585</v>
      </c>
    </row>
    <row r="124" spans="1:26" ht="15.75">
      <c r="A124" s="16" t="s">
        <v>858</v>
      </c>
      <c r="B124" s="4">
        <v>42129</v>
      </c>
      <c r="C124" s="4">
        <v>42131</v>
      </c>
      <c r="D124" s="5" t="s">
        <v>859</v>
      </c>
      <c r="E124" s="5" t="s">
        <v>114</v>
      </c>
      <c r="F124" s="5" t="s">
        <v>52</v>
      </c>
      <c r="G124" s="5" t="s">
        <v>17</v>
      </c>
      <c r="H124" s="5" t="s">
        <v>151</v>
      </c>
      <c r="I124" s="6">
        <v>1272.72</v>
      </c>
      <c r="J124" s="5">
        <v>4</v>
      </c>
      <c r="K124" s="17">
        <v>0</v>
      </c>
      <c r="L124" s="6">
        <v>534.48</v>
      </c>
      <c r="M124" s="5" t="s">
        <v>37</v>
      </c>
      <c r="N124" s="7" t="s">
        <v>2679</v>
      </c>
      <c r="O124" s="8" t="str">
        <f t="shared" si="7"/>
        <v>Cindy Chapman</v>
      </c>
      <c r="P124" s="8" t="str">
        <f t="shared" si="8"/>
        <v>IN</v>
      </c>
      <c r="Q124" s="8" t="str">
        <f t="shared" si="9"/>
        <v>2015</v>
      </c>
      <c r="R124" s="8" t="str">
        <f t="shared" si="10"/>
        <v>HIGH</v>
      </c>
      <c r="S124" s="8" t="str">
        <f t="shared" si="11"/>
        <v>technology</v>
      </c>
      <c r="T124" s="18" t="str">
        <f t="shared" si="12"/>
        <v>42129</v>
      </c>
      <c r="U124" s="27" t="s">
        <v>2782</v>
      </c>
      <c r="V124" s="16" t="s">
        <v>2681</v>
      </c>
      <c r="W124" s="30">
        <v>2015</v>
      </c>
      <c r="X124" t="s">
        <v>2782</v>
      </c>
      <c r="Y124" s="28">
        <v>42129</v>
      </c>
      <c r="Z124" s="28" t="str">
        <f t="shared" si="13"/>
        <v>IN-2015-CC1247558-42129</v>
      </c>
    </row>
    <row r="125" spans="1:26" ht="15.75">
      <c r="A125" s="19" t="s">
        <v>870</v>
      </c>
      <c r="B125" s="9">
        <v>41422</v>
      </c>
      <c r="C125" s="9">
        <v>41423</v>
      </c>
      <c r="D125" s="10" t="s">
        <v>871</v>
      </c>
      <c r="E125" s="10" t="s">
        <v>97</v>
      </c>
      <c r="F125" s="10" t="s">
        <v>98</v>
      </c>
      <c r="G125" s="10" t="s">
        <v>32</v>
      </c>
      <c r="H125" s="10" t="s">
        <v>26</v>
      </c>
      <c r="I125" s="11">
        <v>585.45600000000002</v>
      </c>
      <c r="J125" s="10">
        <v>3</v>
      </c>
      <c r="K125" s="20">
        <v>0.2</v>
      </c>
      <c r="L125" s="11">
        <v>-2.4000000000000899E-2</v>
      </c>
      <c r="M125" s="10" t="s">
        <v>27</v>
      </c>
      <c r="N125" s="12" t="s">
        <v>2679</v>
      </c>
      <c r="O125" s="13" t="str">
        <f t="shared" si="7"/>
        <v>Sara Luxemburg</v>
      </c>
      <c r="P125" s="13" t="str">
        <f t="shared" si="8"/>
        <v>US</v>
      </c>
      <c r="Q125" s="13" t="str">
        <f t="shared" si="9"/>
        <v>2013</v>
      </c>
      <c r="R125" s="13" t="str">
        <f t="shared" si="10"/>
        <v>CRITICAL</v>
      </c>
      <c r="S125" s="13" t="str">
        <f t="shared" si="11"/>
        <v>furniture</v>
      </c>
      <c r="T125" s="21" t="str">
        <f t="shared" si="12"/>
        <v>41422</v>
      </c>
      <c r="U125" s="27" t="s">
        <v>2783</v>
      </c>
      <c r="V125" s="19" t="s">
        <v>2685</v>
      </c>
      <c r="W125" s="30">
        <v>2013</v>
      </c>
      <c r="X125" t="s">
        <v>2783</v>
      </c>
      <c r="Y125" s="28">
        <v>41422</v>
      </c>
      <c r="Z125" s="28" t="str">
        <f t="shared" si="13"/>
        <v>US-2013-SL2015582-41422</v>
      </c>
    </row>
    <row r="126" spans="1:26" ht="15.75">
      <c r="A126" s="16" t="s">
        <v>872</v>
      </c>
      <c r="B126" s="4">
        <v>42143</v>
      </c>
      <c r="C126" s="5" t="s">
        <v>873</v>
      </c>
      <c r="D126" s="5" t="s">
        <v>406</v>
      </c>
      <c r="E126" s="5" t="s">
        <v>874</v>
      </c>
      <c r="F126" s="5" t="s">
        <v>25</v>
      </c>
      <c r="G126" s="5" t="s">
        <v>17</v>
      </c>
      <c r="H126" s="5" t="s">
        <v>18</v>
      </c>
      <c r="I126" s="6">
        <v>1429.4399999999901</v>
      </c>
      <c r="J126" s="5">
        <v>4</v>
      </c>
      <c r="K126" s="17">
        <v>0</v>
      </c>
      <c r="L126" s="6">
        <v>471.599999999999</v>
      </c>
      <c r="M126" s="5" t="s">
        <v>27</v>
      </c>
      <c r="N126" s="7" t="s">
        <v>2679</v>
      </c>
      <c r="O126" s="8" t="str">
        <f t="shared" si="7"/>
        <v>Nat Carroll</v>
      </c>
      <c r="P126" s="8" t="str">
        <f t="shared" si="8"/>
        <v>LI</v>
      </c>
      <c r="Q126" s="8" t="str">
        <f t="shared" si="9"/>
        <v>2015</v>
      </c>
      <c r="R126" s="8" t="str">
        <f t="shared" si="10"/>
        <v>CRITICAL</v>
      </c>
      <c r="S126" s="8" t="str">
        <f t="shared" si="11"/>
        <v>technology</v>
      </c>
      <c r="T126" s="18" t="str">
        <f t="shared" si="12"/>
        <v>42143</v>
      </c>
      <c r="U126" s="27" t="s">
        <v>2784</v>
      </c>
      <c r="V126" s="16" t="s">
        <v>2785</v>
      </c>
      <c r="W126" s="30">
        <v>2015</v>
      </c>
      <c r="X126" t="s">
        <v>2784</v>
      </c>
      <c r="Y126" s="28">
        <v>42143</v>
      </c>
      <c r="Z126" s="28" t="str">
        <f t="shared" si="13"/>
        <v>LI-2015-NC834073-42143</v>
      </c>
    </row>
    <row r="127" spans="1:26" ht="15.75">
      <c r="A127" s="19" t="s">
        <v>880</v>
      </c>
      <c r="B127" s="9">
        <v>42109</v>
      </c>
      <c r="C127" s="9">
        <v>42111</v>
      </c>
      <c r="D127" s="10" t="s">
        <v>881</v>
      </c>
      <c r="E127" s="10" t="s">
        <v>276</v>
      </c>
      <c r="F127" s="10" t="s">
        <v>61</v>
      </c>
      <c r="G127" s="10" t="s">
        <v>45</v>
      </c>
      <c r="H127" s="10" t="s">
        <v>151</v>
      </c>
      <c r="I127" s="11">
        <v>1792.4</v>
      </c>
      <c r="J127" s="10">
        <v>5</v>
      </c>
      <c r="K127" s="20">
        <v>0</v>
      </c>
      <c r="L127" s="11">
        <v>304.7</v>
      </c>
      <c r="M127" s="10" t="s">
        <v>27</v>
      </c>
      <c r="N127" s="12" t="s">
        <v>2679</v>
      </c>
      <c r="O127" s="13" t="str">
        <f t="shared" si="7"/>
        <v>Paul Stevenson</v>
      </c>
      <c r="P127" s="13" t="str">
        <f t="shared" si="8"/>
        <v>MX</v>
      </c>
      <c r="Q127" s="13" t="str">
        <f t="shared" si="9"/>
        <v>2015</v>
      </c>
      <c r="R127" s="13" t="str">
        <f t="shared" si="10"/>
        <v>CRITICAL</v>
      </c>
      <c r="S127" s="13" t="str">
        <f t="shared" si="11"/>
        <v>office supplies</v>
      </c>
      <c r="T127" s="21" t="str">
        <f t="shared" si="12"/>
        <v>42109</v>
      </c>
      <c r="U127" s="27" t="s">
        <v>2786</v>
      </c>
      <c r="V127" s="19" t="s">
        <v>2695</v>
      </c>
      <c r="W127" s="30">
        <v>2015</v>
      </c>
      <c r="X127" t="s">
        <v>2786</v>
      </c>
      <c r="Y127" s="28">
        <v>42109</v>
      </c>
      <c r="Z127" s="28" t="str">
        <f t="shared" si="13"/>
        <v>MX-2015-PS1897028-42109</v>
      </c>
    </row>
    <row r="128" spans="1:26" ht="15.75">
      <c r="A128" s="16" t="s">
        <v>897</v>
      </c>
      <c r="B128" s="4">
        <v>42347</v>
      </c>
      <c r="C128" s="4">
        <v>42350</v>
      </c>
      <c r="D128" s="5" t="s">
        <v>898</v>
      </c>
      <c r="E128" s="5" t="s">
        <v>899</v>
      </c>
      <c r="F128" s="5" t="s">
        <v>87</v>
      </c>
      <c r="G128" s="5" t="s">
        <v>17</v>
      </c>
      <c r="H128" s="5" t="s">
        <v>151</v>
      </c>
      <c r="I128" s="6">
        <v>1188.3599999999999</v>
      </c>
      <c r="J128" s="5">
        <v>4</v>
      </c>
      <c r="K128" s="17">
        <v>0</v>
      </c>
      <c r="L128" s="6">
        <v>95.039999999999907</v>
      </c>
      <c r="M128" s="5" t="s">
        <v>37</v>
      </c>
      <c r="N128" s="7" t="s">
        <v>2679</v>
      </c>
      <c r="O128" s="8" t="str">
        <f t="shared" si="7"/>
        <v>Cassandra Brandow</v>
      </c>
      <c r="P128" s="8" t="str">
        <f t="shared" si="8"/>
        <v>PL</v>
      </c>
      <c r="Q128" s="8" t="str">
        <f t="shared" si="9"/>
        <v>2015</v>
      </c>
      <c r="R128" s="8" t="str">
        <f t="shared" si="10"/>
        <v>HIGH</v>
      </c>
      <c r="S128" s="8" t="str">
        <f t="shared" si="11"/>
        <v>technology</v>
      </c>
      <c r="T128" s="18" t="str">
        <f t="shared" si="12"/>
        <v>42347</v>
      </c>
      <c r="U128" s="27" t="s">
        <v>2787</v>
      </c>
      <c r="V128" s="16" t="s">
        <v>2788</v>
      </c>
      <c r="W128" s="30">
        <v>2015</v>
      </c>
      <c r="X128" t="s">
        <v>2787</v>
      </c>
      <c r="Y128" s="28">
        <v>42347</v>
      </c>
      <c r="Z128" s="28" t="str">
        <f t="shared" si="13"/>
        <v>PL-2015-CB2025103-42347</v>
      </c>
    </row>
    <row r="129" spans="1:26" ht="15.75">
      <c r="A129" s="19" t="s">
        <v>900</v>
      </c>
      <c r="B129" s="9">
        <v>41249</v>
      </c>
      <c r="C129" s="9">
        <v>41253</v>
      </c>
      <c r="D129" s="10" t="s">
        <v>901</v>
      </c>
      <c r="E129" s="10" t="s">
        <v>15</v>
      </c>
      <c r="F129" s="10" t="s">
        <v>16</v>
      </c>
      <c r="G129" s="10" t="s">
        <v>17</v>
      </c>
      <c r="H129" s="10" t="s">
        <v>73</v>
      </c>
      <c r="I129" s="11">
        <v>2875.0949999999998</v>
      </c>
      <c r="J129" s="10">
        <v>5</v>
      </c>
      <c r="K129" s="20">
        <v>0.1</v>
      </c>
      <c r="L129" s="11">
        <v>511.094999999999</v>
      </c>
      <c r="M129" s="10" t="s">
        <v>37</v>
      </c>
      <c r="N129" s="12" t="s">
        <v>2679</v>
      </c>
      <c r="O129" s="13" t="str">
        <f t="shared" si="7"/>
        <v>Sample Company A</v>
      </c>
      <c r="P129" s="13" t="str">
        <f t="shared" si="8"/>
        <v>IN</v>
      </c>
      <c r="Q129" s="13" t="str">
        <f t="shared" si="9"/>
        <v>2012</v>
      </c>
      <c r="R129" s="13" t="str">
        <f t="shared" si="10"/>
        <v>HIGH</v>
      </c>
      <c r="S129" s="13" t="str">
        <f t="shared" si="11"/>
        <v>technology</v>
      </c>
      <c r="T129" s="21" t="str">
        <f t="shared" si="12"/>
        <v>41249</v>
      </c>
      <c r="U129" s="27" t="s">
        <v>2789</v>
      </c>
      <c r="V129" s="19" t="s">
        <v>2681</v>
      </c>
      <c r="W129" s="30">
        <v>2012</v>
      </c>
      <c r="X129" t="s">
        <v>2789</v>
      </c>
      <c r="Y129" s="28">
        <v>41249</v>
      </c>
      <c r="Z129" s="28" t="str">
        <f t="shared" si="13"/>
        <v>IN-2012-SC200507-41249</v>
      </c>
    </row>
    <row r="130" spans="1:26" ht="15.75">
      <c r="A130" s="16" t="s">
        <v>902</v>
      </c>
      <c r="B130" s="4">
        <v>41892</v>
      </c>
      <c r="C130" s="4">
        <v>41897</v>
      </c>
      <c r="D130" s="5" t="s">
        <v>237</v>
      </c>
      <c r="E130" s="5" t="s">
        <v>903</v>
      </c>
      <c r="F130" s="5" t="s">
        <v>107</v>
      </c>
      <c r="G130" s="5" t="s">
        <v>32</v>
      </c>
      <c r="H130" s="5" t="s">
        <v>33</v>
      </c>
      <c r="I130" s="6" t="s">
        <v>163</v>
      </c>
      <c r="J130" s="5">
        <v>5</v>
      </c>
      <c r="K130" s="17">
        <v>0</v>
      </c>
      <c r="L130" s="6">
        <v>952.2</v>
      </c>
      <c r="M130" s="5" t="s">
        <v>19</v>
      </c>
      <c r="N130" s="7" t="s">
        <v>2679</v>
      </c>
      <c r="O130" s="8" t="str">
        <f t="shared" ref="O130:O193" si="14">PROPER(D130)</f>
        <v>Anne Mcfarland</v>
      </c>
      <c r="P130" s="8" t="str">
        <f t="shared" ref="P130:P193" si="15">LEFT(A130,2)</f>
        <v>IT</v>
      </c>
      <c r="Q130" s="8" t="str">
        <f t="shared" ref="Q130:Q193" si="16">MID(A130,4,4)</f>
        <v>2014</v>
      </c>
      <c r="R130" s="8" t="str">
        <f t="shared" ref="R130:R193" si="17">UPPER(M130)</f>
        <v>MEDIUM</v>
      </c>
      <c r="S130" s="8" t="str">
        <f t="shared" ref="S130:S193" si="18">LOWER(G130)</f>
        <v>furniture</v>
      </c>
      <c r="T130" s="18" t="str">
        <f t="shared" ref="T130:T193" si="19">RIGHT(A130,5)</f>
        <v>41892</v>
      </c>
      <c r="U130" s="27" t="s">
        <v>2790</v>
      </c>
      <c r="V130" s="16" t="s">
        <v>2690</v>
      </c>
      <c r="W130" s="30">
        <v>2014</v>
      </c>
      <c r="X130" t="s">
        <v>2790</v>
      </c>
      <c r="Y130" s="28">
        <v>41892</v>
      </c>
      <c r="Z130" s="28" t="str">
        <f t="shared" ref="Z130:Z193" si="20">TRIM(A130)</f>
        <v>IT-2014-AM10705125-41892</v>
      </c>
    </row>
    <row r="131" spans="1:26" ht="15.75">
      <c r="A131" s="19" t="s">
        <v>909</v>
      </c>
      <c r="B131" s="9">
        <v>41962</v>
      </c>
      <c r="C131" s="9">
        <v>41962</v>
      </c>
      <c r="D131" s="10" t="s">
        <v>402</v>
      </c>
      <c r="E131" s="10" t="s">
        <v>910</v>
      </c>
      <c r="F131" s="10" t="s">
        <v>142</v>
      </c>
      <c r="G131" s="10" t="s">
        <v>45</v>
      </c>
      <c r="H131" s="10" t="s">
        <v>73</v>
      </c>
      <c r="I131" s="11">
        <v>1798.6763999999901</v>
      </c>
      <c r="J131" s="10">
        <v>4</v>
      </c>
      <c r="K131" s="20">
        <v>0.17</v>
      </c>
      <c r="L131" s="11">
        <v>86.636399999999895</v>
      </c>
      <c r="M131" s="10" t="s">
        <v>37</v>
      </c>
      <c r="N131" s="12" t="s">
        <v>2679</v>
      </c>
      <c r="O131" s="13" t="str">
        <f t="shared" si="14"/>
        <v>Toby Carlisle</v>
      </c>
      <c r="P131" s="13" t="str">
        <f t="shared" si="15"/>
        <v>IN</v>
      </c>
      <c r="Q131" s="13" t="str">
        <f t="shared" si="16"/>
        <v>2014</v>
      </c>
      <c r="R131" s="13" t="str">
        <f t="shared" si="17"/>
        <v>HIGH</v>
      </c>
      <c r="S131" s="13" t="str">
        <f t="shared" si="18"/>
        <v>office supplies</v>
      </c>
      <c r="T131" s="21" t="str">
        <f t="shared" si="19"/>
        <v>41962</v>
      </c>
      <c r="U131" s="27" t="s">
        <v>2791</v>
      </c>
      <c r="V131" s="19" t="s">
        <v>2681</v>
      </c>
      <c r="W131" s="30">
        <v>2014</v>
      </c>
      <c r="X131" t="s">
        <v>2791</v>
      </c>
      <c r="Y131" s="28">
        <v>41962</v>
      </c>
      <c r="Z131" s="28" t="str">
        <f t="shared" si="20"/>
        <v>IN-2014-TC21295130-41962</v>
      </c>
    </row>
    <row r="132" spans="1:26" ht="15.75">
      <c r="A132" s="16" t="s">
        <v>913</v>
      </c>
      <c r="B132" s="4">
        <v>42279</v>
      </c>
      <c r="C132" s="4">
        <v>42283</v>
      </c>
      <c r="D132" s="5" t="s">
        <v>255</v>
      </c>
      <c r="E132" s="5" t="s">
        <v>184</v>
      </c>
      <c r="F132" s="5" t="s">
        <v>115</v>
      </c>
      <c r="G132" s="5" t="s">
        <v>17</v>
      </c>
      <c r="H132" s="5" t="s">
        <v>26</v>
      </c>
      <c r="I132" s="6">
        <v>2575.92</v>
      </c>
      <c r="J132" s="5">
        <v>4</v>
      </c>
      <c r="K132" s="17">
        <v>0</v>
      </c>
      <c r="L132" s="6">
        <v>978.83999999999901</v>
      </c>
      <c r="M132" s="5" t="s">
        <v>37</v>
      </c>
      <c r="N132" s="7" t="s">
        <v>2679</v>
      </c>
      <c r="O132" s="8" t="str">
        <f t="shared" si="14"/>
        <v>Natalie Fritzler</v>
      </c>
      <c r="P132" s="8" t="str">
        <f t="shared" si="15"/>
        <v>IN</v>
      </c>
      <c r="Q132" s="8" t="str">
        <f t="shared" si="16"/>
        <v>2015</v>
      </c>
      <c r="R132" s="8" t="str">
        <f t="shared" si="17"/>
        <v>HIGH</v>
      </c>
      <c r="S132" s="8" t="str">
        <f t="shared" si="18"/>
        <v>technology</v>
      </c>
      <c r="T132" s="18" t="str">
        <f t="shared" si="19"/>
        <v>42279</v>
      </c>
      <c r="U132" s="27" t="s">
        <v>2792</v>
      </c>
      <c r="V132" s="16" t="s">
        <v>2681</v>
      </c>
      <c r="W132" s="30">
        <v>2015</v>
      </c>
      <c r="X132" t="s">
        <v>2792</v>
      </c>
      <c r="Y132" s="28">
        <v>42279</v>
      </c>
      <c r="Z132" s="28" t="str">
        <f t="shared" si="20"/>
        <v>IN-2015-NF1838511-42279</v>
      </c>
    </row>
    <row r="133" spans="1:26" ht="15.75">
      <c r="A133" s="19" t="s">
        <v>914</v>
      </c>
      <c r="B133" s="9">
        <v>42062</v>
      </c>
      <c r="C133" s="9">
        <v>42066</v>
      </c>
      <c r="D133" s="10" t="s">
        <v>583</v>
      </c>
      <c r="E133" s="10" t="s">
        <v>93</v>
      </c>
      <c r="F133" s="10" t="s">
        <v>94</v>
      </c>
      <c r="G133" s="10" t="s">
        <v>45</v>
      </c>
      <c r="H133" s="10" t="s">
        <v>23</v>
      </c>
      <c r="I133" s="11">
        <v>1699.83</v>
      </c>
      <c r="J133" s="10">
        <v>3</v>
      </c>
      <c r="K133" s="20">
        <v>0</v>
      </c>
      <c r="L133" s="11">
        <v>84.96</v>
      </c>
      <c r="M133" s="10" t="s">
        <v>37</v>
      </c>
      <c r="N133" s="12" t="s">
        <v>2679</v>
      </c>
      <c r="O133" s="13" t="str">
        <f t="shared" si="14"/>
        <v>Adam Shillingsburg</v>
      </c>
      <c r="P133" s="13" t="str">
        <f t="shared" si="15"/>
        <v>ES</v>
      </c>
      <c r="Q133" s="13" t="str">
        <f t="shared" si="16"/>
        <v>2015</v>
      </c>
      <c r="R133" s="13" t="str">
        <f t="shared" si="17"/>
        <v>HIGH</v>
      </c>
      <c r="S133" s="13" t="str">
        <f t="shared" si="18"/>
        <v>office supplies</v>
      </c>
      <c r="T133" s="21" t="str">
        <f t="shared" si="19"/>
        <v>42062</v>
      </c>
      <c r="U133" s="27" t="s">
        <v>2793</v>
      </c>
      <c r="V133" s="19" t="s">
        <v>2710</v>
      </c>
      <c r="W133" s="30">
        <v>2015</v>
      </c>
      <c r="X133" t="s">
        <v>2793</v>
      </c>
      <c r="Y133" s="28">
        <v>42062</v>
      </c>
      <c r="Z133" s="28" t="str">
        <f t="shared" si="20"/>
        <v>ES-2015-AS10090139-42062</v>
      </c>
    </row>
    <row r="134" spans="1:26" ht="15.75">
      <c r="A134" s="16" t="s">
        <v>920</v>
      </c>
      <c r="B134" s="4">
        <v>42133</v>
      </c>
      <c r="C134" s="4">
        <v>42139</v>
      </c>
      <c r="D134" s="5" t="s">
        <v>861</v>
      </c>
      <c r="E134" s="5" t="s">
        <v>114</v>
      </c>
      <c r="F134" s="5" t="s">
        <v>169</v>
      </c>
      <c r="G134" s="5" t="s">
        <v>32</v>
      </c>
      <c r="H134" s="5" t="s">
        <v>151</v>
      </c>
      <c r="I134" s="6">
        <v>4298.8500000000004</v>
      </c>
      <c r="J134" s="5">
        <v>5</v>
      </c>
      <c r="K134" s="17">
        <v>0</v>
      </c>
      <c r="L134" s="6">
        <v>300.89999999999998</v>
      </c>
      <c r="M134" s="5" t="s">
        <v>74</v>
      </c>
      <c r="N134" s="7" t="s">
        <v>2679</v>
      </c>
      <c r="O134" s="8" t="str">
        <f t="shared" si="14"/>
        <v>Larry Tron</v>
      </c>
      <c r="P134" s="8" t="str">
        <f t="shared" si="15"/>
        <v>IN</v>
      </c>
      <c r="Q134" s="8" t="str">
        <f t="shared" si="16"/>
        <v>2015</v>
      </c>
      <c r="R134" s="8" t="str">
        <f t="shared" si="17"/>
        <v>LOW</v>
      </c>
      <c r="S134" s="8" t="str">
        <f t="shared" si="18"/>
        <v>furniture</v>
      </c>
      <c r="T134" s="18" t="str">
        <f t="shared" si="19"/>
        <v>42133</v>
      </c>
      <c r="U134" s="27" t="s">
        <v>2794</v>
      </c>
      <c r="V134" s="16" t="s">
        <v>2681</v>
      </c>
      <c r="W134" s="30">
        <v>2015</v>
      </c>
      <c r="X134" t="s">
        <v>2794</v>
      </c>
      <c r="Y134" s="28">
        <v>42133</v>
      </c>
      <c r="Z134" s="28" t="str">
        <f t="shared" si="20"/>
        <v>IN-2015-LT1676558-42133</v>
      </c>
    </row>
    <row r="135" spans="1:26" ht="15.75">
      <c r="A135" s="19" t="s">
        <v>921</v>
      </c>
      <c r="B135" s="9">
        <v>41411</v>
      </c>
      <c r="C135" s="9">
        <v>41415</v>
      </c>
      <c r="D135" s="10" t="s">
        <v>113</v>
      </c>
      <c r="E135" s="10" t="s">
        <v>197</v>
      </c>
      <c r="F135" s="10" t="s">
        <v>77</v>
      </c>
      <c r="G135" s="10" t="s">
        <v>45</v>
      </c>
      <c r="H135" s="10" t="s">
        <v>44</v>
      </c>
      <c r="I135" s="11">
        <v>2080.3199999999902</v>
      </c>
      <c r="J135" s="10">
        <v>4</v>
      </c>
      <c r="K135" s="20">
        <v>0</v>
      </c>
      <c r="L135" s="11">
        <v>561.599999999999</v>
      </c>
      <c r="M135" s="10" t="s">
        <v>37</v>
      </c>
      <c r="N135" s="12" t="s">
        <v>2679</v>
      </c>
      <c r="O135" s="13" t="str">
        <f t="shared" si="14"/>
        <v>Benjamin Patterson</v>
      </c>
      <c r="P135" s="13" t="str">
        <f t="shared" si="15"/>
        <v>ES</v>
      </c>
      <c r="Q135" s="13" t="str">
        <f t="shared" si="16"/>
        <v>2013</v>
      </c>
      <c r="R135" s="13" t="str">
        <f t="shared" si="17"/>
        <v>HIGH</v>
      </c>
      <c r="S135" s="13" t="str">
        <f t="shared" si="18"/>
        <v>office supplies</v>
      </c>
      <c r="T135" s="21" t="str">
        <f t="shared" si="19"/>
        <v>41411</v>
      </c>
      <c r="U135" s="27" t="s">
        <v>2795</v>
      </c>
      <c r="V135" s="19" t="s">
        <v>2710</v>
      </c>
      <c r="W135" s="30">
        <v>2013</v>
      </c>
      <c r="X135" t="s">
        <v>2795</v>
      </c>
      <c r="Y135" s="28">
        <v>41411</v>
      </c>
      <c r="Z135" s="28" t="str">
        <f t="shared" si="20"/>
        <v>ES-2013-BP11230120-41411</v>
      </c>
    </row>
    <row r="136" spans="1:26" ht="15.75">
      <c r="A136" s="16" t="s">
        <v>922</v>
      </c>
      <c r="B136" s="4">
        <v>41123</v>
      </c>
      <c r="C136" s="4">
        <v>41126</v>
      </c>
      <c r="D136" s="5" t="s">
        <v>284</v>
      </c>
      <c r="E136" s="5" t="s">
        <v>114</v>
      </c>
      <c r="F136" s="5" t="s">
        <v>115</v>
      </c>
      <c r="G136" s="5" t="s">
        <v>17</v>
      </c>
      <c r="H136" s="5" t="s">
        <v>73</v>
      </c>
      <c r="I136" s="6">
        <v>840.6</v>
      </c>
      <c r="J136" s="5">
        <v>5</v>
      </c>
      <c r="K136" s="17">
        <v>0</v>
      </c>
      <c r="L136" s="6">
        <v>319.349999999999</v>
      </c>
      <c r="M136" s="5" t="s">
        <v>27</v>
      </c>
      <c r="N136" s="7" t="s">
        <v>2679</v>
      </c>
      <c r="O136" s="8" t="str">
        <f t="shared" si="14"/>
        <v>Don Miller</v>
      </c>
      <c r="P136" s="8" t="str">
        <f t="shared" si="15"/>
        <v>IN</v>
      </c>
      <c r="Q136" s="8" t="str">
        <f t="shared" si="16"/>
        <v>2012</v>
      </c>
      <c r="R136" s="8" t="str">
        <f t="shared" si="17"/>
        <v>CRITICAL</v>
      </c>
      <c r="S136" s="8" t="str">
        <f t="shared" si="18"/>
        <v>technology</v>
      </c>
      <c r="T136" s="18" t="str">
        <f t="shared" si="19"/>
        <v>41123</v>
      </c>
      <c r="U136" s="27" t="s">
        <v>2796</v>
      </c>
      <c r="V136" s="16" t="s">
        <v>2681</v>
      </c>
      <c r="W136" s="30">
        <v>2012</v>
      </c>
      <c r="X136" t="s">
        <v>2796</v>
      </c>
      <c r="Y136" s="28">
        <v>41123</v>
      </c>
      <c r="Z136" s="28" t="str">
        <f t="shared" si="20"/>
        <v>IN-2012-DM1352558-41123</v>
      </c>
    </row>
    <row r="137" spans="1:26" ht="15.75">
      <c r="A137" s="19" t="s">
        <v>933</v>
      </c>
      <c r="B137" s="9">
        <v>41956</v>
      </c>
      <c r="C137" s="9">
        <v>41961</v>
      </c>
      <c r="D137" s="10" t="s">
        <v>30</v>
      </c>
      <c r="E137" s="10" t="s">
        <v>934</v>
      </c>
      <c r="F137" s="10" t="s">
        <v>61</v>
      </c>
      <c r="G137" s="10" t="s">
        <v>17</v>
      </c>
      <c r="H137" s="10" t="s">
        <v>151</v>
      </c>
      <c r="I137" s="11">
        <v>2171.3000000000002</v>
      </c>
      <c r="J137" s="10">
        <v>5</v>
      </c>
      <c r="K137" s="20">
        <v>0</v>
      </c>
      <c r="L137" s="11">
        <v>390.79999999999899</v>
      </c>
      <c r="M137" s="10" t="s">
        <v>37</v>
      </c>
      <c r="N137" s="12" t="s">
        <v>2679</v>
      </c>
      <c r="O137" s="13" t="str">
        <f t="shared" si="14"/>
        <v>Toby Swindell</v>
      </c>
      <c r="P137" s="13" t="str">
        <f t="shared" si="15"/>
        <v>MX</v>
      </c>
      <c r="Q137" s="13" t="str">
        <f t="shared" si="16"/>
        <v>2014</v>
      </c>
      <c r="R137" s="13" t="str">
        <f t="shared" si="17"/>
        <v>HIGH</v>
      </c>
      <c r="S137" s="13" t="str">
        <f t="shared" si="18"/>
        <v>technology</v>
      </c>
      <c r="T137" s="21" t="str">
        <f t="shared" si="19"/>
        <v>41956</v>
      </c>
      <c r="U137" s="27" t="s">
        <v>2797</v>
      </c>
      <c r="V137" s="19" t="s">
        <v>2695</v>
      </c>
      <c r="W137" s="30">
        <v>2014</v>
      </c>
      <c r="X137" t="s">
        <v>2797</v>
      </c>
      <c r="Y137" s="28">
        <v>41956</v>
      </c>
      <c r="Z137" s="28" t="str">
        <f t="shared" si="20"/>
        <v>MX-2014-TS2134018-41956</v>
      </c>
    </row>
    <row r="138" spans="1:26" ht="15.75">
      <c r="A138" s="16" t="s">
        <v>857</v>
      </c>
      <c r="B138" s="4">
        <v>41585</v>
      </c>
      <c r="C138" s="4">
        <v>41590</v>
      </c>
      <c r="D138" s="5" t="s">
        <v>515</v>
      </c>
      <c r="E138" s="5" t="s">
        <v>40</v>
      </c>
      <c r="F138" s="5" t="s">
        <v>41</v>
      </c>
      <c r="G138" s="5" t="s">
        <v>45</v>
      </c>
      <c r="H138" s="5" t="s">
        <v>26</v>
      </c>
      <c r="I138" s="6">
        <v>177.648</v>
      </c>
      <c r="J138" s="5">
        <v>2</v>
      </c>
      <c r="K138" s="17">
        <v>0.2</v>
      </c>
      <c r="L138" s="6">
        <v>-28.867799999999999</v>
      </c>
      <c r="M138" s="5" t="s">
        <v>19</v>
      </c>
      <c r="N138" s="7" t="s">
        <v>2679</v>
      </c>
      <c r="O138" s="8" t="str">
        <f t="shared" si="14"/>
        <v>Adrian Barton</v>
      </c>
      <c r="P138" s="8" t="str">
        <f t="shared" si="15"/>
        <v>CA</v>
      </c>
      <c r="Q138" s="8" t="str">
        <f t="shared" si="16"/>
        <v>2013</v>
      </c>
      <c r="R138" s="8" t="str">
        <f t="shared" si="17"/>
        <v>MEDIUM</v>
      </c>
      <c r="S138" s="8" t="str">
        <f t="shared" si="18"/>
        <v>office supplies</v>
      </c>
      <c r="T138" s="18" t="str">
        <f t="shared" si="19"/>
        <v>41585</v>
      </c>
      <c r="U138" s="27" t="s">
        <v>2776</v>
      </c>
      <c r="V138" s="16" t="s">
        <v>2683</v>
      </c>
      <c r="W138" s="30">
        <v>2013</v>
      </c>
      <c r="X138" t="s">
        <v>2776</v>
      </c>
      <c r="Y138" s="28">
        <v>41585</v>
      </c>
      <c r="Z138" s="28" t="str">
        <f t="shared" si="20"/>
        <v>CA-2013-AB10105140-41585</v>
      </c>
    </row>
    <row r="139" spans="1:26" ht="15.75">
      <c r="A139" s="19" t="s">
        <v>924</v>
      </c>
      <c r="B139" s="9">
        <v>42267</v>
      </c>
      <c r="C139" s="9">
        <v>42273</v>
      </c>
      <c r="D139" s="10" t="s">
        <v>515</v>
      </c>
      <c r="E139" s="10" t="s">
        <v>40</v>
      </c>
      <c r="F139" s="10" t="s">
        <v>43</v>
      </c>
      <c r="G139" s="10" t="s">
        <v>17</v>
      </c>
      <c r="H139" s="10" t="s">
        <v>151</v>
      </c>
      <c r="I139" s="11">
        <v>89.584000000000003</v>
      </c>
      <c r="J139" s="10">
        <v>2</v>
      </c>
      <c r="K139" s="20">
        <v>0.2</v>
      </c>
      <c r="L139" s="11">
        <v>4.4791999999999996</v>
      </c>
      <c r="M139" s="10" t="s">
        <v>74</v>
      </c>
      <c r="N139" s="12" t="s">
        <v>2679</v>
      </c>
      <c r="O139" s="13" t="str">
        <f t="shared" si="14"/>
        <v>Adrian Barton</v>
      </c>
      <c r="P139" s="13" t="str">
        <f t="shared" si="15"/>
        <v>CA</v>
      </c>
      <c r="Q139" s="13" t="str">
        <f t="shared" si="16"/>
        <v>2015</v>
      </c>
      <c r="R139" s="13" t="str">
        <f t="shared" si="17"/>
        <v>LOW</v>
      </c>
      <c r="S139" s="13" t="str">
        <f t="shared" si="18"/>
        <v>technology</v>
      </c>
      <c r="T139" s="21" t="str">
        <f t="shared" si="19"/>
        <v>42267</v>
      </c>
      <c r="U139" s="27" t="s">
        <v>2776</v>
      </c>
      <c r="V139" s="19" t="s">
        <v>2683</v>
      </c>
      <c r="W139" s="30">
        <v>2015</v>
      </c>
      <c r="X139" t="s">
        <v>2776</v>
      </c>
      <c r="Y139" s="28">
        <v>42267</v>
      </c>
      <c r="Z139" s="28" t="str">
        <f t="shared" si="20"/>
        <v>CA-2015-AB10105140-42267</v>
      </c>
    </row>
    <row r="140" spans="1:26" ht="15.75">
      <c r="A140" s="16" t="s">
        <v>948</v>
      </c>
      <c r="B140" s="4">
        <v>42263</v>
      </c>
      <c r="C140" s="4">
        <v>42265</v>
      </c>
      <c r="D140" s="5" t="s">
        <v>876</v>
      </c>
      <c r="E140" s="5" t="s">
        <v>358</v>
      </c>
      <c r="F140" s="5" t="s">
        <v>98</v>
      </c>
      <c r="G140" s="5" t="s">
        <v>17</v>
      </c>
      <c r="H140" s="5" t="s">
        <v>151</v>
      </c>
      <c r="I140" s="6">
        <v>1258.7773999999999</v>
      </c>
      <c r="J140" s="5">
        <v>5</v>
      </c>
      <c r="K140" s="17">
        <v>2E-3</v>
      </c>
      <c r="L140" s="6">
        <v>375.77739999999898</v>
      </c>
      <c r="M140" s="5" t="s">
        <v>37</v>
      </c>
      <c r="N140" s="7" t="s">
        <v>2679</v>
      </c>
      <c r="O140" s="8" t="str">
        <f t="shared" si="14"/>
        <v>Jennifer Braxton</v>
      </c>
      <c r="P140" s="8" t="str">
        <f t="shared" si="15"/>
        <v>MX</v>
      </c>
      <c r="Q140" s="8" t="str">
        <f t="shared" si="16"/>
        <v>2015</v>
      </c>
      <c r="R140" s="8" t="str">
        <f t="shared" si="17"/>
        <v>HIGH</v>
      </c>
      <c r="S140" s="8" t="str">
        <f t="shared" si="18"/>
        <v>technology</v>
      </c>
      <c r="T140" s="18" t="str">
        <f t="shared" si="19"/>
        <v>42263</v>
      </c>
      <c r="U140" s="27" t="s">
        <v>2798</v>
      </c>
      <c r="V140" s="16" t="s">
        <v>2695</v>
      </c>
      <c r="W140" s="30">
        <v>2015</v>
      </c>
      <c r="X140" t="s">
        <v>2798</v>
      </c>
      <c r="Y140" s="28">
        <v>42263</v>
      </c>
      <c r="Z140" s="28" t="str">
        <f t="shared" si="20"/>
        <v>MX-2015-JB1540051-42263</v>
      </c>
    </row>
    <row r="141" spans="1:26" ht="15.75">
      <c r="A141" s="19" t="s">
        <v>952</v>
      </c>
      <c r="B141" s="9">
        <v>42255</v>
      </c>
      <c r="C141" s="9">
        <v>42258</v>
      </c>
      <c r="D141" s="10" t="s">
        <v>953</v>
      </c>
      <c r="E141" s="10" t="s">
        <v>101</v>
      </c>
      <c r="F141" s="10" t="s">
        <v>98</v>
      </c>
      <c r="G141" s="10" t="s">
        <v>17</v>
      </c>
      <c r="H141" s="10" t="s">
        <v>23</v>
      </c>
      <c r="I141" s="11">
        <v>1274.7</v>
      </c>
      <c r="J141" s="10">
        <v>3</v>
      </c>
      <c r="K141" s="20">
        <v>0</v>
      </c>
      <c r="L141" s="11">
        <v>293.16000000000003</v>
      </c>
      <c r="M141" s="10" t="s">
        <v>762</v>
      </c>
      <c r="N141" s="12" t="s">
        <v>2679</v>
      </c>
      <c r="O141" s="13" t="str">
        <f t="shared" si="14"/>
        <v>Sarah Foster</v>
      </c>
      <c r="P141" s="13" t="str">
        <f t="shared" si="15"/>
        <v>MX</v>
      </c>
      <c r="Q141" s="13" t="str">
        <f t="shared" si="16"/>
        <v>2015</v>
      </c>
      <c r="R141" s="13" t="str">
        <f t="shared" si="17"/>
        <v>CRITICAL#</v>
      </c>
      <c r="S141" s="13" t="str">
        <f t="shared" si="18"/>
        <v>technology</v>
      </c>
      <c r="T141" s="21" t="str">
        <f t="shared" si="19"/>
        <v>42255</v>
      </c>
      <c r="U141" s="27" t="s">
        <v>2799</v>
      </c>
      <c r="V141" s="19" t="s">
        <v>2695</v>
      </c>
      <c r="W141" s="30">
        <v>2015</v>
      </c>
      <c r="X141" t="s">
        <v>2799</v>
      </c>
      <c r="Y141" s="28">
        <v>42255</v>
      </c>
      <c r="Z141" s="28" t="str">
        <f t="shared" si="20"/>
        <v>MX-2015-SF2020039-42255</v>
      </c>
    </row>
    <row r="142" spans="1:26" ht="15.75">
      <c r="A142" s="16" t="s">
        <v>956</v>
      </c>
      <c r="B142" s="4">
        <v>42052</v>
      </c>
      <c r="C142" s="4">
        <v>42053</v>
      </c>
      <c r="D142" s="5" t="s">
        <v>957</v>
      </c>
      <c r="E142" s="5" t="s">
        <v>250</v>
      </c>
      <c r="F142" s="5" t="s">
        <v>142</v>
      </c>
      <c r="G142" s="5" t="s">
        <v>32</v>
      </c>
      <c r="H142" s="5" t="s">
        <v>23</v>
      </c>
      <c r="I142" s="6">
        <v>1046.24999999999</v>
      </c>
      <c r="J142" s="5">
        <v>3</v>
      </c>
      <c r="K142" s="17">
        <v>0.25</v>
      </c>
      <c r="L142" s="6">
        <v>-111.599999999999</v>
      </c>
      <c r="M142" s="5" t="s">
        <v>37</v>
      </c>
      <c r="N142" s="7" t="s">
        <v>2679</v>
      </c>
      <c r="O142" s="8" t="str">
        <f t="shared" si="14"/>
        <v>Keith Herrera</v>
      </c>
      <c r="P142" s="8" t="str">
        <f t="shared" si="15"/>
        <v>ID</v>
      </c>
      <c r="Q142" s="8" t="str">
        <f t="shared" si="16"/>
        <v>2015</v>
      </c>
      <c r="R142" s="8" t="str">
        <f t="shared" si="17"/>
        <v>HIGH</v>
      </c>
      <c r="S142" s="8" t="str">
        <f t="shared" si="18"/>
        <v>furniture</v>
      </c>
      <c r="T142" s="18" t="str">
        <f t="shared" si="19"/>
        <v>2052#</v>
      </c>
      <c r="U142" s="27" t="s">
        <v>2800</v>
      </c>
      <c r="V142" s="16" t="s">
        <v>2705</v>
      </c>
      <c r="W142" s="30">
        <v>2015</v>
      </c>
      <c r="X142" t="s">
        <v>2800</v>
      </c>
      <c r="Y142" s="28" t="s">
        <v>2801</v>
      </c>
      <c r="Z142" s="28" t="str">
        <f t="shared" si="20"/>
        <v>ID-2015-KH16510102-42052#</v>
      </c>
    </row>
    <row r="143" spans="1:26" ht="15.75">
      <c r="A143" s="19" t="s">
        <v>958</v>
      </c>
      <c r="B143" s="9">
        <v>41328</v>
      </c>
      <c r="C143" s="9">
        <v>41333</v>
      </c>
      <c r="D143" s="10" t="s">
        <v>959</v>
      </c>
      <c r="E143" s="10" t="s">
        <v>114</v>
      </c>
      <c r="F143" s="10" t="s">
        <v>115</v>
      </c>
      <c r="G143" s="10" t="s">
        <v>17</v>
      </c>
      <c r="H143" s="10" t="s">
        <v>23</v>
      </c>
      <c r="I143" s="11">
        <v>3187.2</v>
      </c>
      <c r="J143" s="10">
        <v>5</v>
      </c>
      <c r="K143" s="20">
        <v>0</v>
      </c>
      <c r="L143" s="11">
        <v>541.79999999999995</v>
      </c>
      <c r="M143" s="10" t="s">
        <v>19</v>
      </c>
      <c r="N143" s="12" t="s">
        <v>2679</v>
      </c>
      <c r="O143" s="13" t="str">
        <f t="shared" si="14"/>
        <v>Denise Leinenbach</v>
      </c>
      <c r="P143" s="13" t="str">
        <f t="shared" si="15"/>
        <v>IN</v>
      </c>
      <c r="Q143" s="13" t="str">
        <f t="shared" si="16"/>
        <v>2013</v>
      </c>
      <c r="R143" s="13" t="str">
        <f t="shared" si="17"/>
        <v>MEDIUM</v>
      </c>
      <c r="S143" s="13" t="str">
        <f t="shared" si="18"/>
        <v>technology</v>
      </c>
      <c r="T143" s="21" t="str">
        <f t="shared" si="19"/>
        <v>41328</v>
      </c>
      <c r="U143" s="27" t="s">
        <v>2802</v>
      </c>
      <c r="V143" s="19" t="s">
        <v>2681</v>
      </c>
      <c r="W143" s="30">
        <v>2013</v>
      </c>
      <c r="X143" t="s">
        <v>2802</v>
      </c>
      <c r="Y143" s="28">
        <v>41328</v>
      </c>
      <c r="Z143" s="28" t="str">
        <f t="shared" si="20"/>
        <v>IN-2013-DL1333058-41328</v>
      </c>
    </row>
    <row r="144" spans="1:26" ht="15.75">
      <c r="A144" s="16" t="s">
        <v>963</v>
      </c>
      <c r="B144" s="4">
        <v>41620</v>
      </c>
      <c r="C144" s="4">
        <v>41622</v>
      </c>
      <c r="D144" s="5" t="s">
        <v>964</v>
      </c>
      <c r="E144" s="5" t="s">
        <v>66</v>
      </c>
      <c r="F144" s="5" t="s">
        <v>90</v>
      </c>
      <c r="G144" s="5" t="s">
        <v>45</v>
      </c>
      <c r="H144" s="5" t="s">
        <v>26</v>
      </c>
      <c r="I144" s="6">
        <v>703.35</v>
      </c>
      <c r="J144" s="5">
        <v>5</v>
      </c>
      <c r="K144" s="17">
        <v>0</v>
      </c>
      <c r="L144" s="6">
        <v>260.099999999999</v>
      </c>
      <c r="M144" s="5" t="s">
        <v>27</v>
      </c>
      <c r="N144" s="7" t="s">
        <v>2679</v>
      </c>
      <c r="O144" s="8" t="str">
        <f t="shared" si="14"/>
        <v>Susan Vittorini</v>
      </c>
      <c r="P144" s="8" t="str">
        <f t="shared" si="15"/>
        <v>IN</v>
      </c>
      <c r="Q144" s="8" t="str">
        <f t="shared" si="16"/>
        <v>2013</v>
      </c>
      <c r="R144" s="8" t="str">
        <f t="shared" si="17"/>
        <v>CRITICAL</v>
      </c>
      <c r="S144" s="8" t="str">
        <f t="shared" si="18"/>
        <v>office supplies</v>
      </c>
      <c r="T144" s="18" t="str">
        <f t="shared" si="19"/>
        <v>41620</v>
      </c>
      <c r="U144" s="27" t="s">
        <v>2803</v>
      </c>
      <c r="V144" s="16" t="s">
        <v>2681</v>
      </c>
      <c r="W144" s="30">
        <v>2013</v>
      </c>
      <c r="X144" t="s">
        <v>2803</v>
      </c>
      <c r="Y144" s="28">
        <v>41620</v>
      </c>
      <c r="Z144" s="28" t="str">
        <f t="shared" si="20"/>
        <v>IN-2013-SV2093527-41620</v>
      </c>
    </row>
    <row r="145" spans="1:26" ht="15.75">
      <c r="A145" s="19" t="s">
        <v>976</v>
      </c>
      <c r="B145" s="9">
        <v>41895</v>
      </c>
      <c r="C145" s="9">
        <v>41895</v>
      </c>
      <c r="D145" s="10" t="s">
        <v>977</v>
      </c>
      <c r="E145" s="10" t="s">
        <v>114</v>
      </c>
      <c r="F145" s="10" t="s">
        <v>115</v>
      </c>
      <c r="G145" s="10" t="s">
        <v>17</v>
      </c>
      <c r="H145" s="10" t="s">
        <v>73</v>
      </c>
      <c r="I145" s="11">
        <v>840.15</v>
      </c>
      <c r="J145" s="10">
        <v>5</v>
      </c>
      <c r="K145" s="20">
        <v>0</v>
      </c>
      <c r="L145" s="11">
        <v>260.39999999999998</v>
      </c>
      <c r="M145" s="10" t="s">
        <v>27</v>
      </c>
      <c r="N145" s="12" t="s">
        <v>2679</v>
      </c>
      <c r="O145" s="13" t="str">
        <f t="shared" si="14"/>
        <v>Jim Epp</v>
      </c>
      <c r="P145" s="13" t="str">
        <f t="shared" si="15"/>
        <v>IN</v>
      </c>
      <c r="Q145" s="13" t="str">
        <f t="shared" si="16"/>
        <v>2014</v>
      </c>
      <c r="R145" s="13" t="str">
        <f t="shared" si="17"/>
        <v>CRITICAL</v>
      </c>
      <c r="S145" s="13" t="str">
        <f t="shared" si="18"/>
        <v>technology</v>
      </c>
      <c r="T145" s="21" t="str">
        <f t="shared" si="19"/>
        <v>41895</v>
      </c>
      <c r="U145" s="27" t="s">
        <v>2804</v>
      </c>
      <c r="V145" s="19" t="s">
        <v>2681</v>
      </c>
      <c r="W145" s="30">
        <v>2014</v>
      </c>
      <c r="X145" t="s">
        <v>2804</v>
      </c>
      <c r="Y145" s="28">
        <v>41895</v>
      </c>
      <c r="Z145" s="28" t="str">
        <f t="shared" si="20"/>
        <v>IN-2014-JE1561058-41895</v>
      </c>
    </row>
    <row r="146" spans="1:26" ht="15.75">
      <c r="A146" s="16" t="s">
        <v>978</v>
      </c>
      <c r="B146" s="4">
        <v>41845</v>
      </c>
      <c r="C146" s="14">
        <v>41848</v>
      </c>
      <c r="D146" s="5" t="s">
        <v>979</v>
      </c>
      <c r="E146" s="5" t="s">
        <v>66</v>
      </c>
      <c r="F146" s="5" t="s">
        <v>90</v>
      </c>
      <c r="G146" s="5" t="s">
        <v>32</v>
      </c>
      <c r="H146" s="5" t="s">
        <v>127</v>
      </c>
      <c r="I146" s="6">
        <v>1236.33</v>
      </c>
      <c r="J146" s="5">
        <v>3</v>
      </c>
      <c r="K146" s="17">
        <v>0</v>
      </c>
      <c r="L146" s="6">
        <v>519.21</v>
      </c>
      <c r="M146" s="5" t="s">
        <v>19</v>
      </c>
      <c r="N146" s="7" t="s">
        <v>2679</v>
      </c>
      <c r="O146" s="8" t="str">
        <f t="shared" si="14"/>
        <v>Gary Hwang</v>
      </c>
      <c r="P146" s="8" t="str">
        <f t="shared" si="15"/>
        <v>IN</v>
      </c>
      <c r="Q146" s="8" t="str">
        <f t="shared" si="16"/>
        <v>2014</v>
      </c>
      <c r="R146" s="8" t="str">
        <f t="shared" si="17"/>
        <v>MEDIUM</v>
      </c>
      <c r="S146" s="8" t="str">
        <f t="shared" si="18"/>
        <v>furniture</v>
      </c>
      <c r="T146" s="18" t="str">
        <f t="shared" si="19"/>
        <v>41845</v>
      </c>
      <c r="U146" s="27" t="s">
        <v>2805</v>
      </c>
      <c r="V146" s="16" t="s">
        <v>2681</v>
      </c>
      <c r="W146" s="30">
        <v>2014</v>
      </c>
      <c r="X146" t="s">
        <v>2805</v>
      </c>
      <c r="Y146" s="28">
        <v>41845</v>
      </c>
      <c r="Z146" s="28" t="str">
        <f t="shared" si="20"/>
        <v>IN-2014-GH1442527-41845</v>
      </c>
    </row>
    <row r="147" spans="1:26" ht="15.75">
      <c r="A147" s="19" t="s">
        <v>857</v>
      </c>
      <c r="B147" s="9">
        <v>41585</v>
      </c>
      <c r="C147" s="9">
        <v>41590</v>
      </c>
      <c r="D147" s="10" t="s">
        <v>515</v>
      </c>
      <c r="E147" s="10" t="s">
        <v>40</v>
      </c>
      <c r="F147" s="10" t="s">
        <v>41</v>
      </c>
      <c r="G147" s="10" t="s">
        <v>32</v>
      </c>
      <c r="H147" s="10" t="s">
        <v>73</v>
      </c>
      <c r="I147" s="11">
        <v>64.959999999999994</v>
      </c>
      <c r="J147" s="10">
        <v>5</v>
      </c>
      <c r="K147" s="20">
        <v>0.6</v>
      </c>
      <c r="L147" s="11">
        <v>-84.447999999999993</v>
      </c>
      <c r="M147" s="10" t="s">
        <v>19</v>
      </c>
      <c r="N147" s="12" t="s">
        <v>2679</v>
      </c>
      <c r="O147" s="13" t="str">
        <f t="shared" si="14"/>
        <v>Adrian Barton</v>
      </c>
      <c r="P147" s="13" t="str">
        <f t="shared" si="15"/>
        <v>CA</v>
      </c>
      <c r="Q147" s="13" t="str">
        <f t="shared" si="16"/>
        <v>2013</v>
      </c>
      <c r="R147" s="13" t="str">
        <f t="shared" si="17"/>
        <v>MEDIUM</v>
      </c>
      <c r="S147" s="13" t="str">
        <f t="shared" si="18"/>
        <v>furniture</v>
      </c>
      <c r="T147" s="21" t="str">
        <f t="shared" si="19"/>
        <v>41585</v>
      </c>
      <c r="U147" s="27" t="s">
        <v>2776</v>
      </c>
      <c r="V147" s="19" t="s">
        <v>2683</v>
      </c>
      <c r="W147" s="30">
        <v>2013</v>
      </c>
      <c r="X147" t="s">
        <v>2776</v>
      </c>
      <c r="Y147" s="28">
        <v>41585</v>
      </c>
      <c r="Z147" s="28" t="str">
        <f t="shared" si="20"/>
        <v>CA-2013-AB10105140-41585</v>
      </c>
    </row>
    <row r="148" spans="1:26" ht="15.75">
      <c r="A148" s="16" t="s">
        <v>985</v>
      </c>
      <c r="B148" s="4">
        <v>41672</v>
      </c>
      <c r="C148" s="4">
        <v>41677</v>
      </c>
      <c r="D148" s="5" t="s">
        <v>986</v>
      </c>
      <c r="E148" s="5" t="s">
        <v>40</v>
      </c>
      <c r="F148" s="5" t="s">
        <v>111</v>
      </c>
      <c r="G148" s="5" t="s">
        <v>45</v>
      </c>
      <c r="H148" s="5" t="s">
        <v>127</v>
      </c>
      <c r="I148" s="6">
        <v>117.96</v>
      </c>
      <c r="J148" s="5">
        <v>2</v>
      </c>
      <c r="K148" s="17">
        <v>0</v>
      </c>
      <c r="L148" s="6">
        <v>5.8979999999999899</v>
      </c>
      <c r="M148" s="5" t="s">
        <v>19</v>
      </c>
      <c r="N148" s="7" t="s">
        <v>2679</v>
      </c>
      <c r="O148" s="8" t="str">
        <f t="shared" si="14"/>
        <v>Adrian Barton#</v>
      </c>
      <c r="P148" s="8" t="str">
        <f t="shared" si="15"/>
        <v>CA</v>
      </c>
      <c r="Q148" s="8" t="str">
        <f t="shared" si="16"/>
        <v>2014</v>
      </c>
      <c r="R148" s="8" t="str">
        <f t="shared" si="17"/>
        <v>MEDIUM</v>
      </c>
      <c r="S148" s="8" t="str">
        <f t="shared" si="18"/>
        <v>office supplies</v>
      </c>
      <c r="T148" s="18" t="str">
        <f t="shared" si="19"/>
        <v>41672</v>
      </c>
      <c r="U148" s="27" t="s">
        <v>2776</v>
      </c>
      <c r="V148" s="16" t="s">
        <v>2683</v>
      </c>
      <c r="W148" s="30">
        <v>2014</v>
      </c>
      <c r="X148" t="s">
        <v>2776</v>
      </c>
      <c r="Y148" s="28">
        <v>41672</v>
      </c>
      <c r="Z148" s="28" t="str">
        <f t="shared" si="20"/>
        <v>CA-2014-AB10105140-41672</v>
      </c>
    </row>
    <row r="149" spans="1:26" ht="15.75">
      <c r="A149" s="19" t="s">
        <v>158</v>
      </c>
      <c r="B149" s="9">
        <v>42125</v>
      </c>
      <c r="C149" s="9">
        <v>42125</v>
      </c>
      <c r="D149" s="10" t="s">
        <v>159</v>
      </c>
      <c r="E149" s="10" t="s">
        <v>114</v>
      </c>
      <c r="F149" s="10" t="s">
        <v>115</v>
      </c>
      <c r="G149" s="10" t="s">
        <v>32</v>
      </c>
      <c r="H149" s="10" t="s">
        <v>127</v>
      </c>
      <c r="I149" s="11">
        <v>723.3</v>
      </c>
      <c r="J149" s="10">
        <v>5</v>
      </c>
      <c r="K149" s="20">
        <v>0</v>
      </c>
      <c r="L149" s="11">
        <v>122.85</v>
      </c>
      <c r="M149" s="10" t="s">
        <v>27</v>
      </c>
      <c r="N149" s="12" t="s">
        <v>2679</v>
      </c>
      <c r="O149" s="13" t="str">
        <f t="shared" si="14"/>
        <v>Scott Williamson</v>
      </c>
      <c r="P149" s="13" t="str">
        <f t="shared" si="15"/>
        <v>IN</v>
      </c>
      <c r="Q149" s="13" t="str">
        <f t="shared" si="16"/>
        <v>2015</v>
      </c>
      <c r="R149" s="13" t="str">
        <f t="shared" si="17"/>
        <v>CRITICAL</v>
      </c>
      <c r="S149" s="13" t="str">
        <f t="shared" si="18"/>
        <v>furniture</v>
      </c>
      <c r="T149" s="21" t="str">
        <f t="shared" si="19"/>
        <v>42125</v>
      </c>
      <c r="U149" s="27" t="s">
        <v>2806</v>
      </c>
      <c r="V149" s="19" t="s">
        <v>2681</v>
      </c>
      <c r="W149" s="30">
        <v>2015</v>
      </c>
      <c r="X149" t="s">
        <v>2806</v>
      </c>
      <c r="Y149" s="28">
        <v>42125</v>
      </c>
      <c r="Z149" s="28" t="str">
        <f t="shared" si="20"/>
        <v>IN-2015-SW2027558-42125</v>
      </c>
    </row>
    <row r="150" spans="1:26" ht="15.75">
      <c r="A150" s="16" t="s">
        <v>993</v>
      </c>
      <c r="B150" s="4">
        <v>40978</v>
      </c>
      <c r="C150" s="4">
        <v>40980</v>
      </c>
      <c r="D150" s="5" t="s">
        <v>994</v>
      </c>
      <c r="E150" s="5" t="s">
        <v>168</v>
      </c>
      <c r="F150" s="5" t="s">
        <v>115</v>
      </c>
      <c r="G150" s="5" t="s">
        <v>17</v>
      </c>
      <c r="H150" s="5" t="s">
        <v>33</v>
      </c>
      <c r="I150" s="6">
        <v>642.68999999999903</v>
      </c>
      <c r="J150" s="5">
        <v>1</v>
      </c>
      <c r="K150" s="17">
        <v>0</v>
      </c>
      <c r="L150" s="6">
        <v>244.2</v>
      </c>
      <c r="M150" s="5" t="s">
        <v>27</v>
      </c>
      <c r="N150" s="7" t="s">
        <v>2679</v>
      </c>
      <c r="O150" s="8" t="str">
        <f t="shared" si="14"/>
        <v>Peter Mceve</v>
      </c>
      <c r="P150" s="8" t="str">
        <f t="shared" si="15"/>
        <v>IR</v>
      </c>
      <c r="Q150" s="8" t="str">
        <f t="shared" si="16"/>
        <v>2012</v>
      </c>
      <c r="R150" s="8" t="str">
        <f t="shared" si="17"/>
        <v>CRITICAL</v>
      </c>
      <c r="S150" s="8" t="str">
        <f t="shared" si="18"/>
        <v>technology</v>
      </c>
      <c r="T150" s="18" t="str">
        <f t="shared" si="19"/>
        <v>40978</v>
      </c>
      <c r="U150" s="27" t="s">
        <v>2807</v>
      </c>
      <c r="V150" s="16" t="s">
        <v>2781</v>
      </c>
      <c r="W150" s="30">
        <v>2012</v>
      </c>
      <c r="X150" t="s">
        <v>2807</v>
      </c>
      <c r="Y150" s="28">
        <v>40978</v>
      </c>
      <c r="Z150" s="28" t="str">
        <f t="shared" si="20"/>
        <v>IR-2012-PM913560-40978</v>
      </c>
    </row>
    <row r="151" spans="1:26" ht="15.75">
      <c r="A151" s="19" t="s">
        <v>998</v>
      </c>
      <c r="B151" s="9">
        <v>41445</v>
      </c>
      <c r="C151" s="9">
        <v>41447</v>
      </c>
      <c r="D151" s="10" t="s">
        <v>546</v>
      </c>
      <c r="E151" s="10" t="s">
        <v>66</v>
      </c>
      <c r="F151" s="10" t="s">
        <v>90</v>
      </c>
      <c r="G151" s="10" t="s">
        <v>17</v>
      </c>
      <c r="H151" s="10" t="s">
        <v>73</v>
      </c>
      <c r="I151" s="11" t="s">
        <v>999</v>
      </c>
      <c r="J151" s="10">
        <v>2</v>
      </c>
      <c r="K151" s="20">
        <v>0</v>
      </c>
      <c r="L151" s="11">
        <v>460.08</v>
      </c>
      <c r="M151" s="10" t="s">
        <v>37</v>
      </c>
      <c r="N151" s="12" t="s">
        <v>2679</v>
      </c>
      <c r="O151" s="13" t="str">
        <f t="shared" si="14"/>
        <v>Sung Chung</v>
      </c>
      <c r="P151" s="13" t="str">
        <f t="shared" si="15"/>
        <v>IN</v>
      </c>
      <c r="Q151" s="13" t="str">
        <f t="shared" si="16"/>
        <v>2013</v>
      </c>
      <c r="R151" s="13" t="str">
        <f t="shared" si="17"/>
        <v>HIGH</v>
      </c>
      <c r="S151" s="13" t="str">
        <f t="shared" si="18"/>
        <v>technology</v>
      </c>
      <c r="T151" s="21" t="str">
        <f t="shared" si="19"/>
        <v>41445</v>
      </c>
      <c r="U151" s="27" t="s">
        <v>2808</v>
      </c>
      <c r="V151" s="19" t="s">
        <v>2681</v>
      </c>
      <c r="W151" s="30">
        <v>2013</v>
      </c>
      <c r="X151" t="s">
        <v>2808</v>
      </c>
      <c r="Y151" s="28">
        <v>41445</v>
      </c>
      <c r="Z151" s="28" t="str">
        <f t="shared" si="20"/>
        <v>IN-2013-SC2084527-41445</v>
      </c>
    </row>
    <row r="152" spans="1:26" ht="15.75">
      <c r="A152" s="16" t="s">
        <v>1005</v>
      </c>
      <c r="B152" s="4">
        <v>41993</v>
      </c>
      <c r="C152" s="4">
        <v>41995</v>
      </c>
      <c r="D152" s="5" t="s">
        <v>14</v>
      </c>
      <c r="E152" s="5" t="s">
        <v>276</v>
      </c>
      <c r="F152" s="5" t="s">
        <v>61</v>
      </c>
      <c r="G152" s="5" t="s">
        <v>32</v>
      </c>
      <c r="H152" s="5" t="s">
        <v>73</v>
      </c>
      <c r="I152" s="6">
        <v>1480.3679999999999</v>
      </c>
      <c r="J152" s="5">
        <v>3</v>
      </c>
      <c r="K152" s="17">
        <v>0.2</v>
      </c>
      <c r="L152" s="6">
        <v>333.048</v>
      </c>
      <c r="M152" s="5" t="s">
        <v>19</v>
      </c>
      <c r="N152" s="7" t="s">
        <v>2679</v>
      </c>
      <c r="O152" s="8" t="str">
        <f t="shared" si="14"/>
        <v>Craig Reiter</v>
      </c>
      <c r="P152" s="8" t="str">
        <f t="shared" si="15"/>
        <v>MX</v>
      </c>
      <c r="Q152" s="8" t="str">
        <f t="shared" si="16"/>
        <v>2014</v>
      </c>
      <c r="R152" s="8" t="str">
        <f t="shared" si="17"/>
        <v>MEDIUM</v>
      </c>
      <c r="S152" s="8" t="str">
        <f t="shared" si="18"/>
        <v>furniture</v>
      </c>
      <c r="T152" s="18" t="str">
        <f t="shared" si="19"/>
        <v>41993</v>
      </c>
      <c r="U152" s="27" t="s">
        <v>2809</v>
      </c>
      <c r="V152" s="16" t="s">
        <v>2695</v>
      </c>
      <c r="W152" s="30">
        <v>2014</v>
      </c>
      <c r="X152" t="s">
        <v>2809</v>
      </c>
      <c r="Y152" s="28">
        <v>41993</v>
      </c>
      <c r="Z152" s="28" t="str">
        <f t="shared" si="20"/>
        <v>MX-2014-CR1273028-41993</v>
      </c>
    </row>
    <row r="153" spans="1:26" ht="15.75">
      <c r="A153" s="19" t="s">
        <v>1008</v>
      </c>
      <c r="B153" s="9">
        <v>42203</v>
      </c>
      <c r="C153" s="9">
        <v>42203</v>
      </c>
      <c r="D153" s="10" t="s">
        <v>1009</v>
      </c>
      <c r="E153" s="10" t="s">
        <v>256</v>
      </c>
      <c r="F153" s="10" t="s">
        <v>71</v>
      </c>
      <c r="G153" s="10" t="s">
        <v>32</v>
      </c>
      <c r="H153" s="10" t="s">
        <v>26</v>
      </c>
      <c r="I153" s="11">
        <v>1100.52</v>
      </c>
      <c r="J153" s="10">
        <v>3</v>
      </c>
      <c r="K153" s="20">
        <v>0</v>
      </c>
      <c r="L153" s="11">
        <v>352.07999999999902</v>
      </c>
      <c r="M153" s="10" t="s">
        <v>27</v>
      </c>
      <c r="N153" s="12" t="s">
        <v>2679</v>
      </c>
      <c r="O153" s="13" t="str">
        <f t="shared" si="14"/>
        <v>Aaron Hawkins#</v>
      </c>
      <c r="P153" s="13" t="str">
        <f t="shared" si="15"/>
        <v>ES</v>
      </c>
      <c r="Q153" s="13" t="str">
        <f t="shared" si="16"/>
        <v>2015</v>
      </c>
      <c r="R153" s="13" t="str">
        <f t="shared" si="17"/>
        <v>CRITICAL</v>
      </c>
      <c r="S153" s="13" t="str">
        <f t="shared" si="18"/>
        <v>furniture</v>
      </c>
      <c r="T153" s="21" t="str">
        <f t="shared" si="19"/>
        <v>42203</v>
      </c>
      <c r="U153" s="27" t="s">
        <v>2810</v>
      </c>
      <c r="V153" s="19" t="s">
        <v>2710</v>
      </c>
      <c r="W153" s="30">
        <v>2015</v>
      </c>
      <c r="X153" t="s">
        <v>2810</v>
      </c>
      <c r="Y153" s="28">
        <v>42203</v>
      </c>
      <c r="Z153" s="28" t="str">
        <f t="shared" si="20"/>
        <v>ES-2015-AH100308-42203</v>
      </c>
    </row>
    <row r="154" spans="1:26" ht="15.75">
      <c r="A154" s="16" t="s">
        <v>1013</v>
      </c>
      <c r="B154" s="4">
        <v>41153</v>
      </c>
      <c r="C154" s="5" t="s">
        <v>1014</v>
      </c>
      <c r="D154" s="5" t="s">
        <v>1015</v>
      </c>
      <c r="E154" s="5" t="s">
        <v>256</v>
      </c>
      <c r="F154" s="5" t="s">
        <v>71</v>
      </c>
      <c r="G154" s="5" t="s">
        <v>32</v>
      </c>
      <c r="H154" s="5" t="s">
        <v>151</v>
      </c>
      <c r="I154" s="6">
        <v>922.94999999999902</v>
      </c>
      <c r="J154" s="5">
        <v>1</v>
      </c>
      <c r="K154" s="17">
        <v>0</v>
      </c>
      <c r="L154" s="6">
        <v>341.49</v>
      </c>
      <c r="M154" s="5" t="s">
        <v>27</v>
      </c>
      <c r="N154" s="7" t="s">
        <v>2679</v>
      </c>
      <c r="O154" s="8" t="str">
        <f t="shared" si="14"/>
        <v>Anna Gayman</v>
      </c>
      <c r="P154" s="8" t="str">
        <f t="shared" si="15"/>
        <v>AU</v>
      </c>
      <c r="Q154" s="8" t="str">
        <f t="shared" si="16"/>
        <v>2012</v>
      </c>
      <c r="R154" s="8" t="str">
        <f t="shared" si="17"/>
        <v>CRITICAL</v>
      </c>
      <c r="S154" s="8" t="str">
        <f t="shared" si="18"/>
        <v>furniture</v>
      </c>
      <c r="T154" s="18" t="str">
        <f t="shared" si="19"/>
        <v>41153</v>
      </c>
      <c r="U154" s="27" t="s">
        <v>2811</v>
      </c>
      <c r="V154" s="16" t="s">
        <v>2812</v>
      </c>
      <c r="W154" s="30">
        <v>2012</v>
      </c>
      <c r="X154" t="s">
        <v>2811</v>
      </c>
      <c r="Y154" s="28">
        <v>41153</v>
      </c>
      <c r="Z154" s="28" t="str">
        <f t="shared" si="20"/>
        <v>AU-2012-AG6758-41153</v>
      </c>
    </row>
    <row r="155" spans="1:26" ht="15.75">
      <c r="A155" s="19" t="s">
        <v>1016</v>
      </c>
      <c r="B155" s="9">
        <v>41852</v>
      </c>
      <c r="C155" s="9">
        <v>41853</v>
      </c>
      <c r="D155" s="10" t="s">
        <v>1017</v>
      </c>
      <c r="E155" s="10" t="s">
        <v>70</v>
      </c>
      <c r="F155" s="10" t="s">
        <v>71</v>
      </c>
      <c r="G155" s="10" t="s">
        <v>32</v>
      </c>
      <c r="H155" s="10" t="s">
        <v>127</v>
      </c>
      <c r="I155" s="11">
        <v>1850.4449999999999</v>
      </c>
      <c r="J155" s="10">
        <v>5</v>
      </c>
      <c r="K155" s="20">
        <v>0.1</v>
      </c>
      <c r="L155" s="11">
        <v>184.995</v>
      </c>
      <c r="M155" s="10" t="s">
        <v>37</v>
      </c>
      <c r="N155" s="12" t="s">
        <v>2679</v>
      </c>
      <c r="O155" s="13" t="str">
        <f t="shared" si="14"/>
        <v>Steven Ward</v>
      </c>
      <c r="P155" s="13" t="str">
        <f t="shared" si="15"/>
        <v>ES</v>
      </c>
      <c r="Q155" s="13" t="str">
        <f t="shared" si="16"/>
        <v>2014</v>
      </c>
      <c r="R155" s="13" t="str">
        <f t="shared" si="17"/>
        <v>HIGH</v>
      </c>
      <c r="S155" s="13" t="str">
        <f t="shared" si="18"/>
        <v>furniture</v>
      </c>
      <c r="T155" s="21" t="str">
        <f t="shared" si="19"/>
        <v>41852</v>
      </c>
      <c r="U155" s="27" t="s">
        <v>2813</v>
      </c>
      <c r="V155" s="19" t="s">
        <v>2710</v>
      </c>
      <c r="W155" s="30">
        <v>2014</v>
      </c>
      <c r="X155" t="s">
        <v>2813</v>
      </c>
      <c r="Y155" s="28">
        <v>41852</v>
      </c>
      <c r="Z155" s="28" t="str">
        <f t="shared" si="20"/>
        <v>ES-2014-SW2075545-41852</v>
      </c>
    </row>
    <row r="156" spans="1:26" ht="15.75">
      <c r="A156" s="16" t="s">
        <v>1021</v>
      </c>
      <c r="B156" s="4">
        <v>42328</v>
      </c>
      <c r="C156" s="4">
        <v>42331</v>
      </c>
      <c r="D156" s="5" t="s">
        <v>338</v>
      </c>
      <c r="E156" s="5" t="s">
        <v>742</v>
      </c>
      <c r="F156" s="5" t="s">
        <v>142</v>
      </c>
      <c r="G156" s="5" t="s">
        <v>45</v>
      </c>
      <c r="H156" s="5" t="s">
        <v>151</v>
      </c>
      <c r="I156" s="6">
        <v>2190.95099999999</v>
      </c>
      <c r="J156" s="5">
        <v>5</v>
      </c>
      <c r="K156" s="17">
        <v>0.17</v>
      </c>
      <c r="L156" s="6">
        <v>316.70100000000002</v>
      </c>
      <c r="M156" s="5" t="s">
        <v>19</v>
      </c>
      <c r="N156" s="7" t="s">
        <v>2679</v>
      </c>
      <c r="O156" s="8" t="str">
        <f t="shared" si="14"/>
        <v>Mike Pelletier</v>
      </c>
      <c r="P156" s="8" t="str">
        <f t="shared" si="15"/>
        <v>IN</v>
      </c>
      <c r="Q156" s="8" t="str">
        <f t="shared" si="16"/>
        <v>2015</v>
      </c>
      <c r="R156" s="8" t="str">
        <f t="shared" si="17"/>
        <v>MEDIUM</v>
      </c>
      <c r="S156" s="8" t="str">
        <f t="shared" si="18"/>
        <v>office supplies</v>
      </c>
      <c r="T156" s="18" t="str">
        <f t="shared" si="19"/>
        <v>42328</v>
      </c>
      <c r="U156" s="27" t="s">
        <v>2814</v>
      </c>
      <c r="V156" s="16" t="s">
        <v>2681</v>
      </c>
      <c r="W156" s="30">
        <v>2015</v>
      </c>
      <c r="X156" t="s">
        <v>2814</v>
      </c>
      <c r="Y156" s="28">
        <v>42328</v>
      </c>
      <c r="Z156" s="28" t="str">
        <f t="shared" si="20"/>
        <v>IN-2015-MP18175144-42328</v>
      </c>
    </row>
    <row r="157" spans="1:26" ht="15.75">
      <c r="A157" s="19" t="s">
        <v>1025</v>
      </c>
      <c r="B157" s="9">
        <v>41997</v>
      </c>
      <c r="C157" s="9">
        <v>42002</v>
      </c>
      <c r="D157" s="10" t="s">
        <v>1026</v>
      </c>
      <c r="E157" s="10" t="s">
        <v>204</v>
      </c>
      <c r="F157" s="10" t="s">
        <v>87</v>
      </c>
      <c r="G157" s="10" t="s">
        <v>17</v>
      </c>
      <c r="H157" s="10" t="s">
        <v>73</v>
      </c>
      <c r="I157" s="11">
        <v>2605.56</v>
      </c>
      <c r="J157" s="10">
        <v>4</v>
      </c>
      <c r="K157" s="20">
        <v>0</v>
      </c>
      <c r="L157" s="11">
        <v>573.12</v>
      </c>
      <c r="M157" s="10" t="s">
        <v>19</v>
      </c>
      <c r="N157" s="12" t="s">
        <v>2679</v>
      </c>
      <c r="O157" s="13" t="str">
        <f t="shared" si="14"/>
        <v>Marc Crier</v>
      </c>
      <c r="P157" s="13" t="str">
        <f t="shared" si="15"/>
        <v>UP</v>
      </c>
      <c r="Q157" s="13" t="str">
        <f t="shared" si="16"/>
        <v>2014</v>
      </c>
      <c r="R157" s="13" t="str">
        <f t="shared" si="17"/>
        <v>MEDIUM</v>
      </c>
      <c r="S157" s="13" t="str">
        <f t="shared" si="18"/>
        <v>technology</v>
      </c>
      <c r="T157" s="21" t="str">
        <f t="shared" si="19"/>
        <v>41997</v>
      </c>
      <c r="U157" s="27" t="s">
        <v>2815</v>
      </c>
      <c r="V157" s="19" t="s">
        <v>2762</v>
      </c>
      <c r="W157" s="30">
        <v>2014</v>
      </c>
      <c r="X157" t="s">
        <v>2815</v>
      </c>
      <c r="Y157" s="28">
        <v>41997</v>
      </c>
      <c r="Z157" s="28" t="str">
        <f t="shared" si="20"/>
        <v>UP-2014-MC7275137-41997</v>
      </c>
    </row>
    <row r="158" spans="1:26" ht="15.75">
      <c r="A158" s="16" t="s">
        <v>947</v>
      </c>
      <c r="B158" s="4">
        <v>42139</v>
      </c>
      <c r="C158" s="4">
        <v>42139</v>
      </c>
      <c r="D158" s="5" t="s">
        <v>515</v>
      </c>
      <c r="E158" s="5" t="s">
        <v>1028</v>
      </c>
      <c r="F158" s="5" t="s">
        <v>450</v>
      </c>
      <c r="G158" s="5" t="s">
        <v>45</v>
      </c>
      <c r="H158" s="5" t="s">
        <v>26</v>
      </c>
      <c r="I158" s="6">
        <v>34.019999999999897</v>
      </c>
      <c r="J158" s="5">
        <v>2</v>
      </c>
      <c r="K158" s="17">
        <v>0</v>
      </c>
      <c r="L158" s="6">
        <v>14.28</v>
      </c>
      <c r="M158" s="5" t="s">
        <v>785</v>
      </c>
      <c r="N158" s="7" t="s">
        <v>2679</v>
      </c>
      <c r="O158" s="8" t="str">
        <f t="shared" si="14"/>
        <v>Adrian Barton</v>
      </c>
      <c r="P158" s="8" t="str">
        <f t="shared" si="15"/>
        <v>CA</v>
      </c>
      <c r="Q158" s="8" t="str">
        <f t="shared" si="16"/>
        <v>2015</v>
      </c>
      <c r="R158" s="8" t="str">
        <f t="shared" si="17"/>
        <v xml:space="preserve"> HIGH </v>
      </c>
      <c r="S158" s="8" t="str">
        <f t="shared" si="18"/>
        <v>office supplies</v>
      </c>
      <c r="T158" s="18" t="str">
        <f t="shared" si="19"/>
        <v>42139</v>
      </c>
      <c r="U158" s="27" t="s">
        <v>2816</v>
      </c>
      <c r="V158" s="16" t="s">
        <v>2683</v>
      </c>
      <c r="W158" s="30">
        <v>2015</v>
      </c>
      <c r="X158" t="s">
        <v>2816</v>
      </c>
      <c r="Y158" s="28">
        <v>42139</v>
      </c>
      <c r="Z158" s="28" t="str">
        <f t="shared" si="20"/>
        <v>CA-2015-AB10523-42139</v>
      </c>
    </row>
    <row r="159" spans="1:26" ht="15.75">
      <c r="A159" s="19" t="s">
        <v>1030</v>
      </c>
      <c r="B159" s="9">
        <v>41608</v>
      </c>
      <c r="C159" s="9">
        <v>41612</v>
      </c>
      <c r="D159" s="10" t="s">
        <v>1031</v>
      </c>
      <c r="E159" s="10" t="s">
        <v>656</v>
      </c>
      <c r="F159" s="10" t="s">
        <v>142</v>
      </c>
      <c r="G159" s="10" t="s">
        <v>32</v>
      </c>
      <c r="H159" s="10" t="s">
        <v>44</v>
      </c>
      <c r="I159" s="11">
        <v>2051.1</v>
      </c>
      <c r="J159" s="10">
        <v>5</v>
      </c>
      <c r="K159" s="20">
        <v>0</v>
      </c>
      <c r="L159" s="11">
        <v>40.949999999999903</v>
      </c>
      <c r="M159" s="10" t="s">
        <v>37</v>
      </c>
      <c r="N159" s="12" t="s">
        <v>2679</v>
      </c>
      <c r="O159" s="13" t="str">
        <f t="shared" si="14"/>
        <v>Ed Jacobs</v>
      </c>
      <c r="P159" s="13" t="str">
        <f t="shared" si="15"/>
        <v>IN</v>
      </c>
      <c r="Q159" s="13" t="str">
        <f t="shared" si="16"/>
        <v>2013</v>
      </c>
      <c r="R159" s="13" t="str">
        <f t="shared" si="17"/>
        <v>HIGH</v>
      </c>
      <c r="S159" s="13" t="str">
        <f t="shared" si="18"/>
        <v>furniture</v>
      </c>
      <c r="T159" s="21" t="str">
        <f t="shared" si="19"/>
        <v>41608</v>
      </c>
      <c r="U159" s="27" t="s">
        <v>2817</v>
      </c>
      <c r="V159" s="19" t="s">
        <v>2681</v>
      </c>
      <c r="W159" s="30">
        <v>2013</v>
      </c>
      <c r="X159" t="s">
        <v>2817</v>
      </c>
      <c r="Y159" s="28">
        <v>41608</v>
      </c>
      <c r="Z159" s="28" t="str">
        <f t="shared" si="20"/>
        <v>IN-2013-EJ13720113-41608</v>
      </c>
    </row>
    <row r="160" spans="1:26" ht="15.75">
      <c r="A160" s="16" t="s">
        <v>857</v>
      </c>
      <c r="B160" s="4">
        <v>41585</v>
      </c>
      <c r="C160" s="4">
        <v>41590</v>
      </c>
      <c r="D160" s="5" t="s">
        <v>515</v>
      </c>
      <c r="E160" s="5" t="s">
        <v>40</v>
      </c>
      <c r="F160" s="5" t="s">
        <v>41</v>
      </c>
      <c r="G160" s="5" t="s">
        <v>165</v>
      </c>
      <c r="H160" s="5" t="s">
        <v>151</v>
      </c>
      <c r="I160" s="6">
        <v>23.64</v>
      </c>
      <c r="J160" s="5">
        <v>3</v>
      </c>
      <c r="K160" s="17">
        <v>0.2</v>
      </c>
      <c r="L160" s="6">
        <v>5.319</v>
      </c>
      <c r="M160" s="5" t="s">
        <v>1034</v>
      </c>
      <c r="N160" s="7" t="s">
        <v>2679</v>
      </c>
      <c r="O160" s="8" t="str">
        <f t="shared" si="14"/>
        <v>Adrian Barton</v>
      </c>
      <c r="P160" s="8" t="str">
        <f t="shared" si="15"/>
        <v>CA</v>
      </c>
      <c r="Q160" s="8" t="str">
        <f t="shared" si="16"/>
        <v>2013</v>
      </c>
      <c r="R160" s="8" t="str">
        <f t="shared" si="17"/>
        <v>MDEIUM</v>
      </c>
      <c r="S160" s="8" t="str">
        <f t="shared" si="18"/>
        <v>office_supplies</v>
      </c>
      <c r="T160" s="18" t="str">
        <f t="shared" si="19"/>
        <v>41585</v>
      </c>
      <c r="U160" s="27" t="s">
        <v>2776</v>
      </c>
      <c r="V160" s="16" t="s">
        <v>2683</v>
      </c>
      <c r="W160" s="30">
        <v>2013</v>
      </c>
      <c r="X160" t="s">
        <v>2776</v>
      </c>
      <c r="Y160" s="28">
        <v>41585</v>
      </c>
      <c r="Z160" s="28" t="str">
        <f t="shared" si="20"/>
        <v>CA-2013-AB10105140-41585</v>
      </c>
    </row>
    <row r="161" spans="1:26" ht="15.75">
      <c r="A161" s="19" t="s">
        <v>833</v>
      </c>
      <c r="B161" s="9">
        <v>42328</v>
      </c>
      <c r="C161" s="9">
        <v>42332</v>
      </c>
      <c r="D161" s="10" t="s">
        <v>515</v>
      </c>
      <c r="E161" s="10" t="s">
        <v>40</v>
      </c>
      <c r="F161" s="10" t="s">
        <v>153</v>
      </c>
      <c r="G161" s="10" t="s">
        <v>45</v>
      </c>
      <c r="H161" s="10" t="s">
        <v>127</v>
      </c>
      <c r="I161" s="11">
        <v>21.96</v>
      </c>
      <c r="J161" s="10">
        <v>2</v>
      </c>
      <c r="K161" s="20">
        <v>0</v>
      </c>
      <c r="L161" s="11">
        <v>10.760400000000001</v>
      </c>
      <c r="M161" s="10" t="s">
        <v>19</v>
      </c>
      <c r="N161" s="12" t="s">
        <v>2679</v>
      </c>
      <c r="O161" s="13" t="str">
        <f t="shared" si="14"/>
        <v>Adrian Barton</v>
      </c>
      <c r="P161" s="13" t="str">
        <f t="shared" si="15"/>
        <v>CA</v>
      </c>
      <c r="Q161" s="13" t="str">
        <f t="shared" si="16"/>
        <v>2015</v>
      </c>
      <c r="R161" s="13" t="str">
        <f t="shared" si="17"/>
        <v>MEDIUM</v>
      </c>
      <c r="S161" s="13" t="str">
        <f t="shared" si="18"/>
        <v>office supplies</v>
      </c>
      <c r="T161" s="21" t="str">
        <f t="shared" si="19"/>
        <v>42328</v>
      </c>
      <c r="U161" s="27" t="s">
        <v>2776</v>
      </c>
      <c r="V161" s="19" t="s">
        <v>2683</v>
      </c>
      <c r="W161" s="30">
        <v>2015</v>
      </c>
      <c r="X161" t="s">
        <v>2776</v>
      </c>
      <c r="Y161" s="28">
        <v>42328</v>
      </c>
      <c r="Z161" s="28" t="str">
        <f t="shared" si="20"/>
        <v>CA-2015-AB10105140-42328</v>
      </c>
    </row>
    <row r="162" spans="1:26" ht="15.75">
      <c r="A162" s="16" t="s">
        <v>841</v>
      </c>
      <c r="B162" s="4">
        <v>41262</v>
      </c>
      <c r="C162" s="4">
        <v>41265</v>
      </c>
      <c r="D162" s="5" t="s">
        <v>515</v>
      </c>
      <c r="E162" s="5" t="s">
        <v>40</v>
      </c>
      <c r="F162" s="5" t="s">
        <v>1043</v>
      </c>
      <c r="G162" s="5" t="s">
        <v>45</v>
      </c>
      <c r="H162" s="5" t="s">
        <v>33</v>
      </c>
      <c r="I162" s="6">
        <v>3.69</v>
      </c>
      <c r="J162" s="5">
        <v>1</v>
      </c>
      <c r="K162" s="17">
        <v>0</v>
      </c>
      <c r="L162" s="6">
        <v>1.7343</v>
      </c>
      <c r="M162" s="5" t="s">
        <v>19</v>
      </c>
      <c r="N162" s="7" t="s">
        <v>2679</v>
      </c>
      <c r="O162" s="8" t="str">
        <f t="shared" si="14"/>
        <v>Adrian Barton</v>
      </c>
      <c r="P162" s="8" t="str">
        <f t="shared" si="15"/>
        <v>CA</v>
      </c>
      <c r="Q162" s="8" t="str">
        <f t="shared" si="16"/>
        <v>2012</v>
      </c>
      <c r="R162" s="8" t="str">
        <f t="shared" si="17"/>
        <v>MEDIUM</v>
      </c>
      <c r="S162" s="8" t="str">
        <f t="shared" si="18"/>
        <v>office supplies</v>
      </c>
      <c r="T162" s="18" t="str">
        <f t="shared" si="19"/>
        <v>41262</v>
      </c>
      <c r="U162" s="27" t="s">
        <v>2776</v>
      </c>
      <c r="V162" s="16" t="s">
        <v>2683</v>
      </c>
      <c r="W162" s="30">
        <v>2012</v>
      </c>
      <c r="X162" t="s">
        <v>2776</v>
      </c>
      <c r="Y162" s="28">
        <v>41262</v>
      </c>
      <c r="Z162" s="28" t="str">
        <f t="shared" si="20"/>
        <v>CA-2012-AB10105140-41262</v>
      </c>
    </row>
    <row r="163" spans="1:26" ht="15.75">
      <c r="A163" s="19" t="s">
        <v>1050</v>
      </c>
      <c r="B163" s="9">
        <v>42103</v>
      </c>
      <c r="C163" s="9">
        <v>42107</v>
      </c>
      <c r="D163" s="10" t="s">
        <v>1049</v>
      </c>
      <c r="E163" s="10" t="s">
        <v>40</v>
      </c>
      <c r="F163" s="10" t="s">
        <v>43</v>
      </c>
      <c r="G163" s="10" t="s">
        <v>45</v>
      </c>
      <c r="H163" s="10" t="s">
        <v>127</v>
      </c>
      <c r="I163" s="11">
        <v>195.76</v>
      </c>
      <c r="J163" s="10">
        <v>4</v>
      </c>
      <c r="K163" s="20">
        <v>0</v>
      </c>
      <c r="L163" s="11">
        <v>97.88</v>
      </c>
      <c r="M163" s="10" t="s">
        <v>37</v>
      </c>
      <c r="N163" s="12" t="s">
        <v>2679</v>
      </c>
      <c r="O163" s="13" t="str">
        <f t="shared" si="14"/>
        <v>Adrian Hane</v>
      </c>
      <c r="P163" s="13" t="str">
        <f t="shared" si="15"/>
        <v>CA</v>
      </c>
      <c r="Q163" s="13" t="str">
        <f t="shared" si="16"/>
        <v>2015</v>
      </c>
      <c r="R163" s="13" t="str">
        <f t="shared" si="17"/>
        <v>HIGH</v>
      </c>
      <c r="S163" s="13" t="str">
        <f t="shared" si="18"/>
        <v>office supplies</v>
      </c>
      <c r="T163" s="21" t="str">
        <f t="shared" si="19"/>
        <v>42103</v>
      </c>
      <c r="U163" s="27" t="s">
        <v>2818</v>
      </c>
      <c r="V163" s="19" t="s">
        <v>2683</v>
      </c>
      <c r="W163" s="30">
        <v>2015</v>
      </c>
      <c r="X163" t="s">
        <v>2818</v>
      </c>
      <c r="Y163" s="28">
        <v>42103</v>
      </c>
      <c r="Z163" s="28" t="str">
        <f t="shared" si="20"/>
        <v>CA-2015-AH10120140-42103</v>
      </c>
    </row>
    <row r="164" spans="1:26" ht="15.75">
      <c r="A164" s="16" t="s">
        <v>1051</v>
      </c>
      <c r="B164" s="4">
        <v>41077</v>
      </c>
      <c r="C164" s="4">
        <v>41079</v>
      </c>
      <c r="D164" s="5" t="s">
        <v>480</v>
      </c>
      <c r="E164" s="5" t="s">
        <v>197</v>
      </c>
      <c r="F164" s="5" t="s">
        <v>77</v>
      </c>
      <c r="G164" s="5" t="s">
        <v>32</v>
      </c>
      <c r="H164" s="5" t="s">
        <v>73</v>
      </c>
      <c r="I164" s="6">
        <v>1814.25</v>
      </c>
      <c r="J164" s="5">
        <v>5</v>
      </c>
      <c r="K164" s="17">
        <v>0</v>
      </c>
      <c r="L164" s="6">
        <v>653.1</v>
      </c>
      <c r="M164" s="5" t="s">
        <v>37</v>
      </c>
      <c r="N164" s="7" t="s">
        <v>2679</v>
      </c>
      <c r="O164" s="8" t="str">
        <f t="shared" si="14"/>
        <v>Randy Bradley</v>
      </c>
      <c r="P164" s="8" t="str">
        <f t="shared" si="15"/>
        <v>IT</v>
      </c>
      <c r="Q164" s="8" t="str">
        <f t="shared" si="16"/>
        <v>2012</v>
      </c>
      <c r="R164" s="8" t="str">
        <f t="shared" si="17"/>
        <v>HIGH</v>
      </c>
      <c r="S164" s="8" t="str">
        <f t="shared" si="18"/>
        <v>furniture</v>
      </c>
      <c r="T164" s="18" t="str">
        <f t="shared" si="19"/>
        <v>41077</v>
      </c>
      <c r="U164" s="27" t="s">
        <v>2819</v>
      </c>
      <c r="V164" s="16" t="s">
        <v>2690</v>
      </c>
      <c r="W164" s="30">
        <v>2012</v>
      </c>
      <c r="X164" t="s">
        <v>2819</v>
      </c>
      <c r="Y164" s="28">
        <v>41077</v>
      </c>
      <c r="Z164" s="28" t="str">
        <f t="shared" si="20"/>
        <v>IT-2012-RB19330120-41077</v>
      </c>
    </row>
    <row r="165" spans="1:26" ht="15.75">
      <c r="A165" s="19" t="s">
        <v>1057</v>
      </c>
      <c r="B165" s="9">
        <v>41376</v>
      </c>
      <c r="C165" s="9">
        <v>41378</v>
      </c>
      <c r="D165" s="10" t="s">
        <v>1058</v>
      </c>
      <c r="E165" s="10" t="s">
        <v>114</v>
      </c>
      <c r="F165" s="10" t="s">
        <v>115</v>
      </c>
      <c r="G165" s="10" t="s">
        <v>17</v>
      </c>
      <c r="H165" s="10" t="s">
        <v>73</v>
      </c>
      <c r="I165" s="11">
        <v>723.3</v>
      </c>
      <c r="J165" s="10">
        <v>2</v>
      </c>
      <c r="K165" s="20">
        <v>0</v>
      </c>
      <c r="L165" s="11">
        <v>332.7</v>
      </c>
      <c r="M165" s="10" t="s">
        <v>27</v>
      </c>
      <c r="N165" s="12" t="s">
        <v>2679</v>
      </c>
      <c r="O165" s="13" t="str">
        <f t="shared" si="14"/>
        <v>Laurel Workman</v>
      </c>
      <c r="P165" s="13" t="str">
        <f t="shared" si="15"/>
        <v>IN</v>
      </c>
      <c r="Q165" s="13" t="str">
        <f t="shared" si="16"/>
        <v>2013</v>
      </c>
      <c r="R165" s="13" t="str">
        <f t="shared" si="17"/>
        <v>CRITICAL</v>
      </c>
      <c r="S165" s="13" t="str">
        <f t="shared" si="18"/>
        <v>technology</v>
      </c>
      <c r="T165" s="21" t="str">
        <f t="shared" si="19"/>
        <v>41376</v>
      </c>
      <c r="U165" s="27" t="s">
        <v>2820</v>
      </c>
      <c r="V165" s="19" t="s">
        <v>2681</v>
      </c>
      <c r="W165" s="30">
        <v>2013</v>
      </c>
      <c r="X165" t="s">
        <v>2820</v>
      </c>
      <c r="Y165" s="28">
        <v>41376</v>
      </c>
      <c r="Z165" s="28" t="str">
        <f t="shared" si="20"/>
        <v>IN-2013-LW1682558-41376</v>
      </c>
    </row>
    <row r="166" spans="1:26" ht="15.75">
      <c r="A166" s="16" t="s">
        <v>526</v>
      </c>
      <c r="B166" s="4">
        <v>42355</v>
      </c>
      <c r="C166" s="4">
        <v>42357</v>
      </c>
      <c r="D166" s="5" t="s">
        <v>527</v>
      </c>
      <c r="E166" s="5" t="s">
        <v>211</v>
      </c>
      <c r="F166" s="5" t="s">
        <v>98</v>
      </c>
      <c r="G166" s="5" t="s">
        <v>32</v>
      </c>
      <c r="H166" s="5" t="s">
        <v>73</v>
      </c>
      <c r="I166" s="6">
        <v>1212.5</v>
      </c>
      <c r="J166" s="5">
        <v>5</v>
      </c>
      <c r="K166" s="17">
        <v>0</v>
      </c>
      <c r="L166" s="6">
        <v>606.20000000000005</v>
      </c>
      <c r="M166" s="5" t="s">
        <v>27</v>
      </c>
      <c r="N166" s="7" t="s">
        <v>2679</v>
      </c>
      <c r="O166" s="8" t="str">
        <f t="shared" si="14"/>
        <v>Muhammed Yedwab</v>
      </c>
      <c r="P166" s="8" t="str">
        <f t="shared" si="15"/>
        <v>MX</v>
      </c>
      <c r="Q166" s="8" t="str">
        <f t="shared" si="16"/>
        <v>2015</v>
      </c>
      <c r="R166" s="8" t="str">
        <f t="shared" si="17"/>
        <v>CRITICAL</v>
      </c>
      <c r="S166" s="8" t="str">
        <f t="shared" si="18"/>
        <v>furniture</v>
      </c>
      <c r="T166" s="18" t="str">
        <f t="shared" si="19"/>
        <v>42355</v>
      </c>
      <c r="U166" s="27" t="s">
        <v>2821</v>
      </c>
      <c r="V166" s="16" t="s">
        <v>2695</v>
      </c>
      <c r="W166" s="30">
        <v>2015</v>
      </c>
      <c r="X166" t="s">
        <v>2821</v>
      </c>
      <c r="Y166" s="28">
        <v>42355</v>
      </c>
      <c r="Z166" s="28" t="str">
        <f t="shared" si="20"/>
        <v>MX-2015-MY1829593-42355</v>
      </c>
    </row>
    <row r="167" spans="1:26" ht="15.75">
      <c r="A167" s="19" t="s">
        <v>1080</v>
      </c>
      <c r="B167" s="9">
        <v>41734</v>
      </c>
      <c r="C167" s="9">
        <v>41737</v>
      </c>
      <c r="D167" s="10" t="s">
        <v>1081</v>
      </c>
      <c r="E167" s="10" t="s">
        <v>70</v>
      </c>
      <c r="F167" s="10" t="s">
        <v>71</v>
      </c>
      <c r="G167" s="10" t="s">
        <v>17</v>
      </c>
      <c r="H167" s="10" t="s">
        <v>151</v>
      </c>
      <c r="I167" s="11">
        <v>1622.5649999999901</v>
      </c>
      <c r="J167" s="10">
        <v>3</v>
      </c>
      <c r="K167" s="20">
        <v>0.15</v>
      </c>
      <c r="L167" s="11">
        <v>133.604999999999</v>
      </c>
      <c r="M167" s="10" t="s">
        <v>19</v>
      </c>
      <c r="N167" s="12" t="s">
        <v>2679</v>
      </c>
      <c r="O167" s="13" t="str">
        <f t="shared" si="14"/>
        <v>Brian Stugart</v>
      </c>
      <c r="P167" s="13" t="str">
        <f t="shared" si="15"/>
        <v>ES</v>
      </c>
      <c r="Q167" s="13" t="str">
        <f t="shared" si="16"/>
        <v>2014</v>
      </c>
      <c r="R167" s="13" t="str">
        <f t="shared" si="17"/>
        <v>MEDIUM</v>
      </c>
      <c r="S167" s="13" t="str">
        <f t="shared" si="18"/>
        <v>technology</v>
      </c>
      <c r="T167" s="21" t="str">
        <f t="shared" si="19"/>
        <v>41734</v>
      </c>
      <c r="U167" s="27" t="s">
        <v>2822</v>
      </c>
      <c r="V167" s="19" t="s">
        <v>2710</v>
      </c>
      <c r="W167" s="30">
        <v>2014</v>
      </c>
      <c r="X167" t="s">
        <v>2822</v>
      </c>
      <c r="Y167" s="28">
        <v>41734</v>
      </c>
      <c r="Z167" s="28" t="str">
        <f t="shared" si="20"/>
        <v>ES-2014-BS1166545-41734</v>
      </c>
    </row>
    <row r="168" spans="1:26" ht="15.75">
      <c r="A168" s="16" t="s">
        <v>1088</v>
      </c>
      <c r="B168" s="4">
        <v>41150</v>
      </c>
      <c r="C168" s="4">
        <v>41150</v>
      </c>
      <c r="D168" s="5" t="s">
        <v>1089</v>
      </c>
      <c r="E168" s="5" t="s">
        <v>464</v>
      </c>
      <c r="F168" s="5" t="s">
        <v>87</v>
      </c>
      <c r="G168" s="5" t="s">
        <v>32</v>
      </c>
      <c r="H168" s="5" t="s">
        <v>26</v>
      </c>
      <c r="I168" s="6">
        <v>1782.48</v>
      </c>
      <c r="J168" s="5">
        <v>4</v>
      </c>
      <c r="K168" s="17">
        <v>0</v>
      </c>
      <c r="L168" s="6">
        <v>873.36</v>
      </c>
      <c r="M168" s="5" t="s">
        <v>37</v>
      </c>
      <c r="N168" s="7" t="s">
        <v>2679</v>
      </c>
      <c r="O168" s="8" t="str">
        <f t="shared" si="14"/>
        <v>Joe Kamberova</v>
      </c>
      <c r="P168" s="8" t="str">
        <f t="shared" si="15"/>
        <v>RS</v>
      </c>
      <c r="Q168" s="8" t="str">
        <f t="shared" si="16"/>
        <v>2012</v>
      </c>
      <c r="R168" s="8" t="str">
        <f t="shared" si="17"/>
        <v>HIGH</v>
      </c>
      <c r="S168" s="8" t="str">
        <f t="shared" si="18"/>
        <v>furniture</v>
      </c>
      <c r="T168" s="18" t="str">
        <f t="shared" si="19"/>
        <v>41150</v>
      </c>
      <c r="U168" s="27" t="s">
        <v>2823</v>
      </c>
      <c r="V168" s="16" t="s">
        <v>2824</v>
      </c>
      <c r="W168" s="30">
        <v>2012</v>
      </c>
      <c r="X168" t="s">
        <v>2823</v>
      </c>
      <c r="Y168" s="28">
        <v>41150</v>
      </c>
      <c r="Z168" s="28" t="str">
        <f t="shared" si="20"/>
        <v>RS-2012-JK5730108-41150</v>
      </c>
    </row>
    <row r="169" spans="1:26" ht="15.75">
      <c r="A169" s="19" t="s">
        <v>1090</v>
      </c>
      <c r="B169" s="9">
        <v>41612</v>
      </c>
      <c r="C169" s="9">
        <v>41613</v>
      </c>
      <c r="D169" s="10" t="s">
        <v>659</v>
      </c>
      <c r="E169" s="10" t="s">
        <v>70</v>
      </c>
      <c r="F169" s="10" t="s">
        <v>71</v>
      </c>
      <c r="G169" s="10" t="s">
        <v>17</v>
      </c>
      <c r="H169" s="10" t="s">
        <v>151</v>
      </c>
      <c r="I169" s="11">
        <v>667.76849999999899</v>
      </c>
      <c r="J169" s="10">
        <v>3</v>
      </c>
      <c r="K169" s="20">
        <v>0.15</v>
      </c>
      <c r="L169" s="11">
        <v>274.91849999999999</v>
      </c>
      <c r="M169" s="10" t="s">
        <v>27</v>
      </c>
      <c r="N169" s="12" t="s">
        <v>2679</v>
      </c>
      <c r="O169" s="13" t="str">
        <f t="shared" si="14"/>
        <v>Henia Zydlo</v>
      </c>
      <c r="P169" s="13" t="str">
        <f t="shared" si="15"/>
        <v>ES</v>
      </c>
      <c r="Q169" s="13" t="str">
        <f t="shared" si="16"/>
        <v>2013</v>
      </c>
      <c r="R169" s="13" t="str">
        <f t="shared" si="17"/>
        <v>CRITICAL</v>
      </c>
      <c r="S169" s="13" t="str">
        <f t="shared" si="18"/>
        <v>technology</v>
      </c>
      <c r="T169" s="21" t="str">
        <f t="shared" si="19"/>
        <v>41612</v>
      </c>
      <c r="U169" s="27" t="s">
        <v>2825</v>
      </c>
      <c r="V169" s="19" t="s">
        <v>2710</v>
      </c>
      <c r="W169" s="30">
        <v>2013</v>
      </c>
      <c r="X169" t="s">
        <v>2825</v>
      </c>
      <c r="Y169" s="28">
        <v>41612</v>
      </c>
      <c r="Z169" s="28" t="str">
        <f t="shared" si="20"/>
        <v>ES-2013-HZ1495045-41612</v>
      </c>
    </row>
    <row r="170" spans="1:26" ht="15.75">
      <c r="A170" s="16" t="s">
        <v>1100</v>
      </c>
      <c r="B170" s="4">
        <v>41446</v>
      </c>
      <c r="C170" s="5" t="s">
        <v>125</v>
      </c>
      <c r="D170" s="5" t="s">
        <v>1101</v>
      </c>
      <c r="E170" s="5" t="s">
        <v>97</v>
      </c>
      <c r="F170" s="5" t="s">
        <v>98</v>
      </c>
      <c r="G170" s="5" t="s">
        <v>17</v>
      </c>
      <c r="H170" s="5" t="s">
        <v>73</v>
      </c>
      <c r="I170" s="6">
        <v>1696.4</v>
      </c>
      <c r="J170" s="5">
        <v>4</v>
      </c>
      <c r="K170" s="17">
        <v>0</v>
      </c>
      <c r="L170" s="6">
        <v>67.84</v>
      </c>
      <c r="M170" s="5" t="s">
        <v>37</v>
      </c>
      <c r="N170" s="7" t="s">
        <v>2679</v>
      </c>
      <c r="O170" s="8" t="str">
        <f t="shared" si="14"/>
        <v>Theresa Coyne</v>
      </c>
      <c r="P170" s="8" t="str">
        <f t="shared" si="15"/>
        <v>MX</v>
      </c>
      <c r="Q170" s="8" t="str">
        <f t="shared" si="16"/>
        <v>2013</v>
      </c>
      <c r="R170" s="8" t="str">
        <f t="shared" si="17"/>
        <v>HIGH</v>
      </c>
      <c r="S170" s="8" t="str">
        <f t="shared" si="18"/>
        <v>technology</v>
      </c>
      <c r="T170" s="18" t="str">
        <f t="shared" si="19"/>
        <v>41446</v>
      </c>
      <c r="U170" s="27" t="s">
        <v>2826</v>
      </c>
      <c r="V170" s="16" t="s">
        <v>2695</v>
      </c>
      <c r="W170" s="30">
        <v>2013</v>
      </c>
      <c r="X170" t="s">
        <v>2826</v>
      </c>
      <c r="Y170" s="28">
        <v>41446</v>
      </c>
      <c r="Z170" s="28" t="str">
        <f t="shared" si="20"/>
        <v>MX-2013-TC2114582-41446</v>
      </c>
    </row>
    <row r="171" spans="1:26" ht="15.75">
      <c r="A171" s="19" t="s">
        <v>1102</v>
      </c>
      <c r="B171" s="9">
        <v>41417</v>
      </c>
      <c r="C171" s="9">
        <v>41419</v>
      </c>
      <c r="D171" s="10" t="s">
        <v>172</v>
      </c>
      <c r="E171" s="10" t="s">
        <v>97</v>
      </c>
      <c r="F171" s="10" t="s">
        <v>98</v>
      </c>
      <c r="G171" s="10" t="s">
        <v>45</v>
      </c>
      <c r="H171" s="10" t="s">
        <v>73</v>
      </c>
      <c r="I171" s="11">
        <v>935.5</v>
      </c>
      <c r="J171" s="10">
        <v>5</v>
      </c>
      <c r="K171" s="20">
        <v>0</v>
      </c>
      <c r="L171" s="11">
        <v>168.3</v>
      </c>
      <c r="M171" s="10" t="s">
        <v>19</v>
      </c>
      <c r="N171" s="12" t="s">
        <v>2679</v>
      </c>
      <c r="O171" s="13" t="str">
        <f t="shared" si="14"/>
        <v>Deirdre Greer</v>
      </c>
      <c r="P171" s="13" t="str">
        <f t="shared" si="15"/>
        <v>MX</v>
      </c>
      <c r="Q171" s="13" t="str">
        <f t="shared" si="16"/>
        <v>2013</v>
      </c>
      <c r="R171" s="13" t="str">
        <f t="shared" si="17"/>
        <v>MEDIUM</v>
      </c>
      <c r="S171" s="13" t="str">
        <f t="shared" si="18"/>
        <v>office supplies</v>
      </c>
      <c r="T171" s="21" t="str">
        <f t="shared" si="19"/>
        <v>41417</v>
      </c>
      <c r="U171" s="27" t="s">
        <v>2827</v>
      </c>
      <c r="V171" s="19" t="s">
        <v>2695</v>
      </c>
      <c r="W171" s="30">
        <v>2013</v>
      </c>
      <c r="X171" t="s">
        <v>2827</v>
      </c>
      <c r="Y171" s="28">
        <v>41417</v>
      </c>
      <c r="Z171" s="28" t="str">
        <f t="shared" si="20"/>
        <v>MX-2013-DG1330082-41417</v>
      </c>
    </row>
    <row r="172" spans="1:26" ht="15.75">
      <c r="A172" s="16" t="s">
        <v>1105</v>
      </c>
      <c r="B172" s="4">
        <v>41440</v>
      </c>
      <c r="C172" s="4">
        <v>41440</v>
      </c>
      <c r="D172" s="5" t="s">
        <v>1106</v>
      </c>
      <c r="E172" s="5" t="s">
        <v>70</v>
      </c>
      <c r="F172" s="5" t="s">
        <v>71</v>
      </c>
      <c r="G172" s="5" t="s">
        <v>17</v>
      </c>
      <c r="H172" s="5" t="s">
        <v>73</v>
      </c>
      <c r="I172" s="6">
        <v>980.52</v>
      </c>
      <c r="J172" s="5">
        <v>4</v>
      </c>
      <c r="K172" s="17">
        <v>0</v>
      </c>
      <c r="L172" s="6">
        <v>176.39999999999901</v>
      </c>
      <c r="M172" s="5" t="s">
        <v>37</v>
      </c>
      <c r="N172" s="7" t="s">
        <v>2679</v>
      </c>
      <c r="O172" s="8" t="str">
        <f t="shared" si="14"/>
        <v>Dorris Liebe</v>
      </c>
      <c r="P172" s="8" t="str">
        <f t="shared" si="15"/>
        <v>ES</v>
      </c>
      <c r="Q172" s="8" t="str">
        <f t="shared" si="16"/>
        <v>2013</v>
      </c>
      <c r="R172" s="8" t="str">
        <f t="shared" si="17"/>
        <v>HIGH</v>
      </c>
      <c r="S172" s="8" t="str">
        <f t="shared" si="18"/>
        <v>technology</v>
      </c>
      <c r="T172" s="18" t="str">
        <f t="shared" si="19"/>
        <v>41440</v>
      </c>
      <c r="U172" s="27" t="s">
        <v>2828</v>
      </c>
      <c r="V172" s="16" t="s">
        <v>2710</v>
      </c>
      <c r="W172" s="30">
        <v>2013</v>
      </c>
      <c r="X172" t="s">
        <v>2828</v>
      </c>
      <c r="Y172" s="28">
        <v>41440</v>
      </c>
      <c r="Z172" s="28" t="str">
        <f t="shared" si="20"/>
        <v>ES-2013-Dl1360045-41440</v>
      </c>
    </row>
    <row r="173" spans="1:26" ht="15.75">
      <c r="A173" s="19" t="s">
        <v>1116</v>
      </c>
      <c r="B173" s="9">
        <v>41992</v>
      </c>
      <c r="C173" s="9">
        <v>41995</v>
      </c>
      <c r="D173" s="10" t="s">
        <v>1049</v>
      </c>
      <c r="E173" s="10" t="s">
        <v>40</v>
      </c>
      <c r="F173" s="10" t="s">
        <v>43</v>
      </c>
      <c r="G173" s="10" t="s">
        <v>17</v>
      </c>
      <c r="H173" s="10" t="s">
        <v>26</v>
      </c>
      <c r="I173" s="11">
        <v>28.68</v>
      </c>
      <c r="J173" s="10">
        <v>3</v>
      </c>
      <c r="K173" s="20">
        <v>0.2</v>
      </c>
      <c r="L173" s="11">
        <v>-7.17</v>
      </c>
      <c r="M173" s="10" t="s">
        <v>19</v>
      </c>
      <c r="N173" s="12" t="s">
        <v>2679</v>
      </c>
      <c r="O173" s="13" t="str">
        <f t="shared" si="14"/>
        <v>Adrian Hane</v>
      </c>
      <c r="P173" s="13" t="str">
        <f t="shared" si="15"/>
        <v>CA</v>
      </c>
      <c r="Q173" s="13" t="str">
        <f t="shared" si="16"/>
        <v>2014</v>
      </c>
      <c r="R173" s="13" t="str">
        <f t="shared" si="17"/>
        <v>MEDIUM</v>
      </c>
      <c r="S173" s="13" t="str">
        <f t="shared" si="18"/>
        <v>technology</v>
      </c>
      <c r="T173" s="21" t="str">
        <f t="shared" si="19"/>
        <v>41929</v>
      </c>
      <c r="U173" s="27" t="s">
        <v>2818</v>
      </c>
      <c r="V173" s="19" t="s">
        <v>2683</v>
      </c>
      <c r="W173" s="30">
        <v>2014</v>
      </c>
      <c r="X173" t="s">
        <v>2818</v>
      </c>
      <c r="Y173" s="28">
        <v>41929</v>
      </c>
      <c r="Z173" s="28" t="str">
        <f t="shared" si="20"/>
        <v>CA-2014-AH10120140-41929</v>
      </c>
    </row>
    <row r="174" spans="1:26" ht="15.75">
      <c r="A174" s="16" t="s">
        <v>1119</v>
      </c>
      <c r="B174" s="4">
        <v>41238</v>
      </c>
      <c r="C174" s="4">
        <v>41242</v>
      </c>
      <c r="D174" s="5" t="s">
        <v>487</v>
      </c>
      <c r="E174" s="5" t="s">
        <v>22</v>
      </c>
      <c r="F174" s="5" t="s">
        <v>71</v>
      </c>
      <c r="G174" s="5" t="s">
        <v>45</v>
      </c>
      <c r="H174" s="5" t="s">
        <v>57</v>
      </c>
      <c r="I174" s="6">
        <v>2039.796</v>
      </c>
      <c r="J174" s="5">
        <v>4</v>
      </c>
      <c r="K174" s="17">
        <v>0.1</v>
      </c>
      <c r="L174" s="6">
        <v>-113.364</v>
      </c>
      <c r="M174" s="5" t="s">
        <v>37</v>
      </c>
      <c r="N174" s="7" t="s">
        <v>2679</v>
      </c>
      <c r="O174" s="8" t="str">
        <f t="shared" si="14"/>
        <v>Jim Radford</v>
      </c>
      <c r="P174" s="8" t="str">
        <f t="shared" si="15"/>
        <v>IT</v>
      </c>
      <c r="Q174" s="8" t="str">
        <f t="shared" si="16"/>
        <v>2012</v>
      </c>
      <c r="R174" s="8" t="str">
        <f t="shared" si="17"/>
        <v>HIGH</v>
      </c>
      <c r="S174" s="8" t="str">
        <f t="shared" si="18"/>
        <v>office supplies</v>
      </c>
      <c r="T174" s="18" t="str">
        <f t="shared" si="19"/>
        <v>41238</v>
      </c>
      <c r="U174" s="27" t="s">
        <v>2829</v>
      </c>
      <c r="V174" s="16" t="s">
        <v>2690</v>
      </c>
      <c r="W174" s="30">
        <v>2012</v>
      </c>
      <c r="X174" t="s">
        <v>2829</v>
      </c>
      <c r="Y174" s="28">
        <v>41238</v>
      </c>
      <c r="Z174" s="28" t="str">
        <f t="shared" si="20"/>
        <v>IT-2012-JR1567048-41238</v>
      </c>
    </row>
    <row r="175" spans="1:26" ht="15.75">
      <c r="A175" s="19" t="s">
        <v>1125</v>
      </c>
      <c r="B175" s="9">
        <v>41216</v>
      </c>
      <c r="C175" s="9">
        <v>41220</v>
      </c>
      <c r="D175" s="10" t="s">
        <v>1126</v>
      </c>
      <c r="E175" s="10" t="s">
        <v>1127</v>
      </c>
      <c r="F175" s="10" t="s">
        <v>120</v>
      </c>
      <c r="G175" s="10" t="s">
        <v>32</v>
      </c>
      <c r="H175" s="10" t="s">
        <v>26</v>
      </c>
      <c r="I175" s="11">
        <v>1380.8999999999901</v>
      </c>
      <c r="J175" s="10">
        <v>5</v>
      </c>
      <c r="K175" s="20">
        <v>0</v>
      </c>
      <c r="L175" s="11">
        <v>303.7</v>
      </c>
      <c r="M175" s="10" t="s">
        <v>37</v>
      </c>
      <c r="N175" s="12" t="s">
        <v>2679</v>
      </c>
      <c r="O175" s="13" t="str">
        <f t="shared" si="14"/>
        <v>Frank Merwin</v>
      </c>
      <c r="P175" s="13" t="str">
        <f t="shared" si="15"/>
        <v>MX</v>
      </c>
      <c r="Q175" s="13" t="str">
        <f t="shared" si="16"/>
        <v>2012</v>
      </c>
      <c r="R175" s="13" t="str">
        <f t="shared" si="17"/>
        <v>HIGH</v>
      </c>
      <c r="S175" s="13" t="str">
        <f t="shared" si="18"/>
        <v>furniture</v>
      </c>
      <c r="T175" s="21" t="str">
        <f t="shared" si="19"/>
        <v>41216</v>
      </c>
      <c r="U175" s="27" t="s">
        <v>2830</v>
      </c>
      <c r="V175" s="19" t="s">
        <v>2695</v>
      </c>
      <c r="W175" s="30">
        <v>2012</v>
      </c>
      <c r="X175" t="s">
        <v>2830</v>
      </c>
      <c r="Y175" s="28">
        <v>41216</v>
      </c>
      <c r="Z175" s="28" t="str">
        <f t="shared" si="20"/>
        <v>MX-2012-FM1429065-41216</v>
      </c>
    </row>
    <row r="176" spans="1:26" ht="15.75">
      <c r="A176" s="16" t="s">
        <v>1130</v>
      </c>
      <c r="B176" s="4">
        <v>41929</v>
      </c>
      <c r="C176" s="4">
        <v>41931</v>
      </c>
      <c r="D176" s="5" t="s">
        <v>1131</v>
      </c>
      <c r="E176" s="5" t="s">
        <v>31</v>
      </c>
      <c r="F176" s="5" t="s">
        <v>16</v>
      </c>
      <c r="G176" s="5" t="s">
        <v>32</v>
      </c>
      <c r="H176" s="5" t="s">
        <v>151</v>
      </c>
      <c r="I176" s="6">
        <v>823.5</v>
      </c>
      <c r="J176" s="5">
        <v>2</v>
      </c>
      <c r="K176" s="17">
        <v>0</v>
      </c>
      <c r="L176" s="6">
        <v>172.92</v>
      </c>
      <c r="M176" s="5" t="s">
        <v>27</v>
      </c>
      <c r="N176" s="7" t="s">
        <v>2679</v>
      </c>
      <c r="O176" s="8" t="str">
        <f t="shared" si="14"/>
        <v>Clytie Kelty</v>
      </c>
      <c r="P176" s="8" t="str">
        <f t="shared" si="15"/>
        <v>IN</v>
      </c>
      <c r="Q176" s="8" t="str">
        <f t="shared" si="16"/>
        <v>2014</v>
      </c>
      <c r="R176" s="8" t="str">
        <f t="shared" si="17"/>
        <v>CRITICAL</v>
      </c>
      <c r="S176" s="8" t="str">
        <f t="shared" si="18"/>
        <v>furniture</v>
      </c>
      <c r="T176" s="18" t="str">
        <f t="shared" si="19"/>
        <v>41929</v>
      </c>
      <c r="U176" s="27" t="s">
        <v>2831</v>
      </c>
      <c r="V176" s="16" t="s">
        <v>2681</v>
      </c>
      <c r="W176" s="30">
        <v>2014</v>
      </c>
      <c r="X176" t="s">
        <v>2831</v>
      </c>
      <c r="Y176" s="28">
        <v>41929</v>
      </c>
      <c r="Z176" s="28" t="str">
        <f t="shared" si="20"/>
        <v>IN-2014-CK1259592-41929</v>
      </c>
    </row>
    <row r="177" spans="1:26" ht="15.75">
      <c r="A177" s="19" t="s">
        <v>1133</v>
      </c>
      <c r="B177" s="9">
        <v>41795</v>
      </c>
      <c r="C177" s="9">
        <v>41799</v>
      </c>
      <c r="D177" s="10" t="s">
        <v>314</v>
      </c>
      <c r="E177" s="10" t="s">
        <v>66</v>
      </c>
      <c r="F177" s="10" t="s">
        <v>90</v>
      </c>
      <c r="G177" s="10" t="s">
        <v>17</v>
      </c>
      <c r="H177" s="10" t="s">
        <v>151</v>
      </c>
      <c r="I177" s="11">
        <v>3180.75</v>
      </c>
      <c r="J177" s="10">
        <v>5</v>
      </c>
      <c r="K177" s="20">
        <v>0</v>
      </c>
      <c r="L177" s="11">
        <v>1081.3499999999999</v>
      </c>
      <c r="M177" s="10" t="s">
        <v>19</v>
      </c>
      <c r="N177" s="12" t="s">
        <v>2679</v>
      </c>
      <c r="O177" s="13" t="str">
        <f t="shared" si="14"/>
        <v>Gary Mcgarr</v>
      </c>
      <c r="P177" s="13" t="str">
        <f t="shared" si="15"/>
        <v>IN</v>
      </c>
      <c r="Q177" s="13" t="str">
        <f t="shared" si="16"/>
        <v>2014</v>
      </c>
      <c r="R177" s="13" t="str">
        <f t="shared" si="17"/>
        <v>MEDIUM</v>
      </c>
      <c r="S177" s="13" t="str">
        <f t="shared" si="18"/>
        <v>technology</v>
      </c>
      <c r="T177" s="21" t="str">
        <f t="shared" si="19"/>
        <v>41795</v>
      </c>
      <c r="U177" s="27" t="s">
        <v>2832</v>
      </c>
      <c r="V177" s="19" t="s">
        <v>2681</v>
      </c>
      <c r="W177" s="30">
        <v>2014</v>
      </c>
      <c r="X177" t="s">
        <v>2832</v>
      </c>
      <c r="Y177" s="28">
        <v>41795</v>
      </c>
      <c r="Z177" s="28" t="str">
        <f t="shared" si="20"/>
        <v>IN-2014-GM1444027-41795</v>
      </c>
    </row>
    <row r="178" spans="1:26" ht="15.75">
      <c r="A178" s="16" t="s">
        <v>1048</v>
      </c>
      <c r="B178" s="4">
        <v>41992</v>
      </c>
      <c r="C178" s="4">
        <v>41995</v>
      </c>
      <c r="D178" s="5" t="s">
        <v>1049</v>
      </c>
      <c r="E178" s="5" t="s">
        <v>40</v>
      </c>
      <c r="F178" s="5" t="s">
        <v>43</v>
      </c>
      <c r="G178" s="5" t="s">
        <v>45</v>
      </c>
      <c r="H178" s="5" t="s">
        <v>26</v>
      </c>
      <c r="I178" s="6">
        <v>15.936</v>
      </c>
      <c r="J178" s="5">
        <v>4</v>
      </c>
      <c r="K178" s="17">
        <v>0.2</v>
      </c>
      <c r="L178" s="6">
        <v>5.1791999999999998</v>
      </c>
      <c r="M178" s="5" t="s">
        <v>19</v>
      </c>
      <c r="N178" s="7" t="s">
        <v>2679</v>
      </c>
      <c r="O178" s="8" t="str">
        <f t="shared" si="14"/>
        <v>Adrian Hane</v>
      </c>
      <c r="P178" s="8" t="str">
        <f t="shared" si="15"/>
        <v>CA</v>
      </c>
      <c r="Q178" s="8" t="str">
        <f t="shared" si="16"/>
        <v>2014</v>
      </c>
      <c r="R178" s="8" t="str">
        <f t="shared" si="17"/>
        <v>MEDIUM</v>
      </c>
      <c r="S178" s="8" t="str">
        <f t="shared" si="18"/>
        <v>office supplies</v>
      </c>
      <c r="T178" s="18" t="str">
        <f t="shared" si="19"/>
        <v>41992</v>
      </c>
      <c r="U178" s="27" t="s">
        <v>2818</v>
      </c>
      <c r="V178" s="16" t="s">
        <v>2683</v>
      </c>
      <c r="W178" s="30">
        <v>2014</v>
      </c>
      <c r="X178" t="s">
        <v>2818</v>
      </c>
      <c r="Y178" s="28">
        <v>41992</v>
      </c>
      <c r="Z178" s="28" t="str">
        <f t="shared" si="20"/>
        <v>CA-2014-AH10120140-41992</v>
      </c>
    </row>
    <row r="179" spans="1:26" ht="15.75">
      <c r="A179" s="19" t="s">
        <v>1065</v>
      </c>
      <c r="B179" s="9">
        <v>42188</v>
      </c>
      <c r="C179" s="9">
        <v>42191</v>
      </c>
      <c r="D179" s="10" t="s">
        <v>1049</v>
      </c>
      <c r="E179" s="10" t="s">
        <v>334</v>
      </c>
      <c r="F179" s="10" t="s">
        <v>41</v>
      </c>
      <c r="G179" s="10" t="s">
        <v>45</v>
      </c>
      <c r="H179" s="10" t="s">
        <v>127</v>
      </c>
      <c r="I179" s="11">
        <v>5.2319999999999904</v>
      </c>
      <c r="J179" s="10">
        <v>4</v>
      </c>
      <c r="K179" s="20">
        <v>0.8</v>
      </c>
      <c r="L179" s="11">
        <v>-8.1096000000000004</v>
      </c>
      <c r="M179" s="10" t="s">
        <v>19</v>
      </c>
      <c r="N179" s="12" t="s">
        <v>2679</v>
      </c>
      <c r="O179" s="13" t="str">
        <f t="shared" si="14"/>
        <v>Adrian Hane</v>
      </c>
      <c r="P179" s="13" t="str">
        <f t="shared" si="15"/>
        <v>CA</v>
      </c>
      <c r="Q179" s="13" t="str">
        <f t="shared" si="16"/>
        <v>2015</v>
      </c>
      <c r="R179" s="13" t="str">
        <f t="shared" si="17"/>
        <v>MEDIUM</v>
      </c>
      <c r="S179" s="13" t="str">
        <f t="shared" si="18"/>
        <v>office supplies</v>
      </c>
      <c r="T179" s="21" t="str">
        <f t="shared" si="19"/>
        <v>42188</v>
      </c>
      <c r="U179" s="27" t="s">
        <v>2818</v>
      </c>
      <c r="V179" s="19" t="s">
        <v>2683</v>
      </c>
      <c r="W179" s="30">
        <v>2015</v>
      </c>
      <c r="X179" t="s">
        <v>2818</v>
      </c>
      <c r="Y179" s="28">
        <v>42188</v>
      </c>
      <c r="Z179" s="28" t="str">
        <f t="shared" si="20"/>
        <v>CA-2015-AH10120140-42188</v>
      </c>
    </row>
    <row r="180" spans="1:26" ht="15.75">
      <c r="A180" s="16" t="s">
        <v>1138</v>
      </c>
      <c r="B180" s="4">
        <v>41933</v>
      </c>
      <c r="C180" s="4">
        <v>41936</v>
      </c>
      <c r="D180" s="5" t="s">
        <v>54</v>
      </c>
      <c r="E180" s="5" t="s">
        <v>66</v>
      </c>
      <c r="F180" s="5" t="s">
        <v>90</v>
      </c>
      <c r="G180" s="5" t="s">
        <v>17</v>
      </c>
      <c r="H180" s="5" t="s">
        <v>44</v>
      </c>
      <c r="I180" s="6">
        <v>910.349999999999</v>
      </c>
      <c r="J180" s="5">
        <v>5</v>
      </c>
      <c r="K180" s="17">
        <v>0</v>
      </c>
      <c r="L180" s="6">
        <v>391.349999999999</v>
      </c>
      <c r="M180" s="5" t="s">
        <v>27</v>
      </c>
      <c r="N180" s="7" t="s">
        <v>2679</v>
      </c>
      <c r="O180" s="8" t="str">
        <f t="shared" si="14"/>
        <v>Magdelene Morse</v>
      </c>
      <c r="P180" s="8" t="str">
        <f t="shared" si="15"/>
        <v>IN</v>
      </c>
      <c r="Q180" s="8" t="str">
        <f t="shared" si="16"/>
        <v>2014</v>
      </c>
      <c r="R180" s="8" t="str">
        <f t="shared" si="17"/>
        <v>CRITICAL</v>
      </c>
      <c r="S180" s="8" t="str">
        <f t="shared" si="18"/>
        <v>technology</v>
      </c>
      <c r="T180" s="18" t="str">
        <f t="shared" si="19"/>
        <v>41933</v>
      </c>
      <c r="U180" s="27" t="s">
        <v>2833</v>
      </c>
      <c r="V180" s="16" t="s">
        <v>2681</v>
      </c>
      <c r="W180" s="30">
        <v>2014</v>
      </c>
      <c r="X180" t="s">
        <v>2833</v>
      </c>
      <c r="Y180" s="28">
        <v>41933</v>
      </c>
      <c r="Z180" s="28" t="str">
        <f t="shared" si="20"/>
        <v>IN-2014-MM1726027-41933</v>
      </c>
    </row>
    <row r="181" spans="1:26" ht="15.75">
      <c r="A181" s="19" t="s">
        <v>1139</v>
      </c>
      <c r="B181" s="9">
        <v>42227</v>
      </c>
      <c r="C181" s="9">
        <v>42230</v>
      </c>
      <c r="D181" s="10" t="s">
        <v>1140</v>
      </c>
      <c r="E181" s="10" t="s">
        <v>93</v>
      </c>
      <c r="F181" s="10" t="s">
        <v>94</v>
      </c>
      <c r="G181" s="10" t="s">
        <v>32</v>
      </c>
      <c r="H181" s="10" t="s">
        <v>73</v>
      </c>
      <c r="I181" s="11" t="s">
        <v>163</v>
      </c>
      <c r="J181" s="10">
        <v>2</v>
      </c>
      <c r="K181" s="20">
        <v>0</v>
      </c>
      <c r="L181" s="11">
        <v>274.08</v>
      </c>
      <c r="M181" s="10" t="s">
        <v>27</v>
      </c>
      <c r="N181" s="12" t="s">
        <v>2679</v>
      </c>
      <c r="O181" s="13" t="str">
        <f t="shared" si="14"/>
        <v>Maria Etezadi</v>
      </c>
      <c r="P181" s="13" t="str">
        <f t="shared" si="15"/>
        <v>ES</v>
      </c>
      <c r="Q181" s="13" t="str">
        <f t="shared" si="16"/>
        <v>2015</v>
      </c>
      <c r="R181" s="13" t="str">
        <f t="shared" si="17"/>
        <v>CRITICAL</v>
      </c>
      <c r="S181" s="13" t="str">
        <f t="shared" si="18"/>
        <v>furniture</v>
      </c>
      <c r="T181" s="21" t="str">
        <f t="shared" si="19"/>
        <v>42227</v>
      </c>
      <c r="U181" s="27" t="s">
        <v>2834</v>
      </c>
      <c r="V181" s="19" t="s">
        <v>2710</v>
      </c>
      <c r="W181" s="30">
        <v>2015</v>
      </c>
      <c r="X181" t="s">
        <v>2834</v>
      </c>
      <c r="Y181" s="28">
        <v>42227</v>
      </c>
      <c r="Z181" s="28" t="str">
        <f t="shared" si="20"/>
        <v>ES-2015-ME17320139-42227</v>
      </c>
    </row>
    <row r="182" spans="1:26" ht="15.75">
      <c r="A182" s="16" t="s">
        <v>1162</v>
      </c>
      <c r="B182" s="4">
        <v>41416</v>
      </c>
      <c r="C182" s="4">
        <v>41419</v>
      </c>
      <c r="D182" s="5" t="s">
        <v>672</v>
      </c>
      <c r="E182" s="5" t="s">
        <v>689</v>
      </c>
      <c r="F182" s="5" t="s">
        <v>142</v>
      </c>
      <c r="G182" s="5" t="s">
        <v>17</v>
      </c>
      <c r="H182" s="5" t="s">
        <v>151</v>
      </c>
      <c r="I182" s="6">
        <v>1031.3999999999901</v>
      </c>
      <c r="J182" s="5">
        <v>4</v>
      </c>
      <c r="K182" s="17">
        <v>0</v>
      </c>
      <c r="L182" s="6">
        <v>1773.8879586580799</v>
      </c>
      <c r="M182" s="5" t="s">
        <v>37</v>
      </c>
      <c r="N182" s="7" t="s">
        <v>2679</v>
      </c>
      <c r="O182" s="8" t="str">
        <f t="shared" si="14"/>
        <v>Pauline Chand</v>
      </c>
      <c r="P182" s="8" t="str">
        <f t="shared" si="15"/>
        <v>IN</v>
      </c>
      <c r="Q182" s="8" t="str">
        <f t="shared" si="16"/>
        <v>2013</v>
      </c>
      <c r="R182" s="8" t="str">
        <f t="shared" si="17"/>
        <v>HIGH</v>
      </c>
      <c r="S182" s="8" t="str">
        <f t="shared" si="18"/>
        <v>technology</v>
      </c>
      <c r="T182" s="18" t="str">
        <f t="shared" si="19"/>
        <v>41416</v>
      </c>
      <c r="U182" s="27" t="s">
        <v>2835</v>
      </c>
      <c r="V182" s="16" t="s">
        <v>2681</v>
      </c>
      <c r="W182" s="30">
        <v>2013</v>
      </c>
      <c r="X182" t="s">
        <v>2835</v>
      </c>
      <c r="Y182" s="28">
        <v>41416</v>
      </c>
      <c r="Z182" s="28" t="str">
        <f t="shared" si="20"/>
        <v>IN-2013-PC1900078-41416</v>
      </c>
    </row>
    <row r="183" spans="1:26" ht="15.75">
      <c r="A183" s="19" t="s">
        <v>1165</v>
      </c>
      <c r="B183" s="9">
        <v>42228</v>
      </c>
      <c r="C183" s="9">
        <v>42231</v>
      </c>
      <c r="D183" s="10" t="s">
        <v>580</v>
      </c>
      <c r="E183" s="10" t="s">
        <v>130</v>
      </c>
      <c r="F183" s="10" t="s">
        <v>131</v>
      </c>
      <c r="G183" s="10" t="s">
        <v>17</v>
      </c>
      <c r="H183" s="10" t="s">
        <v>18</v>
      </c>
      <c r="I183" s="11">
        <v>1018.32</v>
      </c>
      <c r="J183" s="10">
        <v>4</v>
      </c>
      <c r="K183" s="20">
        <v>0</v>
      </c>
      <c r="L183" s="11">
        <v>183.24</v>
      </c>
      <c r="M183" s="10" t="s">
        <v>27</v>
      </c>
      <c r="N183" s="12" t="s">
        <v>2679</v>
      </c>
      <c r="O183" s="13" t="str">
        <f t="shared" si="14"/>
        <v>Dennis Kane</v>
      </c>
      <c r="P183" s="13" t="str">
        <f t="shared" si="15"/>
        <v>CG</v>
      </c>
      <c r="Q183" s="13" t="str">
        <f t="shared" si="16"/>
        <v>2015</v>
      </c>
      <c r="R183" s="13" t="str">
        <f t="shared" si="17"/>
        <v>CRITICAL</v>
      </c>
      <c r="S183" s="13" t="str">
        <f t="shared" si="18"/>
        <v>technology</v>
      </c>
      <c r="T183" s="21" t="str">
        <f t="shared" si="19"/>
        <v>42228</v>
      </c>
      <c r="U183" s="27" t="s">
        <v>2836</v>
      </c>
      <c r="V183" s="19" t="s">
        <v>2837</v>
      </c>
      <c r="W183" s="30">
        <v>2015</v>
      </c>
      <c r="X183" t="s">
        <v>2836</v>
      </c>
      <c r="Y183" s="28">
        <v>42228</v>
      </c>
      <c r="Z183" s="28" t="str">
        <f t="shared" si="20"/>
        <v>CG-2015-DK337533-42228</v>
      </c>
    </row>
    <row r="184" spans="1:26" ht="15.75">
      <c r="A184" s="16" t="s">
        <v>1168</v>
      </c>
      <c r="B184" s="4">
        <v>42367</v>
      </c>
      <c r="C184" s="4">
        <v>42369</v>
      </c>
      <c r="D184" s="5" t="s">
        <v>418</v>
      </c>
      <c r="E184" s="5" t="s">
        <v>15</v>
      </c>
      <c r="F184" s="5" t="s">
        <v>16</v>
      </c>
      <c r="G184" s="5" t="s">
        <v>45</v>
      </c>
      <c r="H184" s="5" t="s">
        <v>57</v>
      </c>
      <c r="I184" s="6">
        <v>1534.8689999999999</v>
      </c>
      <c r="J184" s="5">
        <v>3</v>
      </c>
      <c r="K184" s="17">
        <v>0.1</v>
      </c>
      <c r="L184" s="6">
        <v>-102.411</v>
      </c>
      <c r="M184" s="5" t="s">
        <v>1169</v>
      </c>
      <c r="N184" s="7" t="s">
        <v>2679</v>
      </c>
      <c r="O184" s="8" t="str">
        <f t="shared" si="14"/>
        <v>Adam Hart</v>
      </c>
      <c r="P184" s="8" t="str">
        <f t="shared" si="15"/>
        <v xml:space="preserve"> I</v>
      </c>
      <c r="Q184" s="8" t="str">
        <f t="shared" si="16"/>
        <v>-201</v>
      </c>
      <c r="R184" s="8" t="str">
        <f t="shared" si="17"/>
        <v>MEDUIM</v>
      </c>
      <c r="S184" s="8" t="str">
        <f t="shared" si="18"/>
        <v>office supplies</v>
      </c>
      <c r="T184" s="18" t="str">
        <f t="shared" si="19"/>
        <v xml:space="preserve">2367 </v>
      </c>
      <c r="U184" s="27" t="s">
        <v>2838</v>
      </c>
      <c r="V184" s="16" t="s">
        <v>2839</v>
      </c>
      <c r="W184" s="30">
        <v>2015</v>
      </c>
      <c r="X184" t="s">
        <v>2838</v>
      </c>
      <c r="Y184" s="28">
        <v>42367</v>
      </c>
      <c r="Z184" s="28" t="str">
        <f t="shared" si="20"/>
        <v>ID-2015-AH100757-42367</v>
      </c>
    </row>
    <row r="185" spans="1:26" ht="15.75">
      <c r="A185" s="19" t="s">
        <v>1180</v>
      </c>
      <c r="B185" s="9">
        <v>41006</v>
      </c>
      <c r="C185" s="9">
        <v>41011</v>
      </c>
      <c r="D185" s="10" t="s">
        <v>298</v>
      </c>
      <c r="E185" s="10" t="s">
        <v>15</v>
      </c>
      <c r="F185" s="10" t="s">
        <v>16</v>
      </c>
      <c r="G185" s="10" t="s">
        <v>45</v>
      </c>
      <c r="H185" s="10" t="s">
        <v>127</v>
      </c>
      <c r="I185" s="11">
        <v>1894.5360000000001</v>
      </c>
      <c r="J185" s="10">
        <v>4</v>
      </c>
      <c r="K185" s="20">
        <v>0.1</v>
      </c>
      <c r="L185" s="11">
        <v>505.17599999999999</v>
      </c>
      <c r="M185" s="10" t="s">
        <v>37</v>
      </c>
      <c r="N185" s="12" t="s">
        <v>2679</v>
      </c>
      <c r="O185" s="13" t="str">
        <f t="shared" si="14"/>
        <v>Vivek Sundaresam</v>
      </c>
      <c r="P185" s="13" t="str">
        <f t="shared" si="15"/>
        <v>IN</v>
      </c>
      <c r="Q185" s="13" t="str">
        <f t="shared" si="16"/>
        <v>2012</v>
      </c>
      <c r="R185" s="13" t="str">
        <f t="shared" si="17"/>
        <v>HIGH</v>
      </c>
      <c r="S185" s="13" t="str">
        <f t="shared" si="18"/>
        <v>office supplies</v>
      </c>
      <c r="T185" s="21" t="str">
        <f t="shared" si="19"/>
        <v>41006</v>
      </c>
      <c r="U185" s="27" t="s">
        <v>2840</v>
      </c>
      <c r="V185" s="19" t="s">
        <v>2681</v>
      </c>
      <c r="W185" s="30">
        <v>2012</v>
      </c>
      <c r="X185" t="s">
        <v>2840</v>
      </c>
      <c r="Y185" s="28">
        <v>41006</v>
      </c>
      <c r="Z185" s="28" t="str">
        <f t="shared" si="20"/>
        <v>IN-2012-VS218207-41006</v>
      </c>
    </row>
    <row r="186" spans="1:26" ht="15.75">
      <c r="A186" s="16" t="s">
        <v>1185</v>
      </c>
      <c r="B186" s="4">
        <v>41597</v>
      </c>
      <c r="C186" s="4">
        <v>41601</v>
      </c>
      <c r="D186" s="5" t="s">
        <v>487</v>
      </c>
      <c r="E186" s="5" t="s">
        <v>66</v>
      </c>
      <c r="F186" s="5" t="s">
        <v>90</v>
      </c>
      <c r="G186" s="5" t="s">
        <v>17</v>
      </c>
      <c r="H186" s="5" t="s">
        <v>299</v>
      </c>
      <c r="I186" s="6">
        <v>1317.8999999999901</v>
      </c>
      <c r="J186" s="5">
        <v>5</v>
      </c>
      <c r="K186" s="17">
        <v>0</v>
      </c>
      <c r="L186" s="6">
        <v>0</v>
      </c>
      <c r="M186" s="5" t="s">
        <v>37</v>
      </c>
      <c r="N186" s="7" t="s">
        <v>2679</v>
      </c>
      <c r="O186" s="8" t="str">
        <f t="shared" si="14"/>
        <v>Jim Radford</v>
      </c>
      <c r="P186" s="8" t="str">
        <f t="shared" si="15"/>
        <v>IN</v>
      </c>
      <c r="Q186" s="8" t="str">
        <f t="shared" si="16"/>
        <v>2013</v>
      </c>
      <c r="R186" s="8" t="str">
        <f t="shared" si="17"/>
        <v>HIGH</v>
      </c>
      <c r="S186" s="8" t="str">
        <f t="shared" si="18"/>
        <v>technology</v>
      </c>
      <c r="T186" s="18" t="str">
        <f t="shared" si="19"/>
        <v>41597</v>
      </c>
      <c r="U186" s="27" t="s">
        <v>2841</v>
      </c>
      <c r="V186" s="16" t="s">
        <v>2681</v>
      </c>
      <c r="W186" s="30">
        <v>2013</v>
      </c>
      <c r="X186" t="s">
        <v>2841</v>
      </c>
      <c r="Y186" s="28">
        <v>41597</v>
      </c>
      <c r="Z186" s="28" t="str">
        <f t="shared" si="20"/>
        <v>IN-2013-JR1567027-41597</v>
      </c>
    </row>
    <row r="187" spans="1:26" ht="15.75">
      <c r="A187" s="19" t="s">
        <v>1181</v>
      </c>
      <c r="B187" s="9">
        <v>42328</v>
      </c>
      <c r="C187" s="9">
        <v>42331</v>
      </c>
      <c r="D187" s="10" t="s">
        <v>1184</v>
      </c>
      <c r="E187" s="10" t="s">
        <v>40</v>
      </c>
      <c r="F187" s="10" t="s">
        <v>111</v>
      </c>
      <c r="G187" s="10" t="s">
        <v>45</v>
      </c>
      <c r="H187" s="10" t="s">
        <v>33</v>
      </c>
      <c r="I187" s="11">
        <v>13.36</v>
      </c>
      <c r="J187" s="10">
        <v>2</v>
      </c>
      <c r="K187" s="20">
        <v>0</v>
      </c>
      <c r="L187" s="11">
        <v>6.4127999999999998</v>
      </c>
      <c r="M187" s="10" t="s">
        <v>19</v>
      </c>
      <c r="N187" s="12" t="s">
        <v>2679</v>
      </c>
      <c r="O187" s="13" t="str">
        <f t="shared" si="14"/>
        <v>Adrian Shami</v>
      </c>
      <c r="P187" s="13" t="str">
        <f t="shared" si="15"/>
        <v>CA</v>
      </c>
      <c r="Q187" s="13" t="str">
        <f t="shared" si="16"/>
        <v>2015</v>
      </c>
      <c r="R187" s="13" t="str">
        <f t="shared" si="17"/>
        <v>MEDIUM</v>
      </c>
      <c r="S187" s="13" t="str">
        <f t="shared" si="18"/>
        <v>office supplies</v>
      </c>
      <c r="T187" s="21" t="str">
        <f t="shared" si="19"/>
        <v>42328</v>
      </c>
      <c r="U187" s="27" t="s">
        <v>2842</v>
      </c>
      <c r="V187" s="19" t="s">
        <v>2683</v>
      </c>
      <c r="W187" s="30">
        <v>2015</v>
      </c>
      <c r="X187" t="s">
        <v>2842</v>
      </c>
      <c r="Y187" s="28">
        <v>42328</v>
      </c>
      <c r="Z187" s="28" t="str">
        <f t="shared" si="20"/>
        <v>CA-2015-AS10135140-42328</v>
      </c>
    </row>
    <row r="188" spans="1:26" ht="15.75">
      <c r="A188" s="16" t="s">
        <v>1187</v>
      </c>
      <c r="B188" s="4">
        <v>41962</v>
      </c>
      <c r="C188" s="4">
        <v>41967</v>
      </c>
      <c r="D188" s="5" t="s">
        <v>1111</v>
      </c>
      <c r="E188" s="5" t="s">
        <v>93</v>
      </c>
      <c r="F188" s="5" t="s">
        <v>94</v>
      </c>
      <c r="G188" s="5" t="s">
        <v>17</v>
      </c>
      <c r="H188" s="5" t="s">
        <v>127</v>
      </c>
      <c r="I188" s="6">
        <v>1908.18</v>
      </c>
      <c r="J188" s="5">
        <v>3</v>
      </c>
      <c r="K188" s="17">
        <v>0</v>
      </c>
      <c r="L188" s="6">
        <v>820.44</v>
      </c>
      <c r="M188" s="5" t="s">
        <v>37</v>
      </c>
      <c r="N188" s="7" t="s">
        <v>2679</v>
      </c>
      <c r="O188" s="8" t="str">
        <f t="shared" si="14"/>
        <v>Eric Barreto</v>
      </c>
      <c r="P188" s="8" t="str">
        <f t="shared" si="15"/>
        <v>ES</v>
      </c>
      <c r="Q188" s="8" t="str">
        <f t="shared" si="16"/>
        <v>2014</v>
      </c>
      <c r="R188" s="8" t="str">
        <f t="shared" si="17"/>
        <v>HIGH</v>
      </c>
      <c r="S188" s="8" t="str">
        <f t="shared" si="18"/>
        <v>technology</v>
      </c>
      <c r="T188" s="18" t="str">
        <f t="shared" si="19"/>
        <v>41962</v>
      </c>
      <c r="U188" s="27" t="s">
        <v>2843</v>
      </c>
      <c r="V188" s="16" t="s">
        <v>2710</v>
      </c>
      <c r="W188" s="30">
        <v>2014</v>
      </c>
      <c r="X188" t="s">
        <v>2843</v>
      </c>
      <c r="Y188" s="28">
        <v>41962</v>
      </c>
      <c r="Z188" s="28" t="str">
        <f t="shared" si="20"/>
        <v>ES-2014-EB13930139-41962</v>
      </c>
    </row>
    <row r="189" spans="1:26" ht="15.75">
      <c r="A189" s="19" t="s">
        <v>1193</v>
      </c>
      <c r="B189" s="9">
        <v>41717</v>
      </c>
      <c r="C189" s="9">
        <v>41717</v>
      </c>
      <c r="D189" s="10" t="s">
        <v>1194</v>
      </c>
      <c r="E189" s="10" t="s">
        <v>70</v>
      </c>
      <c r="F189" s="10" t="s">
        <v>71</v>
      </c>
      <c r="G189" s="10" t="s">
        <v>45</v>
      </c>
      <c r="H189" s="10" t="s">
        <v>57</v>
      </c>
      <c r="I189" s="11">
        <v>748.11599999999999</v>
      </c>
      <c r="J189" s="10">
        <v>4</v>
      </c>
      <c r="K189" s="20">
        <v>0.1</v>
      </c>
      <c r="L189" s="11">
        <v>282.515999999999</v>
      </c>
      <c r="M189" s="10" t="s">
        <v>27</v>
      </c>
      <c r="N189" s="12" t="s">
        <v>2679</v>
      </c>
      <c r="O189" s="13" t="str">
        <f t="shared" si="14"/>
        <v>Mark Van Huff</v>
      </c>
      <c r="P189" s="13" t="str">
        <f t="shared" si="15"/>
        <v>IT</v>
      </c>
      <c r="Q189" s="13" t="str">
        <f t="shared" si="16"/>
        <v>2014</v>
      </c>
      <c r="R189" s="13" t="str">
        <f t="shared" si="17"/>
        <v>CRITICAL</v>
      </c>
      <c r="S189" s="13" t="str">
        <f t="shared" si="18"/>
        <v>office supplies</v>
      </c>
      <c r="T189" s="21" t="str">
        <f t="shared" si="19"/>
        <v>41717</v>
      </c>
      <c r="U189" s="27" t="s">
        <v>2844</v>
      </c>
      <c r="V189" s="19" t="s">
        <v>2690</v>
      </c>
      <c r="W189" s="30">
        <v>2014</v>
      </c>
      <c r="X189" t="s">
        <v>2844</v>
      </c>
      <c r="Y189" s="28">
        <v>41717</v>
      </c>
      <c r="Z189" s="28" t="str">
        <f t="shared" si="20"/>
        <v>IT-2014-MV1748545-41717</v>
      </c>
    </row>
    <row r="190" spans="1:26" ht="15.75">
      <c r="A190" s="16" t="s">
        <v>1200</v>
      </c>
      <c r="B190" s="4">
        <v>40972</v>
      </c>
      <c r="C190" s="4">
        <v>40975</v>
      </c>
      <c r="D190" s="5" t="s">
        <v>218</v>
      </c>
      <c r="E190" s="5" t="s">
        <v>40</v>
      </c>
      <c r="F190" s="5" t="s">
        <v>111</v>
      </c>
      <c r="G190" s="5" t="s">
        <v>17</v>
      </c>
      <c r="H190" s="5" t="s">
        <v>151</v>
      </c>
      <c r="I190" s="6">
        <v>479.97</v>
      </c>
      <c r="J190" s="5">
        <v>3</v>
      </c>
      <c r="K190" s="17">
        <v>0</v>
      </c>
      <c r="L190" s="6">
        <v>177.5889</v>
      </c>
      <c r="M190" s="5" t="s">
        <v>19</v>
      </c>
      <c r="N190" s="7" t="s">
        <v>2679</v>
      </c>
      <c r="O190" s="8" t="str">
        <f t="shared" si="14"/>
        <v>Aimee Bixby</v>
      </c>
      <c r="P190" s="8" t="str">
        <f t="shared" si="15"/>
        <v>CA</v>
      </c>
      <c r="Q190" s="8" t="str">
        <f t="shared" si="16"/>
        <v>2012</v>
      </c>
      <c r="R190" s="8" t="str">
        <f t="shared" si="17"/>
        <v>MEDIUM</v>
      </c>
      <c r="S190" s="8" t="str">
        <f t="shared" si="18"/>
        <v>technology</v>
      </c>
      <c r="T190" s="18" t="str">
        <f t="shared" si="19"/>
        <v>40972</v>
      </c>
      <c r="U190" s="27" t="s">
        <v>2845</v>
      </c>
      <c r="V190" s="16" t="s">
        <v>2683</v>
      </c>
      <c r="W190" s="30">
        <v>2012</v>
      </c>
      <c r="X190" t="s">
        <v>2845</v>
      </c>
      <c r="Y190" s="28">
        <v>40972</v>
      </c>
      <c r="Z190" s="28" t="str">
        <f t="shared" si="20"/>
        <v>CA-2012-AB10150140-40972</v>
      </c>
    </row>
    <row r="191" spans="1:26" ht="15.75">
      <c r="A191" s="19" t="s">
        <v>1200</v>
      </c>
      <c r="B191" s="9">
        <v>40972</v>
      </c>
      <c r="C191" s="9">
        <v>40975</v>
      </c>
      <c r="D191" s="10" t="s">
        <v>218</v>
      </c>
      <c r="E191" s="10" t="s">
        <v>40</v>
      </c>
      <c r="F191" s="10" t="s">
        <v>111</v>
      </c>
      <c r="G191" s="10" t="s">
        <v>45</v>
      </c>
      <c r="H191" s="10" t="s">
        <v>33</v>
      </c>
      <c r="I191" s="11">
        <v>59.519999999999897</v>
      </c>
      <c r="J191" s="10">
        <v>3</v>
      </c>
      <c r="K191" s="20">
        <v>0</v>
      </c>
      <c r="L191" s="11">
        <v>15.475199999999999</v>
      </c>
      <c r="M191" s="10" t="s">
        <v>19</v>
      </c>
      <c r="N191" s="12" t="s">
        <v>2679</v>
      </c>
      <c r="O191" s="13" t="str">
        <f t="shared" si="14"/>
        <v>Aimee Bixby</v>
      </c>
      <c r="P191" s="13" t="str">
        <f t="shared" si="15"/>
        <v>CA</v>
      </c>
      <c r="Q191" s="13" t="str">
        <f t="shared" si="16"/>
        <v>2012</v>
      </c>
      <c r="R191" s="13" t="str">
        <f t="shared" si="17"/>
        <v>MEDIUM</v>
      </c>
      <c r="S191" s="13" t="str">
        <f t="shared" si="18"/>
        <v>office supplies</v>
      </c>
      <c r="T191" s="21" t="str">
        <f t="shared" si="19"/>
        <v>40972</v>
      </c>
      <c r="U191" s="27" t="s">
        <v>2845</v>
      </c>
      <c r="V191" s="19" t="s">
        <v>2683</v>
      </c>
      <c r="W191" s="30">
        <v>2012</v>
      </c>
      <c r="X191" t="s">
        <v>2845</v>
      </c>
      <c r="Y191" s="28">
        <v>40972</v>
      </c>
      <c r="Z191" s="28" t="str">
        <f t="shared" si="20"/>
        <v>CA-2012-AB10150140-40972</v>
      </c>
    </row>
    <row r="192" spans="1:26" ht="15.75">
      <c r="A192" s="16" t="s">
        <v>1206</v>
      </c>
      <c r="B192" s="4">
        <v>41745</v>
      </c>
      <c r="C192" s="4">
        <v>41748</v>
      </c>
      <c r="D192" s="5" t="s">
        <v>1207</v>
      </c>
      <c r="E192" s="5" t="s">
        <v>60</v>
      </c>
      <c r="F192" s="5" t="s">
        <v>61</v>
      </c>
      <c r="G192" s="5" t="s">
        <v>45</v>
      </c>
      <c r="H192" s="5" t="s">
        <v>26</v>
      </c>
      <c r="I192" s="6">
        <v>1403.36</v>
      </c>
      <c r="J192" s="5">
        <v>4</v>
      </c>
      <c r="K192" s="17">
        <v>0</v>
      </c>
      <c r="L192" s="6">
        <v>449.039999999999</v>
      </c>
      <c r="M192" s="5" t="s">
        <v>785</v>
      </c>
      <c r="N192" s="7" t="s">
        <v>2679</v>
      </c>
      <c r="O192" s="8" t="str">
        <f t="shared" si="14"/>
        <v>Alan Hwang</v>
      </c>
      <c r="P192" s="8" t="str">
        <f t="shared" si="15"/>
        <v>MX</v>
      </c>
      <c r="Q192" s="8" t="str">
        <f t="shared" si="16"/>
        <v>2014</v>
      </c>
      <c r="R192" s="8" t="str">
        <f t="shared" si="17"/>
        <v xml:space="preserve"> HIGH </v>
      </c>
      <c r="S192" s="8" t="str">
        <f t="shared" si="18"/>
        <v>office supplies</v>
      </c>
      <c r="T192" s="18" t="str">
        <f t="shared" si="19"/>
        <v>41745</v>
      </c>
      <c r="U192" s="27" t="s">
        <v>2846</v>
      </c>
      <c r="V192" s="16" t="s">
        <v>2695</v>
      </c>
      <c r="W192" s="30">
        <v>2014</v>
      </c>
      <c r="X192" t="s">
        <v>2846</v>
      </c>
      <c r="Y192" s="28">
        <v>41745</v>
      </c>
      <c r="Z192" s="28" t="str">
        <f t="shared" si="20"/>
        <v>MX-2014-AH1021018-41745</v>
      </c>
    </row>
    <row r="193" spans="1:26" ht="15.75">
      <c r="A193" s="19" t="s">
        <v>1212</v>
      </c>
      <c r="B193" s="9">
        <v>42173</v>
      </c>
      <c r="C193" s="9">
        <v>42173</v>
      </c>
      <c r="D193" s="10" t="s">
        <v>1213</v>
      </c>
      <c r="E193" s="10" t="s">
        <v>93</v>
      </c>
      <c r="F193" s="10" t="s">
        <v>94</v>
      </c>
      <c r="G193" s="10" t="s">
        <v>1107</v>
      </c>
      <c r="H193" s="10" t="s">
        <v>33</v>
      </c>
      <c r="I193" s="11">
        <v>1560.23999999999</v>
      </c>
      <c r="J193" s="10">
        <v>3</v>
      </c>
      <c r="K193" s="20">
        <v>0</v>
      </c>
      <c r="L193" s="11">
        <v>421.19999999999902</v>
      </c>
      <c r="M193" s="10" t="s">
        <v>37</v>
      </c>
      <c r="N193" s="12" t="s">
        <v>2679</v>
      </c>
      <c r="O193" s="13" t="str">
        <f t="shared" si="14"/>
        <v>Troy Staebel</v>
      </c>
      <c r="P193" s="13" t="str">
        <f t="shared" si="15"/>
        <v>IT</v>
      </c>
      <c r="Q193" s="13" t="str">
        <f t="shared" si="16"/>
        <v>2015</v>
      </c>
      <c r="R193" s="13" t="str">
        <f t="shared" si="17"/>
        <v>HIGH</v>
      </c>
      <c r="S193" s="13" t="str">
        <f t="shared" si="18"/>
        <v xml:space="preserve"> office supplies </v>
      </c>
      <c r="T193" s="21" t="str">
        <f t="shared" si="19"/>
        <v>42173</v>
      </c>
      <c r="U193" s="27" t="s">
        <v>2847</v>
      </c>
      <c r="V193" s="19" t="s">
        <v>2690</v>
      </c>
      <c r="W193" s="30">
        <v>2015</v>
      </c>
      <c r="X193" t="s">
        <v>2847</v>
      </c>
      <c r="Y193" s="28">
        <v>42173</v>
      </c>
      <c r="Z193" s="28" t="str">
        <f t="shared" si="20"/>
        <v>IT-2015-TS21610139-42173</v>
      </c>
    </row>
    <row r="194" spans="1:26" ht="15.75">
      <c r="A194" s="16" t="s">
        <v>1218</v>
      </c>
      <c r="B194" s="4">
        <v>41643</v>
      </c>
      <c r="C194" s="4">
        <v>41649</v>
      </c>
      <c r="D194" s="5" t="s">
        <v>366</v>
      </c>
      <c r="E194" s="5" t="s">
        <v>358</v>
      </c>
      <c r="F194" s="5" t="s">
        <v>98</v>
      </c>
      <c r="G194" s="5" t="s">
        <v>17</v>
      </c>
      <c r="H194" s="5" t="s">
        <v>26</v>
      </c>
      <c r="I194" s="6">
        <v>2120.8000000000002</v>
      </c>
      <c r="J194" s="5">
        <v>5</v>
      </c>
      <c r="K194" s="17">
        <v>0</v>
      </c>
      <c r="L194" s="6">
        <v>275.7</v>
      </c>
      <c r="M194" s="5" t="s">
        <v>19</v>
      </c>
      <c r="N194" s="7" t="s">
        <v>2679</v>
      </c>
      <c r="O194" s="8" t="str">
        <f t="shared" ref="O194:O257" si="21">PROPER(D194)</f>
        <v>Liz Carlisle</v>
      </c>
      <c r="P194" s="8" t="str">
        <f t="shared" ref="P194:P257" si="22">LEFT(A194,2)</f>
        <v>MX</v>
      </c>
      <c r="Q194" s="8" t="str">
        <f t="shared" ref="Q194:Q257" si="23">MID(A194,4,4)</f>
        <v>2014</v>
      </c>
      <c r="R194" s="8" t="str">
        <f t="shared" ref="R194:R257" si="24">UPPER(M194)</f>
        <v>MEDIUM</v>
      </c>
      <c r="S194" s="8" t="str">
        <f t="shared" ref="S194:S257" si="25">LOWER(G194)</f>
        <v>technology</v>
      </c>
      <c r="T194" s="18" t="str">
        <f t="shared" ref="T194:T257" si="26">RIGHT(A194,5)</f>
        <v>41643</v>
      </c>
      <c r="U194" s="27" t="s">
        <v>2848</v>
      </c>
      <c r="V194" s="16" t="s">
        <v>2695</v>
      </c>
      <c r="W194" s="30">
        <v>2014</v>
      </c>
      <c r="X194" t="s">
        <v>2848</v>
      </c>
      <c r="Y194" s="28">
        <v>41643</v>
      </c>
      <c r="Z194" s="28" t="str">
        <f t="shared" ref="Z194:Z257" si="27">TRIM(A194)</f>
        <v>MX-2014-LC1705051-41643</v>
      </c>
    </row>
    <row r="195" spans="1:26" ht="15.75">
      <c r="A195" s="19" t="s">
        <v>1225</v>
      </c>
      <c r="B195" s="9">
        <v>41516</v>
      </c>
      <c r="C195" s="9">
        <v>41519</v>
      </c>
      <c r="D195" s="10" t="s">
        <v>1226</v>
      </c>
      <c r="E195" s="10" t="s">
        <v>22</v>
      </c>
      <c r="F195" s="10" t="s">
        <v>71</v>
      </c>
      <c r="G195" s="10" t="s">
        <v>32</v>
      </c>
      <c r="H195" s="10" t="s">
        <v>33</v>
      </c>
      <c r="I195" s="11">
        <v>2794.2525000000001</v>
      </c>
      <c r="J195" s="10">
        <v>5</v>
      </c>
      <c r="K195" s="20">
        <v>0.35</v>
      </c>
      <c r="L195" s="11">
        <v>515.75250000000005</v>
      </c>
      <c r="M195" s="10" t="s">
        <v>19</v>
      </c>
      <c r="N195" s="12" t="s">
        <v>2679</v>
      </c>
      <c r="O195" s="13" t="str">
        <f t="shared" si="21"/>
        <v>Stefanie Holloman</v>
      </c>
      <c r="P195" s="13" t="str">
        <f t="shared" si="22"/>
        <v>ES</v>
      </c>
      <c r="Q195" s="13" t="str">
        <f t="shared" si="23"/>
        <v>2013</v>
      </c>
      <c r="R195" s="13" t="str">
        <f t="shared" si="24"/>
        <v>MEDIUM</v>
      </c>
      <c r="S195" s="13" t="str">
        <f t="shared" si="25"/>
        <v>furniture</v>
      </c>
      <c r="T195" s="21" t="str">
        <f t="shared" si="26"/>
        <v>41516</v>
      </c>
      <c r="U195" s="27" t="s">
        <v>2849</v>
      </c>
      <c r="V195" s="19" t="s">
        <v>2710</v>
      </c>
      <c r="W195" s="30">
        <v>2013</v>
      </c>
      <c r="X195" t="s">
        <v>2849</v>
      </c>
      <c r="Y195" s="28">
        <v>41516</v>
      </c>
      <c r="Z195" s="28" t="str">
        <f t="shared" si="27"/>
        <v>ES-2013-SH2063548-41516</v>
      </c>
    </row>
    <row r="196" spans="1:26" ht="15.75">
      <c r="A196" s="16" t="s">
        <v>1236</v>
      </c>
      <c r="B196" s="4">
        <v>42152</v>
      </c>
      <c r="C196" s="4">
        <v>42156</v>
      </c>
      <c r="D196" s="5" t="s">
        <v>426</v>
      </c>
      <c r="E196" s="5" t="s">
        <v>114</v>
      </c>
      <c r="F196" s="5" t="s">
        <v>115</v>
      </c>
      <c r="G196" s="5" t="s">
        <v>32</v>
      </c>
      <c r="H196" s="5" t="s">
        <v>46</v>
      </c>
      <c r="I196" s="6">
        <v>1394.99999999999</v>
      </c>
      <c r="J196" s="5">
        <v>3</v>
      </c>
      <c r="K196" s="17">
        <v>0</v>
      </c>
      <c r="L196" s="6">
        <v>237.15</v>
      </c>
      <c r="M196" s="5" t="s">
        <v>37</v>
      </c>
      <c r="N196" s="7" t="s">
        <v>2679</v>
      </c>
      <c r="O196" s="8" t="str">
        <f t="shared" si="21"/>
        <v>Daniel Raglin</v>
      </c>
      <c r="P196" s="8" t="str">
        <f t="shared" si="22"/>
        <v>IN</v>
      </c>
      <c r="Q196" s="8" t="str">
        <f t="shared" si="23"/>
        <v>2015</v>
      </c>
      <c r="R196" s="8" t="str">
        <f t="shared" si="24"/>
        <v>HIGH</v>
      </c>
      <c r="S196" s="8" t="str">
        <f t="shared" si="25"/>
        <v>furniture</v>
      </c>
      <c r="T196" s="18" t="str">
        <f t="shared" si="26"/>
        <v>42152</v>
      </c>
      <c r="U196" s="27" t="s">
        <v>2850</v>
      </c>
      <c r="V196" s="16" t="s">
        <v>2681</v>
      </c>
      <c r="W196" s="30">
        <v>2015</v>
      </c>
      <c r="X196" t="s">
        <v>2850</v>
      </c>
      <c r="Y196" s="28">
        <v>42152</v>
      </c>
      <c r="Z196" s="28" t="str">
        <f t="shared" si="27"/>
        <v>IN-2015-DR1294058-42152</v>
      </c>
    </row>
    <row r="197" spans="1:26" ht="15.75">
      <c r="A197" s="19" t="s">
        <v>1239</v>
      </c>
      <c r="B197" s="9">
        <v>41224</v>
      </c>
      <c r="C197" s="9">
        <v>41228</v>
      </c>
      <c r="D197" s="10" t="s">
        <v>1240</v>
      </c>
      <c r="E197" s="10" t="s">
        <v>1241</v>
      </c>
      <c r="F197" s="10" t="s">
        <v>131</v>
      </c>
      <c r="G197" s="10" t="s">
        <v>32</v>
      </c>
      <c r="H197" s="10" t="s">
        <v>23</v>
      </c>
      <c r="I197" s="11">
        <v>1660.79999999999</v>
      </c>
      <c r="J197" s="10">
        <v>4</v>
      </c>
      <c r="K197" s="20">
        <v>0</v>
      </c>
      <c r="L197" s="11">
        <v>83.039999999999907</v>
      </c>
      <c r="M197" s="10" t="s">
        <v>37</v>
      </c>
      <c r="N197" s="12" t="s">
        <v>2679</v>
      </c>
      <c r="O197" s="13" t="str">
        <f t="shared" si="21"/>
        <v>Ionia Mcgrath</v>
      </c>
      <c r="P197" s="13" t="str">
        <f t="shared" si="22"/>
        <v>CF</v>
      </c>
      <c r="Q197" s="13" t="str">
        <f t="shared" si="23"/>
        <v>2012</v>
      </c>
      <c r="R197" s="13" t="str">
        <f t="shared" si="24"/>
        <v>HIGH</v>
      </c>
      <c r="S197" s="13" t="str">
        <f t="shared" si="25"/>
        <v>furniture</v>
      </c>
      <c r="T197" s="21" t="str">
        <f t="shared" si="26"/>
        <v>41224</v>
      </c>
      <c r="U197" s="27" t="s">
        <v>2851</v>
      </c>
      <c r="V197" s="19" t="s">
        <v>2852</v>
      </c>
      <c r="W197" s="30">
        <v>2012</v>
      </c>
      <c r="X197" t="s">
        <v>2851</v>
      </c>
      <c r="Y197" s="28">
        <v>41224</v>
      </c>
      <c r="Z197" s="28" t="str">
        <f t="shared" si="27"/>
        <v>CF-2012-IM5055106-41224</v>
      </c>
    </row>
    <row r="198" spans="1:26" ht="15.75">
      <c r="A198" s="16" t="s">
        <v>1242</v>
      </c>
      <c r="B198" s="4">
        <v>41790</v>
      </c>
      <c r="C198" s="4">
        <v>41795</v>
      </c>
      <c r="D198" s="5" t="s">
        <v>146</v>
      </c>
      <c r="E198" s="5" t="s">
        <v>66</v>
      </c>
      <c r="F198" s="5" t="s">
        <v>90</v>
      </c>
      <c r="G198" s="5" t="s">
        <v>32</v>
      </c>
      <c r="H198" s="5" t="s">
        <v>44</v>
      </c>
      <c r="I198" s="6">
        <v>2436.672</v>
      </c>
      <c r="J198" s="5">
        <v>4</v>
      </c>
      <c r="K198" s="17">
        <v>0.3</v>
      </c>
      <c r="L198" s="6">
        <v>-487.36799999999999</v>
      </c>
      <c r="M198" s="5" t="s">
        <v>37</v>
      </c>
      <c r="N198" s="7" t="s">
        <v>2679</v>
      </c>
      <c r="O198" s="8" t="str">
        <f t="shared" si="21"/>
        <v>Vivek Grady</v>
      </c>
      <c r="P198" s="8" t="str">
        <f t="shared" si="22"/>
        <v>ID</v>
      </c>
      <c r="Q198" s="8" t="str">
        <f t="shared" si="23"/>
        <v>2014</v>
      </c>
      <c r="R198" s="8" t="str">
        <f t="shared" si="24"/>
        <v>HIGH</v>
      </c>
      <c r="S198" s="8" t="str">
        <f t="shared" si="25"/>
        <v>furniture</v>
      </c>
      <c r="T198" s="18" t="str">
        <f t="shared" si="26"/>
        <v>41790</v>
      </c>
      <c r="U198" s="27" t="s">
        <v>2753</v>
      </c>
      <c r="V198" s="16" t="s">
        <v>2705</v>
      </c>
      <c r="W198" s="30">
        <v>2014</v>
      </c>
      <c r="X198" t="s">
        <v>2753</v>
      </c>
      <c r="Y198" s="28">
        <v>41790</v>
      </c>
      <c r="Z198" s="28" t="str">
        <f t="shared" si="27"/>
        <v>ID-2014-VG2180527-41790</v>
      </c>
    </row>
    <row r="199" spans="1:26" ht="15.75">
      <c r="A199" s="19" t="s">
        <v>1200</v>
      </c>
      <c r="B199" s="9">
        <v>40972</v>
      </c>
      <c r="C199" s="9">
        <v>40975</v>
      </c>
      <c r="D199" s="10" t="s">
        <v>218</v>
      </c>
      <c r="E199" s="10" t="s">
        <v>40</v>
      </c>
      <c r="F199" s="10" t="s">
        <v>111</v>
      </c>
      <c r="G199" s="10" t="s">
        <v>45</v>
      </c>
      <c r="H199" s="10" t="s">
        <v>151</v>
      </c>
      <c r="I199" s="11">
        <v>18.62</v>
      </c>
      <c r="J199" s="10">
        <v>2</v>
      </c>
      <c r="K199" s="20">
        <v>0</v>
      </c>
      <c r="L199" s="11">
        <v>5.3997999999999902</v>
      </c>
      <c r="M199" s="10" t="s">
        <v>19</v>
      </c>
      <c r="N199" s="12" t="s">
        <v>2679</v>
      </c>
      <c r="O199" s="13" t="str">
        <f t="shared" si="21"/>
        <v>Aimee Bixby</v>
      </c>
      <c r="P199" s="13" t="str">
        <f t="shared" si="22"/>
        <v>CA</v>
      </c>
      <c r="Q199" s="13" t="str">
        <f t="shared" si="23"/>
        <v>2012</v>
      </c>
      <c r="R199" s="13" t="str">
        <f t="shared" si="24"/>
        <v>MEDIUM</v>
      </c>
      <c r="S199" s="13" t="str">
        <f t="shared" si="25"/>
        <v>office supplies</v>
      </c>
      <c r="T199" s="21" t="str">
        <f t="shared" si="26"/>
        <v>40972</v>
      </c>
      <c r="U199" s="27" t="s">
        <v>2845</v>
      </c>
      <c r="V199" s="19" t="s">
        <v>2683</v>
      </c>
      <c r="W199" s="30">
        <v>2012</v>
      </c>
      <c r="X199" t="s">
        <v>2845</v>
      </c>
      <c r="Y199" s="28">
        <v>40972</v>
      </c>
      <c r="Z199" s="28" t="str">
        <f t="shared" si="27"/>
        <v>CA-2012-AB10150140-40972</v>
      </c>
    </row>
    <row r="200" spans="1:26" ht="15.75">
      <c r="A200" s="16" t="s">
        <v>1245</v>
      </c>
      <c r="B200" s="4">
        <v>41339</v>
      </c>
      <c r="C200" s="4">
        <v>41344</v>
      </c>
      <c r="D200" s="5" t="s">
        <v>1246</v>
      </c>
      <c r="E200" s="5" t="s">
        <v>101</v>
      </c>
      <c r="F200" s="5" t="s">
        <v>98</v>
      </c>
      <c r="G200" s="5" t="s">
        <v>45</v>
      </c>
      <c r="H200" s="5" t="s">
        <v>23</v>
      </c>
      <c r="I200" s="6">
        <v>1903</v>
      </c>
      <c r="J200" s="5">
        <v>5</v>
      </c>
      <c r="K200" s="17">
        <v>0</v>
      </c>
      <c r="L200" s="6">
        <v>57</v>
      </c>
      <c r="M200" s="5" t="s">
        <v>37</v>
      </c>
      <c r="N200" s="7" t="s">
        <v>2679</v>
      </c>
      <c r="O200" s="8" t="str">
        <f t="shared" si="21"/>
        <v>Darren Koutras</v>
      </c>
      <c r="P200" s="8" t="str">
        <f t="shared" si="22"/>
        <v xml:space="preserve"> M</v>
      </c>
      <c r="Q200" s="8" t="str">
        <f t="shared" si="23"/>
        <v>-201</v>
      </c>
      <c r="R200" s="8" t="str">
        <f t="shared" si="24"/>
        <v>HIGH</v>
      </c>
      <c r="S200" s="8" t="str">
        <f t="shared" si="25"/>
        <v>office supplies</v>
      </c>
      <c r="T200" s="18" t="str">
        <f t="shared" si="26"/>
        <v xml:space="preserve">1339 </v>
      </c>
      <c r="U200" s="27" t="s">
        <v>2853</v>
      </c>
      <c r="V200" s="16" t="s">
        <v>2854</v>
      </c>
      <c r="W200" s="30">
        <v>2013</v>
      </c>
      <c r="X200" t="s">
        <v>2853</v>
      </c>
      <c r="Y200" s="28">
        <v>41339</v>
      </c>
      <c r="Z200" s="28" t="str">
        <f t="shared" si="27"/>
        <v>MX-2013-DK1298539-41339</v>
      </c>
    </row>
    <row r="201" spans="1:26" ht="15.75">
      <c r="A201" s="19" t="s">
        <v>1228</v>
      </c>
      <c r="B201" s="9">
        <v>42328</v>
      </c>
      <c r="C201" s="9">
        <v>42330</v>
      </c>
      <c r="D201" s="10" t="s">
        <v>218</v>
      </c>
      <c r="E201" s="10" t="s">
        <v>40</v>
      </c>
      <c r="F201" s="10" t="s">
        <v>41</v>
      </c>
      <c r="G201" s="10" t="s">
        <v>45</v>
      </c>
      <c r="H201" s="10" t="s">
        <v>23</v>
      </c>
      <c r="I201" s="11">
        <v>16.896000000000001</v>
      </c>
      <c r="J201" s="10">
        <v>4</v>
      </c>
      <c r="K201" s="20">
        <v>0.2</v>
      </c>
      <c r="L201" s="11">
        <v>5.2799999999999896</v>
      </c>
      <c r="M201" s="10" t="s">
        <v>19</v>
      </c>
      <c r="N201" s="12" t="s">
        <v>2679</v>
      </c>
      <c r="O201" s="13" t="str">
        <f t="shared" si="21"/>
        <v>Aimee Bixby</v>
      </c>
      <c r="P201" s="13" t="str">
        <f t="shared" si="22"/>
        <v>CA</v>
      </c>
      <c r="Q201" s="13" t="str">
        <f t="shared" si="23"/>
        <v>2015</v>
      </c>
      <c r="R201" s="13" t="str">
        <f t="shared" si="24"/>
        <v>MEDIUM</v>
      </c>
      <c r="S201" s="13" t="str">
        <f t="shared" si="25"/>
        <v>office supplies</v>
      </c>
      <c r="T201" s="21" t="str">
        <f t="shared" si="26"/>
        <v>42328</v>
      </c>
      <c r="U201" s="27" t="s">
        <v>2845</v>
      </c>
      <c r="V201" s="19" t="s">
        <v>2683</v>
      </c>
      <c r="W201" s="30">
        <v>2015</v>
      </c>
      <c r="X201" t="s">
        <v>2845</v>
      </c>
      <c r="Y201" s="28">
        <v>42328</v>
      </c>
      <c r="Z201" s="28" t="str">
        <f t="shared" si="27"/>
        <v>CA-2015-AB10150140-42328</v>
      </c>
    </row>
    <row r="202" spans="1:26" ht="15.75">
      <c r="A202" s="16" t="s">
        <v>1247</v>
      </c>
      <c r="B202" s="4">
        <v>42222</v>
      </c>
      <c r="C202" s="4">
        <v>42222</v>
      </c>
      <c r="D202" s="5" t="s">
        <v>266</v>
      </c>
      <c r="E202" s="5" t="s">
        <v>1248</v>
      </c>
      <c r="F202" s="5" t="s">
        <v>94</v>
      </c>
      <c r="G202" s="5" t="s">
        <v>17</v>
      </c>
      <c r="H202" s="5" t="s">
        <v>73</v>
      </c>
      <c r="I202" s="6">
        <v>1590.9</v>
      </c>
      <c r="J202" s="5">
        <v>5</v>
      </c>
      <c r="K202" s="17">
        <v>0</v>
      </c>
      <c r="L202" s="6">
        <v>508.94999999999902</v>
      </c>
      <c r="M202" s="5" t="s">
        <v>19</v>
      </c>
      <c r="N202" s="7" t="s">
        <v>2679</v>
      </c>
      <c r="O202" s="8" t="str">
        <f t="shared" si="21"/>
        <v>Rick Wilson</v>
      </c>
      <c r="P202" s="8" t="str">
        <f t="shared" si="22"/>
        <v>ES</v>
      </c>
      <c r="Q202" s="8" t="str">
        <f t="shared" si="23"/>
        <v>2015</v>
      </c>
      <c r="R202" s="8" t="str">
        <f t="shared" si="24"/>
        <v>MEDIUM</v>
      </c>
      <c r="S202" s="8" t="str">
        <f t="shared" si="25"/>
        <v>technology</v>
      </c>
      <c r="T202" s="18" t="str">
        <f t="shared" si="26"/>
        <v>42222</v>
      </c>
      <c r="U202" s="27" t="s">
        <v>2855</v>
      </c>
      <c r="V202" s="16" t="s">
        <v>2710</v>
      </c>
      <c r="W202" s="30">
        <v>2015</v>
      </c>
      <c r="X202" t="s">
        <v>2855</v>
      </c>
      <c r="Y202" s="28">
        <v>42222</v>
      </c>
      <c r="Z202" s="28" t="str">
        <f t="shared" si="27"/>
        <v>ES-2015-RW1954096-42222</v>
      </c>
    </row>
    <row r="203" spans="1:26" ht="15.75">
      <c r="A203" s="19" t="s">
        <v>1249</v>
      </c>
      <c r="B203" s="9">
        <v>42173</v>
      </c>
      <c r="C203" s="9">
        <v>42176</v>
      </c>
      <c r="D203" s="10" t="s">
        <v>1250</v>
      </c>
      <c r="E203" s="10" t="s">
        <v>852</v>
      </c>
      <c r="F203" s="10" t="s">
        <v>56</v>
      </c>
      <c r="G203" s="10" t="s">
        <v>32</v>
      </c>
      <c r="H203" s="10" t="s">
        <v>23</v>
      </c>
      <c r="I203" s="11">
        <v>1467.36</v>
      </c>
      <c r="J203" s="10">
        <v>4</v>
      </c>
      <c r="K203" s="20">
        <v>0</v>
      </c>
      <c r="L203" s="11">
        <v>469.43999999999897</v>
      </c>
      <c r="M203" s="10" t="s">
        <v>37</v>
      </c>
      <c r="N203" s="12" t="s">
        <v>2679</v>
      </c>
      <c r="O203" s="13" t="str">
        <f t="shared" si="21"/>
        <v>Evan Henry</v>
      </c>
      <c r="P203" s="13" t="str">
        <f t="shared" si="22"/>
        <v>IZ</v>
      </c>
      <c r="Q203" s="13" t="str">
        <f t="shared" si="23"/>
        <v>2015</v>
      </c>
      <c r="R203" s="13" t="str">
        <f t="shared" si="24"/>
        <v>HIGH</v>
      </c>
      <c r="S203" s="13" t="str">
        <f t="shared" si="25"/>
        <v>furniture</v>
      </c>
      <c r="T203" s="21" t="str">
        <f t="shared" si="26"/>
        <v>42173</v>
      </c>
      <c r="U203" s="27" t="s">
        <v>2856</v>
      </c>
      <c r="V203" s="19" t="s">
        <v>2857</v>
      </c>
      <c r="W203" s="30">
        <v>2015</v>
      </c>
      <c r="X203" t="s">
        <v>2856</v>
      </c>
      <c r="Y203" s="28">
        <v>42173</v>
      </c>
      <c r="Z203" s="28" t="str">
        <f t="shared" si="27"/>
        <v>IZ-2015-EH418561-42173</v>
      </c>
    </row>
    <row r="204" spans="1:26" ht="15.75">
      <c r="A204" s="16" t="s">
        <v>1251</v>
      </c>
      <c r="B204" s="4">
        <v>42369</v>
      </c>
      <c r="C204" s="4">
        <v>42370</v>
      </c>
      <c r="D204" s="5" t="s">
        <v>1252</v>
      </c>
      <c r="E204" s="5" t="s">
        <v>141</v>
      </c>
      <c r="F204" s="5" t="s">
        <v>142</v>
      </c>
      <c r="G204" s="5" t="s">
        <v>32</v>
      </c>
      <c r="H204" s="5" t="s">
        <v>33</v>
      </c>
      <c r="I204" s="6">
        <v>1091.28059999999</v>
      </c>
      <c r="J204" s="5">
        <v>3</v>
      </c>
      <c r="K204" s="17">
        <v>7.0000000000000007E-2</v>
      </c>
      <c r="L204" s="6">
        <v>46.920599999999901</v>
      </c>
      <c r="M204" s="5" t="s">
        <v>37</v>
      </c>
      <c r="N204" s="7" t="s">
        <v>2679</v>
      </c>
      <c r="O204" s="8" t="str">
        <f t="shared" si="21"/>
        <v>Marina Lichtenstein</v>
      </c>
      <c r="P204" s="8" t="str">
        <f t="shared" si="22"/>
        <v>IN</v>
      </c>
      <c r="Q204" s="8" t="str">
        <f t="shared" si="23"/>
        <v>2015</v>
      </c>
      <c r="R204" s="8" t="str">
        <f t="shared" si="24"/>
        <v>HIGH</v>
      </c>
      <c r="S204" s="8" t="str">
        <f t="shared" si="25"/>
        <v>furniture</v>
      </c>
      <c r="T204" s="18" t="str">
        <f t="shared" si="26"/>
        <v>42369</v>
      </c>
      <c r="U204" s="27" t="s">
        <v>2858</v>
      </c>
      <c r="V204" s="16" t="s">
        <v>2681</v>
      </c>
      <c r="W204" s="30">
        <v>2015</v>
      </c>
      <c r="X204" t="s">
        <v>2858</v>
      </c>
      <c r="Y204" s="28">
        <v>42369</v>
      </c>
      <c r="Z204" s="28" t="str">
        <f t="shared" si="27"/>
        <v>IN-2015-ML1739559-42369</v>
      </c>
    </row>
    <row r="205" spans="1:26" ht="15.75">
      <c r="A205" s="19" t="s">
        <v>1256</v>
      </c>
      <c r="B205" s="9">
        <v>42332</v>
      </c>
      <c r="C205" s="9">
        <v>42334</v>
      </c>
      <c r="D205" s="10" t="s">
        <v>1257</v>
      </c>
      <c r="E205" s="10" t="s">
        <v>15</v>
      </c>
      <c r="F205" s="10" t="s">
        <v>16</v>
      </c>
      <c r="G205" s="10" t="s">
        <v>17</v>
      </c>
      <c r="H205" s="10" t="s">
        <v>44</v>
      </c>
      <c r="I205" s="11">
        <v>2863.35</v>
      </c>
      <c r="J205" s="10">
        <v>5</v>
      </c>
      <c r="K205" s="20">
        <v>0.1</v>
      </c>
      <c r="L205" s="11">
        <v>858.9</v>
      </c>
      <c r="M205" s="10" t="s">
        <v>19</v>
      </c>
      <c r="N205" s="12" t="s">
        <v>2679</v>
      </c>
      <c r="O205" s="13" t="str">
        <f t="shared" si="21"/>
        <v>Kean Nguyen</v>
      </c>
      <c r="P205" s="13" t="str">
        <f t="shared" si="22"/>
        <v>IN</v>
      </c>
      <c r="Q205" s="13" t="str">
        <f t="shared" si="23"/>
        <v>2015</v>
      </c>
      <c r="R205" s="13" t="str">
        <f t="shared" si="24"/>
        <v>MEDIUM</v>
      </c>
      <c r="S205" s="13" t="str">
        <f t="shared" si="25"/>
        <v>technology</v>
      </c>
      <c r="T205" s="21" t="str">
        <f t="shared" si="26"/>
        <v>42332</v>
      </c>
      <c r="U205" s="27" t="s">
        <v>2859</v>
      </c>
      <c r="V205" s="19" t="s">
        <v>2681</v>
      </c>
      <c r="W205" s="30">
        <v>2015</v>
      </c>
      <c r="X205" t="s">
        <v>2859</v>
      </c>
      <c r="Y205" s="28">
        <v>42332</v>
      </c>
      <c r="Z205" s="28" t="str">
        <f t="shared" si="27"/>
        <v>IN-2015-KN164507-42332</v>
      </c>
    </row>
    <row r="206" spans="1:26" ht="15.75">
      <c r="A206" s="16" t="s">
        <v>1259</v>
      </c>
      <c r="B206" s="4">
        <v>42312</v>
      </c>
      <c r="C206" s="4">
        <v>42315</v>
      </c>
      <c r="D206" s="5" t="s">
        <v>1260</v>
      </c>
      <c r="E206" s="5" t="s">
        <v>70</v>
      </c>
      <c r="F206" s="5" t="s">
        <v>71</v>
      </c>
      <c r="G206" s="5" t="s">
        <v>17</v>
      </c>
      <c r="H206" s="5" t="s">
        <v>26</v>
      </c>
      <c r="I206" s="6">
        <v>765.45899999999995</v>
      </c>
      <c r="J206" s="5">
        <v>3</v>
      </c>
      <c r="K206" s="17">
        <v>0.15</v>
      </c>
      <c r="L206" s="6">
        <v>-36.081000000000003</v>
      </c>
      <c r="M206" s="5" t="s">
        <v>27</v>
      </c>
      <c r="N206" s="7" t="s">
        <v>2679</v>
      </c>
      <c r="O206" s="8" t="str">
        <f t="shared" si="21"/>
        <v>Cyma Kinney</v>
      </c>
      <c r="P206" s="8" t="str">
        <f t="shared" si="22"/>
        <v>ES</v>
      </c>
      <c r="Q206" s="8" t="str">
        <f t="shared" si="23"/>
        <v>2015</v>
      </c>
      <c r="R206" s="8" t="str">
        <f t="shared" si="24"/>
        <v>CRITICAL</v>
      </c>
      <c r="S206" s="8" t="str">
        <f t="shared" si="25"/>
        <v>technology</v>
      </c>
      <c r="T206" s="18" t="str">
        <f t="shared" si="26"/>
        <v>42312</v>
      </c>
      <c r="U206" s="27" t="s">
        <v>2860</v>
      </c>
      <c r="V206" s="16" t="s">
        <v>2710</v>
      </c>
      <c r="W206" s="30">
        <v>2015</v>
      </c>
      <c r="X206" t="s">
        <v>2860</v>
      </c>
      <c r="Y206" s="28">
        <v>42312</v>
      </c>
      <c r="Z206" s="28" t="str">
        <f t="shared" si="27"/>
        <v>ES-2015-CK1276045-42312</v>
      </c>
    </row>
    <row r="207" spans="1:26" ht="15.75">
      <c r="A207" s="19" t="s">
        <v>1261</v>
      </c>
      <c r="B207" s="9">
        <v>42248</v>
      </c>
      <c r="C207" s="9">
        <v>42251</v>
      </c>
      <c r="D207" s="10" t="s">
        <v>103</v>
      </c>
      <c r="E207" s="10" t="s">
        <v>15</v>
      </c>
      <c r="F207" s="10" t="s">
        <v>16</v>
      </c>
      <c r="G207" s="10" t="s">
        <v>45</v>
      </c>
      <c r="H207" s="10" t="s">
        <v>23</v>
      </c>
      <c r="I207" s="11">
        <v>1887.84</v>
      </c>
      <c r="J207" s="10">
        <v>4</v>
      </c>
      <c r="K207" s="20">
        <v>0.1</v>
      </c>
      <c r="L207" s="11">
        <v>0</v>
      </c>
      <c r="M207" s="10" t="s">
        <v>19</v>
      </c>
      <c r="N207" s="12" t="s">
        <v>2679</v>
      </c>
      <c r="O207" s="13" t="str">
        <f t="shared" si="21"/>
        <v>Phillip Breyer</v>
      </c>
      <c r="P207" s="13" t="str">
        <f t="shared" si="22"/>
        <v>IN</v>
      </c>
      <c r="Q207" s="13" t="str">
        <f t="shared" si="23"/>
        <v>2015</v>
      </c>
      <c r="R207" s="13" t="str">
        <f t="shared" si="24"/>
        <v>MEDIUM</v>
      </c>
      <c r="S207" s="13" t="str">
        <f t="shared" si="25"/>
        <v>office supplies</v>
      </c>
      <c r="T207" s="21" t="str">
        <f t="shared" si="26"/>
        <v>42248</v>
      </c>
      <c r="U207" s="27" t="s">
        <v>2861</v>
      </c>
      <c r="V207" s="19" t="s">
        <v>2681</v>
      </c>
      <c r="W207" s="30">
        <v>2015</v>
      </c>
      <c r="X207" t="s">
        <v>2861</v>
      </c>
      <c r="Y207" s="28">
        <v>42248</v>
      </c>
      <c r="Z207" s="28" t="str">
        <f t="shared" si="27"/>
        <v>IN-2015-PB192107-42248</v>
      </c>
    </row>
    <row r="208" spans="1:26" ht="15.75">
      <c r="A208" s="16" t="s">
        <v>1266</v>
      </c>
      <c r="B208" s="4">
        <v>42111</v>
      </c>
      <c r="C208" s="4">
        <v>42114</v>
      </c>
      <c r="D208" s="5" t="s">
        <v>376</v>
      </c>
      <c r="E208" s="5" t="s">
        <v>570</v>
      </c>
      <c r="F208" s="5" t="s">
        <v>120</v>
      </c>
      <c r="G208" s="5" t="s">
        <v>45</v>
      </c>
      <c r="H208" s="5" t="s">
        <v>26</v>
      </c>
      <c r="I208" s="6" t="s">
        <v>163</v>
      </c>
      <c r="J208" s="5">
        <v>5</v>
      </c>
      <c r="K208" s="17">
        <v>0</v>
      </c>
      <c r="L208" s="6">
        <v>180.1</v>
      </c>
      <c r="M208" s="5" t="s">
        <v>19</v>
      </c>
      <c r="N208" s="7" t="s">
        <v>2679</v>
      </c>
      <c r="O208" s="8" t="str">
        <f t="shared" si="21"/>
        <v>Andrew Allen</v>
      </c>
      <c r="P208" s="8" t="str">
        <f t="shared" si="22"/>
        <v>MX</v>
      </c>
      <c r="Q208" s="8" t="str">
        <f t="shared" si="23"/>
        <v>2015</v>
      </c>
      <c r="R208" s="8" t="str">
        <f t="shared" si="24"/>
        <v>MEDIUM</v>
      </c>
      <c r="S208" s="8" t="str">
        <f t="shared" si="25"/>
        <v>office supplies</v>
      </c>
      <c r="T208" s="18" t="str">
        <f t="shared" si="26"/>
        <v>42111</v>
      </c>
      <c r="U208" s="27" t="s">
        <v>2862</v>
      </c>
      <c r="V208" s="16" t="s">
        <v>2695</v>
      </c>
      <c r="W208" s="30">
        <v>2015</v>
      </c>
      <c r="X208" t="s">
        <v>2862</v>
      </c>
      <c r="Y208" s="28">
        <v>42111</v>
      </c>
      <c r="Z208" s="28" t="str">
        <f t="shared" si="27"/>
        <v>MX-2015-AA1048031-42111</v>
      </c>
    </row>
    <row r="209" spans="1:26" ht="15.75">
      <c r="A209" s="19" t="s">
        <v>154</v>
      </c>
      <c r="B209" s="9">
        <v>41706</v>
      </c>
      <c r="C209" s="9">
        <v>41706</v>
      </c>
      <c r="D209" s="10" t="s">
        <v>492</v>
      </c>
      <c r="E209" s="10" t="s">
        <v>70</v>
      </c>
      <c r="F209" s="10" t="s">
        <v>71</v>
      </c>
      <c r="G209" s="10" t="s">
        <v>17</v>
      </c>
      <c r="H209" s="10" t="s">
        <v>73</v>
      </c>
      <c r="I209" s="11">
        <v>779.28</v>
      </c>
      <c r="J209" s="10">
        <v>5</v>
      </c>
      <c r="K209" s="20">
        <v>0.15</v>
      </c>
      <c r="L209" s="11">
        <v>-0.119999999999976</v>
      </c>
      <c r="M209" s="10" t="s">
        <v>27</v>
      </c>
      <c r="N209" s="12" t="s">
        <v>2679</v>
      </c>
      <c r="O209" s="13" t="str">
        <f t="shared" si="21"/>
        <v>Ellis Ballard</v>
      </c>
      <c r="P209" s="13" t="str">
        <f t="shared" si="22"/>
        <v>IT</v>
      </c>
      <c r="Q209" s="13" t="str">
        <f t="shared" si="23"/>
        <v>2014</v>
      </c>
      <c r="R209" s="13" t="str">
        <f t="shared" si="24"/>
        <v>CRITICAL</v>
      </c>
      <c r="S209" s="13" t="str">
        <f t="shared" si="25"/>
        <v>technology</v>
      </c>
      <c r="T209" s="21" t="str">
        <f t="shared" si="26"/>
        <v>41706</v>
      </c>
      <c r="U209" s="27" t="s">
        <v>2689</v>
      </c>
      <c r="V209" s="19" t="s">
        <v>2690</v>
      </c>
      <c r="W209" s="30">
        <v>2014</v>
      </c>
      <c r="X209" t="s">
        <v>2689</v>
      </c>
      <c r="Y209" s="28">
        <v>41706</v>
      </c>
      <c r="Z209" s="28" t="str">
        <f t="shared" si="27"/>
        <v>IT-2014-EB1384045-41706</v>
      </c>
    </row>
    <row r="210" spans="1:26" ht="15.75">
      <c r="A210" s="16" t="s">
        <v>1267</v>
      </c>
      <c r="B210" s="4">
        <v>40964</v>
      </c>
      <c r="C210" s="4">
        <v>40964</v>
      </c>
      <c r="D210" s="5" t="s">
        <v>291</v>
      </c>
      <c r="E210" s="5" t="s">
        <v>1268</v>
      </c>
      <c r="F210" s="5" t="s">
        <v>233</v>
      </c>
      <c r="G210" s="5" t="s">
        <v>17</v>
      </c>
      <c r="H210" s="5" t="s">
        <v>73</v>
      </c>
      <c r="I210" s="6">
        <v>613.26</v>
      </c>
      <c r="J210" s="5">
        <v>2</v>
      </c>
      <c r="K210" s="17">
        <v>0</v>
      </c>
      <c r="L210" s="6">
        <v>202.32</v>
      </c>
      <c r="M210" s="5" t="s">
        <v>27</v>
      </c>
      <c r="N210" s="7" t="s">
        <v>2679</v>
      </c>
      <c r="O210" s="8" t="str">
        <f t="shared" si="21"/>
        <v>Rose O'Brian</v>
      </c>
      <c r="P210" s="8" t="str">
        <f t="shared" si="22"/>
        <v>AG</v>
      </c>
      <c r="Q210" s="8" t="str">
        <f t="shared" si="23"/>
        <v>2012</v>
      </c>
      <c r="R210" s="8" t="str">
        <f t="shared" si="24"/>
        <v>CRITICAL</v>
      </c>
      <c r="S210" s="8" t="str">
        <f t="shared" si="25"/>
        <v>technology</v>
      </c>
      <c r="T210" s="18" t="str">
        <f t="shared" si="26"/>
        <v>40964</v>
      </c>
      <c r="U210" s="27" t="s">
        <v>2863</v>
      </c>
      <c r="V210" s="16" t="s">
        <v>2864</v>
      </c>
      <c r="W210" s="30">
        <v>2012</v>
      </c>
      <c r="X210" t="s">
        <v>2863</v>
      </c>
      <c r="Y210" s="28">
        <v>40964</v>
      </c>
      <c r="Z210" s="28" t="str">
        <f t="shared" si="27"/>
        <v>AG-2012-RO97803-40964</v>
      </c>
    </row>
    <row r="211" spans="1:26" ht="15.75">
      <c r="A211" s="19" t="s">
        <v>1269</v>
      </c>
      <c r="B211" s="9">
        <v>41361</v>
      </c>
      <c r="C211" s="9">
        <v>41366</v>
      </c>
      <c r="D211" s="10" t="s">
        <v>1264</v>
      </c>
      <c r="E211" s="10" t="s">
        <v>40</v>
      </c>
      <c r="F211" s="10" t="s">
        <v>245</v>
      </c>
      <c r="G211" s="10" t="s">
        <v>17</v>
      </c>
      <c r="H211" s="10" t="s">
        <v>26</v>
      </c>
      <c r="I211" s="11">
        <v>166.24</v>
      </c>
      <c r="J211" s="10">
        <v>1</v>
      </c>
      <c r="K211" s="20">
        <v>0</v>
      </c>
      <c r="L211" s="11">
        <v>24.936</v>
      </c>
      <c r="M211" s="10" t="s">
        <v>19</v>
      </c>
      <c r="N211" s="12" t="s">
        <v>2679</v>
      </c>
      <c r="O211" s="13" t="str">
        <f t="shared" si="21"/>
        <v>Alan Barnes</v>
      </c>
      <c r="P211" s="13" t="str">
        <f t="shared" si="22"/>
        <v>CA</v>
      </c>
      <c r="Q211" s="13" t="str">
        <f t="shared" si="23"/>
        <v>2013</v>
      </c>
      <c r="R211" s="13" t="str">
        <f t="shared" si="24"/>
        <v>MEDIUM</v>
      </c>
      <c r="S211" s="13" t="str">
        <f t="shared" si="25"/>
        <v>technology</v>
      </c>
      <c r="T211" s="21" t="str">
        <f t="shared" si="26"/>
        <v>41361</v>
      </c>
      <c r="U211" s="27" t="s">
        <v>2865</v>
      </c>
      <c r="V211" s="19" t="s">
        <v>2683</v>
      </c>
      <c r="W211" s="30">
        <v>2013</v>
      </c>
      <c r="X211" t="s">
        <v>2865</v>
      </c>
      <c r="Y211" s="28">
        <v>41361</v>
      </c>
      <c r="Z211" s="28" t="str">
        <f t="shared" si="27"/>
        <v>CA-2013-AB10165140-41361</v>
      </c>
    </row>
    <row r="212" spans="1:26" ht="15.75">
      <c r="A212" s="16" t="s">
        <v>1270</v>
      </c>
      <c r="B212" s="4">
        <v>42263</v>
      </c>
      <c r="C212" s="4">
        <v>42267</v>
      </c>
      <c r="D212" s="5" t="s">
        <v>1271</v>
      </c>
      <c r="E212" s="5" t="s">
        <v>15</v>
      </c>
      <c r="F212" s="5" t="s">
        <v>16</v>
      </c>
      <c r="G212" s="5" t="s">
        <v>32</v>
      </c>
      <c r="H212" s="5" t="s">
        <v>127</v>
      </c>
      <c r="I212" s="6">
        <v>1837.5599999999899</v>
      </c>
      <c r="J212" s="5">
        <v>4</v>
      </c>
      <c r="K212" s="17">
        <v>0</v>
      </c>
      <c r="L212" s="6">
        <v>275.52</v>
      </c>
      <c r="M212" s="5" t="s">
        <v>19</v>
      </c>
      <c r="N212" s="7" t="s">
        <v>2679</v>
      </c>
      <c r="O212" s="8" t="str">
        <f t="shared" si="21"/>
        <v>Mathew Reese</v>
      </c>
      <c r="P212" s="8" t="str">
        <f t="shared" si="22"/>
        <v>IN</v>
      </c>
      <c r="Q212" s="8" t="str">
        <f t="shared" si="23"/>
        <v>2015</v>
      </c>
      <c r="R212" s="8" t="str">
        <f t="shared" si="24"/>
        <v>MEDIUM</v>
      </c>
      <c r="S212" s="8" t="str">
        <f t="shared" si="25"/>
        <v>furniture</v>
      </c>
      <c r="T212" s="18" t="str">
        <f t="shared" si="26"/>
        <v>42263</v>
      </c>
      <c r="U212" s="27" t="s">
        <v>2866</v>
      </c>
      <c r="V212" s="16" t="s">
        <v>2681</v>
      </c>
      <c r="W212" s="30">
        <v>2015</v>
      </c>
      <c r="X212" t="s">
        <v>2866</v>
      </c>
      <c r="Y212" s="28">
        <v>42263</v>
      </c>
      <c r="Z212" s="28" t="str">
        <f t="shared" si="27"/>
        <v>IN-2015-MR175457-42263</v>
      </c>
    </row>
    <row r="213" spans="1:26" ht="15.75">
      <c r="A213" s="19" t="s">
        <v>1275</v>
      </c>
      <c r="B213" s="9">
        <v>42004</v>
      </c>
      <c r="C213" s="9">
        <v>42005</v>
      </c>
      <c r="D213" s="10" t="s">
        <v>1276</v>
      </c>
      <c r="E213" s="10" t="s">
        <v>211</v>
      </c>
      <c r="F213" s="10" t="s">
        <v>98</v>
      </c>
      <c r="G213" s="10" t="s">
        <v>17</v>
      </c>
      <c r="H213" s="10" t="s">
        <v>73</v>
      </c>
      <c r="I213" s="11">
        <v>1198.2986000000001</v>
      </c>
      <c r="J213" s="10">
        <v>5</v>
      </c>
      <c r="K213" s="20">
        <v>2E-3</v>
      </c>
      <c r="L213" s="11">
        <v>165.5986</v>
      </c>
      <c r="M213" s="10" t="s">
        <v>37</v>
      </c>
      <c r="N213" s="12" t="s">
        <v>2679</v>
      </c>
      <c r="O213" s="13" t="str">
        <f t="shared" si="21"/>
        <v>Amy Hunt</v>
      </c>
      <c r="P213" s="13" t="str">
        <f t="shared" si="22"/>
        <v>MX</v>
      </c>
      <c r="Q213" s="13" t="str">
        <f t="shared" si="23"/>
        <v>2014</v>
      </c>
      <c r="R213" s="13" t="str">
        <f t="shared" si="24"/>
        <v>HIGH</v>
      </c>
      <c r="S213" s="13" t="str">
        <f t="shared" si="25"/>
        <v>technology</v>
      </c>
      <c r="T213" s="21" t="str">
        <f t="shared" si="26"/>
        <v>42004</v>
      </c>
      <c r="U213" s="27" t="s">
        <v>2867</v>
      </c>
      <c r="V213" s="19" t="s">
        <v>2695</v>
      </c>
      <c r="W213" s="30">
        <v>2014</v>
      </c>
      <c r="X213" t="s">
        <v>2867</v>
      </c>
      <c r="Y213" s="28">
        <v>42004</v>
      </c>
      <c r="Z213" s="28" t="str">
        <f t="shared" si="27"/>
        <v>MX-2014-AH1046593-42004</v>
      </c>
    </row>
    <row r="214" spans="1:26" ht="15.75">
      <c r="A214" s="16" t="s">
        <v>1289</v>
      </c>
      <c r="B214" s="4">
        <v>42105</v>
      </c>
      <c r="C214" s="4">
        <v>42111</v>
      </c>
      <c r="D214" s="5" t="s">
        <v>181</v>
      </c>
      <c r="E214" s="5" t="s">
        <v>1290</v>
      </c>
      <c r="F214" s="5" t="s">
        <v>56</v>
      </c>
      <c r="G214" s="5" t="s">
        <v>17</v>
      </c>
      <c r="H214" s="5" t="s">
        <v>26</v>
      </c>
      <c r="I214" s="6">
        <v>1302.78</v>
      </c>
      <c r="J214" s="5">
        <v>2</v>
      </c>
      <c r="K214" s="17">
        <v>0</v>
      </c>
      <c r="L214" s="6">
        <v>286.56</v>
      </c>
      <c r="M214" s="5" t="s">
        <v>74</v>
      </c>
      <c r="N214" s="7" t="s">
        <v>2679</v>
      </c>
      <c r="O214" s="8" t="str">
        <f t="shared" si="21"/>
        <v>Mitch Webber</v>
      </c>
      <c r="P214" s="8" t="str">
        <f t="shared" si="22"/>
        <v>SA</v>
      </c>
      <c r="Q214" s="8" t="str">
        <f t="shared" si="23"/>
        <v>2015</v>
      </c>
      <c r="R214" s="8" t="str">
        <f t="shared" si="24"/>
        <v>LOW</v>
      </c>
      <c r="S214" s="8" t="str">
        <f t="shared" si="25"/>
        <v>technology</v>
      </c>
      <c r="T214" s="18" t="str">
        <f t="shared" si="26"/>
        <v>42105</v>
      </c>
      <c r="U214" s="27" t="s">
        <v>2868</v>
      </c>
      <c r="V214" s="16" t="s">
        <v>2869</v>
      </c>
      <c r="W214" s="30">
        <v>2015</v>
      </c>
      <c r="X214" t="s">
        <v>2868</v>
      </c>
      <c r="Y214" s="28">
        <v>42105</v>
      </c>
      <c r="Z214" s="28" t="str">
        <f t="shared" si="27"/>
        <v>SA-2015-MW8220110-42105</v>
      </c>
    </row>
    <row r="215" spans="1:26" ht="15.75">
      <c r="A215" s="19" t="s">
        <v>1291</v>
      </c>
      <c r="B215" s="9">
        <v>41489</v>
      </c>
      <c r="C215" s="9">
        <v>41493</v>
      </c>
      <c r="D215" s="10" t="s">
        <v>1207</v>
      </c>
      <c r="E215" s="10" t="s">
        <v>488</v>
      </c>
      <c r="F215" s="10" t="s">
        <v>233</v>
      </c>
      <c r="G215" s="10" t="s">
        <v>165</v>
      </c>
      <c r="H215" s="10" t="s">
        <v>151</v>
      </c>
      <c r="I215" s="11">
        <v>2243.88</v>
      </c>
      <c r="J215" s="10">
        <v>4</v>
      </c>
      <c r="K215" s="20">
        <v>0</v>
      </c>
      <c r="L215" s="11">
        <v>246.719999999999</v>
      </c>
      <c r="M215" s="10" t="s">
        <v>19</v>
      </c>
      <c r="N215" s="12" t="s">
        <v>2679</v>
      </c>
      <c r="O215" s="13" t="str">
        <f t="shared" si="21"/>
        <v>Alan Hwang</v>
      </c>
      <c r="P215" s="13" t="str">
        <f t="shared" si="22"/>
        <v>EG</v>
      </c>
      <c r="Q215" s="13" t="str">
        <f t="shared" si="23"/>
        <v>2013</v>
      </c>
      <c r="R215" s="13" t="str">
        <f t="shared" si="24"/>
        <v>MEDIUM</v>
      </c>
      <c r="S215" s="13" t="str">
        <f t="shared" si="25"/>
        <v>office_supplies</v>
      </c>
      <c r="T215" s="21" t="str">
        <f t="shared" si="26"/>
        <v>41489</v>
      </c>
      <c r="U215" s="27" t="s">
        <v>2870</v>
      </c>
      <c r="V215" s="19" t="s">
        <v>2871</v>
      </c>
      <c r="W215" s="30">
        <v>2013</v>
      </c>
      <c r="X215" t="s">
        <v>2870</v>
      </c>
      <c r="Y215" s="28">
        <v>41489</v>
      </c>
      <c r="Z215" s="28" t="str">
        <f t="shared" si="27"/>
        <v>EG-2013-AH21038-41489</v>
      </c>
    </row>
    <row r="216" spans="1:26" ht="15.75">
      <c r="A216" s="16" t="s">
        <v>1294</v>
      </c>
      <c r="B216" s="14">
        <v>41255</v>
      </c>
      <c r="C216" s="4">
        <v>41259</v>
      </c>
      <c r="D216" s="5" t="s">
        <v>1078</v>
      </c>
      <c r="E216" s="5" t="s">
        <v>66</v>
      </c>
      <c r="F216" s="5" t="s">
        <v>90</v>
      </c>
      <c r="G216" s="5" t="s">
        <v>1107</v>
      </c>
      <c r="H216" s="5" t="s">
        <v>73</v>
      </c>
      <c r="I216" s="6">
        <v>1609.29</v>
      </c>
      <c r="J216" s="5">
        <v>3</v>
      </c>
      <c r="K216" s="17">
        <v>0</v>
      </c>
      <c r="L216" s="6">
        <v>241.38</v>
      </c>
      <c r="M216" s="5" t="s">
        <v>37</v>
      </c>
      <c r="N216" s="7" t="s">
        <v>2679</v>
      </c>
      <c r="O216" s="8" t="str">
        <f t="shared" si="21"/>
        <v>Maris Laware</v>
      </c>
      <c r="P216" s="8" t="str">
        <f t="shared" si="22"/>
        <v>IN</v>
      </c>
      <c r="Q216" s="8" t="str">
        <f t="shared" si="23"/>
        <v>2012</v>
      </c>
      <c r="R216" s="8" t="str">
        <f t="shared" si="24"/>
        <v>HIGH</v>
      </c>
      <c r="S216" s="8" t="str">
        <f t="shared" si="25"/>
        <v xml:space="preserve"> office supplies </v>
      </c>
      <c r="T216" s="18" t="str">
        <f t="shared" si="26"/>
        <v>41255</v>
      </c>
      <c r="U216" s="27" t="s">
        <v>2872</v>
      </c>
      <c r="V216" s="16" t="s">
        <v>2681</v>
      </c>
      <c r="W216" s="30">
        <v>2012</v>
      </c>
      <c r="X216" t="s">
        <v>2872</v>
      </c>
      <c r="Y216" s="28">
        <v>41255</v>
      </c>
      <c r="Z216" s="28" t="str">
        <f t="shared" si="27"/>
        <v>IN-2012-ML1741027-41255</v>
      </c>
    </row>
    <row r="217" spans="1:26" ht="15.75">
      <c r="A217" s="19" t="s">
        <v>1297</v>
      </c>
      <c r="B217" s="9">
        <v>42109</v>
      </c>
      <c r="C217" s="9">
        <v>42112</v>
      </c>
      <c r="D217" s="10" t="s">
        <v>1298</v>
      </c>
      <c r="E217" s="10" t="s">
        <v>40</v>
      </c>
      <c r="F217" s="10" t="s">
        <v>111</v>
      </c>
      <c r="G217" s="10" t="s">
        <v>45</v>
      </c>
      <c r="H217" s="10" t="s">
        <v>73</v>
      </c>
      <c r="I217" s="11">
        <v>89.855999999999995</v>
      </c>
      <c r="J217" s="10">
        <v>3</v>
      </c>
      <c r="K217" s="20">
        <v>0.2</v>
      </c>
      <c r="L217" s="11">
        <v>21.340800000000002</v>
      </c>
      <c r="M217" s="10" t="s">
        <v>19</v>
      </c>
      <c r="N217" s="12" t="s">
        <v>2679</v>
      </c>
      <c r="O217" s="13" t="str">
        <f t="shared" si="21"/>
        <v>Alan Barnes#</v>
      </c>
      <c r="P217" s="13" t="str">
        <f t="shared" si="22"/>
        <v>CA</v>
      </c>
      <c r="Q217" s="13" t="str">
        <f t="shared" si="23"/>
        <v>2015</v>
      </c>
      <c r="R217" s="13" t="str">
        <f t="shared" si="24"/>
        <v>MEDIUM</v>
      </c>
      <c r="S217" s="13" t="str">
        <f t="shared" si="25"/>
        <v>office supplies</v>
      </c>
      <c r="T217" s="21" t="str">
        <f t="shared" si="26"/>
        <v>42109</v>
      </c>
      <c r="U217" s="27" t="s">
        <v>2865</v>
      </c>
      <c r="V217" s="19" t="s">
        <v>2683</v>
      </c>
      <c r="W217" s="30">
        <v>2015</v>
      </c>
      <c r="X217" t="s">
        <v>2865</v>
      </c>
      <c r="Y217" s="28">
        <v>42109</v>
      </c>
      <c r="Z217" s="28" t="str">
        <f t="shared" si="27"/>
        <v>CA-2015-AB10165140-42109</v>
      </c>
    </row>
    <row r="218" spans="1:26" ht="15.75">
      <c r="A218" s="16" t="s">
        <v>1273</v>
      </c>
      <c r="B218" s="4">
        <v>41450</v>
      </c>
      <c r="C218" s="4">
        <v>41456</v>
      </c>
      <c r="D218" s="5" t="s">
        <v>1264</v>
      </c>
      <c r="E218" s="5" t="s">
        <v>40</v>
      </c>
      <c r="F218" s="5" t="s">
        <v>43</v>
      </c>
      <c r="G218" s="5" t="s">
        <v>45</v>
      </c>
      <c r="H218" s="5" t="s">
        <v>44</v>
      </c>
      <c r="I218" s="6">
        <v>88.751999999999995</v>
      </c>
      <c r="J218" s="5">
        <v>3</v>
      </c>
      <c r="K218" s="17">
        <v>0.2</v>
      </c>
      <c r="L218" s="6">
        <v>27.7349999999999</v>
      </c>
      <c r="M218" s="5" t="s">
        <v>19</v>
      </c>
      <c r="N218" s="7" t="s">
        <v>2679</v>
      </c>
      <c r="O218" s="8" t="str">
        <f t="shared" si="21"/>
        <v>Alan Barnes</v>
      </c>
      <c r="P218" s="8" t="str">
        <f t="shared" si="22"/>
        <v>CA</v>
      </c>
      <c r="Q218" s="8" t="str">
        <f t="shared" si="23"/>
        <v>2013</v>
      </c>
      <c r="R218" s="8" t="str">
        <f t="shared" si="24"/>
        <v>MEDIUM</v>
      </c>
      <c r="S218" s="8" t="str">
        <f t="shared" si="25"/>
        <v>office supplies</v>
      </c>
      <c r="T218" s="18" t="str">
        <f t="shared" si="26"/>
        <v>41450</v>
      </c>
      <c r="U218" s="27" t="s">
        <v>2865</v>
      </c>
      <c r="V218" s="16" t="s">
        <v>2683</v>
      </c>
      <c r="W218" s="30">
        <v>2013</v>
      </c>
      <c r="X218" t="s">
        <v>2865</v>
      </c>
      <c r="Y218" s="28">
        <v>41450</v>
      </c>
      <c r="Z218" s="28" t="str">
        <f t="shared" si="27"/>
        <v>CA-2013-AB10165140-41450</v>
      </c>
    </row>
    <row r="219" spans="1:26" ht="15.75">
      <c r="A219" s="19" t="s">
        <v>1306</v>
      </c>
      <c r="B219" s="9">
        <v>42326</v>
      </c>
      <c r="C219" s="9">
        <v>42329</v>
      </c>
      <c r="D219" s="10" t="s">
        <v>1307</v>
      </c>
      <c r="E219" s="10" t="s">
        <v>55</v>
      </c>
      <c r="F219" s="10" t="s">
        <v>56</v>
      </c>
      <c r="G219" s="10" t="s">
        <v>17</v>
      </c>
      <c r="H219" s="10" t="s">
        <v>44</v>
      </c>
      <c r="I219" s="11">
        <v>621</v>
      </c>
      <c r="J219" s="10">
        <v>2</v>
      </c>
      <c r="K219" s="20">
        <v>0</v>
      </c>
      <c r="L219" s="11">
        <v>180.06</v>
      </c>
      <c r="M219" s="10" t="s">
        <v>27</v>
      </c>
      <c r="N219" s="12" t="s">
        <v>2679</v>
      </c>
      <c r="O219" s="13" t="str">
        <f t="shared" si="21"/>
        <v>Matt Collins</v>
      </c>
      <c r="P219" s="13" t="str">
        <f t="shared" si="22"/>
        <v>SA</v>
      </c>
      <c r="Q219" s="13" t="str">
        <f t="shared" si="23"/>
        <v>2015</v>
      </c>
      <c r="R219" s="13" t="str">
        <f t="shared" si="24"/>
        <v>CRITICAL</v>
      </c>
      <c r="S219" s="13" t="str">
        <f t="shared" si="25"/>
        <v>technology</v>
      </c>
      <c r="T219" s="21" t="str">
        <f t="shared" si="26"/>
        <v>42326</v>
      </c>
      <c r="U219" s="27" t="s">
        <v>2873</v>
      </c>
      <c r="V219" s="19" t="s">
        <v>2869</v>
      </c>
      <c r="W219" s="30">
        <v>2015</v>
      </c>
      <c r="X219" t="s">
        <v>2873</v>
      </c>
      <c r="Y219" s="28">
        <v>42326</v>
      </c>
      <c r="Z219" s="28" t="str">
        <f t="shared" si="27"/>
        <v>SA-2015-MC7575110-42326</v>
      </c>
    </row>
    <row r="220" spans="1:26" ht="15.75">
      <c r="A220" s="16" t="s">
        <v>1310</v>
      </c>
      <c r="B220" s="4">
        <v>42277</v>
      </c>
      <c r="C220" s="4">
        <v>42279</v>
      </c>
      <c r="D220" s="5" t="s">
        <v>159</v>
      </c>
      <c r="E220" s="5" t="s">
        <v>76</v>
      </c>
      <c r="F220" s="5" t="s">
        <v>77</v>
      </c>
      <c r="G220" s="5" t="s">
        <v>17</v>
      </c>
      <c r="H220" s="5" t="s">
        <v>33</v>
      </c>
      <c r="I220" s="6">
        <v>1145.232</v>
      </c>
      <c r="J220" s="5">
        <v>3</v>
      </c>
      <c r="K220" s="17">
        <v>0.4</v>
      </c>
      <c r="L220" s="6">
        <v>-706.24800000000005</v>
      </c>
      <c r="M220" s="5" t="s">
        <v>27</v>
      </c>
      <c r="N220" s="7" t="s">
        <v>2679</v>
      </c>
      <c r="O220" s="8" t="str">
        <f t="shared" si="21"/>
        <v>Scott Williamson</v>
      </c>
      <c r="P220" s="8" t="str">
        <f t="shared" si="22"/>
        <v>IT</v>
      </c>
      <c r="Q220" s="8" t="str">
        <f t="shared" si="23"/>
        <v>2015</v>
      </c>
      <c r="R220" s="8" t="str">
        <f t="shared" si="24"/>
        <v>CRITICAL</v>
      </c>
      <c r="S220" s="8" t="str">
        <f t="shared" si="25"/>
        <v>technology</v>
      </c>
      <c r="T220" s="18" t="str">
        <f t="shared" si="26"/>
        <v>42277</v>
      </c>
      <c r="U220" s="27" t="s">
        <v>2874</v>
      </c>
      <c r="V220" s="16" t="s">
        <v>2690</v>
      </c>
      <c r="W220" s="30">
        <v>2015</v>
      </c>
      <c r="X220" t="s">
        <v>2874</v>
      </c>
      <c r="Y220" s="28">
        <v>42277</v>
      </c>
      <c r="Z220" s="28" t="str">
        <f t="shared" si="27"/>
        <v>IT-2015-SW2027564-42277</v>
      </c>
    </row>
    <row r="221" spans="1:26" ht="15.75">
      <c r="A221" s="19" t="s">
        <v>1311</v>
      </c>
      <c r="B221" s="9">
        <v>42094</v>
      </c>
      <c r="C221" s="9">
        <v>42096</v>
      </c>
      <c r="D221" s="10" t="s">
        <v>1264</v>
      </c>
      <c r="E221" s="10" t="s">
        <v>40</v>
      </c>
      <c r="F221" s="10" t="s">
        <v>245</v>
      </c>
      <c r="G221" s="10" t="s">
        <v>32</v>
      </c>
      <c r="H221" s="10" t="s">
        <v>151</v>
      </c>
      <c r="I221" s="11">
        <v>94.2</v>
      </c>
      <c r="J221" s="10">
        <v>5</v>
      </c>
      <c r="K221" s="20">
        <v>0</v>
      </c>
      <c r="L221" s="11">
        <v>39.564</v>
      </c>
      <c r="M221" s="10" t="s">
        <v>19</v>
      </c>
      <c r="N221" s="12" t="s">
        <v>2679</v>
      </c>
      <c r="O221" s="13" t="str">
        <f t="shared" si="21"/>
        <v>Alan Barnes</v>
      </c>
      <c r="P221" s="13" t="str">
        <f t="shared" si="22"/>
        <v>CA</v>
      </c>
      <c r="Q221" s="13" t="str">
        <f t="shared" si="23"/>
        <v>2015</v>
      </c>
      <c r="R221" s="13" t="str">
        <f t="shared" si="24"/>
        <v>MEDIUM</v>
      </c>
      <c r="S221" s="13" t="str">
        <f t="shared" si="25"/>
        <v>furniture</v>
      </c>
      <c r="T221" s="21" t="str">
        <f t="shared" si="26"/>
        <v>42094</v>
      </c>
      <c r="U221" s="27" t="s">
        <v>2865</v>
      </c>
      <c r="V221" s="19" t="s">
        <v>2683</v>
      </c>
      <c r="W221" s="30">
        <v>2015</v>
      </c>
      <c r="X221" t="s">
        <v>2865</v>
      </c>
      <c r="Y221" s="28">
        <v>42094</v>
      </c>
      <c r="Z221" s="28" t="str">
        <f t="shared" si="27"/>
        <v>CA-2015-AB10165140-42094</v>
      </c>
    </row>
    <row r="222" spans="1:26" ht="15.75">
      <c r="A222" s="16" t="s">
        <v>1317</v>
      </c>
      <c r="B222" s="4">
        <v>40967</v>
      </c>
      <c r="C222" s="4">
        <v>40970</v>
      </c>
      <c r="D222" s="5" t="s">
        <v>881</v>
      </c>
      <c r="E222" s="5" t="s">
        <v>1318</v>
      </c>
      <c r="F222" s="5" t="s">
        <v>90</v>
      </c>
      <c r="G222" s="5" t="s">
        <v>45</v>
      </c>
      <c r="H222" s="5" t="s">
        <v>23</v>
      </c>
      <c r="I222" s="6">
        <v>810.72</v>
      </c>
      <c r="J222" s="5">
        <v>3</v>
      </c>
      <c r="K222" s="17">
        <v>0.5</v>
      </c>
      <c r="L222" s="6">
        <v>-599.94000000000005</v>
      </c>
      <c r="M222" s="5" t="s">
        <v>27</v>
      </c>
      <c r="N222" s="7" t="s">
        <v>2679</v>
      </c>
      <c r="O222" s="8" t="str">
        <f t="shared" si="21"/>
        <v>Paul Stevenson</v>
      </c>
      <c r="P222" s="8" t="str">
        <f t="shared" si="22"/>
        <v>ID</v>
      </c>
      <c r="Q222" s="8" t="str">
        <f t="shared" si="23"/>
        <v>2012</v>
      </c>
      <c r="R222" s="8" t="str">
        <f t="shared" si="24"/>
        <v>CRITICAL</v>
      </c>
      <c r="S222" s="8" t="str">
        <f t="shared" si="25"/>
        <v>office supplies</v>
      </c>
      <c r="T222" s="18" t="str">
        <f t="shared" si="26"/>
        <v>40967</v>
      </c>
      <c r="U222" s="27" t="s">
        <v>2875</v>
      </c>
      <c r="V222" s="16" t="s">
        <v>2705</v>
      </c>
      <c r="W222" s="30">
        <v>2012</v>
      </c>
      <c r="X222" t="s">
        <v>2875</v>
      </c>
      <c r="Y222" s="28">
        <v>40967</v>
      </c>
      <c r="Z222" s="28" t="str">
        <f t="shared" si="27"/>
        <v>ID-2012-PS18970118-40967</v>
      </c>
    </row>
    <row r="223" spans="1:26" ht="15.75">
      <c r="A223" s="19" t="s">
        <v>1321</v>
      </c>
      <c r="B223" s="9">
        <v>41793</v>
      </c>
      <c r="C223" s="9">
        <v>41796</v>
      </c>
      <c r="D223" s="10" t="s">
        <v>1083</v>
      </c>
      <c r="E223" s="10" t="s">
        <v>76</v>
      </c>
      <c r="F223" s="10" t="s">
        <v>77</v>
      </c>
      <c r="G223" s="10" t="s">
        <v>45</v>
      </c>
      <c r="H223" s="10" t="s">
        <v>73</v>
      </c>
      <c r="I223" s="11">
        <v>2593.8000000000002</v>
      </c>
      <c r="J223" s="10">
        <v>5</v>
      </c>
      <c r="K223" s="20">
        <v>0</v>
      </c>
      <c r="L223" s="11">
        <v>1141.2</v>
      </c>
      <c r="M223" s="10" t="s">
        <v>37</v>
      </c>
      <c r="N223" s="12" t="s">
        <v>2679</v>
      </c>
      <c r="O223" s="13" t="str">
        <f t="shared" si="21"/>
        <v>Quincy Jones</v>
      </c>
      <c r="P223" s="13" t="str">
        <f t="shared" si="22"/>
        <v xml:space="preserve"> E</v>
      </c>
      <c r="Q223" s="13" t="str">
        <f t="shared" si="23"/>
        <v>-201</v>
      </c>
      <c r="R223" s="13" t="str">
        <f t="shared" si="24"/>
        <v>HIGH</v>
      </c>
      <c r="S223" s="13" t="str">
        <f t="shared" si="25"/>
        <v>office supplies</v>
      </c>
      <c r="T223" s="21" t="str">
        <f t="shared" si="26"/>
        <v xml:space="preserve">1793 </v>
      </c>
      <c r="U223" s="27" t="s">
        <v>2876</v>
      </c>
      <c r="V223" s="19" t="s">
        <v>2877</v>
      </c>
      <c r="W223" s="30">
        <v>2014</v>
      </c>
      <c r="X223" t="s">
        <v>2876</v>
      </c>
      <c r="Y223" s="28">
        <v>41793</v>
      </c>
      <c r="Z223" s="28" t="str">
        <f t="shared" si="27"/>
        <v>ES-2014-QJ1925564-41793</v>
      </c>
    </row>
    <row r="224" spans="1:26" ht="15.75">
      <c r="A224" s="16" t="s">
        <v>746</v>
      </c>
      <c r="B224" s="4">
        <v>42292</v>
      </c>
      <c r="C224" s="4">
        <v>42294</v>
      </c>
      <c r="D224" s="5" t="s">
        <v>747</v>
      </c>
      <c r="E224" s="5" t="s">
        <v>256</v>
      </c>
      <c r="F224" s="5" t="s">
        <v>71</v>
      </c>
      <c r="G224" s="5" t="s">
        <v>17</v>
      </c>
      <c r="H224" s="5" t="s">
        <v>73</v>
      </c>
      <c r="I224" s="6" t="s">
        <v>163</v>
      </c>
      <c r="J224" s="5">
        <v>5</v>
      </c>
      <c r="K224" s="17">
        <v>0</v>
      </c>
      <c r="L224" s="6">
        <v>567</v>
      </c>
      <c r="M224" s="5" t="s">
        <v>27</v>
      </c>
      <c r="N224" s="7" t="s">
        <v>2679</v>
      </c>
      <c r="O224" s="8" t="str">
        <f t="shared" si="21"/>
        <v>Cari Schnelling</v>
      </c>
      <c r="P224" s="8" t="str">
        <f t="shared" si="22"/>
        <v>ES</v>
      </c>
      <c r="Q224" s="8" t="str">
        <f t="shared" si="23"/>
        <v>2015</v>
      </c>
      <c r="R224" s="8" t="str">
        <f t="shared" si="24"/>
        <v>CRITICAL</v>
      </c>
      <c r="S224" s="8" t="str">
        <f t="shared" si="25"/>
        <v>technology</v>
      </c>
      <c r="T224" s="18" t="str">
        <f t="shared" si="26"/>
        <v>42292</v>
      </c>
      <c r="U224" s="27" t="s">
        <v>2878</v>
      </c>
      <c r="V224" s="16" t="s">
        <v>2710</v>
      </c>
      <c r="W224" s="30">
        <v>2015</v>
      </c>
      <c r="X224" t="s">
        <v>2878</v>
      </c>
      <c r="Y224" s="28">
        <v>42292</v>
      </c>
      <c r="Z224" s="28" t="str">
        <f t="shared" si="27"/>
        <v>ES-2015-CS118608-42292</v>
      </c>
    </row>
    <row r="225" spans="1:26" ht="15.75">
      <c r="A225" s="19" t="s">
        <v>1330</v>
      </c>
      <c r="B225" s="9">
        <v>42176</v>
      </c>
      <c r="C225" s="9">
        <v>42177</v>
      </c>
      <c r="D225" s="10" t="s">
        <v>513</v>
      </c>
      <c r="E225" s="10" t="s">
        <v>70</v>
      </c>
      <c r="F225" s="10" t="s">
        <v>71</v>
      </c>
      <c r="G225" s="10" t="s">
        <v>32</v>
      </c>
      <c r="H225" s="10" t="s">
        <v>26</v>
      </c>
      <c r="I225" s="11">
        <v>656.85599999999999</v>
      </c>
      <c r="J225" s="10">
        <v>2</v>
      </c>
      <c r="K225" s="20">
        <v>0.1</v>
      </c>
      <c r="L225" s="11">
        <v>94.835999999999899</v>
      </c>
      <c r="M225" s="10" t="s">
        <v>27</v>
      </c>
      <c r="N225" s="12" t="s">
        <v>2679</v>
      </c>
      <c r="O225" s="13" t="str">
        <f t="shared" si="21"/>
        <v>Michelle Tran</v>
      </c>
      <c r="P225" s="13" t="str">
        <f t="shared" si="22"/>
        <v>ES</v>
      </c>
      <c r="Q225" s="13" t="str">
        <f t="shared" si="23"/>
        <v>2015</v>
      </c>
      <c r="R225" s="13" t="str">
        <f t="shared" si="24"/>
        <v>CRITICAL</v>
      </c>
      <c r="S225" s="13" t="str">
        <f t="shared" si="25"/>
        <v>furniture</v>
      </c>
      <c r="T225" s="21" t="str">
        <f t="shared" si="26"/>
        <v>42176</v>
      </c>
      <c r="U225" s="27" t="s">
        <v>2879</v>
      </c>
      <c r="V225" s="19" t="s">
        <v>2710</v>
      </c>
      <c r="W225" s="30">
        <v>2015</v>
      </c>
      <c r="X225" t="s">
        <v>2879</v>
      </c>
      <c r="Y225" s="28">
        <v>42176</v>
      </c>
      <c r="Z225" s="28" t="str">
        <f t="shared" si="27"/>
        <v>ES-2015-MT1807045-42176</v>
      </c>
    </row>
    <row r="226" spans="1:26" ht="15.75">
      <c r="A226" s="16" t="s">
        <v>1336</v>
      </c>
      <c r="B226" s="4">
        <v>40932</v>
      </c>
      <c r="C226" s="4">
        <v>40932</v>
      </c>
      <c r="D226" s="5" t="s">
        <v>86</v>
      </c>
      <c r="E226" s="5" t="s">
        <v>1337</v>
      </c>
      <c r="F226" s="5" t="s">
        <v>94</v>
      </c>
      <c r="G226" s="5" t="s">
        <v>17</v>
      </c>
      <c r="H226" s="5" t="s">
        <v>23</v>
      </c>
      <c r="I226" s="6">
        <v>1302.78</v>
      </c>
      <c r="J226" s="5">
        <v>2</v>
      </c>
      <c r="K226" s="17">
        <v>0</v>
      </c>
      <c r="L226" s="6">
        <v>286.56</v>
      </c>
      <c r="M226" s="5" t="s">
        <v>19</v>
      </c>
      <c r="N226" s="7" t="s">
        <v>2679</v>
      </c>
      <c r="O226" s="8" t="str">
        <f t="shared" si="21"/>
        <v>Ann Blume</v>
      </c>
      <c r="P226" s="8" t="str">
        <f t="shared" si="22"/>
        <v>EN</v>
      </c>
      <c r="Q226" s="8" t="str">
        <f t="shared" si="23"/>
        <v>2012</v>
      </c>
      <c r="R226" s="8" t="str">
        <f t="shared" si="24"/>
        <v>MEDIUM</v>
      </c>
      <c r="S226" s="8" t="str">
        <f t="shared" si="25"/>
        <v>technology</v>
      </c>
      <c r="T226" s="18" t="str">
        <f t="shared" si="26"/>
        <v>40932</v>
      </c>
      <c r="U226" s="27" t="s">
        <v>2880</v>
      </c>
      <c r="V226" s="16" t="s">
        <v>2881</v>
      </c>
      <c r="W226" s="30">
        <v>2012</v>
      </c>
      <c r="X226" t="s">
        <v>2880</v>
      </c>
      <c r="Y226" s="28">
        <v>40932</v>
      </c>
      <c r="Z226" s="28" t="str">
        <f t="shared" si="27"/>
        <v>EN-2012-AB60042-40932</v>
      </c>
    </row>
    <row r="227" spans="1:26" ht="15.75">
      <c r="A227" s="19" t="s">
        <v>1338</v>
      </c>
      <c r="B227" s="9">
        <v>42342</v>
      </c>
      <c r="C227" s="9">
        <v>42346</v>
      </c>
      <c r="D227" s="10" t="s">
        <v>881</v>
      </c>
      <c r="E227" s="10" t="s">
        <v>15</v>
      </c>
      <c r="F227" s="10" t="s">
        <v>16</v>
      </c>
      <c r="G227" s="10" t="s">
        <v>32</v>
      </c>
      <c r="H227" s="10" t="s">
        <v>18</v>
      </c>
      <c r="I227" s="11">
        <v>2125.3199999999902</v>
      </c>
      <c r="J227" s="10">
        <v>4</v>
      </c>
      <c r="K227" s="20">
        <v>0</v>
      </c>
      <c r="L227" s="11">
        <v>148.68</v>
      </c>
      <c r="M227" s="10" t="s">
        <v>19</v>
      </c>
      <c r="N227" s="12" t="s">
        <v>2679</v>
      </c>
      <c r="O227" s="13" t="str">
        <f t="shared" si="21"/>
        <v>Paul Stevenson</v>
      </c>
      <c r="P227" s="13" t="str">
        <f t="shared" si="22"/>
        <v>IN</v>
      </c>
      <c r="Q227" s="13" t="str">
        <f t="shared" si="23"/>
        <v>2015</v>
      </c>
      <c r="R227" s="13" t="str">
        <f t="shared" si="24"/>
        <v>MEDIUM</v>
      </c>
      <c r="S227" s="13" t="str">
        <f t="shared" si="25"/>
        <v>furniture</v>
      </c>
      <c r="T227" s="21" t="str">
        <f t="shared" si="26"/>
        <v>42342</v>
      </c>
      <c r="U227" s="27" t="s">
        <v>2882</v>
      </c>
      <c r="V227" s="19" t="s">
        <v>2681</v>
      </c>
      <c r="W227" s="30">
        <v>2015</v>
      </c>
      <c r="X227" t="s">
        <v>2882</v>
      </c>
      <c r="Y227" s="28">
        <v>42342</v>
      </c>
      <c r="Z227" s="28" t="str">
        <f t="shared" si="27"/>
        <v>IN-2015-PS189707-42342</v>
      </c>
    </row>
    <row r="228" spans="1:26" ht="15.75">
      <c r="A228" s="16" t="s">
        <v>1339</v>
      </c>
      <c r="B228" s="4">
        <v>41818</v>
      </c>
      <c r="C228" s="4">
        <v>41824</v>
      </c>
      <c r="D228" s="5" t="s">
        <v>1189</v>
      </c>
      <c r="E228" s="5" t="s">
        <v>93</v>
      </c>
      <c r="F228" s="5" t="s">
        <v>94</v>
      </c>
      <c r="G228" s="5" t="s">
        <v>17</v>
      </c>
      <c r="H228" s="5" t="s">
        <v>26</v>
      </c>
      <c r="I228" s="6">
        <v>1954.44</v>
      </c>
      <c r="J228" s="5">
        <v>3</v>
      </c>
      <c r="K228" s="17">
        <v>0</v>
      </c>
      <c r="L228" s="6">
        <v>781.74</v>
      </c>
      <c r="M228" s="5" t="s">
        <v>74</v>
      </c>
      <c r="N228" s="7" t="s">
        <v>2679</v>
      </c>
      <c r="O228" s="8" t="str">
        <f t="shared" si="21"/>
        <v>Erica Bern</v>
      </c>
      <c r="P228" s="8" t="str">
        <f t="shared" si="22"/>
        <v>ES</v>
      </c>
      <c r="Q228" s="8" t="str">
        <f t="shared" si="23"/>
        <v>2014</v>
      </c>
      <c r="R228" s="8" t="str">
        <f t="shared" si="24"/>
        <v>LOW</v>
      </c>
      <c r="S228" s="8" t="str">
        <f t="shared" si="25"/>
        <v>technology</v>
      </c>
      <c r="T228" s="18" t="str">
        <f t="shared" si="26"/>
        <v>41818</v>
      </c>
      <c r="U228" s="27" t="s">
        <v>2883</v>
      </c>
      <c r="V228" s="16" t="s">
        <v>2710</v>
      </c>
      <c r="W228" s="30">
        <v>2014</v>
      </c>
      <c r="X228" t="s">
        <v>2883</v>
      </c>
      <c r="Y228" s="28">
        <v>41818</v>
      </c>
      <c r="Z228" s="28" t="str">
        <f t="shared" si="27"/>
        <v>ES-2014-EB13975139-41818</v>
      </c>
    </row>
    <row r="229" spans="1:26" ht="15.75">
      <c r="A229" s="19" t="s">
        <v>1340</v>
      </c>
      <c r="B229" s="15">
        <v>41418</v>
      </c>
      <c r="C229" s="9">
        <v>41420</v>
      </c>
      <c r="D229" s="10" t="s">
        <v>1238</v>
      </c>
      <c r="E229" s="10" t="s">
        <v>60</v>
      </c>
      <c r="F229" s="10" t="s">
        <v>1341</v>
      </c>
      <c r="G229" s="10" t="s">
        <v>17</v>
      </c>
      <c r="H229" s="10" t="s">
        <v>44</v>
      </c>
      <c r="I229" s="11">
        <v>856.92</v>
      </c>
      <c r="J229" s="10">
        <v>2</v>
      </c>
      <c r="K229" s="20">
        <v>0</v>
      </c>
      <c r="L229" s="11">
        <v>222.76</v>
      </c>
      <c r="M229" s="10" t="s">
        <v>27</v>
      </c>
      <c r="N229" s="12" t="s">
        <v>2679</v>
      </c>
      <c r="O229" s="13" t="str">
        <f t="shared" si="21"/>
        <v>Art Ferguson</v>
      </c>
      <c r="P229" s="13" t="str">
        <f t="shared" si="22"/>
        <v>MX</v>
      </c>
      <c r="Q229" s="13" t="str">
        <f t="shared" si="23"/>
        <v>2013</v>
      </c>
      <c r="R229" s="13" t="str">
        <f t="shared" si="24"/>
        <v>CRITICAL</v>
      </c>
      <c r="S229" s="13" t="str">
        <f t="shared" si="25"/>
        <v>technology</v>
      </c>
      <c r="T229" s="21" t="str">
        <f t="shared" si="26"/>
        <v>41418</v>
      </c>
      <c r="U229" s="27" t="s">
        <v>2884</v>
      </c>
      <c r="V229" s="19" t="s">
        <v>2695</v>
      </c>
      <c r="W229" s="30">
        <v>2013</v>
      </c>
      <c r="X229" t="s">
        <v>2884</v>
      </c>
      <c r="Y229" s="28">
        <v>41418</v>
      </c>
      <c r="Z229" s="28" t="str">
        <f t="shared" si="27"/>
        <v>MX-2013-AF1087018-41418</v>
      </c>
    </row>
    <row r="230" spans="1:26" ht="15.75">
      <c r="A230" s="16" t="s">
        <v>1346</v>
      </c>
      <c r="B230" s="4">
        <v>41619</v>
      </c>
      <c r="C230" s="4">
        <v>41623</v>
      </c>
      <c r="D230" s="5" t="s">
        <v>1347</v>
      </c>
      <c r="E230" s="5" t="s">
        <v>1348</v>
      </c>
      <c r="F230" s="5" t="s">
        <v>115</v>
      </c>
      <c r="G230" s="5" t="s">
        <v>17</v>
      </c>
      <c r="H230" s="5" t="s">
        <v>26</v>
      </c>
      <c r="I230" s="6">
        <v>1302.96</v>
      </c>
      <c r="J230" s="5">
        <v>2</v>
      </c>
      <c r="K230" s="17">
        <v>0</v>
      </c>
      <c r="L230" s="6">
        <v>182.39999999999901</v>
      </c>
      <c r="M230" s="5" t="s">
        <v>37</v>
      </c>
      <c r="N230" s="7" t="s">
        <v>2679</v>
      </c>
      <c r="O230" s="8" t="str">
        <f t="shared" si="21"/>
        <v>Craig Carroll</v>
      </c>
      <c r="P230" s="8" t="str">
        <f t="shared" si="22"/>
        <v>IN</v>
      </c>
      <c r="Q230" s="8" t="str">
        <f t="shared" si="23"/>
        <v>2013</v>
      </c>
      <c r="R230" s="8" t="str">
        <f t="shared" si="24"/>
        <v>HIGH</v>
      </c>
      <c r="S230" s="8" t="str">
        <f t="shared" si="25"/>
        <v>technology</v>
      </c>
      <c r="T230" s="18" t="str">
        <f t="shared" si="26"/>
        <v>41619</v>
      </c>
      <c r="U230" s="27" t="s">
        <v>2885</v>
      </c>
      <c r="V230" s="16" t="s">
        <v>2681</v>
      </c>
      <c r="W230" s="30">
        <v>2013</v>
      </c>
      <c r="X230" t="s">
        <v>2885</v>
      </c>
      <c r="Y230" s="28">
        <v>41619</v>
      </c>
      <c r="Z230" s="28" t="str">
        <f t="shared" si="27"/>
        <v>IN-2013-CC1268558-41619</v>
      </c>
    </row>
    <row r="231" spans="1:26" ht="15.75">
      <c r="A231" s="19" t="s">
        <v>1360</v>
      </c>
      <c r="B231" s="9">
        <v>42344</v>
      </c>
      <c r="C231" s="9">
        <v>42348</v>
      </c>
      <c r="D231" s="10" t="s">
        <v>1264</v>
      </c>
      <c r="E231" s="10" t="s">
        <v>334</v>
      </c>
      <c r="F231" s="10" t="s">
        <v>43</v>
      </c>
      <c r="G231" s="10" t="s">
        <v>1107</v>
      </c>
      <c r="H231" s="10" t="s">
        <v>73</v>
      </c>
      <c r="I231" s="11">
        <v>24.815999999999999</v>
      </c>
      <c r="J231" s="10">
        <v>3</v>
      </c>
      <c r="K231" s="20">
        <v>0.2</v>
      </c>
      <c r="L231" s="11">
        <v>8.3753999999999902</v>
      </c>
      <c r="M231" s="10" t="s">
        <v>19</v>
      </c>
      <c r="N231" s="12" t="s">
        <v>2679</v>
      </c>
      <c r="O231" s="13" t="str">
        <f t="shared" si="21"/>
        <v>Alan Barnes</v>
      </c>
      <c r="P231" s="13" t="str">
        <f t="shared" si="22"/>
        <v>CA</v>
      </c>
      <c r="Q231" s="13" t="str">
        <f t="shared" si="23"/>
        <v>2015</v>
      </c>
      <c r="R231" s="13" t="str">
        <f t="shared" si="24"/>
        <v>MEDIUM</v>
      </c>
      <c r="S231" s="13" t="str">
        <f t="shared" si="25"/>
        <v xml:space="preserve"> office supplies </v>
      </c>
      <c r="T231" s="21" t="str">
        <f t="shared" si="26"/>
        <v>42344</v>
      </c>
      <c r="U231" s="27" t="s">
        <v>2865</v>
      </c>
      <c r="V231" s="19" t="s">
        <v>2683</v>
      </c>
      <c r="W231" s="30">
        <v>2015</v>
      </c>
      <c r="X231" t="s">
        <v>2865</v>
      </c>
      <c r="Y231" s="28">
        <v>42344</v>
      </c>
      <c r="Z231" s="28" t="str">
        <f t="shared" si="27"/>
        <v>CA-2015-AB10165140-42344</v>
      </c>
    </row>
    <row r="232" spans="1:26" ht="15.75">
      <c r="A232" s="16" t="s">
        <v>1273</v>
      </c>
      <c r="B232" s="4">
        <v>41450</v>
      </c>
      <c r="C232" s="4">
        <v>41456</v>
      </c>
      <c r="D232" s="5" t="s">
        <v>1264</v>
      </c>
      <c r="E232" s="5" t="s">
        <v>40</v>
      </c>
      <c r="F232" s="5" t="s">
        <v>43</v>
      </c>
      <c r="G232" s="5" t="s">
        <v>45</v>
      </c>
      <c r="H232" s="5" t="s">
        <v>127</v>
      </c>
      <c r="I232" s="6">
        <v>20.96</v>
      </c>
      <c r="J232" s="5">
        <v>2</v>
      </c>
      <c r="K232" s="17">
        <v>0</v>
      </c>
      <c r="L232" s="6">
        <v>5.24</v>
      </c>
      <c r="M232" s="5" t="s">
        <v>19</v>
      </c>
      <c r="N232" s="7" t="s">
        <v>2679</v>
      </c>
      <c r="O232" s="8" t="str">
        <f t="shared" si="21"/>
        <v>Alan Barnes</v>
      </c>
      <c r="P232" s="8" t="str">
        <f t="shared" si="22"/>
        <v>CA</v>
      </c>
      <c r="Q232" s="8" t="str">
        <f t="shared" si="23"/>
        <v>2013</v>
      </c>
      <c r="R232" s="8" t="str">
        <f t="shared" si="24"/>
        <v>MEDIUM</v>
      </c>
      <c r="S232" s="8" t="str">
        <f t="shared" si="25"/>
        <v>office supplies</v>
      </c>
      <c r="T232" s="18" t="str">
        <f t="shared" si="26"/>
        <v>41450</v>
      </c>
      <c r="U232" s="27" t="s">
        <v>2865</v>
      </c>
      <c r="V232" s="16" t="s">
        <v>2683</v>
      </c>
      <c r="W232" s="30">
        <v>2013</v>
      </c>
      <c r="X232" t="s">
        <v>2865</v>
      </c>
      <c r="Y232" s="28">
        <v>41450</v>
      </c>
      <c r="Z232" s="28" t="str">
        <f t="shared" si="27"/>
        <v>CA-2013-AB10165140-41450</v>
      </c>
    </row>
    <row r="233" spans="1:26" ht="15.75">
      <c r="A233" s="19" t="s">
        <v>1361</v>
      </c>
      <c r="B233" s="9">
        <v>42329</v>
      </c>
      <c r="C233" s="9">
        <v>42330</v>
      </c>
      <c r="D233" s="10" t="s">
        <v>289</v>
      </c>
      <c r="E233" s="10" t="s">
        <v>97</v>
      </c>
      <c r="F233" s="10" t="s">
        <v>98</v>
      </c>
      <c r="G233" s="10" t="s">
        <v>32</v>
      </c>
      <c r="H233" s="10" t="s">
        <v>299</v>
      </c>
      <c r="I233" s="11">
        <v>775.53599999999994</v>
      </c>
      <c r="J233" s="10">
        <v>3</v>
      </c>
      <c r="K233" s="20">
        <v>0.2</v>
      </c>
      <c r="L233" s="11">
        <v>213.21599999999901</v>
      </c>
      <c r="M233" s="10" t="s">
        <v>37</v>
      </c>
      <c r="N233" s="12" t="s">
        <v>2679</v>
      </c>
      <c r="O233" s="13" t="str">
        <f t="shared" si="21"/>
        <v>Lena Creighton</v>
      </c>
      <c r="P233" s="13" t="str">
        <f t="shared" si="22"/>
        <v>MX</v>
      </c>
      <c r="Q233" s="13" t="str">
        <f t="shared" si="23"/>
        <v>2015</v>
      </c>
      <c r="R233" s="13" t="str">
        <f t="shared" si="24"/>
        <v>HIGH</v>
      </c>
      <c r="S233" s="13" t="str">
        <f t="shared" si="25"/>
        <v>furniture</v>
      </c>
      <c r="T233" s="21" t="str">
        <f t="shared" si="26"/>
        <v>42329</v>
      </c>
      <c r="U233" s="27" t="s">
        <v>2886</v>
      </c>
      <c r="V233" s="19" t="s">
        <v>2695</v>
      </c>
      <c r="W233" s="30">
        <v>2015</v>
      </c>
      <c r="X233" t="s">
        <v>2886</v>
      </c>
      <c r="Y233" s="28">
        <v>42329</v>
      </c>
      <c r="Z233" s="28" t="str">
        <f t="shared" si="27"/>
        <v>MX-2015-LC1688582-42329</v>
      </c>
    </row>
    <row r="234" spans="1:26" ht="15.75">
      <c r="A234" s="16" t="s">
        <v>1365</v>
      </c>
      <c r="B234" s="5" t="s">
        <v>1366</v>
      </c>
      <c r="C234" s="4">
        <v>41072</v>
      </c>
      <c r="D234" s="5" t="s">
        <v>1367</v>
      </c>
      <c r="E234" s="5" t="s">
        <v>141</v>
      </c>
      <c r="F234" s="5" t="s">
        <v>142</v>
      </c>
      <c r="G234" s="5" t="s">
        <v>17</v>
      </c>
      <c r="H234" s="5" t="s">
        <v>44</v>
      </c>
      <c r="I234" s="6">
        <v>2166.8975999999998</v>
      </c>
      <c r="J234" s="5">
        <v>4</v>
      </c>
      <c r="K234" s="17">
        <v>0.17</v>
      </c>
      <c r="L234" s="6">
        <v>391.49759999999901</v>
      </c>
      <c r="M234" s="5" t="s">
        <v>19</v>
      </c>
      <c r="N234" s="7" t="s">
        <v>2679</v>
      </c>
      <c r="O234" s="8" t="str">
        <f t="shared" si="21"/>
        <v>Sean Wendt</v>
      </c>
      <c r="P234" s="8" t="str">
        <f t="shared" si="22"/>
        <v>IN</v>
      </c>
      <c r="Q234" s="8" t="str">
        <f t="shared" si="23"/>
        <v>2012</v>
      </c>
      <c r="R234" s="8" t="str">
        <f t="shared" si="24"/>
        <v>MEDIUM</v>
      </c>
      <c r="S234" s="8" t="str">
        <f t="shared" si="25"/>
        <v>technology</v>
      </c>
      <c r="T234" s="18" t="str">
        <f t="shared" si="26"/>
        <v>41067</v>
      </c>
      <c r="U234" s="27" t="s">
        <v>2887</v>
      </c>
      <c r="V234" s="16" t="s">
        <v>2681</v>
      </c>
      <c r="W234" s="30">
        <v>2012</v>
      </c>
      <c r="X234" t="s">
        <v>2887</v>
      </c>
      <c r="Y234" s="28">
        <v>41067</v>
      </c>
      <c r="Z234" s="28" t="str">
        <f t="shared" si="27"/>
        <v>IN-2012-SW2035059-41067</v>
      </c>
    </row>
    <row r="235" spans="1:26" ht="15.75">
      <c r="A235" s="19" t="s">
        <v>1370</v>
      </c>
      <c r="B235" s="9">
        <v>41517</v>
      </c>
      <c r="C235" s="9">
        <v>41519</v>
      </c>
      <c r="D235" s="10" t="s">
        <v>199</v>
      </c>
      <c r="E235" s="10" t="s">
        <v>820</v>
      </c>
      <c r="F235" s="10" t="s">
        <v>90</v>
      </c>
      <c r="G235" s="10" t="s">
        <v>17</v>
      </c>
      <c r="H235" s="10" t="s">
        <v>33</v>
      </c>
      <c r="I235" s="11">
        <v>1285.56</v>
      </c>
      <c r="J235" s="10">
        <v>2</v>
      </c>
      <c r="K235" s="20">
        <v>0</v>
      </c>
      <c r="L235" s="11">
        <v>51.42</v>
      </c>
      <c r="M235" s="10" t="s">
        <v>27</v>
      </c>
      <c r="N235" s="12" t="s">
        <v>2679</v>
      </c>
      <c r="O235" s="13" t="str">
        <f t="shared" si="21"/>
        <v>Cari Sayre</v>
      </c>
      <c r="P235" s="13" t="str">
        <f t="shared" si="22"/>
        <v>IN</v>
      </c>
      <c r="Q235" s="13" t="str">
        <f t="shared" si="23"/>
        <v>2013</v>
      </c>
      <c r="R235" s="13" t="str">
        <f t="shared" si="24"/>
        <v>CRITICAL</v>
      </c>
      <c r="S235" s="13" t="str">
        <f t="shared" si="25"/>
        <v>technology</v>
      </c>
      <c r="T235" s="21" t="str">
        <f t="shared" si="26"/>
        <v>41517</v>
      </c>
      <c r="U235" s="27" t="s">
        <v>2888</v>
      </c>
      <c r="V235" s="19" t="s">
        <v>2681</v>
      </c>
      <c r="W235" s="30">
        <v>2013</v>
      </c>
      <c r="X235" t="s">
        <v>2888</v>
      </c>
      <c r="Y235" s="28">
        <v>41517</v>
      </c>
      <c r="Z235" s="28" t="str">
        <f t="shared" si="27"/>
        <v>IN-2013-CS1184527-41517</v>
      </c>
    </row>
    <row r="236" spans="1:26" ht="15.75">
      <c r="A236" s="16" t="s">
        <v>1374</v>
      </c>
      <c r="B236" s="4">
        <v>41993</v>
      </c>
      <c r="C236" s="4">
        <v>41995</v>
      </c>
      <c r="D236" s="5" t="s">
        <v>14</v>
      </c>
      <c r="E236" s="5" t="s">
        <v>60</v>
      </c>
      <c r="F236" s="5" t="s">
        <v>61</v>
      </c>
      <c r="G236" s="5" t="s">
        <v>32</v>
      </c>
      <c r="H236" s="5" t="s">
        <v>26</v>
      </c>
      <c r="I236" s="6">
        <v>740.18399999999997</v>
      </c>
      <c r="J236" s="5">
        <v>3</v>
      </c>
      <c r="K236" s="17">
        <v>0.6</v>
      </c>
      <c r="L236" s="6">
        <v>-407.135999999999</v>
      </c>
      <c r="M236" s="5" t="s">
        <v>27</v>
      </c>
      <c r="N236" s="7" t="s">
        <v>2679</v>
      </c>
      <c r="O236" s="8" t="str">
        <f t="shared" si="21"/>
        <v>Craig Reiter</v>
      </c>
      <c r="P236" s="8" t="str">
        <f t="shared" si="22"/>
        <v>US</v>
      </c>
      <c r="Q236" s="8" t="str">
        <f t="shared" si="23"/>
        <v>2014</v>
      </c>
      <c r="R236" s="8" t="str">
        <f t="shared" si="24"/>
        <v>CRITICAL</v>
      </c>
      <c r="S236" s="8" t="str">
        <f t="shared" si="25"/>
        <v>furniture</v>
      </c>
      <c r="T236" s="18" t="str">
        <f t="shared" si="26"/>
        <v>41993</v>
      </c>
      <c r="U236" s="27" t="s">
        <v>2889</v>
      </c>
      <c r="V236" s="16" t="s">
        <v>2685</v>
      </c>
      <c r="W236" s="30">
        <v>2014</v>
      </c>
      <c r="X236" t="s">
        <v>2889</v>
      </c>
      <c r="Y236" s="28">
        <v>41993</v>
      </c>
      <c r="Z236" s="28" t="str">
        <f t="shared" si="27"/>
        <v>US-2014-CR1273018-41993</v>
      </c>
    </row>
    <row r="237" spans="1:26" ht="15.75">
      <c r="A237" s="19" t="s">
        <v>1378</v>
      </c>
      <c r="B237" s="9">
        <v>41502</v>
      </c>
      <c r="C237" s="9">
        <v>41506</v>
      </c>
      <c r="D237" s="10" t="s">
        <v>1017</v>
      </c>
      <c r="E237" s="10" t="s">
        <v>1379</v>
      </c>
      <c r="F237" s="10" t="s">
        <v>16</v>
      </c>
      <c r="G237" s="10" t="s">
        <v>17</v>
      </c>
      <c r="H237" s="10" t="s">
        <v>127</v>
      </c>
      <c r="I237" s="11">
        <v>2897.91</v>
      </c>
      <c r="J237" s="10">
        <v>5</v>
      </c>
      <c r="K237" s="20">
        <v>0.1</v>
      </c>
      <c r="L237" s="11">
        <v>901.56</v>
      </c>
      <c r="M237" s="10" t="s">
        <v>19</v>
      </c>
      <c r="N237" s="12" t="s">
        <v>2679</v>
      </c>
      <c r="O237" s="13" t="str">
        <f t="shared" si="21"/>
        <v>Steven Ward</v>
      </c>
      <c r="P237" s="13" t="str">
        <f t="shared" si="22"/>
        <v>IN</v>
      </c>
      <c r="Q237" s="13" t="str">
        <f t="shared" si="23"/>
        <v>2013</v>
      </c>
      <c r="R237" s="13" t="str">
        <f t="shared" si="24"/>
        <v>MEDIUM</v>
      </c>
      <c r="S237" s="13" t="str">
        <f t="shared" si="25"/>
        <v>technology</v>
      </c>
      <c r="T237" s="21" t="str">
        <f t="shared" si="26"/>
        <v>41502</v>
      </c>
      <c r="U237" s="27" t="s">
        <v>2890</v>
      </c>
      <c r="V237" s="19" t="s">
        <v>2681</v>
      </c>
      <c r="W237" s="30">
        <v>2013</v>
      </c>
      <c r="X237" t="s">
        <v>2890</v>
      </c>
      <c r="Y237" s="28">
        <v>41502</v>
      </c>
      <c r="Z237" s="28" t="str">
        <f t="shared" si="27"/>
        <v>IN-2013-SW207557-41502</v>
      </c>
    </row>
    <row r="238" spans="1:26" ht="15.75">
      <c r="A238" s="16" t="s">
        <v>1297</v>
      </c>
      <c r="B238" s="4">
        <v>42109</v>
      </c>
      <c r="C238" s="14">
        <v>55261</v>
      </c>
      <c r="D238" s="5" t="s">
        <v>1264</v>
      </c>
      <c r="E238" s="5" t="s">
        <v>40</v>
      </c>
      <c r="F238" s="5" t="s">
        <v>111</v>
      </c>
      <c r="G238" s="5" t="s">
        <v>1389</v>
      </c>
      <c r="H238" s="5" t="s">
        <v>44</v>
      </c>
      <c r="I238" s="6">
        <v>13.872</v>
      </c>
      <c r="J238" s="5">
        <v>3</v>
      </c>
      <c r="K238" s="17">
        <v>1.5857943638652301</v>
      </c>
      <c r="L238" s="6">
        <v>5.0286</v>
      </c>
      <c r="M238" s="5" t="s">
        <v>19</v>
      </c>
      <c r="N238" s="7" t="s">
        <v>2679</v>
      </c>
      <c r="O238" s="8" t="str">
        <f t="shared" si="21"/>
        <v>Alan Barnes</v>
      </c>
      <c r="P238" s="8" t="str">
        <f t="shared" si="22"/>
        <v>CA</v>
      </c>
      <c r="Q238" s="8" t="str">
        <f t="shared" si="23"/>
        <v>2015</v>
      </c>
      <c r="R238" s="8" t="str">
        <f t="shared" si="24"/>
        <v>MEDIUM</v>
      </c>
      <c r="S238" s="8" t="str">
        <f t="shared" si="25"/>
        <v>offcie supplies</v>
      </c>
      <c r="T238" s="18" t="str">
        <f t="shared" si="26"/>
        <v>42109</v>
      </c>
      <c r="U238" s="27" t="s">
        <v>2865</v>
      </c>
      <c r="V238" s="16" t="s">
        <v>2683</v>
      </c>
      <c r="W238" s="30">
        <v>2015</v>
      </c>
      <c r="X238" t="s">
        <v>2865</v>
      </c>
      <c r="Y238" s="28">
        <v>42109</v>
      </c>
      <c r="Z238" s="28" t="str">
        <f t="shared" si="27"/>
        <v>CA-2015-AB10165140-42109</v>
      </c>
    </row>
    <row r="239" spans="1:26" ht="15.75">
      <c r="A239" s="19" t="s">
        <v>1397</v>
      </c>
      <c r="B239" s="9">
        <v>42218</v>
      </c>
      <c r="C239" s="9">
        <v>42224</v>
      </c>
      <c r="D239" s="10" t="s">
        <v>1398</v>
      </c>
      <c r="E239" s="10" t="s">
        <v>130</v>
      </c>
      <c r="F239" s="10" t="s">
        <v>131</v>
      </c>
      <c r="G239" s="10" t="s">
        <v>32</v>
      </c>
      <c r="H239" s="10" t="s">
        <v>44</v>
      </c>
      <c r="I239" s="11">
        <v>1752.6</v>
      </c>
      <c r="J239" s="10">
        <v>4</v>
      </c>
      <c r="K239" s="20">
        <v>0</v>
      </c>
      <c r="L239" s="11">
        <v>455.64</v>
      </c>
      <c r="M239" s="10" t="s">
        <v>74</v>
      </c>
      <c r="N239" s="12" t="s">
        <v>2679</v>
      </c>
      <c r="O239" s="13" t="str">
        <f t="shared" si="21"/>
        <v>Mark Haberlin</v>
      </c>
      <c r="P239" s="13" t="str">
        <f t="shared" si="22"/>
        <v>CG</v>
      </c>
      <c r="Q239" s="13" t="str">
        <f t="shared" si="23"/>
        <v>2015</v>
      </c>
      <c r="R239" s="13" t="str">
        <f t="shared" si="24"/>
        <v>LOW</v>
      </c>
      <c r="S239" s="13" t="str">
        <f t="shared" si="25"/>
        <v>furniture</v>
      </c>
      <c r="T239" s="21" t="str">
        <f t="shared" si="26"/>
        <v>42218</v>
      </c>
      <c r="U239" s="27" t="s">
        <v>2891</v>
      </c>
      <c r="V239" s="19" t="s">
        <v>2837</v>
      </c>
      <c r="W239" s="30">
        <v>2015</v>
      </c>
      <c r="X239" t="s">
        <v>2891</v>
      </c>
      <c r="Y239" s="28">
        <v>42218</v>
      </c>
      <c r="Z239" s="28" t="str">
        <f t="shared" si="27"/>
        <v>CG-2015-MH744033-42218</v>
      </c>
    </row>
    <row r="240" spans="1:26" ht="15.75">
      <c r="A240" s="16" t="s">
        <v>1399</v>
      </c>
      <c r="B240" s="4">
        <v>41971</v>
      </c>
      <c r="C240" s="4">
        <v>41973</v>
      </c>
      <c r="D240" s="5" t="s">
        <v>1400</v>
      </c>
      <c r="E240" s="5" t="s">
        <v>114</v>
      </c>
      <c r="F240" s="5" t="s">
        <v>115</v>
      </c>
      <c r="G240" s="5" t="s">
        <v>32</v>
      </c>
      <c r="H240" s="5" t="s">
        <v>151</v>
      </c>
      <c r="I240" s="6">
        <v>1850.45999999999</v>
      </c>
      <c r="J240" s="5">
        <v>2</v>
      </c>
      <c r="K240" s="17">
        <v>0</v>
      </c>
      <c r="L240" s="6">
        <v>259.02</v>
      </c>
      <c r="M240" s="5" t="s">
        <v>1401</v>
      </c>
      <c r="N240" s="7" t="s">
        <v>2679</v>
      </c>
      <c r="O240" s="8" t="str">
        <f t="shared" si="21"/>
        <v>Michael Chen</v>
      </c>
      <c r="P240" s="8" t="str">
        <f t="shared" si="22"/>
        <v>IN</v>
      </c>
      <c r="Q240" s="8" t="str">
        <f t="shared" si="23"/>
        <v>2014</v>
      </c>
      <c r="R240" s="8" t="str">
        <f t="shared" si="24"/>
        <v>IHGH</v>
      </c>
      <c r="S240" s="8" t="str">
        <f t="shared" si="25"/>
        <v>furniture</v>
      </c>
      <c r="T240" s="18" t="str">
        <f t="shared" si="26"/>
        <v>41971</v>
      </c>
      <c r="U240" s="27" t="s">
        <v>2892</v>
      </c>
      <c r="V240" s="16" t="s">
        <v>2681</v>
      </c>
      <c r="W240" s="30">
        <v>2014</v>
      </c>
      <c r="X240" t="s">
        <v>2892</v>
      </c>
      <c r="Y240" s="28">
        <v>41971</v>
      </c>
      <c r="Z240" s="28" t="str">
        <f t="shared" si="27"/>
        <v>IN-2014-MC1784558-41971</v>
      </c>
    </row>
    <row r="241" spans="1:26" ht="15.75">
      <c r="A241" s="19" t="s">
        <v>1402</v>
      </c>
      <c r="B241" s="9">
        <v>41139</v>
      </c>
      <c r="C241" s="9">
        <v>41143</v>
      </c>
      <c r="D241" s="10" t="s">
        <v>199</v>
      </c>
      <c r="E241" s="10" t="s">
        <v>66</v>
      </c>
      <c r="F241" s="10" t="s">
        <v>90</v>
      </c>
      <c r="G241" s="10" t="s">
        <v>32</v>
      </c>
      <c r="H241" s="10" t="s">
        <v>151</v>
      </c>
      <c r="I241" s="11">
        <v>2337.1499999999901</v>
      </c>
      <c r="J241" s="10">
        <v>5</v>
      </c>
      <c r="K241" s="20">
        <v>0</v>
      </c>
      <c r="L241" s="11">
        <v>1098.45</v>
      </c>
      <c r="M241" s="10" t="s">
        <v>19</v>
      </c>
      <c r="N241" s="12" t="s">
        <v>2679</v>
      </c>
      <c r="O241" s="13" t="str">
        <f t="shared" si="21"/>
        <v>Cari Sayre</v>
      </c>
      <c r="P241" s="13" t="str">
        <f t="shared" si="22"/>
        <v>IN</v>
      </c>
      <c r="Q241" s="13" t="str">
        <f t="shared" si="23"/>
        <v>2012</v>
      </c>
      <c r="R241" s="13" t="str">
        <f t="shared" si="24"/>
        <v>MEDIUM</v>
      </c>
      <c r="S241" s="13" t="str">
        <f t="shared" si="25"/>
        <v>furniture</v>
      </c>
      <c r="T241" s="21" t="str">
        <f t="shared" si="26"/>
        <v>41139</v>
      </c>
      <c r="U241" s="27" t="s">
        <v>2888</v>
      </c>
      <c r="V241" s="19" t="s">
        <v>2681</v>
      </c>
      <c r="W241" s="30">
        <v>2012</v>
      </c>
      <c r="X241" t="s">
        <v>2888</v>
      </c>
      <c r="Y241" s="28">
        <v>41139</v>
      </c>
      <c r="Z241" s="28" t="str">
        <f t="shared" si="27"/>
        <v>IN-2012-CS1184527-41139</v>
      </c>
    </row>
    <row r="242" spans="1:26" ht="15.75">
      <c r="A242" s="16" t="s">
        <v>1403</v>
      </c>
      <c r="B242" s="4">
        <v>42076</v>
      </c>
      <c r="C242" s="4">
        <v>42076</v>
      </c>
      <c r="D242" s="5" t="s">
        <v>1404</v>
      </c>
      <c r="E242" s="5" t="s">
        <v>93</v>
      </c>
      <c r="F242" s="5" t="s">
        <v>94</v>
      </c>
      <c r="G242" s="5" t="s">
        <v>32</v>
      </c>
      <c r="H242" s="5" t="s">
        <v>44</v>
      </c>
      <c r="I242" s="6">
        <v>788.4</v>
      </c>
      <c r="J242" s="5">
        <v>4</v>
      </c>
      <c r="K242" s="17">
        <v>0</v>
      </c>
      <c r="L242" s="6">
        <v>291.60000000000002</v>
      </c>
      <c r="M242" s="5" t="s">
        <v>19</v>
      </c>
      <c r="N242" s="7" t="s">
        <v>2679</v>
      </c>
      <c r="O242" s="8" t="str">
        <f t="shared" si="21"/>
        <v>Pauline Webber</v>
      </c>
      <c r="P242" s="8" t="str">
        <f t="shared" si="22"/>
        <v>ES</v>
      </c>
      <c r="Q242" s="8" t="str">
        <f t="shared" si="23"/>
        <v>2015</v>
      </c>
      <c r="R242" s="8" t="str">
        <f t="shared" si="24"/>
        <v>MEDIUM</v>
      </c>
      <c r="S242" s="8" t="str">
        <f t="shared" si="25"/>
        <v>furniture</v>
      </c>
      <c r="T242" s="18" t="str">
        <f t="shared" si="26"/>
        <v>42076</v>
      </c>
      <c r="U242" s="27" t="s">
        <v>2893</v>
      </c>
      <c r="V242" s="16" t="s">
        <v>2710</v>
      </c>
      <c r="W242" s="30">
        <v>2015</v>
      </c>
      <c r="X242" t="s">
        <v>2893</v>
      </c>
      <c r="Y242" s="28">
        <v>42076</v>
      </c>
      <c r="Z242" s="28" t="str">
        <f t="shared" si="27"/>
        <v>ES-2015-PW19030139-42076</v>
      </c>
    </row>
    <row r="243" spans="1:26" ht="15.75">
      <c r="A243" s="19" t="s">
        <v>1406</v>
      </c>
      <c r="B243" s="9">
        <v>42027</v>
      </c>
      <c r="C243" s="9">
        <v>42032</v>
      </c>
      <c r="D243" s="10" t="s">
        <v>373</v>
      </c>
      <c r="E243" s="10" t="s">
        <v>40</v>
      </c>
      <c r="F243" s="10" t="s">
        <v>1407</v>
      </c>
      <c r="G243" s="10" t="s">
        <v>17</v>
      </c>
      <c r="H243" s="10" t="s">
        <v>151</v>
      </c>
      <c r="I243" s="11">
        <v>2999.95</v>
      </c>
      <c r="J243" s="10">
        <v>5</v>
      </c>
      <c r="K243" s="20">
        <v>0</v>
      </c>
      <c r="L243" s="11">
        <v>1379.9769999999901</v>
      </c>
      <c r="M243" s="10" t="s">
        <v>19</v>
      </c>
      <c r="N243" s="12" t="s">
        <v>2679</v>
      </c>
      <c r="O243" s="13" t="str">
        <f t="shared" si="21"/>
        <v>Alan Dominguez</v>
      </c>
      <c r="P243" s="13" t="str">
        <f t="shared" si="22"/>
        <v>CA</v>
      </c>
      <c r="Q243" s="13" t="str">
        <f t="shared" si="23"/>
        <v>2015</v>
      </c>
      <c r="R243" s="13" t="str">
        <f t="shared" si="24"/>
        <v>MEDIUM</v>
      </c>
      <c r="S243" s="13" t="str">
        <f t="shared" si="25"/>
        <v>technology</v>
      </c>
      <c r="T243" s="21" t="str">
        <f t="shared" si="26"/>
        <v>42027</v>
      </c>
      <c r="U243" s="27" t="s">
        <v>2894</v>
      </c>
      <c r="V243" s="19" t="s">
        <v>2683</v>
      </c>
      <c r="W243" s="30">
        <v>2015</v>
      </c>
      <c r="X243" t="s">
        <v>2894</v>
      </c>
      <c r="Y243" s="28">
        <v>42027</v>
      </c>
      <c r="Z243" s="28" t="str">
        <f t="shared" si="27"/>
        <v>CA-2015-AD10180140-42027</v>
      </c>
    </row>
    <row r="244" spans="1:26" ht="15.75">
      <c r="A244" s="16" t="s">
        <v>1414</v>
      </c>
      <c r="B244" s="4">
        <v>41552</v>
      </c>
      <c r="C244" s="4">
        <v>41556</v>
      </c>
      <c r="D244" s="5" t="s">
        <v>1415</v>
      </c>
      <c r="E244" s="5" t="s">
        <v>114</v>
      </c>
      <c r="F244" s="5" t="s">
        <v>115</v>
      </c>
      <c r="G244" s="5" t="s">
        <v>17</v>
      </c>
      <c r="H244" s="5" t="s">
        <v>44</v>
      </c>
      <c r="I244" s="6">
        <v>2544.6</v>
      </c>
      <c r="J244" s="5">
        <v>4</v>
      </c>
      <c r="K244" s="17">
        <v>0</v>
      </c>
      <c r="L244" s="6">
        <v>865.08</v>
      </c>
      <c r="M244" s="5" t="s">
        <v>19</v>
      </c>
      <c r="N244" s="7" t="s">
        <v>2679</v>
      </c>
      <c r="O244" s="8" t="str">
        <f t="shared" si="21"/>
        <v>Thomas Brumley</v>
      </c>
      <c r="P244" s="8" t="str">
        <f t="shared" si="22"/>
        <v>IN</v>
      </c>
      <c r="Q244" s="8" t="str">
        <f t="shared" si="23"/>
        <v>2013</v>
      </c>
      <c r="R244" s="8" t="str">
        <f t="shared" si="24"/>
        <v>MEDIUM</v>
      </c>
      <c r="S244" s="8" t="str">
        <f t="shared" si="25"/>
        <v>technology</v>
      </c>
      <c r="T244" s="18" t="str">
        <f t="shared" si="26"/>
        <v>41552</v>
      </c>
      <c r="U244" s="27" t="s">
        <v>2895</v>
      </c>
      <c r="V244" s="16" t="s">
        <v>2681</v>
      </c>
      <c r="W244" s="30">
        <v>2013</v>
      </c>
      <c r="X244" t="s">
        <v>2895</v>
      </c>
      <c r="Y244" s="28">
        <v>41552</v>
      </c>
      <c r="Z244" s="28" t="str">
        <f t="shared" si="27"/>
        <v>IN-2013-TB2119058-41552</v>
      </c>
    </row>
    <row r="245" spans="1:26" ht="15.75">
      <c r="A245" s="19" t="s">
        <v>1416</v>
      </c>
      <c r="B245" s="9">
        <v>42306</v>
      </c>
      <c r="C245" s="9">
        <v>42308</v>
      </c>
      <c r="D245" s="10" t="s">
        <v>544</v>
      </c>
      <c r="E245" s="10" t="s">
        <v>141</v>
      </c>
      <c r="F245" s="10" t="s">
        <v>142</v>
      </c>
      <c r="G245" s="10" t="s">
        <v>17</v>
      </c>
      <c r="H245" s="10" t="s">
        <v>151</v>
      </c>
      <c r="I245" s="11">
        <v>886.14120000000003</v>
      </c>
      <c r="J245" s="10">
        <v>4</v>
      </c>
      <c r="K245" s="20">
        <v>0.17</v>
      </c>
      <c r="L245" s="11">
        <v>106.741199999999</v>
      </c>
      <c r="M245" s="10" t="s">
        <v>37</v>
      </c>
      <c r="N245" s="12" t="s">
        <v>2679</v>
      </c>
      <c r="O245" s="13" t="str">
        <f t="shared" si="21"/>
        <v>Karen Daniels</v>
      </c>
      <c r="P245" s="13" t="str">
        <f t="shared" si="22"/>
        <v>ID</v>
      </c>
      <c r="Q245" s="13" t="str">
        <f t="shared" si="23"/>
        <v>2015</v>
      </c>
      <c r="R245" s="13" t="str">
        <f t="shared" si="24"/>
        <v>HIGH</v>
      </c>
      <c r="S245" s="13" t="str">
        <f t="shared" si="25"/>
        <v>technology</v>
      </c>
      <c r="T245" s="21" t="str">
        <f t="shared" si="26"/>
        <v>42306</v>
      </c>
      <c r="U245" s="27" t="s">
        <v>2896</v>
      </c>
      <c r="V245" s="19" t="s">
        <v>2705</v>
      </c>
      <c r="W245" s="30">
        <v>2015</v>
      </c>
      <c r="X245" t="s">
        <v>2896</v>
      </c>
      <c r="Y245" s="28">
        <v>42306</v>
      </c>
      <c r="Z245" s="28" t="str">
        <f t="shared" si="27"/>
        <v>ID-2015-KD1627059-42306</v>
      </c>
    </row>
    <row r="246" spans="1:26" ht="15.75">
      <c r="A246" s="16" t="s">
        <v>1420</v>
      </c>
      <c r="B246" s="4">
        <v>41251</v>
      </c>
      <c r="C246" s="4">
        <v>41252</v>
      </c>
      <c r="D246" s="5" t="s">
        <v>110</v>
      </c>
      <c r="E246" s="5" t="s">
        <v>97</v>
      </c>
      <c r="F246" s="5" t="s">
        <v>98</v>
      </c>
      <c r="G246" s="5" t="s">
        <v>32</v>
      </c>
      <c r="H246" s="5" t="s">
        <v>127</v>
      </c>
      <c r="I246" s="6">
        <v>780.60799999999995</v>
      </c>
      <c r="J246" s="5">
        <v>4</v>
      </c>
      <c r="K246" s="17">
        <v>0.2</v>
      </c>
      <c r="L246" s="6">
        <v>-3.20000000000163E-2</v>
      </c>
      <c r="M246" s="5" t="s">
        <v>37</v>
      </c>
      <c r="N246" s="7" t="s">
        <v>2679</v>
      </c>
      <c r="O246" s="8" t="str">
        <f t="shared" si="21"/>
        <v>Aaron Hawkins</v>
      </c>
      <c r="P246" s="8" t="str">
        <f t="shared" si="22"/>
        <v>MX</v>
      </c>
      <c r="Q246" s="8" t="str">
        <f t="shared" si="23"/>
        <v>2012</v>
      </c>
      <c r="R246" s="8" t="str">
        <f t="shared" si="24"/>
        <v>HIGH</v>
      </c>
      <c r="S246" s="8" t="str">
        <f t="shared" si="25"/>
        <v>furniture</v>
      </c>
      <c r="T246" s="18" t="str">
        <f t="shared" si="26"/>
        <v>41251</v>
      </c>
      <c r="U246" s="27" t="s">
        <v>2897</v>
      </c>
      <c r="V246" s="16" t="s">
        <v>2695</v>
      </c>
      <c r="W246" s="30">
        <v>2012</v>
      </c>
      <c r="X246" t="s">
        <v>2897</v>
      </c>
      <c r="Y246" s="28">
        <v>41251</v>
      </c>
      <c r="Z246" s="28" t="str">
        <f t="shared" si="27"/>
        <v>MX-2012-AH1003082-41251</v>
      </c>
    </row>
    <row r="247" spans="1:26" ht="15.75">
      <c r="A247" s="19" t="s">
        <v>1421</v>
      </c>
      <c r="B247" s="9">
        <v>41990</v>
      </c>
      <c r="C247" s="9">
        <v>41990</v>
      </c>
      <c r="D247" s="10" t="s">
        <v>1422</v>
      </c>
      <c r="E247" s="10" t="s">
        <v>197</v>
      </c>
      <c r="F247" s="10" t="s">
        <v>77</v>
      </c>
      <c r="G247" s="10" t="s">
        <v>45</v>
      </c>
      <c r="H247" s="10" t="s">
        <v>151</v>
      </c>
      <c r="I247" s="11">
        <v>2711.7</v>
      </c>
      <c r="J247" s="10">
        <v>5</v>
      </c>
      <c r="K247" s="20">
        <v>0</v>
      </c>
      <c r="L247" s="11">
        <v>1220.25</v>
      </c>
      <c r="M247" s="10" t="s">
        <v>37</v>
      </c>
      <c r="N247" s="12" t="s">
        <v>2679</v>
      </c>
      <c r="O247" s="13" t="str">
        <f t="shared" si="21"/>
        <v>Victoria Pisteka</v>
      </c>
      <c r="P247" s="13" t="str">
        <f t="shared" si="22"/>
        <v>ES</v>
      </c>
      <c r="Q247" s="13" t="str">
        <f t="shared" si="23"/>
        <v>2014</v>
      </c>
      <c r="R247" s="13" t="str">
        <f t="shared" si="24"/>
        <v>HIGH</v>
      </c>
      <c r="S247" s="13" t="str">
        <f t="shared" si="25"/>
        <v>office supplies</v>
      </c>
      <c r="T247" s="21" t="str">
        <f t="shared" si="26"/>
        <v>41990</v>
      </c>
      <c r="U247" s="27" t="s">
        <v>2898</v>
      </c>
      <c r="V247" s="19" t="s">
        <v>2710</v>
      </c>
      <c r="W247" s="30">
        <v>2014</v>
      </c>
      <c r="X247" t="s">
        <v>2898</v>
      </c>
      <c r="Y247" s="28">
        <v>41990</v>
      </c>
      <c r="Z247" s="28" t="str">
        <f t="shared" si="27"/>
        <v>ES-2014-VP21760120-41990</v>
      </c>
    </row>
    <row r="248" spans="1:26" ht="15.75">
      <c r="A248" s="16" t="s">
        <v>1425</v>
      </c>
      <c r="B248" s="4">
        <v>41899</v>
      </c>
      <c r="C248" s="4">
        <v>41902</v>
      </c>
      <c r="D248" s="5" t="s">
        <v>1426</v>
      </c>
      <c r="E248" s="5" t="s">
        <v>114</v>
      </c>
      <c r="F248" s="5" t="s">
        <v>115</v>
      </c>
      <c r="G248" s="5" t="s">
        <v>17</v>
      </c>
      <c r="H248" s="5" t="s">
        <v>73</v>
      </c>
      <c r="I248" s="6">
        <v>1908.45</v>
      </c>
      <c r="J248" s="5">
        <v>3</v>
      </c>
      <c r="K248" s="17">
        <v>0</v>
      </c>
      <c r="L248" s="6">
        <v>534.32999999999902</v>
      </c>
      <c r="M248" s="5" t="s">
        <v>37</v>
      </c>
      <c r="N248" s="7" t="s">
        <v>2679</v>
      </c>
      <c r="O248" s="8" t="str">
        <f t="shared" si="21"/>
        <v>Lena Radford</v>
      </c>
      <c r="P248" s="8" t="str">
        <f t="shared" si="22"/>
        <v>IN</v>
      </c>
      <c r="Q248" s="8" t="str">
        <f t="shared" si="23"/>
        <v>2014</v>
      </c>
      <c r="R248" s="8" t="str">
        <f t="shared" si="24"/>
        <v>HIGH</v>
      </c>
      <c r="S248" s="8" t="str">
        <f t="shared" si="25"/>
        <v>technology</v>
      </c>
      <c r="T248" s="18" t="str">
        <f t="shared" si="26"/>
        <v>41899</v>
      </c>
      <c r="U248" s="27" t="s">
        <v>2899</v>
      </c>
      <c r="V248" s="16" t="s">
        <v>2681</v>
      </c>
      <c r="W248" s="30">
        <v>2014</v>
      </c>
      <c r="X248" t="s">
        <v>2899</v>
      </c>
      <c r="Y248" s="28">
        <v>41899</v>
      </c>
      <c r="Z248" s="28" t="str">
        <f t="shared" si="27"/>
        <v>IN-2014-LR1691558-41899</v>
      </c>
    </row>
    <row r="249" spans="1:26" ht="15.75">
      <c r="A249" s="19" t="s">
        <v>1433</v>
      </c>
      <c r="B249" s="9">
        <v>41923</v>
      </c>
      <c r="C249" s="9">
        <v>41926</v>
      </c>
      <c r="D249" s="10" t="s">
        <v>1304</v>
      </c>
      <c r="E249" s="10" t="s">
        <v>66</v>
      </c>
      <c r="F249" s="10" t="s">
        <v>90</v>
      </c>
      <c r="G249" s="10" t="s">
        <v>17</v>
      </c>
      <c r="H249" s="10" t="s">
        <v>299</v>
      </c>
      <c r="I249" s="11">
        <v>924.66</v>
      </c>
      <c r="J249" s="10">
        <v>3</v>
      </c>
      <c r="K249" s="20">
        <v>0</v>
      </c>
      <c r="L249" s="11">
        <v>397.53</v>
      </c>
      <c r="M249" s="10" t="s">
        <v>27</v>
      </c>
      <c r="N249" s="12" t="s">
        <v>2679</v>
      </c>
      <c r="O249" s="13" t="str">
        <f t="shared" si="21"/>
        <v>Harold Dahlen</v>
      </c>
      <c r="P249" s="13" t="str">
        <f t="shared" si="22"/>
        <v>IN</v>
      </c>
      <c r="Q249" s="13" t="str">
        <f t="shared" si="23"/>
        <v>2014</v>
      </c>
      <c r="R249" s="13" t="str">
        <f t="shared" si="24"/>
        <v>CRITICAL</v>
      </c>
      <c r="S249" s="13" t="str">
        <f t="shared" si="25"/>
        <v>technology</v>
      </c>
      <c r="T249" s="21" t="str">
        <f t="shared" si="26"/>
        <v>41923</v>
      </c>
      <c r="U249" s="27" t="s">
        <v>2900</v>
      </c>
      <c r="V249" s="19" t="s">
        <v>2681</v>
      </c>
      <c r="W249" s="30">
        <v>2014</v>
      </c>
      <c r="X249" t="s">
        <v>2900</v>
      </c>
      <c r="Y249" s="28">
        <v>41923</v>
      </c>
      <c r="Z249" s="28" t="str">
        <f t="shared" si="27"/>
        <v>IN-2014-HD1478527-41923</v>
      </c>
    </row>
    <row r="250" spans="1:26" ht="15.75">
      <c r="A250" s="16" t="s">
        <v>1434</v>
      </c>
      <c r="B250" s="4">
        <v>41389</v>
      </c>
      <c r="C250" s="4">
        <v>41391</v>
      </c>
      <c r="D250" s="5" t="s">
        <v>1435</v>
      </c>
      <c r="E250" s="5" t="s">
        <v>66</v>
      </c>
      <c r="F250" s="5" t="s">
        <v>90</v>
      </c>
      <c r="G250" s="5" t="s">
        <v>32</v>
      </c>
      <c r="H250" s="5" t="s">
        <v>44</v>
      </c>
      <c r="I250" s="6">
        <v>1760.43</v>
      </c>
      <c r="J250" s="5">
        <v>5</v>
      </c>
      <c r="K250" s="17">
        <v>2.7619086270447899</v>
      </c>
      <c r="L250" s="6">
        <v>-326.97000000000003</v>
      </c>
      <c r="M250" s="5" t="s">
        <v>37</v>
      </c>
      <c r="N250" s="7" t="s">
        <v>2679</v>
      </c>
      <c r="O250" s="8" t="str">
        <f t="shared" si="21"/>
        <v>Theone Pippenger</v>
      </c>
      <c r="P250" s="8" t="str">
        <f t="shared" si="22"/>
        <v>ID</v>
      </c>
      <c r="Q250" s="8" t="str">
        <f t="shared" si="23"/>
        <v>2013</v>
      </c>
      <c r="R250" s="8" t="str">
        <f t="shared" si="24"/>
        <v>HIGH</v>
      </c>
      <c r="S250" s="8" t="str">
        <f t="shared" si="25"/>
        <v>furniture</v>
      </c>
      <c r="T250" s="18" t="str">
        <f t="shared" si="26"/>
        <v>41389</v>
      </c>
      <c r="U250" s="27" t="s">
        <v>2901</v>
      </c>
      <c r="V250" s="16" t="s">
        <v>2705</v>
      </c>
      <c r="W250" s="30">
        <v>2013</v>
      </c>
      <c r="X250" t="s">
        <v>2901</v>
      </c>
      <c r="Y250" s="28">
        <v>41389</v>
      </c>
      <c r="Z250" s="28" t="str">
        <f t="shared" si="27"/>
        <v>ID-2013-TP2113027-41389</v>
      </c>
    </row>
    <row r="251" spans="1:26" ht="15.75">
      <c r="A251" s="19" t="s">
        <v>1437</v>
      </c>
      <c r="B251" s="9">
        <v>41606</v>
      </c>
      <c r="C251" s="9">
        <v>41611</v>
      </c>
      <c r="D251" s="10" t="s">
        <v>1438</v>
      </c>
      <c r="E251" s="10" t="s">
        <v>119</v>
      </c>
      <c r="F251" s="10" t="s">
        <v>120</v>
      </c>
      <c r="G251" s="10" t="s">
        <v>45</v>
      </c>
      <c r="H251" s="10" t="s">
        <v>44</v>
      </c>
      <c r="I251" s="11">
        <v>1510.96</v>
      </c>
      <c r="J251" s="10">
        <v>5</v>
      </c>
      <c r="K251" s="20">
        <v>0.2</v>
      </c>
      <c r="L251" s="11">
        <v>509.86</v>
      </c>
      <c r="M251" s="10" t="s">
        <v>37</v>
      </c>
      <c r="N251" s="12" t="s">
        <v>2679</v>
      </c>
      <c r="O251" s="13" t="str">
        <f t="shared" si="21"/>
        <v>Janet Lee</v>
      </c>
      <c r="P251" s="13" t="str">
        <f t="shared" si="22"/>
        <v>MX</v>
      </c>
      <c r="Q251" s="13" t="str">
        <f t="shared" si="23"/>
        <v>2013</v>
      </c>
      <c r="R251" s="13" t="str">
        <f t="shared" si="24"/>
        <v>HIGH</v>
      </c>
      <c r="S251" s="13" t="str">
        <f t="shared" si="25"/>
        <v>office supplies</v>
      </c>
      <c r="T251" s="21" t="str">
        <f t="shared" si="26"/>
        <v>41606</v>
      </c>
      <c r="U251" s="27" t="s">
        <v>2902</v>
      </c>
      <c r="V251" s="19" t="s">
        <v>2695</v>
      </c>
      <c r="W251" s="30">
        <v>2013</v>
      </c>
      <c r="X251" t="s">
        <v>2902</v>
      </c>
      <c r="Y251" s="28">
        <v>41606</v>
      </c>
      <c r="Z251" s="28" t="str">
        <f t="shared" si="27"/>
        <v>MX-2013-JL1523536-41606</v>
      </c>
    </row>
    <row r="252" spans="1:26" ht="15.75">
      <c r="A252" s="16" t="s">
        <v>1440</v>
      </c>
      <c r="B252" s="4">
        <v>42181</v>
      </c>
      <c r="C252" s="4">
        <v>42183</v>
      </c>
      <c r="D252" s="5" t="s">
        <v>1441</v>
      </c>
      <c r="E252" s="5" t="s">
        <v>60</v>
      </c>
      <c r="F252" s="5" t="s">
        <v>61</v>
      </c>
      <c r="G252" s="5" t="s">
        <v>32</v>
      </c>
      <c r="H252" s="5" t="s">
        <v>73</v>
      </c>
      <c r="I252" s="6">
        <v>1938.23999999999</v>
      </c>
      <c r="J252" s="5">
        <v>4</v>
      </c>
      <c r="K252" s="17">
        <v>0.2</v>
      </c>
      <c r="L252" s="6">
        <v>-96.959999999999894</v>
      </c>
      <c r="M252" s="5" t="s">
        <v>19</v>
      </c>
      <c r="N252" s="7" t="s">
        <v>2679</v>
      </c>
      <c r="O252" s="8" t="str">
        <f t="shared" si="21"/>
        <v>Ralph Kennedy</v>
      </c>
      <c r="P252" s="8" t="str">
        <f t="shared" si="22"/>
        <v>MX</v>
      </c>
      <c r="Q252" s="8" t="str">
        <f t="shared" si="23"/>
        <v>2015</v>
      </c>
      <c r="R252" s="8" t="str">
        <f t="shared" si="24"/>
        <v>MEDIUM</v>
      </c>
      <c r="S252" s="8" t="str">
        <f t="shared" si="25"/>
        <v>furniture</v>
      </c>
      <c r="T252" s="18" t="str">
        <f t="shared" si="26"/>
        <v>42181</v>
      </c>
      <c r="U252" s="27" t="s">
        <v>2903</v>
      </c>
      <c r="V252" s="16" t="s">
        <v>2695</v>
      </c>
      <c r="W252" s="30">
        <v>2015</v>
      </c>
      <c r="X252" t="s">
        <v>2903</v>
      </c>
      <c r="Y252" s="28">
        <v>42181</v>
      </c>
      <c r="Z252" s="28" t="str">
        <f t="shared" si="27"/>
        <v>MX-2015-RK1930018-42181</v>
      </c>
    </row>
    <row r="253" spans="1:26" ht="15.75">
      <c r="A253" s="19" t="s">
        <v>1442</v>
      </c>
      <c r="B253" s="9">
        <v>41534</v>
      </c>
      <c r="C253" s="9">
        <v>41536</v>
      </c>
      <c r="D253" s="10" t="s">
        <v>1443</v>
      </c>
      <c r="E253" s="10" t="s">
        <v>76</v>
      </c>
      <c r="F253" s="10" t="s">
        <v>77</v>
      </c>
      <c r="G253" s="10" t="s">
        <v>17</v>
      </c>
      <c r="H253" s="10" t="s">
        <v>33</v>
      </c>
      <c r="I253" s="11">
        <v>803.52</v>
      </c>
      <c r="J253" s="10">
        <v>5</v>
      </c>
      <c r="K253" s="20">
        <v>0.4</v>
      </c>
      <c r="L253" s="11">
        <v>-495.63</v>
      </c>
      <c r="M253" s="10" t="s">
        <v>37</v>
      </c>
      <c r="N253" s="12" t="s">
        <v>2679</v>
      </c>
      <c r="O253" s="13" t="str">
        <f t="shared" si="21"/>
        <v>Craig Carreira</v>
      </c>
      <c r="P253" s="13" t="str">
        <f t="shared" si="22"/>
        <v>ES</v>
      </c>
      <c r="Q253" s="13" t="str">
        <f t="shared" si="23"/>
        <v>2013</v>
      </c>
      <c r="R253" s="13" t="str">
        <f t="shared" si="24"/>
        <v>HIGH</v>
      </c>
      <c r="S253" s="13" t="str">
        <f t="shared" si="25"/>
        <v>technology</v>
      </c>
      <c r="T253" s="21" t="str">
        <f t="shared" si="26"/>
        <v>41534</v>
      </c>
      <c r="U253" s="27" t="s">
        <v>2904</v>
      </c>
      <c r="V253" s="19" t="s">
        <v>2710</v>
      </c>
      <c r="W253" s="30">
        <v>2013</v>
      </c>
      <c r="X253" t="s">
        <v>2904</v>
      </c>
      <c r="Y253" s="28">
        <v>41534</v>
      </c>
      <c r="Z253" s="28" t="str">
        <f t="shared" si="27"/>
        <v>ES-2013-CC1267064-41534</v>
      </c>
    </row>
    <row r="254" spans="1:26" ht="15.75">
      <c r="A254" s="16" t="s">
        <v>1445</v>
      </c>
      <c r="B254" s="4">
        <v>42322</v>
      </c>
      <c r="C254" s="4">
        <v>42327</v>
      </c>
      <c r="D254" s="5" t="s">
        <v>373</v>
      </c>
      <c r="E254" s="5" t="s">
        <v>40</v>
      </c>
      <c r="F254" s="5" t="s">
        <v>111</v>
      </c>
      <c r="G254" s="5" t="s">
        <v>17</v>
      </c>
      <c r="H254" s="5" t="s">
        <v>127</v>
      </c>
      <c r="I254" s="6">
        <v>163.96</v>
      </c>
      <c r="J254" s="5">
        <v>4</v>
      </c>
      <c r="K254" s="17">
        <v>0</v>
      </c>
      <c r="L254" s="6">
        <v>70.502799999999993</v>
      </c>
      <c r="M254" s="5" t="s">
        <v>19</v>
      </c>
      <c r="N254" s="7" t="s">
        <v>2679</v>
      </c>
      <c r="O254" s="8" t="str">
        <f t="shared" si="21"/>
        <v>Alan Dominguez</v>
      </c>
      <c r="P254" s="8" t="str">
        <f t="shared" si="22"/>
        <v xml:space="preserve"> C</v>
      </c>
      <c r="Q254" s="8" t="str">
        <f t="shared" si="23"/>
        <v>-201</v>
      </c>
      <c r="R254" s="8" t="str">
        <f t="shared" si="24"/>
        <v>MEDIUM</v>
      </c>
      <c r="S254" s="8" t="str">
        <f t="shared" si="25"/>
        <v>technology</v>
      </c>
      <c r="T254" s="18" t="str">
        <f t="shared" si="26"/>
        <v xml:space="preserve">2322 </v>
      </c>
      <c r="U254" s="27" t="s">
        <v>2894</v>
      </c>
      <c r="V254" s="16" t="s">
        <v>2905</v>
      </c>
      <c r="W254" s="30">
        <v>2015</v>
      </c>
      <c r="X254" t="s">
        <v>2894</v>
      </c>
      <c r="Y254" s="28">
        <v>42322</v>
      </c>
      <c r="Z254" s="28" t="str">
        <f t="shared" si="27"/>
        <v>CA-2015-AD10180140-42322</v>
      </c>
    </row>
    <row r="255" spans="1:26" ht="15.75">
      <c r="A255" s="19" t="s">
        <v>1406</v>
      </c>
      <c r="B255" s="9">
        <v>42027</v>
      </c>
      <c r="C255" s="9">
        <v>42032</v>
      </c>
      <c r="D255" s="10" t="s">
        <v>373</v>
      </c>
      <c r="E255" s="10" t="s">
        <v>40</v>
      </c>
      <c r="F255" s="10" t="s">
        <v>43</v>
      </c>
      <c r="G255" s="10" t="s">
        <v>45</v>
      </c>
      <c r="H255" s="10" t="s">
        <v>151</v>
      </c>
      <c r="I255" s="11">
        <v>51.449999999999903</v>
      </c>
      <c r="J255" s="10">
        <v>3</v>
      </c>
      <c r="K255" s="20">
        <v>0</v>
      </c>
      <c r="L255" s="11">
        <v>13.891499999999899</v>
      </c>
      <c r="M255" s="10" t="s">
        <v>19</v>
      </c>
      <c r="N255" s="12" t="s">
        <v>2679</v>
      </c>
      <c r="O255" s="13" t="str">
        <f t="shared" si="21"/>
        <v>Alan Dominguez</v>
      </c>
      <c r="P255" s="13" t="str">
        <f t="shared" si="22"/>
        <v>CA</v>
      </c>
      <c r="Q255" s="13" t="str">
        <f t="shared" si="23"/>
        <v>2015</v>
      </c>
      <c r="R255" s="13" t="str">
        <f t="shared" si="24"/>
        <v>MEDIUM</v>
      </c>
      <c r="S255" s="13" t="str">
        <f t="shared" si="25"/>
        <v>office supplies</v>
      </c>
      <c r="T255" s="21" t="str">
        <f t="shared" si="26"/>
        <v>42027</v>
      </c>
      <c r="U255" s="27" t="s">
        <v>2894</v>
      </c>
      <c r="V255" s="19" t="s">
        <v>2683</v>
      </c>
      <c r="W255" s="30">
        <v>2015</v>
      </c>
      <c r="X255" t="s">
        <v>2894</v>
      </c>
      <c r="Y255" s="28">
        <v>42027</v>
      </c>
      <c r="Z255" s="28" t="str">
        <f t="shared" si="27"/>
        <v>CA-2015-AD10180140-42027</v>
      </c>
    </row>
    <row r="256" spans="1:26" ht="15.75">
      <c r="A256" s="16" t="s">
        <v>1451</v>
      </c>
      <c r="B256" s="4">
        <v>42340</v>
      </c>
      <c r="C256" s="4">
        <v>42345</v>
      </c>
      <c r="D256" s="5" t="s">
        <v>373</v>
      </c>
      <c r="E256" s="5" t="s">
        <v>40</v>
      </c>
      <c r="F256" s="5" t="s">
        <v>111</v>
      </c>
      <c r="G256" s="5" t="s">
        <v>45</v>
      </c>
      <c r="H256" s="5" t="s">
        <v>18</v>
      </c>
      <c r="I256" s="6">
        <v>19.440000000000001</v>
      </c>
      <c r="J256" s="5">
        <v>3</v>
      </c>
      <c r="K256" s="17">
        <v>0</v>
      </c>
      <c r="L256" s="6">
        <v>9.3312000000000008</v>
      </c>
      <c r="M256" s="5" t="s">
        <v>19</v>
      </c>
      <c r="N256" s="7" t="s">
        <v>2679</v>
      </c>
      <c r="O256" s="8" t="str">
        <f t="shared" si="21"/>
        <v>Alan Dominguez</v>
      </c>
      <c r="P256" s="8" t="str">
        <f t="shared" si="22"/>
        <v>CA</v>
      </c>
      <c r="Q256" s="8" t="str">
        <f t="shared" si="23"/>
        <v>2015</v>
      </c>
      <c r="R256" s="8" t="str">
        <f t="shared" si="24"/>
        <v>MEDIUM</v>
      </c>
      <c r="S256" s="8" t="str">
        <f t="shared" si="25"/>
        <v>office supplies</v>
      </c>
      <c r="T256" s="18" t="str">
        <f t="shared" si="26"/>
        <v>42340</v>
      </c>
      <c r="U256" s="27" t="s">
        <v>2894</v>
      </c>
      <c r="V256" s="16" t="s">
        <v>2683</v>
      </c>
      <c r="W256" s="30">
        <v>2015</v>
      </c>
      <c r="X256" t="s">
        <v>2894</v>
      </c>
      <c r="Y256" s="28">
        <v>42340</v>
      </c>
      <c r="Z256" s="28" t="str">
        <f t="shared" si="27"/>
        <v>CA-2015-AD10180140-42340</v>
      </c>
    </row>
    <row r="257" spans="1:26" ht="15.75">
      <c r="A257" s="19" t="s">
        <v>1460</v>
      </c>
      <c r="B257" s="9">
        <v>42335</v>
      </c>
      <c r="C257" s="9">
        <v>42339</v>
      </c>
      <c r="D257" s="10" t="s">
        <v>814</v>
      </c>
      <c r="E257" s="10" t="s">
        <v>60</v>
      </c>
      <c r="F257" s="10" t="s">
        <v>61</v>
      </c>
      <c r="G257" s="10" t="s">
        <v>17</v>
      </c>
      <c r="H257" s="10" t="s">
        <v>26</v>
      </c>
      <c r="I257" s="11">
        <v>2124.5</v>
      </c>
      <c r="J257" s="10">
        <v>5</v>
      </c>
      <c r="K257" s="20">
        <v>0</v>
      </c>
      <c r="L257" s="11">
        <v>488.6</v>
      </c>
      <c r="M257" s="10" t="s">
        <v>37</v>
      </c>
      <c r="N257" s="12" t="s">
        <v>2679</v>
      </c>
      <c r="O257" s="13" t="str">
        <f t="shared" si="21"/>
        <v>Penelope Sewall</v>
      </c>
      <c r="P257" s="13" t="str">
        <f t="shared" si="22"/>
        <v>MX</v>
      </c>
      <c r="Q257" s="13" t="str">
        <f t="shared" si="23"/>
        <v>2015</v>
      </c>
      <c r="R257" s="13" t="str">
        <f t="shared" si="24"/>
        <v>HIGH</v>
      </c>
      <c r="S257" s="13" t="str">
        <f t="shared" si="25"/>
        <v>technology</v>
      </c>
      <c r="T257" s="21" t="str">
        <f t="shared" si="26"/>
        <v>42335</v>
      </c>
      <c r="U257" s="27" t="s">
        <v>2906</v>
      </c>
      <c r="V257" s="19" t="s">
        <v>2695</v>
      </c>
      <c r="W257" s="30">
        <v>2015</v>
      </c>
      <c r="X257" t="s">
        <v>2906</v>
      </c>
      <c r="Y257" s="28">
        <v>42335</v>
      </c>
      <c r="Z257" s="28" t="str">
        <f t="shared" si="27"/>
        <v>MX-2015-PS1904518-42335</v>
      </c>
    </row>
    <row r="258" spans="1:26" ht="15.75">
      <c r="A258" s="16" t="s">
        <v>1462</v>
      </c>
      <c r="B258" s="4">
        <v>41231</v>
      </c>
      <c r="C258" s="4">
        <v>41234</v>
      </c>
      <c r="D258" s="5" t="s">
        <v>373</v>
      </c>
      <c r="E258" s="5" t="s">
        <v>40</v>
      </c>
      <c r="F258" s="5" t="s">
        <v>111</v>
      </c>
      <c r="G258" s="5" t="s">
        <v>45</v>
      </c>
      <c r="H258" s="5" t="s">
        <v>26</v>
      </c>
      <c r="I258" s="6">
        <v>5.88</v>
      </c>
      <c r="J258" s="5">
        <v>1</v>
      </c>
      <c r="K258" s="17">
        <v>0.2</v>
      </c>
      <c r="L258" s="6">
        <v>1.9844999999999899</v>
      </c>
      <c r="M258" s="5" t="s">
        <v>19</v>
      </c>
      <c r="N258" s="7" t="s">
        <v>2679</v>
      </c>
      <c r="O258" s="8" t="str">
        <f t="shared" ref="O258:O321" si="28">PROPER(D258)</f>
        <v>Alan Dominguez</v>
      </c>
      <c r="P258" s="8" t="str">
        <f t="shared" ref="P258:P321" si="29">LEFT(A258,2)</f>
        <v xml:space="preserve"> C</v>
      </c>
      <c r="Q258" s="8" t="str">
        <f t="shared" ref="Q258:Q321" si="30">MID(A258,4,4)</f>
        <v>-201</v>
      </c>
      <c r="R258" s="8" t="str">
        <f t="shared" ref="R258:R321" si="31">UPPER(M258)</f>
        <v>MEDIUM</v>
      </c>
      <c r="S258" s="8" t="str">
        <f t="shared" ref="S258:S321" si="32">LOWER(G258)</f>
        <v>office supplies</v>
      </c>
      <c r="T258" s="18" t="str">
        <f t="shared" ref="T258:T321" si="33">RIGHT(A258,5)</f>
        <v xml:space="preserve">1231 </v>
      </c>
      <c r="U258" s="27" t="s">
        <v>2894</v>
      </c>
      <c r="V258" s="16" t="s">
        <v>2905</v>
      </c>
      <c r="W258" s="30">
        <v>2012</v>
      </c>
      <c r="X258" t="s">
        <v>2894</v>
      </c>
      <c r="Y258" s="28">
        <v>41231</v>
      </c>
      <c r="Z258" s="28" t="str">
        <f t="shared" ref="Z258:Z321" si="34">TRIM(A258)</f>
        <v>CA-2012-AD10180140-41231</v>
      </c>
    </row>
    <row r="259" spans="1:26" ht="15.75">
      <c r="A259" s="19" t="s">
        <v>1463</v>
      </c>
      <c r="B259" s="9">
        <v>41625</v>
      </c>
      <c r="C259" s="9">
        <v>41629</v>
      </c>
      <c r="D259" s="10" t="s">
        <v>1464</v>
      </c>
      <c r="E259" s="10" t="s">
        <v>93</v>
      </c>
      <c r="F259" s="10" t="s">
        <v>94</v>
      </c>
      <c r="G259" s="10" t="s">
        <v>17</v>
      </c>
      <c r="H259" s="10" t="s">
        <v>299</v>
      </c>
      <c r="I259" s="11">
        <v>1248.8399999999999</v>
      </c>
      <c r="J259" s="10">
        <v>4</v>
      </c>
      <c r="K259" s="20">
        <v>0</v>
      </c>
      <c r="L259" s="11">
        <v>249.719999999999</v>
      </c>
      <c r="M259" s="10" t="s">
        <v>37</v>
      </c>
      <c r="N259" s="12" t="s">
        <v>2679</v>
      </c>
      <c r="O259" s="13" t="str">
        <f t="shared" si="28"/>
        <v>Bill Tyler</v>
      </c>
      <c r="P259" s="13" t="str">
        <f t="shared" si="29"/>
        <v>ES</v>
      </c>
      <c r="Q259" s="13" t="str">
        <f t="shared" si="30"/>
        <v>2013</v>
      </c>
      <c r="R259" s="13" t="str">
        <f t="shared" si="31"/>
        <v>HIGH</v>
      </c>
      <c r="S259" s="13" t="str">
        <f t="shared" si="32"/>
        <v>technology</v>
      </c>
      <c r="T259" s="21" t="str">
        <f t="shared" si="33"/>
        <v>41625</v>
      </c>
      <c r="U259" s="27" t="s">
        <v>2907</v>
      </c>
      <c r="V259" s="19" t="s">
        <v>2710</v>
      </c>
      <c r="W259" s="30">
        <v>2013</v>
      </c>
      <c r="X259" t="s">
        <v>2907</v>
      </c>
      <c r="Y259" s="28">
        <v>41625</v>
      </c>
      <c r="Z259" s="28" t="str">
        <f t="shared" si="34"/>
        <v>ES-2013-BT11391539-41625</v>
      </c>
    </row>
    <row r="260" spans="1:26" ht="15.75">
      <c r="A260" s="16" t="s">
        <v>1468</v>
      </c>
      <c r="B260" s="4">
        <v>42140</v>
      </c>
      <c r="C260" s="4">
        <v>42140</v>
      </c>
      <c r="D260" s="5" t="s">
        <v>792</v>
      </c>
      <c r="E260" s="5" t="s">
        <v>60</v>
      </c>
      <c r="F260" s="5" t="s">
        <v>61</v>
      </c>
      <c r="G260" s="5" t="s">
        <v>32</v>
      </c>
      <c r="H260" s="5" t="s">
        <v>151</v>
      </c>
      <c r="I260" s="6">
        <v>875.22</v>
      </c>
      <c r="J260" s="5">
        <v>3</v>
      </c>
      <c r="K260" s="17">
        <v>0</v>
      </c>
      <c r="L260" s="6">
        <v>139.97999999999999</v>
      </c>
      <c r="M260" s="5" t="s">
        <v>37</v>
      </c>
      <c r="N260" s="7" t="s">
        <v>2679</v>
      </c>
      <c r="O260" s="8" t="str">
        <f t="shared" si="28"/>
        <v>Mitch Gastineau</v>
      </c>
      <c r="P260" s="8" t="str">
        <f t="shared" si="29"/>
        <v>MX</v>
      </c>
      <c r="Q260" s="8" t="str">
        <f t="shared" si="30"/>
        <v>2015</v>
      </c>
      <c r="R260" s="8" t="str">
        <f t="shared" si="31"/>
        <v>HIGH</v>
      </c>
      <c r="S260" s="8" t="str">
        <f t="shared" si="32"/>
        <v>furniture</v>
      </c>
      <c r="T260" s="18" t="str">
        <f t="shared" si="33"/>
        <v>42140</v>
      </c>
      <c r="U260" s="27" t="s">
        <v>2908</v>
      </c>
      <c r="V260" s="16" t="s">
        <v>2695</v>
      </c>
      <c r="W260" s="30">
        <v>2015</v>
      </c>
      <c r="X260" t="s">
        <v>2908</v>
      </c>
      <c r="Y260" s="28">
        <v>42140</v>
      </c>
      <c r="Z260" s="28" t="str">
        <f t="shared" si="34"/>
        <v>MX-2015-MG1820518-42140</v>
      </c>
    </row>
    <row r="261" spans="1:26" ht="15.75">
      <c r="A261" s="19" t="s">
        <v>1480</v>
      </c>
      <c r="B261" s="9">
        <v>41459</v>
      </c>
      <c r="C261" s="9">
        <v>41463</v>
      </c>
      <c r="D261" s="10" t="s">
        <v>373</v>
      </c>
      <c r="E261" s="10" t="s">
        <v>40</v>
      </c>
      <c r="F261" s="10" t="s">
        <v>111</v>
      </c>
      <c r="G261" s="10" t="s">
        <v>45</v>
      </c>
      <c r="H261" s="10" t="s">
        <v>151</v>
      </c>
      <c r="I261" s="11">
        <v>15.48</v>
      </c>
      <c r="J261" s="10">
        <v>3</v>
      </c>
      <c r="K261" s="20">
        <v>0</v>
      </c>
      <c r="L261" s="11">
        <v>4.4891999999999896</v>
      </c>
      <c r="M261" s="10" t="s">
        <v>19</v>
      </c>
      <c r="N261" s="12" t="s">
        <v>2679</v>
      </c>
      <c r="O261" s="13" t="str">
        <f t="shared" si="28"/>
        <v>Alan Dominguez</v>
      </c>
      <c r="P261" s="13" t="str">
        <f t="shared" si="29"/>
        <v>CA</v>
      </c>
      <c r="Q261" s="13" t="str">
        <f t="shared" si="30"/>
        <v>2013</v>
      </c>
      <c r="R261" s="13" t="str">
        <f t="shared" si="31"/>
        <v>MEDIUM</v>
      </c>
      <c r="S261" s="13" t="str">
        <f t="shared" si="32"/>
        <v>office supplies</v>
      </c>
      <c r="T261" s="21" t="str">
        <f t="shared" si="33"/>
        <v>41459</v>
      </c>
      <c r="U261" s="27" t="s">
        <v>2894</v>
      </c>
      <c r="V261" s="19" t="s">
        <v>2683</v>
      </c>
      <c r="W261" s="30">
        <v>2013</v>
      </c>
      <c r="X261" t="s">
        <v>2894</v>
      </c>
      <c r="Y261" s="28">
        <v>41459</v>
      </c>
      <c r="Z261" s="28" t="str">
        <f t="shared" si="34"/>
        <v>CA-2013-AD10180140-41459</v>
      </c>
    </row>
    <row r="262" spans="1:26" ht="15.75">
      <c r="A262" s="16" t="s">
        <v>1481</v>
      </c>
      <c r="B262" s="4">
        <v>41584</v>
      </c>
      <c r="C262" s="4">
        <v>41586</v>
      </c>
      <c r="D262" s="5" t="s">
        <v>1482</v>
      </c>
      <c r="E262" s="5" t="s">
        <v>97</v>
      </c>
      <c r="F262" s="5" t="s">
        <v>98</v>
      </c>
      <c r="G262" s="5" t="s">
        <v>17</v>
      </c>
      <c r="H262" s="5" t="s">
        <v>33</v>
      </c>
      <c r="I262" s="6">
        <v>1003.34928</v>
      </c>
      <c r="J262" s="5">
        <v>4</v>
      </c>
      <c r="K262" s="17">
        <v>2E-3</v>
      </c>
      <c r="L262" s="6">
        <v>178.94927999999999</v>
      </c>
      <c r="M262" s="5" t="s">
        <v>220</v>
      </c>
      <c r="N262" s="7" t="s">
        <v>2679</v>
      </c>
      <c r="O262" s="8" t="str">
        <f t="shared" si="28"/>
        <v>Natalie Webber</v>
      </c>
      <c r="P262" s="8" t="str">
        <f t="shared" si="29"/>
        <v>MX</v>
      </c>
      <c r="Q262" s="8" t="str">
        <f t="shared" si="30"/>
        <v>2013</v>
      </c>
      <c r="R262" s="8" t="str">
        <f t="shared" si="31"/>
        <v>CRITIACL</v>
      </c>
      <c r="S262" s="8" t="str">
        <f t="shared" si="32"/>
        <v>technology</v>
      </c>
      <c r="T262" s="18" t="str">
        <f t="shared" si="33"/>
        <v>41584</v>
      </c>
      <c r="U262" s="27" t="s">
        <v>2909</v>
      </c>
      <c r="V262" s="16" t="s">
        <v>2695</v>
      </c>
      <c r="W262" s="30">
        <v>2013</v>
      </c>
      <c r="X262" t="s">
        <v>2909</v>
      </c>
      <c r="Y262" s="28">
        <v>41584</v>
      </c>
      <c r="Z262" s="28" t="str">
        <f t="shared" si="34"/>
        <v>MX-2013-NW1840082-41584</v>
      </c>
    </row>
    <row r="263" spans="1:26" ht="15.75">
      <c r="A263" s="19" t="s">
        <v>1487</v>
      </c>
      <c r="B263" s="9">
        <v>41992</v>
      </c>
      <c r="C263" s="9">
        <v>41994</v>
      </c>
      <c r="D263" s="10" t="s">
        <v>1488</v>
      </c>
      <c r="E263" s="10" t="s">
        <v>40</v>
      </c>
      <c r="F263" s="10" t="s">
        <v>153</v>
      </c>
      <c r="G263" s="10" t="s">
        <v>45</v>
      </c>
      <c r="H263" s="10" t="s">
        <v>299</v>
      </c>
      <c r="I263" s="11">
        <v>961.48</v>
      </c>
      <c r="J263" s="10">
        <v>5</v>
      </c>
      <c r="K263" s="20">
        <v>0.2</v>
      </c>
      <c r="L263" s="11">
        <v>-204.31449999999899</v>
      </c>
      <c r="M263" s="10" t="s">
        <v>19</v>
      </c>
      <c r="N263" s="12" t="s">
        <v>2679</v>
      </c>
      <c r="O263" s="13" t="str">
        <f t="shared" si="28"/>
        <v>Alan Haines</v>
      </c>
      <c r="P263" s="13" t="str">
        <f t="shared" si="29"/>
        <v>CA</v>
      </c>
      <c r="Q263" s="13" t="str">
        <f t="shared" si="30"/>
        <v>2014</v>
      </c>
      <c r="R263" s="13" t="str">
        <f t="shared" si="31"/>
        <v>MEDIUM</v>
      </c>
      <c r="S263" s="13" t="str">
        <f t="shared" si="32"/>
        <v>office supplies</v>
      </c>
      <c r="T263" s="21" t="str">
        <f t="shared" si="33"/>
        <v>41992</v>
      </c>
      <c r="U263" s="27" t="s">
        <v>2910</v>
      </c>
      <c r="V263" s="19" t="s">
        <v>2683</v>
      </c>
      <c r="W263" s="30">
        <v>2014</v>
      </c>
      <c r="X263" t="s">
        <v>2910</v>
      </c>
      <c r="Y263" s="28">
        <v>41992</v>
      </c>
      <c r="Z263" s="28" t="str">
        <f t="shared" si="34"/>
        <v>CA-2014-AH10195140-41992</v>
      </c>
    </row>
    <row r="264" spans="1:26" ht="15.75">
      <c r="A264" s="16" t="s">
        <v>1489</v>
      </c>
      <c r="B264" s="4">
        <v>42249</v>
      </c>
      <c r="C264" s="4">
        <v>42251</v>
      </c>
      <c r="D264" s="5" t="s">
        <v>1490</v>
      </c>
      <c r="E264" s="5" t="s">
        <v>1491</v>
      </c>
      <c r="F264" s="5" t="s">
        <v>87</v>
      </c>
      <c r="G264" s="5" t="s">
        <v>32</v>
      </c>
      <c r="H264" s="5" t="s">
        <v>33</v>
      </c>
      <c r="I264" s="6">
        <v>457.13999999999902</v>
      </c>
      <c r="J264" s="5">
        <v>1</v>
      </c>
      <c r="K264" s="17">
        <v>0</v>
      </c>
      <c r="L264" s="6">
        <v>169.14</v>
      </c>
      <c r="M264" s="5" t="s">
        <v>27</v>
      </c>
      <c r="N264" s="7" t="s">
        <v>2679</v>
      </c>
      <c r="O264" s="8" t="str">
        <f t="shared" si="28"/>
        <v>Alejandro Grove#</v>
      </c>
      <c r="P264" s="8" t="str">
        <f t="shared" si="29"/>
        <v>EZ</v>
      </c>
      <c r="Q264" s="8" t="str">
        <f t="shared" si="30"/>
        <v>2015</v>
      </c>
      <c r="R264" s="8" t="str">
        <f t="shared" si="31"/>
        <v>CRITICAL</v>
      </c>
      <c r="S264" s="8" t="str">
        <f t="shared" si="32"/>
        <v>furniture</v>
      </c>
      <c r="T264" s="18" t="str">
        <f t="shared" si="33"/>
        <v>42249</v>
      </c>
      <c r="U264" s="27" t="s">
        <v>2911</v>
      </c>
      <c r="V264" s="16" t="s">
        <v>2912</v>
      </c>
      <c r="W264" s="30">
        <v>2015</v>
      </c>
      <c r="X264" t="s">
        <v>2911</v>
      </c>
      <c r="Y264" s="28">
        <v>42249</v>
      </c>
      <c r="Z264" s="28" t="str">
        <f t="shared" si="34"/>
        <v>EZ-2015-AG27032-42249</v>
      </c>
    </row>
    <row r="265" spans="1:26" ht="15.75">
      <c r="A265" s="19" t="s">
        <v>1495</v>
      </c>
      <c r="B265" s="9">
        <v>42271</v>
      </c>
      <c r="C265" s="9">
        <v>42273</v>
      </c>
      <c r="D265" s="10" t="s">
        <v>630</v>
      </c>
      <c r="E265" s="10" t="s">
        <v>1496</v>
      </c>
      <c r="F265" s="10" t="s">
        <v>71</v>
      </c>
      <c r="G265" s="10" t="s">
        <v>45</v>
      </c>
      <c r="H265" s="10" t="s">
        <v>127</v>
      </c>
      <c r="I265" s="11">
        <v>1355.13</v>
      </c>
      <c r="J265" s="10">
        <v>5</v>
      </c>
      <c r="K265" s="20">
        <v>0.1</v>
      </c>
      <c r="L265" s="11">
        <v>-60.269999999999897</v>
      </c>
      <c r="M265" s="10" t="s">
        <v>37</v>
      </c>
      <c r="N265" s="12" t="s">
        <v>2679</v>
      </c>
      <c r="O265" s="13" t="str">
        <f t="shared" si="28"/>
        <v>Filia Mcadams</v>
      </c>
      <c r="P265" s="13" t="str">
        <f t="shared" si="29"/>
        <v>IT</v>
      </c>
      <c r="Q265" s="13" t="str">
        <f t="shared" si="30"/>
        <v>2015</v>
      </c>
      <c r="R265" s="13" t="str">
        <f t="shared" si="31"/>
        <v>HIGH</v>
      </c>
      <c r="S265" s="13" t="str">
        <f t="shared" si="32"/>
        <v>office supplies</v>
      </c>
      <c r="T265" s="21" t="str">
        <f t="shared" si="33"/>
        <v>42271</v>
      </c>
      <c r="U265" s="27" t="s">
        <v>2913</v>
      </c>
      <c r="V265" s="19" t="s">
        <v>2690</v>
      </c>
      <c r="W265" s="30">
        <v>2015</v>
      </c>
      <c r="X265" t="s">
        <v>2913</v>
      </c>
      <c r="Y265" s="28">
        <v>42271</v>
      </c>
      <c r="Z265" s="28" t="str">
        <f t="shared" si="34"/>
        <v>IT-2015-FM1421545-42271</v>
      </c>
    </row>
    <row r="266" spans="1:26" ht="15.75">
      <c r="A266" s="16" t="s">
        <v>1487</v>
      </c>
      <c r="B266" s="4">
        <v>41992</v>
      </c>
      <c r="C266" s="4">
        <v>41994</v>
      </c>
      <c r="D266" s="5" t="s">
        <v>1488</v>
      </c>
      <c r="E266" s="5" t="s">
        <v>40</v>
      </c>
      <c r="F266" s="5" t="s">
        <v>153</v>
      </c>
      <c r="G266" s="5" t="s">
        <v>45</v>
      </c>
      <c r="H266" s="5" t="s">
        <v>73</v>
      </c>
      <c r="I266" s="6">
        <v>194.52799999999999</v>
      </c>
      <c r="J266" s="5">
        <v>2</v>
      </c>
      <c r="K266" s="17">
        <v>0.2</v>
      </c>
      <c r="L266" s="6">
        <v>24.315999999999899</v>
      </c>
      <c r="M266" s="5" t="s">
        <v>19</v>
      </c>
      <c r="N266" s="7" t="s">
        <v>2679</v>
      </c>
      <c r="O266" s="8" t="str">
        <f t="shared" si="28"/>
        <v>Alan Haines</v>
      </c>
      <c r="P266" s="8" t="str">
        <f t="shared" si="29"/>
        <v>CA</v>
      </c>
      <c r="Q266" s="8" t="str">
        <f t="shared" si="30"/>
        <v>2014</v>
      </c>
      <c r="R266" s="8" t="str">
        <f t="shared" si="31"/>
        <v>MEDIUM</v>
      </c>
      <c r="S266" s="8" t="str">
        <f t="shared" si="32"/>
        <v>office supplies</v>
      </c>
      <c r="T266" s="18" t="str">
        <f t="shared" si="33"/>
        <v>41992</v>
      </c>
      <c r="U266" s="27" t="s">
        <v>2910</v>
      </c>
      <c r="V266" s="16" t="s">
        <v>2683</v>
      </c>
      <c r="W266" s="30">
        <v>2014</v>
      </c>
      <c r="X266" t="s">
        <v>2910</v>
      </c>
      <c r="Y266" s="28">
        <v>41992</v>
      </c>
      <c r="Z266" s="28" t="str">
        <f t="shared" si="34"/>
        <v>CA-2014-AH10195140-41992</v>
      </c>
    </row>
    <row r="267" spans="1:26" ht="15.75">
      <c r="A267" s="19" t="s">
        <v>1500</v>
      </c>
      <c r="B267" s="10" t="s">
        <v>125</v>
      </c>
      <c r="C267" s="9">
        <v>41593</v>
      </c>
      <c r="D267" s="10" t="s">
        <v>637</v>
      </c>
      <c r="E267" s="10" t="s">
        <v>66</v>
      </c>
      <c r="F267" s="10" t="s">
        <v>90</v>
      </c>
      <c r="G267" s="10" t="s">
        <v>17</v>
      </c>
      <c r="H267" s="10" t="s">
        <v>26</v>
      </c>
      <c r="I267" s="11">
        <v>2571.12</v>
      </c>
      <c r="J267" s="10">
        <v>4</v>
      </c>
      <c r="K267" s="20">
        <v>0</v>
      </c>
      <c r="L267" s="11">
        <v>102.84</v>
      </c>
      <c r="M267" s="10" t="s">
        <v>74</v>
      </c>
      <c r="N267" s="12" t="s">
        <v>2679</v>
      </c>
      <c r="O267" s="13" t="str">
        <f t="shared" si="28"/>
        <v>Nancy Lomonaco</v>
      </c>
      <c r="P267" s="13" t="str">
        <f t="shared" si="29"/>
        <v>IN</v>
      </c>
      <c r="Q267" s="13" t="str">
        <f t="shared" si="30"/>
        <v>2013</v>
      </c>
      <c r="R267" s="13" t="str">
        <f t="shared" si="31"/>
        <v>LOW</v>
      </c>
      <c r="S267" s="13" t="str">
        <f t="shared" si="32"/>
        <v>technology</v>
      </c>
      <c r="T267" s="21" t="str">
        <f t="shared" si="33"/>
        <v>41586</v>
      </c>
      <c r="U267" s="27" t="s">
        <v>2914</v>
      </c>
      <c r="V267" s="19" t="s">
        <v>2681</v>
      </c>
      <c r="W267" s="30">
        <v>2013</v>
      </c>
      <c r="X267" t="s">
        <v>2914</v>
      </c>
      <c r="Y267" s="28">
        <v>41586</v>
      </c>
      <c r="Z267" s="28" t="str">
        <f t="shared" si="34"/>
        <v>IN-2013-NL1831027-41586</v>
      </c>
    </row>
    <row r="268" spans="1:26" ht="15.75">
      <c r="A268" s="16" t="s">
        <v>1498</v>
      </c>
      <c r="B268" s="4">
        <v>41338</v>
      </c>
      <c r="C268" s="4">
        <v>41340</v>
      </c>
      <c r="D268" s="5" t="s">
        <v>1488</v>
      </c>
      <c r="E268" s="5" t="s">
        <v>40</v>
      </c>
      <c r="F268" s="5" t="s">
        <v>111</v>
      </c>
      <c r="G268" s="5" t="s">
        <v>32</v>
      </c>
      <c r="H268" s="5" t="s">
        <v>26</v>
      </c>
      <c r="I268" s="6">
        <v>33.567999999999998</v>
      </c>
      <c r="J268" s="5">
        <v>2</v>
      </c>
      <c r="K268" s="17">
        <v>0.2</v>
      </c>
      <c r="L268" s="6">
        <v>-5.4547999999999996</v>
      </c>
      <c r="M268" s="5" t="s">
        <v>37</v>
      </c>
      <c r="N268" s="7" t="s">
        <v>2679</v>
      </c>
      <c r="O268" s="8" t="str">
        <f t="shared" si="28"/>
        <v>Alan Haines</v>
      </c>
      <c r="P268" s="8" t="str">
        <f t="shared" si="29"/>
        <v>CA</v>
      </c>
      <c r="Q268" s="8" t="str">
        <f t="shared" si="30"/>
        <v>2013</v>
      </c>
      <c r="R268" s="8" t="str">
        <f t="shared" si="31"/>
        <v>HIGH</v>
      </c>
      <c r="S268" s="8" t="str">
        <f t="shared" si="32"/>
        <v>furniture</v>
      </c>
      <c r="T268" s="18" t="str">
        <f t="shared" si="33"/>
        <v>41338</v>
      </c>
      <c r="U268" s="27" t="s">
        <v>2910</v>
      </c>
      <c r="V268" s="16" t="s">
        <v>2683</v>
      </c>
      <c r="W268" s="30">
        <v>2013</v>
      </c>
      <c r="X268" t="s">
        <v>2910</v>
      </c>
      <c r="Y268" s="28">
        <v>41338</v>
      </c>
      <c r="Z268" s="28" t="str">
        <f t="shared" si="34"/>
        <v>CA-2013-AH10195140-41338</v>
      </c>
    </row>
    <row r="269" spans="1:26" ht="15.75">
      <c r="A269" s="19" t="s">
        <v>1511</v>
      </c>
      <c r="B269" s="9">
        <v>42314</v>
      </c>
      <c r="C269" s="9">
        <v>42316</v>
      </c>
      <c r="D269" s="10" t="s">
        <v>1488</v>
      </c>
      <c r="E269" s="10" t="s">
        <v>40</v>
      </c>
      <c r="F269" s="10" t="s">
        <v>41</v>
      </c>
      <c r="G269" s="10" t="s">
        <v>45</v>
      </c>
      <c r="H269" s="10" t="s">
        <v>151</v>
      </c>
      <c r="I269" s="11">
        <v>16.029999999999902</v>
      </c>
      <c r="J269" s="10">
        <v>5</v>
      </c>
      <c r="K269" s="20">
        <v>0.8</v>
      </c>
      <c r="L269" s="11">
        <v>-25.648</v>
      </c>
      <c r="M269" s="10" t="s">
        <v>27</v>
      </c>
      <c r="N269" s="12" t="s">
        <v>2679</v>
      </c>
      <c r="O269" s="13" t="str">
        <f t="shared" si="28"/>
        <v>Alan Haines</v>
      </c>
      <c r="P269" s="13" t="str">
        <f t="shared" si="29"/>
        <v>CA</v>
      </c>
      <c r="Q269" s="13" t="str">
        <f t="shared" si="30"/>
        <v>2015</v>
      </c>
      <c r="R269" s="13" t="str">
        <f t="shared" si="31"/>
        <v>CRITICAL</v>
      </c>
      <c r="S269" s="13" t="str">
        <f t="shared" si="32"/>
        <v>office supplies</v>
      </c>
      <c r="T269" s="21" t="str">
        <f t="shared" si="33"/>
        <v>42314</v>
      </c>
      <c r="U269" s="27" t="s">
        <v>2910</v>
      </c>
      <c r="V269" s="19" t="s">
        <v>2683</v>
      </c>
      <c r="W269" s="30">
        <v>2015</v>
      </c>
      <c r="X269" t="s">
        <v>2910</v>
      </c>
      <c r="Y269" s="28">
        <v>42314</v>
      </c>
      <c r="Z269" s="28" t="str">
        <f t="shared" si="34"/>
        <v>CA-2015-AH10195140-42314</v>
      </c>
    </row>
    <row r="270" spans="1:26" ht="15.75">
      <c r="A270" s="16" t="s">
        <v>1515</v>
      </c>
      <c r="B270" s="4">
        <v>42251</v>
      </c>
      <c r="C270" s="4">
        <v>42107</v>
      </c>
      <c r="D270" s="5" t="s">
        <v>1516</v>
      </c>
      <c r="E270" s="5" t="s">
        <v>15</v>
      </c>
      <c r="F270" s="5" t="s">
        <v>16</v>
      </c>
      <c r="G270" s="5" t="s">
        <v>32</v>
      </c>
      <c r="H270" s="5" t="s">
        <v>23</v>
      </c>
      <c r="I270" s="6">
        <v>1656.71999999999</v>
      </c>
      <c r="J270" s="5">
        <v>4</v>
      </c>
      <c r="K270" s="17">
        <v>0.1</v>
      </c>
      <c r="L270" s="6">
        <v>-110.519999999999</v>
      </c>
      <c r="M270" s="5" t="s">
        <v>37</v>
      </c>
      <c r="N270" s="7" t="s">
        <v>2679</v>
      </c>
      <c r="O270" s="8" t="str">
        <f t="shared" si="28"/>
        <v>Brian Dahlen</v>
      </c>
      <c r="P270" s="8" t="str">
        <f t="shared" si="29"/>
        <v>ID</v>
      </c>
      <c r="Q270" s="8" t="str">
        <f t="shared" si="30"/>
        <v>2015</v>
      </c>
      <c r="R270" s="8" t="str">
        <f t="shared" si="31"/>
        <v>HIGH</v>
      </c>
      <c r="S270" s="8" t="str">
        <f t="shared" si="32"/>
        <v>furniture</v>
      </c>
      <c r="T270" s="18" t="str">
        <f t="shared" si="33"/>
        <v>42103</v>
      </c>
      <c r="U270" s="27" t="s">
        <v>2915</v>
      </c>
      <c r="V270" s="16" t="s">
        <v>2705</v>
      </c>
      <c r="W270" s="30">
        <v>2015</v>
      </c>
      <c r="X270" t="s">
        <v>2915</v>
      </c>
      <c r="Y270" s="28">
        <v>42103</v>
      </c>
      <c r="Z270" s="28" t="str">
        <f t="shared" si="34"/>
        <v>ID-2015-BD116057-42103</v>
      </c>
    </row>
    <row r="271" spans="1:26" ht="15.75">
      <c r="A271" s="19" t="s">
        <v>1524</v>
      </c>
      <c r="B271" s="9">
        <v>42342</v>
      </c>
      <c r="C271" s="9">
        <v>42345</v>
      </c>
      <c r="D271" s="10" t="s">
        <v>1525</v>
      </c>
      <c r="E271" s="10" t="s">
        <v>97</v>
      </c>
      <c r="F271" s="10" t="s">
        <v>98</v>
      </c>
      <c r="G271" s="10" t="s">
        <v>32</v>
      </c>
      <c r="H271" s="10" t="s">
        <v>127</v>
      </c>
      <c r="I271" s="11">
        <v>1410.3999999999901</v>
      </c>
      <c r="J271" s="10">
        <v>5</v>
      </c>
      <c r="K271" s="20">
        <v>0.2</v>
      </c>
      <c r="L271" s="11">
        <v>-88.199999999999903</v>
      </c>
      <c r="M271" s="10" t="s">
        <v>27</v>
      </c>
      <c r="N271" s="12" t="s">
        <v>2679</v>
      </c>
      <c r="O271" s="13" t="str">
        <f t="shared" si="28"/>
        <v>Sonia Cooley</v>
      </c>
      <c r="P271" s="13" t="str">
        <f t="shared" si="29"/>
        <v>US</v>
      </c>
      <c r="Q271" s="13" t="str">
        <f t="shared" si="30"/>
        <v>2015</v>
      </c>
      <c r="R271" s="13" t="str">
        <f t="shared" si="31"/>
        <v>CRITICAL</v>
      </c>
      <c r="S271" s="13" t="str">
        <f t="shared" si="32"/>
        <v>furniture</v>
      </c>
      <c r="T271" s="21" t="str">
        <f t="shared" si="33"/>
        <v>42342</v>
      </c>
      <c r="U271" s="27" t="s">
        <v>2916</v>
      </c>
      <c r="V271" s="19" t="s">
        <v>2685</v>
      </c>
      <c r="W271" s="30">
        <v>2015</v>
      </c>
      <c r="X271" t="s">
        <v>2916</v>
      </c>
      <c r="Y271" s="28">
        <v>42342</v>
      </c>
      <c r="Z271" s="28" t="str">
        <f t="shared" si="34"/>
        <v>US-2015-SC2057582-42342</v>
      </c>
    </row>
    <row r="272" spans="1:26" ht="15.75">
      <c r="A272" s="16" t="s">
        <v>1539</v>
      </c>
      <c r="B272" s="4">
        <v>42250</v>
      </c>
      <c r="C272" s="4">
        <v>42254</v>
      </c>
      <c r="D272" s="5" t="s">
        <v>1207</v>
      </c>
      <c r="E272" s="5" t="s">
        <v>40</v>
      </c>
      <c r="F272" s="5" t="s">
        <v>153</v>
      </c>
      <c r="G272" s="5" t="s">
        <v>45</v>
      </c>
      <c r="H272" s="5" t="s">
        <v>151</v>
      </c>
      <c r="I272" s="6">
        <v>1577.94</v>
      </c>
      <c r="J272" s="5">
        <v>3</v>
      </c>
      <c r="K272" s="17">
        <v>0</v>
      </c>
      <c r="L272" s="6">
        <v>757.41120000000001</v>
      </c>
      <c r="M272" s="5" t="s">
        <v>19</v>
      </c>
      <c r="N272" s="7" t="s">
        <v>2679</v>
      </c>
      <c r="O272" s="8" t="str">
        <f t="shared" si="28"/>
        <v>Alan Hwang</v>
      </c>
      <c r="P272" s="8" t="str">
        <f t="shared" si="29"/>
        <v>CA</v>
      </c>
      <c r="Q272" s="8" t="str">
        <f t="shared" si="30"/>
        <v>2015</v>
      </c>
      <c r="R272" s="8" t="str">
        <f t="shared" si="31"/>
        <v>MEDIUM</v>
      </c>
      <c r="S272" s="8" t="str">
        <f t="shared" si="32"/>
        <v>office supplies</v>
      </c>
      <c r="T272" s="18" t="str">
        <f t="shared" si="33"/>
        <v>42250</v>
      </c>
      <c r="U272" s="27" t="s">
        <v>2917</v>
      </c>
      <c r="V272" s="16" t="s">
        <v>2683</v>
      </c>
      <c r="W272" s="30">
        <v>2015</v>
      </c>
      <c r="X272" t="s">
        <v>2917</v>
      </c>
      <c r="Y272" s="28">
        <v>42250</v>
      </c>
      <c r="Z272" s="28" t="str">
        <f t="shared" si="34"/>
        <v>CA-2015-AH10210140-42250</v>
      </c>
    </row>
    <row r="273" spans="1:26" ht="15.75">
      <c r="A273" s="19" t="s">
        <v>1542</v>
      </c>
      <c r="B273" s="9">
        <v>42199</v>
      </c>
      <c r="C273" s="9">
        <v>42201</v>
      </c>
      <c r="D273" s="10" t="s">
        <v>122</v>
      </c>
      <c r="E273" s="10" t="s">
        <v>60</v>
      </c>
      <c r="F273" s="10" t="s">
        <v>61</v>
      </c>
      <c r="G273" s="10" t="s">
        <v>17</v>
      </c>
      <c r="H273" s="10" t="s">
        <v>73</v>
      </c>
      <c r="I273" s="11">
        <v>997.80039999999894</v>
      </c>
      <c r="J273" s="10">
        <v>5</v>
      </c>
      <c r="K273" s="20">
        <v>2E-3</v>
      </c>
      <c r="L273" s="11">
        <v>327.90039999999999</v>
      </c>
      <c r="M273" s="10" t="s">
        <v>37</v>
      </c>
      <c r="N273" s="12" t="s">
        <v>2679</v>
      </c>
      <c r="O273" s="13" t="str">
        <f t="shared" si="28"/>
        <v>Bill Shonely</v>
      </c>
      <c r="P273" s="13" t="str">
        <f t="shared" si="29"/>
        <v>MX</v>
      </c>
      <c r="Q273" s="13" t="str">
        <f t="shared" si="30"/>
        <v>2015</v>
      </c>
      <c r="R273" s="13" t="str">
        <f t="shared" si="31"/>
        <v>HIGH</v>
      </c>
      <c r="S273" s="13" t="str">
        <f t="shared" si="32"/>
        <v>technology</v>
      </c>
      <c r="T273" s="21" t="str">
        <f t="shared" si="33"/>
        <v>42199</v>
      </c>
      <c r="U273" s="27" t="s">
        <v>2918</v>
      </c>
      <c r="V273" s="19" t="s">
        <v>2695</v>
      </c>
      <c r="W273" s="30">
        <v>2015</v>
      </c>
      <c r="X273" t="s">
        <v>2918</v>
      </c>
      <c r="Y273" s="28">
        <v>42199</v>
      </c>
      <c r="Z273" s="28" t="str">
        <f t="shared" si="34"/>
        <v>MX-2015-BS1136518-42199</v>
      </c>
    </row>
    <row r="274" spans="1:26" ht="15.75">
      <c r="A274" s="16" t="s">
        <v>1544</v>
      </c>
      <c r="B274" s="4">
        <v>41389</v>
      </c>
      <c r="C274" s="4">
        <v>41389</v>
      </c>
      <c r="D274" s="5" t="s">
        <v>844</v>
      </c>
      <c r="E274" s="5" t="s">
        <v>168</v>
      </c>
      <c r="F274" s="5" t="s">
        <v>115</v>
      </c>
      <c r="G274" s="5" t="s">
        <v>32</v>
      </c>
      <c r="H274" s="5" t="s">
        <v>33</v>
      </c>
      <c r="I274" s="6">
        <v>1647</v>
      </c>
      <c r="J274" s="5">
        <v>4</v>
      </c>
      <c r="K274" s="17">
        <v>0</v>
      </c>
      <c r="L274" s="6">
        <v>625.79999999999995</v>
      </c>
      <c r="M274" s="5" t="s">
        <v>37</v>
      </c>
      <c r="N274" s="7" t="s">
        <v>2679</v>
      </c>
      <c r="O274" s="8" t="str">
        <f t="shared" si="28"/>
        <v>Kunst Miller</v>
      </c>
      <c r="P274" s="8" t="str">
        <f t="shared" si="29"/>
        <v>IR</v>
      </c>
      <c r="Q274" s="8" t="str">
        <f t="shared" si="30"/>
        <v>2013</v>
      </c>
      <c r="R274" s="8" t="str">
        <f t="shared" si="31"/>
        <v>HIGH</v>
      </c>
      <c r="S274" s="8" t="str">
        <f t="shared" si="32"/>
        <v>furniture</v>
      </c>
      <c r="T274" s="18" t="str">
        <f t="shared" si="33"/>
        <v>41389</v>
      </c>
      <c r="U274" s="27" t="s">
        <v>2919</v>
      </c>
      <c r="V274" s="16" t="s">
        <v>2781</v>
      </c>
      <c r="W274" s="30">
        <v>2013</v>
      </c>
      <c r="X274" t="s">
        <v>2919</v>
      </c>
      <c r="Y274" s="28">
        <v>41389</v>
      </c>
      <c r="Z274" s="28" t="str">
        <f t="shared" si="34"/>
        <v>IR-2013-KM672060-41389</v>
      </c>
    </row>
    <row r="275" spans="1:26" ht="15.75">
      <c r="A275" s="19" t="s">
        <v>1547</v>
      </c>
      <c r="B275" s="9">
        <v>41128</v>
      </c>
      <c r="C275" s="9">
        <v>41128</v>
      </c>
      <c r="D275" s="10" t="s">
        <v>864</v>
      </c>
      <c r="E275" s="10" t="s">
        <v>66</v>
      </c>
      <c r="F275" s="10" t="s">
        <v>90</v>
      </c>
      <c r="G275" s="10" t="s">
        <v>17</v>
      </c>
      <c r="H275" s="10" t="s">
        <v>33</v>
      </c>
      <c r="I275" s="11">
        <v>1273.56</v>
      </c>
      <c r="J275" s="10">
        <v>4</v>
      </c>
      <c r="K275" s="20">
        <v>0</v>
      </c>
      <c r="L275" s="11">
        <v>573</v>
      </c>
      <c r="M275" s="10" t="s">
        <v>19</v>
      </c>
      <c r="N275" s="12" t="s">
        <v>2679</v>
      </c>
      <c r="O275" s="13" t="str">
        <f t="shared" si="28"/>
        <v>Barbara Fisher</v>
      </c>
      <c r="P275" s="13" t="str">
        <f t="shared" si="29"/>
        <v>IN</v>
      </c>
      <c r="Q275" s="13" t="str">
        <f t="shared" si="30"/>
        <v>2012</v>
      </c>
      <c r="R275" s="13" t="str">
        <f t="shared" si="31"/>
        <v>MEDIUM</v>
      </c>
      <c r="S275" s="13" t="str">
        <f t="shared" si="32"/>
        <v>technology</v>
      </c>
      <c r="T275" s="21" t="str">
        <f t="shared" si="33"/>
        <v>41128</v>
      </c>
      <c r="U275" s="27" t="s">
        <v>2920</v>
      </c>
      <c r="V275" s="19" t="s">
        <v>2681</v>
      </c>
      <c r="W275" s="30">
        <v>2012</v>
      </c>
      <c r="X275" t="s">
        <v>2920</v>
      </c>
      <c r="Y275" s="28">
        <v>41128</v>
      </c>
      <c r="Z275" s="28" t="str">
        <f t="shared" si="34"/>
        <v>IN-2012-BF1097527-41128</v>
      </c>
    </row>
    <row r="276" spans="1:26" ht="15.75">
      <c r="A276" s="16" t="s">
        <v>1548</v>
      </c>
      <c r="B276" s="4">
        <v>41259</v>
      </c>
      <c r="C276" s="4">
        <v>41263</v>
      </c>
      <c r="D276" s="5" t="s">
        <v>1549</v>
      </c>
      <c r="E276" s="5" t="s">
        <v>22</v>
      </c>
      <c r="F276" s="5" t="s">
        <v>71</v>
      </c>
      <c r="G276" s="5" t="s">
        <v>17</v>
      </c>
      <c r="H276" s="5" t="s">
        <v>151</v>
      </c>
      <c r="I276" s="6">
        <v>1908.18</v>
      </c>
      <c r="J276" s="5">
        <v>3</v>
      </c>
      <c r="K276" s="17">
        <v>0</v>
      </c>
      <c r="L276" s="6">
        <v>820.44</v>
      </c>
      <c r="M276" s="5" t="s">
        <v>19</v>
      </c>
      <c r="N276" s="7" t="s">
        <v>2679</v>
      </c>
      <c r="O276" s="8" t="str">
        <f t="shared" si="28"/>
        <v>Michelle Moray</v>
      </c>
      <c r="P276" s="8" t="str">
        <f t="shared" si="29"/>
        <v>ES</v>
      </c>
      <c r="Q276" s="8" t="str">
        <f t="shared" si="30"/>
        <v>2012</v>
      </c>
      <c r="R276" s="8" t="str">
        <f t="shared" si="31"/>
        <v>MEDIUM</v>
      </c>
      <c r="S276" s="8" t="str">
        <f t="shared" si="32"/>
        <v>technology</v>
      </c>
      <c r="T276" s="18" t="str">
        <f t="shared" si="33"/>
        <v>41259</v>
      </c>
      <c r="U276" s="27" t="s">
        <v>2921</v>
      </c>
      <c r="V276" s="16" t="s">
        <v>2710</v>
      </c>
      <c r="W276" s="30">
        <v>2012</v>
      </c>
      <c r="X276" t="s">
        <v>2921</v>
      </c>
      <c r="Y276" s="28">
        <v>41259</v>
      </c>
      <c r="Z276" s="28" t="str">
        <f t="shared" si="34"/>
        <v>ES-2012-MM1805548-41259</v>
      </c>
    </row>
    <row r="277" spans="1:26" ht="15.75">
      <c r="A277" s="19" t="s">
        <v>1553</v>
      </c>
      <c r="B277" s="9">
        <v>41583</v>
      </c>
      <c r="C277" s="9">
        <v>41586</v>
      </c>
      <c r="D277" s="10" t="s">
        <v>1554</v>
      </c>
      <c r="E277" s="10" t="s">
        <v>204</v>
      </c>
      <c r="F277" s="10" t="s">
        <v>87</v>
      </c>
      <c r="G277" s="10" t="s">
        <v>624</v>
      </c>
      <c r="H277" s="10" t="s">
        <v>44</v>
      </c>
      <c r="I277" s="11">
        <v>680.28</v>
      </c>
      <c r="J277" s="10">
        <v>4</v>
      </c>
      <c r="K277" s="20">
        <v>0</v>
      </c>
      <c r="L277" s="11">
        <v>231.24</v>
      </c>
      <c r="M277" s="10" t="s">
        <v>27</v>
      </c>
      <c r="N277" s="12" t="s">
        <v>2679</v>
      </c>
      <c r="O277" s="13" t="str">
        <f t="shared" si="28"/>
        <v>Nathan Cano</v>
      </c>
      <c r="P277" s="13" t="str">
        <f t="shared" si="29"/>
        <v>UP</v>
      </c>
      <c r="Q277" s="13" t="str">
        <f t="shared" si="30"/>
        <v>2013</v>
      </c>
      <c r="R277" s="13" t="str">
        <f t="shared" si="31"/>
        <v>CRITICAL</v>
      </c>
      <c r="S277" s="13" t="str">
        <f t="shared" si="32"/>
        <v xml:space="preserve"> technology </v>
      </c>
      <c r="T277" s="21" t="str">
        <f t="shared" si="33"/>
        <v>41583</v>
      </c>
      <c r="U277" s="27" t="s">
        <v>2922</v>
      </c>
      <c r="V277" s="19" t="s">
        <v>2762</v>
      </c>
      <c r="W277" s="30">
        <v>2013</v>
      </c>
      <c r="X277" t="s">
        <v>2922</v>
      </c>
      <c r="Y277" s="28">
        <v>41583</v>
      </c>
      <c r="Z277" s="28" t="str">
        <f t="shared" si="34"/>
        <v>UP-2013-NC8415137-41583</v>
      </c>
    </row>
    <row r="278" spans="1:26" ht="15.75">
      <c r="A278" s="16" t="s">
        <v>1555</v>
      </c>
      <c r="B278" s="4">
        <v>41280</v>
      </c>
      <c r="C278" s="4">
        <v>41283</v>
      </c>
      <c r="D278" s="5" t="s">
        <v>557</v>
      </c>
      <c r="E278" s="5" t="s">
        <v>1248</v>
      </c>
      <c r="F278" s="5" t="s">
        <v>94</v>
      </c>
      <c r="G278" s="5" t="s">
        <v>17</v>
      </c>
      <c r="H278" s="5" t="s">
        <v>151</v>
      </c>
      <c r="I278" s="6">
        <v>964.07999999999902</v>
      </c>
      <c r="J278" s="5">
        <v>3</v>
      </c>
      <c r="K278" s="17">
        <v>0</v>
      </c>
      <c r="L278" s="6">
        <v>337.409999999999</v>
      </c>
      <c r="M278" s="5" t="s">
        <v>19</v>
      </c>
      <c r="N278" s="7" t="s">
        <v>2679</v>
      </c>
      <c r="O278" s="8" t="str">
        <f t="shared" si="28"/>
        <v>Georgia Rosenberg</v>
      </c>
      <c r="P278" s="8" t="str">
        <f t="shared" si="29"/>
        <v>ES</v>
      </c>
      <c r="Q278" s="8" t="str">
        <f t="shared" si="30"/>
        <v>2013</v>
      </c>
      <c r="R278" s="8" t="str">
        <f t="shared" si="31"/>
        <v>MEDIUM</v>
      </c>
      <c r="S278" s="8" t="str">
        <f t="shared" si="32"/>
        <v>technology</v>
      </c>
      <c r="T278" s="18" t="str">
        <f t="shared" si="33"/>
        <v>41280</v>
      </c>
      <c r="U278" s="27" t="s">
        <v>2923</v>
      </c>
      <c r="V278" s="16" t="s">
        <v>2710</v>
      </c>
      <c r="W278" s="30">
        <v>2013</v>
      </c>
      <c r="X278" t="s">
        <v>2923</v>
      </c>
      <c r="Y278" s="28">
        <v>41280</v>
      </c>
      <c r="Z278" s="28" t="str">
        <f t="shared" si="34"/>
        <v>ES-2013-GR1456096-41280</v>
      </c>
    </row>
    <row r="279" spans="1:26" ht="15.75">
      <c r="A279" s="19" t="s">
        <v>1561</v>
      </c>
      <c r="B279" s="9">
        <v>42072</v>
      </c>
      <c r="C279" s="9">
        <v>42079</v>
      </c>
      <c r="D279" s="10" t="s">
        <v>1207</v>
      </c>
      <c r="E279" s="10" t="s">
        <v>40</v>
      </c>
      <c r="F279" s="10" t="s">
        <v>43</v>
      </c>
      <c r="G279" s="10" t="s">
        <v>45</v>
      </c>
      <c r="H279" s="10" t="s">
        <v>33</v>
      </c>
      <c r="I279" s="11">
        <v>171.2</v>
      </c>
      <c r="J279" s="10">
        <v>5</v>
      </c>
      <c r="K279" s="20">
        <v>0.2</v>
      </c>
      <c r="L279" s="11">
        <v>64.199999999999903</v>
      </c>
      <c r="M279" s="10" t="s">
        <v>19</v>
      </c>
      <c r="N279" s="12" t="s">
        <v>2679</v>
      </c>
      <c r="O279" s="13" t="str">
        <f t="shared" si="28"/>
        <v>Alan Hwang</v>
      </c>
      <c r="P279" s="13" t="str">
        <f t="shared" si="29"/>
        <v>CA</v>
      </c>
      <c r="Q279" s="13" t="str">
        <f t="shared" si="30"/>
        <v>2015</v>
      </c>
      <c r="R279" s="13" t="str">
        <f t="shared" si="31"/>
        <v>MEDIUM</v>
      </c>
      <c r="S279" s="13" t="str">
        <f t="shared" si="32"/>
        <v>office supplies</v>
      </c>
      <c r="T279" s="21" t="str">
        <f t="shared" si="33"/>
        <v>42072</v>
      </c>
      <c r="U279" s="27" t="s">
        <v>2917</v>
      </c>
      <c r="V279" s="19" t="s">
        <v>2683</v>
      </c>
      <c r="W279" s="30">
        <v>2015</v>
      </c>
      <c r="X279" t="s">
        <v>2917</v>
      </c>
      <c r="Y279" s="28">
        <v>42072</v>
      </c>
      <c r="Z279" s="28" t="str">
        <f t="shared" si="34"/>
        <v>CA-2015-AH10210140-42072</v>
      </c>
    </row>
    <row r="280" spans="1:26" ht="15.75">
      <c r="A280" s="16" t="s">
        <v>1562</v>
      </c>
      <c r="B280" s="4">
        <v>41588</v>
      </c>
      <c r="C280" s="4">
        <v>41593</v>
      </c>
      <c r="D280" s="5" t="s">
        <v>1207</v>
      </c>
      <c r="E280" s="5" t="s">
        <v>40</v>
      </c>
      <c r="F280" s="5" t="s">
        <v>43</v>
      </c>
      <c r="G280" s="5" t="s">
        <v>17</v>
      </c>
      <c r="H280" s="5" t="s">
        <v>44</v>
      </c>
      <c r="I280" s="6">
        <v>79.900000000000006</v>
      </c>
      <c r="J280" s="5">
        <v>2</v>
      </c>
      <c r="K280" s="17">
        <v>0</v>
      </c>
      <c r="L280" s="6">
        <v>35.155999999999999</v>
      </c>
      <c r="M280" s="5" t="s">
        <v>19</v>
      </c>
      <c r="N280" s="7" t="s">
        <v>2679</v>
      </c>
      <c r="O280" s="8" t="str">
        <f t="shared" si="28"/>
        <v>Alan Hwang</v>
      </c>
      <c r="P280" s="8" t="str">
        <f t="shared" si="29"/>
        <v>CA</v>
      </c>
      <c r="Q280" s="8" t="str">
        <f t="shared" si="30"/>
        <v>2013</v>
      </c>
      <c r="R280" s="8" t="str">
        <f t="shared" si="31"/>
        <v>MEDIUM</v>
      </c>
      <c r="S280" s="8" t="str">
        <f t="shared" si="32"/>
        <v>technology</v>
      </c>
      <c r="T280" s="18" t="str">
        <f t="shared" si="33"/>
        <v>41588</v>
      </c>
      <c r="U280" s="27" t="s">
        <v>2917</v>
      </c>
      <c r="V280" s="16" t="s">
        <v>2683</v>
      </c>
      <c r="W280" s="30">
        <v>2013</v>
      </c>
      <c r="X280" t="s">
        <v>2917</v>
      </c>
      <c r="Y280" s="28">
        <v>41588</v>
      </c>
      <c r="Z280" s="28" t="str">
        <f t="shared" si="34"/>
        <v>CA-2013-AH10210140-41588</v>
      </c>
    </row>
    <row r="281" spans="1:26" ht="15.75">
      <c r="A281" s="19" t="s">
        <v>1565</v>
      </c>
      <c r="B281" s="9">
        <v>41430</v>
      </c>
      <c r="C281" s="9">
        <v>41436</v>
      </c>
      <c r="D281" s="10" t="s">
        <v>1566</v>
      </c>
      <c r="E281" s="10" t="s">
        <v>93</v>
      </c>
      <c r="F281" s="10" t="s">
        <v>94</v>
      </c>
      <c r="G281" s="10" t="s">
        <v>17</v>
      </c>
      <c r="H281" s="10" t="s">
        <v>33</v>
      </c>
      <c r="I281" s="11">
        <v>1891.5</v>
      </c>
      <c r="J281" s="10">
        <v>5</v>
      </c>
      <c r="K281" s="20">
        <v>0</v>
      </c>
      <c r="L281" s="11">
        <v>832.2</v>
      </c>
      <c r="M281" s="10" t="s">
        <v>19</v>
      </c>
      <c r="N281" s="12" t="s">
        <v>2679</v>
      </c>
      <c r="O281" s="13" t="str">
        <f t="shared" si="28"/>
        <v>Andy Yotov</v>
      </c>
      <c r="P281" s="13" t="str">
        <f t="shared" si="29"/>
        <v>ES</v>
      </c>
      <c r="Q281" s="13" t="str">
        <f t="shared" si="30"/>
        <v>2013</v>
      </c>
      <c r="R281" s="13" t="str">
        <f t="shared" si="31"/>
        <v>MEDIUM</v>
      </c>
      <c r="S281" s="13" t="str">
        <f t="shared" si="32"/>
        <v>technology</v>
      </c>
      <c r="T281" s="21" t="str">
        <f t="shared" si="33"/>
        <v>41430</v>
      </c>
      <c r="U281" s="27" t="s">
        <v>2924</v>
      </c>
      <c r="V281" s="19" t="s">
        <v>2710</v>
      </c>
      <c r="W281" s="30">
        <v>2013</v>
      </c>
      <c r="X281" t="s">
        <v>2924</v>
      </c>
      <c r="Y281" s="28">
        <v>41430</v>
      </c>
      <c r="Z281" s="28" t="str">
        <f t="shared" si="34"/>
        <v>ES-2013-AY10555139-41430</v>
      </c>
    </row>
    <row r="282" spans="1:26" ht="15.75">
      <c r="A282" s="16" t="s">
        <v>1567</v>
      </c>
      <c r="B282" s="4">
        <v>41762</v>
      </c>
      <c r="C282" s="4">
        <v>41763</v>
      </c>
      <c r="D282" s="5" t="s">
        <v>403</v>
      </c>
      <c r="E282" s="5" t="s">
        <v>119</v>
      </c>
      <c r="F282" s="5" t="s">
        <v>120</v>
      </c>
      <c r="G282" s="5" t="s">
        <v>45</v>
      </c>
      <c r="H282" s="5" t="s">
        <v>33</v>
      </c>
      <c r="I282" s="6">
        <v>912.24</v>
      </c>
      <c r="J282" s="5">
        <v>3</v>
      </c>
      <c r="K282" s="17">
        <v>0.2</v>
      </c>
      <c r="L282" s="6">
        <v>68.400000000000006</v>
      </c>
      <c r="M282" s="5" t="s">
        <v>37</v>
      </c>
      <c r="N282" s="7" t="s">
        <v>2679</v>
      </c>
      <c r="O282" s="8" t="str">
        <f t="shared" si="28"/>
        <v>Christine Phan</v>
      </c>
      <c r="P282" s="8" t="str">
        <f t="shared" si="29"/>
        <v>MX</v>
      </c>
      <c r="Q282" s="8" t="str">
        <f t="shared" si="30"/>
        <v>2014</v>
      </c>
      <c r="R282" s="8" t="str">
        <f t="shared" si="31"/>
        <v>HIGH</v>
      </c>
      <c r="S282" s="8" t="str">
        <f t="shared" si="32"/>
        <v>office supplies</v>
      </c>
      <c r="T282" s="18" t="str">
        <f t="shared" si="33"/>
        <v>41762</v>
      </c>
      <c r="U282" s="27" t="s">
        <v>2925</v>
      </c>
      <c r="V282" s="16" t="s">
        <v>2695</v>
      </c>
      <c r="W282" s="30">
        <v>2014</v>
      </c>
      <c r="X282" t="s">
        <v>2925</v>
      </c>
      <c r="Y282" s="28">
        <v>41762</v>
      </c>
      <c r="Z282" s="28" t="str">
        <f t="shared" si="34"/>
        <v>MX-2014-CP1234036-41762</v>
      </c>
    </row>
    <row r="283" spans="1:26" ht="15.75">
      <c r="A283" s="19" t="s">
        <v>1568</v>
      </c>
      <c r="B283" s="9">
        <v>41914</v>
      </c>
      <c r="C283" s="9">
        <v>41917</v>
      </c>
      <c r="D283" s="10" t="s">
        <v>1569</v>
      </c>
      <c r="E283" s="10" t="s">
        <v>211</v>
      </c>
      <c r="F283" s="10" t="s">
        <v>98</v>
      </c>
      <c r="G283" s="10" t="s">
        <v>17</v>
      </c>
      <c r="H283" s="10" t="s">
        <v>33</v>
      </c>
      <c r="I283" s="11">
        <v>947.22176000000002</v>
      </c>
      <c r="J283" s="10">
        <v>4</v>
      </c>
      <c r="K283" s="20">
        <v>2E-3</v>
      </c>
      <c r="L283" s="11">
        <v>377.70175999999998</v>
      </c>
      <c r="M283" s="10" t="s">
        <v>37</v>
      </c>
      <c r="N283" s="12" t="s">
        <v>2679</v>
      </c>
      <c r="O283" s="13" t="str">
        <f t="shared" si="28"/>
        <v>Mark Packer</v>
      </c>
      <c r="P283" s="13" t="str">
        <f t="shared" si="29"/>
        <v>MX</v>
      </c>
      <c r="Q283" s="13" t="str">
        <f t="shared" si="30"/>
        <v>2014</v>
      </c>
      <c r="R283" s="13" t="str">
        <f t="shared" si="31"/>
        <v>HIGH</v>
      </c>
      <c r="S283" s="13" t="str">
        <f t="shared" si="32"/>
        <v>technology</v>
      </c>
      <c r="T283" s="21" t="str">
        <f t="shared" si="33"/>
        <v>41914</v>
      </c>
      <c r="U283" s="27" t="s">
        <v>2926</v>
      </c>
      <c r="V283" s="19" t="s">
        <v>2695</v>
      </c>
      <c r="W283" s="30">
        <v>2014</v>
      </c>
      <c r="X283" t="s">
        <v>2926</v>
      </c>
      <c r="Y283" s="28">
        <v>41914</v>
      </c>
      <c r="Z283" s="28" t="str">
        <f t="shared" si="34"/>
        <v>MX-2014-MP1747093-41914</v>
      </c>
    </row>
    <row r="284" spans="1:26" ht="15.75">
      <c r="A284" s="16" t="s">
        <v>1570</v>
      </c>
      <c r="B284" s="5" t="s">
        <v>125</v>
      </c>
      <c r="C284" s="4">
        <v>41261</v>
      </c>
      <c r="D284" s="5" t="s">
        <v>1571</v>
      </c>
      <c r="E284" s="5" t="s">
        <v>93</v>
      </c>
      <c r="F284" s="5" t="s">
        <v>94</v>
      </c>
      <c r="G284" s="5" t="s">
        <v>32</v>
      </c>
      <c r="H284" s="5" t="s">
        <v>73</v>
      </c>
      <c r="I284" s="6">
        <v>1983.0149999999901</v>
      </c>
      <c r="J284" s="5">
        <v>5</v>
      </c>
      <c r="K284" s="17">
        <v>0.1</v>
      </c>
      <c r="L284" s="6">
        <v>616.81500000000005</v>
      </c>
      <c r="M284" s="5" t="s">
        <v>37</v>
      </c>
      <c r="N284" s="7" t="s">
        <v>2679</v>
      </c>
      <c r="O284" s="8" t="str">
        <f t="shared" si="28"/>
        <v>Pauline Johnson</v>
      </c>
      <c r="P284" s="8" t="str">
        <f t="shared" si="29"/>
        <v>ES</v>
      </c>
      <c r="Q284" s="8" t="str">
        <f t="shared" si="30"/>
        <v>2012</v>
      </c>
      <c r="R284" s="8" t="str">
        <f t="shared" si="31"/>
        <v>HIGH</v>
      </c>
      <c r="S284" s="8" t="str">
        <f t="shared" si="32"/>
        <v>furniture</v>
      </c>
      <c r="T284" s="18" t="str">
        <f t="shared" si="33"/>
        <v>41257</v>
      </c>
      <c r="U284" s="27" t="s">
        <v>2927</v>
      </c>
      <c r="V284" s="16" t="s">
        <v>2710</v>
      </c>
      <c r="W284" s="30">
        <v>2012</v>
      </c>
      <c r="X284" t="s">
        <v>2927</v>
      </c>
      <c r="Y284" s="28">
        <v>41257</v>
      </c>
      <c r="Z284" s="28" t="str">
        <f t="shared" si="34"/>
        <v>ES-2012-PJ19015139-41257</v>
      </c>
    </row>
    <row r="285" spans="1:26" ht="15.75">
      <c r="A285" s="19" t="s">
        <v>1572</v>
      </c>
      <c r="B285" s="9">
        <v>41572</v>
      </c>
      <c r="C285" s="9">
        <v>41576</v>
      </c>
      <c r="D285" s="10" t="s">
        <v>1554</v>
      </c>
      <c r="E285" s="10" t="s">
        <v>211</v>
      </c>
      <c r="F285" s="10" t="s">
        <v>98</v>
      </c>
      <c r="G285" s="10" t="s">
        <v>17</v>
      </c>
      <c r="H285" s="10" t="s">
        <v>33</v>
      </c>
      <c r="I285" s="11">
        <v>2146.6</v>
      </c>
      <c r="J285" s="10">
        <v>5</v>
      </c>
      <c r="K285" s="20">
        <v>0</v>
      </c>
      <c r="L285" s="11">
        <v>429.3</v>
      </c>
      <c r="M285" s="10" t="s">
        <v>19</v>
      </c>
      <c r="N285" s="12" t="s">
        <v>2679</v>
      </c>
      <c r="O285" s="13" t="str">
        <f t="shared" si="28"/>
        <v>Nathan Cano</v>
      </c>
      <c r="P285" s="13" t="str">
        <f t="shared" si="29"/>
        <v>MX</v>
      </c>
      <c r="Q285" s="13" t="str">
        <f t="shared" si="30"/>
        <v>2013</v>
      </c>
      <c r="R285" s="13" t="str">
        <f t="shared" si="31"/>
        <v>MEDIUM</v>
      </c>
      <c r="S285" s="13" t="str">
        <f t="shared" si="32"/>
        <v>technology</v>
      </c>
      <c r="T285" s="21" t="str">
        <f t="shared" si="33"/>
        <v>41572</v>
      </c>
      <c r="U285" s="27" t="s">
        <v>2928</v>
      </c>
      <c r="V285" s="19" t="s">
        <v>2695</v>
      </c>
      <c r="W285" s="30">
        <v>2013</v>
      </c>
      <c r="X285" t="s">
        <v>2928</v>
      </c>
      <c r="Y285" s="28">
        <v>41572</v>
      </c>
      <c r="Z285" s="28" t="str">
        <f t="shared" si="34"/>
        <v>MX-2013-NC1841593-41572</v>
      </c>
    </row>
    <row r="286" spans="1:26" ht="15.75">
      <c r="A286" s="16" t="s">
        <v>1575</v>
      </c>
      <c r="B286" s="4">
        <v>42258</v>
      </c>
      <c r="C286" s="4">
        <v>42259</v>
      </c>
      <c r="D286" s="5" t="s">
        <v>1058</v>
      </c>
      <c r="E286" s="5" t="s">
        <v>70</v>
      </c>
      <c r="F286" s="5" t="s">
        <v>71</v>
      </c>
      <c r="G286" s="5" t="s">
        <v>32</v>
      </c>
      <c r="H286" s="5" t="s">
        <v>26</v>
      </c>
      <c r="I286" s="6">
        <v>1622.01</v>
      </c>
      <c r="J286" s="5">
        <v>5</v>
      </c>
      <c r="K286" s="17">
        <v>0.35</v>
      </c>
      <c r="L286" s="6">
        <v>-623.94000000000005</v>
      </c>
      <c r="M286" s="5" t="s">
        <v>37</v>
      </c>
      <c r="N286" s="7" t="s">
        <v>2679</v>
      </c>
      <c r="O286" s="8" t="str">
        <f t="shared" si="28"/>
        <v>Laurel Workman</v>
      </c>
      <c r="P286" s="8" t="str">
        <f t="shared" si="29"/>
        <v>ES</v>
      </c>
      <c r="Q286" s="8" t="str">
        <f t="shared" si="30"/>
        <v>2015</v>
      </c>
      <c r="R286" s="8" t="str">
        <f t="shared" si="31"/>
        <v>HIGH</v>
      </c>
      <c r="S286" s="8" t="str">
        <f t="shared" si="32"/>
        <v>furniture</v>
      </c>
      <c r="T286" s="18" t="str">
        <f t="shared" si="33"/>
        <v>42258</v>
      </c>
      <c r="U286" s="27" t="s">
        <v>2929</v>
      </c>
      <c r="V286" s="16" t="s">
        <v>2710</v>
      </c>
      <c r="W286" s="30">
        <v>2015</v>
      </c>
      <c r="X286" t="s">
        <v>2929</v>
      </c>
      <c r="Y286" s="28">
        <v>42258</v>
      </c>
      <c r="Z286" s="28" t="str">
        <f t="shared" si="34"/>
        <v>ES-2015-LW1682545-42258</v>
      </c>
    </row>
    <row r="287" spans="1:26" ht="15.75">
      <c r="A287" s="19" t="s">
        <v>1529</v>
      </c>
      <c r="B287" s="9">
        <v>41615</v>
      </c>
      <c r="C287" s="9">
        <v>41617</v>
      </c>
      <c r="D287" s="10" t="s">
        <v>1207</v>
      </c>
      <c r="E287" s="10" t="s">
        <v>40</v>
      </c>
      <c r="F287" s="10" t="s">
        <v>111</v>
      </c>
      <c r="G287" s="10" t="s">
        <v>45</v>
      </c>
      <c r="H287" s="10" t="s">
        <v>44</v>
      </c>
      <c r="I287" s="11">
        <v>21.36</v>
      </c>
      <c r="J287" s="10">
        <v>5</v>
      </c>
      <c r="K287" s="20">
        <v>0.2</v>
      </c>
      <c r="L287" s="11">
        <v>7.2089999999999996</v>
      </c>
      <c r="M287" s="10" t="s">
        <v>19</v>
      </c>
      <c r="N287" s="12" t="s">
        <v>2679</v>
      </c>
      <c r="O287" s="13" t="str">
        <f t="shared" si="28"/>
        <v>Alan Hwang</v>
      </c>
      <c r="P287" s="13" t="str">
        <f t="shared" si="29"/>
        <v>CA</v>
      </c>
      <c r="Q287" s="13" t="str">
        <f t="shared" si="30"/>
        <v>2013</v>
      </c>
      <c r="R287" s="13" t="str">
        <f t="shared" si="31"/>
        <v>MEDIUM</v>
      </c>
      <c r="S287" s="13" t="str">
        <f t="shared" si="32"/>
        <v>office supplies</v>
      </c>
      <c r="T287" s="21" t="str">
        <f t="shared" si="33"/>
        <v>41615</v>
      </c>
      <c r="U287" s="27" t="s">
        <v>2917</v>
      </c>
      <c r="V287" s="19" t="s">
        <v>2683</v>
      </c>
      <c r="W287" s="30">
        <v>2013</v>
      </c>
      <c r="X287" t="s">
        <v>2917</v>
      </c>
      <c r="Y287" s="28">
        <v>41615</v>
      </c>
      <c r="Z287" s="28" t="str">
        <f t="shared" si="34"/>
        <v>CA-2013-AH10210140-41615</v>
      </c>
    </row>
    <row r="288" spans="1:26" ht="15.75">
      <c r="A288" s="16" t="s">
        <v>1579</v>
      </c>
      <c r="B288" s="4">
        <v>41216</v>
      </c>
      <c r="C288" s="4">
        <v>41218</v>
      </c>
      <c r="D288" s="5" t="s">
        <v>199</v>
      </c>
      <c r="E288" s="5" t="s">
        <v>1580</v>
      </c>
      <c r="F288" s="5" t="s">
        <v>61</v>
      </c>
      <c r="G288" s="5" t="s">
        <v>45</v>
      </c>
      <c r="H288" s="5" t="s">
        <v>44</v>
      </c>
      <c r="I288" s="6">
        <v>1401.84</v>
      </c>
      <c r="J288" s="5">
        <v>4</v>
      </c>
      <c r="K288" s="17">
        <v>0</v>
      </c>
      <c r="L288" s="6">
        <v>126.16</v>
      </c>
      <c r="M288" s="5" t="s">
        <v>37</v>
      </c>
      <c r="N288" s="7" t="s">
        <v>2679</v>
      </c>
      <c r="O288" s="8" t="str">
        <f t="shared" si="28"/>
        <v>Cari Sayre</v>
      </c>
      <c r="P288" s="8" t="str">
        <f t="shared" si="29"/>
        <v>MX</v>
      </c>
      <c r="Q288" s="8" t="str">
        <f t="shared" si="30"/>
        <v>2012</v>
      </c>
      <c r="R288" s="8" t="str">
        <f t="shared" si="31"/>
        <v>HIGH</v>
      </c>
      <c r="S288" s="8" t="str">
        <f t="shared" si="32"/>
        <v>office supplies</v>
      </c>
      <c r="T288" s="18" t="str">
        <f t="shared" si="33"/>
        <v>41216</v>
      </c>
      <c r="U288" s="27" t="s">
        <v>2930</v>
      </c>
      <c r="V288" s="16" t="s">
        <v>2695</v>
      </c>
      <c r="W288" s="30">
        <v>2012</v>
      </c>
      <c r="X288" t="s">
        <v>2930</v>
      </c>
      <c r="Y288" s="28">
        <v>41216</v>
      </c>
      <c r="Z288" s="28" t="str">
        <f t="shared" si="34"/>
        <v>MX-2012-CS1184516-41216</v>
      </c>
    </row>
    <row r="289" spans="1:26" ht="15.75">
      <c r="A289" s="19" t="s">
        <v>189</v>
      </c>
      <c r="B289" s="9">
        <v>41882</v>
      </c>
      <c r="C289" s="9">
        <v>41885</v>
      </c>
      <c r="D289" s="10" t="s">
        <v>190</v>
      </c>
      <c r="E289" s="10" t="s">
        <v>22</v>
      </c>
      <c r="F289" s="10" t="s">
        <v>71</v>
      </c>
      <c r="G289" s="10" t="s">
        <v>17</v>
      </c>
      <c r="H289" s="10" t="s">
        <v>299</v>
      </c>
      <c r="I289" s="11">
        <v>794.7</v>
      </c>
      <c r="J289" s="10">
        <v>3</v>
      </c>
      <c r="K289" s="20">
        <v>0</v>
      </c>
      <c r="L289" s="11">
        <v>174.78</v>
      </c>
      <c r="M289" s="10" t="s">
        <v>27</v>
      </c>
      <c r="N289" s="12" t="s">
        <v>2679</v>
      </c>
      <c r="O289" s="13" t="str">
        <f t="shared" si="28"/>
        <v>Kimberly Carter</v>
      </c>
      <c r="P289" s="13" t="str">
        <f t="shared" si="29"/>
        <v>IT</v>
      </c>
      <c r="Q289" s="13" t="str">
        <f t="shared" si="30"/>
        <v>2014</v>
      </c>
      <c r="R289" s="13" t="str">
        <f t="shared" si="31"/>
        <v>CRITICAL</v>
      </c>
      <c r="S289" s="13" t="str">
        <f t="shared" si="32"/>
        <v>technology</v>
      </c>
      <c r="T289" s="21" t="str">
        <f t="shared" si="33"/>
        <v>41882</v>
      </c>
      <c r="U289" s="27" t="s">
        <v>2931</v>
      </c>
      <c r="V289" s="19" t="s">
        <v>2690</v>
      </c>
      <c r="W289" s="30">
        <v>2014</v>
      </c>
      <c r="X289" t="s">
        <v>2931</v>
      </c>
      <c r="Y289" s="28">
        <v>41882</v>
      </c>
      <c r="Z289" s="28" t="str">
        <f t="shared" si="34"/>
        <v>IT-2014-KC1667548-41882</v>
      </c>
    </row>
    <row r="290" spans="1:26" ht="15.75">
      <c r="A290" s="16" t="s">
        <v>1556</v>
      </c>
      <c r="B290" s="4">
        <v>41241</v>
      </c>
      <c r="C290" s="4">
        <v>41248</v>
      </c>
      <c r="D290" s="5" t="s">
        <v>1207</v>
      </c>
      <c r="E290" s="5" t="s">
        <v>40</v>
      </c>
      <c r="F290" s="5" t="s">
        <v>43</v>
      </c>
      <c r="G290" s="5" t="s">
        <v>45</v>
      </c>
      <c r="H290" s="5" t="s">
        <v>151</v>
      </c>
      <c r="I290" s="6">
        <v>30.4</v>
      </c>
      <c r="J290" s="5">
        <v>5</v>
      </c>
      <c r="K290" s="17">
        <v>0</v>
      </c>
      <c r="L290" s="6">
        <v>15.2</v>
      </c>
      <c r="M290" s="5" t="s">
        <v>19</v>
      </c>
      <c r="N290" s="7" t="s">
        <v>2679</v>
      </c>
      <c r="O290" s="8" t="str">
        <f t="shared" si="28"/>
        <v>Alan Hwang</v>
      </c>
      <c r="P290" s="8" t="str">
        <f t="shared" si="29"/>
        <v>CA</v>
      </c>
      <c r="Q290" s="8" t="str">
        <f t="shared" si="30"/>
        <v>2012</v>
      </c>
      <c r="R290" s="8" t="str">
        <f t="shared" si="31"/>
        <v>MEDIUM</v>
      </c>
      <c r="S290" s="8" t="str">
        <f t="shared" si="32"/>
        <v>office supplies</v>
      </c>
      <c r="T290" s="18" t="str">
        <f t="shared" si="33"/>
        <v>41241</v>
      </c>
      <c r="U290" s="27" t="s">
        <v>2917</v>
      </c>
      <c r="V290" s="16" t="s">
        <v>2683</v>
      </c>
      <c r="W290" s="30">
        <v>2012</v>
      </c>
      <c r="X290" t="s">
        <v>2917</v>
      </c>
      <c r="Y290" s="28">
        <v>41241</v>
      </c>
      <c r="Z290" s="28" t="str">
        <f t="shared" si="34"/>
        <v>CA-2012-AH10210140-41241</v>
      </c>
    </row>
    <row r="291" spans="1:26" ht="15.75">
      <c r="A291" s="19" t="s">
        <v>1590</v>
      </c>
      <c r="B291" s="9">
        <v>41527</v>
      </c>
      <c r="C291" s="9">
        <v>41529</v>
      </c>
      <c r="D291" s="10" t="s">
        <v>1591</v>
      </c>
      <c r="E291" s="10" t="s">
        <v>66</v>
      </c>
      <c r="F291" s="10" t="s">
        <v>90</v>
      </c>
      <c r="G291" s="10" t="s">
        <v>32</v>
      </c>
      <c r="H291" s="10" t="s">
        <v>46</v>
      </c>
      <c r="I291" s="11">
        <v>1859.99999999999</v>
      </c>
      <c r="J291" s="10">
        <v>4</v>
      </c>
      <c r="K291" s="20">
        <v>0</v>
      </c>
      <c r="L291" s="11">
        <v>316.2</v>
      </c>
      <c r="M291" s="10" t="s">
        <v>37</v>
      </c>
      <c r="N291" s="12" t="s">
        <v>2679</v>
      </c>
      <c r="O291" s="13" t="str">
        <f t="shared" si="28"/>
        <v>Parhena Norris</v>
      </c>
      <c r="P291" s="13" t="str">
        <f t="shared" si="29"/>
        <v>IN</v>
      </c>
      <c r="Q291" s="13" t="str">
        <f t="shared" si="30"/>
        <v>2013</v>
      </c>
      <c r="R291" s="13" t="str">
        <f t="shared" si="31"/>
        <v>HIGH</v>
      </c>
      <c r="S291" s="13" t="str">
        <f t="shared" si="32"/>
        <v>furniture</v>
      </c>
      <c r="T291" s="21" t="str">
        <f t="shared" si="33"/>
        <v>41527</v>
      </c>
      <c r="U291" s="27" t="s">
        <v>2932</v>
      </c>
      <c r="V291" s="19" t="s">
        <v>2681</v>
      </c>
      <c r="W291" s="30">
        <v>2013</v>
      </c>
      <c r="X291" t="s">
        <v>2932</v>
      </c>
      <c r="Y291" s="28">
        <v>41527</v>
      </c>
      <c r="Z291" s="28" t="str">
        <f t="shared" si="34"/>
        <v>IN-2013-PN1877527-41527</v>
      </c>
    </row>
    <row r="292" spans="1:26" ht="15.75">
      <c r="A292" s="16" t="s">
        <v>1593</v>
      </c>
      <c r="B292" s="4">
        <v>41936</v>
      </c>
      <c r="C292" s="4">
        <v>41936</v>
      </c>
      <c r="D292" s="5" t="s">
        <v>405</v>
      </c>
      <c r="E292" s="5" t="s">
        <v>689</v>
      </c>
      <c r="F292" s="5" t="s">
        <v>142</v>
      </c>
      <c r="G292" s="5" t="s">
        <v>17</v>
      </c>
      <c r="H292" s="5" t="s">
        <v>23</v>
      </c>
      <c r="I292" s="6">
        <v>881.1</v>
      </c>
      <c r="J292" s="5">
        <v>5</v>
      </c>
      <c r="K292" s="17">
        <v>0</v>
      </c>
      <c r="L292" s="6">
        <v>184.95</v>
      </c>
      <c r="M292" s="5" t="s">
        <v>37</v>
      </c>
      <c r="N292" s="7" t="s">
        <v>2679</v>
      </c>
      <c r="O292" s="8" t="str">
        <f t="shared" si="28"/>
        <v>Eugene Hildebrand</v>
      </c>
      <c r="P292" s="8" t="str">
        <f t="shared" si="29"/>
        <v>IN</v>
      </c>
      <c r="Q292" s="8" t="str">
        <f t="shared" si="30"/>
        <v>2014</v>
      </c>
      <c r="R292" s="8" t="str">
        <f t="shared" si="31"/>
        <v>HIGH</v>
      </c>
      <c r="S292" s="8" t="str">
        <f t="shared" si="32"/>
        <v>technology</v>
      </c>
      <c r="T292" s="18" t="str">
        <f t="shared" si="33"/>
        <v>41936</v>
      </c>
      <c r="U292" s="27" t="s">
        <v>2933</v>
      </c>
      <c r="V292" s="16" t="s">
        <v>2681</v>
      </c>
      <c r="W292" s="30">
        <v>2014</v>
      </c>
      <c r="X292" t="s">
        <v>2933</v>
      </c>
      <c r="Y292" s="28">
        <v>41936</v>
      </c>
      <c r="Z292" s="28" t="str">
        <f t="shared" si="34"/>
        <v>IN-2014-EH1412578-41936</v>
      </c>
    </row>
    <row r="293" spans="1:26" ht="15.75">
      <c r="A293" s="19" t="s">
        <v>1594</v>
      </c>
      <c r="B293" s="9">
        <v>41801</v>
      </c>
      <c r="C293" s="9">
        <v>41805</v>
      </c>
      <c r="D293" s="10" t="s">
        <v>1023</v>
      </c>
      <c r="E293" s="10" t="s">
        <v>70</v>
      </c>
      <c r="F293" s="10" t="s">
        <v>107</v>
      </c>
      <c r="G293" s="10" t="s">
        <v>17</v>
      </c>
      <c r="H293" s="10" t="s">
        <v>26</v>
      </c>
      <c r="I293" s="11">
        <v>1622.1824999999999</v>
      </c>
      <c r="J293" s="10">
        <v>3</v>
      </c>
      <c r="K293" s="20">
        <v>0.15</v>
      </c>
      <c r="L293" s="11">
        <v>324.38249999999903</v>
      </c>
      <c r="M293" s="10" t="s">
        <v>37</v>
      </c>
      <c r="N293" s="12" t="s">
        <v>2679</v>
      </c>
      <c r="O293" s="13" t="str">
        <f t="shared" si="28"/>
        <v>Arthur Gainer</v>
      </c>
      <c r="P293" s="13" t="str">
        <f t="shared" si="29"/>
        <v xml:space="preserve"> E</v>
      </c>
      <c r="Q293" s="13" t="str">
        <f t="shared" si="30"/>
        <v>-201</v>
      </c>
      <c r="R293" s="13" t="str">
        <f t="shared" si="31"/>
        <v>HIGH</v>
      </c>
      <c r="S293" s="13" t="str">
        <f t="shared" si="32"/>
        <v>technology</v>
      </c>
      <c r="T293" s="21" t="str">
        <f t="shared" si="33"/>
        <v xml:space="preserve">1801 </v>
      </c>
      <c r="U293" s="27" t="s">
        <v>2934</v>
      </c>
      <c r="V293" s="19" t="s">
        <v>2877</v>
      </c>
      <c r="W293" s="30">
        <v>2014</v>
      </c>
      <c r="X293" t="s">
        <v>2934</v>
      </c>
      <c r="Y293" s="28">
        <v>41801</v>
      </c>
      <c r="Z293" s="28" t="str">
        <f t="shared" si="34"/>
        <v>ES-2014-AG1090045-41801</v>
      </c>
    </row>
    <row r="294" spans="1:26" ht="15.75">
      <c r="A294" s="16" t="s">
        <v>1598</v>
      </c>
      <c r="B294" s="4">
        <v>41690</v>
      </c>
      <c r="C294" s="4">
        <v>41697</v>
      </c>
      <c r="D294" s="5" t="s">
        <v>1207</v>
      </c>
      <c r="E294" s="5" t="s">
        <v>40</v>
      </c>
      <c r="F294" s="5" t="s">
        <v>153</v>
      </c>
      <c r="G294" s="5" t="s">
        <v>45</v>
      </c>
      <c r="H294" s="5" t="s">
        <v>127</v>
      </c>
      <c r="I294" s="6">
        <v>16.495999999999999</v>
      </c>
      <c r="J294" s="5">
        <v>2</v>
      </c>
      <c r="K294" s="17">
        <v>0.2</v>
      </c>
      <c r="L294" s="6">
        <v>5.5673999999999904</v>
      </c>
      <c r="M294" s="5" t="s">
        <v>19</v>
      </c>
      <c r="N294" s="7" t="s">
        <v>2679</v>
      </c>
      <c r="O294" s="8" t="str">
        <f t="shared" si="28"/>
        <v>Alan Hwang</v>
      </c>
      <c r="P294" s="8" t="str">
        <f t="shared" si="29"/>
        <v>CA</v>
      </c>
      <c r="Q294" s="8" t="str">
        <f t="shared" si="30"/>
        <v>2014</v>
      </c>
      <c r="R294" s="8" t="str">
        <f t="shared" si="31"/>
        <v>MEDIUM</v>
      </c>
      <c r="S294" s="8" t="str">
        <f t="shared" si="32"/>
        <v>office supplies</v>
      </c>
      <c r="T294" s="18" t="str">
        <f t="shared" si="33"/>
        <v>41690</v>
      </c>
      <c r="U294" s="27" t="s">
        <v>2917</v>
      </c>
      <c r="V294" s="16" t="s">
        <v>2683</v>
      </c>
      <c r="W294" s="30">
        <v>2014</v>
      </c>
      <c r="X294" t="s">
        <v>2917</v>
      </c>
      <c r="Y294" s="28">
        <v>41690</v>
      </c>
      <c r="Z294" s="28" t="str">
        <f t="shared" si="34"/>
        <v>CA-2014-AH10210140-41690</v>
      </c>
    </row>
    <row r="295" spans="1:26" ht="15.75">
      <c r="A295" s="19" t="s">
        <v>1600</v>
      </c>
      <c r="B295" s="9">
        <v>41930</v>
      </c>
      <c r="C295" s="9">
        <v>41934</v>
      </c>
      <c r="D295" s="10" t="s">
        <v>539</v>
      </c>
      <c r="E295" s="10" t="s">
        <v>101</v>
      </c>
      <c r="F295" s="10" t="s">
        <v>98</v>
      </c>
      <c r="G295" s="10" t="s">
        <v>17</v>
      </c>
      <c r="H295" s="10" t="s">
        <v>127</v>
      </c>
      <c r="I295" s="11">
        <v>2120.8000000000002</v>
      </c>
      <c r="J295" s="10">
        <v>5</v>
      </c>
      <c r="K295" s="20">
        <v>0</v>
      </c>
      <c r="L295" s="11">
        <v>275.7</v>
      </c>
      <c r="M295" s="10" t="s">
        <v>37</v>
      </c>
      <c r="N295" s="12" t="s">
        <v>2679</v>
      </c>
      <c r="O295" s="13" t="str">
        <f t="shared" si="28"/>
        <v>Brosina Hoffman</v>
      </c>
      <c r="P295" s="13" t="str">
        <f t="shared" si="29"/>
        <v>MX</v>
      </c>
      <c r="Q295" s="13" t="str">
        <f t="shared" si="30"/>
        <v>2014</v>
      </c>
      <c r="R295" s="13" t="str">
        <f t="shared" si="31"/>
        <v>HIGH</v>
      </c>
      <c r="S295" s="13" t="str">
        <f t="shared" si="32"/>
        <v>technology</v>
      </c>
      <c r="T295" s="21" t="str">
        <f t="shared" si="33"/>
        <v>41930</v>
      </c>
      <c r="U295" s="27" t="s">
        <v>2935</v>
      </c>
      <c r="V295" s="19" t="s">
        <v>2695</v>
      </c>
      <c r="W295" s="30">
        <v>2014</v>
      </c>
      <c r="X295" t="s">
        <v>2935</v>
      </c>
      <c r="Y295" s="28">
        <v>41930</v>
      </c>
      <c r="Z295" s="28" t="str">
        <f t="shared" si="34"/>
        <v>MX-2014-BH1171039-41930</v>
      </c>
    </row>
    <row r="296" spans="1:26" ht="15.75">
      <c r="A296" s="16" t="s">
        <v>1604</v>
      </c>
      <c r="B296" s="4">
        <v>41310</v>
      </c>
      <c r="C296" s="4">
        <v>41315</v>
      </c>
      <c r="D296" s="5" t="s">
        <v>1605</v>
      </c>
      <c r="E296" s="5" t="s">
        <v>114</v>
      </c>
      <c r="F296" s="5" t="s">
        <v>115</v>
      </c>
      <c r="G296" s="5" t="s">
        <v>32</v>
      </c>
      <c r="H296" s="5" t="s">
        <v>26</v>
      </c>
      <c r="I296" s="6">
        <v>1236.33</v>
      </c>
      <c r="J296" s="5">
        <v>3</v>
      </c>
      <c r="K296" s="17">
        <v>0</v>
      </c>
      <c r="L296" s="6">
        <v>519.21</v>
      </c>
      <c r="M296" s="5" t="s">
        <v>37</v>
      </c>
      <c r="N296" s="7" t="s">
        <v>2679</v>
      </c>
      <c r="O296" s="8" t="str">
        <f t="shared" si="28"/>
        <v>Stuart Calhoun</v>
      </c>
      <c r="P296" s="8" t="str">
        <f t="shared" si="29"/>
        <v>IN</v>
      </c>
      <c r="Q296" s="8" t="str">
        <f t="shared" si="30"/>
        <v>2013</v>
      </c>
      <c r="R296" s="8" t="str">
        <f t="shared" si="31"/>
        <v>HIGH</v>
      </c>
      <c r="S296" s="8" t="str">
        <f t="shared" si="32"/>
        <v>furniture</v>
      </c>
      <c r="T296" s="18" t="str">
        <f t="shared" si="33"/>
        <v>41310</v>
      </c>
      <c r="U296" s="27" t="s">
        <v>2936</v>
      </c>
      <c r="V296" s="16" t="s">
        <v>2681</v>
      </c>
      <c r="W296" s="30">
        <v>2013</v>
      </c>
      <c r="X296" t="s">
        <v>2936</v>
      </c>
      <c r="Y296" s="28">
        <v>41310</v>
      </c>
      <c r="Z296" s="28" t="str">
        <f t="shared" si="34"/>
        <v>IN-2013-SC2080058-41310</v>
      </c>
    </row>
    <row r="297" spans="1:26" ht="15.75">
      <c r="A297" s="19" t="s">
        <v>1529</v>
      </c>
      <c r="B297" s="9">
        <v>41615</v>
      </c>
      <c r="C297" s="9">
        <v>41617</v>
      </c>
      <c r="D297" s="10" t="s">
        <v>1207</v>
      </c>
      <c r="E297" s="10" t="s">
        <v>40</v>
      </c>
      <c r="F297" s="10" t="s">
        <v>111</v>
      </c>
      <c r="G297" s="10" t="s">
        <v>45</v>
      </c>
      <c r="H297" s="10" t="s">
        <v>33</v>
      </c>
      <c r="I297" s="11">
        <v>6.6879999999999997</v>
      </c>
      <c r="J297" s="10">
        <v>2</v>
      </c>
      <c r="K297" s="20">
        <v>0.2</v>
      </c>
      <c r="L297" s="11">
        <v>2.34079999999999</v>
      </c>
      <c r="M297" s="10" t="s">
        <v>19</v>
      </c>
      <c r="N297" s="12" t="s">
        <v>2679</v>
      </c>
      <c r="O297" s="13" t="str">
        <f t="shared" si="28"/>
        <v>Alan Hwang</v>
      </c>
      <c r="P297" s="13" t="str">
        <f t="shared" si="29"/>
        <v>CA</v>
      </c>
      <c r="Q297" s="13" t="str">
        <f t="shared" si="30"/>
        <v>2013</v>
      </c>
      <c r="R297" s="13" t="str">
        <f t="shared" si="31"/>
        <v>MEDIUM</v>
      </c>
      <c r="S297" s="13" t="str">
        <f t="shared" si="32"/>
        <v>office supplies</v>
      </c>
      <c r="T297" s="21" t="str">
        <f t="shared" si="33"/>
        <v>41615</v>
      </c>
      <c r="U297" s="27" t="s">
        <v>2917</v>
      </c>
      <c r="V297" s="19" t="s">
        <v>2683</v>
      </c>
      <c r="W297" s="30">
        <v>2013</v>
      </c>
      <c r="X297" t="s">
        <v>2917</v>
      </c>
      <c r="Y297" s="28">
        <v>41615</v>
      </c>
      <c r="Z297" s="28" t="str">
        <f t="shared" si="34"/>
        <v>CA-2013-AH10210140-41615</v>
      </c>
    </row>
    <row r="298" spans="1:26" ht="15.75">
      <c r="A298" s="16" t="s">
        <v>156</v>
      </c>
      <c r="B298" s="4">
        <v>42244</v>
      </c>
      <c r="C298" s="4">
        <v>42245</v>
      </c>
      <c r="D298" s="5" t="s">
        <v>157</v>
      </c>
      <c r="E298" s="5" t="s">
        <v>66</v>
      </c>
      <c r="F298" s="5" t="s">
        <v>67</v>
      </c>
      <c r="G298" s="5" t="s">
        <v>17</v>
      </c>
      <c r="H298" s="5" t="s">
        <v>151</v>
      </c>
      <c r="I298" s="6">
        <v>759.66</v>
      </c>
      <c r="J298" s="5">
        <v>2</v>
      </c>
      <c r="K298" s="17">
        <v>0</v>
      </c>
      <c r="L298" s="6">
        <v>311.45999999999998</v>
      </c>
      <c r="M298" s="5" t="s">
        <v>37</v>
      </c>
      <c r="N298" s="7" t="s">
        <v>2679</v>
      </c>
      <c r="O298" s="8" t="str">
        <f t="shared" si="28"/>
        <v>Arthur Prichep</v>
      </c>
      <c r="P298" s="8" t="str">
        <f t="shared" si="29"/>
        <v>IN</v>
      </c>
      <c r="Q298" s="8" t="str">
        <f t="shared" si="30"/>
        <v>2015</v>
      </c>
      <c r="R298" s="8" t="str">
        <f t="shared" si="31"/>
        <v>HIGH</v>
      </c>
      <c r="S298" s="8" t="str">
        <f t="shared" si="32"/>
        <v>technology</v>
      </c>
      <c r="T298" s="18" t="str">
        <f t="shared" si="33"/>
        <v>42244</v>
      </c>
      <c r="U298" s="27" t="s">
        <v>2937</v>
      </c>
      <c r="V298" s="16" t="s">
        <v>2681</v>
      </c>
      <c r="W298" s="30">
        <v>2015</v>
      </c>
      <c r="X298" t="s">
        <v>2937</v>
      </c>
      <c r="Y298" s="28">
        <v>42244</v>
      </c>
      <c r="Z298" s="28" t="str">
        <f t="shared" si="34"/>
        <v>IN-2015-AP1091527-42244</v>
      </c>
    </row>
    <row r="299" spans="1:26" ht="15.75">
      <c r="A299" s="19" t="s">
        <v>1561</v>
      </c>
      <c r="B299" s="9">
        <v>42072</v>
      </c>
      <c r="C299" s="9">
        <v>42079</v>
      </c>
      <c r="D299" s="10" t="s">
        <v>1207</v>
      </c>
      <c r="E299" s="10" t="s">
        <v>40</v>
      </c>
      <c r="F299" s="10" t="s">
        <v>43</v>
      </c>
      <c r="G299" s="10" t="s">
        <v>45</v>
      </c>
      <c r="H299" s="10" t="s">
        <v>33</v>
      </c>
      <c r="I299" s="11">
        <v>3.36</v>
      </c>
      <c r="J299" s="10">
        <v>2</v>
      </c>
      <c r="K299" s="20">
        <v>0</v>
      </c>
      <c r="L299" s="11">
        <v>0.87360000000000004</v>
      </c>
      <c r="M299" s="10" t="s">
        <v>19</v>
      </c>
      <c r="N299" s="12" t="s">
        <v>2679</v>
      </c>
      <c r="O299" s="13" t="str">
        <f t="shared" si="28"/>
        <v>Alan Hwang</v>
      </c>
      <c r="P299" s="13" t="str">
        <f t="shared" si="29"/>
        <v>CA</v>
      </c>
      <c r="Q299" s="13" t="str">
        <f t="shared" si="30"/>
        <v>2015</v>
      </c>
      <c r="R299" s="13" t="str">
        <f t="shared" si="31"/>
        <v>MEDIUM</v>
      </c>
      <c r="S299" s="13" t="str">
        <f t="shared" si="32"/>
        <v>office supplies</v>
      </c>
      <c r="T299" s="21" t="str">
        <f t="shared" si="33"/>
        <v>42072</v>
      </c>
      <c r="U299" s="27" t="s">
        <v>2917</v>
      </c>
      <c r="V299" s="19" t="s">
        <v>2683</v>
      </c>
      <c r="W299" s="30">
        <v>2015</v>
      </c>
      <c r="X299" t="s">
        <v>2917</v>
      </c>
      <c r="Y299" s="28">
        <v>42072</v>
      </c>
      <c r="Z299" s="28" t="str">
        <f t="shared" si="34"/>
        <v>CA-2015-AH10210140-42072</v>
      </c>
    </row>
    <row r="300" spans="1:26" ht="15.75">
      <c r="A300" s="16" t="s">
        <v>1607</v>
      </c>
      <c r="B300" s="4">
        <v>41040</v>
      </c>
      <c r="C300" s="4">
        <v>41042</v>
      </c>
      <c r="D300" s="5" t="s">
        <v>338</v>
      </c>
      <c r="E300" s="5" t="s">
        <v>70</v>
      </c>
      <c r="F300" s="5" t="s">
        <v>71</v>
      </c>
      <c r="G300" s="5" t="s">
        <v>32</v>
      </c>
      <c r="H300" s="5" t="s">
        <v>44</v>
      </c>
      <c r="I300" s="6">
        <v>627.27599999999995</v>
      </c>
      <c r="J300" s="5">
        <v>2</v>
      </c>
      <c r="K300" s="17">
        <v>0.35</v>
      </c>
      <c r="L300" s="6">
        <v>-135.14399999999901</v>
      </c>
      <c r="M300" s="5" t="s">
        <v>27</v>
      </c>
      <c r="N300" s="7" t="s">
        <v>2679</v>
      </c>
      <c r="O300" s="8" t="str">
        <f t="shared" si="28"/>
        <v>Mike Pelletier</v>
      </c>
      <c r="P300" s="8" t="str">
        <f t="shared" si="29"/>
        <v>IT</v>
      </c>
      <c r="Q300" s="8" t="str">
        <f t="shared" si="30"/>
        <v>2012</v>
      </c>
      <c r="R300" s="8" t="str">
        <f t="shared" si="31"/>
        <v>CRITICAL</v>
      </c>
      <c r="S300" s="8" t="str">
        <f t="shared" si="32"/>
        <v>furniture</v>
      </c>
      <c r="T300" s="18" t="str">
        <f t="shared" si="33"/>
        <v>41040</v>
      </c>
      <c r="U300" s="27" t="s">
        <v>2938</v>
      </c>
      <c r="V300" s="16" t="s">
        <v>2690</v>
      </c>
      <c r="W300" s="30">
        <v>2012</v>
      </c>
      <c r="X300" t="s">
        <v>2938</v>
      </c>
      <c r="Y300" s="28">
        <v>41040</v>
      </c>
      <c r="Z300" s="28" t="str">
        <f t="shared" si="34"/>
        <v>IT-2012-MP1817545-41040</v>
      </c>
    </row>
    <row r="301" spans="1:26" ht="15.75">
      <c r="A301" s="19" t="s">
        <v>1610</v>
      </c>
      <c r="B301" s="9">
        <v>41863</v>
      </c>
      <c r="C301" s="9">
        <v>41865</v>
      </c>
      <c r="D301" s="10" t="s">
        <v>1611</v>
      </c>
      <c r="E301" s="10" t="s">
        <v>905</v>
      </c>
      <c r="F301" s="10" t="s">
        <v>77</v>
      </c>
      <c r="G301" s="10" t="s">
        <v>17</v>
      </c>
      <c r="H301" s="10" t="s">
        <v>44</v>
      </c>
      <c r="I301" s="11">
        <v>553.91999999999996</v>
      </c>
      <c r="J301" s="10">
        <v>4</v>
      </c>
      <c r="K301" s="20">
        <v>0</v>
      </c>
      <c r="L301" s="11">
        <v>22.08</v>
      </c>
      <c r="M301" s="10" t="s">
        <v>27</v>
      </c>
      <c r="N301" s="12" t="s">
        <v>2679</v>
      </c>
      <c r="O301" s="13" t="str">
        <f t="shared" si="28"/>
        <v>Tonja Turnell</v>
      </c>
      <c r="P301" s="13" t="str">
        <f t="shared" si="29"/>
        <v>AL</v>
      </c>
      <c r="Q301" s="13" t="str">
        <f t="shared" si="30"/>
        <v>2014</v>
      </c>
      <c r="R301" s="13" t="str">
        <f t="shared" si="31"/>
        <v>CRITICAL</v>
      </c>
      <c r="S301" s="13" t="str">
        <f t="shared" si="32"/>
        <v>technology</v>
      </c>
      <c r="T301" s="21" t="str">
        <f t="shared" si="33"/>
        <v>41863</v>
      </c>
      <c r="U301" s="27" t="s">
        <v>2939</v>
      </c>
      <c r="V301" s="19" t="s">
        <v>2940</v>
      </c>
      <c r="W301" s="30">
        <v>2014</v>
      </c>
      <c r="X301" t="s">
        <v>2939</v>
      </c>
      <c r="Y301" s="28">
        <v>41863</v>
      </c>
      <c r="Z301" s="28" t="str">
        <f t="shared" si="34"/>
        <v>AL-2014-TT114602-41863</v>
      </c>
    </row>
    <row r="302" spans="1:26" ht="15.75">
      <c r="A302" s="16" t="s">
        <v>1614</v>
      </c>
      <c r="B302" s="4">
        <v>42035</v>
      </c>
      <c r="C302" s="4">
        <v>42036</v>
      </c>
      <c r="D302" s="5" t="s">
        <v>118</v>
      </c>
      <c r="E302" s="5" t="s">
        <v>66</v>
      </c>
      <c r="F302" s="5" t="s">
        <v>90</v>
      </c>
      <c r="G302" s="5" t="s">
        <v>17</v>
      </c>
      <c r="H302" s="5" t="s">
        <v>26</v>
      </c>
      <c r="I302" s="6">
        <v>791.19</v>
      </c>
      <c r="J302" s="5">
        <v>3</v>
      </c>
      <c r="K302" s="17">
        <v>0</v>
      </c>
      <c r="L302" s="6">
        <v>126.539999999999</v>
      </c>
      <c r="M302" s="5" t="s">
        <v>27</v>
      </c>
      <c r="N302" s="7" t="s">
        <v>2679</v>
      </c>
      <c r="O302" s="8" t="str">
        <f t="shared" si="28"/>
        <v>Rick Reed</v>
      </c>
      <c r="P302" s="8" t="str">
        <f t="shared" si="29"/>
        <v>IN</v>
      </c>
      <c r="Q302" s="8" t="str">
        <f t="shared" si="30"/>
        <v>2015</v>
      </c>
      <c r="R302" s="8" t="str">
        <f t="shared" si="31"/>
        <v>CRITICAL</v>
      </c>
      <c r="S302" s="8" t="str">
        <f t="shared" si="32"/>
        <v>technology</v>
      </c>
      <c r="T302" s="18" t="str">
        <f t="shared" si="33"/>
        <v>42035</v>
      </c>
      <c r="U302" s="27" t="s">
        <v>2941</v>
      </c>
      <c r="V302" s="16" t="s">
        <v>2681</v>
      </c>
      <c r="W302" s="30">
        <v>2015</v>
      </c>
      <c r="X302" t="s">
        <v>2941</v>
      </c>
      <c r="Y302" s="28">
        <v>42035</v>
      </c>
      <c r="Z302" s="28" t="str">
        <f t="shared" si="34"/>
        <v>IN-2015-RR1952527-42035</v>
      </c>
    </row>
    <row r="303" spans="1:26" ht="15.75">
      <c r="A303" s="19" t="s">
        <v>1623</v>
      </c>
      <c r="B303" s="9">
        <v>41031</v>
      </c>
      <c r="C303" s="9">
        <v>41033</v>
      </c>
      <c r="D303" s="10" t="s">
        <v>1624</v>
      </c>
      <c r="E303" s="10" t="s">
        <v>83</v>
      </c>
      <c r="F303" s="10" t="s">
        <v>84</v>
      </c>
      <c r="G303" s="10" t="s">
        <v>17</v>
      </c>
      <c r="H303" s="10" t="s">
        <v>73</v>
      </c>
      <c r="I303" s="11">
        <v>642.719999999999</v>
      </c>
      <c r="J303" s="10">
        <v>2</v>
      </c>
      <c r="K303" s="20">
        <v>0</v>
      </c>
      <c r="L303" s="11">
        <v>224.94</v>
      </c>
      <c r="M303" s="10" t="s">
        <v>27</v>
      </c>
      <c r="N303" s="12" t="s">
        <v>2679</v>
      </c>
      <c r="O303" s="13" t="str">
        <f t="shared" si="28"/>
        <v>Toby Ritter</v>
      </c>
      <c r="P303" s="13" t="str">
        <f t="shared" si="29"/>
        <v>TZ</v>
      </c>
      <c r="Q303" s="13" t="str">
        <f t="shared" si="30"/>
        <v>2012</v>
      </c>
      <c r="R303" s="13" t="str">
        <f t="shared" si="31"/>
        <v>CRITICAL</v>
      </c>
      <c r="S303" s="13" t="str">
        <f t="shared" si="32"/>
        <v>technology</v>
      </c>
      <c r="T303" s="21" t="str">
        <f t="shared" si="33"/>
        <v>41031</v>
      </c>
      <c r="U303" s="27" t="s">
        <v>2942</v>
      </c>
      <c r="V303" s="19" t="s">
        <v>2943</v>
      </c>
      <c r="W303" s="30">
        <v>2012</v>
      </c>
      <c r="X303" t="s">
        <v>2942</v>
      </c>
      <c r="Y303" s="28">
        <v>41031</v>
      </c>
      <c r="Z303" s="28" t="str">
        <f t="shared" si="34"/>
        <v>TZ-2012-TR11325129-41031</v>
      </c>
    </row>
    <row r="304" spans="1:26" ht="15.75">
      <c r="A304" s="16" t="s">
        <v>1625</v>
      </c>
      <c r="B304" s="4">
        <v>41877</v>
      </c>
      <c r="C304" s="4">
        <v>41878</v>
      </c>
      <c r="D304" s="5" t="s">
        <v>1626</v>
      </c>
      <c r="E304" s="5" t="s">
        <v>97</v>
      </c>
      <c r="F304" s="5" t="s">
        <v>98</v>
      </c>
      <c r="G304" s="5" t="s">
        <v>17</v>
      </c>
      <c r="H304" s="5" t="s">
        <v>33</v>
      </c>
      <c r="I304" s="6">
        <v>1308.48</v>
      </c>
      <c r="J304" s="5">
        <v>3</v>
      </c>
      <c r="K304" s="17">
        <v>0</v>
      </c>
      <c r="L304" s="6">
        <v>13.08</v>
      </c>
      <c r="M304" s="5" t="s">
        <v>785</v>
      </c>
      <c r="N304" s="7" t="s">
        <v>2679</v>
      </c>
      <c r="O304" s="8" t="str">
        <f t="shared" si="28"/>
        <v>Shaun Chance</v>
      </c>
      <c r="P304" s="8" t="str">
        <f t="shared" si="29"/>
        <v>MX</v>
      </c>
      <c r="Q304" s="8" t="str">
        <f t="shared" si="30"/>
        <v>2014</v>
      </c>
      <c r="R304" s="8" t="str">
        <f t="shared" si="31"/>
        <v xml:space="preserve"> HIGH </v>
      </c>
      <c r="S304" s="8" t="str">
        <f t="shared" si="32"/>
        <v>technology</v>
      </c>
      <c r="T304" s="18" t="str">
        <f t="shared" si="33"/>
        <v>41877</v>
      </c>
      <c r="U304" s="27" t="s">
        <v>2944</v>
      </c>
      <c r="V304" s="16" t="s">
        <v>2695</v>
      </c>
      <c r="W304" s="30">
        <v>2014</v>
      </c>
      <c r="X304" t="s">
        <v>2944</v>
      </c>
      <c r="Y304" s="28">
        <v>41877</v>
      </c>
      <c r="Z304" s="28" t="str">
        <f t="shared" si="34"/>
        <v>MX-2014-SC2044082-41877</v>
      </c>
    </row>
    <row r="305" spans="1:26" ht="15.75">
      <c r="A305" s="19" t="s">
        <v>1640</v>
      </c>
      <c r="B305" s="9">
        <v>41340</v>
      </c>
      <c r="C305" s="9">
        <v>41345</v>
      </c>
      <c r="D305" s="10" t="s">
        <v>361</v>
      </c>
      <c r="E305" s="10" t="s">
        <v>93</v>
      </c>
      <c r="F305" s="10" t="s">
        <v>94</v>
      </c>
      <c r="G305" s="10" t="s">
        <v>17</v>
      </c>
      <c r="H305" s="10" t="s">
        <v>73</v>
      </c>
      <c r="I305" s="11">
        <v>1893.3</v>
      </c>
      <c r="J305" s="10">
        <v>5</v>
      </c>
      <c r="K305" s="20">
        <v>0</v>
      </c>
      <c r="L305" s="11">
        <v>927.6</v>
      </c>
      <c r="M305" s="10" t="s">
        <v>19</v>
      </c>
      <c r="N305" s="12" t="s">
        <v>2679</v>
      </c>
      <c r="O305" s="13" t="str">
        <f t="shared" si="28"/>
        <v>Bill Eplett</v>
      </c>
      <c r="P305" s="13" t="str">
        <f t="shared" si="29"/>
        <v>ES</v>
      </c>
      <c r="Q305" s="13" t="str">
        <f t="shared" si="30"/>
        <v>2013</v>
      </c>
      <c r="R305" s="13" t="str">
        <f t="shared" si="31"/>
        <v>MEDIUM</v>
      </c>
      <c r="S305" s="13" t="str">
        <f t="shared" si="32"/>
        <v>technology</v>
      </c>
      <c r="T305" s="21" t="str">
        <f t="shared" si="33"/>
        <v>41340</v>
      </c>
      <c r="U305" s="27" t="s">
        <v>2945</v>
      </c>
      <c r="V305" s="19" t="s">
        <v>2710</v>
      </c>
      <c r="W305" s="30">
        <v>2013</v>
      </c>
      <c r="X305" t="s">
        <v>2945</v>
      </c>
      <c r="Y305" s="28">
        <v>41340</v>
      </c>
      <c r="Z305" s="28" t="str">
        <f t="shared" si="34"/>
        <v>ES-2013-BE11335139-41340</v>
      </c>
    </row>
    <row r="306" spans="1:26" ht="15.75">
      <c r="A306" s="16" t="s">
        <v>1643</v>
      </c>
      <c r="B306" s="4">
        <v>41789</v>
      </c>
      <c r="C306" s="4">
        <v>41794</v>
      </c>
      <c r="D306" s="5" t="s">
        <v>1644</v>
      </c>
      <c r="E306" s="5" t="s">
        <v>22</v>
      </c>
      <c r="F306" s="5" t="s">
        <v>71</v>
      </c>
      <c r="G306" s="5" t="s">
        <v>17</v>
      </c>
      <c r="H306" s="5" t="s">
        <v>299</v>
      </c>
      <c r="I306" s="6">
        <v>2570.7599999999902</v>
      </c>
      <c r="J306" s="5">
        <v>4</v>
      </c>
      <c r="K306" s="17">
        <v>0</v>
      </c>
      <c r="L306" s="6">
        <v>976.8</v>
      </c>
      <c r="M306" s="5" t="s">
        <v>19</v>
      </c>
      <c r="N306" s="7" t="s">
        <v>2679</v>
      </c>
      <c r="O306" s="8" t="str">
        <f t="shared" si="28"/>
        <v>Joni Blumstein</v>
      </c>
      <c r="P306" s="8" t="str">
        <f t="shared" si="29"/>
        <v>IT</v>
      </c>
      <c r="Q306" s="8" t="str">
        <f t="shared" si="30"/>
        <v>2014</v>
      </c>
      <c r="R306" s="8" t="str">
        <f t="shared" si="31"/>
        <v>MEDIUM</v>
      </c>
      <c r="S306" s="8" t="str">
        <f t="shared" si="32"/>
        <v>technology</v>
      </c>
      <c r="T306" s="18" t="str">
        <f t="shared" si="33"/>
        <v>-1789</v>
      </c>
      <c r="U306" s="27" t="s">
        <v>2946</v>
      </c>
      <c r="V306" s="16" t="s">
        <v>2690</v>
      </c>
      <c r="W306" s="30">
        <v>2014</v>
      </c>
      <c r="X306" t="s">
        <v>2946</v>
      </c>
      <c r="Y306" s="28">
        <v>1789</v>
      </c>
      <c r="Z306" s="28" t="str">
        <f t="shared" si="34"/>
        <v>IT-2014-JB15925484-1789</v>
      </c>
    </row>
    <row r="307" spans="1:26" ht="15.75">
      <c r="A307" s="19" t="s">
        <v>1645</v>
      </c>
      <c r="B307" s="9">
        <v>41807</v>
      </c>
      <c r="C307" s="9">
        <v>41810</v>
      </c>
      <c r="D307" s="10" t="s">
        <v>477</v>
      </c>
      <c r="E307" s="10" t="s">
        <v>93</v>
      </c>
      <c r="F307" s="10" t="s">
        <v>94</v>
      </c>
      <c r="G307" s="10" t="s">
        <v>17</v>
      </c>
      <c r="H307" s="10" t="s">
        <v>26</v>
      </c>
      <c r="I307" s="11">
        <v>1199.76</v>
      </c>
      <c r="J307" s="10">
        <v>4</v>
      </c>
      <c r="K307" s="20">
        <v>0</v>
      </c>
      <c r="L307" s="11">
        <v>479.88</v>
      </c>
      <c r="M307" s="10" t="s">
        <v>19</v>
      </c>
      <c r="N307" s="12" t="s">
        <v>2679</v>
      </c>
      <c r="O307" s="13" t="str">
        <f t="shared" si="28"/>
        <v>Tamara Willingham</v>
      </c>
      <c r="P307" s="13" t="str">
        <f t="shared" si="29"/>
        <v>ES</v>
      </c>
      <c r="Q307" s="13" t="str">
        <f t="shared" si="30"/>
        <v>2014</v>
      </c>
      <c r="R307" s="13" t="str">
        <f t="shared" si="31"/>
        <v>MEDIUM</v>
      </c>
      <c r="S307" s="13" t="str">
        <f t="shared" si="32"/>
        <v>technology</v>
      </c>
      <c r="T307" s="21" t="str">
        <f t="shared" si="33"/>
        <v>41807</v>
      </c>
      <c r="U307" s="27" t="s">
        <v>2947</v>
      </c>
      <c r="V307" s="19" t="s">
        <v>2710</v>
      </c>
      <c r="W307" s="30">
        <v>2014</v>
      </c>
      <c r="X307" t="s">
        <v>2947</v>
      </c>
      <c r="Y307" s="28">
        <v>41807</v>
      </c>
      <c r="Z307" s="28" t="str">
        <f t="shared" si="34"/>
        <v>ES-2014-TW21025139-41807</v>
      </c>
    </row>
    <row r="308" spans="1:26" ht="15.75">
      <c r="A308" s="16" t="s">
        <v>1648</v>
      </c>
      <c r="B308" s="4">
        <v>41537</v>
      </c>
      <c r="C308" s="4">
        <v>41542</v>
      </c>
      <c r="D308" s="5" t="s">
        <v>1426</v>
      </c>
      <c r="E308" s="5" t="s">
        <v>719</v>
      </c>
      <c r="F308" s="5" t="s">
        <v>416</v>
      </c>
      <c r="G308" s="5" t="s">
        <v>45</v>
      </c>
      <c r="H308" s="5" t="s">
        <v>33</v>
      </c>
      <c r="I308" s="6">
        <v>2145.7199999999998</v>
      </c>
      <c r="J308" s="5">
        <v>4</v>
      </c>
      <c r="K308" s="17">
        <v>0</v>
      </c>
      <c r="L308" s="6">
        <v>364.68</v>
      </c>
      <c r="M308" s="5" t="s">
        <v>19</v>
      </c>
      <c r="N308" s="7" t="s">
        <v>2679</v>
      </c>
      <c r="O308" s="8" t="str">
        <f t="shared" si="28"/>
        <v>Lena Radford</v>
      </c>
      <c r="P308" s="8" t="str">
        <f t="shared" si="29"/>
        <v>ES</v>
      </c>
      <c r="Q308" s="8" t="str">
        <f t="shared" si="30"/>
        <v>2013</v>
      </c>
      <c r="R308" s="8" t="str">
        <f t="shared" si="31"/>
        <v>MEDIUM</v>
      </c>
      <c r="S308" s="8" t="str">
        <f t="shared" si="32"/>
        <v>office supplies</v>
      </c>
      <c r="T308" s="18" t="str">
        <f t="shared" si="33"/>
        <v>41537</v>
      </c>
      <c r="U308" s="27" t="s">
        <v>2948</v>
      </c>
      <c r="V308" s="16" t="s">
        <v>2710</v>
      </c>
      <c r="W308" s="30">
        <v>2013</v>
      </c>
      <c r="X308" t="s">
        <v>2948</v>
      </c>
      <c r="Y308" s="28">
        <v>41537</v>
      </c>
      <c r="Z308" s="28" t="str">
        <f t="shared" si="34"/>
        <v>ES-2013-LR1691544-41537</v>
      </c>
    </row>
    <row r="309" spans="1:26" ht="15.75">
      <c r="A309" s="19" t="s">
        <v>1630</v>
      </c>
      <c r="B309" s="9">
        <v>42265</v>
      </c>
      <c r="C309" s="9">
        <v>42269</v>
      </c>
      <c r="D309" s="10" t="s">
        <v>207</v>
      </c>
      <c r="E309" s="10" t="s">
        <v>40</v>
      </c>
      <c r="F309" s="10" t="s">
        <v>43</v>
      </c>
      <c r="G309" s="10" t="s">
        <v>45</v>
      </c>
      <c r="H309" s="10" t="s">
        <v>46</v>
      </c>
      <c r="I309" s="11">
        <v>164.88</v>
      </c>
      <c r="J309" s="10">
        <v>3</v>
      </c>
      <c r="K309" s="20">
        <v>0</v>
      </c>
      <c r="L309" s="11">
        <v>446.49793718379902</v>
      </c>
      <c r="M309" s="10" t="s">
        <v>19</v>
      </c>
      <c r="N309" s="12" t="s">
        <v>2679</v>
      </c>
      <c r="O309" s="13" t="str">
        <f t="shared" si="28"/>
        <v>Alan Schoenberger</v>
      </c>
      <c r="P309" s="13" t="str">
        <f t="shared" si="29"/>
        <v>CA</v>
      </c>
      <c r="Q309" s="13" t="str">
        <f t="shared" si="30"/>
        <v>2015</v>
      </c>
      <c r="R309" s="13" t="str">
        <f t="shared" si="31"/>
        <v>MEDIUM</v>
      </c>
      <c r="S309" s="13" t="str">
        <f t="shared" si="32"/>
        <v>office supplies</v>
      </c>
      <c r="T309" s="21" t="str">
        <f t="shared" si="33"/>
        <v>42265</v>
      </c>
      <c r="U309" s="27" t="s">
        <v>2949</v>
      </c>
      <c r="V309" s="19" t="s">
        <v>2683</v>
      </c>
      <c r="W309" s="30">
        <v>2015</v>
      </c>
      <c r="X309" t="s">
        <v>2949</v>
      </c>
      <c r="Y309" s="28">
        <v>42265</v>
      </c>
      <c r="Z309" s="28" t="str">
        <f t="shared" si="34"/>
        <v>CA-2015-AS10225140-42265</v>
      </c>
    </row>
    <row r="310" spans="1:26" ht="15.75">
      <c r="A310" s="16" t="s">
        <v>1650</v>
      </c>
      <c r="B310" s="4">
        <v>41141</v>
      </c>
      <c r="C310" s="4">
        <v>41141</v>
      </c>
      <c r="D310" s="5" t="s">
        <v>1651</v>
      </c>
      <c r="E310" s="5" t="s">
        <v>70</v>
      </c>
      <c r="F310" s="5" t="s">
        <v>71</v>
      </c>
      <c r="G310" s="5" t="s">
        <v>45</v>
      </c>
      <c r="H310" s="5" t="s">
        <v>23</v>
      </c>
      <c r="I310" s="6">
        <v>895.05</v>
      </c>
      <c r="J310" s="5">
        <v>5</v>
      </c>
      <c r="K310" s="17">
        <v>0.1</v>
      </c>
      <c r="L310" s="6">
        <v>178.95</v>
      </c>
      <c r="M310" s="5" t="s">
        <v>37</v>
      </c>
      <c r="N310" s="7" t="s">
        <v>2679</v>
      </c>
      <c r="O310" s="8" t="str">
        <f t="shared" si="28"/>
        <v>Frank Olsen</v>
      </c>
      <c r="P310" s="8" t="str">
        <f t="shared" si="29"/>
        <v>ES</v>
      </c>
      <c r="Q310" s="8" t="str">
        <f t="shared" si="30"/>
        <v>2012</v>
      </c>
      <c r="R310" s="8" t="str">
        <f t="shared" si="31"/>
        <v>HIGH</v>
      </c>
      <c r="S310" s="8" t="str">
        <f t="shared" si="32"/>
        <v>office supplies</v>
      </c>
      <c r="T310" s="18" t="str">
        <f t="shared" si="33"/>
        <v>41141</v>
      </c>
      <c r="U310" s="27" t="s">
        <v>2950</v>
      </c>
      <c r="V310" s="16" t="s">
        <v>2710</v>
      </c>
      <c r="W310" s="30">
        <v>2012</v>
      </c>
      <c r="X310" t="s">
        <v>2950</v>
      </c>
      <c r="Y310" s="28">
        <v>41141</v>
      </c>
      <c r="Z310" s="28" t="str">
        <f t="shared" si="34"/>
        <v>ES-2012-FO1430545-41141</v>
      </c>
    </row>
    <row r="311" spans="1:26" ht="15.75">
      <c r="A311" s="19" t="s">
        <v>1130</v>
      </c>
      <c r="B311" s="9">
        <v>41929</v>
      </c>
      <c r="C311" s="9">
        <v>41931</v>
      </c>
      <c r="D311" s="10" t="s">
        <v>1131</v>
      </c>
      <c r="E311" s="10" t="s">
        <v>31</v>
      </c>
      <c r="F311" s="10" t="s">
        <v>16</v>
      </c>
      <c r="G311" s="10" t="s">
        <v>17</v>
      </c>
      <c r="H311" s="10" t="s">
        <v>44</v>
      </c>
      <c r="I311" s="11">
        <v>636.78</v>
      </c>
      <c r="J311" s="10">
        <v>2</v>
      </c>
      <c r="K311" s="20">
        <v>0</v>
      </c>
      <c r="L311" s="11">
        <v>286.5</v>
      </c>
      <c r="M311" s="10" t="s">
        <v>27</v>
      </c>
      <c r="N311" s="12" t="s">
        <v>2679</v>
      </c>
      <c r="O311" s="13" t="str">
        <f t="shared" si="28"/>
        <v>Clytie Kelty</v>
      </c>
      <c r="P311" s="13" t="str">
        <f t="shared" si="29"/>
        <v>IN</v>
      </c>
      <c r="Q311" s="13" t="str">
        <f t="shared" si="30"/>
        <v>2014</v>
      </c>
      <c r="R311" s="13" t="str">
        <f t="shared" si="31"/>
        <v>CRITICAL</v>
      </c>
      <c r="S311" s="13" t="str">
        <f t="shared" si="32"/>
        <v>technology</v>
      </c>
      <c r="T311" s="21" t="str">
        <f t="shared" si="33"/>
        <v>41929</v>
      </c>
      <c r="U311" s="27" t="s">
        <v>2831</v>
      </c>
      <c r="V311" s="19" t="s">
        <v>2681</v>
      </c>
      <c r="W311" s="30">
        <v>2014</v>
      </c>
      <c r="X311" t="s">
        <v>2831</v>
      </c>
      <c r="Y311" s="28">
        <v>41929</v>
      </c>
      <c r="Z311" s="28" t="str">
        <f t="shared" si="34"/>
        <v>IN-2014-CK1259592-41929</v>
      </c>
    </row>
    <row r="312" spans="1:26" ht="15.75">
      <c r="A312" s="16" t="s">
        <v>1661</v>
      </c>
      <c r="B312" s="4">
        <v>42348</v>
      </c>
      <c r="C312" s="4">
        <v>42352</v>
      </c>
      <c r="D312" s="5" t="s">
        <v>1230</v>
      </c>
      <c r="E312" s="5" t="s">
        <v>322</v>
      </c>
      <c r="F312" s="5" t="s">
        <v>142</v>
      </c>
      <c r="G312" s="5" t="s">
        <v>17</v>
      </c>
      <c r="H312" s="5" t="s">
        <v>33</v>
      </c>
      <c r="I312" s="6">
        <v>1587.0014999999901</v>
      </c>
      <c r="J312" s="5">
        <v>3</v>
      </c>
      <c r="K312" s="17">
        <v>0.17</v>
      </c>
      <c r="L312" s="6">
        <v>-76.558499999999896</v>
      </c>
      <c r="M312" s="5" t="s">
        <v>19</v>
      </c>
      <c r="N312" s="7" t="s">
        <v>2679</v>
      </c>
      <c r="O312" s="8" t="str">
        <f t="shared" si="28"/>
        <v>Roy Phan</v>
      </c>
      <c r="P312" s="8" t="str">
        <f t="shared" si="29"/>
        <v>ID</v>
      </c>
      <c r="Q312" s="8" t="str">
        <f t="shared" si="30"/>
        <v>2015</v>
      </c>
      <c r="R312" s="8" t="str">
        <f t="shared" si="31"/>
        <v>MEDIUM</v>
      </c>
      <c r="S312" s="8" t="str">
        <f t="shared" si="32"/>
        <v>technology</v>
      </c>
      <c r="T312" s="18" t="str">
        <f t="shared" si="33"/>
        <v>42348</v>
      </c>
      <c r="U312" s="27" t="s">
        <v>2951</v>
      </c>
      <c r="V312" s="16" t="s">
        <v>2705</v>
      </c>
      <c r="W312" s="30">
        <v>2015</v>
      </c>
      <c r="X312" t="s">
        <v>2951</v>
      </c>
      <c r="Y312" s="28">
        <v>42348</v>
      </c>
      <c r="Z312" s="28" t="str">
        <f t="shared" si="34"/>
        <v>ID-2015-RP19855130-42348</v>
      </c>
    </row>
    <row r="313" spans="1:26" ht="15.75">
      <c r="A313" s="19" t="s">
        <v>13</v>
      </c>
      <c r="B313" s="9">
        <v>41929</v>
      </c>
      <c r="C313" s="9">
        <v>41930</v>
      </c>
      <c r="D313" s="10" t="s">
        <v>14</v>
      </c>
      <c r="E313" s="10" t="s">
        <v>15</v>
      </c>
      <c r="F313" s="10" t="s">
        <v>16</v>
      </c>
      <c r="G313" s="10" t="s">
        <v>17</v>
      </c>
      <c r="H313" s="10" t="s">
        <v>18</v>
      </c>
      <c r="I313" s="11">
        <v>5175.1710000000003</v>
      </c>
      <c r="J313" s="10">
        <v>9</v>
      </c>
      <c r="K313" s="20">
        <v>0.1</v>
      </c>
      <c r="L313" s="11">
        <v>919.97099999999898</v>
      </c>
      <c r="M313" s="10" t="s">
        <v>19</v>
      </c>
      <c r="N313" s="12" t="e" cm="1" vm="1">
        <f t="array" aca="1" ref="N313" ca="1">IF(J312:J878&gt;5,"Bulk Order","Normal Order")</f>
        <v>#VALUE!</v>
      </c>
      <c r="O313" s="13" t="str">
        <f t="shared" si="28"/>
        <v>Craig Reiter</v>
      </c>
      <c r="P313" s="13" t="str">
        <f t="shared" si="29"/>
        <v>IN</v>
      </c>
      <c r="Q313" s="13" t="str">
        <f t="shared" si="30"/>
        <v>2014</v>
      </c>
      <c r="R313" s="13" t="str">
        <f t="shared" si="31"/>
        <v>MEDIUM</v>
      </c>
      <c r="S313" s="13" t="str">
        <f t="shared" si="32"/>
        <v>technology</v>
      </c>
      <c r="T313" s="21" t="str">
        <f t="shared" si="33"/>
        <v>41929</v>
      </c>
      <c r="U313" s="27" t="s">
        <v>2952</v>
      </c>
      <c r="V313" s="19" t="s">
        <v>2681</v>
      </c>
      <c r="W313" s="30">
        <v>2014</v>
      </c>
      <c r="X313" t="s">
        <v>2952</v>
      </c>
      <c r="Y313" s="28">
        <v>41929</v>
      </c>
      <c r="Z313" s="28" t="str">
        <f t="shared" si="34"/>
        <v>IN-2014-CR127307-41929</v>
      </c>
    </row>
    <row r="314" spans="1:26" ht="15.75">
      <c r="A314" s="16" t="s">
        <v>64</v>
      </c>
      <c r="B314" s="4">
        <v>41796</v>
      </c>
      <c r="C314" s="4">
        <v>41798</v>
      </c>
      <c r="D314" s="5" t="s">
        <v>65</v>
      </c>
      <c r="E314" s="5" t="s">
        <v>66</v>
      </c>
      <c r="F314" s="5" t="s">
        <v>67</v>
      </c>
      <c r="G314" s="5" t="s">
        <v>45</v>
      </c>
      <c r="H314" s="5" t="s">
        <v>26</v>
      </c>
      <c r="I314" s="6">
        <v>3701.51999999999</v>
      </c>
      <c r="J314" s="5">
        <v>12</v>
      </c>
      <c r="K314" s="17">
        <v>0</v>
      </c>
      <c r="L314" s="6">
        <v>1036.08</v>
      </c>
      <c r="M314" s="5" t="s">
        <v>27</v>
      </c>
      <c r="N314" s="7"/>
      <c r="O314" s="8" t="str">
        <f t="shared" si="28"/>
        <v>Peter Fuller</v>
      </c>
      <c r="P314" s="8" t="str">
        <f t="shared" si="29"/>
        <v>IN</v>
      </c>
      <c r="Q314" s="8" t="str">
        <f t="shared" si="30"/>
        <v>2014</v>
      </c>
      <c r="R314" s="8" t="str">
        <f t="shared" si="31"/>
        <v>CRITICAL</v>
      </c>
      <c r="S314" s="8" t="str">
        <f t="shared" si="32"/>
        <v>office supplies</v>
      </c>
      <c r="T314" s="18" t="str">
        <f t="shared" si="33"/>
        <v>41796</v>
      </c>
      <c r="U314" s="27" t="s">
        <v>2953</v>
      </c>
      <c r="V314" s="16" t="s">
        <v>2681</v>
      </c>
      <c r="W314" s="30">
        <v>2014</v>
      </c>
      <c r="X314" t="s">
        <v>2953</v>
      </c>
      <c r="Y314" s="28">
        <v>41796</v>
      </c>
      <c r="Z314" s="28" t="str">
        <f t="shared" si="34"/>
        <v>IN-2014-PF1912027-41796</v>
      </c>
    </row>
    <row r="315" spans="1:26" ht="15.75">
      <c r="A315" s="19" t="s">
        <v>81</v>
      </c>
      <c r="B315" s="9">
        <v>42343</v>
      </c>
      <c r="C315" s="9">
        <v>42345</v>
      </c>
      <c r="D315" s="10" t="s">
        <v>82</v>
      </c>
      <c r="E315" s="10" t="s">
        <v>83</v>
      </c>
      <c r="F315" s="10" t="s">
        <v>84</v>
      </c>
      <c r="G315" s="10" t="s">
        <v>45</v>
      </c>
      <c r="H315" s="10" t="s">
        <v>73</v>
      </c>
      <c r="I315" s="11">
        <v>3409.74</v>
      </c>
      <c r="J315" s="10">
        <v>6</v>
      </c>
      <c r="K315" s="20">
        <v>0</v>
      </c>
      <c r="L315" s="11">
        <v>818.28</v>
      </c>
      <c r="M315" s="10" t="s">
        <v>37</v>
      </c>
      <c r="N315" s="12"/>
      <c r="O315" s="13" t="str">
        <f t="shared" si="28"/>
        <v>Ritsa Hightower</v>
      </c>
      <c r="P315" s="13" t="str">
        <f t="shared" si="29"/>
        <v>TZ</v>
      </c>
      <c r="Q315" s="13" t="str">
        <f t="shared" si="30"/>
        <v>2015</v>
      </c>
      <c r="R315" s="13" t="str">
        <f t="shared" si="31"/>
        <v>HIGH</v>
      </c>
      <c r="S315" s="13" t="str">
        <f t="shared" si="32"/>
        <v>office supplies</v>
      </c>
      <c r="T315" s="21" t="str">
        <f t="shared" si="33"/>
        <v>42343</v>
      </c>
      <c r="U315" s="27" t="s">
        <v>2954</v>
      </c>
      <c r="V315" s="19" t="s">
        <v>2943</v>
      </c>
      <c r="W315" s="30">
        <v>2015</v>
      </c>
      <c r="X315" t="s">
        <v>2954</v>
      </c>
      <c r="Y315" s="28">
        <v>42343</v>
      </c>
      <c r="Z315" s="28" t="str">
        <f t="shared" si="34"/>
        <v>TZ-2015-RH9555129-42343</v>
      </c>
    </row>
    <row r="316" spans="1:26" ht="15.75">
      <c r="A316" s="16" t="s">
        <v>88</v>
      </c>
      <c r="B316" s="4">
        <v>41030</v>
      </c>
      <c r="C316" s="4">
        <v>41031</v>
      </c>
      <c r="D316" s="5" t="s">
        <v>89</v>
      </c>
      <c r="E316" s="5" t="s">
        <v>66</v>
      </c>
      <c r="F316" s="5" t="s">
        <v>90</v>
      </c>
      <c r="G316" s="5" t="s">
        <v>32</v>
      </c>
      <c r="H316" s="5" t="s">
        <v>44</v>
      </c>
      <c r="I316" s="6">
        <v>2753.99999999999</v>
      </c>
      <c r="J316" s="5">
        <v>6</v>
      </c>
      <c r="K316" s="17">
        <v>0</v>
      </c>
      <c r="L316" s="6">
        <v>358.02</v>
      </c>
      <c r="M316" s="5" t="s">
        <v>27</v>
      </c>
      <c r="N316" s="7"/>
      <c r="O316" s="8" t="str">
        <f t="shared" si="28"/>
        <v>Jason Klamczynski</v>
      </c>
      <c r="P316" s="8" t="str">
        <f t="shared" si="29"/>
        <v>IN</v>
      </c>
      <c r="Q316" s="8" t="str">
        <f t="shared" si="30"/>
        <v>2012</v>
      </c>
      <c r="R316" s="8" t="str">
        <f t="shared" si="31"/>
        <v>CRITICAL</v>
      </c>
      <c r="S316" s="8" t="str">
        <f t="shared" si="32"/>
        <v>furniture</v>
      </c>
      <c r="T316" s="18" t="str">
        <f t="shared" si="33"/>
        <v>41030</v>
      </c>
      <c r="U316" s="27" t="s">
        <v>2955</v>
      </c>
      <c r="V316" s="16" t="s">
        <v>2681</v>
      </c>
      <c r="W316" s="30">
        <v>2012</v>
      </c>
      <c r="X316" t="s">
        <v>2955</v>
      </c>
      <c r="Y316" s="28">
        <v>41030</v>
      </c>
      <c r="Z316" s="28" t="str">
        <f t="shared" si="34"/>
        <v>IN-2012-JK1532527-41030</v>
      </c>
    </row>
    <row r="317" spans="1:26" ht="15.75">
      <c r="A317" s="19" t="s">
        <v>99</v>
      </c>
      <c r="B317" s="9">
        <v>42252</v>
      </c>
      <c r="C317" s="9">
        <v>42255</v>
      </c>
      <c r="D317" s="10" t="s">
        <v>100</v>
      </c>
      <c r="E317" s="10" t="s">
        <v>101</v>
      </c>
      <c r="F317" s="10" t="s">
        <v>98</v>
      </c>
      <c r="G317" s="10" t="s">
        <v>32</v>
      </c>
      <c r="H317" s="10" t="s">
        <v>73</v>
      </c>
      <c r="I317" s="11">
        <v>2106.4960000000001</v>
      </c>
      <c r="J317" s="10">
        <v>8</v>
      </c>
      <c r="K317" s="20">
        <v>0.2</v>
      </c>
      <c r="L317" s="11">
        <v>526.49599999999998</v>
      </c>
      <c r="M317" s="10" t="s">
        <v>27</v>
      </c>
      <c r="N317" s="12"/>
      <c r="O317" s="13" t="str">
        <f t="shared" si="28"/>
        <v>Valerie Dominguez</v>
      </c>
      <c r="P317" s="13" t="str">
        <f t="shared" si="29"/>
        <v>MX</v>
      </c>
      <c r="Q317" s="13" t="str">
        <f t="shared" si="30"/>
        <v>2015</v>
      </c>
      <c r="R317" s="13" t="str">
        <f t="shared" si="31"/>
        <v>CRITICAL</v>
      </c>
      <c r="S317" s="13" t="str">
        <f t="shared" si="32"/>
        <v>furniture</v>
      </c>
      <c r="T317" s="21" t="str">
        <f t="shared" si="33"/>
        <v>42252</v>
      </c>
      <c r="U317" s="27" t="s">
        <v>2956</v>
      </c>
      <c r="V317" s="19" t="s">
        <v>2695</v>
      </c>
      <c r="W317" s="30">
        <v>2015</v>
      </c>
      <c r="X317" t="s">
        <v>2956</v>
      </c>
      <c r="Y317" s="28">
        <v>42252</v>
      </c>
      <c r="Z317" s="28" t="str">
        <f t="shared" si="34"/>
        <v>MX-2015-VD2167039-42252</v>
      </c>
    </row>
    <row r="318" spans="1:26" ht="15.75">
      <c r="A318" s="16" t="s">
        <v>109</v>
      </c>
      <c r="B318" s="4">
        <v>41020</v>
      </c>
      <c r="C318" s="4">
        <v>41022</v>
      </c>
      <c r="D318" s="5" t="s">
        <v>110</v>
      </c>
      <c r="E318" s="5" t="s">
        <v>40</v>
      </c>
      <c r="F318" s="5" t="s">
        <v>111</v>
      </c>
      <c r="G318" s="5" t="s">
        <v>45</v>
      </c>
      <c r="H318" s="5" t="s">
        <v>44</v>
      </c>
      <c r="I318" s="6">
        <v>247.84</v>
      </c>
      <c r="J318" s="5">
        <v>8</v>
      </c>
      <c r="K318" s="17">
        <v>0</v>
      </c>
      <c r="L318" s="6">
        <v>121.44159999999999</v>
      </c>
      <c r="M318" s="5" t="s">
        <v>27</v>
      </c>
      <c r="N318" s="7"/>
      <c r="O318" s="8" t="str">
        <f t="shared" si="28"/>
        <v>Aaron Hawkins</v>
      </c>
      <c r="P318" s="8" t="str">
        <f t="shared" si="29"/>
        <v>CA</v>
      </c>
      <c r="Q318" s="8" t="str">
        <f t="shared" si="30"/>
        <v>2012</v>
      </c>
      <c r="R318" s="8" t="str">
        <f t="shared" si="31"/>
        <v>CRITICAL</v>
      </c>
      <c r="S318" s="8" t="str">
        <f t="shared" si="32"/>
        <v>office supplies</v>
      </c>
      <c r="T318" s="18" t="str">
        <f t="shared" si="33"/>
        <v>41020</v>
      </c>
      <c r="U318" s="27" t="s">
        <v>2687</v>
      </c>
      <c r="V318" s="16" t="s">
        <v>2683</v>
      </c>
      <c r="W318" s="30">
        <v>2012</v>
      </c>
      <c r="X318" t="s">
        <v>2687</v>
      </c>
      <c r="Y318" s="28">
        <v>41020</v>
      </c>
      <c r="Z318" s="28" t="str">
        <f t="shared" si="34"/>
        <v>CA-2012-AH10030140-41020</v>
      </c>
    </row>
    <row r="319" spans="1:26" ht="15.75">
      <c r="A319" s="19" t="s">
        <v>121</v>
      </c>
      <c r="B319" s="9">
        <v>41472</v>
      </c>
      <c r="C319" s="9">
        <v>41474</v>
      </c>
      <c r="D319" s="10" t="s">
        <v>122</v>
      </c>
      <c r="E319" s="10" t="s">
        <v>70</v>
      </c>
      <c r="F319" s="10" t="s">
        <v>71</v>
      </c>
      <c r="G319" s="10" t="s">
        <v>17</v>
      </c>
      <c r="H319" s="10" t="s">
        <v>23</v>
      </c>
      <c r="I319" s="11">
        <v>2402.8649999999998</v>
      </c>
      <c r="J319" s="10">
        <v>9</v>
      </c>
      <c r="K319" s="20">
        <v>0.15</v>
      </c>
      <c r="L319" s="11">
        <v>763.15499999999997</v>
      </c>
      <c r="M319" s="10" t="s">
        <v>27</v>
      </c>
      <c r="N319" s="12"/>
      <c r="O319" s="13" t="str">
        <f t="shared" si="28"/>
        <v>Bill Shonely</v>
      </c>
      <c r="P319" s="13" t="str">
        <f t="shared" si="29"/>
        <v>ES</v>
      </c>
      <c r="Q319" s="13" t="str">
        <f t="shared" si="30"/>
        <v>2013</v>
      </c>
      <c r="R319" s="13" t="str">
        <f t="shared" si="31"/>
        <v>CRITICAL</v>
      </c>
      <c r="S319" s="13" t="str">
        <f t="shared" si="32"/>
        <v>technology</v>
      </c>
      <c r="T319" s="21" t="str">
        <f t="shared" si="33"/>
        <v>41472</v>
      </c>
      <c r="U319" s="27" t="s">
        <v>2957</v>
      </c>
      <c r="V319" s="19" t="s">
        <v>2710</v>
      </c>
      <c r="W319" s="30">
        <v>2013</v>
      </c>
      <c r="X319" t="s">
        <v>2957</v>
      </c>
      <c r="Y319" s="28">
        <v>41472</v>
      </c>
      <c r="Z319" s="28" t="str">
        <f t="shared" si="34"/>
        <v>ES-2013-BS1136545-41472</v>
      </c>
    </row>
    <row r="320" spans="1:26" ht="15.75">
      <c r="A320" s="16" t="s">
        <v>123</v>
      </c>
      <c r="B320" s="4">
        <v>41635</v>
      </c>
      <c r="C320" s="4">
        <v>41639</v>
      </c>
      <c r="D320" s="5" t="s">
        <v>110</v>
      </c>
      <c r="E320" s="5" t="s">
        <v>40</v>
      </c>
      <c r="F320" s="5" t="s">
        <v>43</v>
      </c>
      <c r="G320" s="5" t="s">
        <v>17</v>
      </c>
      <c r="H320" s="5" t="s">
        <v>26</v>
      </c>
      <c r="I320" s="6">
        <v>668.16</v>
      </c>
      <c r="J320" s="5">
        <v>9</v>
      </c>
      <c r="K320" s="17">
        <v>0.2</v>
      </c>
      <c r="L320" s="6">
        <v>75.167999999999907</v>
      </c>
      <c r="M320" s="5" t="s">
        <v>19</v>
      </c>
      <c r="N320" s="7"/>
      <c r="O320" s="8" t="str">
        <f t="shared" si="28"/>
        <v>Aaron Hawkins</v>
      </c>
      <c r="P320" s="8" t="str">
        <f t="shared" si="29"/>
        <v>CA</v>
      </c>
      <c r="Q320" s="8" t="str">
        <f t="shared" si="30"/>
        <v>2013</v>
      </c>
      <c r="R320" s="8" t="str">
        <f t="shared" si="31"/>
        <v>MEDIUM</v>
      </c>
      <c r="S320" s="8" t="str">
        <f t="shared" si="32"/>
        <v>technology</v>
      </c>
      <c r="T320" s="18" t="str">
        <f t="shared" si="33"/>
        <v>41635</v>
      </c>
      <c r="U320" s="27" t="s">
        <v>2958</v>
      </c>
      <c r="V320" s="16" t="s">
        <v>2683</v>
      </c>
      <c r="W320" s="30">
        <v>2013</v>
      </c>
      <c r="X320" t="s">
        <v>2958</v>
      </c>
      <c r="Y320" s="28">
        <v>41635</v>
      </c>
      <c r="Z320" s="28" t="str">
        <f t="shared" si="34"/>
        <v>CA-2013-AH1003014-041635</v>
      </c>
    </row>
    <row r="321" spans="1:26" ht="15.75">
      <c r="A321" s="19" t="s">
        <v>129</v>
      </c>
      <c r="B321" s="9">
        <v>41165</v>
      </c>
      <c r="C321" s="9">
        <v>41166</v>
      </c>
      <c r="D321" s="10" t="s">
        <v>110</v>
      </c>
      <c r="E321" s="10" t="s">
        <v>130</v>
      </c>
      <c r="F321" s="10" t="s">
        <v>131</v>
      </c>
      <c r="G321" s="10" t="s">
        <v>132</v>
      </c>
      <c r="H321" s="10" t="s">
        <v>73</v>
      </c>
      <c r="I321" s="11">
        <v>3817.26</v>
      </c>
      <c r="J321" s="10">
        <v>6</v>
      </c>
      <c r="K321" s="20">
        <v>0</v>
      </c>
      <c r="L321" s="11">
        <v>1068.6599999999901</v>
      </c>
      <c r="M321" s="10" t="s">
        <v>37</v>
      </c>
      <c r="N321" s="12"/>
      <c r="O321" s="13" t="str">
        <f t="shared" si="28"/>
        <v>Aaron Hawkins</v>
      </c>
      <c r="P321" s="13" t="str">
        <f t="shared" si="29"/>
        <v>CG</v>
      </c>
      <c r="Q321" s="13" t="str">
        <f t="shared" si="30"/>
        <v>2012</v>
      </c>
      <c r="R321" s="13" t="str">
        <f t="shared" si="31"/>
        <v>HIGH</v>
      </c>
      <c r="S321" s="13" t="str">
        <f t="shared" si="32"/>
        <v>technoolgy</v>
      </c>
      <c r="T321" s="21" t="str">
        <f t="shared" si="33"/>
        <v>41165</v>
      </c>
      <c r="U321" s="27" t="s">
        <v>2959</v>
      </c>
      <c r="V321" s="19" t="s">
        <v>2837</v>
      </c>
      <c r="W321" s="30">
        <v>2012</v>
      </c>
      <c r="X321" t="s">
        <v>2959</v>
      </c>
      <c r="Y321" s="28">
        <v>41165</v>
      </c>
      <c r="Z321" s="28" t="str">
        <f t="shared" si="34"/>
        <v>CG-2012-AH1003033-41165</v>
      </c>
    </row>
    <row r="322" spans="1:26" ht="15.75">
      <c r="A322" s="16" t="s">
        <v>133</v>
      </c>
      <c r="B322" s="4">
        <v>41041</v>
      </c>
      <c r="C322" s="5" t="s">
        <v>134</v>
      </c>
      <c r="D322" s="5" t="s">
        <v>110</v>
      </c>
      <c r="E322" s="5" t="s">
        <v>40</v>
      </c>
      <c r="F322" s="5" t="s">
        <v>43</v>
      </c>
      <c r="G322" s="5" t="s">
        <v>32</v>
      </c>
      <c r="H322" s="5" t="s">
        <v>44</v>
      </c>
      <c r="I322" s="6">
        <v>279.45600000000002</v>
      </c>
      <c r="J322" s="5">
        <v>6</v>
      </c>
      <c r="K322" s="17">
        <v>0.2</v>
      </c>
      <c r="L322" s="6">
        <v>20.9591999999999</v>
      </c>
      <c r="M322" s="5" t="s">
        <v>19</v>
      </c>
      <c r="N322" s="7"/>
      <c r="O322" s="8" t="str">
        <f t="shared" ref="O322:O385" si="35">PROPER(D322)</f>
        <v>Aaron Hawkins</v>
      </c>
      <c r="P322" s="8" t="str">
        <f t="shared" ref="P322:P385" si="36">LEFT(A322,2)</f>
        <v>CA</v>
      </c>
      <c r="Q322" s="8" t="str">
        <f t="shared" ref="Q322:Q385" si="37">MID(A322,4,4)</f>
        <v>2012</v>
      </c>
      <c r="R322" s="8" t="str">
        <f t="shared" ref="R322:R385" si="38">UPPER(M322)</f>
        <v>MEDIUM</v>
      </c>
      <c r="S322" s="8" t="str">
        <f t="shared" ref="S322:S385" si="39">LOWER(G322)</f>
        <v>furniture</v>
      </c>
      <c r="T322" s="18" t="str">
        <f t="shared" ref="T322:T385" si="40">RIGHT(A322,5)</f>
        <v>41041</v>
      </c>
      <c r="U322" s="27" t="s">
        <v>2687</v>
      </c>
      <c r="V322" s="16" t="s">
        <v>2683</v>
      </c>
      <c r="W322" s="30">
        <v>2012</v>
      </c>
      <c r="X322" t="s">
        <v>2687</v>
      </c>
      <c r="Y322" s="28">
        <v>41041</v>
      </c>
      <c r="Z322" s="28" t="str">
        <f t="shared" ref="Z322:Z385" si="41">TRIM(A322)</f>
        <v>CA-2012-AH10030140-41041</v>
      </c>
    </row>
    <row r="323" spans="1:26" ht="15.75">
      <c r="A323" s="19" t="s">
        <v>139</v>
      </c>
      <c r="B323" s="9">
        <v>41873</v>
      </c>
      <c r="C323" s="9">
        <v>41877</v>
      </c>
      <c r="D323" s="10" t="s">
        <v>140</v>
      </c>
      <c r="E323" s="10" t="s">
        <v>141</v>
      </c>
      <c r="F323" s="10" t="s">
        <v>142</v>
      </c>
      <c r="G323" s="10" t="s">
        <v>17</v>
      </c>
      <c r="H323" s="10" t="s">
        <v>33</v>
      </c>
      <c r="I323" s="11">
        <v>3200.5962</v>
      </c>
      <c r="J323" s="10">
        <v>6</v>
      </c>
      <c r="K323" s="20">
        <v>0.17</v>
      </c>
      <c r="L323" s="11">
        <v>-77.203799999999802</v>
      </c>
      <c r="M323" s="10" t="s">
        <v>37</v>
      </c>
      <c r="N323" s="12"/>
      <c r="O323" s="13" t="str">
        <f t="shared" si="35"/>
        <v>Joy Bell-</v>
      </c>
      <c r="P323" s="13" t="str">
        <f t="shared" si="36"/>
        <v>ID</v>
      </c>
      <c r="Q323" s="13" t="str">
        <f t="shared" si="37"/>
        <v>2014</v>
      </c>
      <c r="R323" s="13" t="str">
        <f t="shared" si="38"/>
        <v>HIGH</v>
      </c>
      <c r="S323" s="13" t="str">
        <f t="shared" si="39"/>
        <v>technology</v>
      </c>
      <c r="T323" s="21" t="str">
        <f t="shared" si="40"/>
        <v>41873</v>
      </c>
      <c r="U323" s="27" t="s">
        <v>2960</v>
      </c>
      <c r="V323" s="19" t="s">
        <v>2705</v>
      </c>
      <c r="W323" s="30">
        <v>2014</v>
      </c>
      <c r="X323" t="s">
        <v>2960</v>
      </c>
      <c r="Y323" s="28">
        <v>41873</v>
      </c>
      <c r="Z323" s="28" t="str">
        <f t="shared" si="41"/>
        <v>ID-2014-JB1600059-41873</v>
      </c>
    </row>
    <row r="324" spans="1:26" ht="15.75">
      <c r="A324" s="16" t="s">
        <v>143</v>
      </c>
      <c r="B324" s="4">
        <v>42319</v>
      </c>
      <c r="C324" s="4">
        <v>42323</v>
      </c>
      <c r="D324" s="5" t="s">
        <v>144</v>
      </c>
      <c r="E324" s="5" t="s">
        <v>114</v>
      </c>
      <c r="F324" s="5" t="s">
        <v>115</v>
      </c>
      <c r="G324" s="5" t="s">
        <v>17</v>
      </c>
      <c r="H324" s="5" t="s">
        <v>26</v>
      </c>
      <c r="I324" s="6">
        <v>4518.78</v>
      </c>
      <c r="J324" s="5">
        <v>7</v>
      </c>
      <c r="K324" s="17">
        <v>0</v>
      </c>
      <c r="L324" s="6">
        <v>632.52</v>
      </c>
      <c r="M324" s="5" t="s">
        <v>37</v>
      </c>
      <c r="N324" s="7"/>
      <c r="O324" s="8" t="str">
        <f t="shared" si="35"/>
        <v>Barry Franz</v>
      </c>
      <c r="P324" s="8" t="str">
        <f t="shared" si="36"/>
        <v>IN</v>
      </c>
      <c r="Q324" s="8" t="str">
        <f t="shared" si="37"/>
        <v>2015</v>
      </c>
      <c r="R324" s="8" t="str">
        <f t="shared" si="38"/>
        <v>HIGH</v>
      </c>
      <c r="S324" s="8" t="str">
        <f t="shared" si="39"/>
        <v>technology</v>
      </c>
      <c r="T324" s="18" t="str">
        <f t="shared" si="40"/>
        <v>42319</v>
      </c>
      <c r="U324" s="27" t="s">
        <v>2961</v>
      </c>
      <c r="V324" s="16" t="s">
        <v>2681</v>
      </c>
      <c r="W324" s="30">
        <v>2015</v>
      </c>
      <c r="X324" t="s">
        <v>2961</v>
      </c>
      <c r="Y324" s="28">
        <v>42319</v>
      </c>
      <c r="Z324" s="28" t="str">
        <f t="shared" si="41"/>
        <v>IN-2015-BF1100558-42319</v>
      </c>
    </row>
    <row r="325" spans="1:26" ht="15.75">
      <c r="A325" s="19" t="s">
        <v>145</v>
      </c>
      <c r="B325" s="9">
        <v>42273</v>
      </c>
      <c r="C325" s="9">
        <v>42275</v>
      </c>
      <c r="D325" s="10" t="s">
        <v>146</v>
      </c>
      <c r="E325" s="10" t="s">
        <v>114</v>
      </c>
      <c r="F325" s="10" t="s">
        <v>115</v>
      </c>
      <c r="G325" s="10" t="s">
        <v>32</v>
      </c>
      <c r="H325" s="10" t="s">
        <v>26</v>
      </c>
      <c r="I325" s="11">
        <v>5667.87</v>
      </c>
      <c r="J325" s="10">
        <v>13</v>
      </c>
      <c r="K325" s="20">
        <v>0</v>
      </c>
      <c r="L325" s="11">
        <v>2097.0300000000002</v>
      </c>
      <c r="M325" s="10" t="s">
        <v>19</v>
      </c>
      <c r="N325" s="12"/>
      <c r="O325" s="13" t="str">
        <f t="shared" si="35"/>
        <v>Vivek Grady</v>
      </c>
      <c r="P325" s="13" t="str">
        <f t="shared" si="36"/>
        <v>IN</v>
      </c>
      <c r="Q325" s="13" t="str">
        <f t="shared" si="37"/>
        <v>2015</v>
      </c>
      <c r="R325" s="13" t="str">
        <f t="shared" si="38"/>
        <v>MEDIUM</v>
      </c>
      <c r="S325" s="13" t="str">
        <f t="shared" si="39"/>
        <v>furniture</v>
      </c>
      <c r="T325" s="21" t="str">
        <f t="shared" si="40"/>
        <v>42273</v>
      </c>
      <c r="U325" s="27" t="s">
        <v>2962</v>
      </c>
      <c r="V325" s="19" t="s">
        <v>2681</v>
      </c>
      <c r="W325" s="30">
        <v>2015</v>
      </c>
      <c r="X325" t="s">
        <v>2962</v>
      </c>
      <c r="Y325" s="28">
        <v>42273</v>
      </c>
      <c r="Z325" s="28" t="str">
        <f t="shared" si="41"/>
        <v>IN-2015-VG2180558-42273</v>
      </c>
    </row>
    <row r="326" spans="1:26" ht="15.75">
      <c r="A326" s="16" t="s">
        <v>147</v>
      </c>
      <c r="B326" s="4">
        <v>41621</v>
      </c>
      <c r="C326" s="4">
        <v>41625</v>
      </c>
      <c r="D326" s="5" t="s">
        <v>148</v>
      </c>
      <c r="E326" s="5" t="s">
        <v>93</v>
      </c>
      <c r="F326" s="5" t="s">
        <v>94</v>
      </c>
      <c r="G326" s="5" t="s">
        <v>17</v>
      </c>
      <c r="H326" s="5" t="s">
        <v>26</v>
      </c>
      <c r="I326" s="6">
        <v>5785.0199999999904</v>
      </c>
      <c r="J326" s="5">
        <v>9</v>
      </c>
      <c r="K326" s="17">
        <v>0</v>
      </c>
      <c r="L326" s="6">
        <v>404.73</v>
      </c>
      <c r="M326" s="5" t="s">
        <v>37</v>
      </c>
      <c r="N326" s="7"/>
      <c r="O326" s="8" t="str">
        <f t="shared" si="35"/>
        <v>Greg Tran</v>
      </c>
      <c r="P326" s="8" t="str">
        <f t="shared" si="36"/>
        <v>ES</v>
      </c>
      <c r="Q326" s="8" t="str">
        <f t="shared" si="37"/>
        <v>2013</v>
      </c>
      <c r="R326" s="8" t="str">
        <f t="shared" si="38"/>
        <v>HIGH</v>
      </c>
      <c r="S326" s="8" t="str">
        <f t="shared" si="39"/>
        <v>technology</v>
      </c>
      <c r="T326" s="18" t="str">
        <f t="shared" si="40"/>
        <v>41621</v>
      </c>
      <c r="U326" s="27" t="s">
        <v>2963</v>
      </c>
      <c r="V326" s="16" t="s">
        <v>2710</v>
      </c>
      <c r="W326" s="30">
        <v>2013</v>
      </c>
      <c r="X326" t="s">
        <v>2963</v>
      </c>
      <c r="Y326" s="28">
        <v>41621</v>
      </c>
      <c r="Z326" s="28" t="str">
        <f t="shared" si="41"/>
        <v>ES-2013-GT14710139-41621</v>
      </c>
    </row>
    <row r="327" spans="1:26" ht="15.75">
      <c r="A327" s="19" t="s">
        <v>149</v>
      </c>
      <c r="B327" s="9">
        <v>41174</v>
      </c>
      <c r="C327" s="9">
        <v>41176</v>
      </c>
      <c r="D327" s="10" t="s">
        <v>150</v>
      </c>
      <c r="E327" s="10" t="s">
        <v>22</v>
      </c>
      <c r="F327" s="10" t="s">
        <v>71</v>
      </c>
      <c r="G327" s="10" t="s">
        <v>45</v>
      </c>
      <c r="H327" s="10" t="s">
        <v>151</v>
      </c>
      <c r="I327" s="11">
        <v>3018.6239999999998</v>
      </c>
      <c r="J327" s="10">
        <v>7</v>
      </c>
      <c r="K327" s="20">
        <v>0.2</v>
      </c>
      <c r="L327" s="11">
        <v>377.24399999999901</v>
      </c>
      <c r="M327" s="10" t="s">
        <v>27</v>
      </c>
      <c r="N327" s="12"/>
      <c r="O327" s="13" t="str">
        <f t="shared" si="35"/>
        <v>Zuschuss Carroll</v>
      </c>
      <c r="P327" s="13" t="str">
        <f t="shared" si="36"/>
        <v>IT</v>
      </c>
      <c r="Q327" s="13" t="str">
        <f t="shared" si="37"/>
        <v>2012</v>
      </c>
      <c r="R327" s="13" t="str">
        <f t="shared" si="38"/>
        <v>CRITICAL</v>
      </c>
      <c r="S327" s="13" t="str">
        <f t="shared" si="39"/>
        <v>office supplies</v>
      </c>
      <c r="T327" s="21" t="str">
        <f t="shared" si="40"/>
        <v>41174</v>
      </c>
      <c r="U327" s="27" t="s">
        <v>2964</v>
      </c>
      <c r="V327" s="19" t="s">
        <v>2690</v>
      </c>
      <c r="W327" s="30">
        <v>2012</v>
      </c>
      <c r="X327" t="s">
        <v>2964</v>
      </c>
      <c r="Y327" s="28">
        <v>41174</v>
      </c>
      <c r="Z327" s="28" t="str">
        <f t="shared" si="41"/>
        <v>IT-2012-ZC2191048-41174</v>
      </c>
    </row>
    <row r="328" spans="1:26" ht="15.75">
      <c r="A328" s="16" t="s">
        <v>156</v>
      </c>
      <c r="B328" s="4">
        <v>42244</v>
      </c>
      <c r="C328" s="4">
        <v>42245</v>
      </c>
      <c r="D328" s="5" t="s">
        <v>157</v>
      </c>
      <c r="E328" s="5" t="s">
        <v>66</v>
      </c>
      <c r="F328" s="5" t="s">
        <v>90</v>
      </c>
      <c r="G328" s="5" t="s">
        <v>32</v>
      </c>
      <c r="H328" s="5" t="s">
        <v>46</v>
      </c>
      <c r="I328" s="6">
        <v>2761.2</v>
      </c>
      <c r="J328" s="5">
        <v>6</v>
      </c>
      <c r="K328" s="17">
        <v>0</v>
      </c>
      <c r="L328" s="6">
        <v>110.34</v>
      </c>
      <c r="M328" s="5" t="s">
        <v>37</v>
      </c>
      <c r="N328" s="7"/>
      <c r="O328" s="8" t="str">
        <f t="shared" si="35"/>
        <v>Arthur Prichep</v>
      </c>
      <c r="P328" s="8" t="str">
        <f t="shared" si="36"/>
        <v>IN</v>
      </c>
      <c r="Q328" s="8" t="str">
        <f t="shared" si="37"/>
        <v>2015</v>
      </c>
      <c r="R328" s="8" t="str">
        <f t="shared" si="38"/>
        <v>HIGH</v>
      </c>
      <c r="S328" s="8" t="str">
        <f t="shared" si="39"/>
        <v>furniture</v>
      </c>
      <c r="T328" s="18" t="str">
        <f t="shared" si="40"/>
        <v>42244</v>
      </c>
      <c r="U328" s="27" t="s">
        <v>2937</v>
      </c>
      <c r="V328" s="16" t="s">
        <v>2681</v>
      </c>
      <c r="W328" s="30">
        <v>2015</v>
      </c>
      <c r="X328" t="s">
        <v>2937</v>
      </c>
      <c r="Y328" s="28">
        <v>42244</v>
      </c>
      <c r="Z328" s="28" t="str">
        <f t="shared" si="41"/>
        <v>IN-2015-AP1091527-42244</v>
      </c>
    </row>
    <row r="329" spans="1:26" ht="15.75">
      <c r="A329" s="19" t="s">
        <v>160</v>
      </c>
      <c r="B329" s="10" t="s">
        <v>125</v>
      </c>
      <c r="C329" s="9">
        <v>42358</v>
      </c>
      <c r="D329" s="10" t="s">
        <v>161</v>
      </c>
      <c r="E329" s="10" t="s">
        <v>162</v>
      </c>
      <c r="F329" s="10" t="s">
        <v>61</v>
      </c>
      <c r="G329" s="10" t="s">
        <v>32</v>
      </c>
      <c r="H329" s="10" t="s">
        <v>23</v>
      </c>
      <c r="I329" s="11" t="s">
        <v>163</v>
      </c>
      <c r="J329" s="10">
        <v>11</v>
      </c>
      <c r="K329" s="20">
        <v>0</v>
      </c>
      <c r="L329" s="11">
        <v>868.12</v>
      </c>
      <c r="M329" s="10" t="s">
        <v>37</v>
      </c>
      <c r="N329" s="12"/>
      <c r="O329" s="13" t="str">
        <f t="shared" si="35"/>
        <v>John Huston</v>
      </c>
      <c r="P329" s="13" t="str">
        <f t="shared" si="36"/>
        <v>MX</v>
      </c>
      <c r="Q329" s="13" t="str">
        <f t="shared" si="37"/>
        <v>2015</v>
      </c>
      <c r="R329" s="13" t="str">
        <f t="shared" si="38"/>
        <v>HIGH</v>
      </c>
      <c r="S329" s="13" t="str">
        <f t="shared" si="39"/>
        <v>furniture</v>
      </c>
      <c r="T329" s="21" t="str">
        <f t="shared" si="40"/>
        <v>42356</v>
      </c>
      <c r="U329" s="27" t="s">
        <v>2965</v>
      </c>
      <c r="V329" s="19" t="s">
        <v>2695</v>
      </c>
      <c r="W329" s="30">
        <v>2015</v>
      </c>
      <c r="X329" t="s">
        <v>2965</v>
      </c>
      <c r="Y329" s="28">
        <v>42356</v>
      </c>
      <c r="Z329" s="28" t="str">
        <f t="shared" si="41"/>
        <v>MX-2015-JH15820141-42356</v>
      </c>
    </row>
    <row r="330" spans="1:26" ht="15.75">
      <c r="A330" s="16" t="s">
        <v>166</v>
      </c>
      <c r="B330" s="4">
        <v>42265</v>
      </c>
      <c r="C330" s="4">
        <v>42268</v>
      </c>
      <c r="D330" s="5" t="s">
        <v>167</v>
      </c>
      <c r="E330" s="5" t="s">
        <v>168</v>
      </c>
      <c r="F330" s="5" t="s">
        <v>169</v>
      </c>
      <c r="G330" s="5" t="s">
        <v>17</v>
      </c>
      <c r="H330" s="5" t="s">
        <v>23</v>
      </c>
      <c r="I330" s="6">
        <v>2108.64</v>
      </c>
      <c r="J330" s="5">
        <v>8</v>
      </c>
      <c r="K330" s="17">
        <v>0</v>
      </c>
      <c r="L330" s="6">
        <v>527.04</v>
      </c>
      <c r="M330" s="5" t="s">
        <v>27</v>
      </c>
      <c r="N330" s="7"/>
      <c r="O330" s="8" t="str">
        <f t="shared" si="35"/>
        <v>Trudy Glocke</v>
      </c>
      <c r="P330" s="8" t="str">
        <f t="shared" si="36"/>
        <v>IR</v>
      </c>
      <c r="Q330" s="8" t="str">
        <f t="shared" si="37"/>
        <v>2015</v>
      </c>
      <c r="R330" s="8" t="str">
        <f t="shared" si="38"/>
        <v>CRITICAL</v>
      </c>
      <c r="S330" s="8" t="str">
        <f t="shared" si="39"/>
        <v>technology</v>
      </c>
      <c r="T330" s="18" t="str">
        <f t="shared" si="40"/>
        <v>42265</v>
      </c>
      <c r="U330" s="27" t="s">
        <v>2966</v>
      </c>
      <c r="V330" s="16" t="s">
        <v>2781</v>
      </c>
      <c r="W330" s="30">
        <v>2015</v>
      </c>
      <c r="X330" t="s">
        <v>2966</v>
      </c>
      <c r="Y330" s="28">
        <v>42265</v>
      </c>
      <c r="Z330" s="28" t="str">
        <f t="shared" si="41"/>
        <v>IR-2015-TG1164060-42265</v>
      </c>
    </row>
    <row r="331" spans="1:26" ht="15.75">
      <c r="A331" s="19" t="s">
        <v>180</v>
      </c>
      <c r="B331" s="9">
        <v>42221</v>
      </c>
      <c r="C331" s="9">
        <v>42222</v>
      </c>
      <c r="D331" s="10" t="s">
        <v>181</v>
      </c>
      <c r="E331" s="10" t="s">
        <v>15</v>
      </c>
      <c r="F331" s="10" t="s">
        <v>16</v>
      </c>
      <c r="G331" s="10" t="s">
        <v>45</v>
      </c>
      <c r="H331" s="10" t="s">
        <v>33</v>
      </c>
      <c r="I331" s="11">
        <v>4191.5069999999996</v>
      </c>
      <c r="J331" s="10">
        <v>9</v>
      </c>
      <c r="K331" s="20">
        <v>0.1</v>
      </c>
      <c r="L331" s="11">
        <v>1164.26699999999</v>
      </c>
      <c r="M331" s="10" t="s">
        <v>37</v>
      </c>
      <c r="N331" s="12"/>
      <c r="O331" s="13" t="str">
        <f t="shared" si="35"/>
        <v>Mitch Webber</v>
      </c>
      <c r="P331" s="13" t="str">
        <f t="shared" si="36"/>
        <v>IN</v>
      </c>
      <c r="Q331" s="13" t="str">
        <f t="shared" si="37"/>
        <v>2015</v>
      </c>
      <c r="R331" s="13" t="str">
        <f t="shared" si="38"/>
        <v>HIGH</v>
      </c>
      <c r="S331" s="13" t="str">
        <f t="shared" si="39"/>
        <v>office supplies</v>
      </c>
      <c r="T331" s="21" t="str">
        <f t="shared" si="40"/>
        <v>42221</v>
      </c>
      <c r="U331" s="27" t="s">
        <v>2967</v>
      </c>
      <c r="V331" s="19" t="s">
        <v>2681</v>
      </c>
      <c r="W331" s="30">
        <v>2015</v>
      </c>
      <c r="X331" t="s">
        <v>2967</v>
      </c>
      <c r="Y331" s="28">
        <v>42221</v>
      </c>
      <c r="Z331" s="28" t="str">
        <f t="shared" si="41"/>
        <v>IN-2015-MW182207-42221</v>
      </c>
    </row>
    <row r="332" spans="1:26" ht="15.75">
      <c r="A332" s="16" t="s">
        <v>186</v>
      </c>
      <c r="B332" s="4">
        <v>42357</v>
      </c>
      <c r="C332" s="4">
        <v>42361</v>
      </c>
      <c r="D332" s="5" t="s">
        <v>110</v>
      </c>
      <c r="E332" s="5" t="s">
        <v>40</v>
      </c>
      <c r="F332" s="5" t="s">
        <v>111</v>
      </c>
      <c r="G332" s="5" t="s">
        <v>45</v>
      </c>
      <c r="H332" s="5" t="s">
        <v>26</v>
      </c>
      <c r="I332" s="6">
        <v>18.704000000000001</v>
      </c>
      <c r="J332" s="5">
        <v>7</v>
      </c>
      <c r="K332" s="17">
        <v>0.2</v>
      </c>
      <c r="L332" s="6">
        <v>2.3379999999999899</v>
      </c>
      <c r="M332" s="5" t="s">
        <v>19</v>
      </c>
      <c r="N332" s="7"/>
      <c r="O332" s="8" t="str">
        <f t="shared" si="35"/>
        <v>Aaron Hawkins</v>
      </c>
      <c r="P332" s="8" t="str">
        <f t="shared" si="36"/>
        <v>CA</v>
      </c>
      <c r="Q332" s="8" t="str">
        <f t="shared" si="37"/>
        <v>2015</v>
      </c>
      <c r="R332" s="8" t="str">
        <f t="shared" si="38"/>
        <v>MEDIUM</v>
      </c>
      <c r="S332" s="8" t="str">
        <f t="shared" si="39"/>
        <v>office supplies</v>
      </c>
      <c r="T332" s="18" t="str">
        <f t="shared" si="40"/>
        <v>42357</v>
      </c>
      <c r="U332" s="27" t="s">
        <v>2687</v>
      </c>
      <c r="V332" s="16" t="s">
        <v>2683</v>
      </c>
      <c r="W332" s="30">
        <v>2015</v>
      </c>
      <c r="X332" t="s">
        <v>2687</v>
      </c>
      <c r="Y332" s="28">
        <v>42357</v>
      </c>
      <c r="Z332" s="28" t="str">
        <f t="shared" si="41"/>
        <v>CA-2015-AH10030140-42357</v>
      </c>
    </row>
    <row r="333" spans="1:26" ht="15.75">
      <c r="A333" s="19" t="s">
        <v>187</v>
      </c>
      <c r="B333" s="9">
        <v>42227</v>
      </c>
      <c r="C333" s="9">
        <v>42232</v>
      </c>
      <c r="D333" s="10" t="s">
        <v>188</v>
      </c>
      <c r="E333" s="10" t="s">
        <v>22</v>
      </c>
      <c r="F333" s="10" t="s">
        <v>71</v>
      </c>
      <c r="G333" s="10" t="s">
        <v>17</v>
      </c>
      <c r="H333" s="10" t="s">
        <v>151</v>
      </c>
      <c r="I333" s="11">
        <v>4473</v>
      </c>
      <c r="J333" s="10">
        <v>7</v>
      </c>
      <c r="K333" s="20">
        <v>0</v>
      </c>
      <c r="L333" s="11">
        <v>313.11</v>
      </c>
      <c r="M333" s="10" t="s">
        <v>19</v>
      </c>
      <c r="N333" s="12"/>
      <c r="O333" s="13" t="str">
        <f t="shared" si="35"/>
        <v>Michael Stewart</v>
      </c>
      <c r="P333" s="13" t="str">
        <f t="shared" si="36"/>
        <v>ES</v>
      </c>
      <c r="Q333" s="13" t="str">
        <f t="shared" si="37"/>
        <v>2015</v>
      </c>
      <c r="R333" s="13" t="str">
        <f t="shared" si="38"/>
        <v>MEDIUM</v>
      </c>
      <c r="S333" s="13" t="str">
        <f t="shared" si="39"/>
        <v>technology</v>
      </c>
      <c r="T333" s="21" t="str">
        <f t="shared" si="40"/>
        <v>42227</v>
      </c>
      <c r="U333" s="27" t="s">
        <v>2968</v>
      </c>
      <c r="V333" s="19" t="s">
        <v>2710</v>
      </c>
      <c r="W333" s="30">
        <v>2015</v>
      </c>
      <c r="X333" t="s">
        <v>2968</v>
      </c>
      <c r="Y333" s="28">
        <v>42227</v>
      </c>
      <c r="Z333" s="28" t="str">
        <f t="shared" si="41"/>
        <v>ES-2015-MS1798048-42227</v>
      </c>
    </row>
    <row r="334" spans="1:26" ht="15.75">
      <c r="A334" s="16" t="s">
        <v>189</v>
      </c>
      <c r="B334" s="4">
        <v>41882</v>
      </c>
      <c r="C334" s="4">
        <v>41885</v>
      </c>
      <c r="D334" s="5" t="s">
        <v>190</v>
      </c>
      <c r="E334" s="5" t="s">
        <v>22</v>
      </c>
      <c r="F334" s="5" t="s">
        <v>71</v>
      </c>
      <c r="G334" s="5" t="s">
        <v>17</v>
      </c>
      <c r="H334" s="5" t="s">
        <v>127</v>
      </c>
      <c r="I334" s="6">
        <v>1502.01</v>
      </c>
      <c r="J334" s="5">
        <v>9</v>
      </c>
      <c r="K334" s="17">
        <v>0</v>
      </c>
      <c r="L334" s="6">
        <v>225.18</v>
      </c>
      <c r="M334" s="5" t="s">
        <v>27</v>
      </c>
      <c r="N334" s="7"/>
      <c r="O334" s="8" t="str">
        <f t="shared" si="35"/>
        <v>Kimberly Carter</v>
      </c>
      <c r="P334" s="8" t="str">
        <f t="shared" si="36"/>
        <v>IT</v>
      </c>
      <c r="Q334" s="8" t="str">
        <f t="shared" si="37"/>
        <v>2014</v>
      </c>
      <c r="R334" s="8" t="str">
        <f t="shared" si="38"/>
        <v>CRITICAL</v>
      </c>
      <c r="S334" s="8" t="str">
        <f t="shared" si="39"/>
        <v>technology</v>
      </c>
      <c r="T334" s="18" t="str">
        <f t="shared" si="40"/>
        <v>41882</v>
      </c>
      <c r="U334" s="27" t="s">
        <v>2931</v>
      </c>
      <c r="V334" s="16" t="s">
        <v>2690</v>
      </c>
      <c r="W334" s="30">
        <v>2014</v>
      </c>
      <c r="X334" t="s">
        <v>2931</v>
      </c>
      <c r="Y334" s="28">
        <v>41882</v>
      </c>
      <c r="Z334" s="28" t="str">
        <f t="shared" si="41"/>
        <v>IT-2014-KC1667548-41882</v>
      </c>
    </row>
    <row r="335" spans="1:26" ht="15.75">
      <c r="A335" s="19" t="s">
        <v>191</v>
      </c>
      <c r="B335" s="9">
        <v>42022</v>
      </c>
      <c r="C335" s="9">
        <v>42027</v>
      </c>
      <c r="D335" s="10" t="s">
        <v>192</v>
      </c>
      <c r="E335" s="10" t="s">
        <v>66</v>
      </c>
      <c r="F335" s="10" t="s">
        <v>90</v>
      </c>
      <c r="G335" s="10" t="s">
        <v>32</v>
      </c>
      <c r="H335" s="10" t="s">
        <v>26</v>
      </c>
      <c r="I335" s="11">
        <v>5048.99999999999</v>
      </c>
      <c r="J335" s="10">
        <v>11</v>
      </c>
      <c r="K335" s="20">
        <v>0</v>
      </c>
      <c r="L335" s="11">
        <v>3799.5593480469101</v>
      </c>
      <c r="M335" s="10" t="s">
        <v>37</v>
      </c>
      <c r="N335" s="12"/>
      <c r="O335" s="13" t="str">
        <f t="shared" si="35"/>
        <v>Denny Blanton</v>
      </c>
      <c r="P335" s="13" t="str">
        <f t="shared" si="36"/>
        <v>IN</v>
      </c>
      <c r="Q335" s="13" t="str">
        <f t="shared" si="37"/>
        <v>2015</v>
      </c>
      <c r="R335" s="13" t="str">
        <f t="shared" si="38"/>
        <v>HIGH</v>
      </c>
      <c r="S335" s="13" t="str">
        <f t="shared" si="39"/>
        <v>furniture</v>
      </c>
      <c r="T335" s="21" t="str">
        <f t="shared" si="40"/>
        <v>42022</v>
      </c>
      <c r="U335" s="27" t="s">
        <v>2969</v>
      </c>
      <c r="V335" s="19" t="s">
        <v>2681</v>
      </c>
      <c r="W335" s="30">
        <v>2015</v>
      </c>
      <c r="X335" t="s">
        <v>2969</v>
      </c>
      <c r="Y335" s="28">
        <v>42022</v>
      </c>
      <c r="Z335" s="28" t="str">
        <f t="shared" si="41"/>
        <v>IN-2015-DB1340527-42022</v>
      </c>
    </row>
    <row r="336" spans="1:26" ht="15.75">
      <c r="A336" s="16" t="s">
        <v>206</v>
      </c>
      <c r="B336" s="4">
        <v>41826</v>
      </c>
      <c r="C336" s="4">
        <v>41799</v>
      </c>
      <c r="D336" s="5" t="s">
        <v>207</v>
      </c>
      <c r="E336" s="5" t="s">
        <v>208</v>
      </c>
      <c r="F336" s="5" t="s">
        <v>90</v>
      </c>
      <c r="G336" s="5" t="s">
        <v>32</v>
      </c>
      <c r="H336" s="5" t="s">
        <v>26</v>
      </c>
      <c r="I336" s="6">
        <v>3298.2599999999902</v>
      </c>
      <c r="J336" s="5">
        <v>7</v>
      </c>
      <c r="K336" s="17">
        <v>0</v>
      </c>
      <c r="L336" s="6">
        <v>1055.25</v>
      </c>
      <c r="M336" s="5" t="s">
        <v>37</v>
      </c>
      <c r="N336" s="7"/>
      <c r="O336" s="8" t="str">
        <f t="shared" si="35"/>
        <v>Alan Schoenberger</v>
      </c>
      <c r="P336" s="8" t="str">
        <f t="shared" si="36"/>
        <v>IN</v>
      </c>
      <c r="Q336" s="8" t="str">
        <f t="shared" si="37"/>
        <v>2014</v>
      </c>
      <c r="R336" s="8" t="str">
        <f t="shared" si="38"/>
        <v>HIGH</v>
      </c>
      <c r="S336" s="8" t="str">
        <f t="shared" si="39"/>
        <v>furniture</v>
      </c>
      <c r="T336" s="18" t="str">
        <f t="shared" si="40"/>
        <v>47197</v>
      </c>
      <c r="U336" s="27" t="s">
        <v>2970</v>
      </c>
      <c r="V336" s="16" t="s">
        <v>2681</v>
      </c>
      <c r="W336" s="30">
        <v>2014</v>
      </c>
      <c r="X336" t="s">
        <v>2970</v>
      </c>
      <c r="Y336" s="28">
        <v>47197</v>
      </c>
      <c r="Z336" s="28" t="str">
        <f t="shared" si="41"/>
        <v>IN-2014-AS1022527-47197</v>
      </c>
    </row>
    <row r="337" spans="1:26" ht="15.75">
      <c r="A337" s="19" t="s">
        <v>209</v>
      </c>
      <c r="B337" s="9">
        <v>41234</v>
      </c>
      <c r="C337" s="9">
        <v>41235</v>
      </c>
      <c r="D337" s="10" t="s">
        <v>210</v>
      </c>
      <c r="E337" s="10" t="s">
        <v>211</v>
      </c>
      <c r="F337" s="10" t="s">
        <v>98</v>
      </c>
      <c r="G337" s="10" t="s">
        <v>45</v>
      </c>
      <c r="H337" s="10" t="s">
        <v>44</v>
      </c>
      <c r="I337" s="11">
        <v>2443.48</v>
      </c>
      <c r="J337" s="10">
        <v>13</v>
      </c>
      <c r="K337" s="20">
        <v>0</v>
      </c>
      <c r="L337" s="11">
        <v>121.94</v>
      </c>
      <c r="M337" s="10" t="s">
        <v>19</v>
      </c>
      <c r="N337" s="12"/>
      <c r="O337" s="13" t="str">
        <f t="shared" si="35"/>
        <v>Shui Tom</v>
      </c>
      <c r="P337" s="13" t="str">
        <f t="shared" si="36"/>
        <v>MX</v>
      </c>
      <c r="Q337" s="13" t="str">
        <f t="shared" si="37"/>
        <v>2012</v>
      </c>
      <c r="R337" s="13" t="str">
        <f t="shared" si="38"/>
        <v>MEDIUM</v>
      </c>
      <c r="S337" s="13" t="str">
        <f t="shared" si="39"/>
        <v>office supplies</v>
      </c>
      <c r="T337" s="21" t="str">
        <f t="shared" si="40"/>
        <v>41234</v>
      </c>
      <c r="U337" s="27" t="s">
        <v>2971</v>
      </c>
      <c r="V337" s="19" t="s">
        <v>2695</v>
      </c>
      <c r="W337" s="30">
        <v>2012</v>
      </c>
      <c r="X337" t="s">
        <v>2971</v>
      </c>
      <c r="Y337" s="28">
        <v>41234</v>
      </c>
      <c r="Z337" s="28" t="str">
        <f t="shared" si="41"/>
        <v>MX-2012-ST2053093-41234</v>
      </c>
    </row>
    <row r="338" spans="1:26" ht="15.75">
      <c r="A338" s="16" t="s">
        <v>224</v>
      </c>
      <c r="B338" s="4">
        <v>41221</v>
      </c>
      <c r="C338" s="4">
        <v>41223</v>
      </c>
      <c r="D338" s="5" t="s">
        <v>225</v>
      </c>
      <c r="E338" s="5" t="s">
        <v>66</v>
      </c>
      <c r="F338" s="5" t="s">
        <v>90</v>
      </c>
      <c r="G338" s="5" t="s">
        <v>17</v>
      </c>
      <c r="H338" s="5" t="s">
        <v>46</v>
      </c>
      <c r="I338" s="6">
        <v>3200.04</v>
      </c>
      <c r="J338" s="5">
        <v>9</v>
      </c>
      <c r="K338" s="17">
        <v>0</v>
      </c>
      <c r="L338" s="6">
        <v>1183.95</v>
      </c>
      <c r="M338" s="5" t="s">
        <v>227</v>
      </c>
      <c r="N338" s="7"/>
      <c r="O338" s="8" t="str">
        <f t="shared" si="35"/>
        <v>Sam Zeldin</v>
      </c>
      <c r="P338" s="8" t="str">
        <f t="shared" si="36"/>
        <v>IN</v>
      </c>
      <c r="Q338" s="8" t="str">
        <f t="shared" si="37"/>
        <v>2012</v>
      </c>
      <c r="R338" s="8" t="str">
        <f t="shared" si="38"/>
        <v>MEDIUM#</v>
      </c>
      <c r="S338" s="8" t="str">
        <f t="shared" si="39"/>
        <v>technology</v>
      </c>
      <c r="T338" s="18" t="str">
        <f t="shared" si="40"/>
        <v>41221</v>
      </c>
      <c r="U338" s="27" t="s">
        <v>2972</v>
      </c>
      <c r="V338" s="16" t="s">
        <v>2681</v>
      </c>
      <c r="W338" s="30">
        <v>2012</v>
      </c>
      <c r="X338" t="s">
        <v>2972</v>
      </c>
      <c r="Y338" s="28">
        <v>41221</v>
      </c>
      <c r="Z338" s="28" t="str">
        <f t="shared" si="41"/>
        <v>IN-2012-SZ2003527-41221</v>
      </c>
    </row>
    <row r="339" spans="1:26" ht="15.75">
      <c r="A339" s="19" t="s">
        <v>231</v>
      </c>
      <c r="B339" s="9">
        <v>42305</v>
      </c>
      <c r="C339" s="9">
        <v>42307</v>
      </c>
      <c r="D339" s="10" t="s">
        <v>126</v>
      </c>
      <c r="E339" s="10" t="s">
        <v>232</v>
      </c>
      <c r="F339" s="10" t="s">
        <v>233</v>
      </c>
      <c r="G339" s="10" t="s">
        <v>17</v>
      </c>
      <c r="H339" s="10" t="s">
        <v>23</v>
      </c>
      <c r="I339" s="11">
        <v>5301.24</v>
      </c>
      <c r="J339" s="10">
        <v>14</v>
      </c>
      <c r="K339" s="20">
        <v>0</v>
      </c>
      <c r="L339" s="11">
        <v>2597.2800000000002</v>
      </c>
      <c r="M339" s="10" t="s">
        <v>19</v>
      </c>
      <c r="N339" s="12"/>
      <c r="O339" s="13" t="str">
        <f t="shared" si="35"/>
        <v>Dave Poirier</v>
      </c>
      <c r="P339" s="13" t="str">
        <f t="shared" si="36"/>
        <v>MO</v>
      </c>
      <c r="Q339" s="13" t="str">
        <f t="shared" si="37"/>
        <v>2015</v>
      </c>
      <c r="R339" s="13" t="str">
        <f t="shared" si="38"/>
        <v>MEDIUM</v>
      </c>
      <c r="S339" s="13" t="str">
        <f t="shared" si="39"/>
        <v>technology</v>
      </c>
      <c r="T339" s="21" t="str">
        <f t="shared" si="40"/>
        <v>42305</v>
      </c>
      <c r="U339" s="27" t="s">
        <v>2973</v>
      </c>
      <c r="V339" s="19" t="s">
        <v>2698</v>
      </c>
      <c r="W339" s="30">
        <v>2015</v>
      </c>
      <c r="X339" t="s">
        <v>2973</v>
      </c>
      <c r="Y339" s="28">
        <v>42305</v>
      </c>
      <c r="Z339" s="28" t="str">
        <f t="shared" si="41"/>
        <v>MO-2015-DP310586-42305</v>
      </c>
    </row>
    <row r="340" spans="1:26" ht="15.75">
      <c r="A340" s="16" t="s">
        <v>234</v>
      </c>
      <c r="B340" s="4">
        <v>42252</v>
      </c>
      <c r="C340" s="4">
        <v>42253</v>
      </c>
      <c r="D340" s="5" t="s">
        <v>235</v>
      </c>
      <c r="E340" s="5" t="s">
        <v>40</v>
      </c>
      <c r="F340" s="5" t="s">
        <v>43</v>
      </c>
      <c r="G340" s="5" t="s">
        <v>45</v>
      </c>
      <c r="H340" s="5" t="s">
        <v>33</v>
      </c>
      <c r="I340" s="6">
        <v>88.073999999999998</v>
      </c>
      <c r="J340" s="5">
        <v>7</v>
      </c>
      <c r="K340" s="17">
        <v>0.7</v>
      </c>
      <c r="L340" s="6">
        <v>-58.715999999999902</v>
      </c>
      <c r="M340" s="5" t="s">
        <v>37</v>
      </c>
      <c r="N340" s="7"/>
      <c r="O340" s="8" t="str">
        <f t="shared" si="35"/>
        <v xml:space="preserve"> Aaron Smayling </v>
      </c>
      <c r="P340" s="8" t="str">
        <f t="shared" si="36"/>
        <v>US</v>
      </c>
      <c r="Q340" s="8" t="str">
        <f t="shared" si="37"/>
        <v>2015</v>
      </c>
      <c r="R340" s="8" t="str">
        <f t="shared" si="38"/>
        <v>HIGH</v>
      </c>
      <c r="S340" s="8" t="str">
        <f t="shared" si="39"/>
        <v>office supplies</v>
      </c>
      <c r="T340" s="18" t="str">
        <f t="shared" si="40"/>
        <v>42252</v>
      </c>
      <c r="U340" s="27" t="s">
        <v>2700</v>
      </c>
      <c r="V340" s="16" t="s">
        <v>2685</v>
      </c>
      <c r="W340" s="30">
        <v>2015</v>
      </c>
      <c r="X340" t="s">
        <v>2700</v>
      </c>
      <c r="Y340" s="28">
        <v>42252</v>
      </c>
      <c r="Z340" s="28" t="str">
        <f t="shared" si="41"/>
        <v>US-2015-AS10045140-42252</v>
      </c>
    </row>
    <row r="341" spans="1:26" ht="15.75">
      <c r="A341" s="19" t="s">
        <v>241</v>
      </c>
      <c r="B341" s="9">
        <v>41940</v>
      </c>
      <c r="C341" s="9">
        <v>41943</v>
      </c>
      <c r="D341" s="10" t="s">
        <v>242</v>
      </c>
      <c r="E341" s="10" t="s">
        <v>184</v>
      </c>
      <c r="F341" s="10" t="s">
        <v>115</v>
      </c>
      <c r="G341" s="10" t="s">
        <v>32</v>
      </c>
      <c r="H341" s="10" t="s">
        <v>73</v>
      </c>
      <c r="I341" s="11">
        <v>3728.4299999999898</v>
      </c>
      <c r="J341" s="10">
        <v>9</v>
      </c>
      <c r="K341" s="20">
        <v>0</v>
      </c>
      <c r="L341" s="11">
        <v>1192.8599999999999</v>
      </c>
      <c r="M341" s="10" t="s">
        <v>19</v>
      </c>
      <c r="N341" s="12"/>
      <c r="O341" s="13" t="str">
        <f t="shared" si="35"/>
        <v>Berenike Kampe</v>
      </c>
      <c r="P341" s="13" t="str">
        <f t="shared" si="36"/>
        <v>IN</v>
      </c>
      <c r="Q341" s="13" t="str">
        <f t="shared" si="37"/>
        <v>2014</v>
      </c>
      <c r="R341" s="13" t="str">
        <f t="shared" si="38"/>
        <v>MEDIUM</v>
      </c>
      <c r="S341" s="13" t="str">
        <f t="shared" si="39"/>
        <v>furniture</v>
      </c>
      <c r="T341" s="21" t="str">
        <f t="shared" si="40"/>
        <v>41940</v>
      </c>
      <c r="U341" s="27" t="s">
        <v>2974</v>
      </c>
      <c r="V341" s="19" t="s">
        <v>2681</v>
      </c>
      <c r="W341" s="30">
        <v>2014</v>
      </c>
      <c r="X341" t="s">
        <v>2974</v>
      </c>
      <c r="Y341" s="28">
        <v>41940</v>
      </c>
      <c r="Z341" s="28" t="str">
        <f t="shared" si="41"/>
        <v>IN-2014-BK1126011-41940</v>
      </c>
    </row>
    <row r="342" spans="1:26" ht="15.75">
      <c r="A342" s="16" t="s">
        <v>248</v>
      </c>
      <c r="B342" s="4">
        <v>41667</v>
      </c>
      <c r="C342" s="4">
        <v>41669</v>
      </c>
      <c r="D342" s="5" t="s">
        <v>249</v>
      </c>
      <c r="E342" s="5" t="s">
        <v>250</v>
      </c>
      <c r="F342" s="5" t="s">
        <v>142</v>
      </c>
      <c r="G342" s="5" t="s">
        <v>32</v>
      </c>
      <c r="H342" s="5" t="s">
        <v>73</v>
      </c>
      <c r="I342" s="6" t="s">
        <v>163</v>
      </c>
      <c r="J342" s="5">
        <v>7</v>
      </c>
      <c r="K342" s="17">
        <v>0.25</v>
      </c>
      <c r="L342" s="6">
        <v>197.19</v>
      </c>
      <c r="M342" s="5" t="s">
        <v>37</v>
      </c>
      <c r="N342" s="7"/>
      <c r="O342" s="8" t="str">
        <f t="shared" si="35"/>
        <v>Steve Chapman</v>
      </c>
      <c r="P342" s="8" t="str">
        <f t="shared" si="36"/>
        <v>ID</v>
      </c>
      <c r="Q342" s="8" t="str">
        <f t="shared" si="37"/>
        <v>2014</v>
      </c>
      <c r="R342" s="8" t="str">
        <f t="shared" si="38"/>
        <v>HIGH</v>
      </c>
      <c r="S342" s="8" t="str">
        <f t="shared" si="39"/>
        <v>furniture</v>
      </c>
      <c r="T342" s="18" t="str">
        <f t="shared" si="40"/>
        <v>41667</v>
      </c>
      <c r="U342" s="27" t="s">
        <v>2975</v>
      </c>
      <c r="V342" s="16" t="s">
        <v>2705</v>
      </c>
      <c r="W342" s="30">
        <v>2014</v>
      </c>
      <c r="X342" t="s">
        <v>2975</v>
      </c>
      <c r="Y342" s="28">
        <v>41667</v>
      </c>
      <c r="Z342" s="28" t="str">
        <f t="shared" si="41"/>
        <v>ID-2014-SC20695102-41667</v>
      </c>
    </row>
    <row r="343" spans="1:26" ht="15.75">
      <c r="A343" s="19" t="s">
        <v>257</v>
      </c>
      <c r="B343" s="9">
        <v>41606</v>
      </c>
      <c r="C343" s="9">
        <v>41610</v>
      </c>
      <c r="D343" s="10" t="s">
        <v>247</v>
      </c>
      <c r="E343" s="10" t="s">
        <v>15</v>
      </c>
      <c r="F343" s="10" t="s">
        <v>16</v>
      </c>
      <c r="G343" s="10" t="s">
        <v>32</v>
      </c>
      <c r="H343" s="10" t="s">
        <v>44</v>
      </c>
      <c r="I343" s="11">
        <v>2891.6999999999898</v>
      </c>
      <c r="J343" s="10">
        <v>7</v>
      </c>
      <c r="K343" s="20">
        <v>0.1</v>
      </c>
      <c r="L343" s="11">
        <v>96.39</v>
      </c>
      <c r="M343" s="10" t="s">
        <v>19</v>
      </c>
      <c r="N343" s="12"/>
      <c r="O343" s="13" t="str">
        <f t="shared" si="35"/>
        <v>Nick Zandusky</v>
      </c>
      <c r="P343" s="13" t="str">
        <f t="shared" si="36"/>
        <v>IN</v>
      </c>
      <c r="Q343" s="13" t="str">
        <f t="shared" si="37"/>
        <v>2013</v>
      </c>
      <c r="R343" s="13" t="str">
        <f t="shared" si="38"/>
        <v>MEDIUM</v>
      </c>
      <c r="S343" s="13" t="str">
        <f t="shared" si="39"/>
        <v>furniture</v>
      </c>
      <c r="T343" s="21" t="str">
        <f t="shared" si="40"/>
        <v>41606</v>
      </c>
      <c r="U343" s="27" t="s">
        <v>2976</v>
      </c>
      <c r="V343" s="19" t="s">
        <v>2681</v>
      </c>
      <c r="W343" s="30">
        <v>2013</v>
      </c>
      <c r="X343" t="s">
        <v>2976</v>
      </c>
      <c r="Y343" s="28">
        <v>41606</v>
      </c>
      <c r="Z343" s="28" t="str">
        <f t="shared" si="41"/>
        <v>IN-2013-NZ185657-41606</v>
      </c>
    </row>
    <row r="344" spans="1:26" ht="15.75">
      <c r="A344" s="16" t="s">
        <v>258</v>
      </c>
      <c r="B344" s="4">
        <v>41546</v>
      </c>
      <c r="C344" s="4">
        <v>41546</v>
      </c>
      <c r="D344" s="5" t="s">
        <v>259</v>
      </c>
      <c r="E344" s="5" t="s">
        <v>70</v>
      </c>
      <c r="F344" s="5" t="s">
        <v>71</v>
      </c>
      <c r="G344" s="5" t="s">
        <v>17</v>
      </c>
      <c r="H344" s="5" t="s">
        <v>151</v>
      </c>
      <c r="I344" s="6">
        <v>2016.846</v>
      </c>
      <c r="J344" s="5">
        <v>9</v>
      </c>
      <c r="K344" s="17">
        <v>0.15</v>
      </c>
      <c r="L344" s="6">
        <v>-5.4000000000030399E-2</v>
      </c>
      <c r="M344" s="5" t="s">
        <v>27</v>
      </c>
      <c r="N344" s="7"/>
      <c r="O344" s="8" t="str">
        <f t="shared" si="35"/>
        <v>Paul Macintyre</v>
      </c>
      <c r="P344" s="8" t="str">
        <f t="shared" si="36"/>
        <v>IT</v>
      </c>
      <c r="Q344" s="8" t="str">
        <f t="shared" si="37"/>
        <v>2013</v>
      </c>
      <c r="R344" s="8" t="str">
        <f t="shared" si="38"/>
        <v>CRITICAL</v>
      </c>
      <c r="S344" s="8" t="str">
        <f t="shared" si="39"/>
        <v>technology</v>
      </c>
      <c r="T344" s="18" t="str">
        <f t="shared" si="40"/>
        <v>41546</v>
      </c>
      <c r="U344" s="27" t="s">
        <v>2977</v>
      </c>
      <c r="V344" s="16" t="s">
        <v>2690</v>
      </c>
      <c r="W344" s="30">
        <v>2013</v>
      </c>
      <c r="X344" t="s">
        <v>2977</v>
      </c>
      <c r="Y344" s="28">
        <v>41546</v>
      </c>
      <c r="Z344" s="28" t="str">
        <f t="shared" si="41"/>
        <v>IT-2013-PM1984045-41546</v>
      </c>
    </row>
    <row r="345" spans="1:26" ht="15.75">
      <c r="A345" s="19" t="s">
        <v>260</v>
      </c>
      <c r="B345" s="15">
        <v>41707</v>
      </c>
      <c r="C345" s="9">
        <v>41887</v>
      </c>
      <c r="D345" s="10" t="s">
        <v>261</v>
      </c>
      <c r="E345" s="10" t="s">
        <v>70</v>
      </c>
      <c r="F345" s="10" t="s">
        <v>71</v>
      </c>
      <c r="G345" s="10" t="s">
        <v>45</v>
      </c>
      <c r="H345" s="10" t="s">
        <v>23</v>
      </c>
      <c r="I345" s="11">
        <v>3155.5439999999999</v>
      </c>
      <c r="J345" s="10">
        <v>7</v>
      </c>
      <c r="K345" s="20">
        <v>0.1</v>
      </c>
      <c r="L345" s="11">
        <v>34.944000000000003</v>
      </c>
      <c r="M345" s="10" t="s">
        <v>37</v>
      </c>
      <c r="N345" s="12"/>
      <c r="O345" s="13" t="str">
        <f t="shared" si="35"/>
        <v>Maria Zettner</v>
      </c>
      <c r="P345" s="13" t="str">
        <f t="shared" si="36"/>
        <v>ES</v>
      </c>
      <c r="Q345" s="13" t="str">
        <f t="shared" si="37"/>
        <v>2014</v>
      </c>
      <c r="R345" s="13" t="str">
        <f t="shared" si="38"/>
        <v>HIGH</v>
      </c>
      <c r="S345" s="13" t="str">
        <f t="shared" si="39"/>
        <v>office supplies</v>
      </c>
      <c r="T345" s="21" t="str">
        <f t="shared" si="40"/>
        <v>41885</v>
      </c>
      <c r="U345" s="27" t="s">
        <v>2978</v>
      </c>
      <c r="V345" s="19" t="s">
        <v>2710</v>
      </c>
      <c r="W345" s="30">
        <v>2014</v>
      </c>
      <c r="X345" t="s">
        <v>2978</v>
      </c>
      <c r="Y345" s="28">
        <v>41885</v>
      </c>
      <c r="Z345" s="28" t="str">
        <f t="shared" si="41"/>
        <v>ES-2014-MZ1733545-41885</v>
      </c>
    </row>
    <row r="346" spans="1:26" ht="15.75">
      <c r="A346" s="16" t="s">
        <v>265</v>
      </c>
      <c r="B346" s="4">
        <v>42327</v>
      </c>
      <c r="C346" s="4">
        <v>42333</v>
      </c>
      <c r="D346" s="5" t="s">
        <v>266</v>
      </c>
      <c r="E346" s="5" t="s">
        <v>15</v>
      </c>
      <c r="F346" s="5" t="s">
        <v>16</v>
      </c>
      <c r="G346" s="5" t="s">
        <v>17</v>
      </c>
      <c r="H346" s="5" t="s">
        <v>73</v>
      </c>
      <c r="I346" s="6">
        <v>3524.4720000000002</v>
      </c>
      <c r="J346" s="5">
        <v>6</v>
      </c>
      <c r="K346" s="17">
        <v>0.1</v>
      </c>
      <c r="L346" s="6">
        <v>861.37199999999996</v>
      </c>
      <c r="M346" s="5" t="s">
        <v>74</v>
      </c>
      <c r="N346" s="7"/>
      <c r="O346" s="8" t="str">
        <f t="shared" si="35"/>
        <v>Rick Wilson</v>
      </c>
      <c r="P346" s="8" t="str">
        <f t="shared" si="36"/>
        <v>IN</v>
      </c>
      <c r="Q346" s="8" t="str">
        <f t="shared" si="37"/>
        <v>2015</v>
      </c>
      <c r="R346" s="8" t="str">
        <f t="shared" si="38"/>
        <v>LOW</v>
      </c>
      <c r="S346" s="8" t="str">
        <f t="shared" si="39"/>
        <v>technology</v>
      </c>
      <c r="T346" s="18" t="str">
        <f t="shared" si="40"/>
        <v>42327</v>
      </c>
      <c r="U346" s="27" t="s">
        <v>2979</v>
      </c>
      <c r="V346" s="16" t="s">
        <v>2681</v>
      </c>
      <c r="W346" s="30">
        <v>2015</v>
      </c>
      <c r="X346" t="s">
        <v>2979</v>
      </c>
      <c r="Y346" s="28">
        <v>42327</v>
      </c>
      <c r="Z346" s="28" t="str">
        <f t="shared" si="41"/>
        <v>IN-2015-RW195407-42327</v>
      </c>
    </row>
    <row r="347" spans="1:26" ht="15.75">
      <c r="A347" s="19" t="s">
        <v>273</v>
      </c>
      <c r="B347" s="9">
        <v>41116</v>
      </c>
      <c r="C347" s="9">
        <v>41122</v>
      </c>
      <c r="D347" s="10" t="s">
        <v>194</v>
      </c>
      <c r="E347" s="10" t="s">
        <v>40</v>
      </c>
      <c r="F347" s="10" t="s">
        <v>111</v>
      </c>
      <c r="G347" s="10" t="s">
        <v>45</v>
      </c>
      <c r="H347" s="10" t="s">
        <v>33</v>
      </c>
      <c r="I347" s="11">
        <v>65.78</v>
      </c>
      <c r="J347" s="10">
        <v>11</v>
      </c>
      <c r="K347" s="20">
        <v>0</v>
      </c>
      <c r="L347" s="11">
        <v>32.232199999999999</v>
      </c>
      <c r="M347" s="10" t="s">
        <v>19</v>
      </c>
      <c r="N347" s="12"/>
      <c r="O347" s="13" t="str">
        <f t="shared" si="35"/>
        <v>Aaron Smayling</v>
      </c>
      <c r="P347" s="13" t="str">
        <f t="shared" si="36"/>
        <v>US</v>
      </c>
      <c r="Q347" s="13" t="str">
        <f t="shared" si="37"/>
        <v>2012</v>
      </c>
      <c r="R347" s="13" t="str">
        <f t="shared" si="38"/>
        <v>MEDIUM</v>
      </c>
      <c r="S347" s="13" t="str">
        <f t="shared" si="39"/>
        <v>office supplies</v>
      </c>
      <c r="T347" s="21" t="str">
        <f t="shared" si="40"/>
        <v>41116</v>
      </c>
      <c r="U347" s="27" t="s">
        <v>2700</v>
      </c>
      <c r="V347" s="19" t="s">
        <v>2685</v>
      </c>
      <c r="W347" s="30">
        <v>2012</v>
      </c>
      <c r="X347" t="s">
        <v>2700</v>
      </c>
      <c r="Y347" s="28">
        <v>41116</v>
      </c>
      <c r="Z347" s="28" t="str">
        <f t="shared" si="41"/>
        <v>US-2012-AS10045140-41116</v>
      </c>
    </row>
    <row r="348" spans="1:26" ht="15.75">
      <c r="A348" s="16" t="s">
        <v>277</v>
      </c>
      <c r="B348" s="4">
        <v>41999</v>
      </c>
      <c r="C348" s="4">
        <v>41999</v>
      </c>
      <c r="D348" s="5" t="s">
        <v>278</v>
      </c>
      <c r="E348" s="5" t="s">
        <v>15</v>
      </c>
      <c r="F348" s="5" t="s">
        <v>16</v>
      </c>
      <c r="G348" s="5" t="s">
        <v>45</v>
      </c>
      <c r="H348" s="5" t="s">
        <v>44</v>
      </c>
      <c r="I348" s="6">
        <v>3739.1759999999899</v>
      </c>
      <c r="J348" s="5">
        <v>8</v>
      </c>
      <c r="K348" s="17">
        <v>0.1</v>
      </c>
      <c r="L348" s="6">
        <v>747.81600000000003</v>
      </c>
      <c r="M348" s="5" t="s">
        <v>37</v>
      </c>
      <c r="N348" s="7"/>
      <c r="O348" s="8" t="str">
        <f t="shared" si="35"/>
        <v>Dave Brooks</v>
      </c>
      <c r="P348" s="8" t="str">
        <f t="shared" si="36"/>
        <v>IN</v>
      </c>
      <c r="Q348" s="8" t="str">
        <f t="shared" si="37"/>
        <v>2014</v>
      </c>
      <c r="R348" s="8" t="str">
        <f t="shared" si="38"/>
        <v>HIGH</v>
      </c>
      <c r="S348" s="8" t="str">
        <f t="shared" si="39"/>
        <v>office supplies</v>
      </c>
      <c r="T348" s="18" t="str">
        <f t="shared" si="40"/>
        <v>41999</v>
      </c>
      <c r="U348" s="27" t="s">
        <v>2980</v>
      </c>
      <c r="V348" s="16" t="s">
        <v>2681</v>
      </c>
      <c r="W348" s="30">
        <v>2014</v>
      </c>
      <c r="X348" t="s">
        <v>2980</v>
      </c>
      <c r="Y348" s="28">
        <v>41999</v>
      </c>
      <c r="Z348" s="28" t="str">
        <f t="shared" si="41"/>
        <v>IN-2014-DB130607-41999</v>
      </c>
    </row>
    <row r="349" spans="1:26" ht="15.75">
      <c r="A349" s="19" t="s">
        <v>279</v>
      </c>
      <c r="B349" s="9">
        <v>41711</v>
      </c>
      <c r="C349" s="9">
        <v>41711</v>
      </c>
      <c r="D349" s="10" t="s">
        <v>280</v>
      </c>
      <c r="E349" s="10" t="s">
        <v>281</v>
      </c>
      <c r="F349" s="10" t="s">
        <v>71</v>
      </c>
      <c r="G349" s="10" t="s">
        <v>32</v>
      </c>
      <c r="H349" s="10" t="s">
        <v>151</v>
      </c>
      <c r="I349" s="11">
        <v>2570.8649999999998</v>
      </c>
      <c r="J349" s="10">
        <v>11</v>
      </c>
      <c r="K349" s="20">
        <v>0.5</v>
      </c>
      <c r="L349" s="11">
        <v>-2211.165</v>
      </c>
      <c r="M349" s="10" t="s">
        <v>37</v>
      </c>
      <c r="N349" s="12"/>
      <c r="O349" s="13" t="str">
        <f t="shared" si="35"/>
        <v>Valerie Mitchum</v>
      </c>
      <c r="P349" s="13" t="str">
        <f t="shared" si="36"/>
        <v>IT</v>
      </c>
      <c r="Q349" s="13" t="str">
        <f t="shared" si="37"/>
        <v>2014</v>
      </c>
      <c r="R349" s="13" t="str">
        <f t="shared" si="38"/>
        <v>HIGH</v>
      </c>
      <c r="S349" s="13" t="str">
        <f t="shared" si="39"/>
        <v>furniture</v>
      </c>
      <c r="T349" s="21" t="str">
        <f t="shared" si="40"/>
        <v>41711</v>
      </c>
      <c r="U349" s="27" t="s">
        <v>2981</v>
      </c>
      <c r="V349" s="19" t="s">
        <v>2690</v>
      </c>
      <c r="W349" s="30">
        <v>2014</v>
      </c>
      <c r="X349" t="s">
        <v>2981</v>
      </c>
      <c r="Y349" s="28">
        <v>41711</v>
      </c>
      <c r="Z349" s="28" t="str">
        <f t="shared" si="41"/>
        <v>IT-2014-VM2168591-41711</v>
      </c>
    </row>
    <row r="350" spans="1:26" ht="15.75">
      <c r="A350" s="16" t="s">
        <v>283</v>
      </c>
      <c r="B350" s="4">
        <v>41369</v>
      </c>
      <c r="C350" s="4">
        <v>41369</v>
      </c>
      <c r="D350" s="5" t="s">
        <v>284</v>
      </c>
      <c r="E350" s="5" t="s">
        <v>22</v>
      </c>
      <c r="F350" s="5" t="s">
        <v>71</v>
      </c>
      <c r="G350" s="5" t="s">
        <v>17</v>
      </c>
      <c r="H350" s="5" t="s">
        <v>23</v>
      </c>
      <c r="I350" s="6">
        <v>2875.77</v>
      </c>
      <c r="J350" s="5">
        <v>9</v>
      </c>
      <c r="K350" s="17">
        <v>0.5</v>
      </c>
      <c r="L350" s="6">
        <v>-1783.08</v>
      </c>
      <c r="M350" s="5" t="s">
        <v>37</v>
      </c>
      <c r="N350" s="7"/>
      <c r="O350" s="8" t="str">
        <f t="shared" si="35"/>
        <v>Don Miller</v>
      </c>
      <c r="P350" s="8" t="str">
        <f t="shared" si="36"/>
        <v>ES</v>
      </c>
      <c r="Q350" s="8" t="str">
        <f t="shared" si="37"/>
        <v>2013</v>
      </c>
      <c r="R350" s="8" t="str">
        <f t="shared" si="38"/>
        <v>HIGH</v>
      </c>
      <c r="S350" s="8" t="str">
        <f t="shared" si="39"/>
        <v>technology</v>
      </c>
      <c r="T350" s="18" t="str">
        <f t="shared" si="40"/>
        <v>41369</v>
      </c>
      <c r="U350" s="27" t="s">
        <v>2982</v>
      </c>
      <c r="V350" s="16" t="s">
        <v>2710</v>
      </c>
      <c r="W350" s="30">
        <v>2013</v>
      </c>
      <c r="X350" t="s">
        <v>2982</v>
      </c>
      <c r="Y350" s="28">
        <v>41369</v>
      </c>
      <c r="Z350" s="28" t="str">
        <f t="shared" si="41"/>
        <v>ES-2013-DM1352548-41369</v>
      </c>
    </row>
    <row r="351" spans="1:26" ht="15.75">
      <c r="A351" s="19" t="s">
        <v>295</v>
      </c>
      <c r="B351" s="9">
        <v>40955</v>
      </c>
      <c r="C351" s="9">
        <v>40958</v>
      </c>
      <c r="D351" s="10" t="s">
        <v>296</v>
      </c>
      <c r="E351" s="10" t="s">
        <v>70</v>
      </c>
      <c r="F351" s="10" t="s">
        <v>71</v>
      </c>
      <c r="G351" s="10" t="s">
        <v>32</v>
      </c>
      <c r="H351" s="10" t="s">
        <v>33</v>
      </c>
      <c r="I351" s="11">
        <v>4544.0999999999904</v>
      </c>
      <c r="J351" s="10">
        <v>11</v>
      </c>
      <c r="K351" s="20">
        <v>0.1</v>
      </c>
      <c r="L351" s="11">
        <v>1868.1299999999901</v>
      </c>
      <c r="M351" s="10" t="s">
        <v>19</v>
      </c>
      <c r="N351" s="12"/>
      <c r="O351" s="13" t="str">
        <f t="shared" si="35"/>
        <v>Odella Nelson</v>
      </c>
      <c r="P351" s="13" t="str">
        <f t="shared" si="36"/>
        <v>IT</v>
      </c>
      <c r="Q351" s="13" t="str">
        <f t="shared" si="37"/>
        <v>2012</v>
      </c>
      <c r="R351" s="13" t="str">
        <f t="shared" si="38"/>
        <v>MEDIUM</v>
      </c>
      <c r="S351" s="13" t="str">
        <f t="shared" si="39"/>
        <v>furniture</v>
      </c>
      <c r="T351" s="21" t="str">
        <f t="shared" si="40"/>
        <v>40955</v>
      </c>
      <c r="U351" s="27" t="s">
        <v>2983</v>
      </c>
      <c r="V351" s="19" t="s">
        <v>2690</v>
      </c>
      <c r="W351" s="30">
        <v>2012</v>
      </c>
      <c r="X351" t="s">
        <v>2983</v>
      </c>
      <c r="Y351" s="28">
        <v>40955</v>
      </c>
      <c r="Z351" s="28" t="str">
        <f t="shared" si="41"/>
        <v>IT-2012-ON1871545-40955</v>
      </c>
    </row>
    <row r="352" spans="1:26" ht="15.75">
      <c r="A352" s="16" t="s">
        <v>300</v>
      </c>
      <c r="B352" s="4">
        <v>41913</v>
      </c>
      <c r="C352" s="4">
        <v>41914</v>
      </c>
      <c r="D352" s="5" t="s">
        <v>301</v>
      </c>
      <c r="E352" s="5" t="s">
        <v>15</v>
      </c>
      <c r="F352" s="5" t="s">
        <v>16</v>
      </c>
      <c r="G352" s="5" t="s">
        <v>17</v>
      </c>
      <c r="H352" s="5" t="s">
        <v>23</v>
      </c>
      <c r="I352" s="6">
        <v>1943.19</v>
      </c>
      <c r="J352" s="5">
        <v>6</v>
      </c>
      <c r="K352" s="17">
        <v>0.1</v>
      </c>
      <c r="L352" s="6">
        <v>258.93</v>
      </c>
      <c r="M352" s="5" t="s">
        <v>37</v>
      </c>
      <c r="N352" s="7"/>
      <c r="O352" s="8" t="str">
        <f t="shared" si="35"/>
        <v>Chad Mcguire</v>
      </c>
      <c r="P352" s="8" t="str">
        <f t="shared" si="36"/>
        <v>IN</v>
      </c>
      <c r="Q352" s="8" t="str">
        <f t="shared" si="37"/>
        <v>2014</v>
      </c>
      <c r="R352" s="8" t="str">
        <f t="shared" si="38"/>
        <v>HIGH</v>
      </c>
      <c r="S352" s="8" t="str">
        <f t="shared" si="39"/>
        <v>technology</v>
      </c>
      <c r="T352" s="18" t="str">
        <f t="shared" si="40"/>
        <v>41913</v>
      </c>
      <c r="U352" s="27" t="s">
        <v>2984</v>
      </c>
      <c r="V352" s="16" t="s">
        <v>2681</v>
      </c>
      <c r="W352" s="30">
        <v>2014</v>
      </c>
      <c r="X352" t="s">
        <v>2984</v>
      </c>
      <c r="Y352" s="28">
        <v>41913</v>
      </c>
      <c r="Z352" s="28" t="str">
        <f t="shared" si="41"/>
        <v>IN-2014-CM121157-41913</v>
      </c>
    </row>
    <row r="353" spans="1:26" ht="15.75">
      <c r="A353" s="19" t="s">
        <v>302</v>
      </c>
      <c r="B353" s="9">
        <v>42315</v>
      </c>
      <c r="C353" s="9">
        <v>42322</v>
      </c>
      <c r="D353" s="10" t="s">
        <v>275</v>
      </c>
      <c r="E353" s="10" t="s">
        <v>303</v>
      </c>
      <c r="F353" s="10" t="s">
        <v>43</v>
      </c>
      <c r="G353" s="10" t="s">
        <v>32</v>
      </c>
      <c r="H353" s="10" t="s">
        <v>151</v>
      </c>
      <c r="I353" s="11">
        <v>2036.86</v>
      </c>
      <c r="J353" s="10">
        <v>7</v>
      </c>
      <c r="K353" s="20">
        <v>0</v>
      </c>
      <c r="L353" s="11">
        <v>366.63479999999902</v>
      </c>
      <c r="M353" s="10" t="s">
        <v>74</v>
      </c>
      <c r="N353" s="12"/>
      <c r="O353" s="13" t="str">
        <f t="shared" si="35"/>
        <v>Adam Bellavance</v>
      </c>
      <c r="P353" s="13" t="str">
        <f t="shared" si="36"/>
        <v>CA</v>
      </c>
      <c r="Q353" s="13" t="str">
        <f t="shared" si="37"/>
        <v>2015</v>
      </c>
      <c r="R353" s="13" t="str">
        <f t="shared" si="38"/>
        <v>LOW</v>
      </c>
      <c r="S353" s="13" t="str">
        <f t="shared" si="39"/>
        <v>furniture</v>
      </c>
      <c r="T353" s="21" t="str">
        <f t="shared" si="40"/>
        <v>42315</v>
      </c>
      <c r="U353" s="27" t="s">
        <v>2703</v>
      </c>
      <c r="V353" s="19" t="s">
        <v>2683</v>
      </c>
      <c r="W353" s="30">
        <v>2015</v>
      </c>
      <c r="X353" t="s">
        <v>2703</v>
      </c>
      <c r="Y353" s="28">
        <v>42315</v>
      </c>
      <c r="Z353" s="28" t="str">
        <f t="shared" si="41"/>
        <v>CA-2015-AB10060140-42315</v>
      </c>
    </row>
    <row r="354" spans="1:26" ht="15.75">
      <c r="A354" s="16" t="s">
        <v>306</v>
      </c>
      <c r="B354" s="4">
        <v>42081</v>
      </c>
      <c r="C354" s="5" t="s">
        <v>307</v>
      </c>
      <c r="D354" s="5" t="s">
        <v>240</v>
      </c>
      <c r="E354" s="5" t="s">
        <v>70</v>
      </c>
      <c r="F354" s="5" t="s">
        <v>71</v>
      </c>
      <c r="G354" s="5" t="s">
        <v>17</v>
      </c>
      <c r="H354" s="5" t="s">
        <v>46</v>
      </c>
      <c r="I354" s="6">
        <v>1505.97899999999</v>
      </c>
      <c r="J354" s="5">
        <v>6</v>
      </c>
      <c r="K354" s="17">
        <v>0.15</v>
      </c>
      <c r="L354" s="6">
        <v>-265.760999999999</v>
      </c>
      <c r="M354" s="5" t="s">
        <v>27</v>
      </c>
      <c r="N354" s="7"/>
      <c r="O354" s="8" t="str">
        <f t="shared" si="35"/>
        <v>Rachel Payne</v>
      </c>
      <c r="P354" s="8" t="str">
        <f t="shared" si="36"/>
        <v>IT</v>
      </c>
      <c r="Q354" s="8" t="str">
        <f t="shared" si="37"/>
        <v>2015</v>
      </c>
      <c r="R354" s="8" t="str">
        <f t="shared" si="38"/>
        <v>CRITICAL</v>
      </c>
      <c r="S354" s="8" t="str">
        <f t="shared" si="39"/>
        <v>technology</v>
      </c>
      <c r="T354" s="18" t="str">
        <f t="shared" si="40"/>
        <v>42081</v>
      </c>
      <c r="U354" s="27" t="s">
        <v>2985</v>
      </c>
      <c r="V354" s="16" t="s">
        <v>2690</v>
      </c>
      <c r="W354" s="30">
        <v>2015</v>
      </c>
      <c r="X354" t="s">
        <v>2985</v>
      </c>
      <c r="Y354" s="28">
        <v>42081</v>
      </c>
      <c r="Z354" s="28" t="str">
        <f t="shared" si="41"/>
        <v>IT-2015-RP1927045-42081</v>
      </c>
    </row>
    <row r="355" spans="1:26" ht="15.75">
      <c r="A355" s="19" t="s">
        <v>313</v>
      </c>
      <c r="B355" s="9">
        <v>42265</v>
      </c>
      <c r="C355" s="9">
        <v>42265</v>
      </c>
      <c r="D355" s="10" t="s">
        <v>314</v>
      </c>
      <c r="E355" s="10" t="s">
        <v>315</v>
      </c>
      <c r="F355" s="10" t="s">
        <v>61</v>
      </c>
      <c r="G355" s="10" t="s">
        <v>17</v>
      </c>
      <c r="H355" s="10" t="s">
        <v>33</v>
      </c>
      <c r="I355" s="11">
        <v>1213.18876</v>
      </c>
      <c r="J355" s="10">
        <v>7</v>
      </c>
      <c r="K355" s="20">
        <v>2E-3</v>
      </c>
      <c r="L355" s="11">
        <v>508.00876</v>
      </c>
      <c r="M355" s="10" t="s">
        <v>27</v>
      </c>
      <c r="N355" s="12"/>
      <c r="O355" s="13" t="str">
        <f t="shared" si="35"/>
        <v>Gary Mcgarr</v>
      </c>
      <c r="P355" s="13" t="str">
        <f t="shared" si="36"/>
        <v>MX</v>
      </c>
      <c r="Q355" s="13" t="str">
        <f t="shared" si="37"/>
        <v>2015</v>
      </c>
      <c r="R355" s="13" t="str">
        <f t="shared" si="38"/>
        <v>CRITICAL</v>
      </c>
      <c r="S355" s="13" t="str">
        <f t="shared" si="39"/>
        <v>technology</v>
      </c>
      <c r="T355" s="21" t="str">
        <f t="shared" si="40"/>
        <v>2265#</v>
      </c>
      <c r="U355" s="27" t="s">
        <v>2986</v>
      </c>
      <c r="V355" s="19" t="s">
        <v>2695</v>
      </c>
      <c r="W355" s="30">
        <v>2015</v>
      </c>
      <c r="X355" t="s">
        <v>2986</v>
      </c>
      <c r="Y355" s="28" t="s">
        <v>2987</v>
      </c>
      <c r="Z355" s="28" t="str">
        <f t="shared" si="41"/>
        <v>MX-2015-GM1444037-42265#</v>
      </c>
    </row>
    <row r="356" spans="1:26" ht="15.75">
      <c r="A356" s="16" t="s">
        <v>319</v>
      </c>
      <c r="B356" s="4">
        <v>42204</v>
      </c>
      <c r="C356" s="4">
        <v>42208</v>
      </c>
      <c r="D356" s="5" t="s">
        <v>320</v>
      </c>
      <c r="E356" s="5" t="s">
        <v>141</v>
      </c>
      <c r="F356" s="5" t="s">
        <v>142</v>
      </c>
      <c r="G356" s="5" t="s">
        <v>32</v>
      </c>
      <c r="H356" s="5" t="s">
        <v>33</v>
      </c>
      <c r="I356" s="6">
        <v>3278.5847999999901</v>
      </c>
      <c r="J356" s="5">
        <v>8</v>
      </c>
      <c r="K356" s="17">
        <v>7.0000000000000007E-2</v>
      </c>
      <c r="L356" s="6">
        <v>140.82479999999899</v>
      </c>
      <c r="M356" s="5" t="s">
        <v>37</v>
      </c>
      <c r="N356" s="7"/>
      <c r="O356" s="8" t="str">
        <f t="shared" si="35"/>
        <v>Julie Kriz</v>
      </c>
      <c r="P356" s="8" t="str">
        <f t="shared" si="36"/>
        <v>IN</v>
      </c>
      <c r="Q356" s="8" t="str">
        <f t="shared" si="37"/>
        <v>2015</v>
      </c>
      <c r="R356" s="8" t="str">
        <f t="shared" si="38"/>
        <v>HIGH</v>
      </c>
      <c r="S356" s="8" t="str">
        <f t="shared" si="39"/>
        <v>furniture</v>
      </c>
      <c r="T356" s="18" t="str">
        <f t="shared" si="40"/>
        <v>42204</v>
      </c>
      <c r="U356" s="27" t="s">
        <v>2988</v>
      </c>
      <c r="V356" s="16" t="s">
        <v>2681</v>
      </c>
      <c r="W356" s="30">
        <v>2015</v>
      </c>
      <c r="X356" t="s">
        <v>2988</v>
      </c>
      <c r="Y356" s="28">
        <v>42204</v>
      </c>
      <c r="Z356" s="28" t="str">
        <f t="shared" si="41"/>
        <v>IN-2015-JK1612059-42204</v>
      </c>
    </row>
    <row r="357" spans="1:26" ht="15.75">
      <c r="A357" s="19" t="s">
        <v>321</v>
      </c>
      <c r="B357" s="9">
        <v>41502</v>
      </c>
      <c r="C357" s="9">
        <v>41502</v>
      </c>
      <c r="D357" s="10" t="s">
        <v>201</v>
      </c>
      <c r="E357" s="10" t="s">
        <v>322</v>
      </c>
      <c r="F357" s="10" t="s">
        <v>142</v>
      </c>
      <c r="G357" s="10" t="s">
        <v>17</v>
      </c>
      <c r="H357" s="10" t="s">
        <v>18</v>
      </c>
      <c r="I357" s="11">
        <v>3741.5237999999899</v>
      </c>
      <c r="J357" s="10">
        <v>7</v>
      </c>
      <c r="K357" s="20">
        <v>0.17</v>
      </c>
      <c r="L357" s="11">
        <v>946.63379999999904</v>
      </c>
      <c r="M357" s="10" t="s">
        <v>37</v>
      </c>
      <c r="N357" s="12"/>
      <c r="O357" s="13" t="str">
        <f t="shared" si="35"/>
        <v>Evan Minnotte</v>
      </c>
      <c r="P357" s="13" t="str">
        <f t="shared" si="36"/>
        <v>ID</v>
      </c>
      <c r="Q357" s="13" t="str">
        <f t="shared" si="37"/>
        <v>2013</v>
      </c>
      <c r="R357" s="13" t="str">
        <f t="shared" si="38"/>
        <v>HIGH</v>
      </c>
      <c r="S357" s="13" t="str">
        <f t="shared" si="39"/>
        <v>technology</v>
      </c>
      <c r="T357" s="21" t="str">
        <f t="shared" si="40"/>
        <v>41502</v>
      </c>
      <c r="U357" s="27" t="s">
        <v>2989</v>
      </c>
      <c r="V357" s="19" t="s">
        <v>2705</v>
      </c>
      <c r="W357" s="30">
        <v>2013</v>
      </c>
      <c r="X357" t="s">
        <v>2989</v>
      </c>
      <c r="Y357" s="28">
        <v>41502</v>
      </c>
      <c r="Z357" s="28" t="str">
        <f t="shared" si="41"/>
        <v>ID-2013-EM14200130-41502</v>
      </c>
    </row>
    <row r="358" spans="1:26" ht="15.75">
      <c r="A358" s="16" t="s">
        <v>323</v>
      </c>
      <c r="B358" s="4">
        <v>41284</v>
      </c>
      <c r="C358" s="4">
        <v>41288</v>
      </c>
      <c r="D358" s="5" t="s">
        <v>259</v>
      </c>
      <c r="E358" s="5" t="s">
        <v>141</v>
      </c>
      <c r="F358" s="5" t="s">
        <v>142</v>
      </c>
      <c r="G358" s="5" t="s">
        <v>32</v>
      </c>
      <c r="H358" s="5" t="s">
        <v>26</v>
      </c>
      <c r="I358" s="6">
        <v>3637.6019999999899</v>
      </c>
      <c r="J358" s="5">
        <v>10</v>
      </c>
      <c r="K358" s="17">
        <v>7.0000000000000007E-2</v>
      </c>
      <c r="L358" s="6">
        <v>156.40199999999899</v>
      </c>
      <c r="M358" s="5" t="s">
        <v>37</v>
      </c>
      <c r="N358" s="7"/>
      <c r="O358" s="8" t="str">
        <f t="shared" si="35"/>
        <v>Paul Macintyre</v>
      </c>
      <c r="P358" s="8" t="str">
        <f t="shared" si="36"/>
        <v>IN</v>
      </c>
      <c r="Q358" s="8" t="str">
        <f t="shared" si="37"/>
        <v>2013</v>
      </c>
      <c r="R358" s="8" t="str">
        <f t="shared" si="38"/>
        <v>HIGH</v>
      </c>
      <c r="S358" s="8" t="str">
        <f t="shared" si="39"/>
        <v>furniture</v>
      </c>
      <c r="T358" s="18" t="str">
        <f t="shared" si="40"/>
        <v>41284</v>
      </c>
      <c r="U358" s="27" t="s">
        <v>2990</v>
      </c>
      <c r="V358" s="16" t="s">
        <v>2681</v>
      </c>
      <c r="W358" s="30">
        <v>2013</v>
      </c>
      <c r="X358" t="s">
        <v>2990</v>
      </c>
      <c r="Y358" s="28">
        <v>41284</v>
      </c>
      <c r="Z358" s="28" t="str">
        <f t="shared" si="41"/>
        <v>IN-2013-PM1894059-41284</v>
      </c>
    </row>
    <row r="359" spans="1:26" ht="15.75">
      <c r="A359" s="19" t="s">
        <v>327</v>
      </c>
      <c r="B359" s="9">
        <v>41614</v>
      </c>
      <c r="C359" s="9">
        <v>41616</v>
      </c>
      <c r="D359" s="10" t="s">
        <v>328</v>
      </c>
      <c r="E359" s="10" t="s">
        <v>60</v>
      </c>
      <c r="F359" s="10" t="s">
        <v>61</v>
      </c>
      <c r="G359" s="10" t="s">
        <v>17</v>
      </c>
      <c r="H359" s="10" t="s">
        <v>23</v>
      </c>
      <c r="I359" s="11">
        <v>2297.96</v>
      </c>
      <c r="J359" s="10">
        <v>14</v>
      </c>
      <c r="K359" s="20">
        <v>0</v>
      </c>
      <c r="L359" s="11">
        <v>988.11999999999898</v>
      </c>
      <c r="M359" s="10" t="s">
        <v>37</v>
      </c>
      <c r="N359" s="12"/>
      <c r="O359" s="13" t="str">
        <f t="shared" si="35"/>
        <v>Paul Van Hugh</v>
      </c>
      <c r="P359" s="13" t="str">
        <f t="shared" si="36"/>
        <v>MX</v>
      </c>
      <c r="Q359" s="13" t="str">
        <f t="shared" si="37"/>
        <v>2013</v>
      </c>
      <c r="R359" s="13" t="str">
        <f t="shared" si="38"/>
        <v>HIGH</v>
      </c>
      <c r="S359" s="13" t="str">
        <f t="shared" si="39"/>
        <v>technology</v>
      </c>
      <c r="T359" s="21" t="str">
        <f t="shared" si="40"/>
        <v>41614</v>
      </c>
      <c r="U359" s="27" t="s">
        <v>2991</v>
      </c>
      <c r="V359" s="19" t="s">
        <v>2695</v>
      </c>
      <c r="W359" s="30">
        <v>2013</v>
      </c>
      <c r="X359" t="s">
        <v>2991</v>
      </c>
      <c r="Y359" s="28">
        <v>41614</v>
      </c>
      <c r="Z359" s="28" t="str">
        <f t="shared" si="41"/>
        <v>MX-2013-PV1898518-41614</v>
      </c>
    </row>
    <row r="360" spans="1:26" ht="15.75">
      <c r="A360" s="16" t="s">
        <v>331</v>
      </c>
      <c r="B360" s="4">
        <v>42265</v>
      </c>
      <c r="C360" s="4">
        <v>42267</v>
      </c>
      <c r="D360" s="5" t="s">
        <v>332</v>
      </c>
      <c r="E360" s="5" t="s">
        <v>333</v>
      </c>
      <c r="F360" s="5" t="s">
        <v>84</v>
      </c>
      <c r="G360" s="5" t="s">
        <v>17</v>
      </c>
      <c r="H360" s="5" t="s">
        <v>18</v>
      </c>
      <c r="I360" s="6">
        <v>3834</v>
      </c>
      <c r="J360" s="5">
        <v>6</v>
      </c>
      <c r="K360" s="17">
        <v>0</v>
      </c>
      <c r="L360" s="6">
        <v>268.38</v>
      </c>
      <c r="M360" s="5" t="s">
        <v>37</v>
      </c>
      <c r="N360" s="7"/>
      <c r="O360" s="8" t="str">
        <f t="shared" si="35"/>
        <v>Sally Matthias</v>
      </c>
      <c r="P360" s="8" t="str">
        <f t="shared" si="36"/>
        <v>SO</v>
      </c>
      <c r="Q360" s="8" t="str">
        <f t="shared" si="37"/>
        <v>2015</v>
      </c>
      <c r="R360" s="8" t="str">
        <f t="shared" si="38"/>
        <v>HIGH</v>
      </c>
      <c r="S360" s="8" t="str">
        <f t="shared" si="39"/>
        <v>technology</v>
      </c>
      <c r="T360" s="18" t="str">
        <f t="shared" si="40"/>
        <v>42265</v>
      </c>
      <c r="U360" s="27" t="s">
        <v>2992</v>
      </c>
      <c r="V360" s="16" t="s">
        <v>2993</v>
      </c>
      <c r="W360" s="30">
        <v>2015</v>
      </c>
      <c r="X360" t="s">
        <v>2992</v>
      </c>
      <c r="Y360" s="28">
        <v>42265</v>
      </c>
      <c r="Z360" s="28" t="str">
        <f t="shared" si="41"/>
        <v>SO-2015-SM10005116-42265</v>
      </c>
    </row>
    <row r="361" spans="1:26" ht="15.75">
      <c r="A361" s="19" t="s">
        <v>335</v>
      </c>
      <c r="B361" s="9">
        <v>41489</v>
      </c>
      <c r="C361" s="9">
        <v>41494</v>
      </c>
      <c r="D361" s="10" t="s">
        <v>336</v>
      </c>
      <c r="E361" s="10" t="s">
        <v>141</v>
      </c>
      <c r="F361" s="10" t="s">
        <v>142</v>
      </c>
      <c r="G361" s="10" t="s">
        <v>45</v>
      </c>
      <c r="H361" s="10" t="s">
        <v>26</v>
      </c>
      <c r="I361" s="11">
        <v>3501.7367999999901</v>
      </c>
      <c r="J361" s="10">
        <v>8</v>
      </c>
      <c r="K361" s="20">
        <v>0.17</v>
      </c>
      <c r="L361" s="11">
        <v>210.85679999999999</v>
      </c>
      <c r="M361" s="10" t="s">
        <v>37</v>
      </c>
      <c r="N361" s="12"/>
      <c r="O361" s="13" t="str">
        <f t="shared" si="35"/>
        <v>Katharine Harms</v>
      </c>
      <c r="P361" s="13" t="str">
        <f t="shared" si="36"/>
        <v>IN</v>
      </c>
      <c r="Q361" s="13" t="str">
        <f t="shared" si="37"/>
        <v>2013</v>
      </c>
      <c r="R361" s="13" t="str">
        <f t="shared" si="38"/>
        <v>HIGH</v>
      </c>
      <c r="S361" s="13" t="str">
        <f t="shared" si="39"/>
        <v>office supplies</v>
      </c>
      <c r="T361" s="21" t="str">
        <f t="shared" si="40"/>
        <v>41489</v>
      </c>
      <c r="U361" s="27" t="s">
        <v>2994</v>
      </c>
      <c r="V361" s="19" t="s">
        <v>2681</v>
      </c>
      <c r="W361" s="30">
        <v>2013</v>
      </c>
      <c r="X361" t="s">
        <v>2994</v>
      </c>
      <c r="Y361" s="28">
        <v>41489</v>
      </c>
      <c r="Z361" s="28" t="str">
        <f t="shared" si="41"/>
        <v>IN-2013-KH1633059-41489</v>
      </c>
    </row>
    <row r="362" spans="1:26" ht="15.75">
      <c r="A362" s="16" t="s">
        <v>343</v>
      </c>
      <c r="B362" s="4">
        <v>41878</v>
      </c>
      <c r="C362" s="4">
        <v>41880</v>
      </c>
      <c r="D362" s="5" t="s">
        <v>344</v>
      </c>
      <c r="E362" s="5" t="s">
        <v>15</v>
      </c>
      <c r="F362" s="5" t="s">
        <v>16</v>
      </c>
      <c r="G362" s="5" t="s">
        <v>32</v>
      </c>
      <c r="H362" s="5" t="s">
        <v>33</v>
      </c>
      <c r="I362" s="6">
        <v>2760.3449999999998</v>
      </c>
      <c r="J362" s="5">
        <v>7</v>
      </c>
      <c r="K362" s="17">
        <v>0.1</v>
      </c>
      <c r="L362" s="6">
        <v>-214.72499999999999</v>
      </c>
      <c r="M362" s="5" t="s">
        <v>37</v>
      </c>
      <c r="N362" s="7"/>
      <c r="O362" s="8" t="str">
        <f t="shared" si="35"/>
        <v>Corey Roper</v>
      </c>
      <c r="P362" s="8" t="str">
        <f t="shared" si="36"/>
        <v>ID</v>
      </c>
      <c r="Q362" s="8" t="str">
        <f t="shared" si="37"/>
        <v>2014</v>
      </c>
      <c r="R362" s="8" t="str">
        <f t="shared" si="38"/>
        <v>HIGH</v>
      </c>
      <c r="S362" s="8" t="str">
        <f t="shared" si="39"/>
        <v>furniture</v>
      </c>
      <c r="T362" s="18" t="str">
        <f t="shared" si="40"/>
        <v>41878</v>
      </c>
      <c r="U362" s="27" t="s">
        <v>2995</v>
      </c>
      <c r="V362" s="16" t="s">
        <v>2705</v>
      </c>
      <c r="W362" s="30">
        <v>2014</v>
      </c>
      <c r="X362" t="s">
        <v>2995</v>
      </c>
      <c r="Y362" s="28">
        <v>41878</v>
      </c>
      <c r="Z362" s="28" t="str">
        <f t="shared" si="41"/>
        <v>ID-2014-CR126257-41878</v>
      </c>
    </row>
    <row r="363" spans="1:26" ht="15.75">
      <c r="A363" s="19" t="s">
        <v>349</v>
      </c>
      <c r="B363" s="9">
        <v>41171</v>
      </c>
      <c r="C363" s="10" t="s">
        <v>350</v>
      </c>
      <c r="D363" s="10" t="s">
        <v>278</v>
      </c>
      <c r="E363" s="10" t="s">
        <v>22</v>
      </c>
      <c r="F363" s="10" t="s">
        <v>71</v>
      </c>
      <c r="G363" s="10" t="s">
        <v>17</v>
      </c>
      <c r="H363" s="10" t="s">
        <v>73</v>
      </c>
      <c r="I363" s="11">
        <v>3616.5</v>
      </c>
      <c r="J363" s="10">
        <v>10</v>
      </c>
      <c r="K363" s="20">
        <v>0</v>
      </c>
      <c r="L363" s="11">
        <v>36</v>
      </c>
      <c r="M363" s="10" t="s">
        <v>27</v>
      </c>
      <c r="N363" s="12"/>
      <c r="O363" s="13" t="str">
        <f t="shared" si="35"/>
        <v>Dave Brooks</v>
      </c>
      <c r="P363" s="13" t="str">
        <f t="shared" si="36"/>
        <v>ES</v>
      </c>
      <c r="Q363" s="13" t="str">
        <f t="shared" si="37"/>
        <v>2012</v>
      </c>
      <c r="R363" s="13" t="str">
        <f t="shared" si="38"/>
        <v>CRITICAL</v>
      </c>
      <c r="S363" s="13" t="str">
        <f t="shared" si="39"/>
        <v>technology</v>
      </c>
      <c r="T363" s="21" t="str">
        <f t="shared" si="40"/>
        <v>41171</v>
      </c>
      <c r="U363" s="27" t="s">
        <v>2996</v>
      </c>
      <c r="V363" s="19" t="s">
        <v>2710</v>
      </c>
      <c r="W363" s="30">
        <v>2012</v>
      </c>
      <c r="X363" t="s">
        <v>2996</v>
      </c>
      <c r="Y363" s="28">
        <v>41171</v>
      </c>
      <c r="Z363" s="28" t="str">
        <f t="shared" si="41"/>
        <v>ES-2012-DB1306048-41171</v>
      </c>
    </row>
    <row r="364" spans="1:26" ht="15.75">
      <c r="A364" s="16" t="s">
        <v>356</v>
      </c>
      <c r="B364" s="4">
        <v>42103</v>
      </c>
      <c r="C364" s="4">
        <v>42107</v>
      </c>
      <c r="D364" s="5" t="s">
        <v>357</v>
      </c>
      <c r="E364" s="5" t="s">
        <v>358</v>
      </c>
      <c r="F364" s="5" t="s">
        <v>98</v>
      </c>
      <c r="G364" s="5" t="s">
        <v>32</v>
      </c>
      <c r="H364" s="5" t="s">
        <v>26</v>
      </c>
      <c r="I364" s="6">
        <v>3117.0879999999902</v>
      </c>
      <c r="J364" s="5">
        <v>13</v>
      </c>
      <c r="K364" s="17">
        <v>0.2</v>
      </c>
      <c r="L364" s="6">
        <v>38.948</v>
      </c>
      <c r="M364" s="5" t="s">
        <v>37</v>
      </c>
      <c r="N364" s="7"/>
      <c r="O364" s="8" t="str">
        <f t="shared" si="35"/>
        <v>Dario Medina</v>
      </c>
      <c r="P364" s="8" t="str">
        <f t="shared" si="36"/>
        <v>MX</v>
      </c>
      <c r="Q364" s="8" t="str">
        <f t="shared" si="37"/>
        <v>2015</v>
      </c>
      <c r="R364" s="8" t="str">
        <f t="shared" si="38"/>
        <v>HIGH</v>
      </c>
      <c r="S364" s="8" t="str">
        <f t="shared" si="39"/>
        <v>furniture</v>
      </c>
      <c r="T364" s="18" t="str">
        <f t="shared" si="40"/>
        <v>42103</v>
      </c>
      <c r="U364" s="27" t="s">
        <v>2997</v>
      </c>
      <c r="V364" s="16" t="s">
        <v>2695</v>
      </c>
      <c r="W364" s="30">
        <v>2015</v>
      </c>
      <c r="X364" t="s">
        <v>2997</v>
      </c>
      <c r="Y364" s="28">
        <v>42103</v>
      </c>
      <c r="Z364" s="28" t="str">
        <f t="shared" si="41"/>
        <v>MX-2015-DM1295551-42103</v>
      </c>
    </row>
    <row r="365" spans="1:26" ht="15.75">
      <c r="A365" s="19" t="s">
        <v>362</v>
      </c>
      <c r="B365" s="9">
        <v>41914</v>
      </c>
      <c r="C365" s="9">
        <v>41916</v>
      </c>
      <c r="D365" s="10" t="s">
        <v>363</v>
      </c>
      <c r="E365" s="10" t="s">
        <v>66</v>
      </c>
      <c r="F365" s="10" t="s">
        <v>90</v>
      </c>
      <c r="G365" s="10" t="s">
        <v>45</v>
      </c>
      <c r="H365" s="10" t="s">
        <v>127</v>
      </c>
      <c r="I365" s="11">
        <v>3000.7799999999902</v>
      </c>
      <c r="J365" s="10">
        <v>6</v>
      </c>
      <c r="K365" s="20">
        <v>0</v>
      </c>
      <c r="L365" s="11">
        <v>1080.18</v>
      </c>
      <c r="M365" s="10" t="s">
        <v>37</v>
      </c>
      <c r="N365" s="12"/>
      <c r="O365" s="13" t="str">
        <f t="shared" si="35"/>
        <v>Sean O'Donnell</v>
      </c>
      <c r="P365" s="13" t="str">
        <f t="shared" si="36"/>
        <v>IN</v>
      </c>
      <c r="Q365" s="13" t="str">
        <f t="shared" si="37"/>
        <v>2014</v>
      </c>
      <c r="R365" s="13" t="str">
        <f t="shared" si="38"/>
        <v>HIGH</v>
      </c>
      <c r="S365" s="13" t="str">
        <f t="shared" si="39"/>
        <v>office supplies</v>
      </c>
      <c r="T365" s="21" t="str">
        <f t="shared" si="40"/>
        <v>41914</v>
      </c>
      <c r="U365" s="27" t="s">
        <v>2998</v>
      </c>
      <c r="V365" s="19" t="s">
        <v>2681</v>
      </c>
      <c r="W365" s="30">
        <v>2014</v>
      </c>
      <c r="X365" t="s">
        <v>2998</v>
      </c>
      <c r="Y365" s="28">
        <v>41914</v>
      </c>
      <c r="Z365" s="28" t="str">
        <f t="shared" si="41"/>
        <v>IN-2014-SO2033527-41914</v>
      </c>
    </row>
    <row r="366" spans="1:26" ht="15.75">
      <c r="A366" s="16" t="s">
        <v>365</v>
      </c>
      <c r="B366" s="4">
        <v>42236</v>
      </c>
      <c r="C366" s="4">
        <v>42241</v>
      </c>
      <c r="D366" s="5" t="s">
        <v>366</v>
      </c>
      <c r="E366" s="5" t="s">
        <v>55</v>
      </c>
      <c r="F366" s="5" t="s">
        <v>56</v>
      </c>
      <c r="G366" s="5" t="s">
        <v>17</v>
      </c>
      <c r="H366" s="5" t="s">
        <v>73</v>
      </c>
      <c r="I366" s="6">
        <v>5211.12</v>
      </c>
      <c r="J366" s="5">
        <v>8</v>
      </c>
      <c r="K366" s="17">
        <v>0</v>
      </c>
      <c r="L366" s="6">
        <v>1146.24</v>
      </c>
      <c r="M366" s="5" t="s">
        <v>19</v>
      </c>
      <c r="N366" s="7"/>
      <c r="O366" s="8" t="str">
        <f t="shared" si="35"/>
        <v>Liz Carlisle</v>
      </c>
      <c r="P366" s="8" t="str">
        <f t="shared" si="36"/>
        <v>SA</v>
      </c>
      <c r="Q366" s="8" t="str">
        <f t="shared" si="37"/>
        <v>2015</v>
      </c>
      <c r="R366" s="8" t="str">
        <f t="shared" si="38"/>
        <v>MEDIUM</v>
      </c>
      <c r="S366" s="8" t="str">
        <f t="shared" si="39"/>
        <v>technology</v>
      </c>
      <c r="T366" s="18" t="str">
        <f t="shared" si="40"/>
        <v>42236</v>
      </c>
      <c r="U366" s="27" t="s">
        <v>2999</v>
      </c>
      <c r="V366" s="16" t="s">
        <v>2869</v>
      </c>
      <c r="W366" s="30">
        <v>2015</v>
      </c>
      <c r="X366" t="s">
        <v>2999</v>
      </c>
      <c r="Y366" s="28">
        <v>42236</v>
      </c>
      <c r="Z366" s="28" t="str">
        <f t="shared" si="41"/>
        <v>SA-2015-LC7050110-42236</v>
      </c>
    </row>
    <row r="367" spans="1:26" ht="15.75">
      <c r="A367" s="19" t="s">
        <v>372</v>
      </c>
      <c r="B367" s="9">
        <v>41801</v>
      </c>
      <c r="C367" s="9">
        <v>41805</v>
      </c>
      <c r="D367" s="10" t="s">
        <v>373</v>
      </c>
      <c r="E367" s="10" t="s">
        <v>141</v>
      </c>
      <c r="F367" s="10" t="s">
        <v>142</v>
      </c>
      <c r="G367" s="10" t="s">
        <v>32</v>
      </c>
      <c r="H367" s="10" t="s">
        <v>18</v>
      </c>
      <c r="I367" s="11">
        <v>3126.40019999999</v>
      </c>
      <c r="J367" s="10">
        <v>9</v>
      </c>
      <c r="K367" s="20">
        <v>0.27</v>
      </c>
      <c r="L367" s="11">
        <v>-128.719799999999</v>
      </c>
      <c r="M367" s="10" t="s">
        <v>37</v>
      </c>
      <c r="N367" s="12"/>
      <c r="O367" s="13" t="str">
        <f t="shared" si="35"/>
        <v>Alan Dominguez</v>
      </c>
      <c r="P367" s="13" t="str">
        <f t="shared" si="36"/>
        <v>ID</v>
      </c>
      <c r="Q367" s="13" t="str">
        <f t="shared" si="37"/>
        <v>2014</v>
      </c>
      <c r="R367" s="13" t="str">
        <f t="shared" si="38"/>
        <v>HIGH</v>
      </c>
      <c r="S367" s="13" t="str">
        <f t="shared" si="39"/>
        <v>furniture</v>
      </c>
      <c r="T367" s="21" t="str">
        <f t="shared" si="40"/>
        <v>41801</v>
      </c>
      <c r="U367" s="27" t="s">
        <v>3000</v>
      </c>
      <c r="V367" s="19" t="s">
        <v>2705</v>
      </c>
      <c r="W367" s="30">
        <v>2014</v>
      </c>
      <c r="X367" t="s">
        <v>3000</v>
      </c>
      <c r="Y367" s="28">
        <v>41801</v>
      </c>
      <c r="Z367" s="28" t="str">
        <f t="shared" si="41"/>
        <v>ID-2014-AD1018059-41801</v>
      </c>
    </row>
    <row r="368" spans="1:26" ht="15.75">
      <c r="A368" s="16" t="s">
        <v>374</v>
      </c>
      <c r="B368" s="4">
        <v>41130</v>
      </c>
      <c r="C368" s="4">
        <v>41137</v>
      </c>
      <c r="D368" s="5" t="s">
        <v>375</v>
      </c>
      <c r="E368" s="5" t="s">
        <v>93</v>
      </c>
      <c r="F368" s="5" t="s">
        <v>94</v>
      </c>
      <c r="G368" s="5" t="s">
        <v>17</v>
      </c>
      <c r="H368" s="5" t="s">
        <v>151</v>
      </c>
      <c r="I368" s="6">
        <v>5276.9880000000003</v>
      </c>
      <c r="J368" s="5">
        <v>9</v>
      </c>
      <c r="K368" s="17">
        <v>0.1</v>
      </c>
      <c r="L368" s="6">
        <v>1758.8879999999899</v>
      </c>
      <c r="M368" s="5" t="s">
        <v>19</v>
      </c>
      <c r="N368" s="7"/>
      <c r="O368" s="8" t="str">
        <f t="shared" si="35"/>
        <v>Becky Pak#</v>
      </c>
      <c r="P368" s="8" t="str">
        <f t="shared" si="36"/>
        <v>ES</v>
      </c>
      <c r="Q368" s="8" t="str">
        <f t="shared" si="37"/>
        <v>2012</v>
      </c>
      <c r="R368" s="8" t="str">
        <f t="shared" si="38"/>
        <v>MEDIUM</v>
      </c>
      <c r="S368" s="8" t="str">
        <f t="shared" si="39"/>
        <v>technology</v>
      </c>
      <c r="T368" s="18" t="str">
        <f t="shared" si="40"/>
        <v>41130</v>
      </c>
      <c r="U368" s="27" t="s">
        <v>3001</v>
      </c>
      <c r="V368" s="16" t="s">
        <v>2710</v>
      </c>
      <c r="W368" s="30">
        <v>2012</v>
      </c>
      <c r="X368" t="s">
        <v>3001</v>
      </c>
      <c r="Y368" s="28">
        <v>41130</v>
      </c>
      <c r="Z368" s="28" t="str">
        <f t="shared" si="41"/>
        <v>ES-2012-BP11155139-41130</v>
      </c>
    </row>
    <row r="369" spans="1:26" ht="15.75">
      <c r="A369" s="19" t="s">
        <v>393</v>
      </c>
      <c r="B369" s="9">
        <v>41924</v>
      </c>
      <c r="C369" s="9">
        <v>41924</v>
      </c>
      <c r="D369" s="10" t="s">
        <v>394</v>
      </c>
      <c r="E369" s="10" t="s">
        <v>197</v>
      </c>
      <c r="F369" s="10" t="s">
        <v>77</v>
      </c>
      <c r="G369" s="10" t="s">
        <v>17</v>
      </c>
      <c r="H369" s="10" t="s">
        <v>26</v>
      </c>
      <c r="I369" s="11">
        <v>1549.98</v>
      </c>
      <c r="J369" s="10">
        <v>6</v>
      </c>
      <c r="K369" s="20">
        <v>0</v>
      </c>
      <c r="L369" s="11">
        <v>139.32</v>
      </c>
      <c r="M369" s="10" t="s">
        <v>27</v>
      </c>
      <c r="N369" s="12"/>
      <c r="O369" s="13" t="str">
        <f t="shared" si="35"/>
        <v>Jason Fortune-</v>
      </c>
      <c r="P369" s="13" t="str">
        <f t="shared" si="36"/>
        <v>ES</v>
      </c>
      <c r="Q369" s="13" t="str">
        <f t="shared" si="37"/>
        <v>2014</v>
      </c>
      <c r="R369" s="13" t="str">
        <f t="shared" si="38"/>
        <v>CRITICAL</v>
      </c>
      <c r="S369" s="13" t="str">
        <f t="shared" si="39"/>
        <v>technology</v>
      </c>
      <c r="T369" s="21" t="str">
        <f t="shared" si="40"/>
        <v>41924</v>
      </c>
      <c r="U369" s="27" t="s">
        <v>3002</v>
      </c>
      <c r="V369" s="19" t="s">
        <v>2710</v>
      </c>
      <c r="W369" s="30">
        <v>2014</v>
      </c>
      <c r="X369" t="s">
        <v>3002</v>
      </c>
      <c r="Y369" s="28">
        <v>41924</v>
      </c>
      <c r="Z369" s="28" t="str">
        <f t="shared" si="41"/>
        <v>ES-2014-JF15295120-41924</v>
      </c>
    </row>
    <row r="370" spans="1:26" ht="15.75">
      <c r="A370" s="16" t="s">
        <v>396</v>
      </c>
      <c r="B370" s="4">
        <v>42202</v>
      </c>
      <c r="C370" s="4">
        <v>42204</v>
      </c>
      <c r="D370" s="5" t="s">
        <v>397</v>
      </c>
      <c r="E370" s="5" t="s">
        <v>398</v>
      </c>
      <c r="F370" s="5" t="s">
        <v>87</v>
      </c>
      <c r="G370" s="5" t="s">
        <v>45</v>
      </c>
      <c r="H370" s="5" t="s">
        <v>18</v>
      </c>
      <c r="I370" s="6">
        <v>3146.3999999999901</v>
      </c>
      <c r="J370" s="5">
        <v>6</v>
      </c>
      <c r="K370" s="17">
        <v>0</v>
      </c>
      <c r="L370" s="6">
        <v>629.28</v>
      </c>
      <c r="M370" s="5" t="s">
        <v>27</v>
      </c>
      <c r="N370" s="7"/>
      <c r="O370" s="8" t="str">
        <f t="shared" si="35"/>
        <v>Don Jones</v>
      </c>
      <c r="P370" s="8" t="str">
        <f t="shared" si="36"/>
        <v>UP</v>
      </c>
      <c r="Q370" s="8" t="str">
        <f t="shared" si="37"/>
        <v>2015</v>
      </c>
      <c r="R370" s="8" t="str">
        <f t="shared" si="38"/>
        <v>CRITICAL</v>
      </c>
      <c r="S370" s="8" t="str">
        <f t="shared" si="39"/>
        <v>office supplies</v>
      </c>
      <c r="T370" s="18" t="str">
        <f t="shared" si="40"/>
        <v>42202</v>
      </c>
      <c r="U370" s="27" t="s">
        <v>3003</v>
      </c>
      <c r="V370" s="16" t="s">
        <v>2762</v>
      </c>
      <c r="W370" s="30">
        <v>2015</v>
      </c>
      <c r="X370" t="s">
        <v>3003</v>
      </c>
      <c r="Y370" s="28">
        <v>42202</v>
      </c>
      <c r="Z370" s="28" t="str">
        <f t="shared" si="41"/>
        <v>UP-2015-DJ3510137-42202</v>
      </c>
    </row>
    <row r="371" spans="1:26" ht="15.75">
      <c r="A371" s="19" t="s">
        <v>399</v>
      </c>
      <c r="B371" s="9">
        <v>42330</v>
      </c>
      <c r="C371" s="9">
        <v>42336</v>
      </c>
      <c r="D371" s="10" t="s">
        <v>400</v>
      </c>
      <c r="E371" s="10" t="s">
        <v>70</v>
      </c>
      <c r="F371" s="10" t="s">
        <v>71</v>
      </c>
      <c r="G371" s="10" t="s">
        <v>17</v>
      </c>
      <c r="H371" s="10" t="s">
        <v>127</v>
      </c>
      <c r="I371" s="11">
        <v>2456.6190000000001</v>
      </c>
      <c r="J371" s="10">
        <v>11</v>
      </c>
      <c r="K371" s="20">
        <v>0.15</v>
      </c>
      <c r="L371" s="11">
        <v>664.71900000000005</v>
      </c>
      <c r="M371" s="10" t="s">
        <v>74</v>
      </c>
      <c r="N371" s="12"/>
      <c r="O371" s="13" t="str">
        <f t="shared" si="35"/>
        <v>Monica Federle</v>
      </c>
      <c r="P371" s="13" t="str">
        <f t="shared" si="36"/>
        <v>ES</v>
      </c>
      <c r="Q371" s="13" t="str">
        <f t="shared" si="37"/>
        <v>2015</v>
      </c>
      <c r="R371" s="13" t="str">
        <f t="shared" si="38"/>
        <v>LOW</v>
      </c>
      <c r="S371" s="13" t="str">
        <f t="shared" si="39"/>
        <v>technology</v>
      </c>
      <c r="T371" s="21" t="str">
        <f t="shared" si="40"/>
        <v>42330</v>
      </c>
      <c r="U371" s="27" t="s">
        <v>3004</v>
      </c>
      <c r="V371" s="19" t="s">
        <v>2710</v>
      </c>
      <c r="W371" s="30">
        <v>2015</v>
      </c>
      <c r="X371" t="s">
        <v>3004</v>
      </c>
      <c r="Y371" s="28">
        <v>42330</v>
      </c>
      <c r="Z371" s="28" t="str">
        <f t="shared" si="41"/>
        <v>ES-2015-MF1825045-42330</v>
      </c>
    </row>
    <row r="372" spans="1:26" ht="15.75">
      <c r="A372" s="16" t="s">
        <v>404</v>
      </c>
      <c r="B372" s="4">
        <v>42245</v>
      </c>
      <c r="C372" s="4">
        <v>42250</v>
      </c>
      <c r="D372" s="5" t="s">
        <v>405</v>
      </c>
      <c r="E372" s="5" t="s">
        <v>70</v>
      </c>
      <c r="F372" s="5" t="s">
        <v>71</v>
      </c>
      <c r="G372" s="5" t="s">
        <v>17</v>
      </c>
      <c r="H372" s="5" t="s">
        <v>33</v>
      </c>
      <c r="I372" s="6">
        <v>4876.875</v>
      </c>
      <c r="J372" s="5">
        <v>9</v>
      </c>
      <c r="K372" s="17">
        <v>0.15</v>
      </c>
      <c r="L372" s="6">
        <v>745.875</v>
      </c>
      <c r="M372" s="5" t="s">
        <v>19</v>
      </c>
      <c r="N372" s="7"/>
      <c r="O372" s="8" t="str">
        <f t="shared" si="35"/>
        <v>Eugene Hildebrand</v>
      </c>
      <c r="P372" s="8" t="str">
        <f t="shared" si="36"/>
        <v>ES</v>
      </c>
      <c r="Q372" s="8" t="str">
        <f t="shared" si="37"/>
        <v>2015</v>
      </c>
      <c r="R372" s="8" t="str">
        <f t="shared" si="38"/>
        <v>MEDIUM</v>
      </c>
      <c r="S372" s="8" t="str">
        <f t="shared" si="39"/>
        <v>technology</v>
      </c>
      <c r="T372" s="18" t="str">
        <f t="shared" si="40"/>
        <v>42245</v>
      </c>
      <c r="U372" s="27" t="s">
        <v>3005</v>
      </c>
      <c r="V372" s="16" t="s">
        <v>2710</v>
      </c>
      <c r="W372" s="30">
        <v>2015</v>
      </c>
      <c r="X372" t="s">
        <v>3005</v>
      </c>
      <c r="Y372" s="28">
        <v>42245</v>
      </c>
      <c r="Z372" s="28" t="str">
        <f t="shared" si="41"/>
        <v>ES-2015-EH1412545-42245</v>
      </c>
    </row>
    <row r="373" spans="1:26" ht="15.75">
      <c r="A373" s="19" t="s">
        <v>143</v>
      </c>
      <c r="B373" s="9">
        <v>42319</v>
      </c>
      <c r="C373" s="9">
        <v>42323</v>
      </c>
      <c r="D373" s="10" t="s">
        <v>144</v>
      </c>
      <c r="E373" s="10" t="s">
        <v>114</v>
      </c>
      <c r="F373" s="10" t="s">
        <v>115</v>
      </c>
      <c r="G373" s="10" t="s">
        <v>45</v>
      </c>
      <c r="H373" s="10" t="s">
        <v>26</v>
      </c>
      <c r="I373" s="11">
        <v>3622.28999999999</v>
      </c>
      <c r="J373" s="10">
        <v>7</v>
      </c>
      <c r="K373" s="20">
        <v>0</v>
      </c>
      <c r="L373" s="11">
        <v>1267.77</v>
      </c>
      <c r="M373" s="10" t="s">
        <v>37</v>
      </c>
      <c r="N373" s="12"/>
      <c r="O373" s="13" t="str">
        <f t="shared" si="35"/>
        <v>Barry Franz</v>
      </c>
      <c r="P373" s="13" t="str">
        <f t="shared" si="36"/>
        <v>IN</v>
      </c>
      <c r="Q373" s="13" t="str">
        <f t="shared" si="37"/>
        <v>2015</v>
      </c>
      <c r="R373" s="13" t="str">
        <f t="shared" si="38"/>
        <v>HIGH</v>
      </c>
      <c r="S373" s="13" t="str">
        <f t="shared" si="39"/>
        <v>office supplies</v>
      </c>
      <c r="T373" s="21" t="str">
        <f t="shared" si="40"/>
        <v>42319</v>
      </c>
      <c r="U373" s="27" t="s">
        <v>2961</v>
      </c>
      <c r="V373" s="19" t="s">
        <v>2681</v>
      </c>
      <c r="W373" s="30">
        <v>2015</v>
      </c>
      <c r="X373" t="s">
        <v>2961</v>
      </c>
      <c r="Y373" s="28">
        <v>42319</v>
      </c>
      <c r="Z373" s="28" t="str">
        <f t="shared" si="41"/>
        <v>IN-2015-BF1100558-42319</v>
      </c>
    </row>
    <row r="374" spans="1:26" ht="15.75">
      <c r="A374" s="16" t="s">
        <v>409</v>
      </c>
      <c r="B374" s="4">
        <v>41136</v>
      </c>
      <c r="C374" s="4">
        <v>41141</v>
      </c>
      <c r="D374" s="5" t="s">
        <v>410</v>
      </c>
      <c r="E374" s="5" t="s">
        <v>93</v>
      </c>
      <c r="F374" s="5" t="s">
        <v>94</v>
      </c>
      <c r="G374" s="5" t="s">
        <v>17</v>
      </c>
      <c r="H374" s="5" t="s">
        <v>73</v>
      </c>
      <c r="I374" s="6">
        <v>4453.05</v>
      </c>
      <c r="J374" s="5">
        <v>7</v>
      </c>
      <c r="K374" s="17">
        <v>0</v>
      </c>
      <c r="L374" s="6">
        <v>1424.85</v>
      </c>
      <c r="M374" s="5" t="s">
        <v>19</v>
      </c>
      <c r="N374" s="7"/>
      <c r="O374" s="8" t="str">
        <f t="shared" si="35"/>
        <v>Alice Mccarthy</v>
      </c>
      <c r="P374" s="8" t="str">
        <f t="shared" si="36"/>
        <v>ES</v>
      </c>
      <c r="Q374" s="8" t="str">
        <f t="shared" si="37"/>
        <v>2012</v>
      </c>
      <c r="R374" s="8" t="str">
        <f t="shared" si="38"/>
        <v>MEDIUM</v>
      </c>
      <c r="S374" s="8" t="str">
        <f t="shared" si="39"/>
        <v>technology</v>
      </c>
      <c r="T374" s="18" t="str">
        <f t="shared" si="40"/>
        <v>41136</v>
      </c>
      <c r="U374" s="27" t="s">
        <v>3006</v>
      </c>
      <c r="V374" s="16" t="s">
        <v>2710</v>
      </c>
      <c r="W374" s="30">
        <v>2012</v>
      </c>
      <c r="X374" t="s">
        <v>3006</v>
      </c>
      <c r="Y374" s="28">
        <v>41136</v>
      </c>
      <c r="Z374" s="28" t="str">
        <f t="shared" si="41"/>
        <v>ES-2012-AM10360139-41136</v>
      </c>
    </row>
    <row r="375" spans="1:26" ht="15.75">
      <c r="A375" s="19" t="s">
        <v>425</v>
      </c>
      <c r="B375" s="9">
        <v>41066</v>
      </c>
      <c r="C375" s="9">
        <v>41070</v>
      </c>
      <c r="D375" s="10" t="s">
        <v>426</v>
      </c>
      <c r="E375" s="10" t="s">
        <v>15</v>
      </c>
      <c r="F375" s="10" t="s">
        <v>16</v>
      </c>
      <c r="G375" s="10" t="s">
        <v>45</v>
      </c>
      <c r="H375" s="10" t="s">
        <v>73</v>
      </c>
      <c r="I375" s="11">
        <v>4624.29</v>
      </c>
      <c r="J375" s="10">
        <v>9</v>
      </c>
      <c r="K375" s="20">
        <v>0.1</v>
      </c>
      <c r="L375" s="11">
        <v>1644.03</v>
      </c>
      <c r="M375" s="10" t="s">
        <v>19</v>
      </c>
      <c r="N375" s="12"/>
      <c r="O375" s="13" t="str">
        <f t="shared" si="35"/>
        <v>Daniel Raglin</v>
      </c>
      <c r="P375" s="13" t="str">
        <f t="shared" si="36"/>
        <v>IN</v>
      </c>
      <c r="Q375" s="13" t="str">
        <f t="shared" si="37"/>
        <v>2012</v>
      </c>
      <c r="R375" s="13" t="str">
        <f t="shared" si="38"/>
        <v>MEDIUM</v>
      </c>
      <c r="S375" s="13" t="str">
        <f t="shared" si="39"/>
        <v>office supplies</v>
      </c>
      <c r="T375" s="21" t="str">
        <f t="shared" si="40"/>
        <v>41066</v>
      </c>
      <c r="U375" s="27" t="s">
        <v>3007</v>
      </c>
      <c r="V375" s="19" t="s">
        <v>2681</v>
      </c>
      <c r="W375" s="30">
        <v>2012</v>
      </c>
      <c r="X375" t="s">
        <v>3007</v>
      </c>
      <c r="Y375" s="28">
        <v>41066</v>
      </c>
      <c r="Z375" s="28" t="str">
        <f t="shared" si="41"/>
        <v>IN-2012-DR129407-41066</v>
      </c>
    </row>
    <row r="376" spans="1:26" ht="15.75">
      <c r="A376" s="16" t="s">
        <v>427</v>
      </c>
      <c r="B376" s="4">
        <v>41194</v>
      </c>
      <c r="C376" s="4">
        <v>41194</v>
      </c>
      <c r="D376" s="5" t="s">
        <v>428</v>
      </c>
      <c r="E376" s="5" t="s">
        <v>429</v>
      </c>
      <c r="F376" s="5" t="s">
        <v>71</v>
      </c>
      <c r="G376" s="5" t="s">
        <v>45</v>
      </c>
      <c r="H376" s="5" t="s">
        <v>299</v>
      </c>
      <c r="I376" s="6">
        <v>1066.4459999999999</v>
      </c>
      <c r="J376" s="5">
        <v>6</v>
      </c>
      <c r="K376" s="17">
        <v>0.1</v>
      </c>
      <c r="L376" s="6">
        <v>-11.933999999999999</v>
      </c>
      <c r="M376" s="5" t="s">
        <v>27</v>
      </c>
      <c r="N376" s="7"/>
      <c r="O376" s="8" t="str">
        <f t="shared" si="35"/>
        <v>Nona Balk</v>
      </c>
      <c r="P376" s="8" t="str">
        <f t="shared" si="36"/>
        <v>ES</v>
      </c>
      <c r="Q376" s="8" t="str">
        <f t="shared" si="37"/>
        <v>2012</v>
      </c>
      <c r="R376" s="8" t="str">
        <f t="shared" si="38"/>
        <v>CRITICAL</v>
      </c>
      <c r="S376" s="8" t="str">
        <f t="shared" si="39"/>
        <v>office supplies</v>
      </c>
      <c r="T376" s="18" t="str">
        <f t="shared" si="40"/>
        <v>41194</v>
      </c>
      <c r="U376" s="27" t="s">
        <v>3008</v>
      </c>
      <c r="V376" s="16" t="s">
        <v>2710</v>
      </c>
      <c r="W376" s="30">
        <v>2012</v>
      </c>
      <c r="X376" t="s">
        <v>3008</v>
      </c>
      <c r="Y376" s="28">
        <v>41194</v>
      </c>
      <c r="Z376" s="28" t="str">
        <f t="shared" si="41"/>
        <v>ES-2012-NB1865548-41194</v>
      </c>
    </row>
    <row r="377" spans="1:26" ht="15.75">
      <c r="A377" s="19" t="s">
        <v>443</v>
      </c>
      <c r="B377" s="9">
        <v>41129</v>
      </c>
      <c r="C377" s="9">
        <v>41129</v>
      </c>
      <c r="D377" s="10" t="s">
        <v>444</v>
      </c>
      <c r="E377" s="10" t="s">
        <v>119</v>
      </c>
      <c r="F377" s="10" t="s">
        <v>120</v>
      </c>
      <c r="G377" s="10" t="s">
        <v>17</v>
      </c>
      <c r="H377" s="10" t="s">
        <v>127</v>
      </c>
      <c r="I377" s="11">
        <v>2044.8</v>
      </c>
      <c r="J377" s="10">
        <v>6</v>
      </c>
      <c r="K377" s="20">
        <v>0.2</v>
      </c>
      <c r="L377" s="11">
        <v>-332.28</v>
      </c>
      <c r="M377" s="10" t="s">
        <v>37</v>
      </c>
      <c r="N377" s="12"/>
      <c r="O377" s="13" t="str">
        <f t="shared" si="35"/>
        <v>Larry Hughes</v>
      </c>
      <c r="P377" s="13" t="str">
        <f t="shared" si="36"/>
        <v>US</v>
      </c>
      <c r="Q377" s="13" t="str">
        <f t="shared" si="37"/>
        <v>2012</v>
      </c>
      <c r="R377" s="13" t="str">
        <f t="shared" si="38"/>
        <v>HIGH</v>
      </c>
      <c r="S377" s="13" t="str">
        <f t="shared" si="39"/>
        <v>technology</v>
      </c>
      <c r="T377" s="21" t="str">
        <f t="shared" si="40"/>
        <v>41129</v>
      </c>
      <c r="U377" s="27" t="s">
        <v>3009</v>
      </c>
      <c r="V377" s="19" t="s">
        <v>2685</v>
      </c>
      <c r="W377" s="30">
        <v>2012</v>
      </c>
      <c r="X377" t="s">
        <v>3009</v>
      </c>
      <c r="Y377" s="28">
        <v>41129</v>
      </c>
      <c r="Z377" s="28" t="str">
        <f t="shared" si="41"/>
        <v>US-2012-LH1675036-41129</v>
      </c>
    </row>
    <row r="378" spans="1:26" ht="15.75">
      <c r="A378" s="16" t="s">
        <v>465</v>
      </c>
      <c r="B378" s="4">
        <v>42308</v>
      </c>
      <c r="C378" s="4">
        <v>42311</v>
      </c>
      <c r="D378" s="5" t="s">
        <v>196</v>
      </c>
      <c r="E378" s="5" t="s">
        <v>66</v>
      </c>
      <c r="F378" s="5" t="s">
        <v>90</v>
      </c>
      <c r="G378" s="5" t="s">
        <v>17</v>
      </c>
      <c r="H378" s="5" t="s">
        <v>151</v>
      </c>
      <c r="I378" s="6">
        <v>2272.86</v>
      </c>
      <c r="J378" s="5">
        <v>6</v>
      </c>
      <c r="K378" s="17">
        <v>0</v>
      </c>
      <c r="L378" s="6">
        <v>977.22</v>
      </c>
      <c r="M378" s="5" t="s">
        <v>37</v>
      </c>
      <c r="N378" s="7"/>
      <c r="O378" s="8" t="str">
        <f t="shared" si="35"/>
        <v>Dave Kipp</v>
      </c>
      <c r="P378" s="8" t="str">
        <f t="shared" si="36"/>
        <v>IN</v>
      </c>
      <c r="Q378" s="8" t="str">
        <f t="shared" si="37"/>
        <v>2015</v>
      </c>
      <c r="R378" s="8" t="str">
        <f t="shared" si="38"/>
        <v>HIGH</v>
      </c>
      <c r="S378" s="8" t="str">
        <f t="shared" si="39"/>
        <v>technology</v>
      </c>
      <c r="T378" s="18" t="str">
        <f t="shared" si="40"/>
        <v>42308</v>
      </c>
      <c r="U378" s="27" t="s">
        <v>3010</v>
      </c>
      <c r="V378" s="16" t="s">
        <v>2681</v>
      </c>
      <c r="W378" s="30">
        <v>2015</v>
      </c>
      <c r="X378" t="s">
        <v>3010</v>
      </c>
      <c r="Y378" s="28">
        <v>42308</v>
      </c>
      <c r="Z378" s="28" t="str">
        <f t="shared" si="41"/>
        <v>IN-2015-DK1309027-42308</v>
      </c>
    </row>
    <row r="379" spans="1:26" ht="15.75">
      <c r="A379" s="19" t="s">
        <v>491</v>
      </c>
      <c r="B379" s="9">
        <v>41487</v>
      </c>
      <c r="C379" s="9">
        <v>41492</v>
      </c>
      <c r="D379" s="10" t="s">
        <v>492</v>
      </c>
      <c r="E379" s="10" t="s">
        <v>93</v>
      </c>
      <c r="F379" s="10" t="s">
        <v>94</v>
      </c>
      <c r="G379" s="10" t="s">
        <v>45</v>
      </c>
      <c r="H379" s="10" t="s">
        <v>73</v>
      </c>
      <c r="I379" s="11">
        <v>3979.29</v>
      </c>
      <c r="J379" s="10">
        <v>7</v>
      </c>
      <c r="K379" s="20">
        <v>0</v>
      </c>
      <c r="L379" s="11">
        <v>1989.53999999999</v>
      </c>
      <c r="M379" s="10" t="s">
        <v>19</v>
      </c>
      <c r="N379" s="12"/>
      <c r="O379" s="13" t="str">
        <f t="shared" si="35"/>
        <v>Ellis Ballard</v>
      </c>
      <c r="P379" s="13" t="str">
        <f t="shared" si="36"/>
        <v>ES</v>
      </c>
      <c r="Q379" s="13" t="str">
        <f t="shared" si="37"/>
        <v>2013</v>
      </c>
      <c r="R379" s="13" t="str">
        <f t="shared" si="38"/>
        <v>MEDIUM</v>
      </c>
      <c r="S379" s="13" t="str">
        <f t="shared" si="39"/>
        <v>office supplies</v>
      </c>
      <c r="T379" s="21" t="str">
        <f t="shared" si="40"/>
        <v>41487</v>
      </c>
      <c r="U379" s="27" t="s">
        <v>3011</v>
      </c>
      <c r="V379" s="19" t="s">
        <v>2710</v>
      </c>
      <c r="W379" s="30">
        <v>2013</v>
      </c>
      <c r="X379" t="s">
        <v>3011</v>
      </c>
      <c r="Y379" s="28">
        <v>41487</v>
      </c>
      <c r="Z379" s="28" t="str">
        <f t="shared" si="41"/>
        <v>ES-2013-EB13840139-41487</v>
      </c>
    </row>
    <row r="380" spans="1:26" ht="15.75">
      <c r="A380" s="16" t="s">
        <v>445</v>
      </c>
      <c r="B380" s="4">
        <v>41991</v>
      </c>
      <c r="C380" s="4">
        <v>41995</v>
      </c>
      <c r="D380" s="5" t="s">
        <v>418</v>
      </c>
      <c r="E380" s="5" t="s">
        <v>40</v>
      </c>
      <c r="F380" s="5" t="s">
        <v>493</v>
      </c>
      <c r="G380" s="5" t="s">
        <v>45</v>
      </c>
      <c r="H380" s="5" t="s">
        <v>46</v>
      </c>
      <c r="I380" s="6">
        <v>51.84</v>
      </c>
      <c r="J380" s="5">
        <v>10</v>
      </c>
      <c r="K380" s="17">
        <v>0.2</v>
      </c>
      <c r="L380" s="6">
        <v>18.143999999999998</v>
      </c>
      <c r="M380" s="5" t="s">
        <v>19</v>
      </c>
      <c r="N380" s="7"/>
      <c r="O380" s="8" t="str">
        <f t="shared" si="35"/>
        <v>Adam Hart</v>
      </c>
      <c r="P380" s="8" t="str">
        <f t="shared" si="36"/>
        <v>CA</v>
      </c>
      <c r="Q380" s="8" t="str">
        <f t="shared" si="37"/>
        <v>2014</v>
      </c>
      <c r="R380" s="8" t="str">
        <f t="shared" si="38"/>
        <v>MEDIUM</v>
      </c>
      <c r="S380" s="8" t="str">
        <f t="shared" si="39"/>
        <v>office supplies</v>
      </c>
      <c r="T380" s="18" t="str">
        <f t="shared" si="40"/>
        <v>41991</v>
      </c>
      <c r="U380" s="27" t="s">
        <v>2717</v>
      </c>
      <c r="V380" s="16" t="s">
        <v>2683</v>
      </c>
      <c r="W380" s="30">
        <v>2014</v>
      </c>
      <c r="X380" t="s">
        <v>2717</v>
      </c>
      <c r="Y380" s="28">
        <v>41991</v>
      </c>
      <c r="Z380" s="28" t="str">
        <f t="shared" si="41"/>
        <v>CA-2014-AH10075140-41991</v>
      </c>
    </row>
    <row r="381" spans="1:26" ht="15.75">
      <c r="A381" s="19" t="s">
        <v>498</v>
      </c>
      <c r="B381" s="9">
        <v>42275</v>
      </c>
      <c r="C381" s="9">
        <v>42278</v>
      </c>
      <c r="D381" s="10" t="s">
        <v>499</v>
      </c>
      <c r="E381" s="10" t="s">
        <v>93</v>
      </c>
      <c r="F381" s="10" t="s">
        <v>94</v>
      </c>
      <c r="G381" s="10" t="s">
        <v>32</v>
      </c>
      <c r="H381" s="10" t="s">
        <v>44</v>
      </c>
      <c r="I381" s="11">
        <v>2898.21</v>
      </c>
      <c r="J381" s="10">
        <v>7</v>
      </c>
      <c r="K381" s="20">
        <v>0</v>
      </c>
      <c r="L381" s="11">
        <v>1420.02</v>
      </c>
      <c r="M381" s="10" t="s">
        <v>37</v>
      </c>
      <c r="N381" s="12"/>
      <c r="O381" s="13" t="str">
        <f t="shared" si="35"/>
        <v>Maxwell Schwartz</v>
      </c>
      <c r="P381" s="13" t="str">
        <f t="shared" si="36"/>
        <v>ES</v>
      </c>
      <c r="Q381" s="13" t="str">
        <f t="shared" si="37"/>
        <v>2015</v>
      </c>
      <c r="R381" s="13" t="str">
        <f t="shared" si="38"/>
        <v>HIGH</v>
      </c>
      <c r="S381" s="13" t="str">
        <f t="shared" si="39"/>
        <v>furniture</v>
      </c>
      <c r="T381" s="21" t="str">
        <f t="shared" si="40"/>
        <v>42275</v>
      </c>
      <c r="U381" s="27" t="s">
        <v>3012</v>
      </c>
      <c r="V381" s="19" t="s">
        <v>2710</v>
      </c>
      <c r="W381" s="30">
        <v>2015</v>
      </c>
      <c r="X381" t="s">
        <v>3012</v>
      </c>
      <c r="Y381" s="28">
        <v>42275</v>
      </c>
      <c r="Z381" s="28" t="str">
        <f t="shared" si="41"/>
        <v>ES-2015-MS17770139-42275</v>
      </c>
    </row>
    <row r="382" spans="1:26" ht="15.75">
      <c r="A382" s="16" t="s">
        <v>502</v>
      </c>
      <c r="B382" s="4">
        <v>42032</v>
      </c>
      <c r="C382" s="4">
        <v>42034</v>
      </c>
      <c r="D382" s="5" t="s">
        <v>503</v>
      </c>
      <c r="E382" s="5" t="s">
        <v>504</v>
      </c>
      <c r="F382" s="5" t="s">
        <v>94</v>
      </c>
      <c r="G382" s="5" t="s">
        <v>32</v>
      </c>
      <c r="H382" s="5" t="s">
        <v>151</v>
      </c>
      <c r="I382" s="6">
        <v>2171.16</v>
      </c>
      <c r="J382" s="5">
        <v>8</v>
      </c>
      <c r="K382" s="17">
        <v>0.7</v>
      </c>
      <c r="L382" s="6">
        <v>-2750.2799999999902</v>
      </c>
      <c r="M382" s="5" t="s">
        <v>37</v>
      </c>
      <c r="N382" s="7"/>
      <c r="O382" s="8" t="str">
        <f t="shared" si="35"/>
        <v>Julie Creighton</v>
      </c>
      <c r="P382" s="8" t="str">
        <f t="shared" si="36"/>
        <v>LH</v>
      </c>
      <c r="Q382" s="8" t="str">
        <f t="shared" si="37"/>
        <v>2015</v>
      </c>
      <c r="R382" s="8" t="str">
        <f t="shared" si="38"/>
        <v>HIGH</v>
      </c>
      <c r="S382" s="8" t="str">
        <f t="shared" si="39"/>
        <v>furniture</v>
      </c>
      <c r="T382" s="18" t="str">
        <f t="shared" si="40"/>
        <v>42032</v>
      </c>
      <c r="U382" s="27" t="s">
        <v>3013</v>
      </c>
      <c r="V382" s="16" t="s">
        <v>3014</v>
      </c>
      <c r="W382" s="30">
        <v>2015</v>
      </c>
      <c r="X382" t="s">
        <v>3013</v>
      </c>
      <c r="Y382" s="28">
        <v>42032</v>
      </c>
      <c r="Z382" s="28" t="str">
        <f t="shared" si="41"/>
        <v>LH-2015-JC610575-42032</v>
      </c>
    </row>
    <row r="383" spans="1:26" ht="15.75">
      <c r="A383" s="19" t="s">
        <v>506</v>
      </c>
      <c r="B383" s="9">
        <v>42260</v>
      </c>
      <c r="C383" s="10" t="s">
        <v>125</v>
      </c>
      <c r="D383" s="10" t="s">
        <v>507</v>
      </c>
      <c r="E383" s="10" t="s">
        <v>15</v>
      </c>
      <c r="F383" s="10" t="s">
        <v>16</v>
      </c>
      <c r="G383" s="10" t="s">
        <v>17</v>
      </c>
      <c r="H383" s="10" t="s">
        <v>127</v>
      </c>
      <c r="I383" s="11">
        <v>4448.223</v>
      </c>
      <c r="J383" s="10">
        <v>13</v>
      </c>
      <c r="K383" s="20">
        <v>0.1</v>
      </c>
      <c r="L383" s="11">
        <v>444.483</v>
      </c>
      <c r="M383" s="10" t="s">
        <v>19</v>
      </c>
      <c r="N383" s="12"/>
      <c r="O383" s="13" t="str">
        <f t="shared" si="35"/>
        <v>George Ebll</v>
      </c>
      <c r="P383" s="13" t="str">
        <f t="shared" si="36"/>
        <v>IN</v>
      </c>
      <c r="Q383" s="13" t="str">
        <f t="shared" si="37"/>
        <v>2015</v>
      </c>
      <c r="R383" s="13" t="str">
        <f t="shared" si="38"/>
        <v>MEDIUM</v>
      </c>
      <c r="S383" s="13" t="str">
        <f t="shared" si="39"/>
        <v>technology</v>
      </c>
      <c r="T383" s="21" t="str">
        <f t="shared" si="40"/>
        <v>42260</v>
      </c>
      <c r="U383" s="27" t="s">
        <v>3015</v>
      </c>
      <c r="V383" s="19" t="s">
        <v>2681</v>
      </c>
      <c r="W383" s="30">
        <v>2015</v>
      </c>
      <c r="X383" t="s">
        <v>3015</v>
      </c>
      <c r="Y383" s="28">
        <v>42260</v>
      </c>
      <c r="Z383" s="28" t="str">
        <f t="shared" si="41"/>
        <v>IN-2015-GB145307-42260</v>
      </c>
    </row>
    <row r="384" spans="1:26" ht="15.75">
      <c r="A384" s="16" t="s">
        <v>509</v>
      </c>
      <c r="B384" s="4">
        <v>41264</v>
      </c>
      <c r="C384" s="4">
        <v>41266</v>
      </c>
      <c r="D384" s="5" t="s">
        <v>510</v>
      </c>
      <c r="E384" s="5" t="s">
        <v>511</v>
      </c>
      <c r="F384" s="5" t="s">
        <v>61</v>
      </c>
      <c r="G384" s="5" t="s">
        <v>17</v>
      </c>
      <c r="H384" s="5" t="s">
        <v>33</v>
      </c>
      <c r="I384" s="6">
        <v>2300.61599999999</v>
      </c>
      <c r="J384" s="5">
        <v>9</v>
      </c>
      <c r="K384" s="17">
        <v>0.4</v>
      </c>
      <c r="L384" s="6">
        <v>38.196000000000097</v>
      </c>
      <c r="M384" s="5" t="s">
        <v>37</v>
      </c>
      <c r="N384" s="7"/>
      <c r="O384" s="8" t="str">
        <f t="shared" si="35"/>
        <v>Justin Hirsh</v>
      </c>
      <c r="P384" s="8" t="str">
        <f t="shared" si="36"/>
        <v>US</v>
      </c>
      <c r="Q384" s="8" t="str">
        <f t="shared" si="37"/>
        <v>2012</v>
      </c>
      <c r="R384" s="8" t="str">
        <f t="shared" si="38"/>
        <v>HIGH</v>
      </c>
      <c r="S384" s="8" t="str">
        <f t="shared" si="39"/>
        <v>technology</v>
      </c>
      <c r="T384" s="18" t="str">
        <f t="shared" si="40"/>
        <v>41264</v>
      </c>
      <c r="U384" s="27" t="s">
        <v>3016</v>
      </c>
      <c r="V384" s="16" t="s">
        <v>2685</v>
      </c>
      <c r="W384" s="30">
        <v>2012</v>
      </c>
      <c r="X384" t="s">
        <v>3016</v>
      </c>
      <c r="Y384" s="28">
        <v>41264</v>
      </c>
      <c r="Z384" s="28" t="str">
        <f t="shared" si="41"/>
        <v>US-2012-JH161805-41264</v>
      </c>
    </row>
    <row r="385" spans="1:26" ht="15.75">
      <c r="A385" s="19" t="s">
        <v>540</v>
      </c>
      <c r="B385" s="9">
        <v>42315</v>
      </c>
      <c r="C385" s="15">
        <v>42317</v>
      </c>
      <c r="D385" s="10" t="s">
        <v>541</v>
      </c>
      <c r="E385" s="10" t="s">
        <v>141</v>
      </c>
      <c r="F385" s="10" t="s">
        <v>142</v>
      </c>
      <c r="G385" s="10" t="s">
        <v>45</v>
      </c>
      <c r="H385" s="10" t="s">
        <v>151</v>
      </c>
      <c r="I385" s="11">
        <v>3309.2597999999998</v>
      </c>
      <c r="J385" s="10">
        <v>7</v>
      </c>
      <c r="K385" s="20">
        <v>0.17</v>
      </c>
      <c r="L385" s="11">
        <v>318.85979999999898</v>
      </c>
      <c r="M385" s="10" t="s">
        <v>37</v>
      </c>
      <c r="N385" s="12"/>
      <c r="O385" s="13" t="str">
        <f t="shared" si="35"/>
        <v>Dana Kaydos</v>
      </c>
      <c r="P385" s="13" t="str">
        <f t="shared" si="36"/>
        <v>ID</v>
      </c>
      <c r="Q385" s="13" t="str">
        <f t="shared" si="37"/>
        <v>2015</v>
      </c>
      <c r="R385" s="13" t="str">
        <f t="shared" si="38"/>
        <v>HIGH</v>
      </c>
      <c r="S385" s="13" t="str">
        <f t="shared" si="39"/>
        <v>office supplies</v>
      </c>
      <c r="T385" s="21" t="str">
        <f t="shared" si="40"/>
        <v>42315</v>
      </c>
      <c r="U385" s="27" t="s">
        <v>3017</v>
      </c>
      <c r="V385" s="19" t="s">
        <v>2705</v>
      </c>
      <c r="W385" s="30">
        <v>2015</v>
      </c>
      <c r="X385" t="s">
        <v>3017</v>
      </c>
      <c r="Y385" s="28">
        <v>42315</v>
      </c>
      <c r="Z385" s="28" t="str">
        <f t="shared" si="41"/>
        <v>ID-2015-DK1289559-42315</v>
      </c>
    </row>
    <row r="386" spans="1:26" ht="15.75">
      <c r="A386" s="16" t="s">
        <v>542</v>
      </c>
      <c r="B386" s="4">
        <v>42330</v>
      </c>
      <c r="C386" s="5" t="s">
        <v>543</v>
      </c>
      <c r="D386" s="5" t="s">
        <v>544</v>
      </c>
      <c r="E386" s="5" t="s">
        <v>60</v>
      </c>
      <c r="F386" s="5" t="s">
        <v>61</v>
      </c>
      <c r="G386" s="5" t="s">
        <v>179</v>
      </c>
      <c r="H386" s="5" t="s">
        <v>26</v>
      </c>
      <c r="I386" s="6">
        <v>897.48</v>
      </c>
      <c r="J386" s="5">
        <v>9</v>
      </c>
      <c r="K386" s="17">
        <v>0</v>
      </c>
      <c r="L386" s="6">
        <v>322.92</v>
      </c>
      <c r="M386" s="5" t="s">
        <v>27</v>
      </c>
      <c r="N386" s="7"/>
      <c r="O386" s="8" t="str">
        <f t="shared" ref="O386:O449" si="42">PROPER(D386)</f>
        <v>Karen Daniels</v>
      </c>
      <c r="P386" s="8" t="str">
        <f t="shared" ref="P386:P449" si="43">LEFT(A386,2)</f>
        <v>MX</v>
      </c>
      <c r="Q386" s="8" t="str">
        <f t="shared" ref="Q386:Q449" si="44">MID(A386,4,4)</f>
        <v>2015</v>
      </c>
      <c r="R386" s="8" t="str">
        <f t="shared" ref="R386:R449" si="45">UPPER(M386)</f>
        <v>CRITICAL</v>
      </c>
      <c r="S386" s="8" t="str">
        <f t="shared" ref="S386:S449" si="46">LOWER(G386)</f>
        <v xml:space="preserve"> furniture </v>
      </c>
      <c r="T386" s="18" t="str">
        <f t="shared" ref="T386:T449" si="47">RIGHT(A386,5)</f>
        <v>42330</v>
      </c>
      <c r="U386" s="27" t="s">
        <v>3018</v>
      </c>
      <c r="V386" s="16" t="s">
        <v>2695</v>
      </c>
      <c r="W386" s="30">
        <v>2015</v>
      </c>
      <c r="X386" t="s">
        <v>3018</v>
      </c>
      <c r="Y386" s="28">
        <v>42330</v>
      </c>
      <c r="Z386" s="28" t="str">
        <f t="shared" ref="Z386:Z449" si="48">TRIM(A386)</f>
        <v>MX-2015-KD1627018-42330</v>
      </c>
    </row>
    <row r="387" spans="1:26" ht="15.75">
      <c r="A387" s="19" t="s">
        <v>550</v>
      </c>
      <c r="B387" s="9">
        <v>41237</v>
      </c>
      <c r="C387" s="9">
        <v>41237</v>
      </c>
      <c r="D387" s="10" t="s">
        <v>551</v>
      </c>
      <c r="E387" s="10" t="s">
        <v>15</v>
      </c>
      <c r="F387" s="10" t="s">
        <v>16</v>
      </c>
      <c r="G387" s="10" t="s">
        <v>17</v>
      </c>
      <c r="H387" s="10" t="s">
        <v>151</v>
      </c>
      <c r="I387" s="11">
        <v>1336.356</v>
      </c>
      <c r="J387" s="10">
        <v>7</v>
      </c>
      <c r="K387" s="20">
        <v>0.4</v>
      </c>
      <c r="L387" s="11">
        <v>44.436</v>
      </c>
      <c r="M387" s="10" t="s">
        <v>27</v>
      </c>
      <c r="N387" s="12"/>
      <c r="O387" s="13" t="str">
        <f t="shared" si="42"/>
        <v>Hunter Lopez</v>
      </c>
      <c r="P387" s="13" t="str">
        <f t="shared" si="43"/>
        <v>IN</v>
      </c>
      <c r="Q387" s="13" t="str">
        <f t="shared" si="44"/>
        <v>2012</v>
      </c>
      <c r="R387" s="13" t="str">
        <f t="shared" si="45"/>
        <v>CRITICAL</v>
      </c>
      <c r="S387" s="13" t="str">
        <f t="shared" si="46"/>
        <v>technology</v>
      </c>
      <c r="T387" s="21" t="str">
        <f t="shared" si="47"/>
        <v>41237</v>
      </c>
      <c r="U387" s="27" t="s">
        <v>3019</v>
      </c>
      <c r="V387" s="19" t="s">
        <v>2681</v>
      </c>
      <c r="W387" s="30">
        <v>2012</v>
      </c>
      <c r="X387" t="s">
        <v>3019</v>
      </c>
      <c r="Y387" s="28">
        <v>41237</v>
      </c>
      <c r="Z387" s="28" t="str">
        <f t="shared" si="48"/>
        <v>IN-2012-HL150407-41237</v>
      </c>
    </row>
    <row r="388" spans="1:26" ht="15.75">
      <c r="A388" s="16" t="s">
        <v>552</v>
      </c>
      <c r="B388" s="4">
        <v>41496</v>
      </c>
      <c r="C388" s="4">
        <v>41498</v>
      </c>
      <c r="D388" s="5" t="s">
        <v>553</v>
      </c>
      <c r="E388" s="5" t="s">
        <v>554</v>
      </c>
      <c r="F388" s="5" t="s">
        <v>90</v>
      </c>
      <c r="G388" s="5" t="s">
        <v>17</v>
      </c>
      <c r="H388" s="5" t="s">
        <v>33</v>
      </c>
      <c r="I388" s="6">
        <v>3038.64</v>
      </c>
      <c r="J388" s="5">
        <v>8</v>
      </c>
      <c r="K388" s="17">
        <v>0</v>
      </c>
      <c r="L388" s="6">
        <v>1245.8399999999999</v>
      </c>
      <c r="M388" s="5" t="s">
        <v>37</v>
      </c>
      <c r="N388" s="7"/>
      <c r="O388" s="8" t="str">
        <f t="shared" si="42"/>
        <v>Carol Triggs</v>
      </c>
      <c r="P388" s="8" t="str">
        <f t="shared" si="43"/>
        <v>IN</v>
      </c>
      <c r="Q388" s="8" t="str">
        <f t="shared" si="44"/>
        <v>2013</v>
      </c>
      <c r="R388" s="8" t="str">
        <f t="shared" si="45"/>
        <v>HIGH</v>
      </c>
      <c r="S388" s="8" t="str">
        <f t="shared" si="46"/>
        <v>technology</v>
      </c>
      <c r="T388" s="18" t="str">
        <f t="shared" si="47"/>
        <v>41496</v>
      </c>
      <c r="U388" s="27" t="s">
        <v>3020</v>
      </c>
      <c r="V388" s="16" t="s">
        <v>2681</v>
      </c>
      <c r="W388" s="30">
        <v>2013</v>
      </c>
      <c r="X388" t="s">
        <v>3020</v>
      </c>
      <c r="Y388" s="28">
        <v>41496</v>
      </c>
      <c r="Z388" s="28" t="str">
        <f t="shared" si="48"/>
        <v>IN-2013-CT1199566-41496</v>
      </c>
    </row>
    <row r="389" spans="1:26" ht="15.75">
      <c r="A389" s="19" t="s">
        <v>556</v>
      </c>
      <c r="B389" s="9">
        <v>42003</v>
      </c>
      <c r="C389" s="9">
        <v>42008</v>
      </c>
      <c r="D389" s="10" t="s">
        <v>557</v>
      </c>
      <c r="E389" s="10" t="s">
        <v>558</v>
      </c>
      <c r="F389" s="10" t="s">
        <v>438</v>
      </c>
      <c r="G389" s="10" t="s">
        <v>17</v>
      </c>
      <c r="H389" s="10" t="s">
        <v>33</v>
      </c>
      <c r="I389" s="11">
        <v>3799.08</v>
      </c>
      <c r="J389" s="10">
        <v>12</v>
      </c>
      <c r="K389" s="20">
        <v>0</v>
      </c>
      <c r="L389" s="11">
        <v>455.76</v>
      </c>
      <c r="M389" s="10" t="s">
        <v>19</v>
      </c>
      <c r="N389" s="12"/>
      <c r="O389" s="13" t="str">
        <f t="shared" si="42"/>
        <v>Georgia Rosenberg</v>
      </c>
      <c r="P389" s="13" t="str">
        <f t="shared" si="43"/>
        <v>LT</v>
      </c>
      <c r="Q389" s="13" t="str">
        <f t="shared" si="44"/>
        <v>2014</v>
      </c>
      <c r="R389" s="13" t="str">
        <f t="shared" si="45"/>
        <v>MEDIUM</v>
      </c>
      <c r="S389" s="13" t="str">
        <f t="shared" si="46"/>
        <v>technology</v>
      </c>
      <c r="T389" s="21" t="str">
        <f t="shared" si="47"/>
        <v>42003</v>
      </c>
      <c r="U389" s="27" t="s">
        <v>3021</v>
      </c>
      <c r="V389" s="19" t="s">
        <v>3022</v>
      </c>
      <c r="W389" s="30">
        <v>2014</v>
      </c>
      <c r="X389" t="s">
        <v>3021</v>
      </c>
      <c r="Y389" s="28">
        <v>42003</v>
      </c>
      <c r="Z389" s="28" t="str">
        <f t="shared" si="48"/>
        <v>LT-2014-GR456072-42003</v>
      </c>
    </row>
    <row r="390" spans="1:26" ht="15.75">
      <c r="A390" s="16" t="s">
        <v>573</v>
      </c>
      <c r="B390" s="4">
        <v>41614</v>
      </c>
      <c r="C390" s="4">
        <v>41614</v>
      </c>
      <c r="D390" s="5" t="s">
        <v>574</v>
      </c>
      <c r="E390" s="5" t="s">
        <v>575</v>
      </c>
      <c r="F390" s="5" t="s">
        <v>87</v>
      </c>
      <c r="G390" s="5" t="s">
        <v>17</v>
      </c>
      <c r="H390" s="5" t="s">
        <v>23</v>
      </c>
      <c r="I390" s="6">
        <v>1554.48</v>
      </c>
      <c r="J390" s="5">
        <v>8</v>
      </c>
      <c r="K390" s="17">
        <v>0</v>
      </c>
      <c r="L390" s="6">
        <v>341.76</v>
      </c>
      <c r="M390" s="5" t="s">
        <v>37</v>
      </c>
      <c r="N390" s="7"/>
      <c r="O390" s="8" t="str">
        <f t="shared" si="42"/>
        <v>Speros Goranitis</v>
      </c>
      <c r="P390" s="8" t="str">
        <f t="shared" si="43"/>
        <v>RO</v>
      </c>
      <c r="Q390" s="8" t="str">
        <f t="shared" si="44"/>
        <v>2013</v>
      </c>
      <c r="R390" s="8" t="str">
        <f t="shared" si="45"/>
        <v>HIGH</v>
      </c>
      <c r="S390" s="8" t="str">
        <f t="shared" si="46"/>
        <v>technology</v>
      </c>
      <c r="T390" s="18" t="str">
        <f t="shared" si="47"/>
        <v>41614</v>
      </c>
      <c r="U390" s="27" t="s">
        <v>3023</v>
      </c>
      <c r="V390" s="16" t="s">
        <v>3024</v>
      </c>
      <c r="W390" s="30">
        <v>2013</v>
      </c>
      <c r="X390" t="s">
        <v>3023</v>
      </c>
      <c r="Y390" s="28">
        <v>41614</v>
      </c>
      <c r="Z390" s="28" t="str">
        <f t="shared" si="48"/>
        <v>RO-2013-SG10605107-41614</v>
      </c>
    </row>
    <row r="391" spans="1:26" ht="15.75">
      <c r="A391" s="19" t="s">
        <v>578</v>
      </c>
      <c r="B391" s="15">
        <v>41628</v>
      </c>
      <c r="C391" s="9">
        <v>41632</v>
      </c>
      <c r="D391" s="10" t="s">
        <v>270</v>
      </c>
      <c r="E391" s="10" t="s">
        <v>579</v>
      </c>
      <c r="F391" s="10" t="s">
        <v>98</v>
      </c>
      <c r="G391" s="10" t="s">
        <v>17</v>
      </c>
      <c r="H391" s="10" t="s">
        <v>33</v>
      </c>
      <c r="I391" s="11">
        <v>3474.08</v>
      </c>
      <c r="J391" s="10">
        <v>8</v>
      </c>
      <c r="K391" s="20">
        <v>0</v>
      </c>
      <c r="L391" s="11">
        <v>625.28</v>
      </c>
      <c r="M391" s="10" t="s">
        <v>37</v>
      </c>
      <c r="N391" s="12"/>
      <c r="O391" s="13" t="str">
        <f t="shared" si="42"/>
        <v>Fred Hopkins</v>
      </c>
      <c r="P391" s="13" t="str">
        <f t="shared" si="43"/>
        <v>MX</v>
      </c>
      <c r="Q391" s="13" t="str">
        <f t="shared" si="44"/>
        <v>2013</v>
      </c>
      <c r="R391" s="13" t="str">
        <f t="shared" si="45"/>
        <v>HIGH</v>
      </c>
      <c r="S391" s="13" t="str">
        <f t="shared" si="46"/>
        <v>technology</v>
      </c>
      <c r="T391" s="21" t="str">
        <f t="shared" si="47"/>
        <v>41628</v>
      </c>
      <c r="U391" s="27" t="s">
        <v>3025</v>
      </c>
      <c r="V391" s="19" t="s">
        <v>2695</v>
      </c>
      <c r="W391" s="30">
        <v>2013</v>
      </c>
      <c r="X391" t="s">
        <v>3025</v>
      </c>
      <c r="Y391" s="28">
        <v>41628</v>
      </c>
      <c r="Z391" s="28" t="str">
        <f t="shared" si="48"/>
        <v>MX-2013-FH1436582-41628</v>
      </c>
    </row>
    <row r="392" spans="1:26" ht="15.75">
      <c r="A392" s="16" t="s">
        <v>592</v>
      </c>
      <c r="B392" s="5" t="s">
        <v>593</v>
      </c>
      <c r="C392" s="4">
        <v>42111</v>
      </c>
      <c r="D392" s="5" t="s">
        <v>594</v>
      </c>
      <c r="E392" s="5" t="s">
        <v>595</v>
      </c>
      <c r="F392" s="5" t="s">
        <v>25</v>
      </c>
      <c r="G392" s="5" t="s">
        <v>17</v>
      </c>
      <c r="H392" s="5" t="s">
        <v>26</v>
      </c>
      <c r="I392" s="6">
        <v>3908.88</v>
      </c>
      <c r="J392" s="5">
        <v>6</v>
      </c>
      <c r="K392" s="17">
        <v>0</v>
      </c>
      <c r="L392" s="6">
        <v>1563.48</v>
      </c>
      <c r="M392" s="5" t="s">
        <v>596</v>
      </c>
      <c r="N392" s="7"/>
      <c r="O392" s="8" t="str">
        <f t="shared" si="42"/>
        <v>Jane Waco</v>
      </c>
      <c r="P392" s="8" t="str">
        <f t="shared" si="43"/>
        <v>SG</v>
      </c>
      <c r="Q392" s="8" t="str">
        <f t="shared" si="44"/>
        <v>2015</v>
      </c>
      <c r="R392" s="8" t="str">
        <f t="shared" si="45"/>
        <v>MEIDUM</v>
      </c>
      <c r="S392" s="8" t="str">
        <f t="shared" si="46"/>
        <v>technology</v>
      </c>
      <c r="T392" s="18" t="str">
        <f t="shared" si="47"/>
        <v>42108</v>
      </c>
      <c r="U392" s="27" t="s">
        <v>3026</v>
      </c>
      <c r="V392" s="16" t="s">
        <v>3027</v>
      </c>
      <c r="W392" s="30">
        <v>2015</v>
      </c>
      <c r="X392" t="s">
        <v>3026</v>
      </c>
      <c r="Y392" s="28">
        <v>42108</v>
      </c>
      <c r="Z392" s="28" t="str">
        <f t="shared" si="48"/>
        <v>SG-2015-JW5220111-42108</v>
      </c>
    </row>
    <row r="393" spans="1:26" ht="15.75">
      <c r="A393" s="19" t="s">
        <v>599</v>
      </c>
      <c r="B393" s="9">
        <v>42140</v>
      </c>
      <c r="C393" s="9">
        <v>42142</v>
      </c>
      <c r="D393" s="10" t="s">
        <v>600</v>
      </c>
      <c r="E393" s="10" t="s">
        <v>601</v>
      </c>
      <c r="F393" s="10" t="s">
        <v>16</v>
      </c>
      <c r="G393" s="10" t="s">
        <v>165</v>
      </c>
      <c r="H393" s="10" t="s">
        <v>26</v>
      </c>
      <c r="I393" s="11">
        <v>1900.5839999999901</v>
      </c>
      <c r="J393" s="10">
        <v>6</v>
      </c>
      <c r="K393" s="20">
        <v>0.4</v>
      </c>
      <c r="L393" s="11">
        <v>-348.51600000000002</v>
      </c>
      <c r="M393" s="10" t="s">
        <v>37</v>
      </c>
      <c r="N393" s="12"/>
      <c r="O393" s="13" t="str">
        <f t="shared" si="42"/>
        <v>Russell D'Ascenzo</v>
      </c>
      <c r="P393" s="13" t="str">
        <f t="shared" si="43"/>
        <v>ID</v>
      </c>
      <c r="Q393" s="13" t="str">
        <f t="shared" si="44"/>
        <v>2015</v>
      </c>
      <c r="R393" s="13" t="str">
        <f t="shared" si="45"/>
        <v>HIGH</v>
      </c>
      <c r="S393" s="13" t="str">
        <f t="shared" si="46"/>
        <v>office_supplies</v>
      </c>
      <c r="T393" s="21" t="str">
        <f t="shared" si="47"/>
        <v>42140</v>
      </c>
      <c r="U393" s="27" t="s">
        <v>3028</v>
      </c>
      <c r="V393" s="19" t="s">
        <v>2705</v>
      </c>
      <c r="W393" s="30">
        <v>2015</v>
      </c>
      <c r="X393" t="s">
        <v>3028</v>
      </c>
      <c r="Y393" s="28">
        <v>42140</v>
      </c>
      <c r="Z393" s="28" t="str">
        <f t="shared" si="48"/>
        <v>ID-2015-RD1993092-42140</v>
      </c>
    </row>
    <row r="394" spans="1:26" ht="15.75">
      <c r="A394" s="16" t="s">
        <v>606</v>
      </c>
      <c r="B394" s="4">
        <v>41788</v>
      </c>
      <c r="C394" s="4">
        <v>41791</v>
      </c>
      <c r="D394" s="5" t="s">
        <v>607</v>
      </c>
      <c r="E394" s="5" t="s">
        <v>322</v>
      </c>
      <c r="F394" s="5" t="s">
        <v>142</v>
      </c>
      <c r="G394" s="5" t="s">
        <v>17</v>
      </c>
      <c r="H394" s="5" t="s">
        <v>151</v>
      </c>
      <c r="I394" s="6">
        <v>3181.7718</v>
      </c>
      <c r="J394" s="5">
        <v>6</v>
      </c>
      <c r="K394" s="17">
        <v>0.17</v>
      </c>
      <c r="L394" s="6">
        <v>344.97179999999901</v>
      </c>
      <c r="M394" s="5" t="s">
        <v>19</v>
      </c>
      <c r="N394" s="7"/>
      <c r="O394" s="8" t="str">
        <f t="shared" si="42"/>
        <v>Charles Sheldon</v>
      </c>
      <c r="P394" s="8" t="str">
        <f t="shared" si="43"/>
        <v>IN</v>
      </c>
      <c r="Q394" s="8" t="str">
        <f t="shared" si="44"/>
        <v>2014</v>
      </c>
      <c r="R394" s="8" t="str">
        <f t="shared" si="45"/>
        <v>MEDIUM</v>
      </c>
      <c r="S394" s="8" t="str">
        <f t="shared" si="46"/>
        <v>technology</v>
      </c>
      <c r="T394" s="18" t="str">
        <f t="shared" si="47"/>
        <v>41788</v>
      </c>
      <c r="U394" s="27" t="s">
        <v>3029</v>
      </c>
      <c r="V394" s="16" t="s">
        <v>2681</v>
      </c>
      <c r="W394" s="30">
        <v>2014</v>
      </c>
      <c r="X394" t="s">
        <v>3029</v>
      </c>
      <c r="Y394" s="28">
        <v>41788</v>
      </c>
      <c r="Z394" s="28" t="str">
        <f t="shared" si="48"/>
        <v>IN-2014-CS12175130-41788</v>
      </c>
    </row>
    <row r="395" spans="1:26" ht="15.75">
      <c r="A395" s="19" t="s">
        <v>608</v>
      </c>
      <c r="B395" s="9">
        <v>41515</v>
      </c>
      <c r="C395" s="9">
        <v>41518</v>
      </c>
      <c r="D395" s="10" t="s">
        <v>609</v>
      </c>
      <c r="E395" s="10" t="s">
        <v>197</v>
      </c>
      <c r="F395" s="10" t="s">
        <v>77</v>
      </c>
      <c r="G395" s="10" t="s">
        <v>45</v>
      </c>
      <c r="H395" s="10" t="s">
        <v>151</v>
      </c>
      <c r="I395" s="11">
        <v>1392.633</v>
      </c>
      <c r="J395" s="10">
        <v>11</v>
      </c>
      <c r="K395" s="20">
        <v>0.1</v>
      </c>
      <c r="L395" s="11">
        <v>-139.55699999999999</v>
      </c>
      <c r="M395" s="10" t="s">
        <v>27</v>
      </c>
      <c r="N395" s="12"/>
      <c r="O395" s="13" t="str">
        <f t="shared" si="42"/>
        <v>Julia Dunbar</v>
      </c>
      <c r="P395" s="13" t="str">
        <f t="shared" si="43"/>
        <v>IT</v>
      </c>
      <c r="Q395" s="13" t="str">
        <f t="shared" si="44"/>
        <v>2013</v>
      </c>
      <c r="R395" s="13" t="str">
        <f t="shared" si="45"/>
        <v>CRITICAL</v>
      </c>
      <c r="S395" s="13" t="str">
        <f t="shared" si="46"/>
        <v>office supplies</v>
      </c>
      <c r="T395" s="21" t="str">
        <f t="shared" si="47"/>
        <v>41515</v>
      </c>
      <c r="U395" s="27" t="s">
        <v>3030</v>
      </c>
      <c r="V395" s="19" t="s">
        <v>2690</v>
      </c>
      <c r="W395" s="30">
        <v>2013</v>
      </c>
      <c r="X395" t="s">
        <v>3030</v>
      </c>
      <c r="Y395" s="28">
        <v>41515</v>
      </c>
      <c r="Z395" s="28" t="str">
        <f t="shared" si="48"/>
        <v>IT-2013-JD16060120-41515</v>
      </c>
    </row>
    <row r="396" spans="1:26" ht="15.75">
      <c r="A396" s="16" t="s">
        <v>620</v>
      </c>
      <c r="B396" s="4">
        <v>41852</v>
      </c>
      <c r="C396" s="4">
        <v>41855</v>
      </c>
      <c r="D396" s="5" t="s">
        <v>621</v>
      </c>
      <c r="E396" s="5" t="s">
        <v>15</v>
      </c>
      <c r="F396" s="5" t="s">
        <v>16</v>
      </c>
      <c r="G396" s="5" t="s">
        <v>32</v>
      </c>
      <c r="H396" s="5" t="s">
        <v>151</v>
      </c>
      <c r="I396" s="6">
        <v>1512</v>
      </c>
      <c r="J396" s="5">
        <v>6</v>
      </c>
      <c r="K396" s="17">
        <v>0</v>
      </c>
      <c r="L396" s="6">
        <v>498.96</v>
      </c>
      <c r="M396" s="5" t="s">
        <v>27</v>
      </c>
      <c r="N396" s="7"/>
      <c r="O396" s="8" t="str">
        <f t="shared" si="42"/>
        <v>Thomas Seio</v>
      </c>
      <c r="P396" s="8" t="str">
        <f t="shared" si="43"/>
        <v>IN</v>
      </c>
      <c r="Q396" s="8" t="str">
        <f t="shared" si="44"/>
        <v>2014</v>
      </c>
      <c r="R396" s="8" t="str">
        <f t="shared" si="45"/>
        <v>CRITICAL</v>
      </c>
      <c r="S396" s="8" t="str">
        <f t="shared" si="46"/>
        <v>furniture</v>
      </c>
      <c r="T396" s="18" t="str">
        <f t="shared" si="47"/>
        <v>41852</v>
      </c>
      <c r="U396" s="27" t="s">
        <v>3031</v>
      </c>
      <c r="V396" s="16" t="s">
        <v>2681</v>
      </c>
      <c r="W396" s="30">
        <v>2014</v>
      </c>
      <c r="X396" t="s">
        <v>3031</v>
      </c>
      <c r="Y396" s="28">
        <v>41852</v>
      </c>
      <c r="Z396" s="28" t="str">
        <f t="shared" si="48"/>
        <v>IN-2014-TS212057-41852</v>
      </c>
    </row>
    <row r="397" spans="1:26" ht="15.75">
      <c r="A397" s="19" t="s">
        <v>589</v>
      </c>
      <c r="B397" s="9">
        <v>41812</v>
      </c>
      <c r="C397" s="9">
        <v>41817</v>
      </c>
      <c r="D397" s="10" t="s">
        <v>583</v>
      </c>
      <c r="E397" s="10" t="s">
        <v>40</v>
      </c>
      <c r="F397" s="10" t="s">
        <v>111</v>
      </c>
      <c r="G397" s="10" t="s">
        <v>45</v>
      </c>
      <c r="H397" s="10" t="s">
        <v>299</v>
      </c>
      <c r="I397" s="11">
        <v>186.14400000000001</v>
      </c>
      <c r="J397" s="10">
        <v>6</v>
      </c>
      <c r="K397" s="20">
        <v>0.2</v>
      </c>
      <c r="L397" s="11">
        <v>60.496799999999901</v>
      </c>
      <c r="M397" s="10" t="s">
        <v>37</v>
      </c>
      <c r="N397" s="12"/>
      <c r="O397" s="13" t="str">
        <f t="shared" si="42"/>
        <v>Adam Shillingsburg</v>
      </c>
      <c r="P397" s="13" t="str">
        <f t="shared" si="43"/>
        <v>CA</v>
      </c>
      <c r="Q397" s="13" t="str">
        <f t="shared" si="44"/>
        <v>2014</v>
      </c>
      <c r="R397" s="13" t="str">
        <f t="shared" si="45"/>
        <v>HIGH</v>
      </c>
      <c r="S397" s="13" t="str">
        <f t="shared" si="46"/>
        <v>office supplies</v>
      </c>
      <c r="T397" s="21" t="str">
        <f t="shared" si="47"/>
        <v>41812</v>
      </c>
      <c r="U397" s="27" t="s">
        <v>2742</v>
      </c>
      <c r="V397" s="19" t="s">
        <v>2683</v>
      </c>
      <c r="W397" s="30">
        <v>2014</v>
      </c>
      <c r="X397" t="s">
        <v>2742</v>
      </c>
      <c r="Y397" s="28">
        <v>41812</v>
      </c>
      <c r="Z397" s="28" t="str">
        <f t="shared" si="48"/>
        <v>CA-2014-AS10090140-41812</v>
      </c>
    </row>
    <row r="398" spans="1:26" ht="15.75">
      <c r="A398" s="16" t="s">
        <v>627</v>
      </c>
      <c r="B398" s="4">
        <v>42288</v>
      </c>
      <c r="C398" s="4">
        <v>42290</v>
      </c>
      <c r="D398" s="5" t="s">
        <v>628</v>
      </c>
      <c r="E398" s="5" t="s">
        <v>141</v>
      </c>
      <c r="F398" s="5" t="s">
        <v>142</v>
      </c>
      <c r="G398" s="5" t="s">
        <v>32</v>
      </c>
      <c r="H398" s="5" t="s">
        <v>18</v>
      </c>
      <c r="I398" s="6">
        <v>1029.25889999999</v>
      </c>
      <c r="J398" s="5">
        <v>9</v>
      </c>
      <c r="K398" s="17">
        <v>7.0000000000000007E-2</v>
      </c>
      <c r="L398" s="6">
        <v>10.818899999999999</v>
      </c>
      <c r="M398" s="5" t="s">
        <v>27</v>
      </c>
      <c r="N398" s="7"/>
      <c r="O398" s="8" t="str">
        <f t="shared" si="42"/>
        <v>Pamela Stobb</v>
      </c>
      <c r="P398" s="8" t="str">
        <f t="shared" si="43"/>
        <v>IN</v>
      </c>
      <c r="Q398" s="8" t="str">
        <f t="shared" si="44"/>
        <v>2015</v>
      </c>
      <c r="R398" s="8" t="str">
        <f t="shared" si="45"/>
        <v>CRITICAL</v>
      </c>
      <c r="S398" s="8" t="str">
        <f t="shared" si="46"/>
        <v>furniture</v>
      </c>
      <c r="T398" s="18" t="str">
        <f t="shared" si="47"/>
        <v>42288</v>
      </c>
      <c r="U398" s="27" t="s">
        <v>3032</v>
      </c>
      <c r="V398" s="16" t="s">
        <v>2681</v>
      </c>
      <c r="W398" s="30">
        <v>2015</v>
      </c>
      <c r="X398" t="s">
        <v>3032</v>
      </c>
      <c r="Y398" s="28">
        <v>42288</v>
      </c>
      <c r="Z398" s="28" t="str">
        <f t="shared" si="48"/>
        <v>IN-2015-PS1876059-42288</v>
      </c>
    </row>
    <row r="399" spans="1:26" ht="15.75">
      <c r="A399" s="19" t="s">
        <v>631</v>
      </c>
      <c r="B399" s="9">
        <v>41802</v>
      </c>
      <c r="C399" s="9">
        <v>41807</v>
      </c>
      <c r="D399" s="10" t="s">
        <v>632</v>
      </c>
      <c r="E399" s="10" t="s">
        <v>114</v>
      </c>
      <c r="F399" s="10" t="s">
        <v>115</v>
      </c>
      <c r="G399" s="10" t="s">
        <v>17</v>
      </c>
      <c r="H399" s="10" t="s">
        <v>151</v>
      </c>
      <c r="I399" s="11">
        <v>5751.54</v>
      </c>
      <c r="J399" s="10">
        <v>9</v>
      </c>
      <c r="K399" s="20">
        <v>0</v>
      </c>
      <c r="L399" s="11">
        <v>2817.99</v>
      </c>
      <c r="M399" s="10" t="s">
        <v>19</v>
      </c>
      <c r="N399" s="12"/>
      <c r="O399" s="13" t="str">
        <f t="shared" si="42"/>
        <v>Cynthia Arntzen</v>
      </c>
      <c r="P399" s="13" t="str">
        <f t="shared" si="43"/>
        <v>IN</v>
      </c>
      <c r="Q399" s="13" t="str">
        <f t="shared" si="44"/>
        <v>2014</v>
      </c>
      <c r="R399" s="13" t="str">
        <f t="shared" si="45"/>
        <v>MEDIUM</v>
      </c>
      <c r="S399" s="13" t="str">
        <f t="shared" si="46"/>
        <v>technology</v>
      </c>
      <c r="T399" s="21" t="str">
        <f t="shared" si="47"/>
        <v>41802</v>
      </c>
      <c r="U399" s="27" t="s">
        <v>3033</v>
      </c>
      <c r="V399" s="19" t="s">
        <v>2681</v>
      </c>
      <c r="W399" s="30">
        <v>2014</v>
      </c>
      <c r="X399" t="s">
        <v>3033</v>
      </c>
      <c r="Y399" s="28">
        <v>41802</v>
      </c>
      <c r="Z399" s="28" t="str">
        <f t="shared" si="48"/>
        <v>IN-2014-CA1277558-41802</v>
      </c>
    </row>
    <row r="400" spans="1:26" ht="15.75">
      <c r="A400" s="16" t="s">
        <v>633</v>
      </c>
      <c r="B400" s="4">
        <v>41899</v>
      </c>
      <c r="C400" s="4">
        <v>41902</v>
      </c>
      <c r="D400" s="5" t="s">
        <v>634</v>
      </c>
      <c r="E400" s="5" t="s">
        <v>635</v>
      </c>
      <c r="F400" s="5" t="s">
        <v>71</v>
      </c>
      <c r="G400" s="5" t="s">
        <v>32</v>
      </c>
      <c r="H400" s="5" t="s">
        <v>33</v>
      </c>
      <c r="I400" s="6">
        <v>2442.069</v>
      </c>
      <c r="J400" s="5">
        <v>7</v>
      </c>
      <c r="K400" s="17">
        <v>0.1</v>
      </c>
      <c r="L400" s="6">
        <v>-244.251</v>
      </c>
      <c r="M400" s="5" t="s">
        <v>37</v>
      </c>
      <c r="N400" s="7"/>
      <c r="O400" s="8" t="str">
        <f t="shared" si="42"/>
        <v>Cynthia Delaney</v>
      </c>
      <c r="P400" s="8" t="str">
        <f t="shared" si="43"/>
        <v>ES</v>
      </c>
      <c r="Q400" s="8" t="str">
        <f t="shared" si="44"/>
        <v>2014</v>
      </c>
      <c r="R400" s="8" t="str">
        <f t="shared" si="45"/>
        <v>HIGH</v>
      </c>
      <c r="S400" s="8" t="str">
        <f t="shared" si="46"/>
        <v>furniture</v>
      </c>
      <c r="T400" s="18" t="str">
        <f t="shared" si="47"/>
        <v>41899</v>
      </c>
      <c r="U400" s="27" t="s">
        <v>3034</v>
      </c>
      <c r="V400" s="16" t="s">
        <v>2710</v>
      </c>
      <c r="W400" s="30">
        <v>2014</v>
      </c>
      <c r="X400" t="s">
        <v>3034</v>
      </c>
      <c r="Y400" s="28">
        <v>41899</v>
      </c>
      <c r="Z400" s="28" t="str">
        <f t="shared" si="48"/>
        <v>ES-2014-CD1279048-41899</v>
      </c>
    </row>
    <row r="401" spans="1:26" ht="15.75">
      <c r="A401" s="19" t="s">
        <v>644</v>
      </c>
      <c r="B401" s="9">
        <v>41136</v>
      </c>
      <c r="C401" s="9">
        <v>41140</v>
      </c>
      <c r="D401" s="10" t="s">
        <v>645</v>
      </c>
      <c r="E401" s="10" t="s">
        <v>114</v>
      </c>
      <c r="F401" s="10" t="s">
        <v>115</v>
      </c>
      <c r="G401" s="10" t="s">
        <v>32</v>
      </c>
      <c r="H401" s="10" t="s">
        <v>151</v>
      </c>
      <c r="I401" s="11">
        <v>3274.02</v>
      </c>
      <c r="J401" s="10">
        <v>9</v>
      </c>
      <c r="K401" s="20">
        <v>0</v>
      </c>
      <c r="L401" s="11">
        <v>261.89999999999998</v>
      </c>
      <c r="M401" s="10" t="s">
        <v>19</v>
      </c>
      <c r="N401" s="12"/>
      <c r="O401" s="13" t="str">
        <f t="shared" si="42"/>
        <v>Ken Brennan</v>
      </c>
      <c r="P401" s="13" t="str">
        <f t="shared" si="43"/>
        <v>IN</v>
      </c>
      <c r="Q401" s="13" t="str">
        <f t="shared" si="44"/>
        <v>2012</v>
      </c>
      <c r="R401" s="13" t="str">
        <f t="shared" si="45"/>
        <v>MEDIUM</v>
      </c>
      <c r="S401" s="13" t="str">
        <f t="shared" si="46"/>
        <v>furniture</v>
      </c>
      <c r="T401" s="21" t="str">
        <f t="shared" si="47"/>
        <v>41136</v>
      </c>
      <c r="U401" s="27" t="s">
        <v>3035</v>
      </c>
      <c r="V401" s="19" t="s">
        <v>2681</v>
      </c>
      <c r="W401" s="30">
        <v>2012</v>
      </c>
      <c r="X401" t="s">
        <v>3035</v>
      </c>
      <c r="Y401" s="28">
        <v>41136</v>
      </c>
      <c r="Z401" s="28" t="str">
        <f t="shared" si="48"/>
        <v>IN-2012-KB1660058-41136</v>
      </c>
    </row>
    <row r="402" spans="1:26" ht="15.75">
      <c r="A402" s="16" t="s">
        <v>646</v>
      </c>
      <c r="B402" s="4">
        <v>42096</v>
      </c>
      <c r="C402" s="5" t="s">
        <v>647</v>
      </c>
      <c r="D402" s="5" t="s">
        <v>583</v>
      </c>
      <c r="E402" s="5" t="s">
        <v>40</v>
      </c>
      <c r="F402" s="5" t="s">
        <v>41</v>
      </c>
      <c r="G402" s="5" t="s">
        <v>45</v>
      </c>
      <c r="H402" s="5" t="s">
        <v>151</v>
      </c>
      <c r="I402" s="6">
        <v>94.199999999999903</v>
      </c>
      <c r="J402" s="5">
        <v>6</v>
      </c>
      <c r="K402" s="17">
        <v>0</v>
      </c>
      <c r="L402" s="6">
        <v>23.55</v>
      </c>
      <c r="M402" s="5" t="s">
        <v>37</v>
      </c>
      <c r="N402" s="7"/>
      <c r="O402" s="8" t="str">
        <f t="shared" si="42"/>
        <v>Adam Shillingsburg</v>
      </c>
      <c r="P402" s="8" t="str">
        <f t="shared" si="43"/>
        <v>CA</v>
      </c>
      <c r="Q402" s="8" t="str">
        <f t="shared" si="44"/>
        <v>2015</v>
      </c>
      <c r="R402" s="8" t="str">
        <f t="shared" si="45"/>
        <v>HIGH</v>
      </c>
      <c r="S402" s="8" t="str">
        <f t="shared" si="46"/>
        <v>office supplies</v>
      </c>
      <c r="T402" s="18" t="str">
        <f t="shared" si="47"/>
        <v>42096</v>
      </c>
      <c r="U402" s="27" t="s">
        <v>2742</v>
      </c>
      <c r="V402" s="16" t="s">
        <v>2683</v>
      </c>
      <c r="W402" s="30">
        <v>2015</v>
      </c>
      <c r="X402" t="s">
        <v>2742</v>
      </c>
      <c r="Y402" s="28">
        <v>42096</v>
      </c>
      <c r="Z402" s="28" t="str">
        <f t="shared" si="48"/>
        <v>CA-2015-AS10090140-42096</v>
      </c>
    </row>
    <row r="403" spans="1:26" ht="15.75">
      <c r="A403" s="19" t="s">
        <v>648</v>
      </c>
      <c r="B403" s="9">
        <v>42018</v>
      </c>
      <c r="C403" s="9">
        <v>42020</v>
      </c>
      <c r="D403" s="10" t="s">
        <v>649</v>
      </c>
      <c r="E403" s="10" t="s">
        <v>76</v>
      </c>
      <c r="F403" s="10" t="s">
        <v>77</v>
      </c>
      <c r="G403" s="10" t="s">
        <v>17</v>
      </c>
      <c r="H403" s="10" t="s">
        <v>26</v>
      </c>
      <c r="I403" s="11">
        <v>2847.36</v>
      </c>
      <c r="J403" s="10">
        <v>8</v>
      </c>
      <c r="K403" s="20">
        <v>0</v>
      </c>
      <c r="L403" s="11">
        <v>711.84</v>
      </c>
      <c r="M403" s="10" t="s">
        <v>37</v>
      </c>
      <c r="N403" s="12"/>
      <c r="O403" s="13" t="str">
        <f t="shared" si="42"/>
        <v>Maureen Gnade</v>
      </c>
      <c r="P403" s="13" t="str">
        <f t="shared" si="43"/>
        <v>ES</v>
      </c>
      <c r="Q403" s="13" t="str">
        <f t="shared" si="44"/>
        <v>2015</v>
      </c>
      <c r="R403" s="13" t="str">
        <f t="shared" si="45"/>
        <v>HIGH</v>
      </c>
      <c r="S403" s="13" t="str">
        <f t="shared" si="46"/>
        <v>technology</v>
      </c>
      <c r="T403" s="21" t="str">
        <f t="shared" si="47"/>
        <v>42018</v>
      </c>
      <c r="U403" s="27" t="s">
        <v>3036</v>
      </c>
      <c r="V403" s="19" t="s">
        <v>2710</v>
      </c>
      <c r="W403" s="30">
        <v>2015</v>
      </c>
      <c r="X403" t="s">
        <v>3036</v>
      </c>
      <c r="Y403" s="28">
        <v>42018</v>
      </c>
      <c r="Z403" s="28" t="str">
        <f t="shared" si="48"/>
        <v>ES-2015-MG1769564-42018</v>
      </c>
    </row>
    <row r="404" spans="1:26" ht="15.75">
      <c r="A404" s="16" t="s">
        <v>654</v>
      </c>
      <c r="B404" s="4">
        <v>42269</v>
      </c>
      <c r="C404" s="4">
        <v>42272</v>
      </c>
      <c r="D404" s="5" t="s">
        <v>655</v>
      </c>
      <c r="E404" s="5" t="s">
        <v>656</v>
      </c>
      <c r="F404" s="5" t="s">
        <v>657</v>
      </c>
      <c r="G404" s="5" t="s">
        <v>17</v>
      </c>
      <c r="H404" s="5" t="s">
        <v>33</v>
      </c>
      <c r="I404" s="6">
        <v>1282.22999999999</v>
      </c>
      <c r="J404" s="5">
        <v>9</v>
      </c>
      <c r="K404" s="17">
        <v>0</v>
      </c>
      <c r="L404" s="6">
        <v>12.69</v>
      </c>
      <c r="M404" s="5" t="s">
        <v>27</v>
      </c>
      <c r="N404" s="7"/>
      <c r="O404" s="8" t="str">
        <f t="shared" si="42"/>
        <v>Beth Paige</v>
      </c>
      <c r="P404" s="8" t="str">
        <f t="shared" si="43"/>
        <v>IN</v>
      </c>
      <c r="Q404" s="8" t="str">
        <f t="shared" si="44"/>
        <v>2015</v>
      </c>
      <c r="R404" s="8" t="str">
        <f t="shared" si="45"/>
        <v>CRITICAL</v>
      </c>
      <c r="S404" s="8" t="str">
        <f t="shared" si="46"/>
        <v>technology</v>
      </c>
      <c r="T404" s="18" t="str">
        <f t="shared" si="47"/>
        <v>42269</v>
      </c>
      <c r="U404" s="27" t="s">
        <v>3037</v>
      </c>
      <c r="V404" s="16" t="s">
        <v>2681</v>
      </c>
      <c r="W404" s="30">
        <v>2015</v>
      </c>
      <c r="X404" t="s">
        <v>3037</v>
      </c>
      <c r="Y404" s="28">
        <v>42269</v>
      </c>
      <c r="Z404" s="28" t="str">
        <f t="shared" si="48"/>
        <v>IN-2015-BP11290113-42269</v>
      </c>
    </row>
    <row r="405" spans="1:26" ht="15.75">
      <c r="A405" s="19" t="s">
        <v>665</v>
      </c>
      <c r="B405" s="9">
        <v>42124</v>
      </c>
      <c r="C405" s="9">
        <v>42128</v>
      </c>
      <c r="D405" s="10" t="s">
        <v>666</v>
      </c>
      <c r="E405" s="10" t="s">
        <v>141</v>
      </c>
      <c r="F405" s="10" t="s">
        <v>142</v>
      </c>
      <c r="G405" s="10" t="s">
        <v>45</v>
      </c>
      <c r="H405" s="10" t="s">
        <v>33</v>
      </c>
      <c r="I405" s="11">
        <v>4135.6409999999996</v>
      </c>
      <c r="J405" s="10">
        <v>10</v>
      </c>
      <c r="K405" s="20">
        <v>0.17</v>
      </c>
      <c r="L405" s="11">
        <v>847.04099999999903</v>
      </c>
      <c r="M405" s="10" t="s">
        <v>19</v>
      </c>
      <c r="N405" s="12"/>
      <c r="O405" s="13" t="str">
        <f t="shared" si="42"/>
        <v>Bryan Spruell</v>
      </c>
      <c r="P405" s="13" t="str">
        <f t="shared" si="43"/>
        <v>IN</v>
      </c>
      <c r="Q405" s="13" t="str">
        <f t="shared" si="44"/>
        <v>2015</v>
      </c>
      <c r="R405" s="13" t="str">
        <f t="shared" si="45"/>
        <v>MEDIUM</v>
      </c>
      <c r="S405" s="13" t="str">
        <f t="shared" si="46"/>
        <v>office supplies</v>
      </c>
      <c r="T405" s="21" t="str">
        <f t="shared" si="47"/>
        <v>42124</v>
      </c>
      <c r="U405" s="27" t="s">
        <v>3038</v>
      </c>
      <c r="V405" s="19" t="s">
        <v>2681</v>
      </c>
      <c r="W405" s="30">
        <v>2015</v>
      </c>
      <c r="X405" t="s">
        <v>3038</v>
      </c>
      <c r="Y405" s="28">
        <v>42124</v>
      </c>
      <c r="Z405" s="28" t="str">
        <f t="shared" si="48"/>
        <v>IN-2015-BS1180059-42124</v>
      </c>
    </row>
    <row r="406" spans="1:26" ht="15.75">
      <c r="A406" s="16" t="s">
        <v>667</v>
      </c>
      <c r="B406" s="14">
        <v>74050</v>
      </c>
      <c r="C406" s="5" t="s">
        <v>668</v>
      </c>
      <c r="D406" s="5" t="s">
        <v>669</v>
      </c>
      <c r="E406" s="5" t="s">
        <v>101</v>
      </c>
      <c r="F406" s="5" t="s">
        <v>98</v>
      </c>
      <c r="G406" s="5" t="s">
        <v>32</v>
      </c>
      <c r="H406" s="5" t="s">
        <v>44</v>
      </c>
      <c r="I406" s="6">
        <v>2325.2800000000002</v>
      </c>
      <c r="J406" s="5">
        <v>8</v>
      </c>
      <c r="K406" s="17">
        <v>0</v>
      </c>
      <c r="L406" s="6">
        <v>511.52</v>
      </c>
      <c r="M406" s="5" t="s">
        <v>37</v>
      </c>
      <c r="N406" s="7"/>
      <c r="O406" s="8" t="str">
        <f t="shared" si="42"/>
        <v>Dianna Vittorini</v>
      </c>
      <c r="P406" s="8" t="str">
        <f t="shared" si="43"/>
        <v>MX</v>
      </c>
      <c r="Q406" s="8" t="str">
        <f t="shared" si="44"/>
        <v>2012</v>
      </c>
      <c r="R406" s="8" t="str">
        <f t="shared" si="45"/>
        <v>HIGH</v>
      </c>
      <c r="S406" s="8" t="str">
        <f t="shared" si="46"/>
        <v>furniture</v>
      </c>
      <c r="T406" s="18" t="str">
        <f t="shared" si="47"/>
        <v>41179</v>
      </c>
      <c r="U406" s="27" t="s">
        <v>3039</v>
      </c>
      <c r="V406" s="16" t="s">
        <v>2695</v>
      </c>
      <c r="W406" s="30">
        <v>2012</v>
      </c>
      <c r="X406" t="s">
        <v>3039</v>
      </c>
      <c r="Y406" s="28">
        <v>41179</v>
      </c>
      <c r="Z406" s="28" t="str">
        <f t="shared" si="48"/>
        <v>MX-2012-DV1346539-41179</v>
      </c>
    </row>
    <row r="407" spans="1:26" ht="15.75">
      <c r="A407" s="19" t="s">
        <v>680</v>
      </c>
      <c r="B407" s="9">
        <v>41503</v>
      </c>
      <c r="C407" s="9">
        <v>41505</v>
      </c>
      <c r="D407" s="10" t="s">
        <v>681</v>
      </c>
      <c r="E407" s="10" t="s">
        <v>682</v>
      </c>
      <c r="F407" s="10" t="s">
        <v>87</v>
      </c>
      <c r="G407" s="10" t="s">
        <v>32</v>
      </c>
      <c r="H407" s="10" t="s">
        <v>299</v>
      </c>
      <c r="I407" s="11">
        <v>1391.52</v>
      </c>
      <c r="J407" s="10">
        <v>8</v>
      </c>
      <c r="K407" s="20">
        <v>0</v>
      </c>
      <c r="L407" s="11">
        <v>69.36</v>
      </c>
      <c r="M407" s="10" t="s">
        <v>27</v>
      </c>
      <c r="N407" s="12"/>
      <c r="O407" s="13" t="str">
        <f t="shared" si="42"/>
        <v>Duane Benoit</v>
      </c>
      <c r="P407" s="13" t="str">
        <f t="shared" si="43"/>
        <v>RO</v>
      </c>
      <c r="Q407" s="13" t="str">
        <f t="shared" si="44"/>
        <v>2013</v>
      </c>
      <c r="R407" s="13" t="str">
        <f t="shared" si="45"/>
        <v>CRITICAL</v>
      </c>
      <c r="S407" s="13" t="str">
        <f t="shared" si="46"/>
        <v>furniture</v>
      </c>
      <c r="T407" s="21" t="str">
        <f t="shared" si="47"/>
        <v>41503</v>
      </c>
      <c r="U407" s="27" t="s">
        <v>3040</v>
      </c>
      <c r="V407" s="19" t="s">
        <v>3024</v>
      </c>
      <c r="W407" s="30">
        <v>2013</v>
      </c>
      <c r="X407" t="s">
        <v>3040</v>
      </c>
      <c r="Y407" s="28">
        <v>41503</v>
      </c>
      <c r="Z407" s="28" t="str">
        <f t="shared" si="48"/>
        <v>RO-2013-DB3660107-41503</v>
      </c>
    </row>
    <row r="408" spans="1:26" ht="15.75">
      <c r="A408" s="16" t="s">
        <v>686</v>
      </c>
      <c r="B408" s="4">
        <v>41495</v>
      </c>
      <c r="C408" s="5" t="s">
        <v>687</v>
      </c>
      <c r="D408" s="5" t="s">
        <v>688</v>
      </c>
      <c r="E408" s="5" t="s">
        <v>689</v>
      </c>
      <c r="F408" s="5" t="s">
        <v>142</v>
      </c>
      <c r="G408" s="5" t="s">
        <v>17</v>
      </c>
      <c r="H408" s="5" t="s">
        <v>26</v>
      </c>
      <c r="I408" s="6" t="s">
        <v>163</v>
      </c>
      <c r="J408" s="5">
        <v>7</v>
      </c>
      <c r="K408" s="17">
        <v>0</v>
      </c>
      <c r="L408" s="6">
        <v>612.99</v>
      </c>
      <c r="M408" s="5" t="s">
        <v>27</v>
      </c>
      <c r="N408" s="7"/>
      <c r="O408" s="8" t="str">
        <f t="shared" si="42"/>
        <v>Karl Braun#</v>
      </c>
      <c r="P408" s="8" t="str">
        <f t="shared" si="43"/>
        <v>IN</v>
      </c>
      <c r="Q408" s="8" t="str">
        <f t="shared" si="44"/>
        <v>2013</v>
      </c>
      <c r="R408" s="8" t="str">
        <f t="shared" si="45"/>
        <v>CRITICAL</v>
      </c>
      <c r="S408" s="8" t="str">
        <f t="shared" si="46"/>
        <v>technology</v>
      </c>
      <c r="T408" s="18" t="str">
        <f t="shared" si="47"/>
        <v>41495</v>
      </c>
      <c r="U408" s="27" t="s">
        <v>3041</v>
      </c>
      <c r="V408" s="16" t="s">
        <v>2681</v>
      </c>
      <c r="W408" s="30">
        <v>2013</v>
      </c>
      <c r="X408" t="s">
        <v>3041</v>
      </c>
      <c r="Y408" s="28">
        <v>41495</v>
      </c>
      <c r="Z408" s="28" t="str">
        <f t="shared" si="48"/>
        <v>IN-2013-KB1631578-41495</v>
      </c>
    </row>
    <row r="409" spans="1:26" ht="15.75">
      <c r="A409" s="19" t="s">
        <v>692</v>
      </c>
      <c r="B409" s="10" t="s">
        <v>125</v>
      </c>
      <c r="C409" s="9">
        <v>41474</v>
      </c>
      <c r="D409" s="10" t="s">
        <v>607</v>
      </c>
      <c r="E409" s="10" t="s">
        <v>15</v>
      </c>
      <c r="F409" s="10" t="s">
        <v>16</v>
      </c>
      <c r="G409" s="10" t="s">
        <v>17</v>
      </c>
      <c r="H409" s="10" t="s">
        <v>127</v>
      </c>
      <c r="I409" s="11">
        <v>1863</v>
      </c>
      <c r="J409" s="10">
        <v>8</v>
      </c>
      <c r="K409" s="20">
        <v>0.1</v>
      </c>
      <c r="L409" s="11">
        <v>393.24</v>
      </c>
      <c r="M409" s="10" t="s">
        <v>37</v>
      </c>
      <c r="N409" s="12"/>
      <c r="O409" s="13" t="str">
        <f t="shared" si="42"/>
        <v>Charles Sheldon</v>
      </c>
      <c r="P409" s="13" t="str">
        <f t="shared" si="43"/>
        <v>ID</v>
      </c>
      <c r="Q409" s="13" t="str">
        <f t="shared" si="44"/>
        <v>2013</v>
      </c>
      <c r="R409" s="13" t="str">
        <f t="shared" si="45"/>
        <v>HIGH</v>
      </c>
      <c r="S409" s="13" t="str">
        <f t="shared" si="46"/>
        <v>technology</v>
      </c>
      <c r="T409" s="21" t="str">
        <f t="shared" si="47"/>
        <v>1473#</v>
      </c>
      <c r="U409" s="27" t="s">
        <v>3042</v>
      </c>
      <c r="V409" s="19" t="s">
        <v>2705</v>
      </c>
      <c r="W409" s="30">
        <v>2013</v>
      </c>
      <c r="X409" t="s">
        <v>3042</v>
      </c>
      <c r="Y409" s="28" t="s">
        <v>3043</v>
      </c>
      <c r="Z409" s="28" t="str">
        <f t="shared" si="48"/>
        <v>ID-2013-CS121757-41473#</v>
      </c>
    </row>
    <row r="410" spans="1:26" ht="15.75">
      <c r="A410" s="16" t="s">
        <v>698</v>
      </c>
      <c r="B410" s="4">
        <v>42004</v>
      </c>
      <c r="C410" s="4">
        <v>42006</v>
      </c>
      <c r="D410" s="5" t="s">
        <v>357</v>
      </c>
      <c r="E410" s="5" t="s">
        <v>70</v>
      </c>
      <c r="F410" s="5" t="s">
        <v>71</v>
      </c>
      <c r="G410" s="5" t="s">
        <v>17</v>
      </c>
      <c r="H410" s="5" t="s">
        <v>299</v>
      </c>
      <c r="I410" s="6">
        <v>1946.3129999999901</v>
      </c>
      <c r="J410" s="5">
        <v>6</v>
      </c>
      <c r="K410" s="17">
        <v>0.15</v>
      </c>
      <c r="L410" s="6">
        <v>114.453</v>
      </c>
      <c r="M410" s="5" t="s">
        <v>37</v>
      </c>
      <c r="N410" s="7"/>
      <c r="O410" s="8" t="str">
        <f t="shared" si="42"/>
        <v>Dario Medina</v>
      </c>
      <c r="P410" s="8" t="str">
        <f t="shared" si="43"/>
        <v>ES</v>
      </c>
      <c r="Q410" s="8" t="str">
        <f t="shared" si="44"/>
        <v>2014</v>
      </c>
      <c r="R410" s="8" t="str">
        <f t="shared" si="45"/>
        <v>HIGH</v>
      </c>
      <c r="S410" s="8" t="str">
        <f t="shared" si="46"/>
        <v>technology</v>
      </c>
      <c r="T410" s="18" t="str">
        <f t="shared" si="47"/>
        <v>42004</v>
      </c>
      <c r="U410" s="27" t="s">
        <v>3044</v>
      </c>
      <c r="V410" s="16" t="s">
        <v>2710</v>
      </c>
      <c r="W410" s="30">
        <v>2014</v>
      </c>
      <c r="X410" t="s">
        <v>3044</v>
      </c>
      <c r="Y410" s="28">
        <v>42004</v>
      </c>
      <c r="Z410" s="28" t="str">
        <f t="shared" si="48"/>
        <v>ES-2014-DM1295545-42004</v>
      </c>
    </row>
    <row r="411" spans="1:26" ht="15.75">
      <c r="A411" s="19" t="s">
        <v>699</v>
      </c>
      <c r="B411" s="9">
        <v>41289</v>
      </c>
      <c r="C411" s="9">
        <v>41291</v>
      </c>
      <c r="D411" s="10" t="s">
        <v>700</v>
      </c>
      <c r="E411" s="10" t="s">
        <v>701</v>
      </c>
      <c r="F411" s="10" t="s">
        <v>71</v>
      </c>
      <c r="G411" s="10" t="s">
        <v>45</v>
      </c>
      <c r="H411" s="10" t="s">
        <v>33</v>
      </c>
      <c r="I411" s="11">
        <v>2283.7139999999999</v>
      </c>
      <c r="J411" s="10">
        <v>9</v>
      </c>
      <c r="K411" s="20">
        <v>0.1</v>
      </c>
      <c r="L411" s="11">
        <v>-0.21600000000000799</v>
      </c>
      <c r="M411" s="10" t="s">
        <v>37</v>
      </c>
      <c r="N411" s="12"/>
      <c r="O411" s="13" t="str">
        <f t="shared" si="42"/>
        <v>Corey Catlett</v>
      </c>
      <c r="P411" s="13" t="str">
        <f t="shared" si="43"/>
        <v>IT</v>
      </c>
      <c r="Q411" s="13" t="str">
        <f t="shared" si="44"/>
        <v>2013</v>
      </c>
      <c r="R411" s="13" t="str">
        <f t="shared" si="45"/>
        <v>HIGH</v>
      </c>
      <c r="S411" s="13" t="str">
        <f t="shared" si="46"/>
        <v>office supplies</v>
      </c>
      <c r="T411" s="21" t="str">
        <f t="shared" si="47"/>
        <v>41289</v>
      </c>
      <c r="U411" s="27" t="s">
        <v>3045</v>
      </c>
      <c r="V411" s="19" t="s">
        <v>2690</v>
      </c>
      <c r="W411" s="30">
        <v>2013</v>
      </c>
      <c r="X411" t="s">
        <v>3045</v>
      </c>
      <c r="Y411" s="28">
        <v>41289</v>
      </c>
      <c r="Z411" s="28" t="str">
        <f t="shared" si="48"/>
        <v>IT-2013-CC1261048-41289</v>
      </c>
    </row>
    <row r="412" spans="1:26" ht="15.75">
      <c r="A412" s="16" t="s">
        <v>705</v>
      </c>
      <c r="B412" s="4">
        <v>41591</v>
      </c>
      <c r="C412" s="4">
        <v>41595</v>
      </c>
      <c r="D412" s="5" t="s">
        <v>706</v>
      </c>
      <c r="E412" s="5" t="s">
        <v>707</v>
      </c>
      <c r="F412" s="5" t="s">
        <v>71</v>
      </c>
      <c r="G412" s="5" t="s">
        <v>45</v>
      </c>
      <c r="H412" s="5" t="s">
        <v>26</v>
      </c>
      <c r="I412" s="6">
        <v>2489.3999999999901</v>
      </c>
      <c r="J412" s="5">
        <v>9</v>
      </c>
      <c r="K412" s="17">
        <v>0</v>
      </c>
      <c r="L412" s="6">
        <v>273.77999999999997</v>
      </c>
      <c r="M412" s="5" t="s">
        <v>37</v>
      </c>
      <c r="N412" s="7"/>
      <c r="O412" s="8" t="str">
        <f t="shared" si="42"/>
        <v>Trudy Glocke#</v>
      </c>
      <c r="P412" s="8" t="str">
        <f t="shared" si="43"/>
        <v>ES</v>
      </c>
      <c r="Q412" s="8" t="str">
        <f t="shared" si="44"/>
        <v>2013</v>
      </c>
      <c r="R412" s="8" t="str">
        <f t="shared" si="45"/>
        <v>HIGH</v>
      </c>
      <c r="S412" s="8" t="str">
        <f t="shared" si="46"/>
        <v>office supplies</v>
      </c>
      <c r="T412" s="18" t="str">
        <f t="shared" si="47"/>
        <v>41591</v>
      </c>
      <c r="U412" s="27" t="s">
        <v>3046</v>
      </c>
      <c r="V412" s="16" t="s">
        <v>2710</v>
      </c>
      <c r="W412" s="30">
        <v>2013</v>
      </c>
      <c r="X412" t="s">
        <v>3046</v>
      </c>
      <c r="Y412" s="28">
        <v>41591</v>
      </c>
      <c r="Z412" s="28" t="str">
        <f t="shared" si="48"/>
        <v>ES-2013-TG2164014-41591</v>
      </c>
    </row>
    <row r="413" spans="1:26" ht="15.75">
      <c r="A413" s="19" t="s">
        <v>711</v>
      </c>
      <c r="B413" s="9">
        <v>41896</v>
      </c>
      <c r="C413" s="9">
        <v>41896</v>
      </c>
      <c r="D413" s="10" t="s">
        <v>712</v>
      </c>
      <c r="E413" s="10" t="s">
        <v>713</v>
      </c>
      <c r="F413" s="10" t="s">
        <v>115</v>
      </c>
      <c r="G413" s="10" t="s">
        <v>17</v>
      </c>
      <c r="H413" s="10" t="s">
        <v>33</v>
      </c>
      <c r="I413" s="11">
        <v>3499.1550000000002</v>
      </c>
      <c r="J413" s="10">
        <v>11</v>
      </c>
      <c r="K413" s="20">
        <v>0.5</v>
      </c>
      <c r="L413" s="11">
        <v>-3009.4349999999999</v>
      </c>
      <c r="M413" s="10" t="s">
        <v>19</v>
      </c>
      <c r="N413" s="12"/>
      <c r="O413" s="13" t="str">
        <f t="shared" si="42"/>
        <v>Skye Norling</v>
      </c>
      <c r="P413" s="13" t="str">
        <f t="shared" si="43"/>
        <v>ID</v>
      </c>
      <c r="Q413" s="13" t="str">
        <f t="shared" si="44"/>
        <v>2014</v>
      </c>
      <c r="R413" s="13" t="str">
        <f t="shared" si="45"/>
        <v>MEDIUM</v>
      </c>
      <c r="S413" s="13" t="str">
        <f t="shared" si="46"/>
        <v>technology</v>
      </c>
      <c r="T413" s="21" t="str">
        <f t="shared" si="47"/>
        <v>41896</v>
      </c>
      <c r="U413" s="27" t="s">
        <v>3047</v>
      </c>
      <c r="V413" s="19" t="s">
        <v>2705</v>
      </c>
      <c r="W413" s="30">
        <v>2014</v>
      </c>
      <c r="X413" t="s">
        <v>3047</v>
      </c>
      <c r="Y413" s="28">
        <v>41896</v>
      </c>
      <c r="Z413" s="28" t="str">
        <f t="shared" si="48"/>
        <v>ID-2014-SN2056097-41896</v>
      </c>
    </row>
    <row r="414" spans="1:26" ht="15.75">
      <c r="A414" s="16" t="s">
        <v>720</v>
      </c>
      <c r="B414" s="4">
        <v>42046</v>
      </c>
      <c r="C414" s="4">
        <v>42046</v>
      </c>
      <c r="D414" s="5" t="s">
        <v>721</v>
      </c>
      <c r="E414" s="5" t="s">
        <v>15</v>
      </c>
      <c r="F414" s="5" t="s">
        <v>16</v>
      </c>
      <c r="G414" s="5" t="s">
        <v>17</v>
      </c>
      <c r="H414" s="5" t="s">
        <v>33</v>
      </c>
      <c r="I414" s="6">
        <v>1027.7280000000001</v>
      </c>
      <c r="J414" s="5">
        <v>8</v>
      </c>
      <c r="K414" s="17">
        <v>0.1</v>
      </c>
      <c r="L414" s="6">
        <v>182.68799999999999</v>
      </c>
      <c r="M414" s="5" t="s">
        <v>27</v>
      </c>
      <c r="N414" s="7"/>
      <c r="O414" s="8" t="str">
        <f t="shared" si="42"/>
        <v>Clay Cheatham</v>
      </c>
      <c r="P414" s="8" t="str">
        <f t="shared" si="43"/>
        <v>IN</v>
      </c>
      <c r="Q414" s="8" t="str">
        <f t="shared" si="44"/>
        <v>2015</v>
      </c>
      <c r="R414" s="8" t="str">
        <f t="shared" si="45"/>
        <v>CRITICAL</v>
      </c>
      <c r="S414" s="8" t="str">
        <f t="shared" si="46"/>
        <v>technology</v>
      </c>
      <c r="T414" s="18" t="str">
        <f t="shared" si="47"/>
        <v>42046</v>
      </c>
      <c r="U414" s="27" t="s">
        <v>3048</v>
      </c>
      <c r="V414" s="16" t="s">
        <v>2681</v>
      </c>
      <c r="W414" s="30">
        <v>2015</v>
      </c>
      <c r="X414" t="s">
        <v>3048</v>
      </c>
      <c r="Y414" s="28">
        <v>42046</v>
      </c>
      <c r="Z414" s="28" t="str">
        <f t="shared" si="48"/>
        <v>IN-2015-CC125507-42046</v>
      </c>
    </row>
    <row r="415" spans="1:26" ht="15.75">
      <c r="A415" s="19" t="s">
        <v>723</v>
      </c>
      <c r="B415" s="9">
        <v>42110</v>
      </c>
      <c r="C415" s="9">
        <v>42112</v>
      </c>
      <c r="D415" s="10" t="s">
        <v>724</v>
      </c>
      <c r="E415" s="10" t="s">
        <v>141</v>
      </c>
      <c r="F415" s="10" t="s">
        <v>142</v>
      </c>
      <c r="G415" s="10" t="s">
        <v>165</v>
      </c>
      <c r="H415" s="10" t="s">
        <v>33</v>
      </c>
      <c r="I415" s="11">
        <v>1803.0836999999999</v>
      </c>
      <c r="J415" s="10">
        <v>11</v>
      </c>
      <c r="K415" s="20">
        <v>0.17</v>
      </c>
      <c r="L415" s="11">
        <v>-130.38630000000001</v>
      </c>
      <c r="M415" s="10" t="s">
        <v>37</v>
      </c>
      <c r="N415" s="12"/>
      <c r="O415" s="13" t="str">
        <f t="shared" si="42"/>
        <v>Stewart Visinsky</v>
      </c>
      <c r="P415" s="13" t="str">
        <f t="shared" si="43"/>
        <v>IN</v>
      </c>
      <c r="Q415" s="13" t="str">
        <f t="shared" si="44"/>
        <v>2015</v>
      </c>
      <c r="R415" s="13" t="str">
        <f t="shared" si="45"/>
        <v>HIGH</v>
      </c>
      <c r="S415" s="13" t="str">
        <f t="shared" si="46"/>
        <v>office_supplies</v>
      </c>
      <c r="T415" s="21" t="str">
        <f t="shared" si="47"/>
        <v>42110</v>
      </c>
      <c r="U415" s="27" t="s">
        <v>3049</v>
      </c>
      <c r="V415" s="19" t="s">
        <v>2681</v>
      </c>
      <c r="W415" s="30">
        <v>2015</v>
      </c>
      <c r="X415" t="s">
        <v>3049</v>
      </c>
      <c r="Y415" s="28">
        <v>42110</v>
      </c>
      <c r="Z415" s="28" t="str">
        <f t="shared" si="48"/>
        <v>IN-2015-SV2078559-42110</v>
      </c>
    </row>
    <row r="416" spans="1:26" ht="15.75">
      <c r="A416" s="16" t="s">
        <v>727</v>
      </c>
      <c r="B416" s="4">
        <v>41221</v>
      </c>
      <c r="C416" s="4">
        <v>41223</v>
      </c>
      <c r="D416" s="5" t="s">
        <v>728</v>
      </c>
      <c r="E416" s="5" t="s">
        <v>114</v>
      </c>
      <c r="F416" s="5" t="s">
        <v>115</v>
      </c>
      <c r="G416" s="5" t="s">
        <v>32</v>
      </c>
      <c r="H416" s="5" t="s">
        <v>299</v>
      </c>
      <c r="I416" s="6">
        <v>969.36</v>
      </c>
      <c r="J416" s="5">
        <v>7</v>
      </c>
      <c r="K416" s="17">
        <v>0</v>
      </c>
      <c r="L416" s="6">
        <v>348.81</v>
      </c>
      <c r="M416" s="5" t="s">
        <v>27</v>
      </c>
      <c r="N416" s="7"/>
      <c r="O416" s="8" t="str">
        <f t="shared" si="42"/>
        <v>Alejandro Savely</v>
      </c>
      <c r="P416" s="8" t="str">
        <f t="shared" si="43"/>
        <v>IN</v>
      </c>
      <c r="Q416" s="8" t="str">
        <f t="shared" si="44"/>
        <v>2012</v>
      </c>
      <c r="R416" s="8" t="str">
        <f t="shared" si="45"/>
        <v>CRITICAL</v>
      </c>
      <c r="S416" s="8" t="str">
        <f t="shared" si="46"/>
        <v>furniture</v>
      </c>
      <c r="T416" s="18" t="str">
        <f t="shared" si="47"/>
        <v>41221</v>
      </c>
      <c r="U416" s="27" t="s">
        <v>3050</v>
      </c>
      <c r="V416" s="16" t="s">
        <v>2681</v>
      </c>
      <c r="W416" s="30">
        <v>2012</v>
      </c>
      <c r="X416" t="s">
        <v>3050</v>
      </c>
      <c r="Y416" s="28">
        <v>41221</v>
      </c>
      <c r="Z416" s="28" t="str">
        <f t="shared" si="48"/>
        <v>IN-2012-AS1028558-41221</v>
      </c>
    </row>
    <row r="417" spans="1:26" ht="15.75">
      <c r="A417" s="19" t="s">
        <v>773</v>
      </c>
      <c r="B417" s="10" t="s">
        <v>774</v>
      </c>
      <c r="C417" s="9">
        <v>42355</v>
      </c>
      <c r="D417" s="10" t="s">
        <v>278</v>
      </c>
      <c r="E417" s="10" t="s">
        <v>66</v>
      </c>
      <c r="F417" s="10" t="s">
        <v>90</v>
      </c>
      <c r="G417" s="10" t="s">
        <v>17</v>
      </c>
      <c r="H417" s="10" t="s">
        <v>26</v>
      </c>
      <c r="I417" s="11">
        <v>2043.72</v>
      </c>
      <c r="J417" s="10">
        <v>14</v>
      </c>
      <c r="K417" s="20">
        <v>0</v>
      </c>
      <c r="L417" s="11">
        <v>756</v>
      </c>
      <c r="M417" s="10" t="s">
        <v>37</v>
      </c>
      <c r="N417" s="12"/>
      <c r="O417" s="13" t="str">
        <f t="shared" si="42"/>
        <v>Dave Brooks</v>
      </c>
      <c r="P417" s="13" t="str">
        <f t="shared" si="43"/>
        <v>IN</v>
      </c>
      <c r="Q417" s="13" t="str">
        <f t="shared" si="44"/>
        <v>2015</v>
      </c>
      <c r="R417" s="13" t="str">
        <f t="shared" si="45"/>
        <v>HIGH</v>
      </c>
      <c r="S417" s="13" t="str">
        <f t="shared" si="46"/>
        <v>technology</v>
      </c>
      <c r="T417" s="21" t="str">
        <f t="shared" si="47"/>
        <v>42353</v>
      </c>
      <c r="U417" s="27" t="s">
        <v>3051</v>
      </c>
      <c r="V417" s="19" t="s">
        <v>2681</v>
      </c>
      <c r="W417" s="30">
        <v>2015</v>
      </c>
      <c r="X417" t="s">
        <v>3051</v>
      </c>
      <c r="Y417" s="28">
        <v>42353</v>
      </c>
      <c r="Z417" s="28" t="str">
        <f t="shared" si="48"/>
        <v>IN-2015-DB1306027-42353</v>
      </c>
    </row>
    <row r="418" spans="1:26" ht="15.75">
      <c r="A418" s="16" t="s">
        <v>775</v>
      </c>
      <c r="B418" s="4">
        <v>42183</v>
      </c>
      <c r="C418" s="4">
        <v>42183</v>
      </c>
      <c r="D418" s="5" t="s">
        <v>776</v>
      </c>
      <c r="E418" s="5" t="s">
        <v>173</v>
      </c>
      <c r="F418" s="5" t="s">
        <v>84</v>
      </c>
      <c r="G418" s="5" t="s">
        <v>45</v>
      </c>
      <c r="H418" s="5" t="s">
        <v>151</v>
      </c>
      <c r="I418" s="6">
        <v>856.8</v>
      </c>
      <c r="J418" s="5">
        <v>14</v>
      </c>
      <c r="K418" s="17">
        <v>0</v>
      </c>
      <c r="L418" s="6">
        <v>265.44</v>
      </c>
      <c r="M418" s="5" t="s">
        <v>27</v>
      </c>
      <c r="N418" s="7"/>
      <c r="O418" s="8" t="str">
        <f t="shared" si="42"/>
        <v xml:space="preserve"> Jane Waco </v>
      </c>
      <c r="P418" s="8" t="str">
        <f t="shared" si="43"/>
        <v>MZ</v>
      </c>
      <c r="Q418" s="8" t="str">
        <f t="shared" si="44"/>
        <v>2015</v>
      </c>
      <c r="R418" s="8" t="str">
        <f t="shared" si="45"/>
        <v>CRITICAL</v>
      </c>
      <c r="S418" s="8" t="str">
        <f t="shared" si="46"/>
        <v>office supplies</v>
      </c>
      <c r="T418" s="18" t="str">
        <f t="shared" si="47"/>
        <v>42183</v>
      </c>
      <c r="U418" s="27" t="s">
        <v>3052</v>
      </c>
      <c r="V418" s="16" t="s">
        <v>3053</v>
      </c>
      <c r="W418" s="30">
        <v>2015</v>
      </c>
      <c r="X418" t="s">
        <v>3052</v>
      </c>
      <c r="Y418" s="28">
        <v>42183</v>
      </c>
      <c r="Z418" s="28" t="str">
        <f t="shared" si="48"/>
        <v>MZ-2015-JW522087-42183</v>
      </c>
    </row>
    <row r="419" spans="1:26" ht="15.75">
      <c r="A419" s="19" t="s">
        <v>781</v>
      </c>
      <c r="B419" s="9">
        <v>41489</v>
      </c>
      <c r="C419" s="9">
        <v>41491</v>
      </c>
      <c r="D419" s="10" t="s">
        <v>782</v>
      </c>
      <c r="E419" s="10" t="s">
        <v>60</v>
      </c>
      <c r="F419" s="10" t="s">
        <v>61</v>
      </c>
      <c r="G419" s="10" t="s">
        <v>45</v>
      </c>
      <c r="H419" s="10" t="s">
        <v>23</v>
      </c>
      <c r="I419" s="11">
        <v>1455.08</v>
      </c>
      <c r="J419" s="10">
        <v>11</v>
      </c>
      <c r="K419" s="20">
        <v>0</v>
      </c>
      <c r="L419" s="11">
        <v>261.8</v>
      </c>
      <c r="M419" s="10" t="s">
        <v>19</v>
      </c>
      <c r="N419" s="12"/>
      <c r="O419" s="13" t="str">
        <f t="shared" si="42"/>
        <v>Elna Hernandez</v>
      </c>
      <c r="P419" s="13" t="str">
        <f t="shared" si="43"/>
        <v>MX</v>
      </c>
      <c r="Q419" s="13" t="str">
        <f t="shared" si="44"/>
        <v>2013</v>
      </c>
      <c r="R419" s="13" t="str">
        <f t="shared" si="45"/>
        <v>MEDIUM</v>
      </c>
      <c r="S419" s="13" t="str">
        <f t="shared" si="46"/>
        <v>office supplies</v>
      </c>
      <c r="T419" s="21" t="str">
        <f t="shared" si="47"/>
        <v>41489</v>
      </c>
      <c r="U419" s="27" t="s">
        <v>3054</v>
      </c>
      <c r="V419" s="19" t="s">
        <v>2695</v>
      </c>
      <c r="W419" s="30">
        <v>2013</v>
      </c>
      <c r="X419" t="s">
        <v>3054</v>
      </c>
      <c r="Y419" s="28">
        <v>41489</v>
      </c>
      <c r="Z419" s="28" t="str">
        <f t="shared" si="48"/>
        <v>MX-2013-LH1690018-41489</v>
      </c>
    </row>
    <row r="420" spans="1:26" ht="15.75">
      <c r="A420" s="16" t="s">
        <v>786</v>
      </c>
      <c r="B420" s="14">
        <v>74202</v>
      </c>
      <c r="C420" s="4">
        <v>41337</v>
      </c>
      <c r="D420" s="5" t="s">
        <v>787</v>
      </c>
      <c r="E420" s="5" t="s">
        <v>114</v>
      </c>
      <c r="F420" s="5" t="s">
        <v>115</v>
      </c>
      <c r="G420" s="5" t="s">
        <v>32</v>
      </c>
      <c r="H420" s="5" t="s">
        <v>299</v>
      </c>
      <c r="I420" s="6" t="s">
        <v>163</v>
      </c>
      <c r="J420" s="5">
        <v>6</v>
      </c>
      <c r="K420" s="17">
        <v>0</v>
      </c>
      <c r="L420" s="6">
        <v>327.06</v>
      </c>
      <c r="M420" s="5" t="s">
        <v>19</v>
      </c>
      <c r="N420" s="7"/>
      <c r="O420" s="8" t="str">
        <f t="shared" si="42"/>
        <v>Bradley Talbott</v>
      </c>
      <c r="P420" s="8" t="str">
        <f t="shared" si="43"/>
        <v>IN</v>
      </c>
      <c r="Q420" s="8" t="str">
        <f t="shared" si="44"/>
        <v>2013</v>
      </c>
      <c r="R420" s="8" t="str">
        <f t="shared" si="45"/>
        <v>MEDIUM</v>
      </c>
      <c r="S420" s="8" t="str">
        <f t="shared" si="46"/>
        <v>furniture</v>
      </c>
      <c r="T420" s="18" t="str">
        <f t="shared" si="47"/>
        <v>41331</v>
      </c>
      <c r="U420" s="27" t="s">
        <v>3055</v>
      </c>
      <c r="V420" s="16" t="s">
        <v>2681</v>
      </c>
      <c r="W420" s="30">
        <v>2013</v>
      </c>
      <c r="X420" t="s">
        <v>3055</v>
      </c>
      <c r="Y420" s="28">
        <v>41331</v>
      </c>
      <c r="Z420" s="28" t="str">
        <f t="shared" si="48"/>
        <v>IN-2013-BT1153058-41331</v>
      </c>
    </row>
    <row r="421" spans="1:26" ht="15.75">
      <c r="A421" s="19" t="s">
        <v>798</v>
      </c>
      <c r="B421" s="9">
        <v>42179</v>
      </c>
      <c r="C421" s="9">
        <v>42181</v>
      </c>
      <c r="D421" s="10" t="s">
        <v>799</v>
      </c>
      <c r="E421" s="10" t="s">
        <v>97</v>
      </c>
      <c r="F421" s="10" t="s">
        <v>98</v>
      </c>
      <c r="G421" s="10" t="s">
        <v>17</v>
      </c>
      <c r="H421" s="10" t="s">
        <v>151</v>
      </c>
      <c r="I421" s="11">
        <v>3045.8399999999901</v>
      </c>
      <c r="J421" s="10">
        <v>7</v>
      </c>
      <c r="K421" s="20">
        <v>0</v>
      </c>
      <c r="L421" s="11">
        <v>1035.58</v>
      </c>
      <c r="M421" s="10" t="s">
        <v>37</v>
      </c>
      <c r="N421" s="12"/>
      <c r="O421" s="13" t="str">
        <f t="shared" si="42"/>
        <v>Sarah Jordon</v>
      </c>
      <c r="P421" s="13" t="str">
        <f t="shared" si="43"/>
        <v>MX</v>
      </c>
      <c r="Q421" s="13" t="str">
        <f t="shared" si="44"/>
        <v>2015</v>
      </c>
      <c r="R421" s="13" t="str">
        <f t="shared" si="45"/>
        <v>HIGH</v>
      </c>
      <c r="S421" s="13" t="str">
        <f t="shared" si="46"/>
        <v>technology</v>
      </c>
      <c r="T421" s="21" t="str">
        <f t="shared" si="47"/>
        <v>42179</v>
      </c>
      <c r="U421" s="27" t="s">
        <v>3056</v>
      </c>
      <c r="V421" s="19" t="s">
        <v>2695</v>
      </c>
      <c r="W421" s="30">
        <v>2015</v>
      </c>
      <c r="X421" t="s">
        <v>3056</v>
      </c>
      <c r="Y421" s="28">
        <v>42179</v>
      </c>
      <c r="Z421" s="28" t="str">
        <f t="shared" si="48"/>
        <v>MX-2015-SJ2021582-42179</v>
      </c>
    </row>
    <row r="422" spans="1:26" ht="15.75">
      <c r="A422" s="16" t="s">
        <v>810</v>
      </c>
      <c r="B422" s="5" t="s">
        <v>125</v>
      </c>
      <c r="C422" s="4">
        <v>41390</v>
      </c>
      <c r="D422" s="5" t="s">
        <v>811</v>
      </c>
      <c r="E422" s="5" t="s">
        <v>22</v>
      </c>
      <c r="F422" s="5" t="s">
        <v>71</v>
      </c>
      <c r="G422" s="5" t="s">
        <v>17</v>
      </c>
      <c r="H422" s="5" t="s">
        <v>23</v>
      </c>
      <c r="I422" s="6">
        <v>4748.4359999999997</v>
      </c>
      <c r="J422" s="5">
        <v>14</v>
      </c>
      <c r="K422" s="17">
        <v>0.1</v>
      </c>
      <c r="L422" s="6">
        <v>844.11599999999896</v>
      </c>
      <c r="M422" s="5" t="s">
        <v>19</v>
      </c>
      <c r="N422" s="7"/>
      <c r="O422" s="8" t="str">
        <f t="shared" si="42"/>
        <v>David Kendrick</v>
      </c>
      <c r="P422" s="8" t="str">
        <f t="shared" si="43"/>
        <v>ES</v>
      </c>
      <c r="Q422" s="8" t="str">
        <f t="shared" si="44"/>
        <v>2013</v>
      </c>
      <c r="R422" s="8" t="str">
        <f t="shared" si="45"/>
        <v>MEDIUM</v>
      </c>
      <c r="S422" s="8" t="str">
        <f t="shared" si="46"/>
        <v>technology</v>
      </c>
      <c r="T422" s="18" t="str">
        <f t="shared" si="47"/>
        <v>41386</v>
      </c>
      <c r="U422" s="27" t="s">
        <v>3057</v>
      </c>
      <c r="V422" s="16" t="s">
        <v>2710</v>
      </c>
      <c r="W422" s="30">
        <v>2013</v>
      </c>
      <c r="X422" t="s">
        <v>3057</v>
      </c>
      <c r="Y422" s="28">
        <v>41386</v>
      </c>
      <c r="Z422" s="28" t="str">
        <f t="shared" si="48"/>
        <v>ES-2013-DK1315048-41386</v>
      </c>
    </row>
    <row r="423" spans="1:26" ht="15.75">
      <c r="A423" s="19" t="s">
        <v>812</v>
      </c>
      <c r="B423" s="9">
        <v>41942</v>
      </c>
      <c r="C423" s="9">
        <v>41947</v>
      </c>
      <c r="D423" s="10" t="s">
        <v>266</v>
      </c>
      <c r="E423" s="10" t="s">
        <v>437</v>
      </c>
      <c r="F423" s="10" t="s">
        <v>438</v>
      </c>
      <c r="G423" s="10" t="s">
        <v>17</v>
      </c>
      <c r="H423" s="10" t="s">
        <v>44</v>
      </c>
      <c r="I423" s="11">
        <v>1867.5</v>
      </c>
      <c r="J423" s="10">
        <v>6</v>
      </c>
      <c r="K423" s="20">
        <v>0</v>
      </c>
      <c r="L423" s="11">
        <v>242.64</v>
      </c>
      <c r="M423" s="10" t="s">
        <v>37</v>
      </c>
      <c r="N423" s="12"/>
      <c r="O423" s="13" t="str">
        <f t="shared" si="42"/>
        <v>Rick Wilson</v>
      </c>
      <c r="P423" s="13" t="str">
        <f t="shared" si="43"/>
        <v>SF</v>
      </c>
      <c r="Q423" s="13" t="str">
        <f t="shared" si="44"/>
        <v>2014</v>
      </c>
      <c r="R423" s="13" t="str">
        <f t="shared" si="45"/>
        <v>HIGH</v>
      </c>
      <c r="S423" s="13" t="str">
        <f t="shared" si="46"/>
        <v>technology</v>
      </c>
      <c r="T423" s="21" t="str">
        <f t="shared" si="47"/>
        <v>41942</v>
      </c>
      <c r="U423" s="27" t="s">
        <v>3058</v>
      </c>
      <c r="V423" s="19" t="s">
        <v>2731</v>
      </c>
      <c r="W423" s="30">
        <v>2014</v>
      </c>
      <c r="X423" t="s">
        <v>3058</v>
      </c>
      <c r="Y423" s="28">
        <v>41942</v>
      </c>
      <c r="Z423" s="28" t="str">
        <f t="shared" si="48"/>
        <v>SF-2014-RW9540117-41942</v>
      </c>
    </row>
    <row r="424" spans="1:26" ht="15.75">
      <c r="A424" s="16" t="s">
        <v>816</v>
      </c>
      <c r="B424" s="4">
        <v>41991</v>
      </c>
      <c r="C424" s="4">
        <v>41995</v>
      </c>
      <c r="D424" s="5" t="s">
        <v>515</v>
      </c>
      <c r="E424" s="5" t="s">
        <v>40</v>
      </c>
      <c r="F424" s="5" t="s">
        <v>41</v>
      </c>
      <c r="G424" s="5" t="s">
        <v>165</v>
      </c>
      <c r="H424" s="5" t="s">
        <v>23</v>
      </c>
      <c r="I424" s="6">
        <v>9892.74</v>
      </c>
      <c r="J424" s="5">
        <v>13</v>
      </c>
      <c r="K424" s="17">
        <v>0</v>
      </c>
      <c r="L424" s="6">
        <v>4946.37</v>
      </c>
      <c r="M424" s="5" t="s">
        <v>19</v>
      </c>
      <c r="N424" s="7"/>
      <c r="O424" s="8" t="str">
        <f t="shared" si="42"/>
        <v>Adrian Barton</v>
      </c>
      <c r="P424" s="8" t="str">
        <f t="shared" si="43"/>
        <v>CA</v>
      </c>
      <c r="Q424" s="8" t="str">
        <f t="shared" si="44"/>
        <v>2014</v>
      </c>
      <c r="R424" s="8" t="str">
        <f t="shared" si="45"/>
        <v>MEDIUM</v>
      </c>
      <c r="S424" s="8" t="str">
        <f t="shared" si="46"/>
        <v>office_supplies</v>
      </c>
      <c r="T424" s="18" t="str">
        <f t="shared" si="47"/>
        <v>41991</v>
      </c>
      <c r="U424" s="27" t="s">
        <v>2776</v>
      </c>
      <c r="V424" s="16" t="s">
        <v>2683</v>
      </c>
      <c r="W424" s="30">
        <v>2014</v>
      </c>
      <c r="X424" t="s">
        <v>2776</v>
      </c>
      <c r="Y424" s="28">
        <v>41991</v>
      </c>
      <c r="Z424" s="28" t="str">
        <f t="shared" si="48"/>
        <v>CA-2014-AB10105140-41991</v>
      </c>
    </row>
    <row r="425" spans="1:26" ht="15.75">
      <c r="A425" s="19" t="s">
        <v>833</v>
      </c>
      <c r="B425" s="9">
        <v>42328</v>
      </c>
      <c r="C425" s="9">
        <v>42332</v>
      </c>
      <c r="D425" s="10" t="s">
        <v>515</v>
      </c>
      <c r="E425" s="10" t="s">
        <v>40</v>
      </c>
      <c r="F425" s="10" t="s">
        <v>153</v>
      </c>
      <c r="G425" s="10" t="s">
        <v>32</v>
      </c>
      <c r="H425" s="10" t="s">
        <v>26</v>
      </c>
      <c r="I425" s="11">
        <v>821.87999999999897</v>
      </c>
      <c r="J425" s="10">
        <v>6</v>
      </c>
      <c r="K425" s="20">
        <v>0</v>
      </c>
      <c r="L425" s="11">
        <v>213.68879999999999</v>
      </c>
      <c r="M425" s="10" t="s">
        <v>19</v>
      </c>
      <c r="N425" s="12"/>
      <c r="O425" s="13" t="str">
        <f t="shared" si="42"/>
        <v>Adrian Barton</v>
      </c>
      <c r="P425" s="13" t="str">
        <f t="shared" si="43"/>
        <v>CA</v>
      </c>
      <c r="Q425" s="13" t="str">
        <f t="shared" si="44"/>
        <v>2015</v>
      </c>
      <c r="R425" s="13" t="str">
        <f t="shared" si="45"/>
        <v>MEDIUM</v>
      </c>
      <c r="S425" s="13" t="str">
        <f t="shared" si="46"/>
        <v>furniture</v>
      </c>
      <c r="T425" s="21" t="str">
        <f t="shared" si="47"/>
        <v>42328</v>
      </c>
      <c r="U425" s="27" t="s">
        <v>2776</v>
      </c>
      <c r="V425" s="19" t="s">
        <v>2683</v>
      </c>
      <c r="W425" s="30">
        <v>2015</v>
      </c>
      <c r="X425" t="s">
        <v>2776</v>
      </c>
      <c r="Y425" s="28">
        <v>42328</v>
      </c>
      <c r="Z425" s="28" t="str">
        <f t="shared" si="48"/>
        <v>CA-2015-AB10105140-42328</v>
      </c>
    </row>
    <row r="426" spans="1:26" ht="15.75">
      <c r="A426" s="16" t="s">
        <v>865</v>
      </c>
      <c r="B426" s="4">
        <v>41810</v>
      </c>
      <c r="C426" s="4">
        <v>41812</v>
      </c>
      <c r="D426" s="5" t="s">
        <v>866</v>
      </c>
      <c r="E426" s="5" t="s">
        <v>867</v>
      </c>
      <c r="F426" s="5" t="s">
        <v>90</v>
      </c>
      <c r="G426" s="5" t="s">
        <v>17</v>
      </c>
      <c r="H426" s="5" t="s">
        <v>26</v>
      </c>
      <c r="I426" s="6">
        <v>1063.44</v>
      </c>
      <c r="J426" s="5">
        <v>7</v>
      </c>
      <c r="K426" s="17">
        <v>0</v>
      </c>
      <c r="L426" s="6">
        <v>361.41</v>
      </c>
      <c r="M426" s="5" t="s">
        <v>27</v>
      </c>
      <c r="N426" s="7"/>
      <c r="O426" s="8" t="str">
        <f t="shared" si="42"/>
        <v>Caroline Jumper</v>
      </c>
      <c r="P426" s="8" t="str">
        <f t="shared" si="43"/>
        <v>IN</v>
      </c>
      <c r="Q426" s="8" t="str">
        <f t="shared" si="44"/>
        <v>2014</v>
      </c>
      <c r="R426" s="8" t="str">
        <f t="shared" si="45"/>
        <v>CRITICAL</v>
      </c>
      <c r="S426" s="8" t="str">
        <f t="shared" si="46"/>
        <v>technology</v>
      </c>
      <c r="T426" s="18" t="str">
        <f t="shared" si="47"/>
        <v>41810</v>
      </c>
      <c r="U426" s="27" t="s">
        <v>3059</v>
      </c>
      <c r="V426" s="16" t="s">
        <v>2681</v>
      </c>
      <c r="W426" s="30">
        <v>2014</v>
      </c>
      <c r="X426" t="s">
        <v>3059</v>
      </c>
      <c r="Y426" s="28">
        <v>41810</v>
      </c>
      <c r="Z426" s="28" t="str">
        <f t="shared" si="48"/>
        <v>IN-2014-CJ1201027-41810</v>
      </c>
    </row>
    <row r="427" spans="1:26" ht="15.75">
      <c r="A427" s="19" t="s">
        <v>883</v>
      </c>
      <c r="B427" s="9">
        <v>42336</v>
      </c>
      <c r="C427" s="9">
        <v>42341</v>
      </c>
      <c r="D427" s="10" t="s">
        <v>884</v>
      </c>
      <c r="E427" s="10" t="s">
        <v>22</v>
      </c>
      <c r="F427" s="10" t="s">
        <v>71</v>
      </c>
      <c r="G427" s="10" t="s">
        <v>32</v>
      </c>
      <c r="H427" s="10" t="s">
        <v>44</v>
      </c>
      <c r="I427" s="11">
        <v>2455.6770000000001</v>
      </c>
      <c r="J427" s="10">
        <v>7</v>
      </c>
      <c r="K427" s="20">
        <v>0.1</v>
      </c>
      <c r="L427" s="11">
        <v>-191.16300000000001</v>
      </c>
      <c r="M427" s="10" t="s">
        <v>885</v>
      </c>
      <c r="N427" s="12"/>
      <c r="O427" s="13" t="str">
        <f t="shared" si="42"/>
        <v>Brenda Bowman</v>
      </c>
      <c r="P427" s="13" t="str">
        <f t="shared" si="43"/>
        <v>ES</v>
      </c>
      <c r="Q427" s="13" t="str">
        <f t="shared" si="44"/>
        <v>2015</v>
      </c>
      <c r="R427" s="13" t="str">
        <f t="shared" si="45"/>
        <v>HIHG</v>
      </c>
      <c r="S427" s="13" t="str">
        <f t="shared" si="46"/>
        <v>furniture</v>
      </c>
      <c r="T427" s="21" t="str">
        <f t="shared" si="47"/>
        <v>42336</v>
      </c>
      <c r="U427" s="27" t="s">
        <v>3060</v>
      </c>
      <c r="V427" s="19" t="s">
        <v>2710</v>
      </c>
      <c r="W427" s="30">
        <v>2015</v>
      </c>
      <c r="X427" t="s">
        <v>3060</v>
      </c>
      <c r="Y427" s="28">
        <v>42336</v>
      </c>
      <c r="Z427" s="28" t="str">
        <f t="shared" si="48"/>
        <v>ES-2015-BB1154548-42336</v>
      </c>
    </row>
    <row r="428" spans="1:26" ht="15.75">
      <c r="A428" s="16" t="s">
        <v>888</v>
      </c>
      <c r="B428" s="4">
        <v>41808</v>
      </c>
      <c r="C428" s="4">
        <v>41814</v>
      </c>
      <c r="D428" s="5" t="s">
        <v>889</v>
      </c>
      <c r="E428" s="5" t="s">
        <v>322</v>
      </c>
      <c r="F428" s="5" t="s">
        <v>142</v>
      </c>
      <c r="G428" s="5" t="s">
        <v>17</v>
      </c>
      <c r="H428" s="5" t="s">
        <v>151</v>
      </c>
      <c r="I428" s="6">
        <v>3712.59</v>
      </c>
      <c r="J428" s="5">
        <v>7</v>
      </c>
      <c r="K428" s="17">
        <v>0.17</v>
      </c>
      <c r="L428" s="6">
        <v>849.87</v>
      </c>
      <c r="M428" s="5" t="s">
        <v>19</v>
      </c>
      <c r="N428" s="7"/>
      <c r="O428" s="8" t="str">
        <f t="shared" si="42"/>
        <v>Susan Pistek</v>
      </c>
      <c r="P428" s="8" t="str">
        <f t="shared" si="43"/>
        <v>IN</v>
      </c>
      <c r="Q428" s="8" t="str">
        <f t="shared" si="44"/>
        <v>2014</v>
      </c>
      <c r="R428" s="8" t="str">
        <f t="shared" si="45"/>
        <v>MEDIUM</v>
      </c>
      <c r="S428" s="8" t="str">
        <f t="shared" si="46"/>
        <v>technology</v>
      </c>
      <c r="T428" s="18" t="str">
        <f t="shared" si="47"/>
        <v>41808</v>
      </c>
      <c r="U428" s="27" t="s">
        <v>3061</v>
      </c>
      <c r="V428" s="16" t="s">
        <v>2681</v>
      </c>
      <c r="W428" s="30">
        <v>2014</v>
      </c>
      <c r="X428" t="s">
        <v>3061</v>
      </c>
      <c r="Y428" s="28">
        <v>41808</v>
      </c>
      <c r="Z428" s="28" t="str">
        <f t="shared" si="48"/>
        <v>IN-2014-SP20920130-41808</v>
      </c>
    </row>
    <row r="429" spans="1:26" ht="15.75">
      <c r="A429" s="19" t="s">
        <v>890</v>
      </c>
      <c r="B429" s="9">
        <v>41398</v>
      </c>
      <c r="C429" s="9">
        <v>41400</v>
      </c>
      <c r="D429" s="10" t="s">
        <v>247</v>
      </c>
      <c r="E429" s="10" t="s">
        <v>891</v>
      </c>
      <c r="F429" s="10" t="s">
        <v>115</v>
      </c>
      <c r="G429" s="10" t="s">
        <v>17</v>
      </c>
      <c r="H429" s="10" t="s">
        <v>33</v>
      </c>
      <c r="I429" s="11">
        <v>2372.2199999999998</v>
      </c>
      <c r="J429" s="10">
        <v>9</v>
      </c>
      <c r="K429" s="20">
        <v>0</v>
      </c>
      <c r="L429" s="11">
        <v>0</v>
      </c>
      <c r="M429" s="10" t="s">
        <v>37</v>
      </c>
      <c r="N429" s="12"/>
      <c r="O429" s="13" t="str">
        <f t="shared" si="42"/>
        <v>Nick Zandusky</v>
      </c>
      <c r="P429" s="13" t="str">
        <f t="shared" si="43"/>
        <v>IN</v>
      </c>
      <c r="Q429" s="13" t="str">
        <f t="shared" si="44"/>
        <v>2013</v>
      </c>
      <c r="R429" s="13" t="str">
        <f t="shared" si="45"/>
        <v>HIGH</v>
      </c>
      <c r="S429" s="13" t="str">
        <f t="shared" si="46"/>
        <v>technology</v>
      </c>
      <c r="T429" s="21" t="str">
        <f t="shared" si="47"/>
        <v>1398#</v>
      </c>
      <c r="U429" s="27" t="s">
        <v>3062</v>
      </c>
      <c r="V429" s="19" t="s">
        <v>2681</v>
      </c>
      <c r="W429" s="30">
        <v>2013</v>
      </c>
      <c r="X429" t="s">
        <v>3062</v>
      </c>
      <c r="Y429" s="28" t="s">
        <v>3063</v>
      </c>
      <c r="Z429" s="28" t="str">
        <f t="shared" si="48"/>
        <v>IN-2013-NZ1856558-41398#</v>
      </c>
    </row>
    <row r="430" spans="1:26" ht="15.75">
      <c r="A430" s="16" t="s">
        <v>907</v>
      </c>
      <c r="B430" s="4">
        <v>41577</v>
      </c>
      <c r="C430" s="4">
        <v>41581</v>
      </c>
      <c r="D430" s="5" t="s">
        <v>908</v>
      </c>
      <c r="E430" s="5" t="s">
        <v>141</v>
      </c>
      <c r="F430" s="5" t="s">
        <v>142</v>
      </c>
      <c r="G430" s="5" t="s">
        <v>17</v>
      </c>
      <c r="H430" s="5" t="s">
        <v>127</v>
      </c>
      <c r="I430" s="6">
        <v>2991.10319999999</v>
      </c>
      <c r="J430" s="5">
        <v>9</v>
      </c>
      <c r="K430" s="17">
        <v>7.0000000000000007E-2</v>
      </c>
      <c r="L430" s="6">
        <v>-128.74680000000001</v>
      </c>
      <c r="M430" s="5" t="s">
        <v>19</v>
      </c>
      <c r="N430" s="7"/>
      <c r="O430" s="8" t="str">
        <f t="shared" si="42"/>
        <v>Bill Stewart</v>
      </c>
      <c r="P430" s="8" t="str">
        <f t="shared" si="43"/>
        <v>ID</v>
      </c>
      <c r="Q430" s="8" t="str">
        <f t="shared" si="44"/>
        <v>2013</v>
      </c>
      <c r="R430" s="8" t="str">
        <f t="shared" si="45"/>
        <v>MEDIUM</v>
      </c>
      <c r="S430" s="8" t="str">
        <f t="shared" si="46"/>
        <v>technology</v>
      </c>
      <c r="T430" s="18" t="str">
        <f t="shared" si="47"/>
        <v>41577</v>
      </c>
      <c r="U430" s="27" t="s">
        <v>3064</v>
      </c>
      <c r="V430" s="16" t="s">
        <v>2705</v>
      </c>
      <c r="W430" s="30">
        <v>2013</v>
      </c>
      <c r="X430" t="s">
        <v>3064</v>
      </c>
      <c r="Y430" s="28">
        <v>41577</v>
      </c>
      <c r="Z430" s="28" t="str">
        <f t="shared" si="48"/>
        <v>ID-2013-BS1138059-41577</v>
      </c>
    </row>
    <row r="431" spans="1:26" ht="15.75">
      <c r="A431" s="19" t="s">
        <v>915</v>
      </c>
      <c r="B431" s="9">
        <v>41943</v>
      </c>
      <c r="C431" s="10" t="s">
        <v>916</v>
      </c>
      <c r="D431" s="10" t="s">
        <v>917</v>
      </c>
      <c r="E431" s="10" t="s">
        <v>15</v>
      </c>
      <c r="F431" s="10" t="s">
        <v>16</v>
      </c>
      <c r="G431" s="10" t="s">
        <v>32</v>
      </c>
      <c r="H431" s="10" t="s">
        <v>26</v>
      </c>
      <c r="I431" s="11">
        <v>2634.5519999999901</v>
      </c>
      <c r="J431" s="10">
        <v>8</v>
      </c>
      <c r="K431" s="20">
        <v>0.1</v>
      </c>
      <c r="L431" s="11">
        <v>116.952</v>
      </c>
      <c r="M431" s="10" t="s">
        <v>19</v>
      </c>
      <c r="N431" s="12"/>
      <c r="O431" s="13" t="str">
        <f t="shared" si="42"/>
        <v>Ed Ludwig</v>
      </c>
      <c r="P431" s="13" t="str">
        <f t="shared" si="43"/>
        <v>IN</v>
      </c>
      <c r="Q431" s="13" t="str">
        <f t="shared" si="44"/>
        <v>2014</v>
      </c>
      <c r="R431" s="13" t="str">
        <f t="shared" si="45"/>
        <v>MEDIUM</v>
      </c>
      <c r="S431" s="13" t="str">
        <f t="shared" si="46"/>
        <v>furniture</v>
      </c>
      <c r="T431" s="21" t="str">
        <f t="shared" si="47"/>
        <v>41943</v>
      </c>
      <c r="U431" s="27" t="s">
        <v>3065</v>
      </c>
      <c r="V431" s="19" t="s">
        <v>2681</v>
      </c>
      <c r="W431" s="30">
        <v>2014</v>
      </c>
      <c r="X431" t="s">
        <v>3065</v>
      </c>
      <c r="Y431" s="28">
        <v>41943</v>
      </c>
      <c r="Z431" s="28" t="str">
        <f t="shared" si="48"/>
        <v>IN-2014-EL137357-41943</v>
      </c>
    </row>
    <row r="432" spans="1:26" ht="15.75">
      <c r="A432" s="16" t="s">
        <v>918</v>
      </c>
      <c r="B432" s="4">
        <v>41991</v>
      </c>
      <c r="C432" s="4">
        <v>41998</v>
      </c>
      <c r="D432" s="5" t="s">
        <v>919</v>
      </c>
      <c r="E432" s="5" t="s">
        <v>141</v>
      </c>
      <c r="F432" s="5" t="s">
        <v>142</v>
      </c>
      <c r="G432" s="5" t="s">
        <v>32</v>
      </c>
      <c r="H432" s="5" t="s">
        <v>73</v>
      </c>
      <c r="I432" s="6">
        <v>3707.3519999999999</v>
      </c>
      <c r="J432" s="5">
        <v>11</v>
      </c>
      <c r="K432" s="17">
        <v>7.0000000000000007E-2</v>
      </c>
      <c r="L432" s="6">
        <v>1554.432</v>
      </c>
      <c r="M432" s="5" t="s">
        <v>19</v>
      </c>
      <c r="N432" s="7"/>
      <c r="O432" s="8" t="str">
        <f t="shared" si="42"/>
        <v>Frank Hawley</v>
      </c>
      <c r="P432" s="8" t="str">
        <f t="shared" si="43"/>
        <v>IN</v>
      </c>
      <c r="Q432" s="8" t="str">
        <f t="shared" si="44"/>
        <v>2014</v>
      </c>
      <c r="R432" s="8" t="str">
        <f t="shared" si="45"/>
        <v>MEDIUM</v>
      </c>
      <c r="S432" s="8" t="str">
        <f t="shared" si="46"/>
        <v>furniture</v>
      </c>
      <c r="T432" s="18" t="str">
        <f t="shared" si="47"/>
        <v>41991</v>
      </c>
      <c r="U432" s="27" t="s">
        <v>3066</v>
      </c>
      <c r="V432" s="16" t="s">
        <v>2681</v>
      </c>
      <c r="W432" s="30">
        <v>2014</v>
      </c>
      <c r="X432" t="s">
        <v>3066</v>
      </c>
      <c r="Y432" s="28">
        <v>41991</v>
      </c>
      <c r="Z432" s="28" t="str">
        <f t="shared" si="48"/>
        <v>IN-2014-FH1427559-41991</v>
      </c>
    </row>
    <row r="433" spans="1:26" ht="15.75">
      <c r="A433" s="19" t="s">
        <v>929</v>
      </c>
      <c r="B433" s="10" t="s">
        <v>930</v>
      </c>
      <c r="C433" s="9">
        <v>42225</v>
      </c>
      <c r="D433" s="10" t="s">
        <v>931</v>
      </c>
      <c r="E433" s="10" t="s">
        <v>932</v>
      </c>
      <c r="F433" s="10" t="s">
        <v>77</v>
      </c>
      <c r="G433" s="10" t="s">
        <v>45</v>
      </c>
      <c r="H433" s="10" t="s">
        <v>299</v>
      </c>
      <c r="I433" s="11">
        <v>3234.24</v>
      </c>
      <c r="J433" s="10">
        <v>6</v>
      </c>
      <c r="K433" s="20">
        <v>0</v>
      </c>
      <c r="L433" s="11">
        <v>970.19999999999902</v>
      </c>
      <c r="M433" s="10" t="s">
        <v>19</v>
      </c>
      <c r="N433" s="12"/>
      <c r="O433" s="13" t="str">
        <f t="shared" si="42"/>
        <v>Tom Stivers</v>
      </c>
      <c r="P433" s="13" t="str">
        <f t="shared" si="43"/>
        <v>MW</v>
      </c>
      <c r="Q433" s="13" t="str">
        <f t="shared" si="44"/>
        <v>2015</v>
      </c>
      <c r="R433" s="13" t="str">
        <f t="shared" si="45"/>
        <v>MEDIUM</v>
      </c>
      <c r="S433" s="13" t="str">
        <f t="shared" si="46"/>
        <v>office supplies</v>
      </c>
      <c r="T433" s="21" t="str">
        <f t="shared" si="47"/>
        <v>42220</v>
      </c>
      <c r="U433" s="27" t="s">
        <v>3067</v>
      </c>
      <c r="V433" s="19" t="s">
        <v>3068</v>
      </c>
      <c r="W433" s="30">
        <v>2015</v>
      </c>
      <c r="X433" t="s">
        <v>3067</v>
      </c>
      <c r="Y433" s="28">
        <v>42220</v>
      </c>
      <c r="Z433" s="28" t="str">
        <f t="shared" si="48"/>
        <v>MW-2015-TS1143085-42220</v>
      </c>
    </row>
    <row r="434" spans="1:26" ht="15.75">
      <c r="A434" s="16" t="s">
        <v>938</v>
      </c>
      <c r="B434" s="4">
        <v>41870</v>
      </c>
      <c r="C434" s="4">
        <v>41872</v>
      </c>
      <c r="D434" s="5" t="s">
        <v>939</v>
      </c>
      <c r="E434" s="5" t="s">
        <v>713</v>
      </c>
      <c r="F434" s="5" t="s">
        <v>115</v>
      </c>
      <c r="G434" s="5" t="s">
        <v>17</v>
      </c>
      <c r="H434" s="5" t="s">
        <v>33</v>
      </c>
      <c r="I434" s="6">
        <v>2863.08</v>
      </c>
      <c r="J434" s="5">
        <v>9</v>
      </c>
      <c r="K434" s="17">
        <v>0.5</v>
      </c>
      <c r="L434" s="6">
        <v>-458.19</v>
      </c>
      <c r="M434" s="5" t="s">
        <v>19</v>
      </c>
      <c r="N434" s="7"/>
      <c r="O434" s="8" t="str">
        <f t="shared" si="42"/>
        <v>Candace Mcmahon</v>
      </c>
      <c r="P434" s="8" t="str">
        <f t="shared" si="43"/>
        <v>IN</v>
      </c>
      <c r="Q434" s="8" t="str">
        <f t="shared" si="44"/>
        <v>2014</v>
      </c>
      <c r="R434" s="8" t="str">
        <f t="shared" si="45"/>
        <v>MEDIUM</v>
      </c>
      <c r="S434" s="8" t="str">
        <f t="shared" si="46"/>
        <v>technology</v>
      </c>
      <c r="T434" s="18" t="str">
        <f t="shared" si="47"/>
        <v>41870</v>
      </c>
      <c r="U434" s="27" t="s">
        <v>3069</v>
      </c>
      <c r="V434" s="16" t="s">
        <v>2681</v>
      </c>
      <c r="W434" s="30">
        <v>2014</v>
      </c>
      <c r="X434" t="s">
        <v>3069</v>
      </c>
      <c r="Y434" s="28">
        <v>41870</v>
      </c>
      <c r="Z434" s="28" t="str">
        <f t="shared" si="48"/>
        <v>IN-2014-CM1181597-41870</v>
      </c>
    </row>
    <row r="435" spans="1:26" ht="15.75">
      <c r="A435" s="19" t="s">
        <v>941</v>
      </c>
      <c r="B435" s="9">
        <v>41508</v>
      </c>
      <c r="C435" s="9">
        <v>41515</v>
      </c>
      <c r="D435" s="10" t="s">
        <v>942</v>
      </c>
      <c r="E435" s="10" t="s">
        <v>168</v>
      </c>
      <c r="F435" s="10" t="s">
        <v>115</v>
      </c>
      <c r="G435" s="10" t="s">
        <v>45</v>
      </c>
      <c r="H435" s="10" t="s">
        <v>26</v>
      </c>
      <c r="I435" s="11">
        <v>3369.24</v>
      </c>
      <c r="J435" s="10">
        <v>6</v>
      </c>
      <c r="K435" s="20">
        <v>0</v>
      </c>
      <c r="L435" s="11">
        <v>606.41999999999996</v>
      </c>
      <c r="M435" s="10" t="s">
        <v>74</v>
      </c>
      <c r="N435" s="12"/>
      <c r="O435" s="13" t="str">
        <f t="shared" si="42"/>
        <v>Kristina Nunn</v>
      </c>
      <c r="P435" s="13" t="str">
        <f t="shared" si="43"/>
        <v>IR</v>
      </c>
      <c r="Q435" s="13" t="str">
        <f t="shared" si="44"/>
        <v>2013</v>
      </c>
      <c r="R435" s="13" t="str">
        <f t="shared" si="45"/>
        <v>LOW</v>
      </c>
      <c r="S435" s="13" t="str">
        <f t="shared" si="46"/>
        <v>office supplies</v>
      </c>
      <c r="T435" s="21" t="str">
        <f t="shared" si="47"/>
        <v>41508</v>
      </c>
      <c r="U435" s="27" t="s">
        <v>3070</v>
      </c>
      <c r="V435" s="19" t="s">
        <v>2781</v>
      </c>
      <c r="W435" s="30">
        <v>2013</v>
      </c>
      <c r="X435" t="s">
        <v>3070</v>
      </c>
      <c r="Y435" s="28">
        <v>41508</v>
      </c>
      <c r="Z435" s="28" t="str">
        <f t="shared" si="48"/>
        <v>IR-2013-KN670560-41508</v>
      </c>
    </row>
    <row r="436" spans="1:26" ht="15.75">
      <c r="A436" s="16" t="s">
        <v>946</v>
      </c>
      <c r="B436" s="4">
        <v>41347</v>
      </c>
      <c r="C436" s="4">
        <v>41350</v>
      </c>
      <c r="D436" s="5" t="s">
        <v>314</v>
      </c>
      <c r="E436" s="5" t="s">
        <v>281</v>
      </c>
      <c r="F436" s="5" t="s">
        <v>71</v>
      </c>
      <c r="G436" s="5" t="s">
        <v>32</v>
      </c>
      <c r="H436" s="5" t="s">
        <v>73</v>
      </c>
      <c r="I436" s="6">
        <v>1273.125</v>
      </c>
      <c r="J436" s="5">
        <v>7</v>
      </c>
      <c r="K436" s="17">
        <v>0.5</v>
      </c>
      <c r="L436" s="6">
        <v>-993.19499999999903</v>
      </c>
      <c r="M436" s="5" t="s">
        <v>37</v>
      </c>
      <c r="N436" s="7"/>
      <c r="O436" s="8" t="str">
        <f t="shared" si="42"/>
        <v>Gary Mcgarr</v>
      </c>
      <c r="P436" s="8" t="str">
        <f t="shared" si="43"/>
        <v>IT</v>
      </c>
      <c r="Q436" s="8" t="str">
        <f t="shared" si="44"/>
        <v>2013</v>
      </c>
      <c r="R436" s="8" t="str">
        <f t="shared" si="45"/>
        <v>HIGH</v>
      </c>
      <c r="S436" s="8" t="str">
        <f t="shared" si="46"/>
        <v>furniture</v>
      </c>
      <c r="T436" s="18" t="str">
        <f t="shared" si="47"/>
        <v>41347</v>
      </c>
      <c r="U436" s="27" t="s">
        <v>3071</v>
      </c>
      <c r="V436" s="16" t="s">
        <v>2690</v>
      </c>
      <c r="W436" s="30">
        <v>2013</v>
      </c>
      <c r="X436" t="s">
        <v>3071</v>
      </c>
      <c r="Y436" s="28">
        <v>41347</v>
      </c>
      <c r="Z436" s="28" t="str">
        <f t="shared" si="48"/>
        <v>IT-2013-GM1444091-41347</v>
      </c>
    </row>
    <row r="437" spans="1:26" ht="15.75">
      <c r="A437" s="19" t="s">
        <v>954</v>
      </c>
      <c r="B437" s="9">
        <v>41564</v>
      </c>
      <c r="C437" s="9">
        <v>41568</v>
      </c>
      <c r="D437" s="10" t="s">
        <v>394</v>
      </c>
      <c r="E437" s="10" t="s">
        <v>570</v>
      </c>
      <c r="F437" s="10" t="s">
        <v>120</v>
      </c>
      <c r="G437" s="10" t="s">
        <v>32</v>
      </c>
      <c r="H437" s="10" t="s">
        <v>26</v>
      </c>
      <c r="I437" s="11">
        <v>2818.0799999999899</v>
      </c>
      <c r="J437" s="10">
        <v>9</v>
      </c>
      <c r="K437" s="20">
        <v>0</v>
      </c>
      <c r="L437" s="11">
        <v>225.35999999999899</v>
      </c>
      <c r="M437" s="10" t="s">
        <v>955</v>
      </c>
      <c r="N437" s="12"/>
      <c r="O437" s="13" t="str">
        <f t="shared" si="42"/>
        <v>Jason Fortune-</v>
      </c>
      <c r="P437" s="13" t="str">
        <f t="shared" si="43"/>
        <v>MX</v>
      </c>
      <c r="Q437" s="13" t="str">
        <f t="shared" si="44"/>
        <v>2013</v>
      </c>
      <c r="R437" s="13" t="str">
        <f t="shared" si="45"/>
        <v>HGIH</v>
      </c>
      <c r="S437" s="13" t="str">
        <f t="shared" si="46"/>
        <v>furniture</v>
      </c>
      <c r="T437" s="21" t="str">
        <f t="shared" si="47"/>
        <v>41564</v>
      </c>
      <c r="U437" s="27" t="s">
        <v>3072</v>
      </c>
      <c r="V437" s="19" t="s">
        <v>2695</v>
      </c>
      <c r="W437" s="30">
        <v>2013</v>
      </c>
      <c r="X437" t="s">
        <v>3072</v>
      </c>
      <c r="Y437" s="28">
        <v>41564</v>
      </c>
      <c r="Z437" s="28" t="str">
        <f t="shared" si="48"/>
        <v>MX-2013-JF1529531-41564</v>
      </c>
    </row>
    <row r="438" spans="1:26" ht="15.75">
      <c r="A438" s="16" t="s">
        <v>965</v>
      </c>
      <c r="B438" s="4">
        <v>42171</v>
      </c>
      <c r="C438" s="4">
        <v>42176</v>
      </c>
      <c r="D438" s="5" t="s">
        <v>966</v>
      </c>
      <c r="E438" s="5" t="s">
        <v>15</v>
      </c>
      <c r="F438" s="5" t="s">
        <v>16</v>
      </c>
      <c r="G438" s="5" t="s">
        <v>17</v>
      </c>
      <c r="H438" s="5" t="s">
        <v>23</v>
      </c>
      <c r="I438" s="6">
        <v>2293.4879999999998</v>
      </c>
      <c r="J438" s="5">
        <v>8</v>
      </c>
      <c r="K438" s="17">
        <v>0.1</v>
      </c>
      <c r="L438" s="6">
        <v>509.56799999999998</v>
      </c>
      <c r="M438" s="5" t="s">
        <v>37</v>
      </c>
      <c r="N438" s="7"/>
      <c r="O438" s="8" t="str">
        <f t="shared" si="42"/>
        <v>Michael Dominguez</v>
      </c>
      <c r="P438" s="8" t="str">
        <f t="shared" si="43"/>
        <v>IN</v>
      </c>
      <c r="Q438" s="8" t="str">
        <f t="shared" si="44"/>
        <v>2015</v>
      </c>
      <c r="R438" s="8" t="str">
        <f t="shared" si="45"/>
        <v>HIGH</v>
      </c>
      <c r="S438" s="8" t="str">
        <f t="shared" si="46"/>
        <v>technology</v>
      </c>
      <c r="T438" s="18" t="str">
        <f t="shared" si="47"/>
        <v>42171</v>
      </c>
      <c r="U438" s="27" t="s">
        <v>3073</v>
      </c>
      <c r="V438" s="16" t="s">
        <v>2681</v>
      </c>
      <c r="W438" s="30">
        <v>2015</v>
      </c>
      <c r="X438" t="s">
        <v>3073</v>
      </c>
      <c r="Y438" s="28">
        <v>42171</v>
      </c>
      <c r="Z438" s="28" t="str">
        <f t="shared" si="48"/>
        <v>IN-2015-MD178607-42171</v>
      </c>
    </row>
    <row r="439" spans="1:26" ht="15.75">
      <c r="A439" s="19" t="s">
        <v>969</v>
      </c>
      <c r="B439" s="9">
        <v>42137</v>
      </c>
      <c r="C439" s="9">
        <v>42141</v>
      </c>
      <c r="D439" s="10" t="s">
        <v>970</v>
      </c>
      <c r="E439" s="10" t="s">
        <v>97</v>
      </c>
      <c r="F439" s="10" t="s">
        <v>98</v>
      </c>
      <c r="G439" s="10" t="s">
        <v>32</v>
      </c>
      <c r="H439" s="10" t="s">
        <v>33</v>
      </c>
      <c r="I439" s="11">
        <v>1715.05599999999</v>
      </c>
      <c r="J439" s="10">
        <v>7</v>
      </c>
      <c r="K439" s="20">
        <v>0.2</v>
      </c>
      <c r="L439" s="11">
        <v>300.07600000000002</v>
      </c>
      <c r="M439" s="10" t="s">
        <v>37</v>
      </c>
      <c r="N439" s="12"/>
      <c r="O439" s="13" t="str">
        <f t="shared" si="42"/>
        <v>John Murray</v>
      </c>
      <c r="P439" s="13" t="str">
        <f t="shared" si="43"/>
        <v>MX</v>
      </c>
      <c r="Q439" s="13" t="str">
        <f t="shared" si="44"/>
        <v>2015</v>
      </c>
      <c r="R439" s="13" t="str">
        <f t="shared" si="45"/>
        <v>HIGH</v>
      </c>
      <c r="S439" s="13" t="str">
        <f t="shared" si="46"/>
        <v>furniture</v>
      </c>
      <c r="T439" s="21" t="str">
        <f t="shared" si="47"/>
        <v>42137</v>
      </c>
      <c r="U439" s="27" t="s">
        <v>3074</v>
      </c>
      <c r="V439" s="19" t="s">
        <v>2695</v>
      </c>
      <c r="W439" s="30">
        <v>2015</v>
      </c>
      <c r="X439" t="s">
        <v>3074</v>
      </c>
      <c r="Y439" s="28">
        <v>42137</v>
      </c>
      <c r="Z439" s="28" t="str">
        <f t="shared" si="48"/>
        <v>MX-2015-JM1586582-42137</v>
      </c>
    </row>
    <row r="440" spans="1:26" ht="15.75">
      <c r="A440" s="16" t="s">
        <v>980</v>
      </c>
      <c r="B440" s="4">
        <v>42288</v>
      </c>
      <c r="C440" s="4">
        <v>42291</v>
      </c>
      <c r="D440" s="5" t="s">
        <v>981</v>
      </c>
      <c r="E440" s="5" t="s">
        <v>114</v>
      </c>
      <c r="F440" s="5" t="s">
        <v>982</v>
      </c>
      <c r="G440" s="5" t="s">
        <v>108</v>
      </c>
      <c r="H440" s="5" t="s">
        <v>26</v>
      </c>
      <c r="I440" s="6">
        <v>2488.56</v>
      </c>
      <c r="J440" s="5">
        <v>8</v>
      </c>
      <c r="K440" s="17">
        <v>0</v>
      </c>
      <c r="L440" s="6">
        <v>348.24</v>
      </c>
      <c r="M440" s="5" t="s">
        <v>37</v>
      </c>
      <c r="N440" s="7"/>
      <c r="O440" s="8" t="str">
        <f t="shared" si="42"/>
        <v>Juliana Krohn</v>
      </c>
      <c r="P440" s="8" t="str">
        <f t="shared" si="43"/>
        <v>IN</v>
      </c>
      <c r="Q440" s="8" t="str">
        <f t="shared" si="44"/>
        <v>2015</v>
      </c>
      <c r="R440" s="8" t="str">
        <f t="shared" si="45"/>
        <v>HIGH</v>
      </c>
      <c r="S440" s="8" t="str">
        <f t="shared" si="46"/>
        <v>office supplies#</v>
      </c>
      <c r="T440" s="18" t="str">
        <f t="shared" si="47"/>
        <v>42288</v>
      </c>
      <c r="U440" s="27" t="s">
        <v>3075</v>
      </c>
      <c r="V440" s="16" t="s">
        <v>2681</v>
      </c>
      <c r="W440" s="30">
        <v>2015</v>
      </c>
      <c r="X440" t="s">
        <v>3075</v>
      </c>
      <c r="Y440" s="28">
        <v>42288</v>
      </c>
      <c r="Z440" s="28" t="str">
        <f t="shared" si="48"/>
        <v>IN-2015-JK1609058-42288</v>
      </c>
    </row>
    <row r="441" spans="1:26" ht="15.75">
      <c r="A441" s="19" t="s">
        <v>983</v>
      </c>
      <c r="B441" s="9">
        <v>41234</v>
      </c>
      <c r="C441" s="9">
        <v>41237</v>
      </c>
      <c r="D441" s="10" t="s">
        <v>926</v>
      </c>
      <c r="E441" s="10" t="s">
        <v>119</v>
      </c>
      <c r="F441" s="10" t="s">
        <v>120</v>
      </c>
      <c r="G441" s="10" t="s">
        <v>45</v>
      </c>
      <c r="H441" s="10" t="s">
        <v>151</v>
      </c>
      <c r="I441" s="11">
        <v>1124.2559999999901</v>
      </c>
      <c r="J441" s="10">
        <v>7</v>
      </c>
      <c r="K441" s="20">
        <v>0.2</v>
      </c>
      <c r="L441" s="11">
        <v>252.89599999999899</v>
      </c>
      <c r="M441" s="10" t="s">
        <v>27</v>
      </c>
      <c r="N441" s="12"/>
      <c r="O441" s="13" t="str">
        <f t="shared" si="42"/>
        <v>Sean Miller</v>
      </c>
      <c r="P441" s="13" t="str">
        <f t="shared" si="43"/>
        <v>MX</v>
      </c>
      <c r="Q441" s="13" t="str">
        <f t="shared" si="44"/>
        <v>2012</v>
      </c>
      <c r="R441" s="13" t="str">
        <f t="shared" si="45"/>
        <v>CRITICAL</v>
      </c>
      <c r="S441" s="13" t="str">
        <f t="shared" si="46"/>
        <v>office supplies</v>
      </c>
      <c r="T441" s="21" t="str">
        <f t="shared" si="47"/>
        <v>41234</v>
      </c>
      <c r="U441" s="27" t="s">
        <v>3076</v>
      </c>
      <c r="V441" s="19" t="s">
        <v>2695</v>
      </c>
      <c r="W441" s="30">
        <v>2012</v>
      </c>
      <c r="X441" t="s">
        <v>3076</v>
      </c>
      <c r="Y441" s="28">
        <v>41234</v>
      </c>
      <c r="Z441" s="28" t="str">
        <f t="shared" si="48"/>
        <v>MX-2012-SM2032036-41234</v>
      </c>
    </row>
    <row r="442" spans="1:26" ht="15.75">
      <c r="A442" s="16" t="s">
        <v>987</v>
      </c>
      <c r="B442" s="4">
        <v>41926</v>
      </c>
      <c r="C442" s="4">
        <v>41927</v>
      </c>
      <c r="D442" s="5" t="s">
        <v>988</v>
      </c>
      <c r="E442" s="5" t="s">
        <v>989</v>
      </c>
      <c r="F442" s="5" t="s">
        <v>84</v>
      </c>
      <c r="G442" s="5" t="s">
        <v>17</v>
      </c>
      <c r="H442" s="5" t="s">
        <v>44</v>
      </c>
      <c r="I442" s="6">
        <v>1519.92</v>
      </c>
      <c r="J442" s="5">
        <v>6</v>
      </c>
      <c r="K442" s="17">
        <v>0</v>
      </c>
      <c r="L442" s="6">
        <v>5856.54436626399</v>
      </c>
      <c r="M442" s="5" t="s">
        <v>990</v>
      </c>
      <c r="N442" s="7"/>
      <c r="O442" s="8" t="str">
        <f t="shared" si="42"/>
        <v>Duane Huffman</v>
      </c>
      <c r="P442" s="8" t="str">
        <f t="shared" si="43"/>
        <v>MA</v>
      </c>
      <c r="Q442" s="8" t="str">
        <f t="shared" si="44"/>
        <v>2014</v>
      </c>
      <c r="R442" s="8" t="str">
        <f t="shared" si="45"/>
        <v>RCITICAL</v>
      </c>
      <c r="S442" s="8" t="str">
        <f t="shared" si="46"/>
        <v>technology</v>
      </c>
      <c r="T442" s="18" t="str">
        <f t="shared" si="47"/>
        <v>41926</v>
      </c>
      <c r="U442" s="27" t="s">
        <v>3077</v>
      </c>
      <c r="V442" s="16" t="s">
        <v>3078</v>
      </c>
      <c r="W442" s="30">
        <v>2014</v>
      </c>
      <c r="X442" t="s">
        <v>3077</v>
      </c>
      <c r="Y442" s="28">
        <v>41926</v>
      </c>
      <c r="Z442" s="28" t="str">
        <f t="shared" si="48"/>
        <v>MA-2014-DH367577-41926</v>
      </c>
    </row>
    <row r="443" spans="1:26" ht="15.75">
      <c r="A443" s="19" t="s">
        <v>996</v>
      </c>
      <c r="B443" s="9">
        <v>41628</v>
      </c>
      <c r="C443" s="9">
        <v>41631</v>
      </c>
      <c r="D443" s="10" t="s">
        <v>970</v>
      </c>
      <c r="E443" s="10" t="s">
        <v>713</v>
      </c>
      <c r="F443" s="10" t="s">
        <v>115</v>
      </c>
      <c r="G443" s="10" t="s">
        <v>45</v>
      </c>
      <c r="H443" s="10" t="s">
        <v>26</v>
      </c>
      <c r="I443" s="11">
        <v>1704.87</v>
      </c>
      <c r="J443" s="10">
        <v>6</v>
      </c>
      <c r="K443" s="20">
        <v>0.5</v>
      </c>
      <c r="L443" s="11">
        <v>-1023.02999999999</v>
      </c>
      <c r="M443" s="10" t="s">
        <v>408</v>
      </c>
      <c r="N443" s="12"/>
      <c r="O443" s="13" t="str">
        <f t="shared" si="42"/>
        <v>John Murray</v>
      </c>
      <c r="P443" s="13" t="str">
        <f t="shared" si="43"/>
        <v>ID</v>
      </c>
      <c r="Q443" s="13" t="str">
        <f t="shared" si="44"/>
        <v>2013</v>
      </c>
      <c r="R443" s="13" t="str">
        <f t="shared" si="45"/>
        <v xml:space="preserve"> CRITICAL </v>
      </c>
      <c r="S443" s="13" t="str">
        <f t="shared" si="46"/>
        <v>office supplies</v>
      </c>
      <c r="T443" s="21" t="str">
        <f t="shared" si="47"/>
        <v>41628</v>
      </c>
      <c r="U443" s="27" t="s">
        <v>3079</v>
      </c>
      <c r="V443" s="19" t="s">
        <v>2705</v>
      </c>
      <c r="W443" s="30">
        <v>2013</v>
      </c>
      <c r="X443" t="s">
        <v>3079</v>
      </c>
      <c r="Y443" s="28">
        <v>41628</v>
      </c>
      <c r="Z443" s="28" t="str">
        <f t="shared" si="48"/>
        <v>ID-2013-JM1586597-41628</v>
      </c>
    </row>
    <row r="444" spans="1:26" ht="15.75">
      <c r="A444" s="16" t="s">
        <v>997</v>
      </c>
      <c r="B444" s="4">
        <v>41489</v>
      </c>
      <c r="C444" s="4">
        <v>41493</v>
      </c>
      <c r="D444" s="5" t="s">
        <v>301</v>
      </c>
      <c r="E444" s="5" t="s">
        <v>76</v>
      </c>
      <c r="F444" s="5" t="s">
        <v>77</v>
      </c>
      <c r="G444" s="5" t="s">
        <v>17</v>
      </c>
      <c r="H444" s="5" t="s">
        <v>151</v>
      </c>
      <c r="I444" s="6">
        <v>1715.9099999999901</v>
      </c>
      <c r="J444" s="5">
        <v>7</v>
      </c>
      <c r="K444" s="17">
        <v>0</v>
      </c>
      <c r="L444" s="6">
        <v>583.38</v>
      </c>
      <c r="M444" s="5" t="s">
        <v>354</v>
      </c>
      <c r="N444" s="7"/>
      <c r="O444" s="8" t="str">
        <f t="shared" si="42"/>
        <v>Chad Mcguire</v>
      </c>
      <c r="P444" s="8" t="str">
        <f t="shared" si="43"/>
        <v>ES</v>
      </c>
      <c r="Q444" s="8" t="str">
        <f t="shared" si="44"/>
        <v>2013</v>
      </c>
      <c r="R444" s="8" t="str">
        <f t="shared" si="45"/>
        <v>HIGH#</v>
      </c>
      <c r="S444" s="8" t="str">
        <f t="shared" si="46"/>
        <v>technology</v>
      </c>
      <c r="T444" s="18" t="str">
        <f t="shared" si="47"/>
        <v>41489</v>
      </c>
      <c r="U444" s="27" t="s">
        <v>3080</v>
      </c>
      <c r="V444" s="16" t="s">
        <v>2710</v>
      </c>
      <c r="W444" s="30">
        <v>2013</v>
      </c>
      <c r="X444" t="s">
        <v>3080</v>
      </c>
      <c r="Y444" s="28">
        <v>41489</v>
      </c>
      <c r="Z444" s="28" t="str">
        <f t="shared" si="48"/>
        <v>ES-2013-CM1211564-41489</v>
      </c>
    </row>
    <row r="445" spans="1:26" ht="15.75">
      <c r="A445" s="19" t="s">
        <v>269</v>
      </c>
      <c r="B445" s="9">
        <v>41558</v>
      </c>
      <c r="C445" s="9">
        <v>41561</v>
      </c>
      <c r="D445" s="10" t="s">
        <v>270</v>
      </c>
      <c r="E445" s="10" t="s">
        <v>97</v>
      </c>
      <c r="F445" s="10" t="s">
        <v>98</v>
      </c>
      <c r="G445" s="10" t="s">
        <v>17</v>
      </c>
      <c r="H445" s="10" t="s">
        <v>151</v>
      </c>
      <c r="I445" s="11">
        <v>2968.97999999999</v>
      </c>
      <c r="J445" s="10">
        <v>7</v>
      </c>
      <c r="K445" s="20">
        <v>0</v>
      </c>
      <c r="L445" s="11">
        <v>89.039999999999907</v>
      </c>
      <c r="M445" s="10" t="s">
        <v>19</v>
      </c>
      <c r="N445" s="12"/>
      <c r="O445" s="13" t="str">
        <f t="shared" si="42"/>
        <v>Fred Hopkins</v>
      </c>
      <c r="P445" s="13" t="str">
        <f t="shared" si="43"/>
        <v>MX</v>
      </c>
      <c r="Q445" s="13" t="str">
        <f t="shared" si="44"/>
        <v>2013</v>
      </c>
      <c r="R445" s="13" t="str">
        <f t="shared" si="45"/>
        <v>MEDIUM</v>
      </c>
      <c r="S445" s="13" t="str">
        <f t="shared" si="46"/>
        <v>technology</v>
      </c>
      <c r="T445" s="21" t="str">
        <f t="shared" si="47"/>
        <v>41558</v>
      </c>
      <c r="U445" s="27" t="s">
        <v>3025</v>
      </c>
      <c r="V445" s="19" t="s">
        <v>2695</v>
      </c>
      <c r="W445" s="30">
        <v>2013</v>
      </c>
      <c r="X445" t="s">
        <v>3025</v>
      </c>
      <c r="Y445" s="28">
        <v>41558</v>
      </c>
      <c r="Z445" s="28" t="str">
        <f t="shared" si="48"/>
        <v>MX-2013-FH1436582-41558</v>
      </c>
    </row>
    <row r="446" spans="1:26" ht="15.75">
      <c r="A446" s="16" t="s">
        <v>1010</v>
      </c>
      <c r="B446" s="4">
        <v>41248</v>
      </c>
      <c r="C446" s="4">
        <v>41255</v>
      </c>
      <c r="D446" s="5" t="s">
        <v>1011</v>
      </c>
      <c r="E446" s="5" t="s">
        <v>66</v>
      </c>
      <c r="F446" s="5" t="s">
        <v>90</v>
      </c>
      <c r="G446" s="5" t="s">
        <v>17</v>
      </c>
      <c r="H446" s="5" t="s">
        <v>44</v>
      </c>
      <c r="I446" s="6">
        <v>2518.9499999999998</v>
      </c>
      <c r="J446" s="5">
        <v>7</v>
      </c>
      <c r="K446" s="17">
        <v>0</v>
      </c>
      <c r="L446" s="6">
        <v>3063.7564411559201</v>
      </c>
      <c r="M446" s="5" t="s">
        <v>19</v>
      </c>
      <c r="N446" s="7"/>
      <c r="O446" s="8" t="str">
        <f t="shared" si="42"/>
        <v>Andrew Gjertsen</v>
      </c>
      <c r="P446" s="8" t="str">
        <f t="shared" si="43"/>
        <v>IN</v>
      </c>
      <c r="Q446" s="8" t="str">
        <f t="shared" si="44"/>
        <v>2012</v>
      </c>
      <c r="R446" s="8" t="str">
        <f t="shared" si="45"/>
        <v>MEDIUM</v>
      </c>
      <c r="S446" s="8" t="str">
        <f t="shared" si="46"/>
        <v>technology</v>
      </c>
      <c r="T446" s="18" t="str">
        <f t="shared" si="47"/>
        <v>41248</v>
      </c>
      <c r="U446" s="27" t="s">
        <v>3081</v>
      </c>
      <c r="V446" s="16" t="s">
        <v>2681</v>
      </c>
      <c r="W446" s="30">
        <v>2012</v>
      </c>
      <c r="X446" t="s">
        <v>3081</v>
      </c>
      <c r="Y446" s="28">
        <v>41248</v>
      </c>
      <c r="Z446" s="28" t="str">
        <f t="shared" si="48"/>
        <v>IN-2012-AG1049527-41248</v>
      </c>
    </row>
    <row r="447" spans="1:26" ht="15.75">
      <c r="A447" s="19" t="s">
        <v>1022</v>
      </c>
      <c r="B447" s="9">
        <v>41398</v>
      </c>
      <c r="C447" s="9">
        <v>41403</v>
      </c>
      <c r="D447" s="10" t="s">
        <v>1023</v>
      </c>
      <c r="E447" s="10" t="s">
        <v>97</v>
      </c>
      <c r="F447" s="10" t="s">
        <v>98</v>
      </c>
      <c r="G447" s="10" t="s">
        <v>45</v>
      </c>
      <c r="H447" s="10" t="s">
        <v>18</v>
      </c>
      <c r="I447" s="11">
        <v>3242.88</v>
      </c>
      <c r="J447" s="10">
        <v>9</v>
      </c>
      <c r="K447" s="20">
        <v>0</v>
      </c>
      <c r="L447" s="11">
        <v>324.18</v>
      </c>
      <c r="M447" s="10" t="s">
        <v>19</v>
      </c>
      <c r="N447" s="12"/>
      <c r="O447" s="13" t="str">
        <f t="shared" si="42"/>
        <v>Arthur Gainer</v>
      </c>
      <c r="P447" s="13" t="str">
        <f t="shared" si="43"/>
        <v>MX</v>
      </c>
      <c r="Q447" s="13" t="str">
        <f t="shared" si="44"/>
        <v>2013</v>
      </c>
      <c r="R447" s="13" t="str">
        <f t="shared" si="45"/>
        <v>MEDIUM</v>
      </c>
      <c r="S447" s="13" t="str">
        <f t="shared" si="46"/>
        <v>office supplies</v>
      </c>
      <c r="T447" s="21" t="str">
        <f t="shared" si="47"/>
        <v>41398</v>
      </c>
      <c r="U447" s="27" t="s">
        <v>3082</v>
      </c>
      <c r="V447" s="19" t="s">
        <v>2695</v>
      </c>
      <c r="W447" s="30">
        <v>2013</v>
      </c>
      <c r="X447" t="s">
        <v>3082</v>
      </c>
      <c r="Y447" s="28">
        <v>41398</v>
      </c>
      <c r="Z447" s="28" t="str">
        <f t="shared" si="48"/>
        <v>MX-2013-AG1090082-41398</v>
      </c>
    </row>
    <row r="448" spans="1:26" ht="15.75">
      <c r="A448" s="16" t="s">
        <v>1027</v>
      </c>
      <c r="B448" s="4">
        <v>41668</v>
      </c>
      <c r="C448" s="4">
        <v>41670</v>
      </c>
      <c r="D448" s="5" t="s">
        <v>394</v>
      </c>
      <c r="E448" s="5" t="s">
        <v>197</v>
      </c>
      <c r="F448" s="5" t="s">
        <v>77</v>
      </c>
      <c r="G448" s="5" t="s">
        <v>45</v>
      </c>
      <c r="H448" s="5" t="s">
        <v>26</v>
      </c>
      <c r="I448" s="6">
        <v>1271.4569999999901</v>
      </c>
      <c r="J448" s="5">
        <v>11</v>
      </c>
      <c r="K448" s="17">
        <v>0.1</v>
      </c>
      <c r="L448" s="6">
        <v>-127.412999999999</v>
      </c>
      <c r="M448" s="5" t="s">
        <v>37</v>
      </c>
      <c r="N448" s="7"/>
      <c r="O448" s="8" t="str">
        <f t="shared" si="42"/>
        <v>Jason Fortune-</v>
      </c>
      <c r="P448" s="8" t="str">
        <f t="shared" si="43"/>
        <v xml:space="preserve"> I</v>
      </c>
      <c r="Q448" s="8" t="str">
        <f t="shared" si="44"/>
        <v>-201</v>
      </c>
      <c r="R448" s="8" t="str">
        <f t="shared" si="45"/>
        <v>HIGH</v>
      </c>
      <c r="S448" s="8" t="str">
        <f t="shared" si="46"/>
        <v>office supplies</v>
      </c>
      <c r="T448" s="18" t="str">
        <f t="shared" si="47"/>
        <v xml:space="preserve">1668 </v>
      </c>
      <c r="U448" s="27" t="s">
        <v>3002</v>
      </c>
      <c r="V448" s="16" t="s">
        <v>3083</v>
      </c>
      <c r="W448" s="30">
        <v>2014</v>
      </c>
      <c r="X448" t="s">
        <v>3002</v>
      </c>
      <c r="Y448" s="28">
        <v>41668</v>
      </c>
      <c r="Z448" s="28" t="str">
        <f t="shared" si="48"/>
        <v>IT-2014-JF15295120-41668</v>
      </c>
    </row>
    <row r="449" spans="1:26" ht="15.75">
      <c r="A449" s="19" t="s">
        <v>1032</v>
      </c>
      <c r="B449" s="9">
        <v>41780</v>
      </c>
      <c r="C449" s="9">
        <v>41782</v>
      </c>
      <c r="D449" s="10" t="s">
        <v>1033</v>
      </c>
      <c r="E449" s="10" t="s">
        <v>101</v>
      </c>
      <c r="F449" s="10" t="s">
        <v>98</v>
      </c>
      <c r="G449" s="10" t="s">
        <v>17</v>
      </c>
      <c r="H449" s="10" t="s">
        <v>127</v>
      </c>
      <c r="I449" s="11">
        <v>2544.2399999999998</v>
      </c>
      <c r="J449" s="10">
        <v>6</v>
      </c>
      <c r="K449" s="20">
        <v>0</v>
      </c>
      <c r="L449" s="11">
        <v>992.15999999999894</v>
      </c>
      <c r="M449" s="10" t="s">
        <v>37</v>
      </c>
      <c r="N449" s="12"/>
      <c r="O449" s="13" t="str">
        <f t="shared" si="42"/>
        <v>Maribeth Schnelling</v>
      </c>
      <c r="P449" s="13" t="str">
        <f t="shared" si="43"/>
        <v>MX</v>
      </c>
      <c r="Q449" s="13" t="str">
        <f t="shared" si="44"/>
        <v>2014</v>
      </c>
      <c r="R449" s="13" t="str">
        <f t="shared" si="45"/>
        <v>HIGH</v>
      </c>
      <c r="S449" s="13" t="str">
        <f t="shared" si="46"/>
        <v>technology</v>
      </c>
      <c r="T449" s="21" t="str">
        <f t="shared" si="47"/>
        <v>41780</v>
      </c>
      <c r="U449" s="27" t="s">
        <v>3084</v>
      </c>
      <c r="V449" s="19" t="s">
        <v>2695</v>
      </c>
      <c r="W449" s="30">
        <v>2014</v>
      </c>
      <c r="X449" t="s">
        <v>3084</v>
      </c>
      <c r="Y449" s="28">
        <v>41780</v>
      </c>
      <c r="Z449" s="28" t="str">
        <f t="shared" si="48"/>
        <v>MX-2014-MS1736539-41780</v>
      </c>
    </row>
    <row r="450" spans="1:26" ht="15.75">
      <c r="A450" s="16" t="s">
        <v>1039</v>
      </c>
      <c r="B450" s="4">
        <v>41208</v>
      </c>
      <c r="C450" s="4">
        <v>41210</v>
      </c>
      <c r="D450" s="5" t="s">
        <v>1040</v>
      </c>
      <c r="E450" s="5" t="s">
        <v>66</v>
      </c>
      <c r="F450" s="5" t="s">
        <v>90</v>
      </c>
      <c r="G450" s="5" t="s">
        <v>32</v>
      </c>
      <c r="H450" s="5" t="s">
        <v>44</v>
      </c>
      <c r="I450" s="6">
        <v>2470.5</v>
      </c>
      <c r="J450" s="5">
        <v>6</v>
      </c>
      <c r="K450" s="17">
        <v>0</v>
      </c>
      <c r="L450" s="6">
        <v>518.76</v>
      </c>
      <c r="M450" s="5" t="s">
        <v>227</v>
      </c>
      <c r="N450" s="7"/>
      <c r="O450" s="8" t="str">
        <f t="shared" ref="O450:O513" si="49">PROPER(D450)</f>
        <v>Sarah Bern</v>
      </c>
      <c r="P450" s="8" t="str">
        <f t="shared" ref="P450:P513" si="50">LEFT(A450,2)</f>
        <v>IN</v>
      </c>
      <c r="Q450" s="8" t="str">
        <f t="shared" ref="Q450:Q513" si="51">MID(A450,4,4)</f>
        <v>2012</v>
      </c>
      <c r="R450" s="8" t="str">
        <f t="shared" ref="R450:R513" si="52">UPPER(M450)</f>
        <v>MEDIUM#</v>
      </c>
      <c r="S450" s="8" t="str">
        <f t="shared" ref="S450:S513" si="53">LOWER(G450)</f>
        <v>furniture</v>
      </c>
      <c r="T450" s="18" t="str">
        <f t="shared" ref="T450:T513" si="54">RIGHT(A450,5)</f>
        <v>41208</v>
      </c>
      <c r="U450" s="27" t="s">
        <v>3085</v>
      </c>
      <c r="V450" s="16" t="s">
        <v>2681</v>
      </c>
      <c r="W450" s="30">
        <v>2012</v>
      </c>
      <c r="X450" t="s">
        <v>3085</v>
      </c>
      <c r="Y450" s="28">
        <v>41208</v>
      </c>
      <c r="Z450" s="28" t="str">
        <f t="shared" ref="Z450:Z513" si="55">TRIM(A450)</f>
        <v>IN-2012-SB2017027-41208</v>
      </c>
    </row>
    <row r="451" spans="1:26" ht="15.75">
      <c r="A451" s="19" t="s">
        <v>857</v>
      </c>
      <c r="B451" s="9">
        <v>41585</v>
      </c>
      <c r="C451" s="9">
        <v>41619</v>
      </c>
      <c r="D451" s="10" t="s">
        <v>515</v>
      </c>
      <c r="E451" s="10" t="s">
        <v>40</v>
      </c>
      <c r="F451" s="10" t="s">
        <v>41</v>
      </c>
      <c r="G451" s="10" t="s">
        <v>45</v>
      </c>
      <c r="H451" s="10" t="s">
        <v>33</v>
      </c>
      <c r="I451" s="11">
        <v>32.059999999999903</v>
      </c>
      <c r="J451" s="10">
        <v>10</v>
      </c>
      <c r="K451" s="20">
        <v>0.8</v>
      </c>
      <c r="L451" s="11">
        <v>-51.295999999999999</v>
      </c>
      <c r="M451" s="10" t="s">
        <v>19</v>
      </c>
      <c r="N451" s="12"/>
      <c r="O451" s="13" t="str">
        <f t="shared" si="49"/>
        <v>Adrian Barton</v>
      </c>
      <c r="P451" s="13" t="str">
        <f t="shared" si="50"/>
        <v>CA</v>
      </c>
      <c r="Q451" s="13" t="str">
        <f t="shared" si="51"/>
        <v>2013</v>
      </c>
      <c r="R451" s="13" t="str">
        <f t="shared" si="52"/>
        <v>MEDIUM</v>
      </c>
      <c r="S451" s="13" t="str">
        <f t="shared" si="53"/>
        <v>office supplies</v>
      </c>
      <c r="T451" s="21" t="str">
        <f t="shared" si="54"/>
        <v>41585</v>
      </c>
      <c r="U451" s="27" t="s">
        <v>2776</v>
      </c>
      <c r="V451" s="19" t="s">
        <v>2683</v>
      </c>
      <c r="W451" s="30">
        <v>2013</v>
      </c>
      <c r="X451" t="s">
        <v>2776</v>
      </c>
      <c r="Y451" s="28">
        <v>41585</v>
      </c>
      <c r="Z451" s="28" t="str">
        <f t="shared" si="55"/>
        <v>CA-2013-AB10105140-41585</v>
      </c>
    </row>
    <row r="452" spans="1:26" ht="15.75">
      <c r="A452" s="16" t="s">
        <v>1044</v>
      </c>
      <c r="B452" s="4">
        <v>41401</v>
      </c>
      <c r="C452" s="14">
        <v>41552</v>
      </c>
      <c r="D452" s="5" t="s">
        <v>1045</v>
      </c>
      <c r="E452" s="5" t="s">
        <v>31</v>
      </c>
      <c r="F452" s="5" t="s">
        <v>16</v>
      </c>
      <c r="G452" s="5" t="s">
        <v>17</v>
      </c>
      <c r="H452" s="5" t="s">
        <v>151</v>
      </c>
      <c r="I452" s="6">
        <v>1917.36</v>
      </c>
      <c r="J452" s="5">
        <v>6</v>
      </c>
      <c r="K452" s="17">
        <v>0</v>
      </c>
      <c r="L452" s="6">
        <v>747.72</v>
      </c>
      <c r="M452" s="5" t="s">
        <v>19</v>
      </c>
      <c r="N452" s="7"/>
      <c r="O452" s="8" t="str">
        <f t="shared" si="49"/>
        <v>Becky Castell</v>
      </c>
      <c r="P452" s="8" t="str">
        <f t="shared" si="50"/>
        <v>IN</v>
      </c>
      <c r="Q452" s="8" t="str">
        <f t="shared" si="51"/>
        <v>2013</v>
      </c>
      <c r="R452" s="8" t="str">
        <f t="shared" si="52"/>
        <v>MEDIUM</v>
      </c>
      <c r="S452" s="8" t="str">
        <f t="shared" si="53"/>
        <v>technology</v>
      </c>
      <c r="T452" s="18" t="str">
        <f t="shared" si="54"/>
        <v>41401</v>
      </c>
      <c r="U452" s="27" t="s">
        <v>3086</v>
      </c>
      <c r="V452" s="16" t="s">
        <v>2681</v>
      </c>
      <c r="W452" s="30">
        <v>2013</v>
      </c>
      <c r="X452" t="s">
        <v>3086</v>
      </c>
      <c r="Y452" s="28">
        <v>41401</v>
      </c>
      <c r="Z452" s="28" t="str">
        <f t="shared" si="55"/>
        <v>IN-2013-BC1112592-41401</v>
      </c>
    </row>
    <row r="453" spans="1:26" ht="15.75">
      <c r="A453" s="19" t="s">
        <v>1046</v>
      </c>
      <c r="B453" s="9">
        <v>40916</v>
      </c>
      <c r="C453" s="9">
        <v>40920</v>
      </c>
      <c r="D453" s="10" t="s">
        <v>1047</v>
      </c>
      <c r="E453" s="10" t="s">
        <v>66</v>
      </c>
      <c r="F453" s="10" t="s">
        <v>90</v>
      </c>
      <c r="G453" s="10" t="s">
        <v>17</v>
      </c>
      <c r="H453" s="10" t="s">
        <v>44</v>
      </c>
      <c r="I453" s="11">
        <v>2173.5</v>
      </c>
      <c r="J453" s="10">
        <v>7</v>
      </c>
      <c r="K453" s="20">
        <v>0</v>
      </c>
      <c r="L453" s="11">
        <v>260.82</v>
      </c>
      <c r="M453" s="10" t="s">
        <v>19</v>
      </c>
      <c r="N453" s="12"/>
      <c r="O453" s="13" t="str">
        <f t="shared" si="49"/>
        <v>Nicole Fjeld</v>
      </c>
      <c r="P453" s="13" t="str">
        <f t="shared" si="50"/>
        <v>IN</v>
      </c>
      <c r="Q453" s="13" t="str">
        <f t="shared" si="51"/>
        <v>2012</v>
      </c>
      <c r="R453" s="13" t="str">
        <f t="shared" si="52"/>
        <v>MEDIUM</v>
      </c>
      <c r="S453" s="13" t="str">
        <f t="shared" si="53"/>
        <v>technology</v>
      </c>
      <c r="T453" s="21" t="str">
        <f t="shared" si="54"/>
        <v>40916</v>
      </c>
      <c r="U453" s="27" t="s">
        <v>3087</v>
      </c>
      <c r="V453" s="19" t="s">
        <v>2681</v>
      </c>
      <c r="W453" s="30">
        <v>2012</v>
      </c>
      <c r="X453" t="s">
        <v>3087</v>
      </c>
      <c r="Y453" s="28">
        <v>40916</v>
      </c>
      <c r="Z453" s="28" t="str">
        <f t="shared" si="55"/>
        <v>IN-2012-NF1859527-40916</v>
      </c>
    </row>
    <row r="454" spans="1:26" ht="15.75">
      <c r="A454" s="16" t="s">
        <v>1059</v>
      </c>
      <c r="B454" s="4">
        <v>42007</v>
      </c>
      <c r="C454" s="4">
        <v>42008</v>
      </c>
      <c r="D454" s="5" t="s">
        <v>1060</v>
      </c>
      <c r="E454" s="5" t="s">
        <v>197</v>
      </c>
      <c r="F454" s="5" t="s">
        <v>77</v>
      </c>
      <c r="G454" s="5" t="s">
        <v>17</v>
      </c>
      <c r="H454" s="5" t="s">
        <v>18</v>
      </c>
      <c r="I454" s="6">
        <v>2097.12</v>
      </c>
      <c r="J454" s="5">
        <v>8</v>
      </c>
      <c r="K454" s="17">
        <v>0</v>
      </c>
      <c r="L454" s="6">
        <v>188.64</v>
      </c>
      <c r="M454" s="5" t="s">
        <v>37</v>
      </c>
      <c r="N454" s="7"/>
      <c r="O454" s="8" t="str">
        <f t="shared" si="49"/>
        <v>Rob Dowd</v>
      </c>
      <c r="P454" s="8" t="str">
        <f t="shared" si="50"/>
        <v>ES</v>
      </c>
      <c r="Q454" s="8" t="str">
        <f t="shared" si="51"/>
        <v>2015</v>
      </c>
      <c r="R454" s="8" t="str">
        <f t="shared" si="52"/>
        <v>HIGH</v>
      </c>
      <c r="S454" s="8" t="str">
        <f t="shared" si="53"/>
        <v>technology</v>
      </c>
      <c r="T454" s="18" t="str">
        <f t="shared" si="54"/>
        <v>42007</v>
      </c>
      <c r="U454" s="27" t="s">
        <v>3088</v>
      </c>
      <c r="V454" s="16" t="s">
        <v>2710</v>
      </c>
      <c r="W454" s="30">
        <v>2015</v>
      </c>
      <c r="X454" t="s">
        <v>3088</v>
      </c>
      <c r="Y454" s="28">
        <v>42007</v>
      </c>
      <c r="Z454" s="28" t="str">
        <f t="shared" si="55"/>
        <v>ES-2015-RD19585120-42007</v>
      </c>
    </row>
    <row r="455" spans="1:26" ht="15.75">
      <c r="A455" s="19" t="s">
        <v>1066</v>
      </c>
      <c r="B455" s="9">
        <v>42234</v>
      </c>
      <c r="C455" s="9">
        <v>42240</v>
      </c>
      <c r="D455" s="10" t="s">
        <v>1049</v>
      </c>
      <c r="E455" s="10" t="s">
        <v>40</v>
      </c>
      <c r="F455" s="10" t="s">
        <v>153</v>
      </c>
      <c r="G455" s="10" t="s">
        <v>17</v>
      </c>
      <c r="H455" s="10" t="s">
        <v>73</v>
      </c>
      <c r="I455" s="11">
        <v>98.16</v>
      </c>
      <c r="J455" s="10">
        <v>6</v>
      </c>
      <c r="K455" s="20">
        <v>0</v>
      </c>
      <c r="L455" s="11">
        <v>9.8159999999999901</v>
      </c>
      <c r="M455" s="10" t="s">
        <v>74</v>
      </c>
      <c r="N455" s="12"/>
      <c r="O455" s="13" t="str">
        <f t="shared" si="49"/>
        <v>Adrian Hane</v>
      </c>
      <c r="P455" s="13" t="str">
        <f t="shared" si="50"/>
        <v>CA</v>
      </c>
      <c r="Q455" s="13" t="str">
        <f t="shared" si="51"/>
        <v>2015</v>
      </c>
      <c r="R455" s="13" t="str">
        <f t="shared" si="52"/>
        <v>LOW</v>
      </c>
      <c r="S455" s="13" t="str">
        <f t="shared" si="53"/>
        <v>technology</v>
      </c>
      <c r="T455" s="21" t="str">
        <f t="shared" si="54"/>
        <v>42234</v>
      </c>
      <c r="U455" s="27" t="s">
        <v>2818</v>
      </c>
      <c r="V455" s="19" t="s">
        <v>2683</v>
      </c>
      <c r="W455" s="30">
        <v>2015</v>
      </c>
      <c r="X455" t="s">
        <v>2818</v>
      </c>
      <c r="Y455" s="28">
        <v>42234</v>
      </c>
      <c r="Z455" s="28" t="str">
        <f t="shared" si="55"/>
        <v>CA-2015-AH10120140-42234</v>
      </c>
    </row>
    <row r="456" spans="1:26" ht="15.75">
      <c r="A456" s="16" t="s">
        <v>1068</v>
      </c>
      <c r="B456" s="4">
        <v>41810</v>
      </c>
      <c r="C456" s="4">
        <v>41814</v>
      </c>
      <c r="D456" s="5" t="s">
        <v>966</v>
      </c>
      <c r="E456" s="5" t="s">
        <v>1069</v>
      </c>
      <c r="F456" s="5" t="s">
        <v>87</v>
      </c>
      <c r="G456" s="5" t="s">
        <v>45</v>
      </c>
      <c r="H456" s="5" t="s">
        <v>46</v>
      </c>
      <c r="I456" s="6">
        <v>3955.14</v>
      </c>
      <c r="J456" s="5">
        <v>14</v>
      </c>
      <c r="K456" s="17">
        <v>0</v>
      </c>
      <c r="L456" s="6">
        <v>1383.9</v>
      </c>
      <c r="M456" s="5" t="s">
        <v>37</v>
      </c>
      <c r="N456" s="7"/>
      <c r="O456" s="8" t="str">
        <f t="shared" si="49"/>
        <v>Michael Dominguez</v>
      </c>
      <c r="P456" s="8" t="str">
        <f t="shared" si="50"/>
        <v>UP</v>
      </c>
      <c r="Q456" s="8" t="str">
        <f t="shared" si="51"/>
        <v>2014</v>
      </c>
      <c r="R456" s="8" t="str">
        <f t="shared" si="52"/>
        <v>HIGH</v>
      </c>
      <c r="S456" s="8" t="str">
        <f t="shared" si="53"/>
        <v>office supplies</v>
      </c>
      <c r="T456" s="18" t="str">
        <f t="shared" si="54"/>
        <v>41810</v>
      </c>
      <c r="U456" s="27" t="s">
        <v>3089</v>
      </c>
      <c r="V456" s="16" t="s">
        <v>2762</v>
      </c>
      <c r="W456" s="30">
        <v>2014</v>
      </c>
      <c r="X456" t="s">
        <v>3089</v>
      </c>
      <c r="Y456" s="28">
        <v>41810</v>
      </c>
      <c r="Z456" s="28" t="str">
        <f t="shared" si="55"/>
        <v>UP-2014-MD7860137-41810</v>
      </c>
    </row>
    <row r="457" spans="1:26" ht="15.75">
      <c r="A457" s="19" t="s">
        <v>1072</v>
      </c>
      <c r="B457" s="9">
        <v>42118</v>
      </c>
      <c r="C457" s="9">
        <v>42121</v>
      </c>
      <c r="D457" s="10" t="s">
        <v>1073</v>
      </c>
      <c r="E457" s="10" t="s">
        <v>22</v>
      </c>
      <c r="F457" s="10" t="s">
        <v>71</v>
      </c>
      <c r="G457" s="10" t="s">
        <v>17</v>
      </c>
      <c r="H457" s="10" t="s">
        <v>73</v>
      </c>
      <c r="I457" s="11">
        <v>2305.2600000000002</v>
      </c>
      <c r="J457" s="10">
        <v>9</v>
      </c>
      <c r="K457" s="20">
        <v>0</v>
      </c>
      <c r="L457" s="11">
        <v>9054.2758390963409</v>
      </c>
      <c r="M457" s="10" t="s">
        <v>227</v>
      </c>
      <c r="N457" s="12"/>
      <c r="O457" s="13" t="str">
        <f t="shared" si="49"/>
        <v>Charles Crestani</v>
      </c>
      <c r="P457" s="13" t="str">
        <f t="shared" si="50"/>
        <v>ES</v>
      </c>
      <c r="Q457" s="13" t="str">
        <f t="shared" si="51"/>
        <v>2015</v>
      </c>
      <c r="R457" s="13" t="str">
        <f t="shared" si="52"/>
        <v>MEDIUM#</v>
      </c>
      <c r="S457" s="13" t="str">
        <f t="shared" si="53"/>
        <v>technology</v>
      </c>
      <c r="T457" s="21" t="str">
        <f t="shared" si="54"/>
        <v>42118</v>
      </c>
      <c r="U457" s="27" t="s">
        <v>3090</v>
      </c>
      <c r="V457" s="19" t="s">
        <v>2710</v>
      </c>
      <c r="W457" s="30">
        <v>2015</v>
      </c>
      <c r="X457" t="s">
        <v>3090</v>
      </c>
      <c r="Y457" s="28">
        <v>42118</v>
      </c>
      <c r="Z457" s="28" t="str">
        <f t="shared" si="55"/>
        <v>ES-2015-CC1214548-42118</v>
      </c>
    </row>
    <row r="458" spans="1:26" ht="15.75">
      <c r="A458" s="16" t="s">
        <v>1074</v>
      </c>
      <c r="B458" s="4">
        <v>41032</v>
      </c>
      <c r="C458" s="4">
        <v>41036</v>
      </c>
      <c r="D458" s="5" t="s">
        <v>1075</v>
      </c>
      <c r="E458" s="5" t="s">
        <v>101</v>
      </c>
      <c r="F458" s="5" t="s">
        <v>98</v>
      </c>
      <c r="G458" s="5" t="s">
        <v>32</v>
      </c>
      <c r="H458" s="5" t="s">
        <v>151</v>
      </c>
      <c r="I458" s="6">
        <v>2833.7599999999902</v>
      </c>
      <c r="J458" s="5">
        <v>10</v>
      </c>
      <c r="K458" s="17">
        <v>0.2</v>
      </c>
      <c r="L458" s="6">
        <v>35.3599999999998</v>
      </c>
      <c r="M458" s="5" t="s">
        <v>37</v>
      </c>
      <c r="N458" s="7"/>
      <c r="O458" s="8" t="str">
        <f t="shared" si="49"/>
        <v>Xylona Preis</v>
      </c>
      <c r="P458" s="8" t="str">
        <f t="shared" si="50"/>
        <v>MX</v>
      </c>
      <c r="Q458" s="8" t="str">
        <f t="shared" si="51"/>
        <v>2012</v>
      </c>
      <c r="R458" s="8" t="str">
        <f t="shared" si="52"/>
        <v>HIGH</v>
      </c>
      <c r="S458" s="8" t="str">
        <f t="shared" si="53"/>
        <v>furniture</v>
      </c>
      <c r="T458" s="18" t="str">
        <f t="shared" si="54"/>
        <v>41032</v>
      </c>
      <c r="U458" s="27" t="s">
        <v>3091</v>
      </c>
      <c r="V458" s="16" t="s">
        <v>2695</v>
      </c>
      <c r="W458" s="30">
        <v>2012</v>
      </c>
      <c r="X458" t="s">
        <v>3091</v>
      </c>
      <c r="Y458" s="28">
        <v>41032</v>
      </c>
      <c r="Z458" s="28" t="str">
        <f t="shared" si="55"/>
        <v>MX-2012-XP2186539-41032</v>
      </c>
    </row>
    <row r="459" spans="1:26" ht="15.75">
      <c r="A459" s="19" t="s">
        <v>1077</v>
      </c>
      <c r="B459" s="9">
        <v>42320</v>
      </c>
      <c r="C459" s="9">
        <v>42324</v>
      </c>
      <c r="D459" s="10" t="s">
        <v>1078</v>
      </c>
      <c r="E459" s="10" t="s">
        <v>570</v>
      </c>
      <c r="F459" s="10" t="s">
        <v>1079</v>
      </c>
      <c r="G459" s="10" t="s">
        <v>32</v>
      </c>
      <c r="H459" s="10" t="s">
        <v>44</v>
      </c>
      <c r="I459" s="11">
        <v>1916.8799999999901</v>
      </c>
      <c r="J459" s="10">
        <v>7</v>
      </c>
      <c r="K459" s="20">
        <v>0</v>
      </c>
      <c r="L459" s="11">
        <v>939.26</v>
      </c>
      <c r="M459" s="10" t="s">
        <v>37</v>
      </c>
      <c r="N459" s="12"/>
      <c r="O459" s="13" t="str">
        <f t="shared" si="49"/>
        <v>Maris Laware</v>
      </c>
      <c r="P459" s="13" t="str">
        <f t="shared" si="50"/>
        <v>MX</v>
      </c>
      <c r="Q459" s="13" t="str">
        <f t="shared" si="51"/>
        <v>2015</v>
      </c>
      <c r="R459" s="13" t="str">
        <f t="shared" si="52"/>
        <v>HIGH</v>
      </c>
      <c r="S459" s="13" t="str">
        <f t="shared" si="53"/>
        <v>furniture</v>
      </c>
      <c r="T459" s="21" t="str">
        <f t="shared" si="54"/>
        <v>42320</v>
      </c>
      <c r="U459" s="27" t="s">
        <v>3092</v>
      </c>
      <c r="V459" s="19" t="s">
        <v>2695</v>
      </c>
      <c r="W459" s="30">
        <v>2015</v>
      </c>
      <c r="X459" t="s">
        <v>3092</v>
      </c>
      <c r="Y459" s="28">
        <v>42320</v>
      </c>
      <c r="Z459" s="28" t="str">
        <f t="shared" si="55"/>
        <v>MX-2015-ML1741031-42320</v>
      </c>
    </row>
    <row r="460" spans="1:26" ht="15.75">
      <c r="A460" s="16" t="s">
        <v>1082</v>
      </c>
      <c r="B460" s="4">
        <v>42283</v>
      </c>
      <c r="C460" s="4">
        <v>42289</v>
      </c>
      <c r="D460" s="5" t="s">
        <v>1083</v>
      </c>
      <c r="E460" s="5" t="s">
        <v>66</v>
      </c>
      <c r="F460" s="5" t="s">
        <v>90</v>
      </c>
      <c r="G460" s="5" t="s">
        <v>17</v>
      </c>
      <c r="H460" s="5" t="s">
        <v>44</v>
      </c>
      <c r="I460" s="6">
        <v>3391.74</v>
      </c>
      <c r="J460" s="5">
        <v>9</v>
      </c>
      <c r="K460" s="17">
        <v>0</v>
      </c>
      <c r="L460" s="6">
        <v>271.08</v>
      </c>
      <c r="M460" s="5" t="s">
        <v>19</v>
      </c>
      <c r="N460" s="7"/>
      <c r="O460" s="8" t="str">
        <f t="shared" si="49"/>
        <v>Quincy Jones</v>
      </c>
      <c r="P460" s="8" t="str">
        <f t="shared" si="50"/>
        <v>IN</v>
      </c>
      <c r="Q460" s="8" t="str">
        <f t="shared" si="51"/>
        <v>2015</v>
      </c>
      <c r="R460" s="8" t="str">
        <f t="shared" si="52"/>
        <v>MEDIUM</v>
      </c>
      <c r="S460" s="8" t="str">
        <f t="shared" si="53"/>
        <v>technology</v>
      </c>
      <c r="T460" s="18" t="str">
        <f t="shared" si="54"/>
        <v>42283</v>
      </c>
      <c r="U460" s="27" t="s">
        <v>3093</v>
      </c>
      <c r="V460" s="16" t="s">
        <v>2681</v>
      </c>
      <c r="W460" s="30">
        <v>2015</v>
      </c>
      <c r="X460" t="s">
        <v>3093</v>
      </c>
      <c r="Y460" s="28">
        <v>42283</v>
      </c>
      <c r="Z460" s="28" t="str">
        <f t="shared" si="55"/>
        <v>IN-2015-QJ1925527-42283</v>
      </c>
    </row>
    <row r="461" spans="1:26" ht="15.75">
      <c r="A461" s="19" t="s">
        <v>1086</v>
      </c>
      <c r="B461" s="9">
        <v>41506</v>
      </c>
      <c r="C461" s="9">
        <v>41508</v>
      </c>
      <c r="D461" s="10" t="s">
        <v>1087</v>
      </c>
      <c r="E461" s="10" t="s">
        <v>437</v>
      </c>
      <c r="F461" s="10" t="s">
        <v>438</v>
      </c>
      <c r="G461" s="10" t="s">
        <v>32</v>
      </c>
      <c r="H461" s="10" t="s">
        <v>33</v>
      </c>
      <c r="I461" s="11">
        <v>889.02</v>
      </c>
      <c r="J461" s="10">
        <v>6</v>
      </c>
      <c r="K461" s="20">
        <v>0</v>
      </c>
      <c r="L461" s="11">
        <v>320.04000000000002</v>
      </c>
      <c r="M461" s="10" t="s">
        <v>27</v>
      </c>
      <c r="N461" s="12"/>
      <c r="O461" s="13" t="str">
        <f t="shared" si="49"/>
        <v>Cathy Prescott</v>
      </c>
      <c r="P461" s="13" t="str">
        <f t="shared" si="50"/>
        <v>SF</v>
      </c>
      <c r="Q461" s="13" t="str">
        <f t="shared" si="51"/>
        <v>2013</v>
      </c>
      <c r="R461" s="13" t="str">
        <f t="shared" si="52"/>
        <v>CRITICAL</v>
      </c>
      <c r="S461" s="13" t="str">
        <f t="shared" si="53"/>
        <v>furniture</v>
      </c>
      <c r="T461" s="21" t="str">
        <f t="shared" si="54"/>
        <v>41506</v>
      </c>
      <c r="U461" s="27" t="s">
        <v>3094</v>
      </c>
      <c r="V461" s="19" t="s">
        <v>2731</v>
      </c>
      <c r="W461" s="30">
        <v>2013</v>
      </c>
      <c r="X461" t="s">
        <v>3094</v>
      </c>
      <c r="Y461" s="28">
        <v>41506</v>
      </c>
      <c r="Z461" s="28" t="str">
        <f t="shared" si="55"/>
        <v>SF-2013-CP2085117-41506</v>
      </c>
    </row>
    <row r="462" spans="1:26" ht="15.75">
      <c r="A462" s="16" t="s">
        <v>1092</v>
      </c>
      <c r="B462" s="4">
        <v>41992</v>
      </c>
      <c r="C462" s="4">
        <v>41994</v>
      </c>
      <c r="D462" s="5" t="s">
        <v>1093</v>
      </c>
      <c r="E462" s="5" t="s">
        <v>197</v>
      </c>
      <c r="F462" s="5" t="s">
        <v>77</v>
      </c>
      <c r="G462" s="5" t="s">
        <v>45</v>
      </c>
      <c r="H462" s="5" t="s">
        <v>33</v>
      </c>
      <c r="I462" s="6">
        <v>845.20799999999997</v>
      </c>
      <c r="J462" s="5">
        <v>7</v>
      </c>
      <c r="K462" s="17">
        <v>0.1</v>
      </c>
      <c r="L462" s="6">
        <v>-9.4920000000000098</v>
      </c>
      <c r="M462" s="5" t="s">
        <v>27</v>
      </c>
      <c r="N462" s="7"/>
      <c r="O462" s="8" t="str">
        <f t="shared" si="49"/>
        <v>Erica Hernandez</v>
      </c>
      <c r="P462" s="8" t="str">
        <f t="shared" si="50"/>
        <v>IT</v>
      </c>
      <c r="Q462" s="8" t="str">
        <f t="shared" si="51"/>
        <v>2014</v>
      </c>
      <c r="R462" s="8" t="str">
        <f t="shared" si="52"/>
        <v>CRITICAL</v>
      </c>
      <c r="S462" s="8" t="str">
        <f t="shared" si="53"/>
        <v>office supplies</v>
      </c>
      <c r="T462" s="18" t="str">
        <f t="shared" si="54"/>
        <v>41992</v>
      </c>
      <c r="U462" s="27" t="s">
        <v>3095</v>
      </c>
      <c r="V462" s="16" t="s">
        <v>2690</v>
      </c>
      <c r="W462" s="30">
        <v>2014</v>
      </c>
      <c r="X462" t="s">
        <v>3095</v>
      </c>
      <c r="Y462" s="28">
        <v>41992</v>
      </c>
      <c r="Z462" s="28" t="str">
        <f t="shared" si="55"/>
        <v>IT-2014-EH14005120-41992</v>
      </c>
    </row>
    <row r="463" spans="1:26" ht="15.75">
      <c r="A463" s="19" t="s">
        <v>1094</v>
      </c>
      <c r="B463" s="9">
        <v>41441</v>
      </c>
      <c r="C463" s="9">
        <v>41447</v>
      </c>
      <c r="D463" s="10" t="s">
        <v>1095</v>
      </c>
      <c r="E463" s="10" t="s">
        <v>114</v>
      </c>
      <c r="F463" s="10" t="s">
        <v>115</v>
      </c>
      <c r="G463" s="10" t="s">
        <v>45</v>
      </c>
      <c r="H463" s="10" t="s">
        <v>33</v>
      </c>
      <c r="I463" s="11">
        <v>2799.63</v>
      </c>
      <c r="J463" s="10">
        <v>9</v>
      </c>
      <c r="K463" s="20">
        <v>0</v>
      </c>
      <c r="L463" s="11">
        <v>391.77</v>
      </c>
      <c r="M463" s="10" t="s">
        <v>19</v>
      </c>
      <c r="N463" s="12"/>
      <c r="O463" s="13" t="str">
        <f t="shared" si="49"/>
        <v>Jocasta Rupert</v>
      </c>
      <c r="P463" s="13" t="str">
        <f t="shared" si="50"/>
        <v>IN</v>
      </c>
      <c r="Q463" s="13" t="str">
        <f t="shared" si="51"/>
        <v>2013</v>
      </c>
      <c r="R463" s="13" t="str">
        <f t="shared" si="52"/>
        <v>MEDIUM</v>
      </c>
      <c r="S463" s="13" t="str">
        <f t="shared" si="53"/>
        <v>office supplies</v>
      </c>
      <c r="T463" s="21" t="str">
        <f t="shared" si="54"/>
        <v>41441</v>
      </c>
      <c r="U463" s="27" t="s">
        <v>3096</v>
      </c>
      <c r="V463" s="19" t="s">
        <v>2681</v>
      </c>
      <c r="W463" s="30">
        <v>2013</v>
      </c>
      <c r="X463" t="s">
        <v>3096</v>
      </c>
      <c r="Y463" s="28">
        <v>41441</v>
      </c>
      <c r="Z463" s="28" t="str">
        <f t="shared" si="55"/>
        <v>IN-2013-JR1570058-41441</v>
      </c>
    </row>
    <row r="464" spans="1:26" ht="15.75">
      <c r="A464" s="16" t="s">
        <v>1097</v>
      </c>
      <c r="B464" s="4">
        <v>41871</v>
      </c>
      <c r="C464" s="4">
        <v>41871</v>
      </c>
      <c r="D464" s="5" t="s">
        <v>1098</v>
      </c>
      <c r="E464" s="5" t="s">
        <v>1099</v>
      </c>
      <c r="F464" s="5" t="s">
        <v>142</v>
      </c>
      <c r="G464" s="5" t="s">
        <v>45</v>
      </c>
      <c r="H464" s="5" t="s">
        <v>299</v>
      </c>
      <c r="I464" s="6">
        <v>1549.12859999999</v>
      </c>
      <c r="J464" s="5">
        <v>6</v>
      </c>
      <c r="K464" s="17">
        <v>0.17</v>
      </c>
      <c r="L464" s="6">
        <v>-56.111400000000003</v>
      </c>
      <c r="M464" s="5" t="s">
        <v>27</v>
      </c>
      <c r="N464" s="7"/>
      <c r="O464" s="8" t="str">
        <f t="shared" si="49"/>
        <v>Paul Lucas</v>
      </c>
      <c r="P464" s="8" t="str">
        <f t="shared" si="50"/>
        <v>IN</v>
      </c>
      <c r="Q464" s="8" t="str">
        <f t="shared" si="51"/>
        <v>2014</v>
      </c>
      <c r="R464" s="8" t="str">
        <f t="shared" si="52"/>
        <v>CRITICAL</v>
      </c>
      <c r="S464" s="8" t="str">
        <f t="shared" si="53"/>
        <v>office supplies</v>
      </c>
      <c r="T464" s="18" t="str">
        <f t="shared" si="54"/>
        <v>41871</v>
      </c>
      <c r="U464" s="27" t="s">
        <v>3097</v>
      </c>
      <c r="V464" s="16" t="s">
        <v>2681</v>
      </c>
      <c r="W464" s="30">
        <v>2014</v>
      </c>
      <c r="X464" t="s">
        <v>3097</v>
      </c>
      <c r="Y464" s="28">
        <v>41871</v>
      </c>
      <c r="Z464" s="28" t="str">
        <f t="shared" si="55"/>
        <v>IN-2014-PL1892588-41871</v>
      </c>
    </row>
    <row r="465" spans="1:26" ht="15.75">
      <c r="A465" s="19" t="s">
        <v>1108</v>
      </c>
      <c r="B465" s="9">
        <v>41991</v>
      </c>
      <c r="C465" s="9">
        <v>41995</v>
      </c>
      <c r="D465" s="10" t="s">
        <v>1109</v>
      </c>
      <c r="E465" s="10" t="s">
        <v>70</v>
      </c>
      <c r="F465" s="10" t="s">
        <v>71</v>
      </c>
      <c r="G465" s="10" t="s">
        <v>17</v>
      </c>
      <c r="H465" s="10" t="s">
        <v>18</v>
      </c>
      <c r="I465" s="11">
        <v>1654.64399999999</v>
      </c>
      <c r="J465" s="10">
        <v>8</v>
      </c>
      <c r="K465" s="20">
        <v>0.15</v>
      </c>
      <c r="L465" s="11">
        <v>681.20399999999995</v>
      </c>
      <c r="M465" s="10" t="s">
        <v>37</v>
      </c>
      <c r="N465" s="12"/>
      <c r="O465" s="13" t="str">
        <f t="shared" si="49"/>
        <v>Sanjit Chand</v>
      </c>
      <c r="P465" s="13" t="str">
        <f t="shared" si="50"/>
        <v>ES</v>
      </c>
      <c r="Q465" s="13" t="str">
        <f t="shared" si="51"/>
        <v>2014</v>
      </c>
      <c r="R465" s="13" t="str">
        <f t="shared" si="52"/>
        <v>HIGH</v>
      </c>
      <c r="S465" s="13" t="str">
        <f t="shared" si="53"/>
        <v>technology</v>
      </c>
      <c r="T465" s="21" t="str">
        <f t="shared" si="54"/>
        <v>41991</v>
      </c>
      <c r="U465" s="27" t="s">
        <v>3098</v>
      </c>
      <c r="V465" s="19" t="s">
        <v>2710</v>
      </c>
      <c r="W465" s="30">
        <v>2014</v>
      </c>
      <c r="X465" t="s">
        <v>3098</v>
      </c>
      <c r="Y465" s="28">
        <v>41991</v>
      </c>
      <c r="Z465" s="28" t="str">
        <f t="shared" si="55"/>
        <v>ES-2014-SC2009545-41991</v>
      </c>
    </row>
    <row r="466" spans="1:26" ht="15.75">
      <c r="A466" s="16" t="s">
        <v>1000</v>
      </c>
      <c r="B466" s="4">
        <v>41678</v>
      </c>
      <c r="C466" s="5" t="s">
        <v>1112</v>
      </c>
      <c r="D466" s="5" t="s">
        <v>178</v>
      </c>
      <c r="E466" s="5" t="s">
        <v>232</v>
      </c>
      <c r="F466" s="5" t="s">
        <v>233</v>
      </c>
      <c r="G466" s="5" t="s">
        <v>17</v>
      </c>
      <c r="H466" s="5" t="s">
        <v>46</v>
      </c>
      <c r="I466" s="6">
        <v>1457.28</v>
      </c>
      <c r="J466" s="5">
        <v>8</v>
      </c>
      <c r="K466" s="17">
        <v>0</v>
      </c>
      <c r="L466" s="6">
        <v>3572.9804248258702</v>
      </c>
      <c r="M466" s="5" t="s">
        <v>27</v>
      </c>
      <c r="N466" s="7"/>
      <c r="O466" s="8" t="str">
        <f t="shared" si="49"/>
        <v>Guy Phonely</v>
      </c>
      <c r="P466" s="8" t="str">
        <f t="shared" si="50"/>
        <v>MO</v>
      </c>
      <c r="Q466" s="8" t="str">
        <f t="shared" si="51"/>
        <v>2014</v>
      </c>
      <c r="R466" s="8" t="str">
        <f t="shared" si="52"/>
        <v>CRITICAL</v>
      </c>
      <c r="S466" s="8" t="str">
        <f t="shared" si="53"/>
        <v>technology</v>
      </c>
      <c r="T466" s="18" t="str">
        <f t="shared" si="54"/>
        <v>41678</v>
      </c>
      <c r="U466" s="27" t="s">
        <v>3099</v>
      </c>
      <c r="V466" s="16" t="s">
        <v>2698</v>
      </c>
      <c r="W466" s="30">
        <v>2014</v>
      </c>
      <c r="X466" t="s">
        <v>3099</v>
      </c>
      <c r="Y466" s="28">
        <v>41678</v>
      </c>
      <c r="Z466" s="28" t="str">
        <f t="shared" si="55"/>
        <v>MO-2014-GP474086-41678</v>
      </c>
    </row>
    <row r="467" spans="1:26" ht="15.75">
      <c r="A467" s="19" t="s">
        <v>1120</v>
      </c>
      <c r="B467" s="9">
        <v>41506</v>
      </c>
      <c r="C467" s="9">
        <v>41510</v>
      </c>
      <c r="D467" s="10" t="s">
        <v>1121</v>
      </c>
      <c r="E467" s="10" t="s">
        <v>1122</v>
      </c>
      <c r="F467" s="10" t="s">
        <v>90</v>
      </c>
      <c r="G467" s="10" t="s">
        <v>17</v>
      </c>
      <c r="H467" s="10" t="s">
        <v>44</v>
      </c>
      <c r="I467" s="11">
        <v>5737.5</v>
      </c>
      <c r="J467" s="10">
        <v>9</v>
      </c>
      <c r="K467" s="20">
        <v>0</v>
      </c>
      <c r="L467" s="11">
        <v>630.99</v>
      </c>
      <c r="M467" s="10" t="s">
        <v>19</v>
      </c>
      <c r="N467" s="12"/>
      <c r="O467" s="13" t="str">
        <f t="shared" si="49"/>
        <v>Charles Mccrossin</v>
      </c>
      <c r="P467" s="13" t="str">
        <f t="shared" si="50"/>
        <v>IN</v>
      </c>
      <c r="Q467" s="13" t="str">
        <f t="shared" si="51"/>
        <v>2013</v>
      </c>
      <c r="R467" s="13" t="str">
        <f t="shared" si="52"/>
        <v>MEDIUM</v>
      </c>
      <c r="S467" s="13" t="str">
        <f t="shared" si="53"/>
        <v>technology</v>
      </c>
      <c r="T467" s="21" t="str">
        <f t="shared" si="54"/>
        <v>41506</v>
      </c>
      <c r="U467" s="27" t="s">
        <v>3100</v>
      </c>
      <c r="V467" s="19" t="s">
        <v>2681</v>
      </c>
      <c r="W467" s="30">
        <v>2013</v>
      </c>
      <c r="X467" t="s">
        <v>3100</v>
      </c>
      <c r="Y467" s="28">
        <v>41506</v>
      </c>
      <c r="Z467" s="28" t="str">
        <f t="shared" si="55"/>
        <v>IN-2013-CM1216027-41506</v>
      </c>
    </row>
    <row r="468" spans="1:26" ht="15.75">
      <c r="A468" s="16" t="s">
        <v>1123</v>
      </c>
      <c r="B468" s="4">
        <v>41418</v>
      </c>
      <c r="C468" s="4">
        <v>41422</v>
      </c>
      <c r="D468" s="5" t="s">
        <v>1124</v>
      </c>
      <c r="E468" s="5" t="s">
        <v>15</v>
      </c>
      <c r="F468" s="5" t="s">
        <v>16</v>
      </c>
      <c r="G468" s="5" t="s">
        <v>17</v>
      </c>
      <c r="H468" s="5" t="s">
        <v>73</v>
      </c>
      <c r="I468" s="6">
        <v>1641.087</v>
      </c>
      <c r="J468" s="5">
        <v>7</v>
      </c>
      <c r="K468" s="17">
        <v>0.1</v>
      </c>
      <c r="L468" s="6">
        <v>473.90699999999998</v>
      </c>
      <c r="M468" s="5" t="s">
        <v>37</v>
      </c>
      <c r="N468" s="7"/>
      <c r="O468" s="8" t="str">
        <f t="shared" si="49"/>
        <v xml:space="preserve"> Daniel Lacy </v>
      </c>
      <c r="P468" s="8" t="str">
        <f t="shared" si="50"/>
        <v>IN</v>
      </c>
      <c r="Q468" s="8" t="str">
        <f t="shared" si="51"/>
        <v>2013</v>
      </c>
      <c r="R468" s="8" t="str">
        <f t="shared" si="52"/>
        <v>HIGH</v>
      </c>
      <c r="S468" s="8" t="str">
        <f t="shared" si="53"/>
        <v>technology</v>
      </c>
      <c r="T468" s="18" t="str">
        <f t="shared" si="54"/>
        <v>41418</v>
      </c>
      <c r="U468" s="27" t="s">
        <v>3101</v>
      </c>
      <c r="V468" s="16" t="s">
        <v>2681</v>
      </c>
      <c r="W468" s="30">
        <v>2013</v>
      </c>
      <c r="X468" t="s">
        <v>3101</v>
      </c>
      <c r="Y468" s="28">
        <v>41418</v>
      </c>
      <c r="Z468" s="28" t="str">
        <f t="shared" si="55"/>
        <v>IN-2013-DL129257-41418</v>
      </c>
    </row>
    <row r="469" spans="1:26" ht="15.75">
      <c r="A469" s="19" t="s">
        <v>1134</v>
      </c>
      <c r="B469" s="10" t="s">
        <v>1135</v>
      </c>
      <c r="C469" s="9">
        <v>41775</v>
      </c>
      <c r="D469" s="10" t="s">
        <v>1136</v>
      </c>
      <c r="E469" s="10" t="s">
        <v>70</v>
      </c>
      <c r="F469" s="10" t="s">
        <v>71</v>
      </c>
      <c r="G469" s="10" t="s">
        <v>17</v>
      </c>
      <c r="H469" s="10" t="s">
        <v>23</v>
      </c>
      <c r="I469" s="11">
        <v>2910.1875</v>
      </c>
      <c r="J469" s="10">
        <v>11</v>
      </c>
      <c r="K469" s="20">
        <v>0.15</v>
      </c>
      <c r="L469" s="11">
        <v>-68.722500000000096</v>
      </c>
      <c r="M469" s="10" t="s">
        <v>37</v>
      </c>
      <c r="N469" s="12"/>
      <c r="O469" s="13" t="str">
        <f t="shared" si="49"/>
        <v>Cari Macintyre</v>
      </c>
      <c r="P469" s="13" t="str">
        <f t="shared" si="50"/>
        <v>ES</v>
      </c>
      <c r="Q469" s="13" t="str">
        <f t="shared" si="51"/>
        <v>2014</v>
      </c>
      <c r="R469" s="13" t="str">
        <f t="shared" si="52"/>
        <v>HIGH</v>
      </c>
      <c r="S469" s="13" t="str">
        <f t="shared" si="53"/>
        <v>technology</v>
      </c>
      <c r="T469" s="21" t="str">
        <f t="shared" si="54"/>
        <v>41773</v>
      </c>
      <c r="U469" s="27" t="s">
        <v>3102</v>
      </c>
      <c r="V469" s="19" t="s">
        <v>2710</v>
      </c>
      <c r="W469" s="30">
        <v>2014</v>
      </c>
      <c r="X469" t="s">
        <v>3102</v>
      </c>
      <c r="Y469" s="28">
        <v>41773</v>
      </c>
      <c r="Z469" s="28" t="str">
        <f t="shared" si="55"/>
        <v>ES-2014-CM1183045-41773</v>
      </c>
    </row>
    <row r="470" spans="1:26" ht="15.75">
      <c r="A470" s="16" t="s">
        <v>1141</v>
      </c>
      <c r="B470" s="4">
        <v>41763</v>
      </c>
      <c r="C470" s="4">
        <v>41767</v>
      </c>
      <c r="D470" s="5" t="s">
        <v>1142</v>
      </c>
      <c r="E470" s="5" t="s">
        <v>97</v>
      </c>
      <c r="F470" s="5" t="s">
        <v>98</v>
      </c>
      <c r="G470" s="5" t="s">
        <v>32</v>
      </c>
      <c r="H470" s="5" t="s">
        <v>26</v>
      </c>
      <c r="I470" s="6">
        <v>1731.0719999999901</v>
      </c>
      <c r="J470" s="5">
        <v>7</v>
      </c>
      <c r="K470" s="17">
        <v>0.2</v>
      </c>
      <c r="L470" s="6">
        <v>-238.027999999999</v>
      </c>
      <c r="M470" s="5" t="s">
        <v>37</v>
      </c>
      <c r="N470" s="7"/>
      <c r="O470" s="8" t="str">
        <f t="shared" si="49"/>
        <v>Cindy Schnelling</v>
      </c>
      <c r="P470" s="8" t="str">
        <f t="shared" si="50"/>
        <v>MX</v>
      </c>
      <c r="Q470" s="8" t="str">
        <f t="shared" si="51"/>
        <v>2014</v>
      </c>
      <c r="R470" s="8" t="str">
        <f t="shared" si="52"/>
        <v>HIGH</v>
      </c>
      <c r="S470" s="8" t="str">
        <f t="shared" si="53"/>
        <v>furniture</v>
      </c>
      <c r="T470" s="18" t="str">
        <f t="shared" si="54"/>
        <v>41763</v>
      </c>
      <c r="U470" s="27" t="s">
        <v>3103</v>
      </c>
      <c r="V470" s="16" t="s">
        <v>2695</v>
      </c>
      <c r="W470" s="30">
        <v>2014</v>
      </c>
      <c r="X470" t="s">
        <v>3103</v>
      </c>
      <c r="Y470" s="28">
        <v>41763</v>
      </c>
      <c r="Z470" s="28" t="str">
        <f t="shared" si="55"/>
        <v>MX-2014-CS1249082-41763</v>
      </c>
    </row>
    <row r="471" spans="1:26" ht="15.75">
      <c r="A471" s="19" t="s">
        <v>1145</v>
      </c>
      <c r="B471" s="9">
        <v>42340</v>
      </c>
      <c r="C471" s="9">
        <v>42344</v>
      </c>
      <c r="D471" s="10" t="s">
        <v>1146</v>
      </c>
      <c r="E471" s="10" t="s">
        <v>119</v>
      </c>
      <c r="F471" s="10" t="s">
        <v>120</v>
      </c>
      <c r="G471" s="10" t="s">
        <v>17</v>
      </c>
      <c r="H471" s="10" t="s">
        <v>26</v>
      </c>
      <c r="I471" s="11">
        <v>1914.0799999999899</v>
      </c>
      <c r="J471" s="10">
        <v>14</v>
      </c>
      <c r="K471" s="20">
        <v>0.2</v>
      </c>
      <c r="L471" s="11">
        <v>669.76</v>
      </c>
      <c r="M471" s="10" t="s">
        <v>19</v>
      </c>
      <c r="N471" s="12"/>
      <c r="O471" s="13" t="str">
        <f t="shared" si="49"/>
        <v>Matthew Clasen</v>
      </c>
      <c r="P471" s="13" t="str">
        <f t="shared" si="50"/>
        <v>MX</v>
      </c>
      <c r="Q471" s="13" t="str">
        <f t="shared" si="51"/>
        <v>2015</v>
      </c>
      <c r="R471" s="13" t="str">
        <f t="shared" si="52"/>
        <v>MEDIUM</v>
      </c>
      <c r="S471" s="13" t="str">
        <f t="shared" si="53"/>
        <v>technology</v>
      </c>
      <c r="T471" s="21" t="str">
        <f t="shared" si="54"/>
        <v>42340</v>
      </c>
      <c r="U471" s="27" t="s">
        <v>3104</v>
      </c>
      <c r="V471" s="19" t="s">
        <v>2695</v>
      </c>
      <c r="W471" s="30">
        <v>2015</v>
      </c>
      <c r="X471" t="s">
        <v>3104</v>
      </c>
      <c r="Y471" s="28">
        <v>42340</v>
      </c>
      <c r="Z471" s="28" t="str">
        <f t="shared" si="55"/>
        <v>MX-2015-MC1763536-42340</v>
      </c>
    </row>
    <row r="472" spans="1:26" ht="15.75">
      <c r="A472" s="16" t="s">
        <v>1147</v>
      </c>
      <c r="B472" s="4">
        <v>42012</v>
      </c>
      <c r="C472" s="4">
        <v>42017</v>
      </c>
      <c r="D472" s="5" t="s">
        <v>1042</v>
      </c>
      <c r="E472" s="5" t="s">
        <v>60</v>
      </c>
      <c r="F472" s="5" t="s">
        <v>61</v>
      </c>
      <c r="G472" s="5" t="s">
        <v>17</v>
      </c>
      <c r="H472" s="5" t="s">
        <v>23</v>
      </c>
      <c r="I472" s="6">
        <v>3393.12</v>
      </c>
      <c r="J472" s="5">
        <v>8</v>
      </c>
      <c r="K472" s="17">
        <v>0</v>
      </c>
      <c r="L472" s="6">
        <v>101.76</v>
      </c>
      <c r="M472" s="5" t="s">
        <v>19</v>
      </c>
      <c r="N472" s="7"/>
      <c r="O472" s="8" t="str">
        <f t="shared" si="49"/>
        <v>Valerie Takahito</v>
      </c>
      <c r="P472" s="8" t="str">
        <f t="shared" si="50"/>
        <v>MX</v>
      </c>
      <c r="Q472" s="8" t="str">
        <f t="shared" si="51"/>
        <v>2015</v>
      </c>
      <c r="R472" s="8" t="str">
        <f t="shared" si="52"/>
        <v>MEDIUM</v>
      </c>
      <c r="S472" s="8" t="str">
        <f t="shared" si="53"/>
        <v>technology</v>
      </c>
      <c r="T472" s="18" t="str">
        <f t="shared" si="54"/>
        <v>42012</v>
      </c>
      <c r="U472" s="27" t="s">
        <v>3105</v>
      </c>
      <c r="V472" s="16" t="s">
        <v>2695</v>
      </c>
      <c r="W472" s="30">
        <v>2015</v>
      </c>
      <c r="X472" t="s">
        <v>3105</v>
      </c>
      <c r="Y472" s="28">
        <v>42012</v>
      </c>
      <c r="Z472" s="28" t="str">
        <f t="shared" si="55"/>
        <v>MX-2015-VT2170018-42012</v>
      </c>
    </row>
    <row r="473" spans="1:26" ht="15.75">
      <c r="A473" s="19" t="s">
        <v>1148</v>
      </c>
      <c r="B473" s="9">
        <v>41821</v>
      </c>
      <c r="C473" s="9">
        <v>41824</v>
      </c>
      <c r="D473" s="10" t="s">
        <v>1049</v>
      </c>
      <c r="E473" s="10" t="s">
        <v>40</v>
      </c>
      <c r="F473" s="10" t="s">
        <v>41</v>
      </c>
      <c r="G473" s="10" t="s">
        <v>17</v>
      </c>
      <c r="H473" s="10" t="s">
        <v>18</v>
      </c>
      <c r="I473" s="11">
        <v>50.12</v>
      </c>
      <c r="J473" s="10">
        <v>7</v>
      </c>
      <c r="K473" s="20">
        <v>0.2</v>
      </c>
      <c r="L473" s="11">
        <v>-0.62650000000000705</v>
      </c>
      <c r="M473" s="10" t="s">
        <v>19</v>
      </c>
      <c r="N473" s="12"/>
      <c r="O473" s="13" t="str">
        <f t="shared" si="49"/>
        <v>Adrian Hane</v>
      </c>
      <c r="P473" s="13" t="str">
        <f t="shared" si="50"/>
        <v>CA</v>
      </c>
      <c r="Q473" s="13" t="str">
        <f t="shared" si="51"/>
        <v>2014</v>
      </c>
      <c r="R473" s="13" t="str">
        <f t="shared" si="52"/>
        <v>MEDIUM</v>
      </c>
      <c r="S473" s="13" t="str">
        <f t="shared" si="53"/>
        <v>technology</v>
      </c>
      <c r="T473" s="21" t="str">
        <f t="shared" si="54"/>
        <v>41821</v>
      </c>
      <c r="U473" s="27" t="s">
        <v>2818</v>
      </c>
      <c r="V473" s="19" t="s">
        <v>2683</v>
      </c>
      <c r="W473" s="30">
        <v>2014</v>
      </c>
      <c r="X473" t="s">
        <v>2818</v>
      </c>
      <c r="Y473" s="28">
        <v>41821</v>
      </c>
      <c r="Z473" s="28" t="str">
        <f t="shared" si="55"/>
        <v>CA-2014-AH10120140-41821</v>
      </c>
    </row>
    <row r="474" spans="1:26" ht="15.75">
      <c r="A474" s="16" t="s">
        <v>1149</v>
      </c>
      <c r="B474" s="4">
        <v>40979</v>
      </c>
      <c r="C474" s="4">
        <v>40984</v>
      </c>
      <c r="D474" s="5" t="s">
        <v>838</v>
      </c>
      <c r="E474" s="5" t="s">
        <v>66</v>
      </c>
      <c r="F474" s="5" t="s">
        <v>90</v>
      </c>
      <c r="G474" s="5" t="s">
        <v>32</v>
      </c>
      <c r="H474" s="5" t="s">
        <v>23</v>
      </c>
      <c r="I474" s="6">
        <v>3272.0099999999902</v>
      </c>
      <c r="J474" s="5">
        <v>7</v>
      </c>
      <c r="K474" s="17">
        <v>0</v>
      </c>
      <c r="L474" s="6">
        <v>1537.83</v>
      </c>
      <c r="M474" s="5" t="s">
        <v>19</v>
      </c>
      <c r="N474" s="7"/>
      <c r="O474" s="8" t="str">
        <f t="shared" si="49"/>
        <v>Carlos Daly</v>
      </c>
      <c r="P474" s="8" t="str">
        <f t="shared" si="50"/>
        <v>IN</v>
      </c>
      <c r="Q474" s="8" t="str">
        <f t="shared" si="51"/>
        <v>2012</v>
      </c>
      <c r="R474" s="8" t="str">
        <f t="shared" si="52"/>
        <v>MEDIUM</v>
      </c>
      <c r="S474" s="8" t="str">
        <f t="shared" si="53"/>
        <v>furniture</v>
      </c>
      <c r="T474" s="18" t="str">
        <f t="shared" si="54"/>
        <v>40979</v>
      </c>
      <c r="U474" s="27" t="s">
        <v>3106</v>
      </c>
      <c r="V474" s="16" t="s">
        <v>2681</v>
      </c>
      <c r="W474" s="30">
        <v>2012</v>
      </c>
      <c r="X474" t="s">
        <v>3106</v>
      </c>
      <c r="Y474" s="28">
        <v>40979</v>
      </c>
      <c r="Z474" s="28" t="str">
        <f t="shared" si="55"/>
        <v>IN-2012-CD1192027-40979</v>
      </c>
    </row>
    <row r="475" spans="1:26" ht="15.75">
      <c r="A475" s="19" t="s">
        <v>1150</v>
      </c>
      <c r="B475" s="9">
        <v>41654</v>
      </c>
      <c r="C475" s="9">
        <v>41660</v>
      </c>
      <c r="D475" s="10" t="s">
        <v>1151</v>
      </c>
      <c r="E475" s="10" t="s">
        <v>250</v>
      </c>
      <c r="F475" s="10" t="s">
        <v>142</v>
      </c>
      <c r="G475" s="10" t="s">
        <v>45</v>
      </c>
      <c r="H475" s="10" t="s">
        <v>33</v>
      </c>
      <c r="I475" s="11">
        <v>3386.8589999999999</v>
      </c>
      <c r="J475" s="10">
        <v>7</v>
      </c>
      <c r="K475" s="20">
        <v>0.15</v>
      </c>
      <c r="L475" s="11">
        <v>-597.68100000000004</v>
      </c>
      <c r="M475" s="10" t="s">
        <v>74</v>
      </c>
      <c r="N475" s="12"/>
      <c r="O475" s="13" t="str">
        <f t="shared" si="49"/>
        <v xml:space="preserve"> Tom Ashbrook </v>
      </c>
      <c r="P475" s="13" t="str">
        <f t="shared" si="50"/>
        <v>ID</v>
      </c>
      <c r="Q475" s="13" t="str">
        <f t="shared" si="51"/>
        <v>2014</v>
      </c>
      <c r="R475" s="13" t="str">
        <f t="shared" si="52"/>
        <v>LOW</v>
      </c>
      <c r="S475" s="13" t="str">
        <f t="shared" si="53"/>
        <v>office supplies</v>
      </c>
      <c r="T475" s="21" t="str">
        <f t="shared" si="54"/>
        <v>41654</v>
      </c>
      <c r="U475" s="27" t="s">
        <v>3107</v>
      </c>
      <c r="V475" s="19" t="s">
        <v>2705</v>
      </c>
      <c r="W475" s="30">
        <v>2014</v>
      </c>
      <c r="X475" t="s">
        <v>3107</v>
      </c>
      <c r="Y475" s="28">
        <v>41654</v>
      </c>
      <c r="Z475" s="28" t="str">
        <f t="shared" si="55"/>
        <v>ID-2014-TA21385102-41654</v>
      </c>
    </row>
    <row r="476" spans="1:26" ht="15.75">
      <c r="A476" s="16" t="s">
        <v>1152</v>
      </c>
      <c r="B476" s="4">
        <v>41231</v>
      </c>
      <c r="C476" s="4">
        <v>41233</v>
      </c>
      <c r="D476" s="5" t="s">
        <v>837</v>
      </c>
      <c r="E476" s="5" t="s">
        <v>1153</v>
      </c>
      <c r="F476" s="5" t="s">
        <v>77</v>
      </c>
      <c r="G476" s="5" t="s">
        <v>17</v>
      </c>
      <c r="H476" s="5" t="s">
        <v>73</v>
      </c>
      <c r="I476" s="6">
        <v>728.53200000000004</v>
      </c>
      <c r="J476" s="5">
        <v>7</v>
      </c>
      <c r="K476" s="17">
        <v>0.4</v>
      </c>
      <c r="L476" s="6">
        <v>-133.72799999999901</v>
      </c>
      <c r="M476" s="5" t="s">
        <v>27</v>
      </c>
      <c r="N476" s="7"/>
      <c r="O476" s="8" t="str">
        <f t="shared" si="49"/>
        <v>Denny Joy</v>
      </c>
      <c r="P476" s="8" t="str">
        <f t="shared" si="50"/>
        <v>ES</v>
      </c>
      <c r="Q476" s="8" t="str">
        <f t="shared" si="51"/>
        <v>2012</v>
      </c>
      <c r="R476" s="8" t="str">
        <f t="shared" si="52"/>
        <v>CRITICAL</v>
      </c>
      <c r="S476" s="8" t="str">
        <f t="shared" si="53"/>
        <v>technology</v>
      </c>
      <c r="T476" s="18" t="str">
        <f t="shared" si="54"/>
        <v>41231</v>
      </c>
      <c r="U476" s="27" t="s">
        <v>3108</v>
      </c>
      <c r="V476" s="16" t="s">
        <v>2710</v>
      </c>
      <c r="W476" s="30">
        <v>2012</v>
      </c>
      <c r="X476" t="s">
        <v>3108</v>
      </c>
      <c r="Y476" s="28">
        <v>41231</v>
      </c>
      <c r="Z476" s="28" t="str">
        <f t="shared" si="55"/>
        <v>ES-2012-DJ88887148-41231</v>
      </c>
    </row>
    <row r="477" spans="1:26" ht="15.75">
      <c r="A477" s="19" t="s">
        <v>1157</v>
      </c>
      <c r="B477" s="10" t="s">
        <v>1158</v>
      </c>
      <c r="C477" s="9">
        <v>41445</v>
      </c>
      <c r="D477" s="10" t="s">
        <v>1159</v>
      </c>
      <c r="E477" s="10" t="s">
        <v>76</v>
      </c>
      <c r="F477" s="10" t="s">
        <v>77</v>
      </c>
      <c r="G477" s="10" t="s">
        <v>32</v>
      </c>
      <c r="H477" s="10" t="s">
        <v>73</v>
      </c>
      <c r="I477" s="11">
        <v>2546.46</v>
      </c>
      <c r="J477" s="10">
        <v>7</v>
      </c>
      <c r="K477" s="20">
        <v>0</v>
      </c>
      <c r="L477" s="11">
        <v>381.78</v>
      </c>
      <c r="M477" s="10" t="s">
        <v>37</v>
      </c>
      <c r="N477" s="12"/>
      <c r="O477" s="13" t="str">
        <f t="shared" si="49"/>
        <v>Andrew Roberts</v>
      </c>
      <c r="P477" s="13" t="str">
        <f t="shared" si="50"/>
        <v>ES</v>
      </c>
      <c r="Q477" s="13" t="str">
        <f t="shared" si="51"/>
        <v>2013</v>
      </c>
      <c r="R477" s="13" t="str">
        <f t="shared" si="52"/>
        <v>HIGH</v>
      </c>
      <c r="S477" s="13" t="str">
        <f t="shared" si="53"/>
        <v>furniture</v>
      </c>
      <c r="T477" s="21" t="str">
        <f t="shared" si="54"/>
        <v>41441</v>
      </c>
      <c r="U477" s="27" t="s">
        <v>3109</v>
      </c>
      <c r="V477" s="19" t="s">
        <v>2710</v>
      </c>
      <c r="W477" s="30">
        <v>2013</v>
      </c>
      <c r="X477" t="s">
        <v>3109</v>
      </c>
      <c r="Y477" s="28">
        <v>41441</v>
      </c>
      <c r="Z477" s="28" t="str">
        <f t="shared" si="55"/>
        <v>ES-2013-AR1051064-41441</v>
      </c>
    </row>
    <row r="478" spans="1:26" ht="15.75">
      <c r="A478" s="16" t="s">
        <v>1160</v>
      </c>
      <c r="B478" s="4">
        <v>41831</v>
      </c>
      <c r="C478" s="4">
        <v>41835</v>
      </c>
      <c r="D478" s="5" t="s">
        <v>1161</v>
      </c>
      <c r="E478" s="5" t="s">
        <v>554</v>
      </c>
      <c r="F478" s="5" t="s">
        <v>90</v>
      </c>
      <c r="G478" s="5" t="s">
        <v>32</v>
      </c>
      <c r="H478" s="5" t="s">
        <v>26</v>
      </c>
      <c r="I478" s="6">
        <v>2888.76</v>
      </c>
      <c r="J478" s="5">
        <v>7</v>
      </c>
      <c r="K478" s="17">
        <v>0</v>
      </c>
      <c r="L478" s="6">
        <v>173.25</v>
      </c>
      <c r="M478" s="5" t="s">
        <v>19</v>
      </c>
      <c r="N478" s="7"/>
      <c r="O478" s="8" t="str">
        <f t="shared" si="49"/>
        <v>Jonathan Howell</v>
      </c>
      <c r="P478" s="8" t="str">
        <f t="shared" si="50"/>
        <v>IN</v>
      </c>
      <c r="Q478" s="8" t="str">
        <f t="shared" si="51"/>
        <v>2014</v>
      </c>
      <c r="R478" s="8" t="str">
        <f t="shared" si="52"/>
        <v>MEDIUM</v>
      </c>
      <c r="S478" s="8" t="str">
        <f t="shared" si="53"/>
        <v>furniture</v>
      </c>
      <c r="T478" s="18" t="str">
        <f t="shared" si="54"/>
        <v>41831</v>
      </c>
      <c r="U478" s="27" t="s">
        <v>3110</v>
      </c>
      <c r="V478" s="16" t="s">
        <v>2681</v>
      </c>
      <c r="W478" s="30">
        <v>2014</v>
      </c>
      <c r="X478" t="s">
        <v>3110</v>
      </c>
      <c r="Y478" s="28">
        <v>41831</v>
      </c>
      <c r="Z478" s="28" t="str">
        <f t="shared" si="55"/>
        <v>IN-2014-JH1591066-41831</v>
      </c>
    </row>
    <row r="479" spans="1:26" ht="15.75">
      <c r="A479" s="19" t="s">
        <v>1163</v>
      </c>
      <c r="B479" s="9">
        <v>42221</v>
      </c>
      <c r="C479" s="9">
        <v>42225</v>
      </c>
      <c r="D479" s="10" t="s">
        <v>1164</v>
      </c>
      <c r="E479" s="10" t="s">
        <v>93</v>
      </c>
      <c r="F479" s="10" t="s">
        <v>94</v>
      </c>
      <c r="G479" s="10" t="s">
        <v>17</v>
      </c>
      <c r="H479" s="10" t="s">
        <v>151</v>
      </c>
      <c r="I479" s="11">
        <v>1237.44</v>
      </c>
      <c r="J479" s="10">
        <v>8</v>
      </c>
      <c r="K479" s="20">
        <v>0</v>
      </c>
      <c r="L479" s="11">
        <v>74.16</v>
      </c>
      <c r="M479" s="10" t="s">
        <v>37</v>
      </c>
      <c r="N479" s="12"/>
      <c r="O479" s="13" t="str">
        <f t="shared" si="49"/>
        <v>Chris Mcafee</v>
      </c>
      <c r="P479" s="13" t="str">
        <f t="shared" si="50"/>
        <v>ES</v>
      </c>
      <c r="Q479" s="13" t="str">
        <f t="shared" si="51"/>
        <v>2015</v>
      </c>
      <c r="R479" s="13" t="str">
        <f t="shared" si="52"/>
        <v>HIGH</v>
      </c>
      <c r="S479" s="13" t="str">
        <f t="shared" si="53"/>
        <v>technology</v>
      </c>
      <c r="T479" s="21" t="str">
        <f t="shared" si="54"/>
        <v>42221</v>
      </c>
      <c r="U479" s="27" t="s">
        <v>3111</v>
      </c>
      <c r="V479" s="19" t="s">
        <v>2710</v>
      </c>
      <c r="W479" s="30">
        <v>2015</v>
      </c>
      <c r="X479" t="s">
        <v>3111</v>
      </c>
      <c r="Y479" s="28">
        <v>42221</v>
      </c>
      <c r="Z479" s="28" t="str">
        <f t="shared" si="55"/>
        <v>ES-2015-CM12235139-42221</v>
      </c>
    </row>
    <row r="480" spans="1:26" ht="15.75">
      <c r="A480" s="16" t="s">
        <v>285</v>
      </c>
      <c r="B480" s="4">
        <v>41634</v>
      </c>
      <c r="C480" s="4">
        <v>41636</v>
      </c>
      <c r="D480" s="5" t="s">
        <v>287</v>
      </c>
      <c r="E480" s="5" t="s">
        <v>197</v>
      </c>
      <c r="F480" s="5" t="s">
        <v>77</v>
      </c>
      <c r="G480" s="5" t="s">
        <v>45</v>
      </c>
      <c r="H480" s="5" t="s">
        <v>26</v>
      </c>
      <c r="I480" s="6">
        <v>600.6</v>
      </c>
      <c r="J480" s="5">
        <v>13</v>
      </c>
      <c r="K480" s="17">
        <v>0</v>
      </c>
      <c r="L480" s="6">
        <v>131.82</v>
      </c>
      <c r="M480" s="5" t="s">
        <v>27</v>
      </c>
      <c r="N480" s="7"/>
      <c r="O480" s="8" t="str">
        <f t="shared" si="49"/>
        <v>Neoma Murray</v>
      </c>
      <c r="P480" s="8" t="str">
        <f t="shared" si="50"/>
        <v>ES</v>
      </c>
      <c r="Q480" s="8" t="str">
        <f t="shared" si="51"/>
        <v>2013</v>
      </c>
      <c r="R480" s="8" t="str">
        <f t="shared" si="52"/>
        <v>CRITICAL</v>
      </c>
      <c r="S480" s="8" t="str">
        <f t="shared" si="53"/>
        <v>office supplies</v>
      </c>
      <c r="T480" s="18" t="str">
        <f t="shared" si="54"/>
        <v>41634</v>
      </c>
      <c r="U480" s="27" t="s">
        <v>3112</v>
      </c>
      <c r="V480" s="16" t="s">
        <v>2710</v>
      </c>
      <c r="W480" s="30">
        <v>2013</v>
      </c>
      <c r="X480" t="s">
        <v>3112</v>
      </c>
      <c r="Y480" s="28">
        <v>41634</v>
      </c>
      <c r="Z480" s="28" t="str">
        <f t="shared" si="55"/>
        <v>ES-2013-NM18520120-41634</v>
      </c>
    </row>
    <row r="481" spans="1:26" ht="15.75">
      <c r="A481" s="19" t="s">
        <v>1173</v>
      </c>
      <c r="B481" s="9">
        <v>41459</v>
      </c>
      <c r="C481" s="9">
        <v>41459</v>
      </c>
      <c r="D481" s="10" t="s">
        <v>1174</v>
      </c>
      <c r="E481" s="10" t="s">
        <v>60</v>
      </c>
      <c r="F481" s="10" t="s">
        <v>61</v>
      </c>
      <c r="G481" s="10" t="s">
        <v>17</v>
      </c>
      <c r="H481" s="10" t="s">
        <v>33</v>
      </c>
      <c r="I481" s="11">
        <v>1363.2</v>
      </c>
      <c r="J481" s="10">
        <v>8</v>
      </c>
      <c r="K481" s="20">
        <v>0.6</v>
      </c>
      <c r="L481" s="11">
        <v>-1806.24</v>
      </c>
      <c r="M481" s="10" t="s">
        <v>27</v>
      </c>
      <c r="N481" s="12"/>
      <c r="O481" s="13" t="str">
        <f t="shared" si="49"/>
        <v>Carl Ludwig</v>
      </c>
      <c r="P481" s="13" t="str">
        <f t="shared" si="50"/>
        <v>US</v>
      </c>
      <c r="Q481" s="13" t="str">
        <f t="shared" si="51"/>
        <v>2013</v>
      </c>
      <c r="R481" s="13" t="str">
        <f t="shared" si="52"/>
        <v>CRITICAL</v>
      </c>
      <c r="S481" s="13" t="str">
        <f t="shared" si="53"/>
        <v>technology</v>
      </c>
      <c r="T481" s="21" t="str">
        <f t="shared" si="54"/>
        <v>41459</v>
      </c>
      <c r="U481" s="27" t="s">
        <v>3113</v>
      </c>
      <c r="V481" s="19" t="s">
        <v>2685</v>
      </c>
      <c r="W481" s="30">
        <v>2013</v>
      </c>
      <c r="X481" t="s">
        <v>3113</v>
      </c>
      <c r="Y481" s="28">
        <v>41459</v>
      </c>
      <c r="Z481" s="28" t="str">
        <f t="shared" si="55"/>
        <v>US-2013-CL1189018-41459</v>
      </c>
    </row>
    <row r="482" spans="1:26" ht="15.75">
      <c r="A482" s="16" t="s">
        <v>1175</v>
      </c>
      <c r="B482" s="4">
        <v>41506</v>
      </c>
      <c r="C482" s="4">
        <v>41510</v>
      </c>
      <c r="D482" s="5" t="s">
        <v>1176</v>
      </c>
      <c r="E482" s="5" t="s">
        <v>93</v>
      </c>
      <c r="F482" s="5" t="s">
        <v>94</v>
      </c>
      <c r="G482" s="5" t="s">
        <v>32</v>
      </c>
      <c r="H482" s="5" t="s">
        <v>26</v>
      </c>
      <c r="I482" s="6">
        <v>3315.26999999999</v>
      </c>
      <c r="J482" s="5">
        <v>7</v>
      </c>
      <c r="K482" s="17">
        <v>0</v>
      </c>
      <c r="L482" s="6">
        <v>961.38</v>
      </c>
      <c r="M482" s="5" t="s">
        <v>37</v>
      </c>
      <c r="N482" s="7"/>
      <c r="O482" s="8" t="str">
        <f t="shared" si="49"/>
        <v>Christina Anderson</v>
      </c>
      <c r="P482" s="8" t="str">
        <f t="shared" si="50"/>
        <v>ES</v>
      </c>
      <c r="Q482" s="8" t="str">
        <f t="shared" si="51"/>
        <v>2013</v>
      </c>
      <c r="R482" s="8" t="str">
        <f t="shared" si="52"/>
        <v>HIGH</v>
      </c>
      <c r="S482" s="8" t="str">
        <f t="shared" si="53"/>
        <v>furniture</v>
      </c>
      <c r="T482" s="18" t="str">
        <f t="shared" si="54"/>
        <v>41506</v>
      </c>
      <c r="U482" s="27" t="s">
        <v>3114</v>
      </c>
      <c r="V482" s="16" t="s">
        <v>2710</v>
      </c>
      <c r="W482" s="30">
        <v>2013</v>
      </c>
      <c r="X482" t="s">
        <v>3114</v>
      </c>
      <c r="Y482" s="28">
        <v>41506</v>
      </c>
      <c r="Z482" s="28" t="str">
        <f t="shared" si="55"/>
        <v>ES-2013-CA12265139-41506</v>
      </c>
    </row>
    <row r="483" spans="1:26" ht="15.75">
      <c r="A483" s="19" t="s">
        <v>1183</v>
      </c>
      <c r="B483" s="9">
        <v>41403</v>
      </c>
      <c r="C483" s="9">
        <v>41407</v>
      </c>
      <c r="D483" s="10" t="s">
        <v>1184</v>
      </c>
      <c r="E483" s="10" t="s">
        <v>450</v>
      </c>
      <c r="F483" s="10" t="s">
        <v>450</v>
      </c>
      <c r="G483" s="10" t="s">
        <v>45</v>
      </c>
      <c r="H483" s="10" t="s">
        <v>73</v>
      </c>
      <c r="I483" s="11">
        <v>187.01999999999899</v>
      </c>
      <c r="J483" s="10">
        <v>6</v>
      </c>
      <c r="K483" s="20">
        <v>0</v>
      </c>
      <c r="L483" s="11">
        <v>26.099999999999898</v>
      </c>
      <c r="M483" s="10" t="s">
        <v>596</v>
      </c>
      <c r="N483" s="12"/>
      <c r="O483" s="13" t="str">
        <f t="shared" si="49"/>
        <v>Adrian Shami</v>
      </c>
      <c r="P483" s="13" t="str">
        <f t="shared" si="50"/>
        <v>CA</v>
      </c>
      <c r="Q483" s="13" t="str">
        <f t="shared" si="51"/>
        <v>2013</v>
      </c>
      <c r="R483" s="13" t="str">
        <f t="shared" si="52"/>
        <v>MEIDUM</v>
      </c>
      <c r="S483" s="13" t="str">
        <f t="shared" si="53"/>
        <v>office supplies</v>
      </c>
      <c r="T483" s="21" t="str">
        <f t="shared" si="54"/>
        <v>41403</v>
      </c>
      <c r="U483" s="27" t="s">
        <v>3115</v>
      </c>
      <c r="V483" s="19" t="s">
        <v>2683</v>
      </c>
      <c r="W483" s="30">
        <v>2013</v>
      </c>
      <c r="X483" t="s">
        <v>3115</v>
      </c>
      <c r="Y483" s="28">
        <v>41403</v>
      </c>
      <c r="Z483" s="28" t="str">
        <f t="shared" si="55"/>
        <v>CA-2013-AS13523-41403</v>
      </c>
    </row>
    <row r="484" spans="1:26" ht="15.75">
      <c r="A484" s="16" t="s">
        <v>423</v>
      </c>
      <c r="B484" s="4">
        <v>42248</v>
      </c>
      <c r="C484" s="4">
        <v>42248</v>
      </c>
      <c r="D484" s="5" t="s">
        <v>424</v>
      </c>
      <c r="E484" s="5" t="s">
        <v>22</v>
      </c>
      <c r="F484" s="5" t="s">
        <v>71</v>
      </c>
      <c r="G484" s="5" t="s">
        <v>17</v>
      </c>
      <c r="H484" s="5" t="s">
        <v>33</v>
      </c>
      <c r="I484" s="6">
        <v>1350.09</v>
      </c>
      <c r="J484" s="5">
        <v>7</v>
      </c>
      <c r="K484" s="17">
        <v>0</v>
      </c>
      <c r="L484" s="6">
        <v>256.41000000000003</v>
      </c>
      <c r="M484" s="5" t="s">
        <v>27</v>
      </c>
      <c r="N484" s="7"/>
      <c r="O484" s="8" t="str">
        <f t="shared" si="49"/>
        <v>Neil Franzã¶Sisch</v>
      </c>
      <c r="P484" s="8" t="str">
        <f t="shared" si="50"/>
        <v>ES</v>
      </c>
      <c r="Q484" s="8" t="str">
        <f t="shared" si="51"/>
        <v>2015</v>
      </c>
      <c r="R484" s="8" t="str">
        <f t="shared" si="52"/>
        <v>CRITICAL</v>
      </c>
      <c r="S484" s="8" t="str">
        <f t="shared" si="53"/>
        <v>technology</v>
      </c>
      <c r="T484" s="18" t="str">
        <f t="shared" si="54"/>
        <v>42248</v>
      </c>
      <c r="U484" s="27" t="s">
        <v>2719</v>
      </c>
      <c r="V484" s="16" t="s">
        <v>2710</v>
      </c>
      <c r="W484" s="30">
        <v>2015</v>
      </c>
      <c r="X484" t="s">
        <v>2719</v>
      </c>
      <c r="Y484" s="28">
        <v>42248</v>
      </c>
      <c r="Z484" s="28" t="str">
        <f t="shared" si="55"/>
        <v>ES-2015-NF1847548-42248</v>
      </c>
    </row>
    <row r="485" spans="1:26" ht="15.75">
      <c r="A485" s="19" t="s">
        <v>1191</v>
      </c>
      <c r="B485" s="9">
        <v>41306</v>
      </c>
      <c r="C485" s="9">
        <v>41309</v>
      </c>
      <c r="D485" s="10" t="s">
        <v>1192</v>
      </c>
      <c r="E485" s="10" t="s">
        <v>22</v>
      </c>
      <c r="F485" s="10" t="s">
        <v>71</v>
      </c>
      <c r="G485" s="10" t="s">
        <v>624</v>
      </c>
      <c r="H485" s="10" t="s">
        <v>33</v>
      </c>
      <c r="I485" s="11">
        <v>965.16</v>
      </c>
      <c r="J485" s="10">
        <v>7</v>
      </c>
      <c r="K485" s="20">
        <v>0</v>
      </c>
      <c r="L485" s="11">
        <v>463.25999999999902</v>
      </c>
      <c r="M485" s="10" t="s">
        <v>37</v>
      </c>
      <c r="N485" s="12"/>
      <c r="O485" s="13" t="str">
        <f t="shared" si="49"/>
        <v>John Huston#</v>
      </c>
      <c r="P485" s="13" t="str">
        <f t="shared" si="50"/>
        <v>ES</v>
      </c>
      <c r="Q485" s="13" t="str">
        <f t="shared" si="51"/>
        <v>2013</v>
      </c>
      <c r="R485" s="13" t="str">
        <f t="shared" si="52"/>
        <v>HIGH</v>
      </c>
      <c r="S485" s="13" t="str">
        <f t="shared" si="53"/>
        <v xml:space="preserve"> technology </v>
      </c>
      <c r="T485" s="21" t="str">
        <f t="shared" si="54"/>
        <v>41306</v>
      </c>
      <c r="U485" s="27" t="s">
        <v>2709</v>
      </c>
      <c r="V485" s="19" t="s">
        <v>2710</v>
      </c>
      <c r="W485" s="30">
        <v>2013</v>
      </c>
      <c r="X485" t="s">
        <v>2709</v>
      </c>
      <c r="Y485" s="28">
        <v>41306</v>
      </c>
      <c r="Z485" s="28" t="str">
        <f t="shared" si="55"/>
        <v>ES-2013-JH1582048-41306</v>
      </c>
    </row>
    <row r="486" spans="1:26" ht="15.75">
      <c r="A486" s="16" t="s">
        <v>1199</v>
      </c>
      <c r="B486" s="4">
        <v>41804</v>
      </c>
      <c r="C486" s="4">
        <v>41806</v>
      </c>
      <c r="D486" s="5" t="s">
        <v>630</v>
      </c>
      <c r="E486" s="5" t="s">
        <v>76</v>
      </c>
      <c r="F486" s="5" t="s">
        <v>77</v>
      </c>
      <c r="G486" s="5" t="s">
        <v>17</v>
      </c>
      <c r="H486" s="5" t="s">
        <v>151</v>
      </c>
      <c r="I486" s="6">
        <v>1552.5</v>
      </c>
      <c r="J486" s="5">
        <v>6</v>
      </c>
      <c r="K486" s="17">
        <v>0</v>
      </c>
      <c r="L486" s="6">
        <v>62.1</v>
      </c>
      <c r="M486" s="5" t="s">
        <v>19</v>
      </c>
      <c r="N486" s="7"/>
      <c r="O486" s="8" t="str">
        <f t="shared" si="49"/>
        <v>Filia Mcadams</v>
      </c>
      <c r="P486" s="8" t="str">
        <f t="shared" si="50"/>
        <v>ES</v>
      </c>
      <c r="Q486" s="8" t="str">
        <f t="shared" si="51"/>
        <v>2014</v>
      </c>
      <c r="R486" s="8" t="str">
        <f t="shared" si="52"/>
        <v>MEDIUM</v>
      </c>
      <c r="S486" s="8" t="str">
        <f t="shared" si="53"/>
        <v>technology</v>
      </c>
      <c r="T486" s="18" t="str">
        <f t="shared" si="54"/>
        <v>41804</v>
      </c>
      <c r="U486" s="27" t="s">
        <v>3116</v>
      </c>
      <c r="V486" s="16" t="s">
        <v>2710</v>
      </c>
      <c r="W486" s="30">
        <v>2014</v>
      </c>
      <c r="X486" t="s">
        <v>3116</v>
      </c>
      <c r="Y486" s="28">
        <v>41804</v>
      </c>
      <c r="Z486" s="28" t="str">
        <f t="shared" si="55"/>
        <v>ES-2014-FM1421564-41804</v>
      </c>
    </row>
    <row r="487" spans="1:26" ht="15.75">
      <c r="A487" s="19" t="s">
        <v>1200</v>
      </c>
      <c r="B487" s="9">
        <v>40972</v>
      </c>
      <c r="C487" s="9">
        <v>40975</v>
      </c>
      <c r="D487" s="10" t="s">
        <v>218</v>
      </c>
      <c r="E487" s="10" t="s">
        <v>40</v>
      </c>
      <c r="F487" s="10" t="s">
        <v>111</v>
      </c>
      <c r="G487" s="10" t="s">
        <v>45</v>
      </c>
      <c r="H487" s="10" t="s">
        <v>73</v>
      </c>
      <c r="I487" s="11">
        <v>49.631999999999998</v>
      </c>
      <c r="J487" s="10">
        <v>6</v>
      </c>
      <c r="K487" s="20">
        <v>0.2</v>
      </c>
      <c r="L487" s="11">
        <v>16.750799999999899</v>
      </c>
      <c r="M487" s="10" t="s">
        <v>19</v>
      </c>
      <c r="N487" s="12"/>
      <c r="O487" s="13" t="str">
        <f t="shared" si="49"/>
        <v>Aimee Bixby</v>
      </c>
      <c r="P487" s="13" t="str">
        <f t="shared" si="50"/>
        <v>CA</v>
      </c>
      <c r="Q487" s="13" t="str">
        <f t="shared" si="51"/>
        <v>2012</v>
      </c>
      <c r="R487" s="13" t="str">
        <f t="shared" si="52"/>
        <v>MEDIUM</v>
      </c>
      <c r="S487" s="13" t="str">
        <f t="shared" si="53"/>
        <v>office supplies</v>
      </c>
      <c r="T487" s="21" t="str">
        <f t="shared" si="54"/>
        <v>40972</v>
      </c>
      <c r="U487" s="27" t="s">
        <v>2845</v>
      </c>
      <c r="V487" s="19" t="s">
        <v>2683</v>
      </c>
      <c r="W487" s="30">
        <v>2012</v>
      </c>
      <c r="X487" t="s">
        <v>2845</v>
      </c>
      <c r="Y487" s="28">
        <v>40972</v>
      </c>
      <c r="Z487" s="28" t="str">
        <f t="shared" si="55"/>
        <v>CA-2012-AB10150140-40972</v>
      </c>
    </row>
    <row r="488" spans="1:26" ht="15.75">
      <c r="A488" s="16" t="s">
        <v>1208</v>
      </c>
      <c r="B488" s="4">
        <v>41200</v>
      </c>
      <c r="C488" s="4">
        <v>41205</v>
      </c>
      <c r="D488" s="5" t="s">
        <v>563</v>
      </c>
      <c r="E488" s="5" t="s">
        <v>66</v>
      </c>
      <c r="F488" s="5" t="s">
        <v>90</v>
      </c>
      <c r="G488" s="5" t="s">
        <v>32</v>
      </c>
      <c r="H488" s="5" t="s">
        <v>73</v>
      </c>
      <c r="I488" s="6">
        <v>2018.3309999999999</v>
      </c>
      <c r="J488" s="5">
        <v>9</v>
      </c>
      <c r="K488" s="17">
        <v>0.3</v>
      </c>
      <c r="L488" s="6">
        <v>-576.90899999999999</v>
      </c>
      <c r="M488" s="5" t="s">
        <v>955</v>
      </c>
      <c r="N488" s="7"/>
      <c r="O488" s="8" t="str">
        <f t="shared" si="49"/>
        <v>Phillina Ober</v>
      </c>
      <c r="P488" s="8" t="str">
        <f t="shared" si="50"/>
        <v>IN</v>
      </c>
      <c r="Q488" s="8" t="str">
        <f t="shared" si="51"/>
        <v>2012</v>
      </c>
      <c r="R488" s="8" t="str">
        <f t="shared" si="52"/>
        <v>HGIH</v>
      </c>
      <c r="S488" s="8" t="str">
        <f t="shared" si="53"/>
        <v>furniture</v>
      </c>
      <c r="T488" s="18" t="str">
        <f t="shared" si="54"/>
        <v>41200</v>
      </c>
      <c r="U488" s="27" t="s">
        <v>3117</v>
      </c>
      <c r="V488" s="16" t="s">
        <v>2681</v>
      </c>
      <c r="W488" s="30">
        <v>2012</v>
      </c>
      <c r="X488" t="s">
        <v>3117</v>
      </c>
      <c r="Y488" s="28">
        <v>41200</v>
      </c>
      <c r="Z488" s="28" t="str">
        <f t="shared" si="55"/>
        <v>IN-2012-PO1919527-41200</v>
      </c>
    </row>
    <row r="489" spans="1:26" ht="15.75">
      <c r="A489" s="19" t="s">
        <v>1210</v>
      </c>
      <c r="B489" s="9">
        <v>42029</v>
      </c>
      <c r="C489" s="9">
        <v>42033</v>
      </c>
      <c r="D489" s="10" t="s">
        <v>1211</v>
      </c>
      <c r="E489" s="10" t="s">
        <v>114</v>
      </c>
      <c r="F489" s="10" t="s">
        <v>115</v>
      </c>
      <c r="G489" s="10" t="s">
        <v>32</v>
      </c>
      <c r="H489" s="10" t="s">
        <v>151</v>
      </c>
      <c r="I489" s="11">
        <v>2485.6199999999899</v>
      </c>
      <c r="J489" s="10">
        <v>6</v>
      </c>
      <c r="K489" s="20">
        <v>0</v>
      </c>
      <c r="L489" s="11">
        <v>795.24</v>
      </c>
      <c r="M489" s="10" t="s">
        <v>19</v>
      </c>
      <c r="N489" s="12"/>
      <c r="O489" s="13" t="str">
        <f t="shared" si="49"/>
        <v>Katherine Ducich</v>
      </c>
      <c r="P489" s="13" t="str">
        <f t="shared" si="50"/>
        <v>IN</v>
      </c>
      <c r="Q489" s="13" t="str">
        <f t="shared" si="51"/>
        <v>2015</v>
      </c>
      <c r="R489" s="13" t="str">
        <f t="shared" si="52"/>
        <v>MEDIUM</v>
      </c>
      <c r="S489" s="13" t="str">
        <f t="shared" si="53"/>
        <v>furniture</v>
      </c>
      <c r="T489" s="21" t="str">
        <f t="shared" si="54"/>
        <v>42029</v>
      </c>
      <c r="U489" s="27" t="s">
        <v>3118</v>
      </c>
      <c r="V489" s="19" t="s">
        <v>2681</v>
      </c>
      <c r="W489" s="30">
        <v>2015</v>
      </c>
      <c r="X489" t="s">
        <v>3118</v>
      </c>
      <c r="Y489" s="28">
        <v>42029</v>
      </c>
      <c r="Z489" s="28" t="str">
        <f t="shared" si="55"/>
        <v>IN-2015-KD1634558-42029</v>
      </c>
    </row>
    <row r="490" spans="1:26" ht="15.75">
      <c r="A490" s="16" t="s">
        <v>1219</v>
      </c>
      <c r="B490" s="4">
        <v>42035</v>
      </c>
      <c r="C490" s="4">
        <v>42039</v>
      </c>
      <c r="D490" s="5" t="s">
        <v>837</v>
      </c>
      <c r="E490" s="5" t="s">
        <v>70</v>
      </c>
      <c r="F490" s="5" t="s">
        <v>71</v>
      </c>
      <c r="G490" s="5" t="s">
        <v>17</v>
      </c>
      <c r="H490" s="5" t="s">
        <v>23</v>
      </c>
      <c r="I490" s="6">
        <v>2102.8319999999999</v>
      </c>
      <c r="J490" s="5">
        <v>8</v>
      </c>
      <c r="K490" s="17">
        <v>0.15</v>
      </c>
      <c r="L490" s="6">
        <v>2270.15770744771</v>
      </c>
      <c r="M490" s="5" t="s">
        <v>37</v>
      </c>
      <c r="N490" s="7"/>
      <c r="O490" s="8" t="str">
        <f t="shared" si="49"/>
        <v>Denny Joy</v>
      </c>
      <c r="P490" s="8" t="str">
        <f t="shared" si="50"/>
        <v>ES</v>
      </c>
      <c r="Q490" s="8" t="str">
        <f t="shared" si="51"/>
        <v>2015</v>
      </c>
      <c r="R490" s="8" t="str">
        <f t="shared" si="52"/>
        <v>HIGH</v>
      </c>
      <c r="S490" s="8" t="str">
        <f t="shared" si="53"/>
        <v>technology</v>
      </c>
      <c r="T490" s="18" t="str">
        <f t="shared" si="54"/>
        <v>42035</v>
      </c>
      <c r="U490" s="27" t="s">
        <v>3119</v>
      </c>
      <c r="V490" s="16" t="s">
        <v>2710</v>
      </c>
      <c r="W490" s="30">
        <v>2015</v>
      </c>
      <c r="X490" t="s">
        <v>3119</v>
      </c>
      <c r="Y490" s="28">
        <v>42035</v>
      </c>
      <c r="Z490" s="28" t="str">
        <f t="shared" si="55"/>
        <v>ES-2015-DJ1342045-42035</v>
      </c>
    </row>
    <row r="491" spans="1:26" ht="15.75">
      <c r="A491" s="19" t="s">
        <v>1221</v>
      </c>
      <c r="B491" s="9">
        <v>41906</v>
      </c>
      <c r="C491" s="15">
        <v>41906</v>
      </c>
      <c r="D491" s="10" t="s">
        <v>1222</v>
      </c>
      <c r="E491" s="10" t="s">
        <v>83</v>
      </c>
      <c r="F491" s="10" t="s">
        <v>84</v>
      </c>
      <c r="G491" s="10" t="s">
        <v>45</v>
      </c>
      <c r="H491" s="10" t="s">
        <v>127</v>
      </c>
      <c r="I491" s="11">
        <v>553.44000000000005</v>
      </c>
      <c r="J491" s="10">
        <v>8</v>
      </c>
      <c r="K491" s="20">
        <v>0</v>
      </c>
      <c r="L491" s="11">
        <v>16.559999999999999</v>
      </c>
      <c r="M491" s="10" t="s">
        <v>27</v>
      </c>
      <c r="N491" s="12"/>
      <c r="O491" s="13" t="str">
        <f t="shared" si="49"/>
        <v>Hilary Holden</v>
      </c>
      <c r="P491" s="13" t="str">
        <f t="shared" si="50"/>
        <v>TZ</v>
      </c>
      <c r="Q491" s="13" t="str">
        <f t="shared" si="51"/>
        <v>2014</v>
      </c>
      <c r="R491" s="13" t="str">
        <f t="shared" si="52"/>
        <v>CRITICAL</v>
      </c>
      <c r="S491" s="13" t="str">
        <f t="shared" si="53"/>
        <v>office supplies</v>
      </c>
      <c r="T491" s="21" t="str">
        <f t="shared" si="54"/>
        <v>41906</v>
      </c>
      <c r="U491" s="27" t="s">
        <v>3120</v>
      </c>
      <c r="V491" s="19" t="s">
        <v>2943</v>
      </c>
      <c r="W491" s="30">
        <v>2014</v>
      </c>
      <c r="X491" t="s">
        <v>3120</v>
      </c>
      <c r="Y491" s="28">
        <v>41906</v>
      </c>
      <c r="Z491" s="28" t="str">
        <f t="shared" si="55"/>
        <v>TZ-2014-HH5010129-41906</v>
      </c>
    </row>
    <row r="492" spans="1:26" ht="15.75">
      <c r="A492" s="16" t="s">
        <v>1232</v>
      </c>
      <c r="B492" s="4">
        <v>42087</v>
      </c>
      <c r="C492" s="4">
        <v>42091</v>
      </c>
      <c r="D492" s="5" t="s">
        <v>255</v>
      </c>
      <c r="E492" s="5" t="s">
        <v>97</v>
      </c>
      <c r="F492" s="5" t="s">
        <v>98</v>
      </c>
      <c r="G492" s="5" t="s">
        <v>32</v>
      </c>
      <c r="H492" s="5" t="s">
        <v>26</v>
      </c>
      <c r="I492" s="6">
        <v>2205.5680000000002</v>
      </c>
      <c r="J492" s="5">
        <v>8</v>
      </c>
      <c r="K492" s="17">
        <v>0.2</v>
      </c>
      <c r="L492" s="6">
        <v>689.08799999999997</v>
      </c>
      <c r="M492" s="5" t="s">
        <v>37</v>
      </c>
      <c r="N492" s="7"/>
      <c r="O492" s="8" t="str">
        <f t="shared" si="49"/>
        <v>Natalie Fritzler</v>
      </c>
      <c r="P492" s="8" t="str">
        <f t="shared" si="50"/>
        <v>MX</v>
      </c>
      <c r="Q492" s="8" t="str">
        <f t="shared" si="51"/>
        <v>2015</v>
      </c>
      <c r="R492" s="8" t="str">
        <f t="shared" si="52"/>
        <v>HIGH</v>
      </c>
      <c r="S492" s="8" t="str">
        <f t="shared" si="53"/>
        <v>furniture</v>
      </c>
      <c r="T492" s="18" t="str">
        <f t="shared" si="54"/>
        <v>42087</v>
      </c>
      <c r="U492" s="27" t="s">
        <v>3121</v>
      </c>
      <c r="V492" s="16" t="s">
        <v>2695</v>
      </c>
      <c r="W492" s="30">
        <v>2015</v>
      </c>
      <c r="X492" t="s">
        <v>3121</v>
      </c>
      <c r="Y492" s="28">
        <v>42087</v>
      </c>
      <c r="Z492" s="28" t="str">
        <f t="shared" si="55"/>
        <v>MX-2015-NF1838582-42087</v>
      </c>
    </row>
    <row r="493" spans="1:26" ht="15.75">
      <c r="A493" s="19" t="s">
        <v>1237</v>
      </c>
      <c r="B493" s="15">
        <v>42169</v>
      </c>
      <c r="C493" s="9">
        <v>42172</v>
      </c>
      <c r="D493" s="10" t="s">
        <v>1238</v>
      </c>
      <c r="E493" s="10" t="s">
        <v>22</v>
      </c>
      <c r="F493" s="10" t="s">
        <v>71</v>
      </c>
      <c r="G493" s="10" t="s">
        <v>32</v>
      </c>
      <c r="H493" s="10" t="s">
        <v>26</v>
      </c>
      <c r="I493" s="11">
        <v>2291.835</v>
      </c>
      <c r="J493" s="10">
        <v>7</v>
      </c>
      <c r="K493" s="20">
        <v>0.35</v>
      </c>
      <c r="L493" s="11">
        <v>-1128.4349999999999</v>
      </c>
      <c r="M493" s="10" t="s">
        <v>37</v>
      </c>
      <c r="N493" s="12"/>
      <c r="O493" s="13" t="str">
        <f t="shared" si="49"/>
        <v>Art Ferguson</v>
      </c>
      <c r="P493" s="13" t="str">
        <f t="shared" si="50"/>
        <v>ES</v>
      </c>
      <c r="Q493" s="13" t="str">
        <f t="shared" si="51"/>
        <v>2015</v>
      </c>
      <c r="R493" s="13" t="str">
        <f t="shared" si="52"/>
        <v>HIGH</v>
      </c>
      <c r="S493" s="13" t="str">
        <f t="shared" si="53"/>
        <v>furniture</v>
      </c>
      <c r="T493" s="21" t="str">
        <f t="shared" si="54"/>
        <v>42169</v>
      </c>
      <c r="U493" s="27" t="s">
        <v>3122</v>
      </c>
      <c r="V493" s="19" t="s">
        <v>2710</v>
      </c>
      <c r="W493" s="30">
        <v>2015</v>
      </c>
      <c r="X493" t="s">
        <v>3122</v>
      </c>
      <c r="Y493" s="28">
        <v>42169</v>
      </c>
      <c r="Z493" s="28" t="str">
        <f t="shared" si="55"/>
        <v>ES-2015-AF1087048-42169</v>
      </c>
    </row>
    <row r="494" spans="1:26" ht="15.75">
      <c r="A494" s="16" t="s">
        <v>1243</v>
      </c>
      <c r="B494" s="4">
        <v>41137</v>
      </c>
      <c r="C494" s="4">
        <v>41139</v>
      </c>
      <c r="D494" s="5" t="s">
        <v>728</v>
      </c>
      <c r="E494" s="5" t="s">
        <v>464</v>
      </c>
      <c r="F494" s="5" t="s">
        <v>87</v>
      </c>
      <c r="G494" s="5" t="s">
        <v>32</v>
      </c>
      <c r="H494" s="5" t="s">
        <v>44</v>
      </c>
      <c r="I494" s="6">
        <v>954.6</v>
      </c>
      <c r="J494" s="5">
        <v>10</v>
      </c>
      <c r="K494" s="17">
        <v>0</v>
      </c>
      <c r="L494" s="6">
        <v>152.69999999999999</v>
      </c>
      <c r="M494" s="5" t="s">
        <v>27</v>
      </c>
      <c r="N494" s="7"/>
      <c r="O494" s="8" t="str">
        <f t="shared" si="49"/>
        <v>Alejandro Savely</v>
      </c>
      <c r="P494" s="8" t="str">
        <f t="shared" si="50"/>
        <v>RS</v>
      </c>
      <c r="Q494" s="8" t="str">
        <f t="shared" si="51"/>
        <v>2012</v>
      </c>
      <c r="R494" s="8" t="str">
        <f t="shared" si="52"/>
        <v>CRITICAL</v>
      </c>
      <c r="S494" s="8" t="str">
        <f t="shared" si="53"/>
        <v>furniture</v>
      </c>
      <c r="T494" s="18" t="str">
        <f t="shared" si="54"/>
        <v>41137</v>
      </c>
      <c r="U494" s="27" t="s">
        <v>3123</v>
      </c>
      <c r="V494" s="16" t="s">
        <v>2824</v>
      </c>
      <c r="W494" s="30">
        <v>2012</v>
      </c>
      <c r="X494" t="s">
        <v>3123</v>
      </c>
      <c r="Y494" s="28">
        <v>41137</v>
      </c>
      <c r="Z494" s="28" t="str">
        <f t="shared" si="55"/>
        <v>RS-2012-AS285108-41137</v>
      </c>
    </row>
    <row r="495" spans="1:26" ht="15.75">
      <c r="A495" s="19" t="s">
        <v>1255</v>
      </c>
      <c r="B495" s="9">
        <v>41688</v>
      </c>
      <c r="C495" s="9">
        <v>41693</v>
      </c>
      <c r="D495" s="10" t="s">
        <v>670</v>
      </c>
      <c r="E495" s="10" t="s">
        <v>130</v>
      </c>
      <c r="F495" s="10" t="s">
        <v>131</v>
      </c>
      <c r="G495" s="10" t="s">
        <v>32</v>
      </c>
      <c r="H495" s="10" t="s">
        <v>151</v>
      </c>
      <c r="I495" s="11">
        <v>3877.68</v>
      </c>
      <c r="J495" s="10">
        <v>8</v>
      </c>
      <c r="K495" s="20">
        <v>0</v>
      </c>
      <c r="L495" s="11">
        <v>930.48</v>
      </c>
      <c r="M495" s="10" t="s">
        <v>19</v>
      </c>
      <c r="N495" s="12"/>
      <c r="O495" s="13" t="str">
        <f t="shared" si="49"/>
        <v>Maria Bertelson</v>
      </c>
      <c r="P495" s="13" t="str">
        <f t="shared" si="50"/>
        <v>CG</v>
      </c>
      <c r="Q495" s="13" t="str">
        <f t="shared" si="51"/>
        <v>2014</v>
      </c>
      <c r="R495" s="13" t="str">
        <f t="shared" si="52"/>
        <v>MEDIUM</v>
      </c>
      <c r="S495" s="13" t="str">
        <f t="shared" si="53"/>
        <v>furniture</v>
      </c>
      <c r="T495" s="21" t="str">
        <f t="shared" si="54"/>
        <v>41688</v>
      </c>
      <c r="U495" s="27" t="s">
        <v>3124</v>
      </c>
      <c r="V495" s="19" t="s">
        <v>2837</v>
      </c>
      <c r="W495" s="30">
        <v>2014</v>
      </c>
      <c r="X495" t="s">
        <v>3124</v>
      </c>
      <c r="Y495" s="28">
        <v>41688</v>
      </c>
      <c r="Z495" s="28" t="str">
        <f t="shared" si="55"/>
        <v>CG-2014-MB730533-41688</v>
      </c>
    </row>
    <row r="496" spans="1:26" ht="15.75">
      <c r="A496" s="16" t="s">
        <v>1263</v>
      </c>
      <c r="B496" s="4">
        <v>41660</v>
      </c>
      <c r="C496" s="4">
        <v>41660</v>
      </c>
      <c r="D496" s="5" t="s">
        <v>1264</v>
      </c>
      <c r="E496" s="5" t="s">
        <v>450</v>
      </c>
      <c r="F496" s="5" t="s">
        <v>450</v>
      </c>
      <c r="G496" s="5" t="s">
        <v>45</v>
      </c>
      <c r="H496" s="5" t="s">
        <v>73</v>
      </c>
      <c r="I496" s="6">
        <v>410.87999999999897</v>
      </c>
      <c r="J496" s="5">
        <v>8</v>
      </c>
      <c r="K496" s="17">
        <v>0</v>
      </c>
      <c r="L496" s="6">
        <v>78</v>
      </c>
      <c r="M496" s="5" t="s">
        <v>37</v>
      </c>
      <c r="N496" s="7"/>
      <c r="O496" s="8" t="str">
        <f t="shared" si="49"/>
        <v>Alan Barnes</v>
      </c>
      <c r="P496" s="8" t="str">
        <f t="shared" si="50"/>
        <v>CA</v>
      </c>
      <c r="Q496" s="8" t="str">
        <f t="shared" si="51"/>
        <v>2014</v>
      </c>
      <c r="R496" s="8" t="str">
        <f t="shared" si="52"/>
        <v>HIGH</v>
      </c>
      <c r="S496" s="8" t="str">
        <f t="shared" si="53"/>
        <v>office supplies</v>
      </c>
      <c r="T496" s="18" t="str">
        <f t="shared" si="54"/>
        <v>41660</v>
      </c>
      <c r="U496" s="27" t="s">
        <v>3125</v>
      </c>
      <c r="V496" s="16" t="s">
        <v>2683</v>
      </c>
      <c r="W496" s="30">
        <v>2014</v>
      </c>
      <c r="X496" t="s">
        <v>3125</v>
      </c>
      <c r="Y496" s="28">
        <v>41660</v>
      </c>
      <c r="Z496" s="28" t="str">
        <f t="shared" si="55"/>
        <v>CA-2014-AB16523-41660</v>
      </c>
    </row>
    <row r="497" spans="1:26" ht="15.75">
      <c r="A497" s="19" t="s">
        <v>1285</v>
      </c>
      <c r="B497" s="9">
        <v>41641</v>
      </c>
      <c r="C497" s="9">
        <v>41643</v>
      </c>
      <c r="D497" s="10" t="s">
        <v>1286</v>
      </c>
      <c r="E497" s="10" t="s">
        <v>168</v>
      </c>
      <c r="F497" s="10" t="s">
        <v>115</v>
      </c>
      <c r="G497" s="10" t="s">
        <v>17</v>
      </c>
      <c r="H497" s="10" t="s">
        <v>151</v>
      </c>
      <c r="I497" s="11">
        <v>2021.88</v>
      </c>
      <c r="J497" s="10">
        <v>14</v>
      </c>
      <c r="K497" s="20">
        <v>0</v>
      </c>
      <c r="L497" s="11">
        <v>323.39999999999998</v>
      </c>
      <c r="M497" s="10" t="s">
        <v>37</v>
      </c>
      <c r="N497" s="12"/>
      <c r="O497" s="13" t="str">
        <f t="shared" si="49"/>
        <v>Andy Gerbode</v>
      </c>
      <c r="P497" s="13" t="str">
        <f t="shared" si="50"/>
        <v>IR</v>
      </c>
      <c r="Q497" s="13" t="str">
        <f t="shared" si="51"/>
        <v>2014</v>
      </c>
      <c r="R497" s="13" t="str">
        <f t="shared" si="52"/>
        <v>HIGH</v>
      </c>
      <c r="S497" s="13" t="str">
        <f t="shared" si="53"/>
        <v>technology</v>
      </c>
      <c r="T497" s="21" t="str">
        <f t="shared" si="54"/>
        <v>41641</v>
      </c>
      <c r="U497" s="27" t="s">
        <v>3126</v>
      </c>
      <c r="V497" s="19" t="s">
        <v>2781</v>
      </c>
      <c r="W497" s="30">
        <v>2014</v>
      </c>
      <c r="X497" t="s">
        <v>3126</v>
      </c>
      <c r="Y497" s="28">
        <v>41641</v>
      </c>
      <c r="Z497" s="28" t="str">
        <f t="shared" si="55"/>
        <v>IR-2014-AG52560-41641</v>
      </c>
    </row>
    <row r="498" spans="1:26" ht="15.75">
      <c r="A498" s="16" t="s">
        <v>1292</v>
      </c>
      <c r="B498" s="4">
        <v>42326</v>
      </c>
      <c r="C498" s="5" t="s">
        <v>1293</v>
      </c>
      <c r="D498" s="5" t="s">
        <v>794</v>
      </c>
      <c r="E498" s="5" t="s">
        <v>15</v>
      </c>
      <c r="F498" s="5" t="s">
        <v>16</v>
      </c>
      <c r="G498" s="5" t="s">
        <v>17</v>
      </c>
      <c r="H498" s="5" t="s">
        <v>26</v>
      </c>
      <c r="I498" s="6">
        <v>1221.5609999999999</v>
      </c>
      <c r="J498" s="5">
        <v>11</v>
      </c>
      <c r="K498" s="17">
        <v>0.1</v>
      </c>
      <c r="L498" s="6">
        <v>325.61099999999999</v>
      </c>
      <c r="M498" s="5" t="s">
        <v>37</v>
      </c>
      <c r="N498" s="7"/>
      <c r="O498" s="8" t="str">
        <f t="shared" si="49"/>
        <v>Frank Carlisle</v>
      </c>
      <c r="P498" s="8" t="str">
        <f t="shared" si="50"/>
        <v>IN</v>
      </c>
      <c r="Q498" s="8" t="str">
        <f t="shared" si="51"/>
        <v>2015</v>
      </c>
      <c r="R498" s="8" t="str">
        <f t="shared" si="52"/>
        <v>HIGH</v>
      </c>
      <c r="S498" s="8" t="str">
        <f t="shared" si="53"/>
        <v>technology</v>
      </c>
      <c r="T498" s="18" t="str">
        <f t="shared" si="54"/>
        <v>42326</v>
      </c>
      <c r="U498" s="27" t="s">
        <v>3127</v>
      </c>
      <c r="V498" s="16" t="s">
        <v>2681</v>
      </c>
      <c r="W498" s="30">
        <v>2015</v>
      </c>
      <c r="X498" t="s">
        <v>3127</v>
      </c>
      <c r="Y498" s="28">
        <v>42326</v>
      </c>
      <c r="Z498" s="28" t="str">
        <f t="shared" si="55"/>
        <v>IN-2015-FC142457-42326</v>
      </c>
    </row>
    <row r="499" spans="1:26" ht="15.75">
      <c r="A499" s="19" t="s">
        <v>1295</v>
      </c>
      <c r="B499" s="9">
        <v>42175</v>
      </c>
      <c r="C499" s="9">
        <v>42178</v>
      </c>
      <c r="D499" s="10" t="s">
        <v>1296</v>
      </c>
      <c r="E499" s="10" t="s">
        <v>15</v>
      </c>
      <c r="F499" s="10" t="s">
        <v>16</v>
      </c>
      <c r="G499" s="10" t="s">
        <v>17</v>
      </c>
      <c r="H499" s="10" t="s">
        <v>26</v>
      </c>
      <c r="I499" s="11">
        <v>1596.50999999999</v>
      </c>
      <c r="J499" s="10">
        <v>6</v>
      </c>
      <c r="K499" s="20">
        <v>0.1</v>
      </c>
      <c r="L499" s="11">
        <v>-53.37</v>
      </c>
      <c r="M499" s="10" t="s">
        <v>19</v>
      </c>
      <c r="N499" s="12"/>
      <c r="O499" s="13" t="str">
        <f t="shared" si="49"/>
        <v>Tiffany House</v>
      </c>
      <c r="P499" s="13" t="str">
        <f t="shared" si="50"/>
        <v>ID</v>
      </c>
      <c r="Q499" s="13" t="str">
        <f t="shared" si="51"/>
        <v>2015</v>
      </c>
      <c r="R499" s="13" t="str">
        <f t="shared" si="52"/>
        <v>MEDIUM</v>
      </c>
      <c r="S499" s="13" t="str">
        <f t="shared" si="53"/>
        <v>technology</v>
      </c>
      <c r="T499" s="21" t="str">
        <f t="shared" si="54"/>
        <v>42175</v>
      </c>
      <c r="U499" s="27" t="s">
        <v>3128</v>
      </c>
      <c r="V499" s="19" t="s">
        <v>2705</v>
      </c>
      <c r="W499" s="30">
        <v>2015</v>
      </c>
      <c r="X499" t="s">
        <v>3128</v>
      </c>
      <c r="Y499" s="28">
        <v>42175</v>
      </c>
      <c r="Z499" s="28" t="str">
        <f t="shared" si="55"/>
        <v>ID-2015-TH212357-42175</v>
      </c>
    </row>
    <row r="500" spans="1:26" ht="15.75">
      <c r="A500" s="16" t="s">
        <v>1299</v>
      </c>
      <c r="B500" s="4">
        <v>41780</v>
      </c>
      <c r="C500" s="4">
        <v>41784</v>
      </c>
      <c r="D500" s="5" t="s">
        <v>477</v>
      </c>
      <c r="E500" s="5" t="s">
        <v>66</v>
      </c>
      <c r="F500" s="5" t="s">
        <v>90</v>
      </c>
      <c r="G500" s="5" t="s">
        <v>17</v>
      </c>
      <c r="H500" s="5" t="s">
        <v>33</v>
      </c>
      <c r="I500" s="6">
        <v>2018.88</v>
      </c>
      <c r="J500" s="5">
        <v>12</v>
      </c>
      <c r="K500" s="17">
        <v>0</v>
      </c>
      <c r="L500" s="6">
        <v>928.44</v>
      </c>
      <c r="M500" s="5" t="s">
        <v>19</v>
      </c>
      <c r="N500" s="7"/>
      <c r="O500" s="8" t="str">
        <f t="shared" si="49"/>
        <v>Tamara Willingham</v>
      </c>
      <c r="P500" s="8" t="str">
        <f t="shared" si="50"/>
        <v>IN</v>
      </c>
      <c r="Q500" s="8" t="str">
        <f t="shared" si="51"/>
        <v>2014</v>
      </c>
      <c r="R500" s="8" t="str">
        <f t="shared" si="52"/>
        <v>MEDIUM</v>
      </c>
      <c r="S500" s="8" t="str">
        <f t="shared" si="53"/>
        <v>technology</v>
      </c>
      <c r="T500" s="18" t="str">
        <f t="shared" si="54"/>
        <v>41780</v>
      </c>
      <c r="U500" s="27" t="s">
        <v>3129</v>
      </c>
      <c r="V500" s="16" t="s">
        <v>2681</v>
      </c>
      <c r="W500" s="30">
        <v>2014</v>
      </c>
      <c r="X500" t="s">
        <v>3129</v>
      </c>
      <c r="Y500" s="28">
        <v>41780</v>
      </c>
      <c r="Z500" s="28" t="str">
        <f t="shared" si="55"/>
        <v>IN-2014-TW2102527-41780</v>
      </c>
    </row>
    <row r="501" spans="1:26" ht="15.75">
      <c r="A501" s="19" t="s">
        <v>1300</v>
      </c>
      <c r="B501" s="9">
        <v>42280</v>
      </c>
      <c r="C501" s="9">
        <v>42284</v>
      </c>
      <c r="D501" s="10" t="s">
        <v>1301</v>
      </c>
      <c r="E501" s="10" t="s">
        <v>437</v>
      </c>
      <c r="F501" s="10" t="s">
        <v>438</v>
      </c>
      <c r="G501" s="10" t="s">
        <v>17</v>
      </c>
      <c r="H501" s="10" t="s">
        <v>23</v>
      </c>
      <c r="I501" s="11">
        <v>1885.32</v>
      </c>
      <c r="J501" s="10">
        <v>6</v>
      </c>
      <c r="K501" s="20">
        <v>0</v>
      </c>
      <c r="L501" s="11">
        <v>18.72</v>
      </c>
      <c r="M501" s="10" t="s">
        <v>37</v>
      </c>
      <c r="N501" s="12"/>
      <c r="O501" s="13" t="str">
        <f t="shared" si="49"/>
        <v>Liz Thompson</v>
      </c>
      <c r="P501" s="13" t="str">
        <f t="shared" si="50"/>
        <v>SF</v>
      </c>
      <c r="Q501" s="13" t="str">
        <f t="shared" si="51"/>
        <v>2015</v>
      </c>
      <c r="R501" s="13" t="str">
        <f t="shared" si="52"/>
        <v>HIGH</v>
      </c>
      <c r="S501" s="13" t="str">
        <f t="shared" si="53"/>
        <v>technology</v>
      </c>
      <c r="T501" s="21" t="str">
        <f t="shared" si="54"/>
        <v>42280</v>
      </c>
      <c r="U501" s="27" t="s">
        <v>3130</v>
      </c>
      <c r="V501" s="19" t="s">
        <v>2731</v>
      </c>
      <c r="W501" s="30">
        <v>2015</v>
      </c>
      <c r="X501" t="s">
        <v>3130</v>
      </c>
      <c r="Y501" s="28">
        <v>42280</v>
      </c>
      <c r="Z501" s="28" t="str">
        <f t="shared" si="55"/>
        <v>SF-2015-LT7110117-42280</v>
      </c>
    </row>
    <row r="502" spans="1:26" ht="15.75">
      <c r="A502" s="16" t="s">
        <v>1302</v>
      </c>
      <c r="B502" s="4">
        <v>41268</v>
      </c>
      <c r="C502" s="4">
        <v>41273</v>
      </c>
      <c r="D502" s="5" t="s">
        <v>961</v>
      </c>
      <c r="E502" s="5" t="s">
        <v>93</v>
      </c>
      <c r="F502" s="5" t="s">
        <v>94</v>
      </c>
      <c r="G502" s="5" t="s">
        <v>32</v>
      </c>
      <c r="H502" s="5" t="s">
        <v>33</v>
      </c>
      <c r="I502" s="6">
        <v>3119.34</v>
      </c>
      <c r="J502" s="5">
        <v>7</v>
      </c>
      <c r="K502" s="17">
        <v>0</v>
      </c>
      <c r="L502" s="6">
        <v>1528.38</v>
      </c>
      <c r="M502" s="5" t="s">
        <v>19</v>
      </c>
      <c r="N502" s="7"/>
      <c r="O502" s="8" t="str">
        <f t="shared" si="49"/>
        <v>Katherine Nockton</v>
      </c>
      <c r="P502" s="8" t="str">
        <f t="shared" si="50"/>
        <v>IT</v>
      </c>
      <c r="Q502" s="8" t="str">
        <f t="shared" si="51"/>
        <v>2012</v>
      </c>
      <c r="R502" s="8" t="str">
        <f t="shared" si="52"/>
        <v>MEDIUM</v>
      </c>
      <c r="S502" s="8" t="str">
        <f t="shared" si="53"/>
        <v>furniture</v>
      </c>
      <c r="T502" s="18" t="str">
        <f t="shared" si="54"/>
        <v>41268</v>
      </c>
      <c r="U502" s="27" t="s">
        <v>3131</v>
      </c>
      <c r="V502" s="16" t="s">
        <v>2690</v>
      </c>
      <c r="W502" s="30">
        <v>2012</v>
      </c>
      <c r="X502" t="s">
        <v>3131</v>
      </c>
      <c r="Y502" s="28">
        <v>41268</v>
      </c>
      <c r="Z502" s="28" t="str">
        <f t="shared" si="55"/>
        <v>IT-2012-KN16390139-41268</v>
      </c>
    </row>
    <row r="503" spans="1:26" ht="15.75">
      <c r="A503" s="19" t="s">
        <v>1303</v>
      </c>
      <c r="B503" s="9">
        <v>42271</v>
      </c>
      <c r="C503" s="9">
        <v>42278</v>
      </c>
      <c r="D503" s="10" t="s">
        <v>1304</v>
      </c>
      <c r="E503" s="10" t="s">
        <v>22</v>
      </c>
      <c r="F503" s="10" t="s">
        <v>71</v>
      </c>
      <c r="G503" s="10" t="s">
        <v>32</v>
      </c>
      <c r="H503" s="10" t="s">
        <v>127</v>
      </c>
      <c r="I503" s="11">
        <v>1964.25</v>
      </c>
      <c r="J503" s="10">
        <v>6</v>
      </c>
      <c r="K503" s="20">
        <v>0.1</v>
      </c>
      <c r="L503" s="11">
        <v>21.689999999999898</v>
      </c>
      <c r="M503" s="10" t="s">
        <v>74</v>
      </c>
      <c r="N503" s="12"/>
      <c r="O503" s="13" t="str">
        <f t="shared" si="49"/>
        <v>Harold Dahlen</v>
      </c>
      <c r="P503" s="13" t="str">
        <f t="shared" si="50"/>
        <v>ES</v>
      </c>
      <c r="Q503" s="13" t="str">
        <f t="shared" si="51"/>
        <v>2015</v>
      </c>
      <c r="R503" s="13" t="str">
        <f t="shared" si="52"/>
        <v>LOW</v>
      </c>
      <c r="S503" s="13" t="str">
        <f t="shared" si="53"/>
        <v>furniture</v>
      </c>
      <c r="T503" s="21" t="str">
        <f t="shared" si="54"/>
        <v>42271</v>
      </c>
      <c r="U503" s="27" t="s">
        <v>3132</v>
      </c>
      <c r="V503" s="19" t="s">
        <v>2710</v>
      </c>
      <c r="W503" s="30">
        <v>2015</v>
      </c>
      <c r="X503" t="s">
        <v>3132</v>
      </c>
      <c r="Y503" s="28">
        <v>42271</v>
      </c>
      <c r="Z503" s="28" t="str">
        <f t="shared" si="55"/>
        <v>ES-2015-HD1478548-42271</v>
      </c>
    </row>
    <row r="504" spans="1:26" ht="15.75">
      <c r="A504" s="16" t="s">
        <v>1305</v>
      </c>
      <c r="B504" s="4">
        <v>42242</v>
      </c>
      <c r="C504" s="4">
        <v>42244</v>
      </c>
      <c r="D504" s="5" t="s">
        <v>704</v>
      </c>
      <c r="E504" s="5" t="s">
        <v>15</v>
      </c>
      <c r="F504" s="5" t="s">
        <v>16</v>
      </c>
      <c r="G504" s="5" t="s">
        <v>32</v>
      </c>
      <c r="H504" s="5" t="s">
        <v>151</v>
      </c>
      <c r="I504" s="6">
        <v>1653.8039999999901</v>
      </c>
      <c r="J504" s="5">
        <v>6</v>
      </c>
      <c r="K504" s="17">
        <v>0.4</v>
      </c>
      <c r="L504" s="6">
        <v>-689.25599999999895</v>
      </c>
      <c r="M504" s="5" t="s">
        <v>37</v>
      </c>
      <c r="N504" s="7"/>
      <c r="O504" s="8" t="str">
        <f t="shared" si="49"/>
        <v>Brad Eason</v>
      </c>
      <c r="P504" s="8" t="str">
        <f t="shared" si="50"/>
        <v>ID</v>
      </c>
      <c r="Q504" s="8" t="str">
        <f t="shared" si="51"/>
        <v>2015</v>
      </c>
      <c r="R504" s="8" t="str">
        <f t="shared" si="52"/>
        <v>HIGH</v>
      </c>
      <c r="S504" s="8" t="str">
        <f t="shared" si="53"/>
        <v>furniture</v>
      </c>
      <c r="T504" s="18" t="str">
        <f t="shared" si="54"/>
        <v>42242</v>
      </c>
      <c r="U504" s="27" t="s">
        <v>3133</v>
      </c>
      <c r="V504" s="16" t="s">
        <v>2705</v>
      </c>
      <c r="W504" s="30">
        <v>2015</v>
      </c>
      <c r="X504" t="s">
        <v>3133</v>
      </c>
      <c r="Y504" s="28">
        <v>42242</v>
      </c>
      <c r="Z504" s="28" t="str">
        <f t="shared" si="55"/>
        <v>ID-2015-BE114557-42242</v>
      </c>
    </row>
    <row r="505" spans="1:26" ht="15.75">
      <c r="A505" s="19" t="s">
        <v>1312</v>
      </c>
      <c r="B505" s="9">
        <v>41543</v>
      </c>
      <c r="C505" s="9">
        <v>41545</v>
      </c>
      <c r="D505" s="10" t="s">
        <v>471</v>
      </c>
      <c r="E505" s="10" t="s">
        <v>358</v>
      </c>
      <c r="F505" s="10" t="s">
        <v>98</v>
      </c>
      <c r="G505" s="10" t="s">
        <v>17</v>
      </c>
      <c r="H505" s="10" t="s">
        <v>26</v>
      </c>
      <c r="I505" s="11">
        <v>1902.10816</v>
      </c>
      <c r="J505" s="10">
        <v>8</v>
      </c>
      <c r="K505" s="20">
        <v>2E-3</v>
      </c>
      <c r="L505" s="11">
        <v>872.82816000000003</v>
      </c>
      <c r="M505" s="10" t="s">
        <v>19</v>
      </c>
      <c r="N505" s="12"/>
      <c r="O505" s="13" t="str">
        <f t="shared" si="49"/>
        <v>Cyra Reiten</v>
      </c>
      <c r="P505" s="13" t="str">
        <f t="shared" si="50"/>
        <v>MX</v>
      </c>
      <c r="Q505" s="13" t="str">
        <f t="shared" si="51"/>
        <v>2013</v>
      </c>
      <c r="R505" s="13" t="str">
        <f t="shared" si="52"/>
        <v>MEDIUM</v>
      </c>
      <c r="S505" s="13" t="str">
        <f t="shared" si="53"/>
        <v>technology</v>
      </c>
      <c r="T505" s="21" t="str">
        <f t="shared" si="54"/>
        <v>41543</v>
      </c>
      <c r="U505" s="27" t="s">
        <v>3134</v>
      </c>
      <c r="V505" s="19" t="s">
        <v>2695</v>
      </c>
      <c r="W505" s="30">
        <v>2013</v>
      </c>
      <c r="X505" t="s">
        <v>3134</v>
      </c>
      <c r="Y505" s="28">
        <v>41543</v>
      </c>
      <c r="Z505" s="28" t="str">
        <f t="shared" si="55"/>
        <v>MX-2013-CR1282051-41543</v>
      </c>
    </row>
    <row r="506" spans="1:26" ht="15.75">
      <c r="A506" s="16" t="s">
        <v>1313</v>
      </c>
      <c r="B506" s="4">
        <v>42368</v>
      </c>
      <c r="C506" s="4">
        <v>42371</v>
      </c>
      <c r="D506" s="5" t="s">
        <v>1314</v>
      </c>
      <c r="E506" s="5" t="s">
        <v>903</v>
      </c>
      <c r="F506" s="5" t="s">
        <v>71</v>
      </c>
      <c r="G506" s="5" t="s">
        <v>17</v>
      </c>
      <c r="H506" s="5" t="s">
        <v>44</v>
      </c>
      <c r="I506" s="6">
        <v>1913.3999999999901</v>
      </c>
      <c r="J506" s="5">
        <v>10</v>
      </c>
      <c r="K506" s="17">
        <v>0</v>
      </c>
      <c r="L506" s="6">
        <v>899.099999999999</v>
      </c>
      <c r="M506" s="5" t="s">
        <v>27</v>
      </c>
      <c r="N506" s="7"/>
      <c r="O506" s="8" t="str">
        <f t="shared" si="49"/>
        <v>Harry Marie</v>
      </c>
      <c r="P506" s="8" t="str">
        <f t="shared" si="50"/>
        <v>ES</v>
      </c>
      <c r="Q506" s="8" t="str">
        <f t="shared" si="51"/>
        <v>2015</v>
      </c>
      <c r="R506" s="8" t="str">
        <f t="shared" si="52"/>
        <v>CRITICAL</v>
      </c>
      <c r="S506" s="8" t="str">
        <f t="shared" si="53"/>
        <v>technology</v>
      </c>
      <c r="T506" s="18" t="str">
        <f t="shared" si="54"/>
        <v>42368</v>
      </c>
      <c r="U506" s="27" t="s">
        <v>3135</v>
      </c>
      <c r="V506" s="16" t="s">
        <v>2710</v>
      </c>
      <c r="W506" s="30">
        <v>2015</v>
      </c>
      <c r="X506" t="s">
        <v>3135</v>
      </c>
      <c r="Y506" s="28">
        <v>42368</v>
      </c>
      <c r="Z506" s="28" t="str">
        <f t="shared" si="55"/>
        <v>ES-2015-HM14860125-42368</v>
      </c>
    </row>
    <row r="507" spans="1:26" ht="15.75">
      <c r="A507" s="19" t="s">
        <v>1319</v>
      </c>
      <c r="B507" s="9">
        <v>42094</v>
      </c>
      <c r="C507" s="9">
        <v>42094</v>
      </c>
      <c r="D507" s="10" t="s">
        <v>1320</v>
      </c>
      <c r="E507" s="10" t="s">
        <v>70</v>
      </c>
      <c r="F507" s="10" t="s">
        <v>71</v>
      </c>
      <c r="G507" s="10" t="s">
        <v>32</v>
      </c>
      <c r="H507" s="10" t="s">
        <v>23</v>
      </c>
      <c r="I507" s="11">
        <v>2953.5839999999998</v>
      </c>
      <c r="J507" s="10">
        <v>8</v>
      </c>
      <c r="K507" s="20">
        <v>0.1</v>
      </c>
      <c r="L507" s="11">
        <v>754.70399999999904</v>
      </c>
      <c r="M507" s="10" t="s">
        <v>19</v>
      </c>
      <c r="N507" s="12"/>
      <c r="O507" s="13" t="str">
        <f t="shared" si="49"/>
        <v>Charlotte Melton</v>
      </c>
      <c r="P507" s="13" t="str">
        <f t="shared" si="50"/>
        <v>ES</v>
      </c>
      <c r="Q507" s="13" t="str">
        <f t="shared" si="51"/>
        <v>2015</v>
      </c>
      <c r="R507" s="13" t="str">
        <f t="shared" si="52"/>
        <v>MEDIUM</v>
      </c>
      <c r="S507" s="13" t="str">
        <f t="shared" si="53"/>
        <v>furniture</v>
      </c>
      <c r="T507" s="21" t="str">
        <f t="shared" si="54"/>
        <v>42094</v>
      </c>
      <c r="U507" s="27" t="s">
        <v>3136</v>
      </c>
      <c r="V507" s="19" t="s">
        <v>2710</v>
      </c>
      <c r="W507" s="30">
        <v>2015</v>
      </c>
      <c r="X507" t="s">
        <v>3136</v>
      </c>
      <c r="Y507" s="28">
        <v>42094</v>
      </c>
      <c r="Z507" s="28" t="str">
        <f t="shared" si="55"/>
        <v>ES-2015-CM1219045-42094</v>
      </c>
    </row>
    <row r="508" spans="1:26" ht="15.75">
      <c r="A508" s="16" t="s">
        <v>1328</v>
      </c>
      <c r="B508" s="4">
        <v>42245</v>
      </c>
      <c r="C508" s="4">
        <v>42250</v>
      </c>
      <c r="D508" s="5" t="s">
        <v>1329</v>
      </c>
      <c r="E508" s="5" t="s">
        <v>60</v>
      </c>
      <c r="F508" s="5" t="s">
        <v>61</v>
      </c>
      <c r="G508" s="5" t="s">
        <v>45</v>
      </c>
      <c r="H508" s="5" t="s">
        <v>26</v>
      </c>
      <c r="I508" s="6">
        <v>3044.8</v>
      </c>
      <c r="J508" s="5">
        <v>8</v>
      </c>
      <c r="K508" s="17">
        <v>0</v>
      </c>
      <c r="L508" s="6">
        <v>91.2</v>
      </c>
      <c r="M508" s="5" t="s">
        <v>19</v>
      </c>
      <c r="N508" s="7"/>
      <c r="O508" s="8" t="str">
        <f t="shared" si="49"/>
        <v>Sarah Brown</v>
      </c>
      <c r="P508" s="8" t="str">
        <f t="shared" si="50"/>
        <v>MX</v>
      </c>
      <c r="Q508" s="8" t="str">
        <f t="shared" si="51"/>
        <v>2015</v>
      </c>
      <c r="R508" s="8" t="str">
        <f t="shared" si="52"/>
        <v>MEDIUM</v>
      </c>
      <c r="S508" s="8" t="str">
        <f t="shared" si="53"/>
        <v>office supplies</v>
      </c>
      <c r="T508" s="18" t="str">
        <f t="shared" si="54"/>
        <v>42245</v>
      </c>
      <c r="U508" s="27" t="s">
        <v>3137</v>
      </c>
      <c r="V508" s="16" t="s">
        <v>2695</v>
      </c>
      <c r="W508" s="30">
        <v>2015</v>
      </c>
      <c r="X508" t="s">
        <v>3137</v>
      </c>
      <c r="Y508" s="28">
        <v>42245</v>
      </c>
      <c r="Z508" s="28" t="str">
        <f t="shared" si="55"/>
        <v>MX-2015-SB2018518-42245</v>
      </c>
    </row>
    <row r="509" spans="1:26" ht="15.75">
      <c r="A509" s="19" t="s">
        <v>1331</v>
      </c>
      <c r="B509" s="9">
        <v>42132</v>
      </c>
      <c r="C509" s="9">
        <v>42137</v>
      </c>
      <c r="D509" s="10" t="s">
        <v>1205</v>
      </c>
      <c r="E509" s="10" t="s">
        <v>93</v>
      </c>
      <c r="F509" s="10" t="s">
        <v>766</v>
      </c>
      <c r="G509" s="10" t="s">
        <v>17</v>
      </c>
      <c r="H509" s="10" t="s">
        <v>73</v>
      </c>
      <c r="I509" s="11">
        <v>2518.9499999999998</v>
      </c>
      <c r="J509" s="10">
        <v>7</v>
      </c>
      <c r="K509" s="20">
        <v>0</v>
      </c>
      <c r="L509" s="11">
        <v>1032.57</v>
      </c>
      <c r="M509" s="10" t="s">
        <v>19</v>
      </c>
      <c r="N509" s="12"/>
      <c r="O509" s="13" t="str">
        <f t="shared" si="49"/>
        <v>Jennifer Ferguson</v>
      </c>
      <c r="P509" s="13" t="str">
        <f t="shared" si="50"/>
        <v>ES</v>
      </c>
      <c r="Q509" s="13" t="str">
        <f t="shared" si="51"/>
        <v>2015</v>
      </c>
      <c r="R509" s="13" t="str">
        <f t="shared" si="52"/>
        <v>MEDIUM</v>
      </c>
      <c r="S509" s="13" t="str">
        <f t="shared" si="53"/>
        <v>technology</v>
      </c>
      <c r="T509" s="21" t="str">
        <f t="shared" si="54"/>
        <v>42132</v>
      </c>
      <c r="U509" s="27" t="s">
        <v>3138</v>
      </c>
      <c r="V509" s="19" t="s">
        <v>2710</v>
      </c>
      <c r="W509" s="30">
        <v>2015</v>
      </c>
      <c r="X509" t="s">
        <v>3138</v>
      </c>
      <c r="Y509" s="28">
        <v>42132</v>
      </c>
      <c r="Z509" s="28" t="str">
        <f t="shared" si="55"/>
        <v>ES-2015-JF15415139-42132</v>
      </c>
    </row>
    <row r="510" spans="1:26" ht="15.75">
      <c r="A510" s="16" t="s">
        <v>1332</v>
      </c>
      <c r="B510" s="4">
        <v>41870</v>
      </c>
      <c r="C510" s="4">
        <v>41871</v>
      </c>
      <c r="D510" s="5" t="s">
        <v>513</v>
      </c>
      <c r="E510" s="5" t="s">
        <v>1333</v>
      </c>
      <c r="F510" s="5" t="s">
        <v>25</v>
      </c>
      <c r="G510" s="5" t="s">
        <v>32</v>
      </c>
      <c r="H510" s="5" t="s">
        <v>151</v>
      </c>
      <c r="I510" s="6">
        <v>1669.248</v>
      </c>
      <c r="J510" s="5">
        <v>12</v>
      </c>
      <c r="K510" s="17">
        <v>0.7</v>
      </c>
      <c r="L510" s="6">
        <v>-1558.15199999999</v>
      </c>
      <c r="M510" s="5" t="s">
        <v>19</v>
      </c>
      <c r="N510" s="7"/>
      <c r="O510" s="8" t="str">
        <f t="shared" si="49"/>
        <v>Michelle Tran</v>
      </c>
      <c r="P510" s="8" t="str">
        <f t="shared" si="50"/>
        <v>NI</v>
      </c>
      <c r="Q510" s="8" t="str">
        <f t="shared" si="51"/>
        <v>2014</v>
      </c>
      <c r="R510" s="8" t="str">
        <f t="shared" si="52"/>
        <v>MEDIUM</v>
      </c>
      <c r="S510" s="8" t="str">
        <f t="shared" si="53"/>
        <v>furniture</v>
      </c>
      <c r="T510" s="18" t="str">
        <f t="shared" si="54"/>
        <v>41870</v>
      </c>
      <c r="U510" s="27" t="s">
        <v>3139</v>
      </c>
      <c r="V510" s="16" t="s">
        <v>3140</v>
      </c>
      <c r="W510" s="30">
        <v>2014</v>
      </c>
      <c r="X510" t="s">
        <v>3139</v>
      </c>
      <c r="Y510" s="28">
        <v>41870</v>
      </c>
      <c r="Z510" s="28" t="str">
        <f t="shared" si="55"/>
        <v>NI-2014-MT807095-41870</v>
      </c>
    </row>
    <row r="511" spans="1:26" ht="15.75">
      <c r="A511" s="19" t="s">
        <v>1334</v>
      </c>
      <c r="B511" s="9">
        <v>41817</v>
      </c>
      <c r="C511" s="9">
        <v>41817</v>
      </c>
      <c r="D511" s="10" t="s">
        <v>1335</v>
      </c>
      <c r="E511" s="10" t="s">
        <v>197</v>
      </c>
      <c r="F511" s="10" t="s">
        <v>77</v>
      </c>
      <c r="G511" s="10" t="s">
        <v>32</v>
      </c>
      <c r="H511" s="10" t="s">
        <v>33</v>
      </c>
      <c r="I511" s="11">
        <v>2476.08</v>
      </c>
      <c r="J511" s="10">
        <v>6</v>
      </c>
      <c r="K511" s="20">
        <v>0</v>
      </c>
      <c r="L511" s="11">
        <v>1015.02</v>
      </c>
      <c r="M511" s="10" t="s">
        <v>37</v>
      </c>
      <c r="N511" s="12"/>
      <c r="O511" s="13" t="str">
        <f t="shared" si="49"/>
        <v>Erica Smith</v>
      </c>
      <c r="P511" s="13" t="str">
        <f t="shared" si="50"/>
        <v>ES</v>
      </c>
      <c r="Q511" s="13" t="str">
        <f t="shared" si="51"/>
        <v>2014</v>
      </c>
      <c r="R511" s="13" t="str">
        <f t="shared" si="52"/>
        <v>HIGH</v>
      </c>
      <c r="S511" s="13" t="str">
        <f t="shared" si="53"/>
        <v>furniture</v>
      </c>
      <c r="T511" s="21" t="str">
        <f t="shared" si="54"/>
        <v>41817</v>
      </c>
      <c r="U511" s="27" t="s">
        <v>3141</v>
      </c>
      <c r="V511" s="19" t="s">
        <v>2710</v>
      </c>
      <c r="W511" s="30">
        <v>2014</v>
      </c>
      <c r="X511" t="s">
        <v>3141</v>
      </c>
      <c r="Y511" s="28">
        <v>41817</v>
      </c>
      <c r="Z511" s="28" t="str">
        <f t="shared" si="55"/>
        <v>ES-2014-ES14020120-41817</v>
      </c>
    </row>
    <row r="512" spans="1:26" ht="15.75">
      <c r="A512" s="16" t="s">
        <v>1349</v>
      </c>
      <c r="B512" s="4">
        <v>42068</v>
      </c>
      <c r="C512" s="4">
        <v>42070</v>
      </c>
      <c r="D512" s="5" t="s">
        <v>405</v>
      </c>
      <c r="E512" s="5" t="s">
        <v>588</v>
      </c>
      <c r="F512" s="5" t="s">
        <v>1350</v>
      </c>
      <c r="G512" s="5" t="s">
        <v>32</v>
      </c>
      <c r="H512" s="5" t="s">
        <v>26</v>
      </c>
      <c r="I512" s="6">
        <v>1136.66399999999</v>
      </c>
      <c r="J512" s="5">
        <v>6</v>
      </c>
      <c r="K512" s="17">
        <v>0.6</v>
      </c>
      <c r="L512" s="6">
        <v>-880.95599999999899</v>
      </c>
      <c r="M512" s="5" t="s">
        <v>37</v>
      </c>
      <c r="N512" s="7"/>
      <c r="O512" s="8" t="str">
        <f t="shared" si="49"/>
        <v>Eugene Hildebrand</v>
      </c>
      <c r="P512" s="8" t="str">
        <f t="shared" si="50"/>
        <v>TU</v>
      </c>
      <c r="Q512" s="8" t="str">
        <f t="shared" si="51"/>
        <v>2015</v>
      </c>
      <c r="R512" s="8" t="str">
        <f t="shared" si="52"/>
        <v>HIGH</v>
      </c>
      <c r="S512" s="8" t="str">
        <f t="shared" si="53"/>
        <v>furniture</v>
      </c>
      <c r="T512" s="18" t="str">
        <f t="shared" si="54"/>
        <v>42068</v>
      </c>
      <c r="U512" s="27" t="s">
        <v>3142</v>
      </c>
      <c r="V512" s="16" t="s">
        <v>3143</v>
      </c>
      <c r="W512" s="30">
        <v>2015</v>
      </c>
      <c r="X512" t="s">
        <v>3142</v>
      </c>
      <c r="Y512" s="28">
        <v>42068</v>
      </c>
      <c r="Z512" s="28" t="str">
        <f t="shared" si="55"/>
        <v>TU-2015-EH4125134-42068</v>
      </c>
    </row>
    <row r="513" spans="1:26" ht="15.75">
      <c r="A513" s="19" t="s">
        <v>1352</v>
      </c>
      <c r="B513" s="9">
        <v>42157</v>
      </c>
      <c r="C513" s="9">
        <v>42159</v>
      </c>
      <c r="D513" s="10" t="s">
        <v>1353</v>
      </c>
      <c r="E513" s="10" t="s">
        <v>141</v>
      </c>
      <c r="F513" s="10" t="s">
        <v>142</v>
      </c>
      <c r="G513" s="10" t="s">
        <v>17</v>
      </c>
      <c r="H513" s="10" t="s">
        <v>23</v>
      </c>
      <c r="I513" s="11">
        <v>1043.9304</v>
      </c>
      <c r="J513" s="10">
        <v>8</v>
      </c>
      <c r="K513" s="20">
        <v>0.47</v>
      </c>
      <c r="L513" s="11">
        <v>-295.50959999999998</v>
      </c>
      <c r="M513" s="10" t="s">
        <v>19</v>
      </c>
      <c r="N513" s="12"/>
      <c r="O513" s="13" t="str">
        <f t="shared" si="49"/>
        <v>Irene Maddox</v>
      </c>
      <c r="P513" s="13" t="str">
        <f t="shared" si="50"/>
        <v>IN</v>
      </c>
      <c r="Q513" s="13" t="str">
        <f t="shared" si="51"/>
        <v>2015</v>
      </c>
      <c r="R513" s="13" t="str">
        <f t="shared" si="52"/>
        <v>MEDIUM</v>
      </c>
      <c r="S513" s="13" t="str">
        <f t="shared" si="53"/>
        <v>technology</v>
      </c>
      <c r="T513" s="21" t="str">
        <f t="shared" si="54"/>
        <v>42157</v>
      </c>
      <c r="U513" s="27" t="s">
        <v>3144</v>
      </c>
      <c r="V513" s="19" t="s">
        <v>2681</v>
      </c>
      <c r="W513" s="30">
        <v>2015</v>
      </c>
      <c r="X513" t="s">
        <v>3144</v>
      </c>
      <c r="Y513" s="28">
        <v>42157</v>
      </c>
      <c r="Z513" s="28" t="str">
        <f t="shared" si="55"/>
        <v>IN-2015-IM1507059-42157</v>
      </c>
    </row>
    <row r="514" spans="1:26" ht="15.75">
      <c r="A514" s="16" t="s">
        <v>1355</v>
      </c>
      <c r="B514" s="4">
        <v>41795</v>
      </c>
      <c r="C514" s="4">
        <v>41799</v>
      </c>
      <c r="D514" s="5" t="s">
        <v>1356</v>
      </c>
      <c r="E514" s="5" t="s">
        <v>1357</v>
      </c>
      <c r="F514" s="5" t="s">
        <v>1358</v>
      </c>
      <c r="G514" s="5" t="s">
        <v>45</v>
      </c>
      <c r="H514" s="5" t="s">
        <v>33</v>
      </c>
      <c r="I514" s="6">
        <v>2180.2439999999901</v>
      </c>
      <c r="J514" s="5">
        <v>11</v>
      </c>
      <c r="K514" s="17">
        <v>0.4</v>
      </c>
      <c r="L514" s="6">
        <v>-690.53599999999904</v>
      </c>
      <c r="M514" s="5" t="s">
        <v>227</v>
      </c>
      <c r="N514" s="7"/>
      <c r="O514" s="8" t="str">
        <f t="shared" ref="O514:O568" si="56">PROPER(D514)</f>
        <v>Dianna Arnett</v>
      </c>
      <c r="P514" s="8" t="str">
        <f t="shared" ref="P514:P568" si="57">LEFT(A514,2)</f>
        <v>US</v>
      </c>
      <c r="Q514" s="8" t="str">
        <f t="shared" ref="Q514:Q568" si="58">MID(A514,4,4)</f>
        <v>2014</v>
      </c>
      <c r="R514" s="8" t="str">
        <f t="shared" ref="R514:R568" si="59">UPPER(M514)</f>
        <v>MEDIUM#</v>
      </c>
      <c r="S514" s="8" t="str">
        <f t="shared" ref="S514:S568" si="60">LOWER(G514)</f>
        <v>office supplies</v>
      </c>
      <c r="T514" s="18" t="str">
        <f t="shared" ref="T514:T568" si="61">RIGHT(A514,5)</f>
        <v>41795</v>
      </c>
      <c r="U514" s="27" t="s">
        <v>3145</v>
      </c>
      <c r="V514" s="16" t="s">
        <v>2685</v>
      </c>
      <c r="W514" s="30">
        <v>2014</v>
      </c>
      <c r="X514" t="s">
        <v>3145</v>
      </c>
      <c r="Y514" s="28">
        <v>41795</v>
      </c>
      <c r="Z514" s="28" t="str">
        <f t="shared" ref="Z514:Z577" si="62">TRIM(A514)</f>
        <v>US-2014-DA1345055-41795</v>
      </c>
    </row>
    <row r="515" spans="1:26" ht="15.75">
      <c r="A515" s="19" t="s">
        <v>1359</v>
      </c>
      <c r="B515" s="9">
        <v>41928</v>
      </c>
      <c r="C515" s="9">
        <v>41930</v>
      </c>
      <c r="D515" s="10" t="s">
        <v>278</v>
      </c>
      <c r="E515" s="10" t="s">
        <v>70</v>
      </c>
      <c r="F515" s="10" t="s">
        <v>71</v>
      </c>
      <c r="G515" s="10" t="s">
        <v>1020</v>
      </c>
      <c r="H515" s="10" t="s">
        <v>127</v>
      </c>
      <c r="I515" s="11">
        <v>1306.4670000000001</v>
      </c>
      <c r="J515" s="10">
        <v>6</v>
      </c>
      <c r="K515" s="20">
        <v>0.15</v>
      </c>
      <c r="L515" s="11">
        <v>107.486999999999</v>
      </c>
      <c r="M515" s="10" t="s">
        <v>37</v>
      </c>
      <c r="N515" s="12"/>
      <c r="O515" s="13" t="str">
        <f t="shared" si="56"/>
        <v>Dave Brooks</v>
      </c>
      <c r="P515" s="13" t="str">
        <f t="shared" si="57"/>
        <v>ES</v>
      </c>
      <c r="Q515" s="13" t="str">
        <f t="shared" si="58"/>
        <v>2014</v>
      </c>
      <c r="R515" s="13" t="str">
        <f t="shared" si="59"/>
        <v>HIGH</v>
      </c>
      <c r="S515" s="13" t="str">
        <f t="shared" si="60"/>
        <v>tecnhology</v>
      </c>
      <c r="T515" s="21" t="str">
        <f t="shared" si="61"/>
        <v>41928</v>
      </c>
      <c r="U515" s="27" t="s">
        <v>3146</v>
      </c>
      <c r="V515" s="19" t="s">
        <v>2710</v>
      </c>
      <c r="W515" s="30">
        <v>2014</v>
      </c>
      <c r="X515" t="s">
        <v>3146</v>
      </c>
      <c r="Y515" s="28">
        <v>41928</v>
      </c>
      <c r="Z515" s="28" t="str">
        <f t="shared" si="62"/>
        <v>ES-2014-DB1306045-41928</v>
      </c>
    </row>
    <row r="516" spans="1:26" ht="15.75">
      <c r="A516" s="16" t="s">
        <v>1362</v>
      </c>
      <c r="B516" s="4">
        <v>41588</v>
      </c>
      <c r="C516" s="4">
        <v>41591</v>
      </c>
      <c r="D516" s="5" t="s">
        <v>1363</v>
      </c>
      <c r="E516" s="5" t="s">
        <v>70</v>
      </c>
      <c r="F516" s="5" t="s">
        <v>71</v>
      </c>
      <c r="G516" s="5" t="s">
        <v>32</v>
      </c>
      <c r="H516" s="5" t="s">
        <v>299</v>
      </c>
      <c r="I516" s="6">
        <v>2012.049</v>
      </c>
      <c r="J516" s="5">
        <v>6</v>
      </c>
      <c r="K516" s="17">
        <v>0.35</v>
      </c>
      <c r="L516" s="6">
        <v>-1021.67099999999</v>
      </c>
      <c r="M516" s="5" t="s">
        <v>19</v>
      </c>
      <c r="N516" s="7"/>
      <c r="O516" s="8" t="str">
        <f t="shared" si="56"/>
        <v>Tamara Chand</v>
      </c>
      <c r="P516" s="8" t="str">
        <f t="shared" si="57"/>
        <v>ES</v>
      </c>
      <c r="Q516" s="8" t="str">
        <f t="shared" si="58"/>
        <v>2013</v>
      </c>
      <c r="R516" s="8" t="str">
        <f t="shared" si="59"/>
        <v>MEDIUM</v>
      </c>
      <c r="S516" s="8" t="str">
        <f t="shared" si="60"/>
        <v>furniture</v>
      </c>
      <c r="T516" s="18" t="str">
        <f t="shared" si="61"/>
        <v>41588</v>
      </c>
      <c r="U516" s="27" t="s">
        <v>3147</v>
      </c>
      <c r="V516" s="16" t="s">
        <v>2710</v>
      </c>
      <c r="W516" s="30">
        <v>2013</v>
      </c>
      <c r="X516" t="s">
        <v>3147</v>
      </c>
      <c r="Y516" s="28">
        <v>41588</v>
      </c>
      <c r="Z516" s="28" t="str">
        <f t="shared" si="62"/>
        <v>ES-2013-TC2098045-41588</v>
      </c>
    </row>
    <row r="517" spans="1:26" ht="15.75">
      <c r="A517" s="19" t="s">
        <v>1369</v>
      </c>
      <c r="B517" s="9">
        <v>41389</v>
      </c>
      <c r="C517" s="9">
        <v>41394</v>
      </c>
      <c r="D517" s="10" t="s">
        <v>1136</v>
      </c>
      <c r="E517" s="10" t="s">
        <v>437</v>
      </c>
      <c r="F517" s="10" t="s">
        <v>438</v>
      </c>
      <c r="G517" s="10" t="s">
        <v>32</v>
      </c>
      <c r="H517" s="10" t="s">
        <v>26</v>
      </c>
      <c r="I517" s="11">
        <v>2182.6799999999998</v>
      </c>
      <c r="J517" s="10">
        <v>6</v>
      </c>
      <c r="K517" s="20">
        <v>0</v>
      </c>
      <c r="L517" s="11">
        <v>327.24</v>
      </c>
      <c r="M517" s="10" t="s">
        <v>19</v>
      </c>
      <c r="N517" s="12"/>
      <c r="O517" s="13" t="str">
        <f t="shared" si="56"/>
        <v>Cari Macintyre</v>
      </c>
      <c r="P517" s="13" t="str">
        <f t="shared" si="57"/>
        <v>SF</v>
      </c>
      <c r="Q517" s="13" t="str">
        <f t="shared" si="58"/>
        <v>2013</v>
      </c>
      <c r="R517" s="13" t="str">
        <f t="shared" si="59"/>
        <v>MEDIUM</v>
      </c>
      <c r="S517" s="13" t="str">
        <f t="shared" si="60"/>
        <v>furniture</v>
      </c>
      <c r="T517" s="21" t="str">
        <f t="shared" si="61"/>
        <v>41389</v>
      </c>
      <c r="U517" s="27" t="s">
        <v>3148</v>
      </c>
      <c r="V517" s="19" t="s">
        <v>2731</v>
      </c>
      <c r="W517" s="30">
        <v>2013</v>
      </c>
      <c r="X517" t="s">
        <v>3148</v>
      </c>
      <c r="Y517" s="28">
        <v>41389</v>
      </c>
      <c r="Z517" s="28" t="str">
        <f t="shared" si="62"/>
        <v>SF-2013-CM1830117-41389</v>
      </c>
    </row>
    <row r="518" spans="1:26" ht="15.75">
      <c r="A518" s="16" t="s">
        <v>1371</v>
      </c>
      <c r="B518" s="4">
        <v>41382</v>
      </c>
      <c r="C518" s="4">
        <v>41385</v>
      </c>
      <c r="D518" s="5" t="s">
        <v>818</v>
      </c>
      <c r="E518" s="5" t="s">
        <v>358</v>
      </c>
      <c r="F518" s="5" t="s">
        <v>1372</v>
      </c>
      <c r="G518" s="5" t="s">
        <v>17</v>
      </c>
      <c r="H518" s="5" t="s">
        <v>151</v>
      </c>
      <c r="I518" s="6">
        <v>1479.36</v>
      </c>
      <c r="J518" s="5">
        <v>12</v>
      </c>
      <c r="K518" s="17">
        <v>0</v>
      </c>
      <c r="L518" s="6">
        <v>103.439999999999</v>
      </c>
      <c r="M518" s="5" t="s">
        <v>1373</v>
      </c>
      <c r="N518" s="7"/>
      <c r="O518" s="8" t="str">
        <f t="shared" si="56"/>
        <v>Meg O'Connel</v>
      </c>
      <c r="P518" s="8" t="str">
        <f t="shared" si="57"/>
        <v>MX</v>
      </c>
      <c r="Q518" s="8" t="str">
        <f t="shared" si="58"/>
        <v>2013</v>
      </c>
      <c r="R518" s="8" t="str">
        <f t="shared" si="59"/>
        <v>EMDIUM</v>
      </c>
      <c r="S518" s="8" t="str">
        <f t="shared" si="60"/>
        <v>technology</v>
      </c>
      <c r="T518" s="18" t="str">
        <f t="shared" si="61"/>
        <v>41382</v>
      </c>
      <c r="U518" s="27" t="s">
        <v>3149</v>
      </c>
      <c r="V518" s="16" t="s">
        <v>2695</v>
      </c>
      <c r="W518" s="30">
        <v>2013</v>
      </c>
      <c r="X518" t="s">
        <v>3149</v>
      </c>
      <c r="Y518" s="28">
        <v>41382</v>
      </c>
      <c r="Z518" s="28" t="str">
        <f t="shared" si="62"/>
        <v>MX-2013-MO1780051-41382</v>
      </c>
    </row>
    <row r="519" spans="1:26" ht="15.75">
      <c r="A519" s="19" t="s">
        <v>1380</v>
      </c>
      <c r="B519" s="9">
        <v>42230</v>
      </c>
      <c r="C519" s="9">
        <v>42234</v>
      </c>
      <c r="D519" s="10" t="s">
        <v>1381</v>
      </c>
      <c r="E519" s="10" t="s">
        <v>713</v>
      </c>
      <c r="F519" s="10" t="s">
        <v>115</v>
      </c>
      <c r="G519" s="10" t="s">
        <v>165</v>
      </c>
      <c r="H519" s="10" t="s">
        <v>44</v>
      </c>
      <c r="I519" s="11">
        <v>1582.11</v>
      </c>
      <c r="J519" s="10">
        <v>6</v>
      </c>
      <c r="K519" s="20">
        <v>0.5</v>
      </c>
      <c r="L519" s="11">
        <v>-886.05</v>
      </c>
      <c r="M519" s="10" t="s">
        <v>37</v>
      </c>
      <c r="N519" s="12"/>
      <c r="O519" s="13" t="str">
        <f t="shared" si="56"/>
        <v>Henry Goldwyn</v>
      </c>
      <c r="P519" s="13" t="str">
        <f t="shared" si="57"/>
        <v xml:space="preserve"> I</v>
      </c>
      <c r="Q519" s="13" t="str">
        <f t="shared" si="58"/>
        <v>-201</v>
      </c>
      <c r="R519" s="13" t="str">
        <f t="shared" si="59"/>
        <v>HIGH</v>
      </c>
      <c r="S519" s="13" t="str">
        <f t="shared" si="60"/>
        <v>office_supplies</v>
      </c>
      <c r="T519" s="21" t="str">
        <f t="shared" si="61"/>
        <v xml:space="preserve">2230 </v>
      </c>
      <c r="U519" s="27" t="s">
        <v>3150</v>
      </c>
      <c r="V519" s="19" t="s">
        <v>2839</v>
      </c>
      <c r="W519" s="30">
        <v>2015</v>
      </c>
      <c r="X519" t="s">
        <v>3150</v>
      </c>
      <c r="Y519" s="28">
        <v>42230</v>
      </c>
      <c r="Z519" s="28" t="str">
        <f t="shared" si="62"/>
        <v>ID-2015-HG1496597-42230</v>
      </c>
    </row>
    <row r="520" spans="1:26" ht="15.75">
      <c r="A520" s="16" t="s">
        <v>1384</v>
      </c>
      <c r="B520" s="4">
        <v>41885</v>
      </c>
      <c r="C520" s="4">
        <v>41891</v>
      </c>
      <c r="D520" s="5" t="s">
        <v>1385</v>
      </c>
      <c r="E520" s="5" t="s">
        <v>358</v>
      </c>
      <c r="F520" s="5" t="s">
        <v>98</v>
      </c>
      <c r="G520" s="5" t="s">
        <v>17</v>
      </c>
      <c r="H520" s="5" t="s">
        <v>73</v>
      </c>
      <c r="I520" s="6">
        <v>2616.96</v>
      </c>
      <c r="J520" s="5">
        <v>6</v>
      </c>
      <c r="K520" s="17">
        <v>0</v>
      </c>
      <c r="L520" s="6">
        <v>26.16</v>
      </c>
      <c r="M520" s="5" t="s">
        <v>19</v>
      </c>
      <c r="N520" s="7"/>
      <c r="O520" s="8" t="str">
        <f t="shared" si="56"/>
        <v>Debra Catini</v>
      </c>
      <c r="P520" s="8" t="str">
        <f t="shared" si="57"/>
        <v>MX</v>
      </c>
      <c r="Q520" s="8" t="str">
        <f t="shared" si="58"/>
        <v>2014</v>
      </c>
      <c r="R520" s="8" t="str">
        <f t="shared" si="59"/>
        <v>MEDIUM</v>
      </c>
      <c r="S520" s="8" t="str">
        <f t="shared" si="60"/>
        <v>technology</v>
      </c>
      <c r="T520" s="18" t="str">
        <f t="shared" si="61"/>
        <v>41885</v>
      </c>
      <c r="U520" s="27" t="s">
        <v>3151</v>
      </c>
      <c r="V520" s="16" t="s">
        <v>2695</v>
      </c>
      <c r="W520" s="30">
        <v>2014</v>
      </c>
      <c r="X520" t="s">
        <v>3151</v>
      </c>
      <c r="Y520" s="28">
        <v>41885</v>
      </c>
      <c r="Z520" s="28" t="str">
        <f t="shared" si="62"/>
        <v>MX-2014-DC1328551-41885</v>
      </c>
    </row>
    <row r="521" spans="1:26" ht="15.75">
      <c r="A521" s="19" t="s">
        <v>1388</v>
      </c>
      <c r="B521" s="9">
        <v>41814</v>
      </c>
      <c r="C521" s="9">
        <v>41821</v>
      </c>
      <c r="D521" s="10" t="s">
        <v>1296</v>
      </c>
      <c r="E521" s="10" t="s">
        <v>903</v>
      </c>
      <c r="F521" s="10" t="s">
        <v>71</v>
      </c>
      <c r="G521" s="10" t="s">
        <v>17</v>
      </c>
      <c r="H521" s="10" t="s">
        <v>26</v>
      </c>
      <c r="I521" s="11">
        <v>3421.71</v>
      </c>
      <c r="J521" s="10">
        <v>9</v>
      </c>
      <c r="K521" s="20">
        <v>0</v>
      </c>
      <c r="L521" s="11">
        <v>1060.56</v>
      </c>
      <c r="M521" s="10" t="s">
        <v>19</v>
      </c>
      <c r="N521" s="12"/>
      <c r="O521" s="13" t="str">
        <f t="shared" si="56"/>
        <v>Tiffany House</v>
      </c>
      <c r="P521" s="13" t="str">
        <f t="shared" si="57"/>
        <v>ES</v>
      </c>
      <c r="Q521" s="13" t="str">
        <f t="shared" si="58"/>
        <v>2014</v>
      </c>
      <c r="R521" s="13" t="str">
        <f t="shared" si="59"/>
        <v>MEDIUM</v>
      </c>
      <c r="S521" s="13" t="str">
        <f t="shared" si="60"/>
        <v>technology</v>
      </c>
      <c r="T521" s="21" t="str">
        <f t="shared" si="61"/>
        <v>41814</v>
      </c>
      <c r="U521" s="27" t="s">
        <v>3152</v>
      </c>
      <c r="V521" s="19" t="s">
        <v>2710</v>
      </c>
      <c r="W521" s="30">
        <v>2014</v>
      </c>
      <c r="X521" t="s">
        <v>3152</v>
      </c>
      <c r="Y521" s="28">
        <v>41814</v>
      </c>
      <c r="Z521" s="28" t="str">
        <f t="shared" si="62"/>
        <v>ES-2014-TH21235125-41814</v>
      </c>
    </row>
    <row r="522" spans="1:26" ht="15.75">
      <c r="A522" s="16" t="s">
        <v>1390</v>
      </c>
      <c r="B522" s="4">
        <v>42132</v>
      </c>
      <c r="C522" s="4">
        <v>42134</v>
      </c>
      <c r="D522" s="5" t="s">
        <v>1391</v>
      </c>
      <c r="E522" s="5" t="s">
        <v>1392</v>
      </c>
      <c r="F522" s="5" t="s">
        <v>61</v>
      </c>
      <c r="G522" s="5" t="s">
        <v>17</v>
      </c>
      <c r="H522" s="5" t="s">
        <v>33</v>
      </c>
      <c r="I522" s="6">
        <v>820.08</v>
      </c>
      <c r="J522" s="5">
        <v>9</v>
      </c>
      <c r="K522" s="17">
        <v>0</v>
      </c>
      <c r="L522" s="6">
        <v>98.28</v>
      </c>
      <c r="M522" s="5" t="s">
        <v>27</v>
      </c>
      <c r="N522" s="7"/>
      <c r="O522" s="8" t="str">
        <f t="shared" si="56"/>
        <v>Jay Kimmel</v>
      </c>
      <c r="P522" s="8" t="str">
        <f t="shared" si="57"/>
        <v>MX</v>
      </c>
      <c r="Q522" s="8" t="str">
        <f t="shared" si="58"/>
        <v>2015</v>
      </c>
      <c r="R522" s="8" t="str">
        <f t="shared" si="59"/>
        <v>CRITICAL</v>
      </c>
      <c r="S522" s="8" t="str">
        <f t="shared" si="60"/>
        <v>technology</v>
      </c>
      <c r="T522" s="18" t="str">
        <f t="shared" si="61"/>
        <v>42132</v>
      </c>
      <c r="U522" s="27" t="s">
        <v>3153</v>
      </c>
      <c r="V522" s="16" t="s">
        <v>2695</v>
      </c>
      <c r="W522" s="30">
        <v>2015</v>
      </c>
      <c r="X522" t="s">
        <v>3153</v>
      </c>
      <c r="Y522" s="28">
        <v>42132</v>
      </c>
      <c r="Z522" s="28" t="str">
        <f t="shared" si="62"/>
        <v>MX-2015-JK15370100-42132</v>
      </c>
    </row>
    <row r="523" spans="1:26" ht="15.75">
      <c r="A523" s="19" t="s">
        <v>1360</v>
      </c>
      <c r="B523" s="9">
        <v>42344</v>
      </c>
      <c r="C523" s="9">
        <v>42348</v>
      </c>
      <c r="D523" s="10" t="s">
        <v>1264</v>
      </c>
      <c r="E523" s="10" t="s">
        <v>40</v>
      </c>
      <c r="F523" s="10" t="s">
        <v>43</v>
      </c>
      <c r="G523" s="10" t="s">
        <v>45</v>
      </c>
      <c r="H523" s="10" t="s">
        <v>26</v>
      </c>
      <c r="I523" s="11">
        <v>14.976000000000001</v>
      </c>
      <c r="J523" s="10">
        <v>6</v>
      </c>
      <c r="K523" s="20">
        <v>0.2</v>
      </c>
      <c r="L523" s="11">
        <v>5.4287999999999901</v>
      </c>
      <c r="M523" s="10" t="s">
        <v>19</v>
      </c>
      <c r="N523" s="12"/>
      <c r="O523" s="13" t="str">
        <f t="shared" si="56"/>
        <v>Alan Barnes</v>
      </c>
      <c r="P523" s="13" t="str">
        <f t="shared" si="57"/>
        <v>CA</v>
      </c>
      <c r="Q523" s="13" t="str">
        <f t="shared" si="58"/>
        <v>2015</v>
      </c>
      <c r="R523" s="13" t="str">
        <f t="shared" si="59"/>
        <v>MEDIUM</v>
      </c>
      <c r="S523" s="13" t="str">
        <f t="shared" si="60"/>
        <v>office supplies</v>
      </c>
      <c r="T523" s="21" t="str">
        <f t="shared" si="61"/>
        <v>42344</v>
      </c>
      <c r="U523" s="27" t="s">
        <v>2865</v>
      </c>
      <c r="V523" s="19" t="s">
        <v>2683</v>
      </c>
      <c r="W523" s="30">
        <v>2015</v>
      </c>
      <c r="X523" t="s">
        <v>2865</v>
      </c>
      <c r="Y523" s="28">
        <v>42344</v>
      </c>
      <c r="Z523" s="28" t="str">
        <f t="shared" si="62"/>
        <v>CA-2015-AB10165140-42344</v>
      </c>
    </row>
    <row r="524" spans="1:26" ht="15.75">
      <c r="A524" s="16" t="s">
        <v>1393</v>
      </c>
      <c r="B524" s="4">
        <v>42048</v>
      </c>
      <c r="C524" s="4">
        <v>42049</v>
      </c>
      <c r="D524" s="5" t="s">
        <v>1394</v>
      </c>
      <c r="E524" s="5" t="s">
        <v>168</v>
      </c>
      <c r="F524" s="5" t="s">
        <v>115</v>
      </c>
      <c r="G524" s="5" t="s">
        <v>32</v>
      </c>
      <c r="H524" s="5" t="s">
        <v>26</v>
      </c>
      <c r="I524" s="6">
        <v>1198.56</v>
      </c>
      <c r="J524" s="5">
        <v>8</v>
      </c>
      <c r="K524" s="17">
        <v>0</v>
      </c>
      <c r="L524" s="6">
        <v>359.52</v>
      </c>
      <c r="M524" s="5" t="s">
        <v>37</v>
      </c>
      <c r="N524" s="7"/>
      <c r="O524" s="8" t="str">
        <f t="shared" si="56"/>
        <v>Cathy Hwang</v>
      </c>
      <c r="P524" s="8" t="str">
        <f t="shared" si="57"/>
        <v>IR</v>
      </c>
      <c r="Q524" s="8" t="str">
        <f t="shared" si="58"/>
        <v>2015</v>
      </c>
      <c r="R524" s="8" t="str">
        <f t="shared" si="59"/>
        <v>HIGH</v>
      </c>
      <c r="S524" s="8" t="str">
        <f t="shared" si="60"/>
        <v>furniture</v>
      </c>
      <c r="T524" s="18" t="str">
        <f t="shared" si="61"/>
        <v>42048</v>
      </c>
      <c r="U524" s="27" t="s">
        <v>3154</v>
      </c>
      <c r="V524" s="16" t="s">
        <v>2781</v>
      </c>
      <c r="W524" s="30">
        <v>2015</v>
      </c>
      <c r="X524" t="s">
        <v>3154</v>
      </c>
      <c r="Y524" s="28">
        <v>42048</v>
      </c>
      <c r="Z524" s="28" t="str">
        <f t="shared" si="62"/>
        <v>IR-2015-CH207060-42048</v>
      </c>
    </row>
    <row r="525" spans="1:26" ht="15.75">
      <c r="A525" s="19" t="s">
        <v>1408</v>
      </c>
      <c r="B525" s="9">
        <v>42141</v>
      </c>
      <c r="C525" s="9">
        <v>42146</v>
      </c>
      <c r="D525" s="10" t="s">
        <v>1409</v>
      </c>
      <c r="E525" s="10" t="s">
        <v>114</v>
      </c>
      <c r="F525" s="10" t="s">
        <v>115</v>
      </c>
      <c r="G525" s="10" t="s">
        <v>32</v>
      </c>
      <c r="H525" s="10" t="s">
        <v>127</v>
      </c>
      <c r="I525" s="11">
        <v>3094.56</v>
      </c>
      <c r="J525" s="10">
        <v>6</v>
      </c>
      <c r="K525" s="20">
        <v>0</v>
      </c>
      <c r="L525" s="11">
        <v>1423.44</v>
      </c>
      <c r="M525" s="10" t="s">
        <v>19</v>
      </c>
      <c r="N525" s="12"/>
      <c r="O525" s="13" t="str">
        <f t="shared" si="56"/>
        <v>Denny Ordway</v>
      </c>
      <c r="P525" s="13" t="str">
        <f t="shared" si="57"/>
        <v>IN</v>
      </c>
      <c r="Q525" s="13" t="str">
        <f t="shared" si="58"/>
        <v>2015</v>
      </c>
      <c r="R525" s="13" t="str">
        <f t="shared" si="59"/>
        <v>MEDIUM</v>
      </c>
      <c r="S525" s="13" t="str">
        <f t="shared" si="60"/>
        <v>furniture</v>
      </c>
      <c r="T525" s="21" t="str">
        <f t="shared" si="61"/>
        <v>42141</v>
      </c>
      <c r="U525" s="27" t="s">
        <v>3155</v>
      </c>
      <c r="V525" s="19" t="s">
        <v>2681</v>
      </c>
      <c r="W525" s="30">
        <v>2015</v>
      </c>
      <c r="X525" t="s">
        <v>3155</v>
      </c>
      <c r="Y525" s="28">
        <v>42141</v>
      </c>
      <c r="Z525" s="28" t="str">
        <f t="shared" si="62"/>
        <v>IN-2015-DO1343558-42141</v>
      </c>
    </row>
    <row r="526" spans="1:26" ht="15.75">
      <c r="A526" s="16" t="s">
        <v>1410</v>
      </c>
      <c r="B526" s="4">
        <v>41752</v>
      </c>
      <c r="C526" s="4">
        <v>41754</v>
      </c>
      <c r="D526" s="5" t="s">
        <v>1411</v>
      </c>
      <c r="E526" s="5" t="s">
        <v>358</v>
      </c>
      <c r="F526" s="5" t="s">
        <v>98</v>
      </c>
      <c r="G526" s="5" t="s">
        <v>17</v>
      </c>
      <c r="H526" s="5" t="s">
        <v>44</v>
      </c>
      <c r="I526" s="6">
        <v>882.03239999999903</v>
      </c>
      <c r="J526" s="5">
        <v>9</v>
      </c>
      <c r="K526" s="17">
        <v>2E-3</v>
      </c>
      <c r="L526" s="6">
        <v>148.35239999999999</v>
      </c>
      <c r="M526" s="5" t="s">
        <v>37</v>
      </c>
      <c r="N526" s="7"/>
      <c r="O526" s="8" t="str">
        <f t="shared" si="56"/>
        <v>Susan Gilcrest</v>
      </c>
      <c r="P526" s="8" t="str">
        <f t="shared" si="57"/>
        <v>MX</v>
      </c>
      <c r="Q526" s="8" t="str">
        <f t="shared" si="58"/>
        <v>2014</v>
      </c>
      <c r="R526" s="8" t="str">
        <f t="shared" si="59"/>
        <v>HIGH</v>
      </c>
      <c r="S526" s="8" t="str">
        <f t="shared" si="60"/>
        <v>technology</v>
      </c>
      <c r="T526" s="18" t="str">
        <f t="shared" si="61"/>
        <v>41752</v>
      </c>
      <c r="U526" s="27" t="s">
        <v>3156</v>
      </c>
      <c r="V526" s="16" t="s">
        <v>2695</v>
      </c>
      <c r="W526" s="30">
        <v>2014</v>
      </c>
      <c r="X526" t="s">
        <v>3156</v>
      </c>
      <c r="Y526" s="28">
        <v>41752</v>
      </c>
      <c r="Z526" s="28" t="str">
        <f t="shared" si="62"/>
        <v>MX-2014-SG2089051-41752</v>
      </c>
    </row>
    <row r="527" spans="1:26" ht="15.75">
      <c r="A527" s="19" t="s">
        <v>145</v>
      </c>
      <c r="B527" s="9">
        <v>42273</v>
      </c>
      <c r="C527" s="9">
        <v>42275</v>
      </c>
      <c r="D527" s="10" t="s">
        <v>146</v>
      </c>
      <c r="E527" s="10" t="s">
        <v>114</v>
      </c>
      <c r="F527" s="10" t="s">
        <v>115</v>
      </c>
      <c r="G527" s="10" t="s">
        <v>32</v>
      </c>
      <c r="H527" s="10" t="s">
        <v>33</v>
      </c>
      <c r="I527" s="11">
        <v>2871.54</v>
      </c>
      <c r="J527" s="10">
        <v>7</v>
      </c>
      <c r="K527" s="20">
        <v>0</v>
      </c>
      <c r="L527" s="11">
        <v>57.33</v>
      </c>
      <c r="M527" s="10" t="s">
        <v>19</v>
      </c>
      <c r="N527" s="12"/>
      <c r="O527" s="13" t="str">
        <f t="shared" si="56"/>
        <v>Vivek Grady</v>
      </c>
      <c r="P527" s="13" t="str">
        <f t="shared" si="57"/>
        <v>IN</v>
      </c>
      <c r="Q527" s="13" t="str">
        <f t="shared" si="58"/>
        <v>2015</v>
      </c>
      <c r="R527" s="13" t="str">
        <f t="shared" si="59"/>
        <v>MEDIUM</v>
      </c>
      <c r="S527" s="13" t="str">
        <f t="shared" si="60"/>
        <v>furniture</v>
      </c>
      <c r="T527" s="21" t="str">
        <f t="shared" si="61"/>
        <v>42273</v>
      </c>
      <c r="U527" s="27" t="s">
        <v>2962</v>
      </c>
      <c r="V527" s="19" t="s">
        <v>2681</v>
      </c>
      <c r="W527" s="30">
        <v>2015</v>
      </c>
      <c r="X527" t="s">
        <v>2962</v>
      </c>
      <c r="Y527" s="28">
        <v>42273</v>
      </c>
      <c r="Z527" s="28" t="str">
        <f t="shared" si="62"/>
        <v>IN-2015-VG2180558-42273</v>
      </c>
    </row>
    <row r="528" spans="1:26" ht="15.75">
      <c r="A528" s="16" t="s">
        <v>1436</v>
      </c>
      <c r="B528" s="4">
        <v>42178</v>
      </c>
      <c r="C528" s="4">
        <v>42178</v>
      </c>
      <c r="D528" s="5" t="s">
        <v>1101</v>
      </c>
      <c r="E528" s="5" t="s">
        <v>464</v>
      </c>
      <c r="F528" s="5" t="s">
        <v>87</v>
      </c>
      <c r="G528" s="5" t="s">
        <v>17</v>
      </c>
      <c r="H528" s="5" t="s">
        <v>127</v>
      </c>
      <c r="I528" s="6">
        <v>827.28</v>
      </c>
      <c r="J528" s="5">
        <v>6</v>
      </c>
      <c r="K528" s="17">
        <v>0</v>
      </c>
      <c r="L528" s="6">
        <v>397.07999999999902</v>
      </c>
      <c r="M528" s="5" t="s">
        <v>37</v>
      </c>
      <c r="N528" s="7"/>
      <c r="O528" s="8" t="str">
        <f t="shared" si="56"/>
        <v>Theresa Coyne</v>
      </c>
      <c r="P528" s="8" t="str">
        <f t="shared" si="57"/>
        <v>RS</v>
      </c>
      <c r="Q528" s="8" t="str">
        <f t="shared" si="58"/>
        <v>2015</v>
      </c>
      <c r="R528" s="8" t="str">
        <f t="shared" si="59"/>
        <v>HIGH</v>
      </c>
      <c r="S528" s="8" t="str">
        <f t="shared" si="60"/>
        <v>technology</v>
      </c>
      <c r="T528" s="18" t="str">
        <f t="shared" si="61"/>
        <v>42178</v>
      </c>
      <c r="U528" s="27" t="s">
        <v>3157</v>
      </c>
      <c r="V528" s="16" t="s">
        <v>2824</v>
      </c>
      <c r="W528" s="30">
        <v>2015</v>
      </c>
      <c r="X528" t="s">
        <v>3157</v>
      </c>
      <c r="Y528" s="28">
        <v>42178</v>
      </c>
      <c r="Z528" s="28" t="str">
        <f t="shared" si="62"/>
        <v>RS-2015-TC11145108-42178</v>
      </c>
    </row>
    <row r="529" spans="1:26" ht="15.75">
      <c r="A529" s="19" t="s">
        <v>1439</v>
      </c>
      <c r="B529" s="9">
        <v>42182</v>
      </c>
      <c r="C529" s="9">
        <v>42187</v>
      </c>
      <c r="D529" s="10" t="s">
        <v>454</v>
      </c>
      <c r="E529" s="10" t="s">
        <v>114</v>
      </c>
      <c r="F529" s="10" t="s">
        <v>115</v>
      </c>
      <c r="G529" s="10" t="s">
        <v>17</v>
      </c>
      <c r="H529" s="10" t="s">
        <v>26</v>
      </c>
      <c r="I529" s="11">
        <v>2098.3200000000002</v>
      </c>
      <c r="J529" s="10">
        <v>8</v>
      </c>
      <c r="K529" s="20">
        <v>0</v>
      </c>
      <c r="L529" s="11">
        <v>860.16</v>
      </c>
      <c r="M529" s="10" t="s">
        <v>19</v>
      </c>
      <c r="N529" s="12"/>
      <c r="O529" s="13" t="str">
        <f t="shared" si="56"/>
        <v>Denise Monton</v>
      </c>
      <c r="P529" s="13" t="str">
        <f t="shared" si="57"/>
        <v>IN</v>
      </c>
      <c r="Q529" s="13" t="str">
        <f t="shared" si="58"/>
        <v>2015</v>
      </c>
      <c r="R529" s="13" t="str">
        <f t="shared" si="59"/>
        <v>MEDIUM</v>
      </c>
      <c r="S529" s="13" t="str">
        <f t="shared" si="60"/>
        <v>technology</v>
      </c>
      <c r="T529" s="21" t="str">
        <f t="shared" si="61"/>
        <v>42182</v>
      </c>
      <c r="U529" s="27" t="s">
        <v>3158</v>
      </c>
      <c r="V529" s="19" t="s">
        <v>2681</v>
      </c>
      <c r="W529" s="30">
        <v>2015</v>
      </c>
      <c r="X529" t="s">
        <v>3158</v>
      </c>
      <c r="Y529" s="28">
        <v>42182</v>
      </c>
      <c r="Z529" s="28" t="str">
        <f t="shared" si="62"/>
        <v>IN-2015-DM1334558-42182</v>
      </c>
    </row>
    <row r="530" spans="1:26" ht="15.75">
      <c r="A530" s="16" t="s">
        <v>1447</v>
      </c>
      <c r="B530" s="4">
        <v>42251</v>
      </c>
      <c r="C530" s="4">
        <v>42255</v>
      </c>
      <c r="D530" s="5" t="s">
        <v>1448</v>
      </c>
      <c r="E530" s="5" t="s">
        <v>76</v>
      </c>
      <c r="F530" s="5" t="s">
        <v>77</v>
      </c>
      <c r="G530" s="5" t="s">
        <v>32</v>
      </c>
      <c r="H530" s="5" t="s">
        <v>73</v>
      </c>
      <c r="I530" s="6">
        <v>2927.2799999999902</v>
      </c>
      <c r="J530" s="5">
        <v>8</v>
      </c>
      <c r="K530" s="17">
        <v>0</v>
      </c>
      <c r="L530" s="6">
        <v>146.16</v>
      </c>
      <c r="M530" s="5" t="s">
        <v>19</v>
      </c>
      <c r="N530" s="7"/>
      <c r="O530" s="8" t="str">
        <f t="shared" si="56"/>
        <v xml:space="preserve"> Barry Gonzalez </v>
      </c>
      <c r="P530" s="8" t="str">
        <f t="shared" si="57"/>
        <v>ES</v>
      </c>
      <c r="Q530" s="8" t="str">
        <f t="shared" si="58"/>
        <v>2015</v>
      </c>
      <c r="R530" s="8" t="str">
        <f t="shared" si="59"/>
        <v>MEDIUM</v>
      </c>
      <c r="S530" s="8" t="str">
        <f t="shared" si="60"/>
        <v>furniture</v>
      </c>
      <c r="T530" s="18" t="str">
        <f t="shared" si="61"/>
        <v>42251</v>
      </c>
      <c r="U530" s="27" t="s">
        <v>3159</v>
      </c>
      <c r="V530" s="16" t="s">
        <v>2710</v>
      </c>
      <c r="W530" s="30">
        <v>2015</v>
      </c>
      <c r="X530" t="s">
        <v>3159</v>
      </c>
      <c r="Y530" s="28">
        <v>42251</v>
      </c>
      <c r="Z530" s="28" t="str">
        <f t="shared" si="62"/>
        <v>ES-2015-BG1103564-42251</v>
      </c>
    </row>
    <row r="531" spans="1:26" ht="15.75">
      <c r="A531" s="19" t="s">
        <v>1449</v>
      </c>
      <c r="B531" s="9">
        <v>41439</v>
      </c>
      <c r="C531" s="10" t="s">
        <v>1450</v>
      </c>
      <c r="D531" s="10" t="s">
        <v>373</v>
      </c>
      <c r="E531" s="10" t="s">
        <v>40</v>
      </c>
      <c r="F531" s="10" t="s">
        <v>111</v>
      </c>
      <c r="G531" s="10" t="s">
        <v>32</v>
      </c>
      <c r="H531" s="10" t="s">
        <v>299</v>
      </c>
      <c r="I531" s="11">
        <v>51.072000000000003</v>
      </c>
      <c r="J531" s="10">
        <v>6</v>
      </c>
      <c r="K531" s="20">
        <v>0.2</v>
      </c>
      <c r="L531" s="11">
        <v>5.1071999999999997</v>
      </c>
      <c r="M531" s="10" t="s">
        <v>37</v>
      </c>
      <c r="N531" s="12"/>
      <c r="O531" s="13" t="str">
        <f t="shared" si="56"/>
        <v>Alan Dominguez</v>
      </c>
      <c r="P531" s="13" t="str">
        <f t="shared" si="57"/>
        <v>CA</v>
      </c>
      <c r="Q531" s="13" t="str">
        <f t="shared" si="58"/>
        <v>2013</v>
      </c>
      <c r="R531" s="13" t="str">
        <f t="shared" si="59"/>
        <v>HIGH</v>
      </c>
      <c r="S531" s="13" t="str">
        <f t="shared" si="60"/>
        <v>furniture</v>
      </c>
      <c r="T531" s="21" t="str">
        <f t="shared" si="61"/>
        <v>41439</v>
      </c>
      <c r="U531" s="27" t="s">
        <v>2894</v>
      </c>
      <c r="V531" s="19" t="s">
        <v>2683</v>
      </c>
      <c r="W531" s="30">
        <v>2013</v>
      </c>
      <c r="X531" t="s">
        <v>2894</v>
      </c>
      <c r="Y531" s="28">
        <v>41439</v>
      </c>
      <c r="Z531" s="28" t="str">
        <f t="shared" si="62"/>
        <v>CA-2013-AD10180140-41439</v>
      </c>
    </row>
    <row r="532" spans="1:26" ht="15.75">
      <c r="A532" s="16" t="s">
        <v>1452</v>
      </c>
      <c r="B532" s="4">
        <v>42022</v>
      </c>
      <c r="C532" s="4">
        <v>42026</v>
      </c>
      <c r="D532" s="5" t="s">
        <v>1453</v>
      </c>
      <c r="E532" s="5" t="s">
        <v>713</v>
      </c>
      <c r="F532" s="5" t="s">
        <v>115</v>
      </c>
      <c r="G532" s="5" t="s">
        <v>45</v>
      </c>
      <c r="H532" s="5" t="s">
        <v>33</v>
      </c>
      <c r="I532" s="6">
        <v>2117.2199999999998</v>
      </c>
      <c r="J532" s="5">
        <v>14</v>
      </c>
      <c r="K532" s="17">
        <v>0.5</v>
      </c>
      <c r="L532" s="6">
        <v>-1736.27999999999</v>
      </c>
      <c r="M532" s="5" t="s">
        <v>37</v>
      </c>
      <c r="N532" s="7"/>
      <c r="O532" s="8" t="str">
        <f t="shared" si="56"/>
        <v>Michael Granlund</v>
      </c>
      <c r="P532" s="8" t="str">
        <f t="shared" si="57"/>
        <v>IN</v>
      </c>
      <c r="Q532" s="8" t="str">
        <f t="shared" si="58"/>
        <v>2015</v>
      </c>
      <c r="R532" s="8" t="str">
        <f t="shared" si="59"/>
        <v>HIGH</v>
      </c>
      <c r="S532" s="8" t="str">
        <f t="shared" si="60"/>
        <v>office supplies</v>
      </c>
      <c r="T532" s="18" t="str">
        <f t="shared" si="61"/>
        <v>42022</v>
      </c>
      <c r="U532" s="27" t="s">
        <v>3160</v>
      </c>
      <c r="V532" s="16" t="s">
        <v>2681</v>
      </c>
      <c r="W532" s="30">
        <v>2015</v>
      </c>
      <c r="X532" t="s">
        <v>3160</v>
      </c>
      <c r="Y532" s="28">
        <v>42022</v>
      </c>
      <c r="Z532" s="28" t="str">
        <f t="shared" si="62"/>
        <v>IN-2015-MG1789097-42022</v>
      </c>
    </row>
    <row r="533" spans="1:26" ht="15.75">
      <c r="A533" s="19" t="s">
        <v>1454</v>
      </c>
      <c r="B533" s="9">
        <v>42181</v>
      </c>
      <c r="C533" s="9">
        <v>42186</v>
      </c>
      <c r="D533" s="10" t="s">
        <v>54</v>
      </c>
      <c r="E533" s="10" t="s">
        <v>689</v>
      </c>
      <c r="F533" s="10" t="s">
        <v>142</v>
      </c>
      <c r="G533" s="10" t="s">
        <v>32</v>
      </c>
      <c r="H533" s="10" t="s">
        <v>73</v>
      </c>
      <c r="I533" s="11">
        <v>2747.7</v>
      </c>
      <c r="J533" s="10">
        <v>6</v>
      </c>
      <c r="K533" s="20">
        <v>0</v>
      </c>
      <c r="L533" s="11">
        <v>82.26</v>
      </c>
      <c r="M533" s="10" t="s">
        <v>19</v>
      </c>
      <c r="N533" s="12"/>
      <c r="O533" s="13" t="str">
        <f t="shared" si="56"/>
        <v>Magdelene Morse</v>
      </c>
      <c r="P533" s="13" t="str">
        <f t="shared" si="57"/>
        <v>ID</v>
      </c>
      <c r="Q533" s="13" t="str">
        <f t="shared" si="58"/>
        <v>2015</v>
      </c>
      <c r="R533" s="13" t="str">
        <f t="shared" si="59"/>
        <v>MEDIUM</v>
      </c>
      <c r="S533" s="13" t="str">
        <f t="shared" si="60"/>
        <v>furniture</v>
      </c>
      <c r="T533" s="21" t="str">
        <f t="shared" si="61"/>
        <v>42181</v>
      </c>
      <c r="U533" s="27" t="s">
        <v>3161</v>
      </c>
      <c r="V533" s="19" t="s">
        <v>2705</v>
      </c>
      <c r="W533" s="30">
        <v>2015</v>
      </c>
      <c r="X533" t="s">
        <v>3161</v>
      </c>
      <c r="Y533" s="28">
        <v>42181</v>
      </c>
      <c r="Z533" s="28" t="str">
        <f t="shared" si="62"/>
        <v>ID-2015-MM1726078-42181</v>
      </c>
    </row>
    <row r="534" spans="1:26" ht="15.75">
      <c r="A534" s="16" t="s">
        <v>1456</v>
      </c>
      <c r="B534" s="4">
        <v>41462</v>
      </c>
      <c r="C534" s="4">
        <v>41467</v>
      </c>
      <c r="D534" s="5" t="s">
        <v>1457</v>
      </c>
      <c r="E534" s="5" t="s">
        <v>1458</v>
      </c>
      <c r="F534" s="5" t="s">
        <v>169</v>
      </c>
      <c r="G534" s="5" t="s">
        <v>17</v>
      </c>
      <c r="H534" s="5" t="s">
        <v>23</v>
      </c>
      <c r="I534" s="6">
        <v>1591.56</v>
      </c>
      <c r="J534" s="5">
        <v>12</v>
      </c>
      <c r="K534" s="17">
        <v>0</v>
      </c>
      <c r="L534" s="6">
        <v>79.56</v>
      </c>
      <c r="M534" s="5" t="s">
        <v>19</v>
      </c>
      <c r="N534" s="7"/>
      <c r="O534" s="8" t="str">
        <f t="shared" si="56"/>
        <v>Christopher Conant</v>
      </c>
      <c r="P534" s="8" t="str">
        <f t="shared" si="57"/>
        <v>IN</v>
      </c>
      <c r="Q534" s="8" t="str">
        <f t="shared" si="58"/>
        <v>2013</v>
      </c>
      <c r="R534" s="8" t="str">
        <f t="shared" si="59"/>
        <v>MEDIUM</v>
      </c>
      <c r="S534" s="8" t="str">
        <f t="shared" si="60"/>
        <v>technology</v>
      </c>
      <c r="T534" s="18" t="str">
        <f t="shared" si="61"/>
        <v>41462</v>
      </c>
      <c r="U534" s="27" t="s">
        <v>3162</v>
      </c>
      <c r="V534" s="16" t="s">
        <v>2681</v>
      </c>
      <c r="W534" s="30">
        <v>2013</v>
      </c>
      <c r="X534" t="s">
        <v>3162</v>
      </c>
      <c r="Y534" s="28">
        <v>41462</v>
      </c>
      <c r="Z534" s="28" t="str">
        <f t="shared" si="62"/>
        <v>IN-2013-CC1237011-41462</v>
      </c>
    </row>
    <row r="535" spans="1:26" ht="15.75">
      <c r="A535" s="19" t="s">
        <v>1461</v>
      </c>
      <c r="B535" s="9">
        <v>41615</v>
      </c>
      <c r="C535" s="9">
        <v>41617</v>
      </c>
      <c r="D535" s="10" t="s">
        <v>898</v>
      </c>
      <c r="E535" s="10" t="s">
        <v>141</v>
      </c>
      <c r="F535" s="10" t="s">
        <v>142</v>
      </c>
      <c r="G535" s="10" t="s">
        <v>45</v>
      </c>
      <c r="H535" s="10" t="s">
        <v>127</v>
      </c>
      <c r="I535" s="11">
        <v>1053.8676</v>
      </c>
      <c r="J535" s="10">
        <v>6</v>
      </c>
      <c r="K535" s="20">
        <v>0.17</v>
      </c>
      <c r="L535" s="11">
        <v>-152.49239999999901</v>
      </c>
      <c r="M535" s="10" t="s">
        <v>37</v>
      </c>
      <c r="N535" s="12"/>
      <c r="O535" s="13" t="str">
        <f t="shared" si="56"/>
        <v>Cassandra Brandow</v>
      </c>
      <c r="P535" s="13" t="str">
        <f t="shared" si="57"/>
        <v>ID</v>
      </c>
      <c r="Q535" s="13" t="str">
        <f t="shared" si="58"/>
        <v>2013</v>
      </c>
      <c r="R535" s="13" t="str">
        <f t="shared" si="59"/>
        <v>HIGH</v>
      </c>
      <c r="S535" s="13" t="str">
        <f t="shared" si="60"/>
        <v>office supplies</v>
      </c>
      <c r="T535" s="21" t="str">
        <f t="shared" si="61"/>
        <v>41615</v>
      </c>
      <c r="U535" s="27" t="s">
        <v>3163</v>
      </c>
      <c r="V535" s="19" t="s">
        <v>2705</v>
      </c>
      <c r="W535" s="30">
        <v>2013</v>
      </c>
      <c r="X535" t="s">
        <v>3163</v>
      </c>
      <c r="Y535" s="28">
        <v>41615</v>
      </c>
      <c r="Z535" s="28" t="str">
        <f t="shared" si="62"/>
        <v>ID-2013-CB1202559-41615</v>
      </c>
    </row>
    <row r="536" spans="1:26" ht="15.75">
      <c r="A536" s="16" t="s">
        <v>1465</v>
      </c>
      <c r="B536" s="4">
        <v>41962</v>
      </c>
      <c r="C536" s="4">
        <v>41968</v>
      </c>
      <c r="D536" s="5" t="s">
        <v>697</v>
      </c>
      <c r="E536" s="5" t="s">
        <v>358</v>
      </c>
      <c r="F536" s="5" t="s">
        <v>98</v>
      </c>
      <c r="G536" s="5" t="s">
        <v>32</v>
      </c>
      <c r="H536" s="5" t="s">
        <v>46</v>
      </c>
      <c r="I536" s="6">
        <v>2040.92</v>
      </c>
      <c r="J536" s="5">
        <v>7</v>
      </c>
      <c r="K536" s="17">
        <v>0</v>
      </c>
      <c r="L536" s="6">
        <v>959.14</v>
      </c>
      <c r="M536" s="5" t="s">
        <v>74</v>
      </c>
      <c r="N536" s="7"/>
      <c r="O536" s="8" t="str">
        <f t="shared" si="56"/>
        <v>Shirley Jackson</v>
      </c>
      <c r="P536" s="8" t="str">
        <f t="shared" si="57"/>
        <v>MX</v>
      </c>
      <c r="Q536" s="8" t="str">
        <f t="shared" si="58"/>
        <v>2014</v>
      </c>
      <c r="R536" s="8" t="str">
        <f t="shared" si="59"/>
        <v>LOW</v>
      </c>
      <c r="S536" s="8" t="str">
        <f t="shared" si="60"/>
        <v>furniture</v>
      </c>
      <c r="T536" s="18" t="str">
        <f t="shared" si="61"/>
        <v>41962</v>
      </c>
      <c r="U536" s="27" t="s">
        <v>3164</v>
      </c>
      <c r="V536" s="16" t="s">
        <v>2695</v>
      </c>
      <c r="W536" s="30">
        <v>2014</v>
      </c>
      <c r="X536" t="s">
        <v>3164</v>
      </c>
      <c r="Y536" s="28">
        <v>41962</v>
      </c>
      <c r="Z536" s="28" t="str">
        <f t="shared" si="62"/>
        <v>MX-2014-SJ2050051-41962</v>
      </c>
    </row>
    <row r="537" spans="1:26" ht="15.75">
      <c r="A537" s="19" t="s">
        <v>1466</v>
      </c>
      <c r="B537" s="9">
        <v>42249</v>
      </c>
      <c r="C537" s="9">
        <v>42251</v>
      </c>
      <c r="D537" s="10" t="s">
        <v>1400</v>
      </c>
      <c r="E537" s="10" t="s">
        <v>70</v>
      </c>
      <c r="F537" s="10" t="s">
        <v>71</v>
      </c>
      <c r="G537" s="10" t="s">
        <v>1467</v>
      </c>
      <c r="H537" s="10" t="s">
        <v>127</v>
      </c>
      <c r="I537" s="11">
        <v>1068.7139999999999</v>
      </c>
      <c r="J537" s="10">
        <v>6</v>
      </c>
      <c r="K537" s="20">
        <v>0.1</v>
      </c>
      <c r="L537" s="11">
        <v>-0.126000000000004</v>
      </c>
      <c r="M537" s="10" t="s">
        <v>37</v>
      </c>
      <c r="N537" s="12"/>
      <c r="O537" s="13" t="str">
        <f t="shared" si="56"/>
        <v>Michael Chen</v>
      </c>
      <c r="P537" s="13" t="str">
        <f t="shared" si="57"/>
        <v>IT</v>
      </c>
      <c r="Q537" s="13" t="str">
        <f t="shared" si="58"/>
        <v>2015</v>
      </c>
      <c r="R537" s="13" t="str">
        <f t="shared" si="59"/>
        <v>HIGH</v>
      </c>
      <c r="S537" s="13" t="str">
        <f t="shared" si="60"/>
        <v>office suppiles</v>
      </c>
      <c r="T537" s="21" t="str">
        <f t="shared" si="61"/>
        <v>42249</v>
      </c>
      <c r="U537" s="27" t="s">
        <v>3165</v>
      </c>
      <c r="V537" s="19" t="s">
        <v>2690</v>
      </c>
      <c r="W537" s="30">
        <v>2015</v>
      </c>
      <c r="X537" t="s">
        <v>3165</v>
      </c>
      <c r="Y537" s="28">
        <v>42249</v>
      </c>
      <c r="Z537" s="28" t="str">
        <f t="shared" si="62"/>
        <v>IT-2015-MC1784545-42249</v>
      </c>
    </row>
    <row r="538" spans="1:26" ht="15.75">
      <c r="A538" s="16" t="s">
        <v>1475</v>
      </c>
      <c r="B538" s="4">
        <v>41800</v>
      </c>
      <c r="C538" s="4">
        <v>41805</v>
      </c>
      <c r="D538" s="5" t="s">
        <v>1476</v>
      </c>
      <c r="E538" s="5" t="s">
        <v>511</v>
      </c>
      <c r="F538" s="5" t="s">
        <v>61</v>
      </c>
      <c r="G538" s="5" t="s">
        <v>32</v>
      </c>
      <c r="H538" s="5" t="s">
        <v>127</v>
      </c>
      <c r="I538" s="6">
        <v>1682.74799999999</v>
      </c>
      <c r="J538" s="5">
        <v>9</v>
      </c>
      <c r="K538" s="17">
        <v>0.4</v>
      </c>
      <c r="L538" s="6">
        <v>-813.49199999999905</v>
      </c>
      <c r="M538" s="5" t="s">
        <v>37</v>
      </c>
      <c r="N538" s="7"/>
      <c r="O538" s="8" t="str">
        <f t="shared" si="56"/>
        <v>Vivek Gonzalez</v>
      </c>
      <c r="P538" s="8" t="str">
        <f t="shared" si="57"/>
        <v>US</v>
      </c>
      <c r="Q538" s="8" t="str">
        <f t="shared" si="58"/>
        <v>2014</v>
      </c>
      <c r="R538" s="8" t="str">
        <f t="shared" si="59"/>
        <v>HIGH</v>
      </c>
      <c r="S538" s="8" t="str">
        <f t="shared" si="60"/>
        <v>furniture</v>
      </c>
      <c r="T538" s="18" t="str">
        <f t="shared" si="61"/>
        <v>1800#</v>
      </c>
      <c r="U538" s="27" t="s">
        <v>3166</v>
      </c>
      <c r="V538" s="16" t="s">
        <v>2685</v>
      </c>
      <c r="W538" s="30">
        <v>2014</v>
      </c>
      <c r="X538" t="s">
        <v>3166</v>
      </c>
      <c r="Y538" s="28" t="s">
        <v>3167</v>
      </c>
      <c r="Z538" s="28" t="str">
        <f t="shared" si="62"/>
        <v>US-2014-VG217905-41800#</v>
      </c>
    </row>
    <row r="539" spans="1:26" ht="15.75">
      <c r="A539" s="19" t="s">
        <v>1485</v>
      </c>
      <c r="B539" s="9">
        <v>41999</v>
      </c>
      <c r="C539" s="9">
        <v>42005</v>
      </c>
      <c r="D539" s="10" t="s">
        <v>1486</v>
      </c>
      <c r="E539" s="10" t="s">
        <v>70</v>
      </c>
      <c r="F539" s="10" t="s">
        <v>71</v>
      </c>
      <c r="G539" s="10" t="s">
        <v>17</v>
      </c>
      <c r="H539" s="10" t="s">
        <v>151</v>
      </c>
      <c r="I539" s="11">
        <v>2764.3274999999999</v>
      </c>
      <c r="J539" s="10">
        <v>11</v>
      </c>
      <c r="K539" s="20">
        <v>0.15</v>
      </c>
      <c r="L539" s="11">
        <v>-195.4425</v>
      </c>
      <c r="M539" s="10" t="s">
        <v>19</v>
      </c>
      <c r="N539" s="12"/>
      <c r="O539" s="13" t="str">
        <f t="shared" si="56"/>
        <v>Shahid Shariari</v>
      </c>
      <c r="P539" s="13" t="str">
        <f t="shared" si="57"/>
        <v>ES</v>
      </c>
      <c r="Q539" s="13" t="str">
        <f t="shared" si="58"/>
        <v>2014</v>
      </c>
      <c r="R539" s="13" t="str">
        <f t="shared" si="59"/>
        <v>MEDIUM</v>
      </c>
      <c r="S539" s="13" t="str">
        <f t="shared" si="60"/>
        <v>technology</v>
      </c>
      <c r="T539" s="21" t="str">
        <f t="shared" si="61"/>
        <v>41999</v>
      </c>
      <c r="U539" s="27" t="s">
        <v>3168</v>
      </c>
      <c r="V539" s="19" t="s">
        <v>2710</v>
      </c>
      <c r="W539" s="30">
        <v>2014</v>
      </c>
      <c r="X539" t="s">
        <v>3168</v>
      </c>
      <c r="Y539" s="28">
        <v>41999</v>
      </c>
      <c r="Z539" s="28" t="str">
        <f t="shared" si="62"/>
        <v>ES-2014-SS2041045-41999</v>
      </c>
    </row>
    <row r="540" spans="1:26" ht="15.75">
      <c r="A540" s="16" t="s">
        <v>1492</v>
      </c>
      <c r="B540" s="4">
        <v>41992</v>
      </c>
      <c r="C540" s="4">
        <v>41994</v>
      </c>
      <c r="D540" s="5" t="s">
        <v>1488</v>
      </c>
      <c r="E540" s="5" t="s">
        <v>40</v>
      </c>
      <c r="F540" s="5" t="s">
        <v>153</v>
      </c>
      <c r="G540" s="5" t="s">
        <v>45</v>
      </c>
      <c r="H540" s="5" t="s">
        <v>23</v>
      </c>
      <c r="I540" s="6">
        <v>254.05799999999999</v>
      </c>
      <c r="J540" s="5">
        <v>7</v>
      </c>
      <c r="K540" s="17">
        <v>0.7</v>
      </c>
      <c r="L540" s="6">
        <v>-169.37199999999899</v>
      </c>
      <c r="M540" s="5" t="s">
        <v>19</v>
      </c>
      <c r="N540" s="7"/>
      <c r="O540" s="8" t="str">
        <f t="shared" si="56"/>
        <v>Alan Haines</v>
      </c>
      <c r="P540" s="8" t="str">
        <f t="shared" si="57"/>
        <v>CA</v>
      </c>
      <c r="Q540" s="8" t="str">
        <f t="shared" si="58"/>
        <v>2014</v>
      </c>
      <c r="R540" s="8" t="str">
        <f t="shared" si="59"/>
        <v>MEDIUM</v>
      </c>
      <c r="S540" s="8" t="str">
        <f t="shared" si="60"/>
        <v>office supplies</v>
      </c>
      <c r="T540" s="18" t="str">
        <f t="shared" si="61"/>
        <v>1992#</v>
      </c>
      <c r="U540" s="27" t="s">
        <v>2910</v>
      </c>
      <c r="V540" s="16" t="s">
        <v>2683</v>
      </c>
      <c r="W540" s="30">
        <v>2014</v>
      </c>
      <c r="X540" t="s">
        <v>2910</v>
      </c>
      <c r="Y540" s="28" t="s">
        <v>3169</v>
      </c>
      <c r="Z540" s="28" t="str">
        <f t="shared" si="62"/>
        <v>CA-2014-AH10195140-41992#</v>
      </c>
    </row>
    <row r="541" spans="1:26" ht="15.75">
      <c r="A541" s="19" t="s">
        <v>1499</v>
      </c>
      <c r="B541" s="9">
        <v>41916</v>
      </c>
      <c r="C541" s="9">
        <v>41920</v>
      </c>
      <c r="D541" s="10" t="s">
        <v>65</v>
      </c>
      <c r="E541" s="10" t="s">
        <v>66</v>
      </c>
      <c r="F541" s="10" t="s">
        <v>90</v>
      </c>
      <c r="G541" s="10" t="s">
        <v>32</v>
      </c>
      <c r="H541" s="10" t="s">
        <v>151</v>
      </c>
      <c r="I541" s="11">
        <v>2819.51999999999</v>
      </c>
      <c r="J541" s="10">
        <v>6</v>
      </c>
      <c r="K541" s="20">
        <v>0</v>
      </c>
      <c r="L541" s="11">
        <v>338.219999999999</v>
      </c>
      <c r="M541" s="10" t="s">
        <v>19</v>
      </c>
      <c r="N541" s="12"/>
      <c r="O541" s="13" t="str">
        <f t="shared" si="56"/>
        <v>Peter Fuller</v>
      </c>
      <c r="P541" s="13" t="str">
        <f t="shared" si="57"/>
        <v>IN</v>
      </c>
      <c r="Q541" s="13" t="str">
        <f t="shared" si="58"/>
        <v>2014</v>
      </c>
      <c r="R541" s="13" t="str">
        <f t="shared" si="59"/>
        <v>MEDIUM</v>
      </c>
      <c r="S541" s="13" t="str">
        <f t="shared" si="60"/>
        <v>furniture</v>
      </c>
      <c r="T541" s="21" t="str">
        <f t="shared" si="61"/>
        <v>41916</v>
      </c>
      <c r="U541" s="27" t="s">
        <v>2953</v>
      </c>
      <c r="V541" s="19" t="s">
        <v>2681</v>
      </c>
      <c r="W541" s="30">
        <v>2014</v>
      </c>
      <c r="X541" t="s">
        <v>2953</v>
      </c>
      <c r="Y541" s="28">
        <v>41916</v>
      </c>
      <c r="Z541" s="28" t="str">
        <f t="shared" si="62"/>
        <v>IN-2014-PF1912027-41916</v>
      </c>
    </row>
    <row r="542" spans="1:26" ht="15.75">
      <c r="A542" s="16" t="s">
        <v>1505</v>
      </c>
      <c r="B542" s="4">
        <v>41129</v>
      </c>
      <c r="C542" s="4">
        <v>41133</v>
      </c>
      <c r="D542" s="5" t="s">
        <v>1488</v>
      </c>
      <c r="E542" s="5" t="s">
        <v>450</v>
      </c>
      <c r="F542" s="5" t="s">
        <v>450</v>
      </c>
      <c r="G542" s="5" t="s">
        <v>45</v>
      </c>
      <c r="H542" s="5" t="s">
        <v>18</v>
      </c>
      <c r="I542" s="6">
        <v>87.84</v>
      </c>
      <c r="J542" s="5">
        <v>6</v>
      </c>
      <c r="K542" s="17">
        <v>0</v>
      </c>
      <c r="L542" s="6">
        <v>29.6999999999999</v>
      </c>
      <c r="M542" s="5" t="s">
        <v>19</v>
      </c>
      <c r="N542" s="7"/>
      <c r="O542" s="8" t="str">
        <f t="shared" si="56"/>
        <v>Alan Haines</v>
      </c>
      <c r="P542" s="8" t="str">
        <f t="shared" si="57"/>
        <v>CA</v>
      </c>
      <c r="Q542" s="8" t="str">
        <f t="shared" si="58"/>
        <v>2012</v>
      </c>
      <c r="R542" s="8" t="str">
        <f t="shared" si="59"/>
        <v>MEDIUM</v>
      </c>
      <c r="S542" s="8" t="str">
        <f t="shared" si="60"/>
        <v>office supplies</v>
      </c>
      <c r="T542" s="18" t="str">
        <f t="shared" si="61"/>
        <v>41129</v>
      </c>
      <c r="U542" s="27" t="s">
        <v>3170</v>
      </c>
      <c r="V542" s="16" t="s">
        <v>2683</v>
      </c>
      <c r="W542" s="30">
        <v>2012</v>
      </c>
      <c r="X542" t="s">
        <v>3170</v>
      </c>
      <c r="Y542" s="28">
        <v>41129</v>
      </c>
      <c r="Z542" s="28" t="str">
        <f t="shared" si="62"/>
        <v>CA-2012-AH19523-41129</v>
      </c>
    </row>
    <row r="543" spans="1:26" ht="15.75">
      <c r="A543" s="19" t="s">
        <v>1506</v>
      </c>
      <c r="B543" s="9">
        <v>42355</v>
      </c>
      <c r="C543" s="9">
        <v>42359</v>
      </c>
      <c r="D543" s="10" t="s">
        <v>1286</v>
      </c>
      <c r="E543" s="10" t="s">
        <v>97</v>
      </c>
      <c r="F543" s="10" t="s">
        <v>98</v>
      </c>
      <c r="G543" s="10" t="s">
        <v>32</v>
      </c>
      <c r="H543" s="10" t="s">
        <v>23</v>
      </c>
      <c r="I543" s="11">
        <v>1697.5839999999901</v>
      </c>
      <c r="J543" s="10">
        <v>7</v>
      </c>
      <c r="K543" s="20">
        <v>0.2</v>
      </c>
      <c r="L543" s="11">
        <v>-63.755999999999801</v>
      </c>
      <c r="M543" s="10" t="s">
        <v>37</v>
      </c>
      <c r="N543" s="12"/>
      <c r="O543" s="13" t="str">
        <f t="shared" si="56"/>
        <v>Andy Gerbode</v>
      </c>
      <c r="P543" s="13" t="str">
        <f t="shared" si="57"/>
        <v>US</v>
      </c>
      <c r="Q543" s="13" t="str">
        <f t="shared" si="58"/>
        <v>2015</v>
      </c>
      <c r="R543" s="13" t="str">
        <f t="shared" si="59"/>
        <v>HIGH</v>
      </c>
      <c r="S543" s="13" t="str">
        <f t="shared" si="60"/>
        <v>furniture</v>
      </c>
      <c r="T543" s="21" t="str">
        <f t="shared" si="61"/>
        <v>42355</v>
      </c>
      <c r="U543" s="27" t="s">
        <v>3171</v>
      </c>
      <c r="V543" s="19" t="s">
        <v>2685</v>
      </c>
      <c r="W543" s="30">
        <v>2015</v>
      </c>
      <c r="X543" t="s">
        <v>3171</v>
      </c>
      <c r="Y543" s="28">
        <v>42355</v>
      </c>
      <c r="Z543" s="28" t="str">
        <f t="shared" si="62"/>
        <v>US-2015-AG1052582-42355</v>
      </c>
    </row>
    <row r="544" spans="1:26" ht="15.75">
      <c r="A544" s="16" t="s">
        <v>1508</v>
      </c>
      <c r="B544" s="4">
        <v>41930</v>
      </c>
      <c r="C544" s="4">
        <v>41932</v>
      </c>
      <c r="D544" s="5" t="s">
        <v>39</v>
      </c>
      <c r="E544" s="5" t="s">
        <v>70</v>
      </c>
      <c r="F544" s="5" t="s">
        <v>71</v>
      </c>
      <c r="G544" s="5" t="s">
        <v>17</v>
      </c>
      <c r="H544" s="5" t="s">
        <v>23</v>
      </c>
      <c r="I544" s="6">
        <v>632.04300000000001</v>
      </c>
      <c r="J544" s="5">
        <v>6</v>
      </c>
      <c r="K544" s="17">
        <v>0.15</v>
      </c>
      <c r="L544" s="6">
        <v>7.2629999999999697</v>
      </c>
      <c r="M544" s="5" t="s">
        <v>27</v>
      </c>
      <c r="N544" s="7"/>
      <c r="O544" s="8" t="str">
        <f t="shared" si="56"/>
        <v>Aaron Bergman</v>
      </c>
      <c r="P544" s="8" t="str">
        <f t="shared" si="57"/>
        <v>ES</v>
      </c>
      <c r="Q544" s="8" t="str">
        <f t="shared" si="58"/>
        <v>2014</v>
      </c>
      <c r="R544" s="8" t="str">
        <f t="shared" si="59"/>
        <v>CRITICAL</v>
      </c>
      <c r="S544" s="8" t="str">
        <f t="shared" si="60"/>
        <v>technology</v>
      </c>
      <c r="T544" s="18" t="str">
        <f t="shared" si="61"/>
        <v>41930</v>
      </c>
      <c r="U544" s="27" t="s">
        <v>3172</v>
      </c>
      <c r="V544" s="16" t="s">
        <v>2710</v>
      </c>
      <c r="W544" s="30">
        <v>2014</v>
      </c>
      <c r="X544" t="s">
        <v>3172</v>
      </c>
      <c r="Y544" s="28">
        <v>41930</v>
      </c>
      <c r="Z544" s="28" t="str">
        <f t="shared" si="62"/>
        <v>ES-2014-AB1001545-41930</v>
      </c>
    </row>
    <row r="545" spans="1:26" ht="15.75">
      <c r="A545" s="19" t="s">
        <v>1526</v>
      </c>
      <c r="B545" s="9">
        <v>41172</v>
      </c>
      <c r="C545" s="9">
        <v>41177</v>
      </c>
      <c r="D545" s="10" t="s">
        <v>1409</v>
      </c>
      <c r="E545" s="10" t="s">
        <v>1527</v>
      </c>
      <c r="F545" s="10" t="s">
        <v>25</v>
      </c>
      <c r="G545" s="10" t="s">
        <v>17</v>
      </c>
      <c r="H545" s="10" t="s">
        <v>44</v>
      </c>
      <c r="I545" s="11">
        <v>1377.8999999999901</v>
      </c>
      <c r="J545" s="10">
        <v>10</v>
      </c>
      <c r="K545" s="20">
        <v>0</v>
      </c>
      <c r="L545" s="11">
        <v>289.2</v>
      </c>
      <c r="M545" s="10" t="s">
        <v>37</v>
      </c>
      <c r="N545" s="12"/>
      <c r="O545" s="13" t="str">
        <f t="shared" si="56"/>
        <v>Denny Ordway</v>
      </c>
      <c r="P545" s="13" t="str">
        <f t="shared" si="57"/>
        <v>BN</v>
      </c>
      <c r="Q545" s="13" t="str">
        <f t="shared" si="58"/>
        <v>2012</v>
      </c>
      <c r="R545" s="13" t="str">
        <f t="shared" si="59"/>
        <v>HIGH</v>
      </c>
      <c r="S545" s="13" t="str">
        <f t="shared" si="60"/>
        <v>technology</v>
      </c>
      <c r="T545" s="21" t="str">
        <f t="shared" si="61"/>
        <v>41172</v>
      </c>
      <c r="U545" s="27" t="s">
        <v>3173</v>
      </c>
      <c r="V545" s="19" t="s">
        <v>3174</v>
      </c>
      <c r="W545" s="30">
        <v>2012</v>
      </c>
      <c r="X545" t="s">
        <v>3173</v>
      </c>
      <c r="Y545" s="28">
        <v>41172</v>
      </c>
      <c r="Z545" s="28" t="str">
        <f t="shared" si="62"/>
        <v>BN-2012-DO343515-41172</v>
      </c>
    </row>
    <row r="546" spans="1:26" ht="15.75">
      <c r="A546" s="16" t="s">
        <v>1528</v>
      </c>
      <c r="B546" s="4">
        <v>41223</v>
      </c>
      <c r="C546" s="4">
        <v>41230</v>
      </c>
      <c r="D546" s="5" t="s">
        <v>733</v>
      </c>
      <c r="E546" s="5" t="s">
        <v>97</v>
      </c>
      <c r="F546" s="5" t="s">
        <v>98</v>
      </c>
      <c r="G546" s="5" t="s">
        <v>17</v>
      </c>
      <c r="H546" s="5" t="s">
        <v>44</v>
      </c>
      <c r="I546" s="6">
        <v>2582.16</v>
      </c>
      <c r="J546" s="5">
        <v>6</v>
      </c>
      <c r="K546" s="17">
        <v>0</v>
      </c>
      <c r="L546" s="6">
        <v>516.36</v>
      </c>
      <c r="M546" s="5" t="s">
        <v>19</v>
      </c>
      <c r="N546" s="7"/>
      <c r="O546" s="8" t="str">
        <f t="shared" si="56"/>
        <v>Neola Schneider</v>
      </c>
      <c r="P546" s="8" t="str">
        <f t="shared" si="57"/>
        <v>MX</v>
      </c>
      <c r="Q546" s="8" t="str">
        <f t="shared" si="58"/>
        <v>2012</v>
      </c>
      <c r="R546" s="8" t="str">
        <f t="shared" si="59"/>
        <v>MEDIUM</v>
      </c>
      <c r="S546" s="8" t="str">
        <f t="shared" si="60"/>
        <v>technology</v>
      </c>
      <c r="T546" s="18" t="str">
        <f t="shared" si="61"/>
        <v>41223</v>
      </c>
      <c r="U546" s="27" t="s">
        <v>3175</v>
      </c>
      <c r="V546" s="16" t="s">
        <v>2695</v>
      </c>
      <c r="W546" s="30">
        <v>2012</v>
      </c>
      <c r="X546" t="s">
        <v>3175</v>
      </c>
      <c r="Y546" s="28">
        <v>41223</v>
      </c>
      <c r="Z546" s="28" t="str">
        <f t="shared" si="62"/>
        <v>MX-2012-NS1850582-41223</v>
      </c>
    </row>
    <row r="547" spans="1:26" ht="15.75">
      <c r="A547" s="19" t="s">
        <v>1530</v>
      </c>
      <c r="B547" s="9">
        <v>41346</v>
      </c>
      <c r="C547" s="9">
        <v>41348</v>
      </c>
      <c r="D547" s="10" t="s">
        <v>931</v>
      </c>
      <c r="E547" s="10" t="s">
        <v>70</v>
      </c>
      <c r="F547" s="10" t="s">
        <v>71</v>
      </c>
      <c r="G547" s="10" t="s">
        <v>17</v>
      </c>
      <c r="H547" s="10" t="s">
        <v>26</v>
      </c>
      <c r="I547" s="11">
        <v>1257.4559999999999</v>
      </c>
      <c r="J547" s="10">
        <v>8</v>
      </c>
      <c r="K547" s="20">
        <v>0.15</v>
      </c>
      <c r="L547" s="11">
        <v>-29.664000000000001</v>
      </c>
      <c r="M547" s="10" t="s">
        <v>37</v>
      </c>
      <c r="N547" s="12"/>
      <c r="O547" s="13" t="str">
        <f t="shared" si="56"/>
        <v>Tom Stivers</v>
      </c>
      <c r="P547" s="13" t="str">
        <f t="shared" si="57"/>
        <v>IT</v>
      </c>
      <c r="Q547" s="13" t="str">
        <f t="shared" si="58"/>
        <v>2013</v>
      </c>
      <c r="R547" s="13" t="str">
        <f t="shared" si="59"/>
        <v>HIGH</v>
      </c>
      <c r="S547" s="13" t="str">
        <f t="shared" si="60"/>
        <v>technology</v>
      </c>
      <c r="T547" s="21" t="str">
        <f t="shared" si="61"/>
        <v>41346</v>
      </c>
      <c r="U547" s="27" t="s">
        <v>3176</v>
      </c>
      <c r="V547" s="19" t="s">
        <v>2690</v>
      </c>
      <c r="W547" s="30">
        <v>2013</v>
      </c>
      <c r="X547" t="s">
        <v>3176</v>
      </c>
      <c r="Y547" s="28">
        <v>41346</v>
      </c>
      <c r="Z547" s="28" t="str">
        <f t="shared" si="62"/>
        <v>IT-2013-TS2143045-41346</v>
      </c>
    </row>
    <row r="548" spans="1:26" ht="15.75">
      <c r="A548" s="16" t="s">
        <v>1531</v>
      </c>
      <c r="B548" s="4">
        <v>42363</v>
      </c>
      <c r="C548" s="4">
        <v>42370</v>
      </c>
      <c r="D548" s="5" t="s">
        <v>1207</v>
      </c>
      <c r="E548" s="5" t="s">
        <v>40</v>
      </c>
      <c r="F548" s="5" t="s">
        <v>43</v>
      </c>
      <c r="G548" s="5" t="s">
        <v>45</v>
      </c>
      <c r="H548" s="5" t="s">
        <v>23</v>
      </c>
      <c r="I548" s="6">
        <v>1003.62</v>
      </c>
      <c r="J548" s="5">
        <v>6</v>
      </c>
      <c r="K548" s="17">
        <v>0</v>
      </c>
      <c r="L548" s="6">
        <v>0</v>
      </c>
      <c r="M548" s="5" t="s">
        <v>74</v>
      </c>
      <c r="N548" s="7"/>
      <c r="O548" s="8" t="str">
        <f t="shared" si="56"/>
        <v>Alan Hwang</v>
      </c>
      <c r="P548" s="8" t="str">
        <f t="shared" si="57"/>
        <v>CA</v>
      </c>
      <c r="Q548" s="8" t="str">
        <f t="shared" si="58"/>
        <v>2015</v>
      </c>
      <c r="R548" s="8" t="str">
        <f t="shared" si="59"/>
        <v>LOW</v>
      </c>
      <c r="S548" s="8" t="str">
        <f t="shared" si="60"/>
        <v>office supplies</v>
      </c>
      <c r="T548" s="18" t="str">
        <f t="shared" si="61"/>
        <v>42363</v>
      </c>
      <c r="U548" s="27" t="s">
        <v>2917</v>
      </c>
      <c r="V548" s="16" t="s">
        <v>2683</v>
      </c>
      <c r="W548" s="30">
        <v>2015</v>
      </c>
      <c r="X548" t="s">
        <v>2917</v>
      </c>
      <c r="Y548" s="28">
        <v>42363</v>
      </c>
      <c r="Z548" s="28" t="str">
        <f t="shared" si="62"/>
        <v>CA-2015-AH10210140-42363</v>
      </c>
    </row>
    <row r="549" spans="1:26" ht="15.75">
      <c r="A549" s="19" t="s">
        <v>1532</v>
      </c>
      <c r="B549" s="9">
        <v>41271</v>
      </c>
      <c r="C549" s="9">
        <v>41273</v>
      </c>
      <c r="D549" s="10" t="s">
        <v>1533</v>
      </c>
      <c r="E549" s="10" t="s">
        <v>211</v>
      </c>
      <c r="F549" s="10" t="s">
        <v>98</v>
      </c>
      <c r="G549" s="10" t="s">
        <v>32</v>
      </c>
      <c r="H549" s="10" t="s">
        <v>26</v>
      </c>
      <c r="I549" s="11">
        <v>2429.4399999999901</v>
      </c>
      <c r="J549" s="10">
        <v>8</v>
      </c>
      <c r="K549" s="20">
        <v>0</v>
      </c>
      <c r="L549" s="11">
        <v>534.4</v>
      </c>
      <c r="M549" s="10" t="s">
        <v>19</v>
      </c>
      <c r="N549" s="12"/>
      <c r="O549" s="13" t="str">
        <f t="shared" si="56"/>
        <v>Annie Zypern</v>
      </c>
      <c r="P549" s="13" t="str">
        <f t="shared" si="57"/>
        <v>MX</v>
      </c>
      <c r="Q549" s="13" t="str">
        <f t="shared" si="58"/>
        <v>2012</v>
      </c>
      <c r="R549" s="13" t="str">
        <f t="shared" si="59"/>
        <v>MEDIUM</v>
      </c>
      <c r="S549" s="13" t="str">
        <f t="shared" si="60"/>
        <v>furniture</v>
      </c>
      <c r="T549" s="21" t="str">
        <f t="shared" si="61"/>
        <v>41271</v>
      </c>
      <c r="U549" s="27" t="s">
        <v>3177</v>
      </c>
      <c r="V549" s="19" t="s">
        <v>2695</v>
      </c>
      <c r="W549" s="30">
        <v>2012</v>
      </c>
      <c r="X549" t="s">
        <v>3177</v>
      </c>
      <c r="Y549" s="28">
        <v>41271</v>
      </c>
      <c r="Z549" s="28" t="str">
        <f t="shared" si="62"/>
        <v>MX-2012-AZ1075093-41271</v>
      </c>
    </row>
    <row r="550" spans="1:26" ht="15.75">
      <c r="A550" s="16" t="s">
        <v>1534</v>
      </c>
      <c r="B550" s="4">
        <v>42291</v>
      </c>
      <c r="C550" s="4">
        <v>42293</v>
      </c>
      <c r="D550" s="5" t="s">
        <v>1207</v>
      </c>
      <c r="E550" s="5" t="s">
        <v>40</v>
      </c>
      <c r="F550" s="5" t="s">
        <v>153</v>
      </c>
      <c r="G550" s="5" t="s">
        <v>45</v>
      </c>
      <c r="H550" s="5" t="s">
        <v>26</v>
      </c>
      <c r="I550" s="6">
        <v>348.56</v>
      </c>
      <c r="J550" s="5">
        <v>8</v>
      </c>
      <c r="K550" s="17">
        <v>0</v>
      </c>
      <c r="L550" s="6">
        <v>104.567999999999</v>
      </c>
      <c r="M550" s="5" t="s">
        <v>37</v>
      </c>
      <c r="N550" s="7"/>
      <c r="O550" s="8" t="str">
        <f t="shared" si="56"/>
        <v>Alan Hwang</v>
      </c>
      <c r="P550" s="8" t="str">
        <f t="shared" si="57"/>
        <v>US</v>
      </c>
      <c r="Q550" s="8" t="str">
        <f t="shared" si="58"/>
        <v>2015</v>
      </c>
      <c r="R550" s="8" t="str">
        <f t="shared" si="59"/>
        <v>HIGH</v>
      </c>
      <c r="S550" s="8" t="str">
        <f t="shared" si="60"/>
        <v>office supplies</v>
      </c>
      <c r="T550" s="18" t="str">
        <f t="shared" si="61"/>
        <v>42291</v>
      </c>
      <c r="U550" s="27" t="s">
        <v>2917</v>
      </c>
      <c r="V550" s="16" t="s">
        <v>2685</v>
      </c>
      <c r="W550" s="30">
        <v>2015</v>
      </c>
      <c r="X550" t="s">
        <v>2917</v>
      </c>
      <c r="Y550" s="28">
        <v>42291</v>
      </c>
      <c r="Z550" s="28" t="str">
        <f t="shared" si="62"/>
        <v>US-2015-AH10210140-42291</v>
      </c>
    </row>
    <row r="551" spans="1:26" ht="15.75">
      <c r="A551" s="19" t="s">
        <v>1537</v>
      </c>
      <c r="B551" s="9">
        <v>41956</v>
      </c>
      <c r="C551" s="9">
        <v>41961</v>
      </c>
      <c r="D551" s="10" t="s">
        <v>1538</v>
      </c>
      <c r="E551" s="10" t="s">
        <v>70</v>
      </c>
      <c r="F551" s="10" t="s">
        <v>71</v>
      </c>
      <c r="G551" s="10" t="s">
        <v>32</v>
      </c>
      <c r="H551" s="10" t="s">
        <v>26</v>
      </c>
      <c r="I551" s="11">
        <v>2891.6999999999898</v>
      </c>
      <c r="J551" s="10">
        <v>7</v>
      </c>
      <c r="K551" s="20">
        <v>0.1</v>
      </c>
      <c r="L551" s="11">
        <v>1188.81</v>
      </c>
      <c r="M551" s="10" t="s">
        <v>19</v>
      </c>
      <c r="N551" s="12"/>
      <c r="O551" s="13" t="str">
        <f t="shared" si="56"/>
        <v>Sung Pak</v>
      </c>
      <c r="P551" s="13" t="str">
        <f t="shared" si="57"/>
        <v>IT</v>
      </c>
      <c r="Q551" s="13" t="str">
        <f t="shared" si="58"/>
        <v>2014</v>
      </c>
      <c r="R551" s="13" t="str">
        <f t="shared" si="59"/>
        <v>MEDIUM</v>
      </c>
      <c r="S551" s="13" t="str">
        <f t="shared" si="60"/>
        <v>furniture</v>
      </c>
      <c r="T551" s="21" t="str">
        <f t="shared" si="61"/>
        <v>41956</v>
      </c>
      <c r="U551" s="27" t="s">
        <v>3178</v>
      </c>
      <c r="V551" s="19" t="s">
        <v>2690</v>
      </c>
      <c r="W551" s="30">
        <v>2014</v>
      </c>
      <c r="X551" t="s">
        <v>3178</v>
      </c>
      <c r="Y551" s="28">
        <v>41956</v>
      </c>
      <c r="Z551" s="28" t="str">
        <f t="shared" si="62"/>
        <v>IT-2014-SP2086045-41956</v>
      </c>
    </row>
    <row r="552" spans="1:26" ht="15.75">
      <c r="A552" s="16" t="s">
        <v>1540</v>
      </c>
      <c r="B552" s="4">
        <v>41501</v>
      </c>
      <c r="C552" s="4">
        <v>41505</v>
      </c>
      <c r="D552" s="5" t="s">
        <v>1541</v>
      </c>
      <c r="E552" s="5" t="s">
        <v>15</v>
      </c>
      <c r="F552" s="5" t="s">
        <v>16</v>
      </c>
      <c r="G552" s="5" t="s">
        <v>17</v>
      </c>
      <c r="H552" s="5" t="s">
        <v>23</v>
      </c>
      <c r="I552" s="6">
        <v>2042.82</v>
      </c>
      <c r="J552" s="5">
        <v>6</v>
      </c>
      <c r="K552" s="17">
        <v>0.1</v>
      </c>
      <c r="L552" s="6">
        <v>-136.26</v>
      </c>
      <c r="M552" s="5" t="s">
        <v>37</v>
      </c>
      <c r="N552" s="7"/>
      <c r="O552" s="8" t="str">
        <f t="shared" si="56"/>
        <v>Kalyca Meade</v>
      </c>
      <c r="P552" s="8" t="str">
        <f t="shared" si="57"/>
        <v>ID</v>
      </c>
      <c r="Q552" s="8" t="str">
        <f t="shared" si="58"/>
        <v>2013</v>
      </c>
      <c r="R552" s="8" t="str">
        <f t="shared" si="59"/>
        <v>HIGH</v>
      </c>
      <c r="S552" s="8" t="str">
        <f t="shared" si="60"/>
        <v>technology</v>
      </c>
      <c r="T552" s="18" t="str">
        <f t="shared" si="61"/>
        <v>41501</v>
      </c>
      <c r="U552" s="27" t="s">
        <v>3179</v>
      </c>
      <c r="V552" s="16" t="s">
        <v>2705</v>
      </c>
      <c r="W552" s="30">
        <v>2013</v>
      </c>
      <c r="X552" t="s">
        <v>3179</v>
      </c>
      <c r="Y552" s="28">
        <v>41501</v>
      </c>
      <c r="Z552" s="28" t="str">
        <f t="shared" si="62"/>
        <v>ID-2013-KM162257-41501</v>
      </c>
    </row>
    <row r="553" spans="1:26" ht="15.75">
      <c r="A553" s="19" t="s">
        <v>1573</v>
      </c>
      <c r="B553" s="9">
        <v>41688</v>
      </c>
      <c r="C553" s="9">
        <v>41695</v>
      </c>
      <c r="D553" s="10" t="s">
        <v>1574</v>
      </c>
      <c r="E553" s="10" t="s">
        <v>197</v>
      </c>
      <c r="F553" s="10" t="s">
        <v>77</v>
      </c>
      <c r="G553" s="10" t="s">
        <v>17</v>
      </c>
      <c r="H553" s="10" t="s">
        <v>151</v>
      </c>
      <c r="I553" s="11">
        <v>2879.82</v>
      </c>
      <c r="J553" s="10">
        <v>9</v>
      </c>
      <c r="K553" s="20">
        <v>0</v>
      </c>
      <c r="L553" s="11">
        <v>1295.73</v>
      </c>
      <c r="M553" s="10" t="s">
        <v>19</v>
      </c>
      <c r="N553" s="12"/>
      <c r="O553" s="13" t="str">
        <f t="shared" si="56"/>
        <v>Benjamin Venier</v>
      </c>
      <c r="P553" s="13" t="str">
        <f t="shared" si="57"/>
        <v>ES</v>
      </c>
      <c r="Q553" s="13" t="str">
        <f t="shared" si="58"/>
        <v>2014</v>
      </c>
      <c r="R553" s="13" t="str">
        <f t="shared" si="59"/>
        <v>MEDIUM</v>
      </c>
      <c r="S553" s="13" t="str">
        <f t="shared" si="60"/>
        <v>technology</v>
      </c>
      <c r="T553" s="21" t="str">
        <f t="shared" si="61"/>
        <v>41688</v>
      </c>
      <c r="U553" s="27" t="s">
        <v>3180</v>
      </c>
      <c r="V553" s="19" t="s">
        <v>2710</v>
      </c>
      <c r="W553" s="30">
        <v>2014</v>
      </c>
      <c r="X553" t="s">
        <v>3180</v>
      </c>
      <c r="Y553" s="28">
        <v>41688</v>
      </c>
      <c r="Z553" s="28" t="str">
        <f t="shared" si="62"/>
        <v>ES-2014-BV11245120-41688</v>
      </c>
    </row>
    <row r="554" spans="1:26" ht="15.75">
      <c r="A554" s="16" t="s">
        <v>1581</v>
      </c>
      <c r="B554" s="4">
        <v>42276</v>
      </c>
      <c r="C554" s="4">
        <v>42283</v>
      </c>
      <c r="D554" s="5" t="s">
        <v>447</v>
      </c>
      <c r="E554" s="5" t="s">
        <v>22</v>
      </c>
      <c r="F554" s="5" t="s">
        <v>71</v>
      </c>
      <c r="G554" s="5" t="s">
        <v>17</v>
      </c>
      <c r="H554" s="5" t="s">
        <v>33</v>
      </c>
      <c r="I554" s="6">
        <v>2088.2399999999998</v>
      </c>
      <c r="J554" s="5">
        <v>8</v>
      </c>
      <c r="K554" s="17">
        <v>0</v>
      </c>
      <c r="L554" s="6">
        <v>83.52</v>
      </c>
      <c r="M554" s="5" t="s">
        <v>74</v>
      </c>
      <c r="N554" s="7"/>
      <c r="O554" s="8" t="str">
        <f t="shared" si="56"/>
        <v>Ken Black</v>
      </c>
      <c r="P554" s="8" t="str">
        <f t="shared" si="57"/>
        <v>ES</v>
      </c>
      <c r="Q554" s="8" t="str">
        <f t="shared" si="58"/>
        <v>2015</v>
      </c>
      <c r="R554" s="8" t="str">
        <f t="shared" si="59"/>
        <v>LOW</v>
      </c>
      <c r="S554" s="8" t="str">
        <f t="shared" si="60"/>
        <v>technology</v>
      </c>
      <c r="T554" s="18" t="str">
        <f t="shared" si="61"/>
        <v>42276</v>
      </c>
      <c r="U554" s="27" t="s">
        <v>3181</v>
      </c>
      <c r="V554" s="16" t="s">
        <v>2710</v>
      </c>
      <c r="W554" s="30">
        <v>2015</v>
      </c>
      <c r="X554" t="s">
        <v>3181</v>
      </c>
      <c r="Y554" s="28">
        <v>42276</v>
      </c>
      <c r="Z554" s="28" t="str">
        <f t="shared" si="62"/>
        <v>ES-2015-KB1658548-42276</v>
      </c>
    </row>
    <row r="555" spans="1:26" ht="15.75">
      <c r="A555" s="19" t="s">
        <v>1582</v>
      </c>
      <c r="B555" s="9">
        <v>42194</v>
      </c>
      <c r="C555" s="9">
        <v>42198</v>
      </c>
      <c r="D555" s="10" t="s">
        <v>1583</v>
      </c>
      <c r="E555" s="10" t="s">
        <v>114</v>
      </c>
      <c r="F555" s="10" t="s">
        <v>169</v>
      </c>
      <c r="G555" s="10" t="s">
        <v>32</v>
      </c>
      <c r="H555" s="10" t="s">
        <v>73</v>
      </c>
      <c r="I555" s="11">
        <v>2194.5300000000002</v>
      </c>
      <c r="J555" s="10">
        <v>13</v>
      </c>
      <c r="K555" s="20">
        <v>0</v>
      </c>
      <c r="L555" s="11">
        <v>438.75</v>
      </c>
      <c r="M555" s="10" t="s">
        <v>37</v>
      </c>
      <c r="N555" s="12"/>
      <c r="O555" s="13" t="str">
        <f t="shared" si="56"/>
        <v>Eugene Moren</v>
      </c>
      <c r="P555" s="13" t="str">
        <f t="shared" si="57"/>
        <v>IN</v>
      </c>
      <c r="Q555" s="13" t="str">
        <f t="shared" si="58"/>
        <v>2015</v>
      </c>
      <c r="R555" s="13" t="str">
        <f t="shared" si="59"/>
        <v>HIGH</v>
      </c>
      <c r="S555" s="13" t="str">
        <f t="shared" si="60"/>
        <v>furniture</v>
      </c>
      <c r="T555" s="21" t="str">
        <f t="shared" si="61"/>
        <v>42194</v>
      </c>
      <c r="U555" s="27" t="s">
        <v>3182</v>
      </c>
      <c r="V555" s="19" t="s">
        <v>2681</v>
      </c>
      <c r="W555" s="30">
        <v>2015</v>
      </c>
      <c r="X555" t="s">
        <v>3182</v>
      </c>
      <c r="Y555" s="28">
        <v>42194</v>
      </c>
      <c r="Z555" s="28" t="str">
        <f t="shared" si="62"/>
        <v>IN-2015-EM1414058-42194</v>
      </c>
    </row>
    <row r="556" spans="1:26" ht="15.75">
      <c r="A556" s="16" t="s">
        <v>1586</v>
      </c>
      <c r="B556" s="4">
        <v>41783</v>
      </c>
      <c r="C556" s="4">
        <v>41787</v>
      </c>
      <c r="D556" s="5" t="s">
        <v>301</v>
      </c>
      <c r="E556" s="5" t="s">
        <v>689</v>
      </c>
      <c r="F556" s="5" t="s">
        <v>142</v>
      </c>
      <c r="G556" s="5" t="s">
        <v>32</v>
      </c>
      <c r="H556" s="5" t="s">
        <v>73</v>
      </c>
      <c r="I556" s="6">
        <v>2761.2</v>
      </c>
      <c r="J556" s="5">
        <v>6</v>
      </c>
      <c r="K556" s="17">
        <v>0</v>
      </c>
      <c r="L556" s="6">
        <v>110.34</v>
      </c>
      <c r="M556" s="5" t="s">
        <v>19</v>
      </c>
      <c r="N556" s="7"/>
      <c r="O556" s="8" t="str">
        <f t="shared" si="56"/>
        <v>Chad Mcguire</v>
      </c>
      <c r="P556" s="8" t="str">
        <f t="shared" si="57"/>
        <v>IN</v>
      </c>
      <c r="Q556" s="8" t="str">
        <f t="shared" si="58"/>
        <v>2014</v>
      </c>
      <c r="R556" s="8" t="str">
        <f t="shared" si="59"/>
        <v>MEDIUM</v>
      </c>
      <c r="S556" s="8" t="str">
        <f t="shared" si="60"/>
        <v>furniture</v>
      </c>
      <c r="T556" s="18" t="str">
        <f t="shared" si="61"/>
        <v>41783</v>
      </c>
      <c r="U556" s="27" t="s">
        <v>3183</v>
      </c>
      <c r="V556" s="16" t="s">
        <v>2681</v>
      </c>
      <c r="W556" s="30">
        <v>2014</v>
      </c>
      <c r="X556" t="s">
        <v>3183</v>
      </c>
      <c r="Y556" s="28">
        <v>41783</v>
      </c>
      <c r="Z556" s="28" t="str">
        <f t="shared" si="62"/>
        <v>IN-2014-CM1211578-41783</v>
      </c>
    </row>
    <row r="557" spans="1:26" ht="15.75">
      <c r="A557" s="19" t="s">
        <v>217</v>
      </c>
      <c r="B557" s="9">
        <v>41537</v>
      </c>
      <c r="C557" s="9">
        <v>41539</v>
      </c>
      <c r="D557" s="10" t="s">
        <v>218</v>
      </c>
      <c r="E557" s="10" t="s">
        <v>93</v>
      </c>
      <c r="F557" s="10" t="s">
        <v>94</v>
      </c>
      <c r="G557" s="10" t="s">
        <v>17</v>
      </c>
      <c r="H557" s="10" t="s">
        <v>26</v>
      </c>
      <c r="I557" s="11">
        <v>1677.1859999999999</v>
      </c>
      <c r="J557" s="10">
        <v>6</v>
      </c>
      <c r="K557" s="20">
        <v>0.1</v>
      </c>
      <c r="L557" s="11">
        <v>521.76599999999996</v>
      </c>
      <c r="M557" s="10" t="s">
        <v>37</v>
      </c>
      <c r="N557" s="12"/>
      <c r="O557" s="13" t="str">
        <f t="shared" si="56"/>
        <v>Aimee Bixby</v>
      </c>
      <c r="P557" s="13" t="str">
        <f t="shared" si="57"/>
        <v>ES</v>
      </c>
      <c r="Q557" s="13" t="str">
        <f t="shared" si="58"/>
        <v>2013</v>
      </c>
      <c r="R557" s="13" t="str">
        <f t="shared" si="59"/>
        <v>HIGH</v>
      </c>
      <c r="S557" s="13" t="str">
        <f t="shared" si="60"/>
        <v>technology</v>
      </c>
      <c r="T557" s="21" t="str">
        <f t="shared" si="61"/>
        <v>41537</v>
      </c>
      <c r="U557" s="27" t="s">
        <v>3184</v>
      </c>
      <c r="V557" s="19" t="s">
        <v>2710</v>
      </c>
      <c r="W557" s="30">
        <v>2013</v>
      </c>
      <c r="X557" t="s">
        <v>3184</v>
      </c>
      <c r="Y557" s="28">
        <v>41537</v>
      </c>
      <c r="Z557" s="28" t="str">
        <f t="shared" si="62"/>
        <v>ES-2013-AB10150139-41537</v>
      </c>
    </row>
    <row r="558" spans="1:26" ht="15.75">
      <c r="A558" s="16" t="s">
        <v>1601</v>
      </c>
      <c r="B558" s="4">
        <v>41972</v>
      </c>
      <c r="C558" s="4">
        <v>41977</v>
      </c>
      <c r="D558" s="5" t="s">
        <v>728</v>
      </c>
      <c r="E558" s="5" t="s">
        <v>168</v>
      </c>
      <c r="F558" s="5" t="s">
        <v>1602</v>
      </c>
      <c r="G558" s="5" t="s">
        <v>17</v>
      </c>
      <c r="H558" s="5" t="s">
        <v>73</v>
      </c>
      <c r="I558" s="6">
        <v>1531.2</v>
      </c>
      <c r="J558" s="5">
        <v>10</v>
      </c>
      <c r="K558" s="17">
        <v>0</v>
      </c>
      <c r="L558" s="6">
        <v>45.9</v>
      </c>
      <c r="M558" s="5" t="s">
        <v>37</v>
      </c>
      <c r="N558" s="7"/>
      <c r="O558" s="8" t="str">
        <f t="shared" si="56"/>
        <v>Alejandro Savely</v>
      </c>
      <c r="P558" s="8" t="str">
        <f t="shared" si="57"/>
        <v>I-</v>
      </c>
      <c r="Q558" s="8" t="str">
        <f t="shared" si="58"/>
        <v>2014</v>
      </c>
      <c r="R558" s="8" t="str">
        <f t="shared" si="59"/>
        <v>HIGH</v>
      </c>
      <c r="S558" s="8" t="str">
        <f t="shared" si="60"/>
        <v>technology</v>
      </c>
      <c r="T558" s="18" t="str">
        <f t="shared" si="61"/>
        <v>41972</v>
      </c>
      <c r="U558" s="27" t="s">
        <v>3185</v>
      </c>
      <c r="V558" s="16" t="s">
        <v>3186</v>
      </c>
      <c r="W558" s="30" t="s">
        <v>3187</v>
      </c>
      <c r="X558" t="s">
        <v>3185</v>
      </c>
      <c r="Y558" s="28">
        <v>41972</v>
      </c>
      <c r="Z558" s="28" t="str">
        <f t="shared" si="62"/>
        <v>I-R2014-AS28560-41972</v>
      </c>
    </row>
    <row r="559" spans="1:26" ht="15.75">
      <c r="A559" s="19" t="s">
        <v>1606</v>
      </c>
      <c r="B559" s="9">
        <v>41679</v>
      </c>
      <c r="C559" s="9">
        <v>41685</v>
      </c>
      <c r="D559" s="10" t="s">
        <v>317</v>
      </c>
      <c r="E559" s="10" t="s">
        <v>15</v>
      </c>
      <c r="F559" s="10" t="s">
        <v>16</v>
      </c>
      <c r="G559" s="10" t="s">
        <v>32</v>
      </c>
      <c r="H559" s="10" t="s">
        <v>26</v>
      </c>
      <c r="I559" s="11">
        <v>2951.991</v>
      </c>
      <c r="J559" s="10">
        <v>9</v>
      </c>
      <c r="K559" s="20">
        <v>0.3</v>
      </c>
      <c r="L559" s="11">
        <v>-632.79899999999895</v>
      </c>
      <c r="M559" s="10" t="s">
        <v>19</v>
      </c>
      <c r="N559" s="12"/>
      <c r="O559" s="13" t="str">
        <f t="shared" si="56"/>
        <v>Stuart Van</v>
      </c>
      <c r="P559" s="13" t="str">
        <f t="shared" si="57"/>
        <v>ID</v>
      </c>
      <c r="Q559" s="13" t="str">
        <f t="shared" si="58"/>
        <v>2014</v>
      </c>
      <c r="R559" s="13" t="str">
        <f t="shared" si="59"/>
        <v>MEDIUM</v>
      </c>
      <c r="S559" s="13" t="str">
        <f t="shared" si="60"/>
        <v>furniture</v>
      </c>
      <c r="T559" s="21" t="str">
        <f t="shared" si="61"/>
        <v>41679</v>
      </c>
      <c r="U559" s="27" t="s">
        <v>3188</v>
      </c>
      <c r="V559" s="19" t="s">
        <v>2705</v>
      </c>
      <c r="W559" s="30">
        <v>2014</v>
      </c>
      <c r="X559" t="s">
        <v>3188</v>
      </c>
      <c r="Y559" s="28">
        <v>41679</v>
      </c>
      <c r="Z559" s="28" t="str">
        <f t="shared" si="62"/>
        <v>ID-2014-SV208157-41679</v>
      </c>
    </row>
    <row r="560" spans="1:26" ht="15.75">
      <c r="A560" s="16" t="s">
        <v>1612</v>
      </c>
      <c r="B560" s="4">
        <v>42179</v>
      </c>
      <c r="C560" s="4">
        <v>42185</v>
      </c>
      <c r="D560" s="5" t="s">
        <v>628</v>
      </c>
      <c r="E560" s="5" t="s">
        <v>22</v>
      </c>
      <c r="F560" s="5" t="s">
        <v>71</v>
      </c>
      <c r="G560" s="5" t="s">
        <v>17</v>
      </c>
      <c r="H560" s="5" t="s">
        <v>1613</v>
      </c>
      <c r="I560" s="6">
        <v>3873.24</v>
      </c>
      <c r="J560" s="5">
        <v>6</v>
      </c>
      <c r="K560" s="17">
        <v>0</v>
      </c>
      <c r="L560" s="6">
        <v>890.81999999999903</v>
      </c>
      <c r="M560" s="5" t="s">
        <v>19</v>
      </c>
      <c r="N560" s="7"/>
      <c r="O560" s="8" t="str">
        <f t="shared" si="56"/>
        <v>Pamela Stobb</v>
      </c>
      <c r="P560" s="8" t="str">
        <f t="shared" si="57"/>
        <v>ES</v>
      </c>
      <c r="Q560" s="8" t="str">
        <f t="shared" si="58"/>
        <v>2015</v>
      </c>
      <c r="R560" s="8" t="str">
        <f t="shared" si="59"/>
        <v>MEDIUM</v>
      </c>
      <c r="S560" s="8" t="str">
        <f t="shared" si="60"/>
        <v>technology</v>
      </c>
      <c r="T560" s="18" t="str">
        <f t="shared" si="61"/>
        <v>42179</v>
      </c>
      <c r="U560" s="27" t="s">
        <v>3189</v>
      </c>
      <c r="V560" s="16" t="s">
        <v>2710</v>
      </c>
      <c r="W560" s="30">
        <v>2015</v>
      </c>
      <c r="X560" t="s">
        <v>3189</v>
      </c>
      <c r="Y560" s="28">
        <v>42179</v>
      </c>
      <c r="Z560" s="28" t="str">
        <f t="shared" si="62"/>
        <v>ES-2015-PS1876048-42179</v>
      </c>
    </row>
    <row r="561" spans="1:26" ht="15.75">
      <c r="A561" s="19" t="s">
        <v>1617</v>
      </c>
      <c r="B561" s="9">
        <v>42032</v>
      </c>
      <c r="C561" s="9">
        <v>42034</v>
      </c>
      <c r="D561" s="10" t="s">
        <v>1618</v>
      </c>
      <c r="E561" s="10" t="s">
        <v>601</v>
      </c>
      <c r="F561" s="10" t="s">
        <v>16</v>
      </c>
      <c r="G561" s="10" t="s">
        <v>32</v>
      </c>
      <c r="H561" s="10" t="s">
        <v>151</v>
      </c>
      <c r="I561" s="11">
        <v>759.06</v>
      </c>
      <c r="J561" s="10">
        <v>6</v>
      </c>
      <c r="K561" s="20">
        <v>0</v>
      </c>
      <c r="L561" s="11">
        <v>15.12</v>
      </c>
      <c r="M561" s="10" t="s">
        <v>27</v>
      </c>
      <c r="N561" s="12"/>
      <c r="O561" s="13" t="str">
        <f t="shared" si="56"/>
        <v>Catherine Glotzbach</v>
      </c>
      <c r="P561" s="13" t="str">
        <f t="shared" si="57"/>
        <v>IN</v>
      </c>
      <c r="Q561" s="13" t="str">
        <f t="shared" si="58"/>
        <v>2015</v>
      </c>
      <c r="R561" s="13" t="str">
        <f t="shared" si="59"/>
        <v>CRITICAL</v>
      </c>
      <c r="S561" s="13" t="str">
        <f t="shared" si="60"/>
        <v>furniture</v>
      </c>
      <c r="T561" s="21" t="str">
        <f t="shared" si="61"/>
        <v>42032</v>
      </c>
      <c r="U561" s="27" t="s">
        <v>3190</v>
      </c>
      <c r="V561" s="19" t="s">
        <v>2681</v>
      </c>
      <c r="W561" s="30">
        <v>2015</v>
      </c>
      <c r="X561" t="s">
        <v>3190</v>
      </c>
      <c r="Y561" s="28">
        <v>42032</v>
      </c>
      <c r="Z561" s="28" t="str">
        <f t="shared" si="62"/>
        <v>IN-2015-CG1204092-42032</v>
      </c>
    </row>
    <row r="562" spans="1:26" ht="15.75">
      <c r="A562" s="16" t="s">
        <v>1621</v>
      </c>
      <c r="B562" s="4">
        <v>41132</v>
      </c>
      <c r="C562" s="4">
        <v>41135</v>
      </c>
      <c r="D562" s="5" t="s">
        <v>1622</v>
      </c>
      <c r="E562" s="5" t="s">
        <v>742</v>
      </c>
      <c r="F562" s="5" t="s">
        <v>142</v>
      </c>
      <c r="G562" s="5" t="s">
        <v>17</v>
      </c>
      <c r="H562" s="5" t="s">
        <v>151</v>
      </c>
      <c r="I562" s="6">
        <v>1161.1971000000001</v>
      </c>
      <c r="J562" s="5">
        <v>7</v>
      </c>
      <c r="K562" s="17">
        <v>0.37</v>
      </c>
      <c r="L562" s="6">
        <v>-147.52289999999999</v>
      </c>
      <c r="M562" s="5" t="s">
        <v>37</v>
      </c>
      <c r="N562" s="7"/>
      <c r="O562" s="8" t="str">
        <f t="shared" si="56"/>
        <v>Clay Rozendal</v>
      </c>
      <c r="P562" s="8" t="str">
        <f t="shared" si="57"/>
        <v>ID</v>
      </c>
      <c r="Q562" s="8" t="str">
        <f t="shared" si="58"/>
        <v>2012</v>
      </c>
      <c r="R562" s="8" t="str">
        <f t="shared" si="59"/>
        <v>HIGH</v>
      </c>
      <c r="S562" s="8" t="str">
        <f t="shared" si="60"/>
        <v>technology</v>
      </c>
      <c r="T562" s="18" t="str">
        <f t="shared" si="61"/>
        <v>41132</v>
      </c>
      <c r="U562" s="27" t="s">
        <v>3191</v>
      </c>
      <c r="V562" s="16" t="s">
        <v>2705</v>
      </c>
      <c r="W562" s="30">
        <v>2012</v>
      </c>
      <c r="X562" t="s">
        <v>3191</v>
      </c>
      <c r="Y562" s="28">
        <v>41132</v>
      </c>
      <c r="Z562" s="28" t="str">
        <f t="shared" si="62"/>
        <v>ID-2012-CR12580144-41132</v>
      </c>
    </row>
    <row r="563" spans="1:26" ht="15.75">
      <c r="A563" s="19" t="s">
        <v>1627</v>
      </c>
      <c r="B563" s="9">
        <v>41284</v>
      </c>
      <c r="C563" s="9">
        <v>41554</v>
      </c>
      <c r="D563" s="10" t="s">
        <v>632</v>
      </c>
      <c r="E563" s="10" t="s">
        <v>114</v>
      </c>
      <c r="F563" s="10" t="s">
        <v>115</v>
      </c>
      <c r="G563" s="10" t="s">
        <v>32</v>
      </c>
      <c r="H563" s="10" t="s">
        <v>33</v>
      </c>
      <c r="I563" s="11">
        <v>3547.44</v>
      </c>
      <c r="J563" s="10">
        <v>8</v>
      </c>
      <c r="K563" s="20">
        <v>0</v>
      </c>
      <c r="L563" s="11">
        <v>780.24</v>
      </c>
      <c r="M563" s="10" t="s">
        <v>19</v>
      </c>
      <c r="N563" s="12"/>
      <c r="O563" s="13" t="str">
        <f t="shared" si="56"/>
        <v>Cynthia Arntzen</v>
      </c>
      <c r="P563" s="13" t="str">
        <f t="shared" si="57"/>
        <v>IN</v>
      </c>
      <c r="Q563" s="13" t="str">
        <f t="shared" si="58"/>
        <v>2013</v>
      </c>
      <c r="R563" s="13" t="str">
        <f t="shared" si="59"/>
        <v>MEDIUM</v>
      </c>
      <c r="S563" s="13" t="str">
        <f t="shared" si="60"/>
        <v>furniture</v>
      </c>
      <c r="T563" s="21" t="str">
        <f t="shared" si="61"/>
        <v>41548</v>
      </c>
      <c r="U563" s="27" t="s">
        <v>3033</v>
      </c>
      <c r="V563" s="19" t="s">
        <v>2681</v>
      </c>
      <c r="W563" s="30">
        <v>2013</v>
      </c>
      <c r="X563" t="s">
        <v>3033</v>
      </c>
      <c r="Y563" s="28">
        <v>41548</v>
      </c>
      <c r="Z563" s="28" t="str">
        <f t="shared" si="62"/>
        <v>IN-2013-CA1277558-41548</v>
      </c>
    </row>
    <row r="564" spans="1:26" ht="15.75">
      <c r="A564" s="16" t="s">
        <v>1633</v>
      </c>
      <c r="B564" s="4">
        <v>42091</v>
      </c>
      <c r="C564" s="4">
        <v>42093</v>
      </c>
      <c r="D564" s="5" t="s">
        <v>1385</v>
      </c>
      <c r="E564" s="5" t="s">
        <v>97</v>
      </c>
      <c r="F564" s="5" t="s">
        <v>98</v>
      </c>
      <c r="G564" s="5" t="s">
        <v>32</v>
      </c>
      <c r="H564" s="5" t="s">
        <v>23</v>
      </c>
      <c r="I564" s="6">
        <v>1011.69599999999</v>
      </c>
      <c r="J564" s="5">
        <v>7</v>
      </c>
      <c r="K564" s="17">
        <v>0.2</v>
      </c>
      <c r="L564" s="6">
        <v>126.335999999999</v>
      </c>
      <c r="M564" s="5" t="s">
        <v>37</v>
      </c>
      <c r="N564" s="7"/>
      <c r="O564" s="8" t="str">
        <f t="shared" si="56"/>
        <v>Debra Catini</v>
      </c>
      <c r="P564" s="8" t="str">
        <f t="shared" si="57"/>
        <v>MX</v>
      </c>
      <c r="Q564" s="8" t="str">
        <f t="shared" si="58"/>
        <v>2015</v>
      </c>
      <c r="R564" s="8" t="str">
        <f t="shared" si="59"/>
        <v>HIGH</v>
      </c>
      <c r="S564" s="8" t="str">
        <f t="shared" si="60"/>
        <v>furniture</v>
      </c>
      <c r="T564" s="18" t="str">
        <f t="shared" si="61"/>
        <v>42091</v>
      </c>
      <c r="U564" s="27" t="s">
        <v>3192</v>
      </c>
      <c r="V564" s="16" t="s">
        <v>2695</v>
      </c>
      <c r="W564" s="30">
        <v>2015</v>
      </c>
      <c r="X564" t="s">
        <v>3192</v>
      </c>
      <c r="Y564" s="28">
        <v>42091</v>
      </c>
      <c r="Z564" s="28" t="str">
        <f t="shared" si="62"/>
        <v>MX-2015-DC1328582-42091</v>
      </c>
    </row>
    <row r="565" spans="1:26" ht="15.75">
      <c r="A565" s="19" t="s">
        <v>1634</v>
      </c>
      <c r="B565" s="9">
        <v>42255</v>
      </c>
      <c r="C565" s="9">
        <v>42259</v>
      </c>
      <c r="D565" s="10" t="s">
        <v>1635</v>
      </c>
      <c r="E565" s="10" t="s">
        <v>570</v>
      </c>
      <c r="F565" s="10" t="s">
        <v>1079</v>
      </c>
      <c r="G565" s="10" t="s">
        <v>32</v>
      </c>
      <c r="H565" s="10" t="s">
        <v>33</v>
      </c>
      <c r="I565" s="11">
        <v>2419.1999999999998</v>
      </c>
      <c r="J565" s="10">
        <v>7</v>
      </c>
      <c r="K565" s="20">
        <v>0</v>
      </c>
      <c r="L565" s="11">
        <v>411.18</v>
      </c>
      <c r="M565" s="10" t="s">
        <v>37</v>
      </c>
      <c r="N565" s="12"/>
      <c r="O565" s="13" t="str">
        <f t="shared" si="56"/>
        <v>Joel Eaton</v>
      </c>
      <c r="P565" s="13" t="str">
        <f t="shared" si="57"/>
        <v>MX</v>
      </c>
      <c r="Q565" s="13" t="str">
        <f t="shared" si="58"/>
        <v>2015</v>
      </c>
      <c r="R565" s="13" t="str">
        <f t="shared" si="59"/>
        <v>HIGH</v>
      </c>
      <c r="S565" s="13" t="str">
        <f t="shared" si="60"/>
        <v>furniture</v>
      </c>
      <c r="T565" s="21" t="str">
        <f t="shared" si="61"/>
        <v>42255</v>
      </c>
      <c r="U565" s="27" t="s">
        <v>3193</v>
      </c>
      <c r="V565" s="19" t="s">
        <v>2695</v>
      </c>
      <c r="W565" s="30">
        <v>2015</v>
      </c>
      <c r="X565" t="s">
        <v>3193</v>
      </c>
      <c r="Y565" s="28">
        <v>42255</v>
      </c>
      <c r="Z565" s="28" t="str">
        <f t="shared" si="62"/>
        <v>MX-2015-JE1574531-42255</v>
      </c>
    </row>
    <row r="566" spans="1:26" ht="15.75">
      <c r="A566" s="16" t="s">
        <v>1638</v>
      </c>
      <c r="B566" s="4">
        <v>42294</v>
      </c>
      <c r="C566" s="4">
        <v>42297</v>
      </c>
      <c r="D566" s="5" t="s">
        <v>968</v>
      </c>
      <c r="E566" s="5" t="s">
        <v>1639</v>
      </c>
      <c r="F566" s="5" t="s">
        <v>120</v>
      </c>
      <c r="G566" s="5" t="s">
        <v>32</v>
      </c>
      <c r="H566" s="5" t="s">
        <v>44</v>
      </c>
      <c r="I566" s="6">
        <v>1773.71999999999</v>
      </c>
      <c r="J566" s="5">
        <v>6</v>
      </c>
      <c r="K566" s="17">
        <v>0</v>
      </c>
      <c r="L566" s="6">
        <v>212.76</v>
      </c>
      <c r="M566" s="5" t="s">
        <v>37</v>
      </c>
      <c r="N566" s="7"/>
      <c r="O566" s="8" t="str">
        <f t="shared" si="56"/>
        <v>Luke Schmidt</v>
      </c>
      <c r="P566" s="8" t="str">
        <f t="shared" si="57"/>
        <v>MX</v>
      </c>
      <c r="Q566" s="8" t="str">
        <f t="shared" si="58"/>
        <v>2015</v>
      </c>
      <c r="R566" s="8" t="str">
        <f t="shared" si="59"/>
        <v>HIGH</v>
      </c>
      <c r="S566" s="8" t="str">
        <f t="shared" si="60"/>
        <v>furniture</v>
      </c>
      <c r="T566" s="18" t="str">
        <f t="shared" si="61"/>
        <v>42294</v>
      </c>
      <c r="U566" s="27" t="s">
        <v>3194</v>
      </c>
      <c r="V566" s="16" t="s">
        <v>2695</v>
      </c>
      <c r="W566" s="30">
        <v>2015</v>
      </c>
      <c r="X566" t="s">
        <v>3194</v>
      </c>
      <c r="Y566" s="28">
        <v>42294</v>
      </c>
      <c r="Z566" s="28" t="str">
        <f t="shared" si="62"/>
        <v>MX-2015-LS1720080-42294</v>
      </c>
    </row>
    <row r="567" spans="1:26" ht="15.75">
      <c r="A567" s="19" t="s">
        <v>764</v>
      </c>
      <c r="B567" s="9">
        <v>41103</v>
      </c>
      <c r="C567" s="9">
        <v>41104</v>
      </c>
      <c r="D567" s="10" t="s">
        <v>765</v>
      </c>
      <c r="E567" s="10" t="s">
        <v>93</v>
      </c>
      <c r="F567" s="10" t="s">
        <v>94</v>
      </c>
      <c r="G567" s="10" t="s">
        <v>17</v>
      </c>
      <c r="H567" s="10" t="s">
        <v>33</v>
      </c>
      <c r="I567" s="11">
        <v>737.91</v>
      </c>
      <c r="J567" s="10">
        <v>6</v>
      </c>
      <c r="K567" s="20">
        <v>0.1</v>
      </c>
      <c r="L567" s="11">
        <v>-8.3699999999999992</v>
      </c>
      <c r="M567" s="10" t="s">
        <v>27</v>
      </c>
      <c r="N567" s="12"/>
      <c r="O567" s="13" t="str">
        <f t="shared" si="56"/>
        <v>Melanie Seite</v>
      </c>
      <c r="P567" s="13" t="str">
        <f t="shared" si="57"/>
        <v>IT</v>
      </c>
      <c r="Q567" s="13" t="str">
        <f t="shared" si="58"/>
        <v>2012</v>
      </c>
      <c r="R567" s="13" t="str">
        <f t="shared" si="59"/>
        <v>CRITICAL</v>
      </c>
      <c r="S567" s="13" t="str">
        <f t="shared" si="60"/>
        <v>technology</v>
      </c>
      <c r="T567" s="21" t="str">
        <f t="shared" si="61"/>
        <v>41103</v>
      </c>
      <c r="U567" s="27" t="s">
        <v>2763</v>
      </c>
      <c r="V567" s="19" t="s">
        <v>2690</v>
      </c>
      <c r="W567" s="30">
        <v>2012</v>
      </c>
      <c r="X567" t="s">
        <v>2763</v>
      </c>
      <c r="Y567" s="28">
        <v>41103</v>
      </c>
      <c r="Z567" s="28" t="str">
        <f t="shared" si="62"/>
        <v>IT-2012-MS17830139-41103</v>
      </c>
    </row>
    <row r="568" spans="1:26" ht="15.75">
      <c r="A568" s="16" t="s">
        <v>1655</v>
      </c>
      <c r="B568" s="4">
        <v>42095</v>
      </c>
      <c r="C568" s="4">
        <v>42099</v>
      </c>
      <c r="D568" s="5" t="s">
        <v>1205</v>
      </c>
      <c r="E568" s="5" t="s">
        <v>66</v>
      </c>
      <c r="F568" s="5" t="s">
        <v>90</v>
      </c>
      <c r="G568" s="5" t="s">
        <v>32</v>
      </c>
      <c r="H568" s="5" t="s">
        <v>299</v>
      </c>
      <c r="I568" s="6">
        <v>2614.6889999999898</v>
      </c>
      <c r="J568" s="5">
        <v>7</v>
      </c>
      <c r="K568" s="17">
        <v>0.3</v>
      </c>
      <c r="L568" s="6">
        <v>-821.96099999999899</v>
      </c>
      <c r="M568" s="5" t="s">
        <v>19</v>
      </c>
      <c r="N568" s="7"/>
      <c r="O568" s="8" t="str">
        <f t="shared" si="56"/>
        <v>Jennifer Ferguson</v>
      </c>
      <c r="P568" s="8" t="str">
        <f t="shared" si="57"/>
        <v>IN</v>
      </c>
      <c r="Q568" s="8" t="str">
        <f t="shared" si="58"/>
        <v>2015</v>
      </c>
      <c r="R568" s="8" t="str">
        <f t="shared" si="59"/>
        <v>MEDIUM</v>
      </c>
      <c r="S568" s="8" t="str">
        <f t="shared" si="60"/>
        <v>furniture</v>
      </c>
      <c r="T568" s="18" t="str">
        <f t="shared" si="61"/>
        <v>42095</v>
      </c>
      <c r="U568" s="27" t="s">
        <v>3195</v>
      </c>
      <c r="V568" s="16" t="s">
        <v>2681</v>
      </c>
      <c r="W568" s="30">
        <v>2015</v>
      </c>
      <c r="X568" t="s">
        <v>3195</v>
      </c>
      <c r="Y568" s="28">
        <v>42095</v>
      </c>
      <c r="Z568" s="28" t="str">
        <f t="shared" si="62"/>
        <v>IN-2015-JF1541527-42095</v>
      </c>
    </row>
    <row r="569" spans="1:26">
      <c r="A569" s="32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4"/>
      <c r="U569" s="35"/>
      <c r="V569" s="32"/>
      <c r="W569" s="36"/>
      <c r="X569" s="35"/>
      <c r="Y569" s="37"/>
      <c r="Z569" s="37"/>
    </row>
    <row r="570" spans="1:26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7"/>
      <c r="W570" s="36"/>
      <c r="X570" s="35"/>
      <c r="Y570" s="37"/>
      <c r="Z570" s="37"/>
    </row>
    <row r="571" spans="1:26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7"/>
      <c r="W571" s="36"/>
      <c r="X571" s="35"/>
      <c r="Y571" s="37"/>
      <c r="Z571" s="37"/>
    </row>
    <row r="572" spans="1:26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7"/>
      <c r="W572" s="36"/>
      <c r="X572" s="35"/>
      <c r="Y572" s="37"/>
      <c r="Z572" s="37"/>
    </row>
    <row r="573" spans="1:26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7"/>
      <c r="W573" s="36"/>
      <c r="X573" s="35"/>
      <c r="Y573" s="37"/>
      <c r="Z573" s="37"/>
    </row>
    <row r="574" spans="1:26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7"/>
      <c r="W574" s="36"/>
      <c r="X574" s="35"/>
      <c r="Y574" s="37"/>
      <c r="Z574" s="37"/>
    </row>
    <row r="575" spans="1:26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7"/>
      <c r="W575" s="36"/>
      <c r="X575" s="35"/>
      <c r="Y575" s="37"/>
      <c r="Z575" s="37"/>
    </row>
    <row r="576" spans="1:2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7"/>
      <c r="W576" s="36"/>
      <c r="X576" s="35"/>
      <c r="Y576" s="37"/>
      <c r="Z576" s="37"/>
    </row>
    <row r="577" spans="1:26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7"/>
      <c r="W577" s="36"/>
      <c r="X577" s="35"/>
      <c r="Y577" s="37"/>
      <c r="Z577" s="37"/>
    </row>
    <row r="578" spans="1:26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7"/>
      <c r="W578" s="36"/>
      <c r="X578" s="35"/>
      <c r="Y578" s="37"/>
      <c r="Z578" s="37"/>
    </row>
    <row r="579" spans="1:26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7"/>
      <c r="W579" s="36"/>
      <c r="X579" s="35"/>
      <c r="Y579" s="37"/>
      <c r="Z579" s="37"/>
    </row>
    <row r="580" spans="1:26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7"/>
      <c r="W580" s="36"/>
      <c r="X580" s="35"/>
      <c r="Y580" s="37"/>
      <c r="Z580" s="37"/>
    </row>
    <row r="581" spans="1:26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7"/>
      <c r="W581" s="36"/>
      <c r="X581" s="35"/>
      <c r="Y581" s="37"/>
      <c r="Z581" s="37"/>
    </row>
    <row r="582" spans="1:26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7"/>
      <c r="W582" s="36"/>
      <c r="X582" s="35"/>
      <c r="Y582" s="37"/>
      <c r="Z582" s="37"/>
    </row>
    <row r="583" spans="1:26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7"/>
      <c r="W583" s="36"/>
      <c r="X583" s="35"/>
      <c r="Y583" s="37"/>
      <c r="Z583" s="37"/>
    </row>
    <row r="584" spans="1:26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7"/>
      <c r="W584" s="36"/>
      <c r="X584" s="35"/>
      <c r="Y584" s="37"/>
      <c r="Z584" s="37"/>
    </row>
    <row r="585" spans="1:26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7"/>
      <c r="W585" s="36"/>
      <c r="X585" s="35"/>
      <c r="Y585" s="37"/>
      <c r="Z585" s="37"/>
    </row>
    <row r="586" spans="1:2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7"/>
      <c r="W586" s="36"/>
      <c r="X586" s="35"/>
      <c r="Y586" s="37"/>
      <c r="Z586" s="37"/>
    </row>
    <row r="587" spans="1:26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7"/>
      <c r="W587" s="36"/>
      <c r="X587" s="35"/>
      <c r="Y587" s="37"/>
      <c r="Z587" s="37"/>
    </row>
    <row r="588" spans="1:26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7"/>
      <c r="W588" s="36"/>
      <c r="X588" s="35"/>
      <c r="Y588" s="37"/>
      <c r="Z588" s="37"/>
    </row>
    <row r="589" spans="1:26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7"/>
      <c r="W589" s="36"/>
      <c r="X589" s="35"/>
      <c r="Y589" s="37"/>
      <c r="Z589" s="37"/>
    </row>
    <row r="590" spans="1:26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7"/>
      <c r="W590" s="36"/>
      <c r="X590" s="35"/>
      <c r="Y590" s="37"/>
      <c r="Z590" s="37"/>
    </row>
    <row r="591" spans="1:26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7"/>
      <c r="W591" s="36"/>
      <c r="X591" s="35"/>
      <c r="Y591" s="37"/>
      <c r="Z591" s="37"/>
    </row>
    <row r="592" spans="1:26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7"/>
      <c r="W592" s="36"/>
      <c r="X592" s="35"/>
      <c r="Y592" s="37"/>
      <c r="Z592" s="37"/>
    </row>
    <row r="593" spans="1:26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7"/>
      <c r="W593" s="36"/>
      <c r="X593" s="35"/>
      <c r="Y593" s="37"/>
      <c r="Z593" s="37"/>
    </row>
    <row r="594" spans="1:26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7"/>
      <c r="W594" s="36"/>
      <c r="X594" s="35"/>
      <c r="Y594" s="37"/>
      <c r="Z594" s="37"/>
    </row>
    <row r="595" spans="1:26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7"/>
      <c r="W595" s="36"/>
      <c r="X595" s="35"/>
      <c r="Y595" s="37"/>
      <c r="Z595" s="37"/>
    </row>
    <row r="596" spans="1:2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7"/>
      <c r="W596" s="36"/>
      <c r="X596" s="35"/>
      <c r="Y596" s="37"/>
      <c r="Z596" s="37"/>
    </row>
    <row r="597" spans="1:26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7"/>
      <c r="W597" s="36"/>
      <c r="X597" s="35"/>
      <c r="Y597" s="37"/>
      <c r="Z597" s="37"/>
    </row>
    <row r="598" spans="1:26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7"/>
      <c r="W598" s="36"/>
      <c r="X598" s="35"/>
      <c r="Y598" s="37"/>
      <c r="Z598" s="37"/>
    </row>
    <row r="599" spans="1:26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7"/>
      <c r="W599" s="36"/>
      <c r="X599" s="35"/>
      <c r="Y599" s="37"/>
      <c r="Z599" s="37"/>
    </row>
    <row r="600" spans="1:26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7"/>
      <c r="W600" s="36"/>
      <c r="X600" s="35"/>
      <c r="Y600" s="37"/>
      <c r="Z600" s="37"/>
    </row>
    <row r="601" spans="1:26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7"/>
      <c r="W601" s="36"/>
      <c r="X601" s="35"/>
      <c r="Y601" s="37"/>
      <c r="Z601" s="37"/>
    </row>
    <row r="602" spans="1:26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7"/>
      <c r="W602" s="36"/>
      <c r="X602" s="35"/>
      <c r="Y602" s="37"/>
      <c r="Z602" s="37"/>
    </row>
    <row r="603" spans="1:26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7"/>
      <c r="W603" s="36"/>
      <c r="X603" s="35"/>
      <c r="Y603" s="37"/>
      <c r="Z603" s="37"/>
    </row>
    <row r="604" spans="1:26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7"/>
      <c r="W604" s="36"/>
      <c r="X604" s="35"/>
      <c r="Y604" s="37"/>
      <c r="Z604" s="37"/>
    </row>
    <row r="605" spans="1:26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7"/>
      <c r="W605" s="36"/>
      <c r="X605" s="35"/>
      <c r="Y605" s="37"/>
      <c r="Z605" s="37"/>
    </row>
    <row r="606" spans="1:2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7"/>
      <c r="W606" s="36"/>
      <c r="X606" s="35"/>
      <c r="Y606" s="37"/>
      <c r="Z606" s="37"/>
    </row>
    <row r="607" spans="1:26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7"/>
      <c r="W607" s="36"/>
      <c r="X607" s="35"/>
      <c r="Y607" s="37"/>
      <c r="Z607" s="37"/>
    </row>
    <row r="608" spans="1:26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7"/>
      <c r="W608" s="36"/>
      <c r="X608" s="35"/>
      <c r="Y608" s="37"/>
      <c r="Z608" s="37"/>
    </row>
    <row r="609" spans="1:26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7"/>
      <c r="W609" s="36"/>
      <c r="X609" s="35"/>
      <c r="Y609" s="37"/>
      <c r="Z609" s="37"/>
    </row>
    <row r="610" spans="1:26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7"/>
      <c r="W610" s="36"/>
      <c r="X610" s="35"/>
      <c r="Y610" s="37"/>
      <c r="Z610" s="37"/>
    </row>
    <row r="611" spans="1:26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7"/>
      <c r="W611" s="36"/>
      <c r="X611" s="35"/>
      <c r="Y611" s="37"/>
      <c r="Z611" s="37"/>
    </row>
    <row r="612" spans="1:26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7"/>
      <c r="W612" s="36"/>
      <c r="X612" s="35"/>
      <c r="Y612" s="37"/>
      <c r="Z612" s="37"/>
    </row>
    <row r="613" spans="1:26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7"/>
      <c r="W613" s="36"/>
      <c r="X613" s="35"/>
      <c r="Y613" s="37"/>
      <c r="Z613" s="37"/>
    </row>
    <row r="614" spans="1:26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7"/>
      <c r="W614" s="36"/>
      <c r="X614" s="35"/>
      <c r="Y614" s="37"/>
      <c r="Z614" s="37"/>
    </row>
    <row r="615" spans="1:26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7"/>
      <c r="W615" s="36"/>
      <c r="X615" s="35"/>
      <c r="Y615" s="37"/>
      <c r="Z615" s="37"/>
    </row>
    <row r="616" spans="1:2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7"/>
      <c r="W616" s="36"/>
      <c r="X616" s="35"/>
      <c r="Y616" s="37"/>
      <c r="Z616" s="37"/>
    </row>
    <row r="617" spans="1:26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7"/>
      <c r="W617" s="36"/>
      <c r="X617" s="35"/>
      <c r="Y617" s="37"/>
      <c r="Z617" s="37"/>
    </row>
    <row r="618" spans="1:26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7"/>
      <c r="W618" s="36"/>
      <c r="X618" s="35"/>
      <c r="Y618" s="37"/>
      <c r="Z618" s="37"/>
    </row>
    <row r="619" spans="1:26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7"/>
      <c r="W619" s="36"/>
      <c r="X619" s="35"/>
      <c r="Y619" s="37"/>
      <c r="Z619" s="37"/>
    </row>
    <row r="620" spans="1:26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7"/>
      <c r="W620" s="36"/>
      <c r="X620" s="35"/>
      <c r="Y620" s="37"/>
      <c r="Z620" s="37"/>
    </row>
    <row r="621" spans="1:26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7"/>
      <c r="W621" s="36"/>
      <c r="X621" s="35"/>
      <c r="Y621" s="37"/>
      <c r="Z621" s="37"/>
    </row>
    <row r="622" spans="1:26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7"/>
      <c r="W622" s="36"/>
      <c r="X622" s="35"/>
      <c r="Y622" s="37"/>
      <c r="Z622" s="37"/>
    </row>
    <row r="623" spans="1:26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7"/>
      <c r="W623" s="36"/>
      <c r="X623" s="35"/>
      <c r="Y623" s="37"/>
      <c r="Z623" s="37"/>
    </row>
    <row r="624" spans="1:26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7"/>
      <c r="W624" s="36"/>
      <c r="X624" s="35"/>
      <c r="Y624" s="37"/>
      <c r="Z624" s="37"/>
    </row>
    <row r="625" spans="1:26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7"/>
      <c r="W625" s="36"/>
      <c r="X625" s="35"/>
      <c r="Y625" s="37"/>
      <c r="Z625" s="37"/>
    </row>
    <row r="626" spans="1: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7"/>
      <c r="W626" s="36"/>
      <c r="X626" s="35"/>
      <c r="Y626" s="37"/>
      <c r="Z626" s="37"/>
    </row>
    <row r="627" spans="1:26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7"/>
      <c r="W627" s="36"/>
      <c r="X627" s="35"/>
      <c r="Y627" s="37"/>
      <c r="Z627" s="37"/>
    </row>
    <row r="628" spans="1:26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7"/>
      <c r="W628" s="36"/>
      <c r="X628" s="35"/>
      <c r="Y628" s="37"/>
      <c r="Z628" s="37"/>
    </row>
    <row r="629" spans="1:26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7"/>
      <c r="W629" s="36"/>
      <c r="X629" s="35"/>
      <c r="Y629" s="37"/>
      <c r="Z629" s="37"/>
    </row>
    <row r="630" spans="1:26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7"/>
      <c r="W630" s="36"/>
      <c r="X630" s="35"/>
      <c r="Y630" s="37"/>
      <c r="Z630" s="37"/>
    </row>
    <row r="631" spans="1:26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7"/>
      <c r="W631" s="36"/>
      <c r="X631" s="35"/>
      <c r="Y631" s="37"/>
      <c r="Z631" s="37"/>
    </row>
    <row r="632" spans="1:26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7"/>
      <c r="W632" s="36"/>
      <c r="X632" s="35"/>
      <c r="Y632" s="37"/>
      <c r="Z632" s="37"/>
    </row>
    <row r="633" spans="1:26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7"/>
      <c r="W633" s="36"/>
      <c r="X633" s="35"/>
      <c r="Y633" s="37"/>
      <c r="Z633" s="37"/>
    </row>
    <row r="634" spans="1:26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7"/>
      <c r="W634" s="36"/>
      <c r="X634" s="35"/>
      <c r="Y634" s="37"/>
      <c r="Z634" s="37"/>
    </row>
    <row r="635" spans="1:26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7"/>
      <c r="W635" s="36"/>
      <c r="X635" s="35"/>
      <c r="Y635" s="37"/>
      <c r="Z635" s="37"/>
    </row>
    <row r="636" spans="1:2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7"/>
      <c r="W636" s="36"/>
      <c r="X636" s="35"/>
      <c r="Y636" s="37"/>
      <c r="Z636" s="37"/>
    </row>
    <row r="637" spans="1:26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7"/>
      <c r="W637" s="36"/>
      <c r="X637" s="35"/>
      <c r="Y637" s="37"/>
      <c r="Z637" s="37"/>
    </row>
    <row r="638" spans="1:26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7"/>
      <c r="W638" s="36"/>
      <c r="X638" s="35"/>
      <c r="Y638" s="37"/>
      <c r="Z638" s="37"/>
    </row>
    <row r="639" spans="1:26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7"/>
      <c r="W639" s="36"/>
      <c r="X639" s="35"/>
      <c r="Y639" s="37"/>
      <c r="Z639" s="37"/>
    </row>
    <row r="640" spans="1:26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7"/>
      <c r="W640" s="36"/>
      <c r="X640" s="35"/>
      <c r="Y640" s="37"/>
      <c r="Z640" s="37"/>
    </row>
    <row r="641" spans="1:26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7"/>
      <c r="W641" s="36"/>
      <c r="X641" s="35"/>
      <c r="Y641" s="37"/>
      <c r="Z641" s="37"/>
    </row>
    <row r="642" spans="1:26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7"/>
      <c r="W642" s="36"/>
      <c r="X642" s="35"/>
      <c r="Y642" s="37"/>
      <c r="Z642" s="37"/>
    </row>
    <row r="643" spans="1:26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7"/>
      <c r="W643" s="36"/>
      <c r="X643" s="35"/>
      <c r="Y643" s="37"/>
      <c r="Z643" s="37"/>
    </row>
    <row r="644" spans="1:26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7"/>
      <c r="W644" s="36"/>
      <c r="X644" s="35"/>
      <c r="Y644" s="37"/>
      <c r="Z644" s="37"/>
    </row>
    <row r="645" spans="1:26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7"/>
      <c r="W645" s="36"/>
      <c r="X645" s="35"/>
      <c r="Y645" s="37"/>
      <c r="Z645" s="37"/>
    </row>
    <row r="646" spans="1:2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7"/>
      <c r="W646" s="36"/>
      <c r="X646" s="35"/>
      <c r="Y646" s="37"/>
      <c r="Z646" s="37"/>
    </row>
    <row r="647" spans="1:26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7"/>
      <c r="W647" s="36"/>
      <c r="X647" s="35"/>
      <c r="Y647" s="37"/>
      <c r="Z647" s="37"/>
    </row>
    <row r="648" spans="1:26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7"/>
      <c r="W648" s="36"/>
      <c r="X648" s="35"/>
      <c r="Y648" s="37"/>
      <c r="Z648" s="37"/>
    </row>
    <row r="649" spans="1:26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7"/>
      <c r="W649" s="36"/>
      <c r="X649" s="35"/>
      <c r="Y649" s="37"/>
      <c r="Z649" s="37"/>
    </row>
    <row r="650" spans="1:26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7"/>
      <c r="W650" s="36"/>
      <c r="X650" s="35"/>
      <c r="Y650" s="37"/>
      <c r="Z650" s="37"/>
    </row>
    <row r="651" spans="1:26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7"/>
      <c r="W651" s="36"/>
      <c r="X651" s="35"/>
      <c r="Y651" s="37"/>
      <c r="Z651" s="37"/>
    </row>
    <row r="652" spans="1:26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7"/>
      <c r="W652" s="36"/>
      <c r="X652" s="35"/>
      <c r="Y652" s="37"/>
      <c r="Z652" s="37"/>
    </row>
    <row r="653" spans="1:26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7"/>
      <c r="W653" s="36"/>
      <c r="X653" s="35"/>
      <c r="Y653" s="37"/>
      <c r="Z653" s="37"/>
    </row>
    <row r="654" spans="1:26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7"/>
      <c r="W654" s="36"/>
      <c r="X654" s="35"/>
      <c r="Y654" s="37"/>
      <c r="Z654" s="37"/>
    </row>
    <row r="655" spans="1:26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7"/>
      <c r="W655" s="36"/>
      <c r="X655" s="35"/>
      <c r="Y655" s="37"/>
      <c r="Z655" s="37"/>
    </row>
    <row r="656" spans="1:2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7"/>
      <c r="W656" s="36"/>
      <c r="X656" s="35"/>
      <c r="Y656" s="37"/>
      <c r="Z656" s="37"/>
    </row>
    <row r="657" spans="1:26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7"/>
      <c r="W657" s="36"/>
      <c r="X657" s="35"/>
      <c r="Y657" s="37"/>
      <c r="Z657" s="37"/>
    </row>
    <row r="658" spans="1:26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7"/>
      <c r="W658" s="36"/>
      <c r="X658" s="35"/>
      <c r="Y658" s="37"/>
      <c r="Z658" s="37"/>
    </row>
    <row r="659" spans="1:26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7"/>
      <c r="W659" s="36"/>
      <c r="X659" s="35"/>
      <c r="Y659" s="37"/>
      <c r="Z659" s="37"/>
    </row>
    <row r="660" spans="1:26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7"/>
      <c r="W660" s="36"/>
      <c r="X660" s="35"/>
      <c r="Y660" s="37"/>
      <c r="Z660" s="37"/>
    </row>
    <row r="661" spans="1:26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7"/>
      <c r="W661" s="36"/>
      <c r="X661" s="35"/>
      <c r="Y661" s="37"/>
      <c r="Z661" s="37"/>
    </row>
    <row r="662" spans="1:26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7"/>
      <c r="W662" s="36"/>
      <c r="X662" s="35"/>
      <c r="Y662" s="37"/>
      <c r="Z662" s="37"/>
    </row>
    <row r="663" spans="1:26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7"/>
      <c r="W663" s="36"/>
      <c r="X663" s="35"/>
      <c r="Y663" s="37"/>
      <c r="Z663" s="37"/>
    </row>
    <row r="664" spans="1:26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7"/>
      <c r="W664" s="36"/>
      <c r="X664" s="35"/>
      <c r="Y664" s="37"/>
      <c r="Z664" s="37"/>
    </row>
    <row r="665" spans="1:26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7"/>
      <c r="W665" s="36"/>
      <c r="X665" s="35"/>
      <c r="Y665" s="37"/>
      <c r="Z665" s="37"/>
    </row>
    <row r="666" spans="1:2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7"/>
      <c r="W666" s="36"/>
      <c r="X666" s="35"/>
      <c r="Y666" s="37"/>
      <c r="Z666" s="37"/>
    </row>
    <row r="667" spans="1:26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7"/>
      <c r="W667" s="36"/>
      <c r="X667" s="35"/>
      <c r="Y667" s="37"/>
      <c r="Z667" s="37"/>
    </row>
    <row r="668" spans="1:26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7"/>
      <c r="W668" s="36"/>
      <c r="X668" s="35"/>
      <c r="Y668" s="37"/>
      <c r="Z668" s="37"/>
    </row>
    <row r="669" spans="1:26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7"/>
      <c r="W669" s="36"/>
      <c r="X669" s="35"/>
      <c r="Y669" s="37"/>
      <c r="Z669" s="37"/>
    </row>
    <row r="670" spans="1:26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7"/>
      <c r="W670" s="36"/>
      <c r="X670" s="35"/>
      <c r="Y670" s="37"/>
      <c r="Z670" s="37"/>
    </row>
    <row r="671" spans="1:26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7"/>
      <c r="W671" s="36"/>
      <c r="X671" s="35"/>
      <c r="Y671" s="37"/>
      <c r="Z671" s="37"/>
    </row>
    <row r="672" spans="1:26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7"/>
      <c r="W672" s="36"/>
      <c r="X672" s="35"/>
      <c r="Y672" s="37"/>
      <c r="Z672" s="37"/>
    </row>
    <row r="673" spans="1:26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7"/>
      <c r="W673" s="36"/>
      <c r="X673" s="35"/>
      <c r="Y673" s="37"/>
      <c r="Z673" s="37"/>
    </row>
    <row r="674" spans="1:26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7"/>
      <c r="W674" s="36"/>
      <c r="X674" s="35"/>
      <c r="Y674" s="37"/>
      <c r="Z674" s="37"/>
    </row>
    <row r="675" spans="1:26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7"/>
      <c r="W675" s="36"/>
      <c r="X675" s="35"/>
      <c r="Y675" s="37"/>
      <c r="Z675" s="37"/>
    </row>
    <row r="676" spans="1:2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7"/>
      <c r="W676" s="36"/>
      <c r="X676" s="35"/>
      <c r="Y676" s="37"/>
      <c r="Z676" s="37"/>
    </row>
    <row r="677" spans="1:26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7"/>
      <c r="W677" s="36"/>
      <c r="X677" s="35"/>
      <c r="Y677" s="37"/>
      <c r="Z677" s="37"/>
    </row>
    <row r="678" spans="1:26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7"/>
      <c r="W678" s="36"/>
      <c r="X678" s="35"/>
      <c r="Y678" s="37"/>
      <c r="Z678" s="37"/>
    </row>
    <row r="679" spans="1:26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7"/>
      <c r="W679" s="36"/>
      <c r="X679" s="35"/>
      <c r="Y679" s="37"/>
      <c r="Z679" s="37"/>
    </row>
    <row r="680" spans="1:26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7"/>
      <c r="W680" s="36"/>
      <c r="X680" s="35"/>
      <c r="Y680" s="37"/>
      <c r="Z680" s="37"/>
    </row>
    <row r="681" spans="1:26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7"/>
      <c r="W681" s="36"/>
      <c r="X681" s="35"/>
      <c r="Y681" s="37"/>
      <c r="Z681" s="37"/>
    </row>
    <row r="682" spans="1:26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7"/>
      <c r="W682" s="36"/>
      <c r="X682" s="35"/>
      <c r="Y682" s="37"/>
      <c r="Z682" s="37"/>
    </row>
    <row r="683" spans="1:26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7"/>
      <c r="W683" s="36"/>
      <c r="X683" s="35"/>
      <c r="Y683" s="37"/>
      <c r="Z683" s="37"/>
    </row>
    <row r="684" spans="1:26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7"/>
      <c r="W684" s="36"/>
      <c r="X684" s="35"/>
      <c r="Y684" s="37"/>
      <c r="Z684" s="37"/>
    </row>
    <row r="685" spans="1:26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7"/>
      <c r="W685" s="36"/>
      <c r="X685" s="35"/>
      <c r="Y685" s="37"/>
      <c r="Z685" s="37"/>
    </row>
    <row r="686" spans="1:2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7"/>
      <c r="W686" s="36"/>
      <c r="X686" s="35"/>
      <c r="Y686" s="37"/>
      <c r="Z686" s="37"/>
    </row>
    <row r="687" spans="1:26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7"/>
      <c r="W687" s="36"/>
      <c r="X687" s="35"/>
      <c r="Y687" s="37"/>
      <c r="Z687" s="37"/>
    </row>
    <row r="688" spans="1:26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7"/>
      <c r="W688" s="36"/>
      <c r="X688" s="35"/>
      <c r="Y688" s="37"/>
      <c r="Z688" s="37"/>
    </row>
    <row r="689" spans="1:26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7"/>
      <c r="W689" s="36"/>
      <c r="X689" s="35"/>
      <c r="Y689" s="37"/>
      <c r="Z689" s="37"/>
    </row>
    <row r="690" spans="1:26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7"/>
      <c r="W690" s="36"/>
      <c r="X690" s="35"/>
      <c r="Y690" s="37"/>
      <c r="Z690" s="37"/>
    </row>
    <row r="691" spans="1:26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7"/>
      <c r="W691" s="36"/>
      <c r="X691" s="35"/>
      <c r="Y691" s="37"/>
      <c r="Z691" s="37"/>
    </row>
    <row r="692" spans="1:26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7"/>
      <c r="W692" s="36"/>
      <c r="X692" s="35"/>
      <c r="Y692" s="37"/>
      <c r="Z692" s="37"/>
    </row>
    <row r="693" spans="1:26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7"/>
      <c r="W693" s="36"/>
      <c r="X693" s="35"/>
      <c r="Y693" s="37"/>
      <c r="Z693" s="37"/>
    </row>
    <row r="694" spans="1:26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7"/>
      <c r="W694" s="36"/>
      <c r="X694" s="35"/>
      <c r="Y694" s="37"/>
      <c r="Z694" s="37"/>
    </row>
    <row r="695" spans="1:26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7"/>
      <c r="W695" s="36"/>
      <c r="X695" s="35"/>
      <c r="Y695" s="37"/>
      <c r="Z695" s="37"/>
    </row>
    <row r="696" spans="1:2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7"/>
      <c r="W696" s="36"/>
      <c r="X696" s="35"/>
      <c r="Y696" s="37"/>
      <c r="Z696" s="37"/>
    </row>
    <row r="697" spans="1:26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7"/>
      <c r="W697" s="36"/>
      <c r="X697" s="35"/>
      <c r="Y697" s="37"/>
      <c r="Z697" s="37"/>
    </row>
    <row r="698" spans="1:26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7"/>
      <c r="W698" s="36"/>
      <c r="X698" s="35"/>
      <c r="Y698" s="37"/>
      <c r="Z698" s="37"/>
    </row>
    <row r="699" spans="1:26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7"/>
      <c r="W699" s="36"/>
      <c r="X699" s="35"/>
      <c r="Y699" s="37"/>
      <c r="Z699" s="37"/>
    </row>
    <row r="700" spans="1:26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7"/>
      <c r="W700" s="36"/>
      <c r="X700" s="35"/>
      <c r="Y700" s="37"/>
      <c r="Z700" s="37"/>
    </row>
    <row r="701" spans="1:26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7"/>
      <c r="W701" s="36"/>
      <c r="X701" s="35"/>
      <c r="Y701" s="37"/>
      <c r="Z701" s="37"/>
    </row>
    <row r="702" spans="1:26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7"/>
      <c r="W702" s="36"/>
      <c r="X702" s="35"/>
      <c r="Y702" s="37"/>
      <c r="Z702" s="37"/>
    </row>
    <row r="703" spans="1:26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7"/>
      <c r="W703" s="36"/>
      <c r="X703" s="35"/>
      <c r="Y703" s="37"/>
      <c r="Z703" s="37"/>
    </row>
    <row r="704" spans="1:26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7"/>
      <c r="W704" s="36"/>
      <c r="X704" s="35"/>
      <c r="Y704" s="37"/>
      <c r="Z704" s="37"/>
    </row>
    <row r="705" spans="1:26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7"/>
      <c r="W705" s="36"/>
      <c r="X705" s="35"/>
      <c r="Y705" s="37"/>
      <c r="Z705" s="37"/>
    </row>
    <row r="706" spans="1:2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7"/>
      <c r="W706" s="36"/>
      <c r="X706" s="35"/>
      <c r="Y706" s="37"/>
      <c r="Z706" s="37"/>
    </row>
    <row r="707" spans="1:26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7"/>
      <c r="W707" s="36"/>
      <c r="X707" s="35"/>
      <c r="Y707" s="37"/>
      <c r="Z707" s="37"/>
    </row>
    <row r="708" spans="1:26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7"/>
      <c r="W708" s="36"/>
      <c r="X708" s="35"/>
      <c r="Y708" s="37"/>
      <c r="Z708" s="37"/>
    </row>
    <row r="709" spans="1:26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7"/>
      <c r="W709" s="36"/>
      <c r="X709" s="35"/>
      <c r="Y709" s="37"/>
      <c r="Z709" s="37"/>
    </row>
    <row r="710" spans="1:26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7"/>
      <c r="W710" s="36"/>
      <c r="X710" s="35"/>
      <c r="Y710" s="37"/>
      <c r="Z710" s="37"/>
    </row>
    <row r="711" spans="1:26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7"/>
      <c r="W711" s="36"/>
      <c r="X711" s="35"/>
      <c r="Y711" s="37"/>
      <c r="Z711" s="37"/>
    </row>
    <row r="712" spans="1:26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7"/>
      <c r="W712" s="36"/>
      <c r="X712" s="35"/>
      <c r="Y712" s="37"/>
      <c r="Z712" s="37"/>
    </row>
    <row r="713" spans="1:26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7"/>
      <c r="W713" s="36"/>
      <c r="X713" s="35"/>
      <c r="Y713" s="37"/>
      <c r="Z713" s="37"/>
    </row>
    <row r="714" spans="1:26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7"/>
      <c r="W714" s="36"/>
      <c r="X714" s="35"/>
      <c r="Y714" s="37"/>
      <c r="Z714" s="37"/>
    </row>
    <row r="715" spans="1:26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7"/>
      <c r="W715" s="36"/>
      <c r="X715" s="35"/>
      <c r="Y715" s="37"/>
      <c r="Z715" s="37"/>
    </row>
    <row r="716" spans="1:2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7"/>
      <c r="W716" s="36"/>
      <c r="X716" s="35"/>
      <c r="Y716" s="37"/>
      <c r="Z716" s="37"/>
    </row>
    <row r="717" spans="1:26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7"/>
      <c r="W717" s="36"/>
      <c r="X717" s="35"/>
      <c r="Y717" s="37"/>
      <c r="Z717" s="37"/>
    </row>
    <row r="718" spans="1:26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7"/>
      <c r="W718" s="36"/>
      <c r="X718" s="35"/>
      <c r="Y718" s="37"/>
      <c r="Z718" s="37"/>
    </row>
    <row r="719" spans="1:26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7"/>
      <c r="W719" s="36"/>
      <c r="X719" s="35"/>
      <c r="Y719" s="37"/>
      <c r="Z719" s="37"/>
    </row>
    <row r="720" spans="1:26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7"/>
      <c r="W720" s="36"/>
      <c r="X720" s="35"/>
      <c r="Y720" s="37"/>
      <c r="Z720" s="37"/>
    </row>
    <row r="721" spans="1:26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7"/>
      <c r="W721" s="36"/>
      <c r="X721" s="35"/>
      <c r="Y721" s="37"/>
      <c r="Z721" s="37"/>
    </row>
    <row r="722" spans="1:26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7"/>
      <c r="W722" s="36"/>
      <c r="X722" s="35"/>
      <c r="Y722" s="37"/>
      <c r="Z722" s="37"/>
    </row>
    <row r="723" spans="1:26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7"/>
      <c r="W723" s="36"/>
      <c r="X723" s="35"/>
      <c r="Y723" s="37"/>
      <c r="Z723" s="37"/>
    </row>
    <row r="724" spans="1:26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7"/>
      <c r="W724" s="36"/>
      <c r="X724" s="35"/>
      <c r="Y724" s="37"/>
      <c r="Z724" s="37"/>
    </row>
    <row r="725" spans="1:26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7"/>
      <c r="W725" s="36"/>
      <c r="X725" s="35"/>
      <c r="Y725" s="37"/>
      <c r="Z725" s="37"/>
    </row>
    <row r="726" spans="1: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7"/>
      <c r="W726" s="36"/>
      <c r="X726" s="35"/>
      <c r="Y726" s="37"/>
      <c r="Z726" s="37"/>
    </row>
    <row r="727" spans="1:26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7"/>
      <c r="W727" s="36"/>
      <c r="X727" s="35"/>
      <c r="Y727" s="37"/>
      <c r="Z727" s="37"/>
    </row>
    <row r="728" spans="1:26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7"/>
      <c r="W728" s="36"/>
      <c r="X728" s="35"/>
      <c r="Y728" s="37"/>
      <c r="Z728" s="37"/>
    </row>
    <row r="729" spans="1:26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7"/>
      <c r="W729" s="36"/>
      <c r="X729" s="35"/>
      <c r="Y729" s="37"/>
      <c r="Z729" s="37"/>
    </row>
    <row r="730" spans="1:26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7"/>
      <c r="W730" s="36"/>
      <c r="X730" s="35"/>
      <c r="Y730" s="37"/>
      <c r="Z730" s="37"/>
    </row>
    <row r="731" spans="1:26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7"/>
      <c r="W731" s="36"/>
      <c r="X731" s="35"/>
      <c r="Y731" s="37"/>
      <c r="Z731" s="37"/>
    </row>
    <row r="732" spans="1:26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7"/>
      <c r="W732" s="36"/>
      <c r="X732" s="35"/>
      <c r="Y732" s="37"/>
      <c r="Z732" s="37"/>
    </row>
    <row r="733" spans="1:26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7"/>
      <c r="W733" s="36"/>
      <c r="X733" s="35"/>
      <c r="Y733" s="37"/>
      <c r="Z733" s="37"/>
    </row>
    <row r="734" spans="1:26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7"/>
      <c r="W734" s="36"/>
      <c r="X734" s="35"/>
      <c r="Y734" s="37"/>
      <c r="Z734" s="37"/>
    </row>
    <row r="735" spans="1:26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7"/>
      <c r="W735" s="36"/>
      <c r="X735" s="35"/>
      <c r="Y735" s="37"/>
      <c r="Z735" s="37"/>
    </row>
    <row r="736" spans="1:2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7"/>
      <c r="W736" s="36"/>
      <c r="X736" s="35"/>
      <c r="Y736" s="37"/>
      <c r="Z736" s="37"/>
    </row>
    <row r="737" spans="1:26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7"/>
      <c r="W737" s="36"/>
      <c r="X737" s="35"/>
      <c r="Y737" s="37"/>
      <c r="Z737" s="37"/>
    </row>
    <row r="738" spans="1:26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7"/>
      <c r="W738" s="36"/>
      <c r="X738" s="35"/>
      <c r="Y738" s="37"/>
      <c r="Z738" s="37"/>
    </row>
    <row r="739" spans="1:26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7"/>
      <c r="W739" s="36"/>
      <c r="X739" s="35"/>
      <c r="Y739" s="37"/>
      <c r="Z739" s="37"/>
    </row>
    <row r="740" spans="1:26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7"/>
      <c r="W740" s="36"/>
      <c r="X740" s="35"/>
      <c r="Y740" s="37"/>
      <c r="Z740" s="37"/>
    </row>
    <row r="741" spans="1:26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7"/>
      <c r="W741" s="36"/>
      <c r="X741" s="35"/>
      <c r="Y741" s="37"/>
      <c r="Z741" s="37"/>
    </row>
    <row r="742" spans="1:26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7"/>
      <c r="W742" s="36"/>
      <c r="X742" s="35"/>
      <c r="Y742" s="37"/>
      <c r="Z742" s="37"/>
    </row>
    <row r="743" spans="1:26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7"/>
      <c r="W743" s="36"/>
      <c r="X743" s="35"/>
      <c r="Y743" s="37"/>
      <c r="Z743" s="37"/>
    </row>
    <row r="744" spans="1:26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7"/>
      <c r="W744" s="36"/>
      <c r="X744" s="35"/>
      <c r="Y744" s="37"/>
      <c r="Z744" s="37"/>
    </row>
    <row r="745" spans="1:26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7"/>
      <c r="W745" s="36"/>
      <c r="X745" s="35"/>
      <c r="Y745" s="37"/>
      <c r="Z745" s="37"/>
    </row>
    <row r="746" spans="1:2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7"/>
      <c r="W746" s="36"/>
      <c r="X746" s="35"/>
      <c r="Y746" s="37"/>
      <c r="Z746" s="37"/>
    </row>
    <row r="747" spans="1:26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7"/>
      <c r="W747" s="36"/>
      <c r="X747" s="35"/>
      <c r="Y747" s="37"/>
      <c r="Z747" s="37"/>
    </row>
    <row r="748" spans="1:26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7"/>
      <c r="W748" s="36"/>
      <c r="X748" s="35"/>
      <c r="Y748" s="37"/>
      <c r="Z748" s="37"/>
    </row>
    <row r="749" spans="1:26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7"/>
      <c r="W749" s="36"/>
      <c r="X749" s="35"/>
      <c r="Y749" s="37"/>
      <c r="Z749" s="37"/>
    </row>
    <row r="750" spans="1:26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7"/>
      <c r="W750" s="36"/>
      <c r="X750" s="35"/>
      <c r="Y750" s="37"/>
      <c r="Z750" s="37"/>
    </row>
    <row r="751" spans="1:26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7"/>
      <c r="W751" s="36"/>
      <c r="X751" s="35"/>
      <c r="Y751" s="37"/>
      <c r="Z751" s="37"/>
    </row>
    <row r="752" spans="1:26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7"/>
      <c r="W752" s="36"/>
      <c r="X752" s="35"/>
      <c r="Y752" s="37"/>
      <c r="Z752" s="37"/>
    </row>
    <row r="753" spans="1:26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7"/>
      <c r="W753" s="36"/>
      <c r="X753" s="35"/>
      <c r="Y753" s="37"/>
      <c r="Z753" s="37"/>
    </row>
    <row r="754" spans="1:26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7"/>
      <c r="W754" s="36"/>
      <c r="X754" s="35"/>
      <c r="Y754" s="37"/>
      <c r="Z754" s="37"/>
    </row>
    <row r="755" spans="1:26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7"/>
      <c r="W755" s="36"/>
      <c r="X755" s="35"/>
      <c r="Y755" s="37"/>
      <c r="Z755" s="37"/>
    </row>
    <row r="756" spans="1:2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7"/>
      <c r="W756" s="36"/>
      <c r="X756" s="35"/>
      <c r="Y756" s="37"/>
      <c r="Z756" s="37"/>
    </row>
    <row r="757" spans="1:26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7"/>
      <c r="W757" s="36"/>
      <c r="X757" s="35"/>
      <c r="Y757" s="37"/>
      <c r="Z757" s="37"/>
    </row>
    <row r="758" spans="1:26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7"/>
      <c r="W758" s="36"/>
      <c r="X758" s="35"/>
      <c r="Y758" s="37"/>
      <c r="Z758" s="37"/>
    </row>
    <row r="759" spans="1:26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7"/>
      <c r="W759" s="36"/>
      <c r="X759" s="35"/>
      <c r="Y759" s="37"/>
      <c r="Z759" s="37"/>
    </row>
    <row r="760" spans="1:26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7"/>
      <c r="W760" s="36"/>
      <c r="X760" s="35"/>
      <c r="Y760" s="37"/>
      <c r="Z760" s="37"/>
    </row>
    <row r="761" spans="1:26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7"/>
      <c r="W761" s="36"/>
      <c r="X761" s="35"/>
      <c r="Y761" s="37"/>
      <c r="Z761" s="37"/>
    </row>
    <row r="762" spans="1:26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7"/>
      <c r="W762" s="36"/>
      <c r="X762" s="35"/>
      <c r="Y762" s="37"/>
      <c r="Z762" s="37"/>
    </row>
    <row r="763" spans="1:26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7"/>
      <c r="W763" s="36"/>
      <c r="X763" s="35"/>
      <c r="Y763" s="37"/>
      <c r="Z763" s="37"/>
    </row>
    <row r="764" spans="1:26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7"/>
      <c r="W764" s="36"/>
      <c r="X764" s="35"/>
      <c r="Y764" s="37"/>
      <c r="Z764" s="37"/>
    </row>
    <row r="765" spans="1:26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7"/>
      <c r="W765" s="36"/>
      <c r="X765" s="35"/>
      <c r="Y765" s="37"/>
      <c r="Z765" s="37"/>
    </row>
    <row r="766" spans="1:2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7"/>
      <c r="W766" s="36"/>
      <c r="X766" s="35"/>
      <c r="Y766" s="37"/>
      <c r="Z766" s="37"/>
    </row>
    <row r="767" spans="1:26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7"/>
      <c r="W767" s="36"/>
      <c r="X767" s="35"/>
      <c r="Y767" s="37"/>
      <c r="Z767" s="37"/>
    </row>
    <row r="768" spans="1:26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7"/>
      <c r="W768" s="36"/>
      <c r="X768" s="35"/>
      <c r="Y768" s="37"/>
      <c r="Z768" s="37"/>
    </row>
    <row r="769" spans="1:26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7"/>
      <c r="W769" s="36"/>
      <c r="X769" s="35"/>
      <c r="Y769" s="37"/>
      <c r="Z769" s="37"/>
    </row>
    <row r="770" spans="1:26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7"/>
      <c r="W770" s="36"/>
      <c r="X770" s="35"/>
      <c r="Y770" s="37"/>
      <c r="Z770" s="37"/>
    </row>
    <row r="771" spans="1:26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7"/>
      <c r="W771" s="36"/>
      <c r="X771" s="35"/>
      <c r="Y771" s="37"/>
      <c r="Z771" s="37"/>
    </row>
    <row r="772" spans="1:26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7"/>
      <c r="W772" s="36"/>
      <c r="X772" s="35"/>
      <c r="Y772" s="37"/>
      <c r="Z772" s="37"/>
    </row>
    <row r="773" spans="1:26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7"/>
      <c r="W773" s="36"/>
      <c r="X773" s="35"/>
      <c r="Y773" s="37"/>
      <c r="Z773" s="37"/>
    </row>
    <row r="774" spans="1:26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7"/>
      <c r="W774" s="36"/>
      <c r="X774" s="35"/>
      <c r="Y774" s="37"/>
      <c r="Z774" s="37"/>
    </row>
    <row r="775" spans="1:26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7"/>
      <c r="W775" s="36"/>
      <c r="X775" s="35"/>
      <c r="Y775" s="37"/>
      <c r="Z775" s="37"/>
    </row>
    <row r="776" spans="1:2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7"/>
      <c r="W776" s="36"/>
      <c r="X776" s="35"/>
      <c r="Y776" s="37"/>
      <c r="Z776" s="37"/>
    </row>
    <row r="777" spans="1:26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7"/>
      <c r="W777" s="36"/>
      <c r="X777" s="35"/>
      <c r="Y777" s="37"/>
      <c r="Z777" s="37"/>
    </row>
    <row r="778" spans="1:26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7"/>
      <c r="W778" s="36"/>
      <c r="X778" s="35"/>
      <c r="Y778" s="37"/>
      <c r="Z778" s="37"/>
    </row>
    <row r="779" spans="1:26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7"/>
      <c r="W779" s="36"/>
      <c r="X779" s="35"/>
      <c r="Y779" s="37"/>
      <c r="Z779" s="37"/>
    </row>
    <row r="780" spans="1:26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7"/>
      <c r="W780" s="36"/>
      <c r="X780" s="35"/>
      <c r="Y780" s="37"/>
      <c r="Z780" s="37"/>
    </row>
    <row r="781" spans="1:26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7"/>
      <c r="W781" s="36"/>
      <c r="X781" s="35"/>
      <c r="Y781" s="37"/>
      <c r="Z781" s="37"/>
    </row>
    <row r="782" spans="1:26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7"/>
      <c r="W782" s="36"/>
      <c r="X782" s="35"/>
      <c r="Y782" s="37"/>
      <c r="Z782" s="37"/>
    </row>
    <row r="783" spans="1:26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7"/>
      <c r="W783" s="36"/>
      <c r="X783" s="35"/>
      <c r="Y783" s="37"/>
      <c r="Z783" s="37"/>
    </row>
    <row r="784" spans="1:26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7"/>
      <c r="W784" s="36"/>
      <c r="X784" s="35"/>
      <c r="Y784" s="37"/>
      <c r="Z784" s="37"/>
    </row>
    <row r="785" spans="1:26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7"/>
      <c r="W785" s="36"/>
      <c r="X785" s="35"/>
      <c r="Y785" s="37"/>
      <c r="Z785" s="37"/>
    </row>
    <row r="786" spans="1:2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7"/>
      <c r="W786" s="36"/>
      <c r="X786" s="35"/>
      <c r="Y786" s="37"/>
      <c r="Z786" s="37"/>
    </row>
    <row r="787" spans="1:26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7"/>
      <c r="W787" s="36"/>
      <c r="X787" s="35"/>
      <c r="Y787" s="37"/>
      <c r="Z787" s="37"/>
    </row>
    <row r="788" spans="1:26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7"/>
      <c r="W788" s="36"/>
      <c r="X788" s="35"/>
      <c r="Y788" s="37"/>
      <c r="Z788" s="37"/>
    </row>
    <row r="789" spans="1:26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7"/>
      <c r="W789" s="36"/>
      <c r="X789" s="35"/>
      <c r="Y789" s="37"/>
      <c r="Z789" s="37"/>
    </row>
    <row r="790" spans="1:26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7"/>
      <c r="W790" s="36"/>
      <c r="X790" s="35"/>
      <c r="Y790" s="37"/>
      <c r="Z790" s="37"/>
    </row>
    <row r="791" spans="1:26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7"/>
      <c r="W791" s="36"/>
      <c r="X791" s="35"/>
      <c r="Y791" s="37"/>
      <c r="Z791" s="37"/>
    </row>
    <row r="792" spans="1:26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7"/>
      <c r="W792" s="36"/>
      <c r="X792" s="35"/>
      <c r="Y792" s="37"/>
      <c r="Z792" s="37"/>
    </row>
    <row r="793" spans="1:26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7"/>
      <c r="W793" s="36"/>
      <c r="X793" s="35"/>
      <c r="Y793" s="37"/>
      <c r="Z793" s="37"/>
    </row>
    <row r="794" spans="1:26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7"/>
      <c r="W794" s="36"/>
      <c r="X794" s="35"/>
      <c r="Y794" s="37"/>
      <c r="Z794" s="37"/>
    </row>
    <row r="795" spans="1:26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7"/>
      <c r="W795" s="36"/>
      <c r="X795" s="35"/>
      <c r="Y795" s="37"/>
      <c r="Z795" s="37"/>
    </row>
    <row r="796" spans="1:2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7"/>
      <c r="W796" s="36"/>
      <c r="X796" s="35"/>
      <c r="Y796" s="37"/>
      <c r="Z796" s="37"/>
    </row>
    <row r="797" spans="1:26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7"/>
      <c r="W797" s="36"/>
      <c r="X797" s="35"/>
      <c r="Y797" s="37"/>
      <c r="Z797" s="37"/>
    </row>
    <row r="798" spans="1:26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7"/>
      <c r="W798" s="36"/>
      <c r="X798" s="35"/>
      <c r="Y798" s="37"/>
      <c r="Z798" s="37"/>
    </row>
    <row r="799" spans="1:26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7"/>
      <c r="W799" s="36"/>
      <c r="X799" s="35"/>
      <c r="Y799" s="37"/>
      <c r="Z799" s="37"/>
    </row>
    <row r="800" spans="1:26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7"/>
      <c r="W800" s="36"/>
      <c r="X800" s="35"/>
      <c r="Y800" s="37"/>
      <c r="Z800" s="37"/>
    </row>
    <row r="801" spans="1:26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7"/>
      <c r="W801" s="36"/>
      <c r="X801" s="35"/>
      <c r="Y801" s="37"/>
      <c r="Z801" s="37"/>
    </row>
    <row r="802" spans="1:26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7"/>
      <c r="W802" s="36"/>
      <c r="X802" s="35"/>
      <c r="Y802" s="37"/>
      <c r="Z802" s="37"/>
    </row>
    <row r="803" spans="1:26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7"/>
      <c r="W803" s="36"/>
      <c r="X803" s="35"/>
      <c r="Y803" s="37"/>
      <c r="Z803" s="37"/>
    </row>
    <row r="804" spans="1:26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7"/>
      <c r="W804" s="36"/>
      <c r="X804" s="35"/>
      <c r="Y804" s="37"/>
      <c r="Z804" s="37"/>
    </row>
    <row r="805" spans="1:26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7"/>
      <c r="W805" s="36"/>
      <c r="X805" s="35"/>
      <c r="Y805" s="37"/>
      <c r="Z805" s="37"/>
    </row>
    <row r="806" spans="1:2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7"/>
      <c r="W806" s="36"/>
      <c r="X806" s="35"/>
      <c r="Y806" s="37"/>
      <c r="Z806" s="37"/>
    </row>
    <row r="807" spans="1:26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7"/>
      <c r="W807" s="36"/>
      <c r="X807" s="35"/>
      <c r="Y807" s="37"/>
      <c r="Z807" s="37"/>
    </row>
    <row r="808" spans="1:26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7"/>
      <c r="W808" s="36"/>
      <c r="X808" s="35"/>
      <c r="Y808" s="37"/>
      <c r="Z808" s="37"/>
    </row>
    <row r="809" spans="1:26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7"/>
      <c r="W809" s="36"/>
      <c r="X809" s="35"/>
      <c r="Y809" s="37"/>
      <c r="Z809" s="37"/>
    </row>
    <row r="810" spans="1:26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7"/>
      <c r="W810" s="36"/>
      <c r="X810" s="35"/>
      <c r="Y810" s="37"/>
      <c r="Z810" s="37"/>
    </row>
    <row r="811" spans="1:26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7"/>
      <c r="W811" s="36"/>
      <c r="X811" s="35"/>
      <c r="Y811" s="37"/>
      <c r="Z811" s="37"/>
    </row>
    <row r="812" spans="1:26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7"/>
      <c r="W812" s="36"/>
      <c r="X812" s="35"/>
      <c r="Y812" s="37"/>
      <c r="Z812" s="37"/>
    </row>
    <row r="813" spans="1:26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7"/>
      <c r="W813" s="36"/>
      <c r="X813" s="35"/>
      <c r="Y813" s="37"/>
      <c r="Z813" s="37"/>
    </row>
    <row r="814" spans="1:26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7"/>
      <c r="W814" s="36"/>
      <c r="X814" s="35"/>
      <c r="Y814" s="37"/>
      <c r="Z814" s="37"/>
    </row>
    <row r="815" spans="1:26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7"/>
      <c r="W815" s="36"/>
      <c r="X815" s="35"/>
      <c r="Y815" s="37"/>
      <c r="Z815" s="37"/>
    </row>
    <row r="816" spans="1:2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7"/>
      <c r="W816" s="36"/>
      <c r="X816" s="35"/>
      <c r="Y816" s="37"/>
      <c r="Z816" s="37"/>
    </row>
    <row r="817" spans="1:26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7"/>
      <c r="W817" s="36"/>
      <c r="X817" s="35"/>
      <c r="Y817" s="37"/>
      <c r="Z817" s="37"/>
    </row>
    <row r="818" spans="1:26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7"/>
      <c r="W818" s="36"/>
      <c r="X818" s="35"/>
      <c r="Y818" s="37"/>
      <c r="Z818" s="37"/>
    </row>
    <row r="819" spans="1:26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7"/>
      <c r="W819" s="36"/>
      <c r="X819" s="35"/>
      <c r="Y819" s="37"/>
      <c r="Z819" s="37"/>
    </row>
    <row r="820" spans="1:26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7"/>
      <c r="W820" s="36"/>
      <c r="X820" s="35"/>
      <c r="Y820" s="37"/>
      <c r="Z820" s="37"/>
    </row>
    <row r="821" spans="1:26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7"/>
      <c r="W821" s="36"/>
      <c r="X821" s="35"/>
      <c r="Y821" s="37"/>
      <c r="Z821" s="37"/>
    </row>
    <row r="822" spans="1:26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7"/>
      <c r="W822" s="36"/>
      <c r="X822" s="35"/>
      <c r="Y822" s="37"/>
      <c r="Z822" s="37"/>
    </row>
    <row r="823" spans="1:26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7"/>
      <c r="W823" s="36"/>
      <c r="X823" s="35"/>
      <c r="Y823" s="37"/>
      <c r="Z823" s="37"/>
    </row>
    <row r="824" spans="1:26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7"/>
      <c r="W824" s="36"/>
      <c r="X824" s="35"/>
      <c r="Y824" s="37"/>
      <c r="Z824" s="37"/>
    </row>
    <row r="825" spans="1:26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7"/>
      <c r="W825" s="36"/>
      <c r="X825" s="35"/>
      <c r="Y825" s="37"/>
      <c r="Z825" s="37"/>
    </row>
    <row r="826" spans="1: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7"/>
      <c r="W826" s="36"/>
      <c r="X826" s="35"/>
      <c r="Y826" s="37"/>
      <c r="Z826" s="37"/>
    </row>
    <row r="827" spans="1:26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7"/>
      <c r="W827" s="36"/>
      <c r="X827" s="35"/>
      <c r="Y827" s="37"/>
      <c r="Z827" s="37"/>
    </row>
    <row r="828" spans="1:26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7"/>
      <c r="W828" s="36"/>
      <c r="X828" s="35"/>
      <c r="Y828" s="37"/>
      <c r="Z828" s="37"/>
    </row>
    <row r="829" spans="1:26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7"/>
      <c r="W829" s="36"/>
      <c r="X829" s="35"/>
      <c r="Y829" s="37"/>
      <c r="Z829" s="37"/>
    </row>
    <row r="830" spans="1:26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7"/>
      <c r="W830" s="36"/>
      <c r="X830" s="35"/>
      <c r="Y830" s="37"/>
      <c r="Z830" s="37"/>
    </row>
    <row r="831" spans="1:26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7"/>
      <c r="W831" s="36"/>
      <c r="X831" s="35"/>
      <c r="Y831" s="37"/>
      <c r="Z831" s="37"/>
    </row>
    <row r="832" spans="1:26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7"/>
      <c r="W832" s="36"/>
      <c r="X832" s="35"/>
      <c r="Y832" s="37"/>
      <c r="Z832" s="37"/>
    </row>
    <row r="833" spans="1:26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7"/>
      <c r="W833" s="36"/>
      <c r="X833" s="35"/>
      <c r="Y833" s="37"/>
      <c r="Z833" s="37"/>
    </row>
    <row r="834" spans="1:26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7"/>
      <c r="W834" s="36"/>
      <c r="X834" s="35"/>
      <c r="Y834" s="37"/>
      <c r="Z834" s="37"/>
    </row>
    <row r="835" spans="1:26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7"/>
      <c r="W835" s="36"/>
      <c r="X835" s="35"/>
      <c r="Y835" s="37"/>
      <c r="Z835" s="37"/>
    </row>
    <row r="836" spans="1:2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7"/>
      <c r="W836" s="36"/>
      <c r="X836" s="35"/>
      <c r="Y836" s="37"/>
      <c r="Z836" s="37"/>
    </row>
    <row r="837" spans="1:26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7"/>
      <c r="W837" s="36"/>
      <c r="X837" s="35"/>
      <c r="Y837" s="37"/>
      <c r="Z837" s="37"/>
    </row>
    <row r="838" spans="1:26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7"/>
      <c r="W838" s="36"/>
      <c r="X838" s="35"/>
      <c r="Y838" s="37"/>
      <c r="Z838" s="37"/>
    </row>
    <row r="839" spans="1:26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7"/>
      <c r="W839" s="36"/>
      <c r="X839" s="35"/>
      <c r="Y839" s="37"/>
      <c r="Z839" s="37"/>
    </row>
    <row r="840" spans="1:26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7"/>
      <c r="W840" s="36"/>
      <c r="X840" s="35"/>
      <c r="Y840" s="37"/>
      <c r="Z840" s="37"/>
    </row>
    <row r="841" spans="1:26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7"/>
      <c r="W841" s="36"/>
      <c r="X841" s="35"/>
      <c r="Y841" s="37"/>
      <c r="Z841" s="37"/>
    </row>
    <row r="842" spans="1:26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7"/>
      <c r="W842" s="36"/>
      <c r="X842" s="35"/>
      <c r="Y842" s="37"/>
      <c r="Z842" s="37"/>
    </row>
    <row r="843" spans="1:26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7"/>
      <c r="W843" s="36"/>
      <c r="X843" s="35"/>
      <c r="Y843" s="37"/>
      <c r="Z843" s="37"/>
    </row>
    <row r="844" spans="1:26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7"/>
      <c r="W844" s="36"/>
      <c r="X844" s="35"/>
      <c r="Y844" s="37"/>
      <c r="Z844" s="37"/>
    </row>
    <row r="845" spans="1:26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7"/>
      <c r="W845" s="36"/>
      <c r="X845" s="35"/>
      <c r="Y845" s="37"/>
      <c r="Z845" s="37"/>
    </row>
    <row r="846" spans="1:2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7"/>
      <c r="W846" s="36"/>
      <c r="X846" s="35"/>
      <c r="Y846" s="37"/>
      <c r="Z846" s="37"/>
    </row>
    <row r="847" spans="1:26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7"/>
      <c r="W847" s="36"/>
      <c r="X847" s="35"/>
      <c r="Y847" s="37"/>
      <c r="Z847" s="37"/>
    </row>
    <row r="848" spans="1:26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7"/>
      <c r="W848" s="36"/>
      <c r="X848" s="35"/>
      <c r="Y848" s="37"/>
      <c r="Z848" s="37"/>
    </row>
    <row r="849" spans="1:26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7"/>
      <c r="W849" s="36"/>
      <c r="X849" s="35"/>
      <c r="Y849" s="37"/>
      <c r="Z849" s="37"/>
    </row>
    <row r="850" spans="1:26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7"/>
      <c r="W850" s="36"/>
      <c r="X850" s="35"/>
      <c r="Y850" s="37"/>
      <c r="Z850" s="37"/>
    </row>
    <row r="851" spans="1:26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7"/>
      <c r="W851" s="36"/>
      <c r="X851" s="35"/>
      <c r="Y851" s="37"/>
      <c r="Z851" s="37"/>
    </row>
    <row r="852" spans="1:26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7"/>
      <c r="W852" s="36"/>
      <c r="X852" s="35"/>
      <c r="Y852" s="37"/>
      <c r="Z852" s="37"/>
    </row>
    <row r="853" spans="1:26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7"/>
      <c r="W853" s="36"/>
      <c r="X853" s="35"/>
      <c r="Y853" s="37"/>
      <c r="Z853" s="37"/>
    </row>
    <row r="854" spans="1:26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7"/>
      <c r="W854" s="36"/>
      <c r="X854" s="35"/>
      <c r="Y854" s="37"/>
      <c r="Z854" s="37"/>
    </row>
    <row r="855" spans="1:26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7"/>
      <c r="W855" s="36"/>
      <c r="X855" s="35"/>
      <c r="Y855" s="37"/>
      <c r="Z855" s="37"/>
    </row>
    <row r="856" spans="1:2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7"/>
      <c r="W856" s="36"/>
      <c r="X856" s="35"/>
      <c r="Y856" s="37"/>
      <c r="Z856" s="37"/>
    </row>
    <row r="857" spans="1:26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7"/>
      <c r="W857" s="36"/>
      <c r="X857" s="35"/>
      <c r="Y857" s="37"/>
      <c r="Z857" s="37"/>
    </row>
    <row r="858" spans="1:26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7"/>
      <c r="W858" s="36"/>
      <c r="X858" s="35"/>
      <c r="Y858" s="37"/>
      <c r="Z858" s="37"/>
    </row>
    <row r="859" spans="1:26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7"/>
      <c r="W859" s="36"/>
      <c r="X859" s="35"/>
      <c r="Y859" s="37"/>
      <c r="Z859" s="37"/>
    </row>
    <row r="860" spans="1:26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7"/>
      <c r="W860" s="36"/>
      <c r="X860" s="35"/>
      <c r="Y860" s="37"/>
      <c r="Z860" s="37"/>
    </row>
    <row r="861" spans="1:26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7"/>
      <c r="W861" s="36"/>
      <c r="X861" s="35"/>
      <c r="Y861" s="37"/>
      <c r="Z861" s="37"/>
    </row>
    <row r="862" spans="1:26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7"/>
      <c r="W862" s="36"/>
      <c r="X862" s="35"/>
      <c r="Y862" s="37"/>
      <c r="Z862" s="37"/>
    </row>
    <row r="863" spans="1:26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7"/>
      <c r="W863" s="36"/>
      <c r="X863" s="35"/>
      <c r="Y863" s="37"/>
      <c r="Z863" s="37"/>
    </row>
    <row r="864" spans="1:26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7"/>
      <c r="W864" s="36"/>
      <c r="X864" s="35"/>
      <c r="Y864" s="37"/>
      <c r="Z864" s="37"/>
    </row>
    <row r="865" spans="1:26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7"/>
      <c r="W865" s="36"/>
      <c r="X865" s="35"/>
      <c r="Y865" s="37"/>
      <c r="Z865" s="37"/>
    </row>
    <row r="866" spans="1:2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7"/>
      <c r="W866" s="36"/>
      <c r="X866" s="35"/>
      <c r="Y866" s="37"/>
      <c r="Z866" s="37"/>
    </row>
    <row r="867" spans="1:26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7"/>
      <c r="W867" s="36"/>
      <c r="X867" s="35"/>
      <c r="Y867" s="37"/>
      <c r="Z867" s="37"/>
    </row>
    <row r="868" spans="1:26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7"/>
      <c r="W868" s="36"/>
      <c r="X868" s="35"/>
      <c r="Y868" s="37"/>
      <c r="Z868" s="37"/>
    </row>
    <row r="869" spans="1:26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7"/>
      <c r="W869" s="36"/>
      <c r="X869" s="35"/>
      <c r="Y869" s="37"/>
      <c r="Z869" s="37"/>
    </row>
    <row r="870" spans="1:26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7"/>
      <c r="W870" s="36"/>
      <c r="X870" s="35"/>
      <c r="Y870" s="37"/>
      <c r="Z870" s="37"/>
    </row>
    <row r="871" spans="1:26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7"/>
      <c r="W871" s="36"/>
      <c r="X871" s="35"/>
      <c r="Y871" s="37"/>
      <c r="Z871" s="37"/>
    </row>
    <row r="872" spans="1:26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7"/>
      <c r="W872" s="36"/>
      <c r="X872" s="35"/>
      <c r="Y872" s="37"/>
      <c r="Z872" s="37"/>
    </row>
    <row r="873" spans="1:26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7"/>
      <c r="W873" s="36"/>
      <c r="X873" s="35"/>
      <c r="Y873" s="37"/>
      <c r="Z873" s="37"/>
    </row>
    <row r="874" spans="1:26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7"/>
      <c r="W874" s="36"/>
      <c r="X874" s="35"/>
      <c r="Y874" s="37"/>
      <c r="Z874" s="37"/>
    </row>
    <row r="875" spans="1:26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7"/>
      <c r="W875" s="36"/>
      <c r="X875" s="35"/>
      <c r="Y875" s="37"/>
      <c r="Z875" s="37"/>
    </row>
    <row r="876" spans="1:2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7"/>
      <c r="W876" s="36"/>
      <c r="X876" s="35"/>
      <c r="Y876" s="37"/>
      <c r="Z876" s="37"/>
    </row>
    <row r="877" spans="1:26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7"/>
      <c r="W877" s="36"/>
      <c r="X877" s="35"/>
      <c r="Y877" s="37"/>
      <c r="Z877" s="37"/>
    </row>
    <row r="878" spans="1:26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7"/>
      <c r="W878" s="36"/>
      <c r="X878" s="35"/>
      <c r="Y878" s="37"/>
      <c r="Z878" s="37"/>
    </row>
    <row r="879" spans="1:26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7"/>
      <c r="W879" s="36"/>
      <c r="X879" s="35"/>
      <c r="Y879" s="37"/>
      <c r="Z879" s="37"/>
    </row>
  </sheetData>
  <conditionalFormatting sqref="A2:A879">
    <cfRule type="duplicateValues" dxfId="9" priority="9"/>
  </conditionalFormatting>
  <conditionalFormatting sqref="I2:I568">
    <cfRule type="cellIs" dxfId="8" priority="2" operator="greaterThan">
      <formula>2000</formula>
    </cfRule>
  </conditionalFormatting>
  <conditionalFormatting sqref="I1:I1048576">
    <cfRule type="containsText" dxfId="7" priority="1" operator="containsText" text="missing">
      <formula>NOT(ISERROR(SEARCH("missing",I1)))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ED46-3594-474A-B941-01DD4E00A846}">
  <dimension ref="B3:T9"/>
  <sheetViews>
    <sheetView workbookViewId="0">
      <selection activeCell="H15" sqref="H15"/>
    </sheetView>
  </sheetViews>
  <sheetFormatPr defaultRowHeight="15"/>
  <sheetData>
    <row r="3" spans="2:20" ht="18.7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40"/>
      <c r="R3" s="40"/>
      <c r="S3" s="40"/>
      <c r="T3" s="40"/>
    </row>
    <row r="4" spans="2:20" ht="18.75">
      <c r="B4" s="41" t="s">
        <v>3196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0"/>
      <c r="R4" s="40"/>
      <c r="S4" s="40"/>
      <c r="T4" s="40"/>
    </row>
    <row r="5" spans="2:20" ht="18.75">
      <c r="B5" s="42" t="s">
        <v>3197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40"/>
      <c r="R5" s="40"/>
      <c r="S5" s="40"/>
      <c r="T5" s="40"/>
    </row>
    <row r="6" spans="2:20" ht="18.75">
      <c r="B6" s="42" t="s">
        <v>3198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40"/>
      <c r="R6" s="40"/>
      <c r="S6" s="40"/>
      <c r="T6" s="40"/>
    </row>
    <row r="7" spans="2:20" ht="18.75">
      <c r="B7" s="41" t="s">
        <v>3199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40"/>
      <c r="R7" s="40"/>
      <c r="S7" s="40"/>
      <c r="T7" s="40"/>
    </row>
    <row r="8" spans="2:20" ht="18.75">
      <c r="B8" s="41" t="s">
        <v>3200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40"/>
      <c r="R8" s="40"/>
      <c r="S8" s="40"/>
      <c r="T8" s="40"/>
    </row>
    <row r="9" spans="2:20" ht="18.7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40"/>
      <c r="R9" s="40"/>
      <c r="S9" s="40"/>
      <c r="T9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Sivasri S</cp:lastModifiedBy>
  <cp:revision/>
  <dcterms:created xsi:type="dcterms:W3CDTF">2025-06-05T16:15:03Z</dcterms:created>
  <dcterms:modified xsi:type="dcterms:W3CDTF">2026-07-25T01:18:40Z</dcterms:modified>
  <cp:category/>
  <cp:contentStatus/>
</cp:coreProperties>
</file>