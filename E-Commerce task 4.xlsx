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284" documentId="8_{8C88C624-D8D3-436F-B17D-02148EF94C35}" xr6:coauthVersionLast="47" xr6:coauthVersionMax="47" xr10:uidLastSave="{4376C724-B331-4217-9E87-26D8A1759808}"/>
  <bookViews>
    <workbookView xWindow="-120" yWindow="-120" windowWidth="20730" windowHeight="11040" activeTab="2" xr2:uid="{3BC30A1A-068A-4F53-B0CA-C34CE1B7B5BE}"/>
  </bookViews>
  <sheets>
    <sheet name="orders" sheetId="1" r:id="rId1"/>
    <sheet name="Dataset cleaning" sheetId="5" r:id="rId2"/>
    <sheet name="Observation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5" l="1" a="1"/>
  <c r="N2" i="5" s="1"/>
  <c r="Q9" i="5"/>
  <c r="Q7" i="5"/>
  <c r="Q5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<sst xmlns="http://schemas.openxmlformats.org/spreadsheetml/2006/main" count="15038" uniqueCount="2674">
  <si>
    <t>Order ID</t>
  </si>
  <si>
    <t>Order Date</t>
  </si>
  <si>
    <t>Ship Date</t>
  </si>
  <si>
    <t>Customer Name</t>
  </si>
  <si>
    <t>Country</t>
  </si>
  <si>
    <t>Region</t>
  </si>
  <si>
    <t>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</si>
  <si>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</si>
  <si>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</si>
  <si>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</si>
  <si>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</si>
  <si>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</si>
  <si>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</si>
  <si>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</si>
  <si>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</si>
  <si>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</si>
  <si>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</si>
  <si>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Medium</t>
  </si>
  <si>
    <t>ES-2014-KM1637548-41667</t>
  </si>
  <si>
    <t>Katherine Murray</t>
  </si>
  <si>
    <t>Germany</t>
  </si>
  <si>
    <t>Rick Hansen</t>
  </si>
  <si>
    <t>Western Africa</t>
  </si>
  <si>
    <t>Critical</t>
  </si>
  <si>
    <t>IN-2014-JM156557-41818</t>
  </si>
  <si>
    <t>Jim Mitchum</t>
  </si>
  <si>
    <t>Toby Swindell</t>
  </si>
  <si>
    <t>New Zealand</t>
  </si>
  <si>
    <t>Furniture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</si>
  <si>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</si>
  <si>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</si>
  <si>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</si>
  <si>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</si>
  <si>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</si>
  <si>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</si>
  <si>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</si>
  <si>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</si>
  <si>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</si>
  <si>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</si>
  <si>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Office Supplies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</si>
  <si>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</si>
  <si>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</si>
  <si>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</si>
  <si>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</si>
  <si>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</si>
  <si>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</si>
  <si>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</si>
  <si>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</si>
  <si>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</si>
  <si>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</si>
  <si>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</si>
  <si>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</si>
  <si>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</si>
  <si>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</si>
  <si>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</si>
  <si>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</si>
  <si>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</si>
  <si>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</si>
  <si>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</si>
  <si>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</si>
  <si>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</si>
  <si>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</si>
  <si>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</si>
  <si>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</si>
  <si>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</si>
  <si>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</si>
  <si>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</si>
  <si>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</si>
  <si>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</si>
  <si>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</si>
  <si>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</si>
  <si>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</si>
  <si>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</si>
  <si>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</si>
  <si>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</si>
  <si>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</si>
  <si>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</si>
  <si>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</si>
  <si>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</si>
  <si>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</si>
  <si>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</si>
  <si>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</si>
  <si>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</si>
  <si>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</si>
  <si>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</si>
  <si>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</si>
  <si>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</si>
  <si>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</si>
  <si>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</si>
  <si>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</si>
  <si>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</si>
  <si>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</si>
  <si>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</si>
  <si>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</si>
  <si>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</si>
  <si>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</si>
  <si>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</si>
  <si>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</si>
  <si>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</si>
  <si>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</si>
  <si>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</si>
  <si>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</si>
  <si>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</si>
  <si>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</si>
  <si>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</si>
  <si>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</si>
  <si>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</si>
  <si>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</si>
  <si>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</si>
  <si>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</si>
  <si>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</si>
  <si>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</si>
  <si>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</si>
  <si>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</si>
  <si>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</si>
  <si>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</si>
  <si>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</si>
  <si>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</si>
  <si>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</si>
  <si>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</si>
  <si>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</si>
  <si>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</si>
  <si>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</si>
  <si>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</si>
  <si>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</si>
  <si>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</si>
  <si>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</si>
  <si>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</si>
  <si>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</si>
  <si>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</si>
  <si>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</si>
  <si>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</si>
  <si>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</si>
  <si>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</si>
  <si>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</si>
  <si>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</si>
  <si>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</si>
  <si>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</si>
  <si>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</si>
  <si>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</si>
  <si>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</si>
  <si>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</si>
  <si>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</si>
  <si>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</si>
  <si>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</si>
  <si>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</si>
  <si>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</si>
  <si>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</si>
  <si>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</si>
  <si>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</si>
  <si>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</si>
  <si>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</si>
  <si>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</si>
  <si>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</si>
  <si>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</si>
  <si>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</si>
  <si>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</si>
  <si>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</si>
  <si>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</si>
  <si>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</si>
  <si>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</si>
  <si>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</si>
  <si>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</si>
  <si>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</si>
  <si>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</si>
  <si>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</si>
  <si>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</si>
  <si>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</si>
  <si>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</si>
  <si>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</si>
  <si>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</si>
  <si>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</si>
  <si>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</si>
  <si>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</si>
  <si>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</si>
  <si>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</si>
  <si>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</si>
  <si>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</si>
  <si>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</si>
  <si>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</si>
  <si>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</si>
  <si>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</si>
  <si>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</si>
  <si>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</si>
  <si>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</si>
  <si>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</si>
  <si>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</si>
  <si>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</si>
  <si>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</si>
  <si>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</si>
  <si>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</si>
  <si>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</si>
  <si>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</si>
  <si>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</si>
  <si>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</si>
  <si>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</si>
  <si>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</si>
  <si>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</si>
  <si>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</si>
  <si>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</si>
  <si>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</si>
  <si>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</si>
  <si>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</si>
  <si>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</si>
  <si>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</si>
  <si>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</si>
  <si>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</si>
  <si>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</si>
  <si>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</si>
  <si>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</si>
  <si>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</si>
  <si>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</si>
  <si>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</si>
  <si>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</si>
  <si>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</si>
  <si>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</si>
  <si>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</si>
  <si>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</si>
  <si>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</si>
  <si>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</si>
  <si>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</si>
  <si>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</si>
  <si>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</si>
  <si>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</si>
  <si>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</si>
  <si>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</si>
  <si>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</si>
  <si>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</si>
  <si>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</si>
  <si>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</si>
  <si>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</si>
  <si>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</si>
  <si>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</si>
  <si>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</si>
  <si>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</si>
  <si>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</si>
  <si>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</si>
  <si>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</si>
  <si>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</si>
  <si>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</si>
  <si>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</si>
  <si>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</si>
  <si>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</si>
  <si>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</si>
  <si>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</si>
  <si>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</si>
  <si>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</si>
  <si>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</si>
  <si>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</si>
  <si>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</si>
  <si>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</si>
  <si>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</si>
  <si>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</si>
  <si>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</si>
  <si>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</si>
  <si>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</si>
  <si>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</si>
  <si>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</si>
  <si>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</si>
  <si>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</si>
  <si>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</si>
  <si>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</si>
  <si>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</si>
  <si>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</si>
  <si>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</si>
  <si>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</si>
  <si>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</si>
  <si>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</si>
  <si>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</si>
  <si>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</si>
  <si>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</si>
  <si>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</si>
  <si>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</si>
  <si>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</si>
  <si>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</si>
  <si>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</si>
  <si>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</si>
  <si>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</si>
  <si>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</si>
  <si>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</si>
  <si>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</si>
  <si>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</si>
  <si>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</si>
  <si>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</si>
  <si>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</si>
  <si>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</si>
  <si>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</si>
  <si>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</si>
  <si>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</si>
  <si>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</si>
  <si>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</si>
  <si>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</si>
  <si>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</si>
  <si>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</si>
  <si>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</si>
  <si>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</si>
  <si>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</si>
  <si>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</si>
  <si>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</si>
  <si>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</si>
  <si>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</si>
  <si>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</si>
  <si>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</si>
  <si>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</si>
  <si>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</si>
  <si>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</si>
  <si>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</si>
  <si>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</si>
  <si>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</si>
  <si>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</si>
  <si>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</si>
  <si>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</si>
  <si>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</si>
  <si>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</si>
  <si>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</si>
  <si>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</si>
  <si>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</si>
  <si>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</si>
  <si>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</si>
  <si>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</si>
  <si>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</si>
  <si>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</si>
  <si>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</si>
  <si>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</si>
  <si>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</si>
  <si>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</si>
  <si>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</si>
  <si>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</si>
  <si>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</si>
  <si>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</si>
  <si>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</si>
  <si>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</si>
  <si>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</si>
  <si>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</si>
  <si>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</si>
  <si>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</si>
  <si>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</si>
  <si>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</si>
  <si>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</si>
  <si>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</si>
  <si>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</si>
  <si>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</si>
  <si>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</si>
  <si>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</si>
  <si>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</si>
  <si>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</si>
  <si>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</si>
  <si>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</si>
  <si>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</si>
  <si>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</si>
  <si>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</si>
  <si>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</si>
  <si>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</si>
  <si>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</si>
  <si>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</si>
  <si>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</si>
  <si>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</si>
  <si>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</si>
  <si>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</si>
  <si>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</si>
  <si>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</si>
  <si>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</si>
  <si>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</si>
  <si>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</si>
  <si>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</si>
  <si>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</si>
  <si>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</si>
  <si>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</si>
  <si>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</si>
  <si>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</si>
  <si>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</si>
  <si>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</si>
  <si>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</si>
  <si>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</si>
  <si>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</si>
  <si>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</si>
  <si>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</si>
  <si>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</si>
  <si>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</si>
  <si>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</si>
  <si>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</si>
  <si>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</si>
  <si>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</si>
  <si>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</si>
  <si>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</si>
  <si>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</si>
  <si>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</si>
  <si>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</si>
  <si>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</si>
  <si>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</si>
  <si>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</si>
  <si>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</si>
  <si>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</si>
  <si>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</si>
  <si>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</si>
  <si>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</si>
  <si>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</si>
  <si>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</si>
  <si>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</si>
  <si>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</si>
  <si>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</si>
  <si>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</si>
  <si>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</si>
  <si>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</si>
  <si>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</si>
  <si>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</si>
  <si>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</si>
  <si>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</si>
  <si>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</si>
  <si>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</si>
  <si>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</si>
  <si>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</si>
  <si>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</si>
  <si>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</si>
  <si>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</si>
  <si>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</si>
  <si>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</si>
  <si>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</si>
  <si>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</si>
  <si>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</si>
  <si>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</si>
  <si>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</si>
  <si>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</si>
  <si>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</si>
  <si>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</si>
  <si>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</si>
  <si>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</si>
  <si>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</si>
  <si>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</si>
  <si>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</si>
  <si>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</si>
  <si>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</si>
  <si>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</si>
  <si>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</si>
  <si>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</si>
  <si>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</si>
  <si>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</si>
  <si>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</si>
  <si>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</si>
  <si>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</si>
  <si>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</si>
  <si>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</si>
  <si>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</si>
  <si>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</si>
  <si>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</si>
  <si>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</si>
  <si>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</si>
  <si>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</si>
  <si>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</si>
  <si>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</si>
  <si>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</si>
  <si>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</si>
  <si>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</si>
  <si>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</si>
  <si>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</si>
  <si>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</si>
  <si>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</si>
  <si>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</si>
  <si>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</si>
  <si>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</si>
  <si>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</si>
  <si>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</si>
  <si>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</si>
  <si>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</si>
  <si>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</si>
  <si>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</si>
  <si>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</si>
  <si>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</si>
  <si>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</si>
  <si>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</si>
  <si>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</si>
  <si>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</si>
  <si>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</si>
  <si>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</si>
  <si>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</si>
  <si>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</si>
  <si>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</si>
  <si>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</si>
  <si>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</si>
  <si>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</si>
  <si>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</si>
  <si>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</si>
  <si>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</si>
  <si>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</si>
  <si>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</si>
  <si>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</si>
  <si>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</si>
  <si>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</si>
  <si>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</si>
  <si>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</si>
  <si>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</si>
  <si>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</si>
  <si>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</si>
  <si>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</si>
  <si>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</si>
  <si>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</si>
  <si>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</si>
  <si>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</si>
  <si>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</si>
  <si>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</si>
  <si>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</si>
  <si>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</si>
  <si>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</si>
  <si>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</si>
  <si>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</si>
  <si>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</si>
  <si>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</si>
  <si>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</si>
  <si>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</si>
  <si>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</si>
  <si>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</si>
  <si>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</si>
  <si>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</si>
  <si>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</si>
  <si>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</si>
  <si>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</si>
  <si>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</si>
  <si>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</si>
  <si>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</si>
  <si>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</si>
  <si>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</si>
  <si>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</si>
  <si>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</si>
  <si>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</si>
  <si>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</si>
  <si>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</si>
  <si>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</si>
  <si>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</si>
  <si>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</si>
  <si>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</si>
  <si>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</si>
  <si>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</si>
  <si>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</si>
  <si>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</si>
  <si>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</si>
  <si>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</si>
  <si>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</si>
  <si>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</si>
  <si>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</si>
  <si>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</si>
  <si>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</si>
  <si>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</si>
  <si>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</si>
  <si>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</si>
  <si>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</si>
  <si>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</si>
  <si>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</si>
  <si>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</si>
  <si>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</si>
  <si>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</si>
  <si>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</si>
  <si>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</si>
  <si>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</si>
  <si>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</si>
  <si>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</si>
  <si>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</si>
  <si>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</si>
  <si>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</si>
  <si>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</si>
  <si>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</si>
  <si>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</si>
  <si>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</si>
  <si>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</si>
  <si>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</si>
  <si>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</si>
  <si>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</si>
  <si>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</si>
  <si>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</si>
  <si>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</si>
  <si>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</si>
  <si>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</si>
  <si>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</si>
  <si>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</si>
  <si>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</si>
  <si>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</si>
  <si>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</si>
  <si>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</si>
  <si>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</si>
  <si>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</si>
  <si>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</si>
  <si>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</si>
  <si>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</si>
  <si>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</si>
  <si>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</si>
  <si>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</si>
  <si>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</si>
  <si>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</si>
  <si>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</si>
  <si>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</si>
  <si>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</si>
  <si>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</si>
  <si>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</si>
  <si>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</si>
  <si>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</si>
  <si>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</si>
  <si>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</si>
  <si>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</si>
  <si>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</si>
  <si>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</si>
  <si>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</si>
  <si>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</si>
  <si>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</si>
  <si>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</si>
  <si>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</si>
  <si>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</si>
  <si>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</si>
  <si>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</si>
  <si>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</si>
  <si>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</si>
  <si>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</si>
  <si>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</si>
  <si>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</si>
  <si>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</si>
  <si>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</si>
  <si>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</si>
  <si>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</si>
  <si>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</si>
  <si>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</si>
  <si>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</si>
  <si>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</si>
  <si>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</si>
  <si>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</si>
  <si>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</si>
  <si>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</si>
  <si>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</si>
  <si>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</si>
  <si>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</si>
  <si>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</si>
  <si>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</si>
  <si>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</si>
  <si>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</si>
  <si>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</si>
  <si>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</si>
  <si>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</si>
  <si>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</si>
  <si>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</si>
  <si>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</si>
  <si>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</si>
  <si>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</si>
  <si>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</si>
  <si>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</si>
  <si>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</si>
  <si>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</si>
  <si>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</si>
  <si>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</si>
  <si>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</si>
  <si>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</si>
  <si>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</si>
  <si>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</si>
  <si>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</si>
  <si>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</si>
  <si>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</si>
  <si>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</si>
  <si>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</si>
  <si>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</si>
  <si>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</si>
  <si>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</si>
  <si>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</si>
  <si>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</si>
  <si>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</si>
  <si>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</si>
  <si>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</si>
  <si>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</si>
  <si>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</si>
  <si>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</si>
  <si>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</si>
  <si>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</si>
  <si>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</si>
  <si>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</si>
  <si>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</si>
  <si>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</si>
  <si>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</si>
  <si>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</si>
  <si>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</si>
  <si>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</si>
  <si>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</si>
  <si>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</si>
  <si>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</si>
  <si>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</si>
  <si>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</si>
  <si>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</si>
  <si>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</si>
  <si>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</si>
  <si>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</si>
  <si>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</si>
  <si>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</si>
  <si>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</si>
  <si>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</si>
  <si>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</si>
  <si>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</si>
  <si>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</si>
  <si>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</si>
  <si>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</si>
  <si>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</si>
  <si>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</si>
  <si>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</si>
  <si>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</si>
  <si>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</si>
  <si>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</si>
  <si>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</si>
  <si>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</si>
  <si>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</si>
  <si>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</si>
  <si>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</si>
  <si>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</si>
  <si>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</si>
  <si>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</si>
  <si>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</si>
  <si>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</si>
  <si>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</si>
  <si>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</si>
  <si>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</si>
  <si>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</si>
  <si>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</si>
  <si>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</si>
  <si>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</si>
  <si>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</si>
  <si>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</si>
  <si>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</si>
  <si>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</si>
  <si>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</si>
  <si>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</si>
  <si>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</si>
  <si>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</si>
  <si>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</si>
  <si>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</si>
  <si>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</si>
  <si>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</si>
  <si>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</si>
  <si>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</si>
  <si>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</si>
  <si>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</si>
  <si>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</si>
  <si>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</si>
  <si>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</si>
  <si>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</si>
  <si>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</si>
  <si>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</si>
  <si>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</si>
  <si>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</si>
  <si>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</si>
  <si>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</si>
  <si>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</si>
  <si>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</si>
  <si>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</si>
  <si>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</si>
  <si>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</si>
  <si>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</si>
  <si>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</si>
  <si>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</si>
  <si>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</si>
  <si>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</si>
  <si>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</si>
  <si>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</si>
  <si>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</si>
  <si>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</si>
  <si>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</si>
  <si>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</si>
  <si>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</si>
  <si>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</si>
  <si>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</si>
  <si>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</si>
  <si>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</si>
  <si>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</si>
  <si>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</si>
  <si>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</si>
  <si>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</si>
  <si>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</si>
  <si>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</si>
  <si>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</si>
  <si>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</si>
  <si>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</si>
  <si>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</si>
  <si>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</si>
  <si>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</si>
  <si>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</si>
  <si>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</si>
  <si>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</si>
  <si>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</si>
  <si>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</si>
  <si>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</si>
  <si>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</si>
  <si>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</si>
  <si>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</si>
  <si>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</si>
  <si>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</si>
  <si>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</si>
  <si>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</si>
  <si>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</si>
  <si>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</si>
  <si>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</si>
  <si>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</si>
  <si>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</si>
  <si>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</si>
  <si>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</si>
  <si>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</si>
  <si>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</si>
  <si>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</si>
  <si>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</si>
  <si>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</si>
  <si>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</si>
  <si>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</si>
  <si>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</si>
  <si>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</si>
  <si>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</si>
  <si>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</si>
  <si>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</si>
  <si>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</si>
  <si>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</si>
  <si>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</si>
  <si>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</si>
  <si>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</si>
  <si>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</si>
  <si>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</si>
  <si>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</si>
  <si>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</si>
  <si>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</si>
  <si>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</si>
  <si>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</si>
  <si>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</si>
  <si>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</si>
  <si>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</si>
  <si>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</si>
  <si>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</si>
  <si>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</si>
  <si>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</si>
  <si>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</si>
  <si>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</si>
  <si>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</si>
  <si>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</si>
  <si>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</si>
  <si>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</si>
  <si>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</si>
  <si>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</si>
  <si>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</si>
  <si>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</si>
  <si>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</si>
  <si>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</si>
  <si>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</si>
  <si>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</si>
  <si>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</si>
  <si>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</si>
  <si>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</si>
  <si>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</si>
  <si>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</si>
  <si>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</si>
  <si>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</si>
  <si>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</si>
  <si>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</si>
  <si>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</si>
  <si>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</si>
  <si>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</si>
  <si>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</si>
  <si>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</si>
  <si>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</si>
  <si>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</si>
  <si>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</si>
  <si>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</si>
  <si>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</si>
  <si>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</si>
  <si>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</si>
  <si>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</si>
  <si>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</si>
  <si>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</si>
  <si>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</si>
  <si>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</si>
  <si>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</si>
  <si>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</si>
  <si>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</si>
  <si>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</si>
  <si>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</si>
  <si>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</si>
  <si>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</si>
  <si>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</si>
  <si>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</si>
  <si>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</si>
  <si>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</si>
  <si>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</si>
  <si>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</si>
  <si>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</si>
  <si>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</si>
  <si>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</si>
  <si>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</si>
  <si>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</si>
  <si>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</si>
  <si>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</si>
  <si>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</si>
  <si>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</si>
  <si>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</si>
  <si>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</si>
  <si>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</si>
  <si>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</si>
  <si>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</si>
  <si>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</si>
  <si>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</si>
  <si>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</si>
  <si>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</si>
  <si>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</si>
  <si>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</si>
  <si>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</si>
  <si>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</si>
  <si>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</si>
  <si>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</si>
  <si>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</si>
  <si>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</si>
  <si>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</si>
  <si>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</si>
  <si>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</si>
  <si>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</si>
  <si>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</si>
  <si>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</si>
  <si>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</si>
  <si>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</si>
  <si>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</si>
  <si>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</si>
  <si>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</si>
  <si>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</si>
  <si>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</si>
  <si>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</si>
  <si>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</si>
  <si>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</si>
  <si>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</si>
  <si>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</si>
  <si>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</si>
  <si>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</si>
  <si>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</si>
  <si>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</si>
  <si>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</si>
  <si>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</si>
  <si>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</si>
  <si>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</si>
  <si>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</si>
  <si>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</si>
  <si>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</si>
  <si>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</si>
  <si>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</si>
  <si>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</si>
  <si>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</si>
  <si>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</si>
  <si>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</si>
  <si>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</si>
  <si>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</si>
  <si>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</si>
  <si>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</si>
  <si>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</si>
  <si>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</si>
  <si>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</si>
  <si>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</si>
  <si>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</si>
  <si>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</si>
  <si>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</si>
  <si>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</si>
  <si>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</si>
  <si>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</si>
  <si>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</si>
  <si>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</si>
  <si>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</si>
  <si>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</si>
  <si>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</si>
  <si>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</si>
  <si>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</si>
  <si>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</si>
  <si>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</si>
  <si>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</si>
  <si>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</si>
  <si>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</si>
  <si>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</si>
  <si>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</si>
  <si>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</si>
  <si>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</si>
  <si>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</si>
  <si>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</si>
  <si>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</si>
  <si>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</si>
  <si>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</si>
  <si>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</si>
  <si>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</si>
  <si>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</si>
  <si>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</si>
  <si>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</si>
  <si>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</si>
  <si>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</si>
  <si>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</si>
  <si>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</si>
  <si>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</si>
  <si>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</si>
  <si>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</si>
  <si>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</si>
  <si>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</si>
  <si>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</si>
  <si>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</si>
  <si>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</si>
  <si>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</si>
  <si>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</si>
  <si>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</si>
  <si>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</si>
  <si>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</si>
  <si>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</si>
  <si>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</si>
  <si>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</si>
  <si>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</si>
  <si>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</si>
  <si>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</si>
  <si>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</si>
  <si>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</si>
  <si>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</si>
  <si>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</si>
  <si>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</si>
  <si>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</si>
  <si>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</si>
  <si>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</si>
  <si>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</si>
  <si>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</si>
  <si>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</si>
  <si>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</si>
  <si>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</si>
  <si>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</si>
  <si>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</si>
  <si>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</si>
  <si>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</si>
  <si>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</si>
  <si>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</si>
  <si>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</si>
  <si>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</si>
  <si>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</si>
  <si>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</si>
  <si>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</si>
  <si>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</si>
  <si>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</si>
  <si>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</si>
  <si>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</si>
  <si>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</si>
  <si>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</si>
  <si>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</si>
  <si>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</si>
  <si>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</si>
  <si>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</si>
  <si>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</si>
  <si>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</si>
  <si>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</si>
  <si>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</si>
  <si>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</si>
  <si>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</si>
  <si>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</si>
  <si>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</si>
  <si>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</si>
  <si>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</si>
  <si>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</si>
  <si>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</si>
  <si>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</si>
  <si>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</si>
  <si>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</si>
  <si>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</si>
  <si>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</si>
  <si>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</si>
  <si>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</si>
  <si>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</si>
  <si>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</si>
  <si>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</si>
  <si>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</si>
  <si>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</si>
  <si>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</si>
  <si>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</si>
  <si>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</si>
  <si>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</si>
  <si>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</si>
  <si>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</si>
  <si>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</si>
  <si>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</si>
  <si>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</si>
  <si>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</si>
  <si>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</si>
  <si>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</si>
  <si>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</si>
  <si>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</si>
  <si>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</si>
  <si>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</si>
  <si>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</si>
  <si>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</si>
  <si>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</si>
  <si>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</si>
  <si>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</si>
  <si>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</si>
  <si>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</si>
  <si>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</si>
  <si>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</si>
  <si>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</si>
  <si>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</si>
  <si>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</si>
  <si>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</si>
  <si>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</si>
  <si>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</si>
  <si>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</si>
  <si>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</si>
  <si>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</si>
  <si>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</si>
  <si>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</si>
  <si>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</si>
  <si>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</si>
  <si>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</si>
  <si>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</si>
  <si>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</si>
  <si>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</si>
  <si>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</si>
  <si>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</si>
  <si>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</si>
  <si>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</si>
  <si>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</si>
  <si>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</si>
  <si>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</si>
  <si>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</si>
  <si>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</si>
  <si>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</si>
  <si>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</si>
  <si>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</si>
  <si>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</si>
  <si>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</si>
  <si>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</si>
  <si>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</si>
  <si>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</si>
  <si>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</si>
  <si>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</si>
  <si>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</si>
  <si>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</si>
  <si>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</si>
  <si>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</si>
  <si>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</si>
  <si>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</si>
  <si>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</si>
  <si>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</si>
  <si>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</si>
  <si>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</si>
  <si>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</si>
  <si>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</si>
  <si>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</si>
  <si>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</si>
  <si>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</si>
  <si>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</si>
  <si>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</si>
  <si>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</si>
  <si>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</si>
  <si>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</si>
  <si>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</si>
  <si>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</si>
  <si>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</si>
  <si>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</si>
  <si>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</si>
  <si>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</si>
  <si>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</si>
  <si>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</si>
  <si>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</si>
  <si>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</si>
  <si>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</si>
  <si>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</si>
  <si>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</si>
  <si>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</si>
  <si>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</si>
  <si>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</si>
  <si>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</si>
  <si>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</si>
  <si>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</si>
  <si>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</si>
  <si>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</si>
  <si>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</si>
  <si>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</si>
  <si>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</si>
  <si>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</si>
  <si>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</si>
  <si>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</si>
  <si>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</si>
  <si>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</si>
  <si>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</si>
  <si>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</si>
  <si>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</si>
  <si>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</si>
  <si>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</si>
  <si>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</si>
  <si>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</si>
  <si>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</si>
  <si>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</si>
  <si>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</si>
  <si>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</si>
  <si>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</si>
  <si>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</si>
  <si>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</si>
  <si>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</si>
  <si>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</si>
  <si>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</si>
  <si>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</si>
  <si>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</si>
  <si>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</si>
  <si>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</si>
  <si>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</si>
  <si>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</si>
  <si>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</si>
  <si>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</si>
  <si>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</si>
  <si>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</si>
  <si>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</si>
  <si>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</si>
  <si>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</si>
  <si>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</si>
  <si>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</si>
  <si>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</si>
  <si>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</si>
  <si>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</si>
  <si>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</si>
  <si>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</si>
  <si>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</si>
  <si>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</si>
  <si>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</si>
  <si>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</si>
  <si>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</si>
  <si>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</si>
  <si>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</si>
  <si>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</si>
  <si>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</si>
  <si>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</si>
  <si>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</si>
  <si>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</si>
  <si>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</si>
  <si>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</si>
  <si>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</si>
  <si>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</si>
  <si>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</si>
  <si>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</si>
  <si>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</si>
  <si>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</si>
  <si>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</si>
  <si>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</si>
  <si>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</si>
  <si>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</si>
  <si>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</si>
  <si>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</si>
  <si>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</si>
  <si>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</si>
  <si>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</si>
  <si>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</si>
  <si>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</si>
  <si>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</si>
  <si>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</si>
  <si>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</si>
  <si>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</si>
  <si>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</si>
  <si>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</si>
  <si>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</si>
  <si>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</si>
  <si>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</si>
  <si>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</si>
  <si>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</si>
  <si>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</si>
  <si>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</si>
  <si>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</si>
  <si>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</si>
  <si>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</si>
  <si>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</si>
  <si>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</si>
  <si>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</si>
  <si>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</si>
  <si>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</si>
  <si>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</si>
  <si>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</si>
  <si>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</si>
  <si>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</si>
  <si>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</si>
  <si>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</si>
  <si>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</si>
  <si>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</si>
  <si>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</si>
  <si>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</si>
  <si>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</si>
  <si>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</si>
  <si>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</si>
  <si>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</si>
  <si>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</si>
  <si>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</si>
  <si>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</si>
  <si>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</si>
  <si>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</si>
  <si>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</si>
  <si>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</si>
  <si>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</si>
  <si>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</si>
  <si>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</si>
  <si>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</si>
  <si>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</si>
  <si>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</si>
  <si>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</si>
  <si>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</si>
  <si>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</si>
  <si>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</si>
  <si>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</si>
  <si>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</si>
  <si>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</si>
  <si>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</si>
  <si>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</si>
  <si>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</si>
  <si>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</si>
  <si>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</si>
  <si>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</si>
  <si>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</si>
  <si>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</si>
  <si>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</si>
  <si>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</si>
  <si>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</si>
  <si>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</si>
  <si>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</si>
  <si>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</si>
  <si>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</si>
  <si>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</si>
  <si>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</si>
  <si>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</si>
  <si>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</si>
  <si>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</si>
  <si>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</si>
  <si>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</si>
  <si>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</si>
  <si>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</si>
  <si>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</si>
  <si>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</si>
  <si>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</si>
  <si>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</si>
  <si>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</si>
  <si>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</si>
  <si>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</si>
  <si>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</si>
  <si>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</si>
  <si>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</si>
  <si>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</si>
  <si>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</si>
  <si>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</si>
  <si>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</si>
  <si>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</si>
  <si>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</si>
  <si>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</si>
  <si>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</si>
  <si>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</si>
  <si>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</si>
  <si>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</si>
  <si>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</si>
  <si>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</si>
  <si>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</si>
  <si>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</si>
  <si>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</si>
  <si>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</si>
  <si>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</si>
  <si>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</si>
  <si>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</si>
  <si>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</si>
  <si>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</si>
  <si>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</si>
  <si>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</si>
  <si>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</si>
  <si>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</si>
  <si>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</si>
  <si>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</si>
  <si>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</si>
  <si>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</si>
  <si>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</si>
  <si>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</si>
  <si>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</si>
  <si>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</si>
  <si>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</si>
  <si>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</si>
  <si>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</si>
  <si>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</si>
  <si>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</si>
  <si>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</si>
  <si>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</si>
  <si>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</si>
  <si>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</si>
  <si>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</si>
  <si>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</si>
  <si>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</si>
  <si>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</si>
  <si>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</si>
  <si>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</si>
  <si>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</si>
  <si>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</si>
  <si>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</si>
  <si>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</si>
  <si>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</si>
  <si>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</si>
  <si>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</si>
  <si>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</si>
  <si>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</si>
  <si>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</si>
  <si>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</si>
  <si>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</si>
  <si>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</si>
  <si>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</si>
  <si>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</si>
  <si>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</si>
  <si>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</si>
  <si>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</si>
  <si>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</si>
  <si>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</si>
  <si>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</si>
  <si>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</si>
  <si>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</si>
  <si>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</si>
  <si>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</si>
  <si>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</si>
  <si>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</si>
  <si>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</si>
  <si>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</si>
  <si>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</si>
  <si>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</si>
  <si>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</si>
  <si>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</si>
  <si>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</si>
  <si>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</si>
  <si>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</si>
  <si>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</si>
  <si>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</si>
  <si>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</si>
  <si>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</si>
  <si>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</si>
  <si>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</si>
  <si>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</si>
  <si>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</si>
  <si>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</si>
  <si>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</si>
  <si>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</si>
  <si>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</si>
  <si>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</si>
  <si>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</si>
  <si>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</si>
  <si>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</si>
  <si>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</si>
  <si>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</si>
  <si>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</si>
  <si>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</si>
  <si>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</si>
  <si>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</si>
  <si>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</si>
  <si>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</si>
  <si>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</si>
  <si>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</si>
  <si>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</si>
  <si>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</si>
  <si>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</si>
  <si>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</si>
  <si>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</si>
  <si>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</si>
  <si>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</si>
  <si>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</si>
  <si>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</si>
  <si>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</si>
  <si>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</si>
  <si>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</si>
  <si>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</si>
  <si>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</si>
  <si>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</si>
  <si>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</si>
  <si>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</si>
  <si>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</si>
  <si>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</si>
  <si>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</si>
  <si>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</si>
  <si>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</si>
  <si>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</si>
  <si>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</si>
  <si>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</si>
  <si>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</si>
  <si>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</si>
  <si>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</si>
  <si>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</si>
  <si>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</si>
  <si>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</si>
  <si>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</si>
  <si>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</si>
  <si>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</si>
  <si>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</si>
  <si>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</si>
  <si>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</si>
  <si>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</si>
  <si>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</si>
  <si>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</si>
  <si>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</si>
  <si>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</si>
  <si>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</si>
  <si>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</si>
  <si>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</si>
  <si>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</si>
  <si>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</si>
  <si>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</si>
  <si>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</si>
  <si>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</si>
  <si>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</si>
  <si>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</si>
  <si>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</si>
  <si>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</si>
  <si>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</si>
  <si>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</si>
  <si>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</si>
  <si>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</si>
  <si>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</si>
  <si>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</si>
  <si>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</si>
  <si>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</si>
  <si>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</si>
  <si>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</si>
  <si>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</si>
  <si>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</si>
  <si>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</si>
  <si>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</si>
  <si>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</si>
  <si>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</si>
  <si>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</si>
  <si>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</si>
  <si>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</si>
  <si>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</si>
  <si>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</si>
  <si>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</si>
  <si>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</si>
  <si>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</si>
  <si>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</si>
  <si>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</si>
  <si>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</si>
  <si>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</si>
  <si>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</si>
  <si>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</si>
  <si>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</si>
  <si>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</si>
  <si>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</si>
  <si>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</si>
  <si>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</si>
  <si>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</si>
  <si>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</si>
  <si>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</si>
  <si>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</si>
  <si>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</si>
  <si>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</si>
  <si>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</si>
  <si>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</si>
  <si>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</si>
  <si>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</si>
  <si>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</si>
  <si>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</si>
  <si>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</si>
  <si>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</si>
  <si>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</si>
  <si>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</si>
  <si>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</si>
  <si>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</si>
  <si>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</si>
  <si>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</si>
  <si>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</si>
  <si>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</si>
  <si>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</si>
  <si>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</si>
  <si>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</si>
  <si>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</si>
  <si>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</si>
  <si>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</si>
  <si>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</si>
  <si>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</si>
  <si>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</si>
  <si>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</si>
  <si>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</si>
  <si>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</si>
  <si>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</si>
  <si>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</si>
  <si>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</si>
  <si>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</si>
  <si>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</si>
  <si>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</si>
  <si>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</si>
  <si>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</si>
  <si>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</si>
  <si>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</si>
  <si>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</si>
  <si>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</si>
  <si>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</si>
  <si>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</si>
  <si>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</si>
  <si>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</si>
  <si>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</si>
  <si>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</si>
  <si>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</si>
  <si>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</si>
  <si>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</si>
  <si>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</si>
  <si>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</si>
  <si>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</si>
  <si>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</si>
  <si>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</si>
  <si>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</si>
  <si>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</si>
  <si>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</si>
  <si>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</si>
  <si>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</si>
  <si>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</si>
  <si>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</si>
  <si>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</si>
  <si>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</si>
  <si>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</si>
  <si>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</si>
  <si>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</si>
  <si>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</si>
  <si>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</si>
  <si>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</si>
  <si>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</si>
  <si>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</si>
  <si>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</si>
  <si>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</si>
  <si>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</si>
  <si>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</si>
  <si>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</si>
  <si>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</si>
  <si>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</si>
  <si>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</si>
  <si>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</si>
  <si>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</si>
  <si>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</si>
  <si>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</si>
  <si>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</si>
  <si>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</si>
  <si>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</si>
  <si>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</si>
  <si>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</si>
  <si>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</si>
  <si>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</si>
  <si>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</si>
  <si>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</si>
  <si>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</si>
  <si>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</si>
  <si>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</si>
  <si>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</si>
  <si>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</si>
  <si>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</si>
  <si>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</si>
  <si>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</si>
  <si>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</si>
  <si>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</si>
  <si>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</si>
  <si>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</si>
  <si>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</si>
  <si>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</si>
  <si>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</si>
  <si>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</si>
  <si>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</si>
  <si>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</si>
  <si>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</si>
  <si>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</si>
  <si>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</si>
  <si>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</si>
  <si>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</si>
  <si>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IN-2015-CM122357-42171</t>
  </si>
  <si>
    <t>ID-2015-RB1943559-42301</t>
  </si>
  <si>
    <t>IN-2015-MH1744027-42334</t>
  </si>
  <si>
    <t>IN-2012-Dl13600130-41159</t>
  </si>
  <si>
    <t>MX-2014-JD1601551-41842</t>
  </si>
  <si>
    <t>IN-2014-EM1381092-41892</t>
  </si>
  <si>
    <t>MX-2014-DV1304582-41866</t>
  </si>
  <si>
    <t>IT-2014-MA17560124-41675</t>
  </si>
  <si>
    <t>IT-2013-HG1484591-41348</t>
  </si>
  <si>
    <t>IZ-2015-DB306061-42089</t>
  </si>
  <si>
    <t>IN-2015-KE1642066-42174</t>
  </si>
  <si>
    <t>IN-2014-FW1439559-41836</t>
  </si>
  <si>
    <t>SA-2015-RE9450110-42168</t>
  </si>
  <si>
    <t>IT-2014-VD21670139-41999</t>
  </si>
  <si>
    <t>IN-2012-SB20290144-41087</t>
  </si>
  <si>
    <t>UP-2012-RD9900137-40968</t>
  </si>
  <si>
    <t>MX-2013-DK1337582-41530</t>
  </si>
  <si>
    <t>IN-2012-TB213557-41066</t>
  </si>
  <si>
    <t>SA-2013-JP6135110-41439</t>
  </si>
  <si>
    <t>ES-2015-LW16825139-42218</t>
  </si>
  <si>
    <t>MX-2013-JC1538518-41384</t>
  </si>
  <si>
    <t>MX-2015-SA2083082-42190</t>
  </si>
  <si>
    <t>ID-2015-MC181007-42252</t>
  </si>
  <si>
    <t>IN-2013-RE1940527-41488</t>
  </si>
  <si>
    <t>CG-2012-DA345033-41002</t>
  </si>
  <si>
    <t>IN-2014-AS1013558-41817</t>
  </si>
  <si>
    <t>MX-2014-TB2117531-41814</t>
  </si>
  <si>
    <t>NG-2014-SC1068094-41864</t>
  </si>
  <si>
    <t>ES-2012-BS1159045-41020</t>
  </si>
  <si>
    <t>CG-2015-GZ447033-42220</t>
  </si>
  <si>
    <t>ID-2015-LS1694559-42149</t>
  </si>
  <si>
    <t>IN-2014-Co1264066-41833</t>
  </si>
  <si>
    <t>ES-2013-KL165558-41285</t>
  </si>
  <si>
    <t>MX-2013-RB1979518-41322</t>
  </si>
  <si>
    <t>ES-2012-MF1766545-41257</t>
  </si>
  <si>
    <t>SF-2014-HD4785117-41832</t>
  </si>
  <si>
    <t>EG-2012-HG502538-41012</t>
  </si>
  <si>
    <t>RS-2015-DP3000108-42355</t>
  </si>
  <si>
    <t>ID-2014-BE11410102-41755</t>
  </si>
  <si>
    <t>ES-2014-PS1904545-41845</t>
  </si>
  <si>
    <t>MX-2014-KN1639039-41801</t>
  </si>
  <si>
    <t>NI-2012-BP123095-41122</t>
  </si>
  <si>
    <t>IN-2015-DB1327059-42336</t>
  </si>
  <si>
    <t>IN-2015-JF1519027-42129</t>
  </si>
  <si>
    <t>ES-2015-GM14695139-42025</t>
  </si>
  <si>
    <t>US-2014-SC2005055-41783</t>
  </si>
  <si>
    <t>MX-2014-PA1906036-41671</t>
  </si>
  <si>
    <t>MX-2013-MG1820518-41447</t>
  </si>
  <si>
    <t>MX-2014-GT1471031-41787</t>
  </si>
  <si>
    <t>ES-2014-TS2137045-41866</t>
  </si>
  <si>
    <t>US-2014-MS179805-41748</t>
  </si>
  <si>
    <t>MX-2013-NK1849018-41415</t>
  </si>
  <si>
    <t>MX-2015-CA1205582-42276</t>
  </si>
  <si>
    <t>PL-2014-SC10680103-41659</t>
  </si>
  <si>
    <t>MX-2014-JG1531031-41780</t>
  </si>
  <si>
    <t>US-2013-PC1874555-41427</t>
  </si>
  <si>
    <t>UZ-2015-NM8520142-42211</t>
  </si>
  <si>
    <t>ES-2014-CS1246048-41867</t>
  </si>
  <si>
    <t>SU-2012-CS2460122-41121</t>
  </si>
  <si>
    <t>MG-2013-SS1014084-41503</t>
  </si>
  <si>
    <t>MX-2013-BN1151531-41552</t>
  </si>
  <si>
    <t>MX-2013-DS1318082-41431</t>
  </si>
  <si>
    <t>IN-2013-CC1261027-41286</t>
  </si>
  <si>
    <t>MX-2012-LP1709551-41116</t>
  </si>
  <si>
    <t>US-2014-TB2135555-41860</t>
  </si>
  <si>
    <t>ES-2013-PJ19015139-41536</t>
  </si>
  <si>
    <t>IR-2013-RD993060-41608</t>
  </si>
  <si>
    <t>ES-2015-MW18235139-42173</t>
  </si>
  <si>
    <t>MX-2015-GM1450018-42136</t>
  </si>
  <si>
    <t>IT-2013-GG1465045-41475</t>
  </si>
  <si>
    <t>AE-2014-EB4110138-41926</t>
  </si>
  <si>
    <t>ID-2012-AG10330102-41240</t>
  </si>
  <si>
    <t>IN-2013-MF1825027-41623</t>
  </si>
  <si>
    <t>TZ-2015-TB11175129-42153</t>
  </si>
  <si>
    <t>IN-2013-JW152207-41355</t>
  </si>
  <si>
    <t>TU-2014-ON8715134-41910</t>
  </si>
  <si>
    <t>SU-2014-AJ795122-41906</t>
  </si>
  <si>
    <t>MX-2014-JB1600028-41681</t>
  </si>
  <si>
    <t>ES-2013-SC2072548-41454</t>
  </si>
  <si>
    <t>MX-2015-PB1910528-42231</t>
  </si>
  <si>
    <t>SA-2015-EJ4155110-42139</t>
  </si>
  <si>
    <t>IT-2015-RS19420139-42087</t>
  </si>
  <si>
    <t>IZ-2014-JH618061-41741</t>
  </si>
  <si>
    <t>IN-2014-KM166607-41783</t>
  </si>
  <si>
    <t>IZ-2014-BD132061-41852</t>
  </si>
  <si>
    <t>IN-2013-AD101807-41552</t>
  </si>
  <si>
    <t>IN-2013-JD1579027-41355</t>
  </si>
  <si>
    <t>MX-2013-BF1121531-41537</t>
  </si>
  <si>
    <t>IN-2012-TH211151-41003</t>
  </si>
  <si>
    <t>MX-2014-DC1328518-41751</t>
  </si>
  <si>
    <t>IN-2012-AG10675102-41237</t>
  </si>
  <si>
    <t>MX-2014-KH1669031-41929</t>
  </si>
  <si>
    <t>IN-2014-BT116807-41764</t>
  </si>
  <si>
    <t>IN-2015-AF1087058-42111</t>
  </si>
  <si>
    <t>ES-2015-CH1207045-42173</t>
  </si>
  <si>
    <t>TZ-2014-JJ5760129-41878</t>
  </si>
  <si>
    <t>IN-2014-PF1916566-41726</t>
  </si>
  <si>
    <t>ID-2014-EP13915102-41990</t>
  </si>
  <si>
    <t>IN-2014-SP2062058-41782</t>
  </si>
  <si>
    <t>IN-2012-RB1964559-41271</t>
  </si>
  <si>
    <t>ES-2012-MH1729048-41214</t>
  </si>
  <si>
    <t>IN-2014-HW149357-41797</t>
  </si>
  <si>
    <t>MX-2012-BS11380143-41206</t>
  </si>
  <si>
    <t>IN-2012-TS2150559-40990</t>
  </si>
  <si>
    <t>MX-2013-DM1295531-41386</t>
  </si>
  <si>
    <t>RO-2012-PB9210107-41131</t>
  </si>
  <si>
    <t>SU-2015-JM5250122-42006</t>
  </si>
  <si>
    <t>HU-2014-CH207057-41871</t>
  </si>
  <si>
    <t>IT-2014-LT1711091-41803</t>
  </si>
  <si>
    <t>IR-2015-EM406560-42317</t>
  </si>
  <si>
    <t>US-2012-PO1919518-41185</t>
  </si>
  <si>
    <t>MX-2014-SW2075528-41901</t>
  </si>
  <si>
    <t>ID-2015-VG217907-42219</t>
  </si>
  <si>
    <t>SA-2012-EH4125110-41153</t>
  </si>
  <si>
    <t>MX-2013-MO1750018-41442</t>
  </si>
  <si>
    <t>ES-2015-JA15970139-42184</t>
  </si>
  <si>
    <t>TU-2013-RH9510134-41403</t>
  </si>
  <si>
    <t>NI-2013-MZ751595-41356</t>
  </si>
  <si>
    <t>MX-2013-ML1741039-41574</t>
  </si>
  <si>
    <t>TU-2012-LR6915134-41233</t>
  </si>
  <si>
    <t>PL-2012-BD1560103-41254</t>
  </si>
  <si>
    <t>UP-2015-AR510137-42106</t>
  </si>
  <si>
    <t>IN-2015-NZ1856511-42096</t>
  </si>
  <si>
    <t>IN-2014-EB139307-41914</t>
  </si>
  <si>
    <t>ID-2015-JE1561097-42193</t>
  </si>
  <si>
    <t>09/26/2014</t>
  </si>
  <si>
    <t>ID-2013-AC10420102-41555</t>
  </si>
  <si>
    <t>MX-2015-AA1064593-42306</t>
  </si>
  <si>
    <t>MX-2012-ME1732018-41164</t>
  </si>
  <si>
    <t>IN-2015-DV1304559-42321</t>
  </si>
  <si>
    <t>CG-2015-BT144033-42067</t>
  </si>
  <si>
    <t>US-2014-MA1756055-41949</t>
  </si>
  <si>
    <t>ES-2015-SA208308-42201</t>
  </si>
  <si>
    <t>IT-2012-SF2006548-41201</t>
  </si>
  <si>
    <t>GH-2013-TS1116049-41502</t>
  </si>
  <si>
    <t>MX-2013-AT1073518-41632</t>
  </si>
  <si>
    <t>MX-2014-CP1234018-41804</t>
  </si>
  <si>
    <t>KZ-2015-FM438068-42178</t>
  </si>
  <si>
    <t>IT-2015-MH1744048-42325</t>
  </si>
  <si>
    <t>IN-2015-NH1861059-42349</t>
  </si>
  <si>
    <t>ID-2014-HE14800130-41955</t>
  </si>
  <si>
    <t>MX-2014-EH1376518-41828</t>
  </si>
  <si>
    <t>US-2013-TS2161036-41486</t>
  </si>
  <si>
    <t>IN-2012-MV1748597-41215</t>
  </si>
  <si>
    <t>ES-2015-DR12940120-42279</t>
  </si>
  <si>
    <t>03/22/2014</t>
  </si>
  <si>
    <t>ID-2015-TP21130130-42221</t>
  </si>
  <si>
    <t>IN-2015-JM156557-42154</t>
  </si>
  <si>
    <t>MX-2012-PM1894031-41208</t>
  </si>
  <si>
    <t>US-2012-KT1646518-41017</t>
  </si>
  <si>
    <t>NI-2015-TC1098095-42033</t>
  </si>
  <si>
    <t>ID-2015-LC1693097-42264</t>
  </si>
  <si>
    <t>IN-2013-MZ173357-41577</t>
  </si>
  <si>
    <t>MX-2015-FW143955-42306</t>
  </si>
  <si>
    <t>ES-2015-RF19735139-42188</t>
  </si>
  <si>
    <t>ID-2013-DV1346559-41361</t>
  </si>
  <si>
    <t>ES-2015-EN1378045-42024</t>
  </si>
  <si>
    <t>TU-2015-AD180134-42364</t>
  </si>
  <si>
    <t>MX-2014-JJ1544582-41969</t>
  </si>
  <si>
    <t>IN-2015-MM1792058-42299</t>
  </si>
  <si>
    <t>BU-2012-HR477019-41114</t>
  </si>
  <si>
    <t>AU-2015-PF91208-42181</t>
  </si>
  <si>
    <t>SA-2015-TM11490110-42314</t>
  </si>
  <si>
    <t>US-2015-RR1952598-42069</t>
  </si>
  <si>
    <t>MX-2015-JD1601582-42154</t>
  </si>
  <si>
    <t>MX-2014-TD2099582-41914</t>
  </si>
  <si>
    <t>US-2015-SJ202155-42287</t>
  </si>
  <si>
    <t>MO-2014-LC696086-41660</t>
  </si>
  <si>
    <t>KZ-2012-MM805568-41109</t>
  </si>
  <si>
    <t>ES-2014-JK1537048-41957</t>
  </si>
  <si>
    <t>IT-2012-RB1957091-41240</t>
  </si>
  <si>
    <t>MX-2013-TW2102582-41587</t>
  </si>
  <si>
    <t>ES-2014-BP1105048-41774</t>
  </si>
  <si>
    <t>MX-2014-TN2104028-41672</t>
  </si>
  <si>
    <t>MX-2012-SH2039582-41124</t>
  </si>
  <si>
    <t>SA-2012-MH8115110-41178</t>
  </si>
  <si>
    <t>US-2015-SS208755-42204</t>
  </si>
  <si>
    <t>IN-2014-JH1582097-41655</t>
  </si>
  <si>
    <t>ES-2015-TM21490139-42223</t>
  </si>
  <si>
    <t>ZA-2013-DN3690147-41429</t>
  </si>
  <si>
    <t>2015-10-32</t>
  </si>
  <si>
    <t>IT-2014-LF1718562-41902</t>
  </si>
  <si>
    <t>EG-2014-JF556538-41949</t>
  </si>
  <si>
    <t>TU-2015-JG5115134-42364</t>
  </si>
  <si>
    <t>IN-2015-GK14620130-42357</t>
  </si>
  <si>
    <t>IS-2013-DV304563-41427</t>
  </si>
  <si>
    <t>ID-2015-HL1504097-42132</t>
  </si>
  <si>
    <t>ES-2014-VP21730139-41892</t>
  </si>
  <si>
    <t>MX-2012-KM1672018-41242</t>
  </si>
  <si>
    <t>US-2013-BE1145536-41544</t>
  </si>
  <si>
    <t>IT-2014-MZ1751545-41781</t>
  </si>
  <si>
    <t>MX-2013-RD1993031-41426</t>
  </si>
  <si>
    <t>MX-2013-NS1850536-41419</t>
  </si>
  <si>
    <t>ES-2013-BD116208-41521</t>
  </si>
  <si>
    <t>NI-2013-DG330095-41616</t>
  </si>
  <si>
    <t>UP-2013-SJ10125137-41504</t>
  </si>
  <si>
    <t>UP-2015-DP3390137-42357</t>
  </si>
  <si>
    <t>NI-2012-RF984095-41233</t>
  </si>
  <si>
    <t>EG-2013-AJ96038-41616</t>
  </si>
  <si>
    <t>MX-2015-BE1133531-42179</t>
  </si>
  <si>
    <t>TU-2012-KH6690134-41073</t>
  </si>
  <si>
    <t>ES-2014-DB1336045-41989</t>
  </si>
  <si>
    <t>IS-2015-DD357063-42069</t>
  </si>
  <si>
    <t>LY-2015-MS736574-42145</t>
  </si>
  <si>
    <t>NI-2012-DP316595-40938</t>
  </si>
  <si>
    <t>CG-2012-TH1155033-40964</t>
  </si>
  <si>
    <t>IN-2012-SC2077058-41256</t>
  </si>
  <si>
    <t>US-2013-MH1811598-41535</t>
  </si>
  <si>
    <t>US-2014-AS10225143-41793</t>
  </si>
  <si>
    <t>US-2014-KM1637555-41952</t>
  </si>
  <si>
    <t>MX-2015-DO1343536-42224</t>
  </si>
  <si>
    <t>MX-2014-MC1742582-41902</t>
  </si>
  <si>
    <t>IN-2014-RE194507-41846</t>
  </si>
  <si>
    <t>MX-2012-CM1244582-41077</t>
  </si>
  <si>
    <t>MX-2015-CC1210082-42318</t>
  </si>
  <si>
    <t>MX-2012-EB1397551-41112</t>
  </si>
  <si>
    <t>US-2013-LH1690018-41520</t>
  </si>
  <si>
    <t>IR-2013-CJ187560-41539</t>
  </si>
  <si>
    <t>MX-2014-DP1300018-41909</t>
  </si>
  <si>
    <t>GH-2014-PB915049-41807</t>
  </si>
  <si>
    <t>MX-2015-TC2129539-42228</t>
  </si>
  <si>
    <t>MX-2014-SS2041082-41912</t>
  </si>
  <si>
    <t>SA-2013-CC2220110-41594</t>
  </si>
  <si>
    <t>ZA-2015-LR7035146-42228</t>
  </si>
  <si>
    <t>ES-2014-AR1040534-41906</t>
  </si>
  <si>
    <t>TU-2015-AZ750134-42132</t>
  </si>
  <si>
    <t>TU-2014-JA5970134-41856</t>
  </si>
  <si>
    <t>ES-2014-NC1862545-41839</t>
  </si>
  <si>
    <t>NI-2015-SH997595-42305</t>
  </si>
  <si>
    <t>IT-2015-DO13645139-42026</t>
  </si>
  <si>
    <t>ID-2012-MS1798059-41234</t>
  </si>
  <si>
    <t>MX-2014-RH1949518-41670</t>
  </si>
  <si>
    <t>NI-2013-JF535595-41509</t>
  </si>
  <si>
    <t>ID-2015-LS1720059-42308</t>
  </si>
  <si>
    <t>ES-2015-BT1139545-42341</t>
  </si>
  <si>
    <t>NI-2015-RA928595-42115</t>
  </si>
  <si>
    <t>ES-2015-FM14215120-42220</t>
  </si>
  <si>
    <t>TU-2015-SB10170134-42256</t>
  </si>
  <si>
    <t>IR-2013-DB297060-41639</t>
  </si>
  <si>
    <t>GB-2015-ML804046-42325</t>
  </si>
  <si>
    <t>US-2015-VP2176082-42082</t>
  </si>
  <si>
    <t>US-2014-PO1918055-41969</t>
  </si>
  <si>
    <t>IT-2013-DB1361548-41434</t>
  </si>
  <si>
    <t>SF-2013-AS10045117-41593</t>
  </si>
  <si>
    <t>ID-2013-PC1874597-41559</t>
  </si>
  <si>
    <t>MO-2015-DL331586-42322</t>
  </si>
  <si>
    <t>TU-2014-KL6645134-41818</t>
  </si>
  <si>
    <t>ES-2014-GM14695139-41835</t>
  </si>
  <si>
    <t>IN-2012-AC1066027-41187</t>
  </si>
  <si>
    <t>MX-2012-TB2128028-41062</t>
  </si>
  <si>
    <t>IN-2012-GT1475558-40997</t>
  </si>
  <si>
    <t>KZ-2012-DF313568-41077</t>
  </si>
  <si>
    <t>NI-2013-AJ78095-41413</t>
  </si>
  <si>
    <t>ES-2015-DC1285045-42111</t>
  </si>
  <si>
    <t>MX-2014-CJ118755-41783</t>
  </si>
  <si>
    <t>KZ-2012-LS723068-41261</t>
  </si>
  <si>
    <t>MX-2014-DD1357082-41803</t>
  </si>
  <si>
    <t>ID-2014-LB1673559-41797</t>
  </si>
  <si>
    <t>MX-2013-KB1640518-41530</t>
  </si>
  <si>
    <t>ES-2015-GD1459048-42026</t>
  </si>
  <si>
    <t>IN-2014-NW1840027-41872</t>
  </si>
  <si>
    <t>MX-2013-DW1348018-41571</t>
  </si>
  <si>
    <t>UP-2013-ON8715137-41287</t>
  </si>
  <si>
    <t xml:space="preserve"> 2013-06-13 </t>
  </si>
  <si>
    <t>IT-2014-BS1166562-41864</t>
  </si>
  <si>
    <t>US-2014-SC2005018-41783</t>
  </si>
  <si>
    <t>TU-2014-SC10020134-41901</t>
  </si>
  <si>
    <t>NI-2015-TA1138595-42326</t>
  </si>
  <si>
    <t>MO-2014-PG889586-41664</t>
  </si>
  <si>
    <t>ID-2015-MS17770118-42171</t>
  </si>
  <si>
    <t>IR-2014-MK816060-41873</t>
  </si>
  <si>
    <t>IT-2013-JK16090124-41434</t>
  </si>
  <si>
    <t>IN-2015-VT2170059-42281</t>
  </si>
  <si>
    <t>US-2015-TG216405-42343</t>
  </si>
  <si>
    <t>MX-2014-RB1933082-41797</t>
  </si>
  <si>
    <t>US-2015-LR16915101-42180</t>
  </si>
  <si>
    <t>ID-2015-MG1820592-42343</t>
  </si>
  <si>
    <t>ES-2015-MM17920139-42147</t>
  </si>
  <si>
    <t>TU-2015-SC10770134-42185</t>
  </si>
  <si>
    <t>IN-2013-CA1196527-41615</t>
  </si>
  <si>
    <t>04/28/2013</t>
  </si>
  <si>
    <t>NI-2012-DB312095-41181</t>
  </si>
  <si>
    <t>IT-2015-TB2105545-42334</t>
  </si>
  <si>
    <t>US-2014-RB1964554-41979</t>
  </si>
  <si>
    <t>ES-2015-HZ149508-42192</t>
  </si>
  <si>
    <t>NI-2012-DV304595-41121</t>
  </si>
  <si>
    <t>ID-2014-BP1115559-41849</t>
  </si>
  <si>
    <t>IN-2015-BD1156058-42325</t>
  </si>
  <si>
    <t>GG-2014-NP867047-41649</t>
  </si>
  <si>
    <t>ID-2012-NB1858092-41241</t>
  </si>
  <si>
    <t>US-2015-PL18925101-42311</t>
  </si>
  <si>
    <t>ES-2012-SM2090545-41206</t>
  </si>
  <si>
    <t>US-2014-NF1847555-41747</t>
  </si>
  <si>
    <t>MX-2012-LH1675039-41112</t>
  </si>
  <si>
    <t>NI-2012-SP1086095-41090</t>
  </si>
  <si>
    <t>NI-2015-JF529595-42306</t>
  </si>
  <si>
    <t>MO-2014-AP72086-41849</t>
  </si>
  <si>
    <t>MX-2014-MS1771039-41746</t>
  </si>
  <si>
    <t>ID-2014-EJ137207-41741</t>
  </si>
  <si>
    <t>SA-2012-LC6870110-41121</t>
  </si>
  <si>
    <t>US-2013-KH1663082-41588</t>
  </si>
  <si>
    <t>NI-2013-AA64595-41434</t>
  </si>
  <si>
    <t>ZA-2012-DC2850146-41136</t>
  </si>
  <si>
    <t>US-2014-MO1750018-41720</t>
  </si>
  <si>
    <t>IN-2015-LW1682527-42261</t>
  </si>
  <si>
    <t>US-2013-DJ134205-41285</t>
  </si>
  <si>
    <t>KG-2015-DB327070-42321</t>
  </si>
  <si>
    <t>US-2012-MH1811555-41126</t>
  </si>
  <si>
    <t>ES-2015-GB1457591-42284</t>
  </si>
  <si>
    <t>TU-2015-FM4215134-42273</t>
  </si>
  <si>
    <t>US-2015-MN1793518-42250</t>
  </si>
  <si>
    <t>ES-2015-SH2063545-42339</t>
  </si>
  <si>
    <t>AG-2013-LM70653-41352</t>
  </si>
  <si>
    <t>IR-2014-RA991560-41782</t>
  </si>
  <si>
    <t>MX-2013-HG1502593-41532</t>
  </si>
  <si>
    <t>ES-2012-FM1421548-40933</t>
  </si>
  <si>
    <t>US-2014-BP1129098-41919</t>
  </si>
  <si>
    <t>MX-2013-AG1039018-41636</t>
  </si>
  <si>
    <t>ES-2012-MM18055139-41038</t>
  </si>
  <si>
    <t>SU-2015-DB3555122-42364</t>
  </si>
  <si>
    <t>ES-2013-PL18925139-41410</t>
  </si>
  <si>
    <t>MX-2015-KH1636018-42322</t>
  </si>
  <si>
    <t>GG-2012-JF549047-40975</t>
  </si>
  <si>
    <t>TU-2015-EM4140134-42276</t>
  </si>
  <si>
    <t>MO-2015-MZ733586-42059</t>
  </si>
  <si>
    <t>NI-2013-SV1093595-41542</t>
  </si>
  <si>
    <t>IN-2014-LM1706566-41893</t>
  </si>
  <si>
    <t>AG-2013-CC24303-41517</t>
  </si>
  <si>
    <t>NI-2015-MK790595-42144</t>
  </si>
  <si>
    <t>IN-2013-KH166907-41437</t>
  </si>
  <si>
    <t>SO-2012-CS1860116-41258</t>
  </si>
  <si>
    <t>SF-2014-KE6420117-41801</t>
  </si>
  <si>
    <t>UG-2014-BP1185136-41870</t>
  </si>
  <si>
    <t>ES-2013-ML1741048-41493</t>
  </si>
  <si>
    <t>ES-2013-TS210858-41392</t>
  </si>
  <si>
    <t>US-2014-TZ2144554-41852</t>
  </si>
  <si>
    <t>RS-2012-HJ4875108-41164</t>
  </si>
  <si>
    <t>NI-2015-AS22595-42350</t>
  </si>
  <si>
    <t>US-2014-GA1451555-41935</t>
  </si>
  <si>
    <t>ES-2013-AZ1075045-41287</t>
  </si>
  <si>
    <t>US-2013-HD1478555-41565</t>
  </si>
  <si>
    <t>AU-2013-SV108158-41629</t>
  </si>
  <si>
    <t>IN-2015-BP1123027-42263</t>
  </si>
  <si>
    <t>IZ-2014-TB1159561-41709</t>
  </si>
  <si>
    <t>NI-2012-PO886595-41159</t>
  </si>
  <si>
    <t>IN-2013-MM172607-41438</t>
  </si>
  <si>
    <t>IN-2015-SJ202157-42007</t>
  </si>
  <si>
    <t>MX-2015-JM1558018-42250</t>
  </si>
  <si>
    <t>CG-2013-JD606033-41502</t>
  </si>
  <si>
    <t>US-2014-GK14620101-41744</t>
  </si>
  <si>
    <t>US-2014-GK1462055-41898</t>
  </si>
  <si>
    <t xml:space="preserve"> 2014-07-26 </t>
  </si>
  <si>
    <t>IN-2015-MJ1774027-42060</t>
  </si>
  <si>
    <t>US-2013-KW1657018-41562</t>
  </si>
  <si>
    <t>TZ-2015-KH6690129-42131</t>
  </si>
  <si>
    <t>BN-2014-CY274515-41877</t>
  </si>
  <si>
    <t>TU-2012-AJ960134-41194</t>
  </si>
  <si>
    <t>US-2015-SS20410143-42248</t>
  </si>
  <si>
    <t>ES-2015-LP17080120-42042</t>
  </si>
  <si>
    <t>ID-2013-TC21535130-41552</t>
  </si>
  <si>
    <t>ES-2015-MG1769545-42263</t>
  </si>
  <si>
    <t>TU-2015-SW10350134-42024</t>
  </si>
  <si>
    <t>ID-2012-SH2039592-41224</t>
  </si>
  <si>
    <t>IT-2014-MB1808545-41783</t>
  </si>
  <si>
    <t>MX-2013-TS2161031-41431</t>
  </si>
  <si>
    <t>MX-2014-HG1496551-41986</t>
  </si>
  <si>
    <t>MZ-2012-SC1005087-41144</t>
  </si>
  <si>
    <t>ES-2012-AG1049564-41254</t>
  </si>
  <si>
    <t>MX-2015-BT1153082-42311</t>
  </si>
  <si>
    <t>UG-2015-CM2655136-42319</t>
  </si>
  <si>
    <t>IR-2012-DB306060-41270</t>
  </si>
  <si>
    <t>LH-2012-SW1027575-41012</t>
  </si>
  <si>
    <t>ES-2014-SC2084548-41771</t>
  </si>
  <si>
    <t>KZ-2014-AR40568-41684</t>
  </si>
  <si>
    <t>TU-2014-MN7935134-41682</t>
  </si>
  <si>
    <t>RS-2015-SB10290108-42082</t>
  </si>
  <si>
    <t>TU-2014-BP1050134-41823</t>
  </si>
  <si>
    <t>NI-2014-EB411095-41950</t>
  </si>
  <si>
    <t>MX-2012-LS1724528-40999</t>
  </si>
  <si>
    <t>IN-2015-JH1543078-42363</t>
  </si>
  <si>
    <t>KG-2013-VM1168570-41383</t>
  </si>
  <si>
    <t>UP-2014-BM1575137-41905</t>
  </si>
  <si>
    <t>NI-2013-SP1065095-41430</t>
  </si>
  <si>
    <t>TU-2013-DF3135134-41444</t>
  </si>
  <si>
    <t>MX-2013-AW1084093-41392</t>
  </si>
  <si>
    <t>NI-2014-DL292595-41653</t>
  </si>
  <si>
    <t>ID-2015-MG1789099-42151</t>
  </si>
  <si>
    <t>US-2013-FM1421518-41321</t>
  </si>
  <si>
    <t>ID-2013-SC20260102-41431</t>
  </si>
  <si>
    <t>TU-2015-GA4725134-42299</t>
  </si>
  <si>
    <t>MX-2012-MC1813082-41227</t>
  </si>
  <si>
    <t>US-2013-SV209355-41601</t>
  </si>
  <si>
    <t>IR-2012-AR82560-41024</t>
  </si>
  <si>
    <t>JO-2013-AG30067-41629</t>
  </si>
  <si>
    <t>BO-2015-MS798013-42091</t>
  </si>
  <si>
    <t>NI-2012-SN1056095-41065</t>
  </si>
  <si>
    <t>TU-2015-DK3150134-42024</t>
  </si>
  <si>
    <t>NI-2014-SC1030595-41866</t>
  </si>
  <si>
    <t>EG-2014-GB457538-41951</t>
  </si>
  <si>
    <t>ES-2014-NC18535120-41686</t>
  </si>
  <si>
    <t>IT-2015-AB1001548-42074</t>
  </si>
  <si>
    <t>TU-2014-AR825134-41807</t>
  </si>
  <si>
    <t>NI-2015-PB921095-42052</t>
  </si>
  <si>
    <t xml:space="preserve"> 2015-08-13 </t>
  </si>
  <si>
    <t>IN-2014-SF2006558-41773</t>
  </si>
  <si>
    <t>MX-2013-HL1504051-41597</t>
  </si>
  <si>
    <t>AU-2012-JL51308-41118</t>
  </si>
  <si>
    <t>MX-2014-FP1432082-41996</t>
  </si>
  <si>
    <t>SF-2015-JH5430117-42293</t>
  </si>
  <si>
    <t>ID-2014-JH1618059-41969</t>
  </si>
  <si>
    <t>ES-2015-DK1283534-42192</t>
  </si>
  <si>
    <t>US-2015-JF1549082-42304</t>
  </si>
  <si>
    <t>TU-2012-PM8940134-41130</t>
  </si>
  <si>
    <t>NI-2012-RH951095-41086</t>
  </si>
  <si>
    <t>IN-2014-AC10420130-41874</t>
  </si>
  <si>
    <t>US-2013-CD1198055-41473</t>
  </si>
  <si>
    <t>MX-2013-AF1087051-41489</t>
  </si>
  <si>
    <t>EG-2012-KW657038-40947</t>
  </si>
  <si>
    <t>US-2014-GB1457598-42003</t>
  </si>
  <si>
    <t>IZ-2013-JE571561-41572</t>
  </si>
  <si>
    <t>ID-2013-JD1601559-41607</t>
  </si>
  <si>
    <t>ZA-2015-JC5775147-42356</t>
  </si>
  <si>
    <t>ID-2012-DJ1363059-41228</t>
  </si>
  <si>
    <t>ID-2015-PC19000102-42348</t>
  </si>
  <si>
    <t>AG-2014-RD95853-41712</t>
  </si>
  <si>
    <t>MX-2013-SC2030593-41571</t>
  </si>
  <si>
    <t>MX-2012-KD1649582-41202</t>
  </si>
  <si>
    <t>TU-2015-BC1125134-42238</t>
  </si>
  <si>
    <t>MX-2015-AM1036018-42273</t>
  </si>
  <si>
    <t>NI-2013-EB387095-41352</t>
  </si>
  <si>
    <t>IR-2015-PN877560-42316</t>
  </si>
  <si>
    <t>MX-2013-MS178305-41487</t>
  </si>
  <si>
    <t>MX-2014-TB2125018-41812</t>
  </si>
  <si>
    <t>ES-2014-JG1580564-41962</t>
  </si>
  <si>
    <t>ES-2013-SC20770139-41391</t>
  </si>
  <si>
    <t>MX-2015-TD2099582-42369</t>
  </si>
  <si>
    <t>MX-2012-HK1489039-41089</t>
  </si>
  <si>
    <t>ID-2013-DF1313592-41513</t>
  </si>
  <si>
    <t>US-2013-EM1381036-41459</t>
  </si>
  <si>
    <t>CG-2014-PK907533-41875</t>
  </si>
  <si>
    <t>SF-2015-RS9420117-42118</t>
  </si>
  <si>
    <t>IV-2012-SL1015529-41212</t>
  </si>
  <si>
    <t>US-2013-AG1033054-41559</t>
  </si>
  <si>
    <t>SF-2012-CC2685117-41263</t>
  </si>
  <si>
    <t>ZA-2015-EH4125147-42307</t>
  </si>
  <si>
    <t>TU-2014-RD9660134-41868</t>
  </si>
  <si>
    <t>NI-2013-MW822095-41431</t>
  </si>
  <si>
    <t>NI-2014-EK379595-41794</t>
  </si>
  <si>
    <t>IR-2014-BS166560-41793</t>
  </si>
  <si>
    <t>ID-2015-AH1058559-42182</t>
  </si>
  <si>
    <t>MX-2015-DB1312028-42285</t>
  </si>
  <si>
    <t>TU-2015-TP11130134-42077</t>
  </si>
  <si>
    <t>MX-2012-CA1196582-41010</t>
  </si>
  <si>
    <t>BO-2012-ES402013-41147</t>
  </si>
  <si>
    <t>NI-2015-DW358595-42173</t>
  </si>
  <si>
    <t>NI-2015-CV229595-42259</t>
  </si>
  <si>
    <t>ID-2013-BF1100592-41471</t>
  </si>
  <si>
    <t>TU-2013-AR510134-41457</t>
  </si>
  <si>
    <t>IN-2014-AC1061558-41808</t>
  </si>
  <si>
    <t>IR-2015-JB540060-42287</t>
  </si>
  <si>
    <t>US-2014-RD1972054-41815</t>
  </si>
  <si>
    <t>NI-2015-MG814595-42088</t>
  </si>
  <si>
    <t>NI-2012-KT648095-41026</t>
  </si>
  <si>
    <t>NI-2015-MC757595-42354</t>
  </si>
  <si>
    <t>US-2013-TS2120536-41444</t>
  </si>
  <si>
    <t>ID-2013-LH1715559-41417</t>
  </si>
  <si>
    <t>TU-2012-LB6795134-41034</t>
  </si>
  <si>
    <t>ES-2015-CB1253545-42229</t>
  </si>
  <si>
    <t>TU-2015-CR2820134-42129</t>
  </si>
  <si>
    <t>NG-2014-AY55594-41978</t>
  </si>
  <si>
    <t>IN-2015-DK12985144-42112</t>
  </si>
  <si>
    <t>TU-2015-CL2565134-42327</t>
  </si>
  <si>
    <t>ZA-2015-BS1380147-42087</t>
  </si>
  <si>
    <t>NI-2015-RE945095-42274</t>
  </si>
  <si>
    <t>US-2015-PS1904598-42349</t>
  </si>
  <si>
    <t>ID-2012-SG2008059-41172</t>
  </si>
  <si>
    <t>NI-2015-DW354095-42315</t>
  </si>
  <si>
    <t>KZ-2015-KC625568-42217</t>
  </si>
  <si>
    <t>ID-2015-CM1183097-42019</t>
  </si>
  <si>
    <t xml:space="preserve"> 2015-01-22 </t>
  </si>
  <si>
    <t>IN-2013-MH1729058-41576</t>
  </si>
  <si>
    <t>IN-2014-RA1991527-41782</t>
  </si>
  <si>
    <t>NI-2012-PO918095-41230</t>
  </si>
  <si>
    <t>NI-2015-PB880595-42249</t>
  </si>
  <si>
    <t>EG-2014-RD990038-41868</t>
  </si>
  <si>
    <t>NI-2013-VD1167095-41331</t>
  </si>
  <si>
    <t>ES-2012-TB21190139-40992</t>
  </si>
  <si>
    <t>US-2015-TT2146036-42276</t>
  </si>
  <si>
    <t>RS-2014-KB6240108-41908</t>
  </si>
  <si>
    <t>MX-2013-KM1637593-41636</t>
  </si>
  <si>
    <t>TU-2015-AA375134-42116</t>
  </si>
  <si>
    <t>MX-2013-CS1213018-41427</t>
  </si>
  <si>
    <t>NI-2012-JM558095-41270</t>
  </si>
  <si>
    <t>IR-2012-NB865560-41128</t>
  </si>
  <si>
    <t>MX-2015-BT1148551-42272</t>
  </si>
  <si>
    <t>NI-2014-SC1009595-41732</t>
  </si>
  <si>
    <t>UP-2012-DE3255137-41107</t>
  </si>
  <si>
    <t>RS-2014-HE4800108-41863</t>
  </si>
  <si>
    <t>MX-2015-AG1030098-42120</t>
  </si>
  <si>
    <t>US-2014-RS1987018-41958</t>
  </si>
  <si>
    <t>ES-2013-CA1231045-41303</t>
  </si>
  <si>
    <t>NI-2015-CR273095-42364</t>
  </si>
  <si>
    <t>TU-2014-EM4065134-41891</t>
  </si>
  <si>
    <t>MX-2014-EM1406593-41702</t>
  </si>
  <si>
    <t>ZA-2015-NG8430147-42332</t>
  </si>
  <si>
    <t>TU-2013-RO9780134-41364</t>
  </si>
  <si>
    <t>MO-2013-JH591086-41620</t>
  </si>
  <si>
    <t>UZ-2012-RS9420142-41193</t>
  </si>
  <si>
    <t>US-2015-TT2146018-42276</t>
  </si>
  <si>
    <t>TU-2015-JO5145134-42364</t>
  </si>
  <si>
    <t xml:space="preserve"> 2014-07-12 </t>
  </si>
  <si>
    <t>TU-2013-CR2730134-41324</t>
  </si>
  <si>
    <t>NI-2015-TB1135595-42256</t>
  </si>
  <si>
    <t>MX-2015-AH1021036-42301</t>
  </si>
  <si>
    <t>NI-2014-DV304595-41739</t>
  </si>
  <si>
    <t>MX-2015-CK1232531-42145</t>
  </si>
  <si>
    <t>NI-2014-MM805595-41730</t>
  </si>
  <si>
    <t>ID-2014-JF15355118-41870</t>
  </si>
  <si>
    <t>TU-2013-CR2730134-41597</t>
  </si>
  <si>
    <t>IN-2015-BM11575102-42211</t>
  </si>
  <si>
    <t>RS-2014-SM10005108-41651</t>
  </si>
  <si>
    <t>NI-2015-PB915095-42007</t>
  </si>
  <si>
    <t>ML-2014-RK930079-42003</t>
  </si>
  <si>
    <t>TU-2013-HR4830134-41482</t>
  </si>
  <si>
    <t>KZ-2013-FG426068-41426</t>
  </si>
  <si>
    <t>TU-2013-IM5070134-41440</t>
  </si>
  <si>
    <t>KZ-2012-JM553568-41023</t>
  </si>
  <si>
    <t xml:space="preserve"> 2014-05-27 </t>
  </si>
  <si>
    <t>IZ-2015-MS771061-42088</t>
  </si>
  <si>
    <t>NI-2014-BD163595-41695</t>
  </si>
  <si>
    <t>EN-2014-AH19542-41663</t>
  </si>
  <si>
    <t>MZ-2015-AZ75087-42179</t>
  </si>
  <si>
    <t>CA-2015-TB21400140-42167</t>
  </si>
  <si>
    <t>CA-2012-TB21400140-40943</t>
  </si>
  <si>
    <t>US-2015-TB21400140-42094</t>
  </si>
  <si>
    <t>CA-2015-TP21415140-42234</t>
  </si>
  <si>
    <t>CA-2012-TP1141523-40968</t>
  </si>
  <si>
    <t>IR-2013-SC1080060-41529</t>
  </si>
  <si>
    <t>CA-2013-TP21415140-41606</t>
  </si>
  <si>
    <t>MX-2013-SE2011026-41588</t>
  </si>
  <si>
    <t>US-2015-JL151755-42154</t>
  </si>
  <si>
    <t>EG-2015-AP72038-42332</t>
  </si>
  <si>
    <t>CG-2015-AJ78033-42158</t>
  </si>
  <si>
    <t>CA-2015-TP21415140-42045</t>
  </si>
  <si>
    <t>CA-2014-TP21415140-41880</t>
  </si>
  <si>
    <t>MO-2012-CJ201086-41227</t>
  </si>
  <si>
    <t>CA-2015-TP21415140-42265</t>
  </si>
  <si>
    <t>CA-2012-TS21430140-41119</t>
  </si>
  <si>
    <t>TU-2015-IM5055134-42237</t>
  </si>
  <si>
    <t>CA-2012-TS21430140-41223</t>
  </si>
  <si>
    <t>US-2014-TS21430140-41878</t>
  </si>
  <si>
    <t>CA-2014-TS21430140-41957</t>
  </si>
  <si>
    <t>CA-2015-TS21430140-42197</t>
  </si>
  <si>
    <t>CA-2014-TZ1144523-41985</t>
  </si>
  <si>
    <t>CA-2013-TZ1144523-41502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</si>
  <si>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</si>
  <si>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</si>
  <si>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</si>
  <si>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</si>
  <si>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</si>
  <si>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</si>
  <si>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</si>
  <si>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IN-2014-SE2011066-41772</t>
  </si>
  <si>
    <t>US-2015-TT21460140-42068</t>
  </si>
  <si>
    <t>UP-2012-SV10785137-41093</t>
  </si>
  <si>
    <t>IT-2013-SP20860124-41389</t>
  </si>
  <si>
    <t>CA-2014-TT21460140-41752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</si>
  <si>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</si>
  <si>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</si>
  <si>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</si>
  <si>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</si>
  <si>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</si>
  <si>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</si>
  <si>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</si>
  <si>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</si>
  <si>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</si>
  <si>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</si>
  <si>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MX-2013-RS1976593-41408#</t>
  </si>
  <si>
    <t>US-2015-HK1489055-42157</t>
  </si>
  <si>
    <t>MX-2013-DP1339082-41629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</si>
  <si>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</si>
  <si>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</si>
  <si>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</si>
  <si>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</si>
  <si>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</si>
  <si>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</si>
  <si>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</si>
  <si>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SG-2015-BC1125111-42340</t>
  </si>
  <si>
    <t>SA-2015-BF1275110-42197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</si>
  <si>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</si>
  <si>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</si>
  <si>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</si>
  <si>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</si>
  <si>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</si>
  <si>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</si>
  <si>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</si>
  <si>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</si>
  <si>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TU-2013-DJ3630134-41335</t>
  </si>
  <si>
    <t>MO-2015-FA423086-42185</t>
  </si>
  <si>
    <t>CA-2014-TC21475140-41989</t>
  </si>
  <si>
    <t>2015-30-31</t>
  </si>
  <si>
    <t>NI-2013-IG508595-41433</t>
  </si>
  <si>
    <t>CA-2015-TM21490140-42239</t>
  </si>
  <si>
    <t>IN-2015-JK1562558-42172</t>
  </si>
  <si>
    <t>CA-2015-TM21490140-42213</t>
  </si>
  <si>
    <t>CA-2014-TS21505140-41908</t>
  </si>
  <si>
    <t>CA-2015-TS21505140-42316</t>
  </si>
  <si>
    <t>CA-2015-TS21505140-42189</t>
  </si>
  <si>
    <t>ES-2012-LM1706584-41138</t>
  </si>
  <si>
    <t>CA-2015-TS21505140-42266</t>
  </si>
  <si>
    <t>CA-2015-TS21505140-42358</t>
  </si>
  <si>
    <t>CA-2012-TS21505140-41262</t>
  </si>
  <si>
    <t>IT-2013-MV18190124-41454</t>
  </si>
  <si>
    <t>KZ-2014-NP832568-41907</t>
  </si>
  <si>
    <t>ES-2014-PO1886545-41971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</si>
  <si>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</si>
  <si>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</si>
  <si>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</si>
  <si>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</si>
  <si>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</si>
  <si>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</si>
  <si>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MO-2012-BF108068-41207</t>
  </si>
  <si>
    <t>IT-2015-BD1163591-42349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</si>
  <si>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</si>
  <si>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</si>
  <si>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</si>
  <si>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</si>
  <si>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</si>
  <si>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</si>
  <si>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>IR-2013-DW319560-41306</t>
  </si>
  <si>
    <t>CA-2015-TB21520140-42209</t>
  </si>
  <si>
    <t>ES-2014-EM13810139-41725</t>
  </si>
  <si>
    <t>SO-2013-EH4125116-41534</t>
  </si>
  <si>
    <t>CA-2013-TB21520140-41566</t>
  </si>
  <si>
    <t>ES-2015-GT1471048-42300</t>
  </si>
  <si>
    <t>CA-2015-TB21520140-42262</t>
  </si>
  <si>
    <t>IS-2014-JF556563-41917#</t>
  </si>
  <si>
    <t xml:space="preserve"> 2014-02-04 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</si>
  <si>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</si>
  <si>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</si>
  <si>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</si>
  <si>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</si>
  <si>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</si>
  <si>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</si>
  <si>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</si>
  <si>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</si>
  <si>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CA-2012-TC21535140-41215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</si>
  <si>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</si>
  <si>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</si>
  <si>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</si>
  <si>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</si>
  <si>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</si>
  <si>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</si>
  <si>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</si>
  <si>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</si>
  <si>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</si>
  <si>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</si>
  <si>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MX-2014-ML1804093-41935</t>
  </si>
  <si>
    <t>US-2013-DR1288018-41578</t>
  </si>
  <si>
    <t>ZA-2013-AB10060147-41509</t>
  </si>
  <si>
    <t>CA-2015-TH21550140-42238</t>
  </si>
  <si>
    <t>ES-2015-AS1024064-42297</t>
  </si>
  <si>
    <t>CA-2012-TH21550140-41003</t>
  </si>
  <si>
    <t>CA-2013-TH21550140-41478</t>
  </si>
  <si>
    <t>TU-2015-BT1440134-42276</t>
  </si>
  <si>
    <t>CA-2014-TH1155023-41907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</si>
  <si>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</si>
  <si>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</si>
  <si>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</si>
  <si>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</si>
  <si>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</si>
  <si>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</si>
  <si>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</si>
  <si>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</si>
  <si>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</si>
  <si>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</si>
  <si>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</si>
  <si>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</si>
  <si>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</si>
  <si>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ID-2013-RM193757-41429</t>
  </si>
  <si>
    <t>CA-2013-TZ21580140-41612</t>
  </si>
  <si>
    <t>CA-2015-TZ21580140-42334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</si>
  <si>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</si>
  <si>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</si>
  <si>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</si>
  <si>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</si>
  <si>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</si>
  <si>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</si>
  <si>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</si>
  <si>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 xml:space="preserve"> US-2015-TS2137055-42173 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</si>
  <si>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</si>
  <si>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</si>
  <si>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</si>
  <si>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</si>
  <si>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</si>
  <si>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</si>
  <si>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</si>
  <si>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</si>
  <si>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</si>
  <si>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</si>
  <si>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</si>
  <si>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>NI-2015-EL373595-42279</t>
  </si>
  <si>
    <t>IN-2012-EC140507-41174</t>
  </si>
  <si>
    <t>CA-2014-TS21610140-41892</t>
  </si>
  <si>
    <t>IT-2012-HF1499545-40936</t>
  </si>
  <si>
    <t>CA-2015-TS21610140-42168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</si>
  <si>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</si>
  <si>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</si>
  <si>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</si>
  <si>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</si>
  <si>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</si>
  <si>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</si>
  <si>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CA-2013-TB21625140-41572</t>
  </si>
  <si>
    <t>CA-2012-TB21625140-41126</t>
  </si>
  <si>
    <t>CA-2013-TB21625140-41422</t>
  </si>
  <si>
    <t>MK-2013-NF847576-41510</t>
  </si>
  <si>
    <t>CA-2014-TB21625140-41768</t>
  </si>
  <si>
    <t>CA-2013-TB21265140-41639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</si>
  <si>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</si>
  <si>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</si>
  <si>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</si>
  <si>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</si>
  <si>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</si>
  <si>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</si>
  <si>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</si>
  <si>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</si>
  <si>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US-2012-BB1099055-41079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</si>
  <si>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</si>
  <si>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</si>
  <si>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</si>
  <si>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</si>
  <si>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</si>
  <si>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CA-2015-TG21640140-42255</t>
  </si>
  <si>
    <t>CA-2013-TG21640140-41535</t>
  </si>
  <si>
    <t>SA-2012-CM2385110-41250</t>
  </si>
  <si>
    <t>IZ-2014-DM301561-42004</t>
  </si>
  <si>
    <t>TU-2014-HM4980134-41854</t>
  </si>
  <si>
    <t>TU-2015-JE5745134-42175</t>
  </si>
  <si>
    <t>CA-2015-TS21655140-42007</t>
  </si>
  <si>
    <t>CA-2013-TS21655140-41310</t>
  </si>
  <si>
    <t>CA-2014-TS21655140-41999</t>
  </si>
  <si>
    <t>CA-2015-TS21655140-42131</t>
  </si>
  <si>
    <t>CA-2013-TS21655140-41389</t>
  </si>
  <si>
    <t>CA-2013-TS26155140-41389</t>
  </si>
  <si>
    <t>IN-2012-CC1214592-41142</t>
  </si>
  <si>
    <t>IN-2015-DR129407-42207</t>
  </si>
  <si>
    <t>ES-2015-ER1385545-42062</t>
  </si>
  <si>
    <t>NI-2015-EB411095-42312</t>
  </si>
  <si>
    <t>ID-2014-KH1633059-41730</t>
  </si>
  <si>
    <t>CA-2012-VD21670140-41124</t>
  </si>
  <si>
    <t>CA-2013-VD21670140-41579</t>
  </si>
  <si>
    <t>IN-2013-PB19150130-41599</t>
  </si>
  <si>
    <t xml:space="preserve"> 2013-11-21 </t>
  </si>
  <si>
    <t>CA-2013-VD21670140-41583</t>
  </si>
  <si>
    <t>NI-2015-RL961595-42104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</si>
  <si>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</si>
  <si>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</si>
  <si>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</si>
  <si>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</si>
  <si>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</si>
  <si>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</si>
  <si>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</si>
  <si>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</si>
  <si>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</si>
  <si>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</si>
  <si>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</si>
  <si>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CM-2015-GM444022-42308</t>
  </si>
  <si>
    <t>CA-2013-VM21685140-41579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</si>
  <si>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</si>
  <si>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</si>
  <si>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</si>
  <si>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</si>
  <si>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</si>
  <si>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</si>
  <si>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NI-2014-RE945095-41991</t>
  </si>
  <si>
    <t>SA-2014-SJ10125110-41944#</t>
  </si>
  <si>
    <t>CA-2012-VF21715140-40968</t>
  </si>
  <si>
    <t>CA-2015-VF21715140-42194</t>
  </si>
  <si>
    <t>MX-2015-RD1909036-42337</t>
  </si>
  <si>
    <t>MX-2013-AA1037582-41367</t>
  </si>
  <si>
    <t>MX-2013-YC2189518-41368</t>
  </si>
  <si>
    <t>MX-2014-AW1084082-41942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</si>
  <si>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</si>
  <si>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</si>
  <si>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</si>
  <si>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</si>
  <si>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</si>
  <si>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</si>
  <si>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CA-2015-VP21730140-42339</t>
  </si>
  <si>
    <t>CA-2015-VP21730140-42186</t>
  </si>
  <si>
    <t>CA-2013-VP21730140-41460</t>
  </si>
  <si>
    <t>CA-2014-VB21745140-41941</t>
  </si>
  <si>
    <t>CA-2015-VB21745140-42072</t>
  </si>
  <si>
    <t>CA-2013-VB21745140-41601</t>
  </si>
  <si>
    <t>TX-2013-MK8160135-41276</t>
  </si>
  <si>
    <t>ES-2015-ON1871548-42318</t>
  </si>
  <si>
    <t>CA-2014-VB21745140-41971</t>
  </si>
  <si>
    <t>CA-2013-VB21745140-41472</t>
  </si>
  <si>
    <t>IN-2015-SC2030558-42283#</t>
  </si>
  <si>
    <t>NI-2012-SH1039595-41129</t>
  </si>
  <si>
    <t>NI-2015-SP1062095-42230</t>
  </si>
  <si>
    <t>CA-2015-VB21745140-42315</t>
  </si>
  <si>
    <t>CA-2013-VB217451404-1601</t>
  </si>
  <si>
    <t>CA-2013-VP21760140-41423</t>
  </si>
  <si>
    <t>US-2012-CC1222018-41202</t>
  </si>
  <si>
    <t>MX-2015-SC2057582-42117</t>
  </si>
  <si>
    <t>CA-2015-VP21760140-42294</t>
  </si>
  <si>
    <t>CA-2013-VP21760140-41593</t>
  </si>
  <si>
    <t>TU-2015-AR345134-42228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</si>
  <si>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</si>
  <si>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</si>
  <si>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</si>
  <si>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</si>
  <si>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</si>
  <si>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</si>
  <si>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TU-2015-JE5475134-42284</t>
  </si>
  <si>
    <t>CA-2015-VW21775140-42341</t>
  </si>
  <si>
    <t>IN-2014-JH1582027-41986</t>
  </si>
  <si>
    <t>EG-2015-JH582038-42252</t>
  </si>
  <si>
    <t>CA-2014-VW21775140-41934</t>
  </si>
  <si>
    <t>CA-2013-VW21775140-41275</t>
  </si>
  <si>
    <t>CA-2015-VW21775140-42326</t>
  </si>
  <si>
    <t>CA-2014-VW21775140-41937</t>
  </si>
  <si>
    <t>2012-12-61</t>
  </si>
  <si>
    <t>IN-2012-PN1877527-41129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</si>
  <si>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</si>
  <si>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</si>
  <si>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</si>
  <si>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</si>
  <si>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</si>
  <si>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</si>
  <si>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</si>
  <si>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</si>
  <si>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</si>
  <si>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</si>
  <si>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</si>
  <si>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CA-2014-VG21790140-41858</t>
  </si>
  <si>
    <t>IN-2013-TH2155027-41409</t>
  </si>
  <si>
    <t>NI-2014-VT1170095-41908</t>
  </si>
  <si>
    <t>US-2015-SG2008054-42366</t>
  </si>
  <si>
    <t>US-2015-DC12850101-42159</t>
  </si>
  <si>
    <t>MX-2015-BT1153098-42215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</si>
  <si>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</si>
  <si>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</si>
  <si>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</si>
  <si>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</si>
  <si>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</si>
  <si>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</si>
  <si>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</si>
  <si>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</si>
  <si>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</si>
  <si>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</si>
  <si>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</si>
  <si>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</si>
  <si>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</si>
  <si>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</si>
  <si>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</si>
  <si>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</si>
  <si>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</si>
  <si>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</si>
  <si>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</si>
  <si>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</si>
  <si>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</si>
  <si>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</si>
  <si>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</si>
  <si>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</si>
  <si>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CA-2014-VM21835140-41805</t>
  </si>
  <si>
    <t>IR-2013-LC687060-41585</t>
  </si>
  <si>
    <t>CA-2015-VM1183523-42361</t>
  </si>
  <si>
    <t xml:space="preserve"> US-2013-ML1804018-41479 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</si>
  <si>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</si>
  <si>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</si>
  <si>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</si>
  <si>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</si>
  <si>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</si>
  <si>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</si>
  <si>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</si>
  <si>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</si>
  <si>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</si>
  <si>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</si>
  <si>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</si>
  <si>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</si>
  <si>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</si>
  <si>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ZA-2014-CK2325147-41830</t>
  </si>
  <si>
    <t xml:space="preserve"> 2015-10-02 </t>
  </si>
  <si>
    <t>IZ-2014-DJ351061-41951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</si>
  <si>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</si>
  <si>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</si>
  <si>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</si>
  <si>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</si>
  <si>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</si>
  <si>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</si>
  <si>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ES-2012-JD1606045-40961</t>
  </si>
  <si>
    <t>US-2015-WB21850140-42349</t>
  </si>
  <si>
    <t>IN-2013-JW1607558-41444</t>
  </si>
  <si>
    <t>TU-2015-LC6960134-42178</t>
  </si>
  <si>
    <t>ID-2012-LO1717092-41034</t>
  </si>
  <si>
    <t>ZA-2014-ND8460147-41670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</si>
  <si>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</si>
  <si>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</si>
  <si>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</si>
  <si>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</si>
  <si>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</si>
  <si>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CA-2014-WB21850140-41923</t>
  </si>
  <si>
    <t>CA-2012-WB21850140-41262</t>
  </si>
  <si>
    <t>MX-2015-CS1213018-42285</t>
  </si>
  <si>
    <t>MX-2013-DD1357018-41576</t>
  </si>
  <si>
    <t>MX-2013-AB1025518-41637</t>
  </si>
  <si>
    <t>US-2013-SJ2021582-41543</t>
  </si>
  <si>
    <t>US-2012-CK123255-41081</t>
  </si>
  <si>
    <t>CA-2015-WB21850140-42320</t>
  </si>
  <si>
    <t>NI-2014-CM183095-41796</t>
  </si>
  <si>
    <t>CA-2014-WB21850140-41654#</t>
  </si>
  <si>
    <t>CA-2012-WB21851040-41262</t>
  </si>
  <si>
    <t xml:space="preserve"> 2013-06-09 </t>
  </si>
  <si>
    <t>AG-2014-ES40803-41948#</t>
  </si>
  <si>
    <t>IN-2014-HE1480059-41811</t>
  </si>
  <si>
    <t>CA-2012-XP21865140-41179</t>
  </si>
  <si>
    <t>CA-2014-XP21865140-41878</t>
  </si>
  <si>
    <t>CA-2014-XP21865140-41947</t>
  </si>
  <si>
    <t>RO-2012-LC6870107-41132</t>
  </si>
  <si>
    <t>KZ-2014-MS735068-41711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</si>
  <si>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</si>
  <si>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</si>
  <si>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</si>
  <si>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</si>
  <si>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</si>
  <si>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</si>
  <si>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</si>
  <si>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</si>
  <si>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</si>
  <si>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</si>
  <si>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</si>
  <si>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MX-2014-MC1760593-41975</t>
  </si>
  <si>
    <t>US-2012-CC1222055-40970</t>
  </si>
  <si>
    <t>MX-2012-RP1939082-41257</t>
  </si>
  <si>
    <t>CA-2014-XP21865140-41945</t>
  </si>
  <si>
    <t>ID-2015-BE11455102-42077</t>
  </si>
  <si>
    <t>IR-2012-CM265560-41126</t>
  </si>
  <si>
    <t xml:space="preserve"> 2012-08-15 </t>
  </si>
  <si>
    <t>CA-2012-XP21865140-41187</t>
  </si>
  <si>
    <t>ZA-2013-EM3810147-41525</t>
  </si>
  <si>
    <t>CA-2015-XP21865140-42284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</si>
  <si>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</si>
  <si>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</si>
  <si>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</si>
  <si>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</si>
  <si>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</si>
  <si>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CA-2013-YS21880140-41480</t>
  </si>
  <si>
    <t>ES-2013-HR1960045-41446</t>
  </si>
  <si>
    <t>MO-2012-RS987086-41062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</si>
  <si>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</si>
  <si>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</si>
  <si>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</si>
  <si>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</si>
  <si>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</si>
  <si>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</si>
  <si>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</si>
  <si>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</si>
  <si>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</si>
  <si>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IN-2013-AR1057058-41441</t>
  </si>
  <si>
    <t>ID-2041-BD116207-41791</t>
  </si>
  <si>
    <t>CA-2013-YC21895140-41590</t>
  </si>
  <si>
    <t>CA-2012-ZC21910140-41194</t>
  </si>
  <si>
    <t>CA-2013-ZC21910140-41530</t>
  </si>
  <si>
    <t>CA-2013-ZC21910140-41377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</si>
  <si>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</si>
  <si>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</si>
  <si>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</si>
  <si>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</si>
  <si>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</si>
  <si>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</si>
  <si>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</si>
  <si>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US-2015-ZC21910140-42175</t>
  </si>
  <si>
    <t>NI-2014-MP796595-41916</t>
  </si>
  <si>
    <t>US-2014-ZC21910140-41719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</si>
  <si>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</si>
  <si>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</si>
  <si>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</si>
  <si>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</si>
  <si>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</si>
  <si>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</si>
  <si>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IN-2015-EJ13720118-42320</t>
  </si>
  <si>
    <t>US-2014-GK1462036-41989</t>
  </si>
  <si>
    <t>NI-2015-JR570095-42356</t>
  </si>
  <si>
    <t>EG-2014-PM894038-41846</t>
  </si>
  <si>
    <t>CA-2013-ZC21910140-41545</t>
  </si>
  <si>
    <t>MX-2015-BG1169518-42360</t>
  </si>
  <si>
    <t>CA-2015-ZC21910140-42167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</si>
  <si>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</si>
  <si>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</si>
  <si>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</si>
  <si>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</si>
  <si>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</si>
  <si>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</si>
  <si>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</si>
  <si>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ES-2015-NM1852045-42221</t>
  </si>
  <si>
    <t xml:space="preserve"> MX-2015-SL2015518-42258 </t>
  </si>
  <si>
    <t>ZA-2012-AS285147-40988</t>
  </si>
  <si>
    <t>MX-2015-HG1502518-42164</t>
  </si>
  <si>
    <t>IN-2015-DB132707-42221</t>
  </si>
  <si>
    <t>IN-2015-KH1633058-42154</t>
  </si>
  <si>
    <t>US-2014-ZD21925140-41765</t>
  </si>
  <si>
    <t>MX-2013-MC1810093-41416</t>
  </si>
  <si>
    <t>Sub-Category</t>
  </si>
  <si>
    <t>Accessories</t>
  </si>
  <si>
    <t>Chairs</t>
  </si>
  <si>
    <t>Phones</t>
  </si>
  <si>
    <t>Copiers</t>
  </si>
  <si>
    <t>Tables</t>
  </si>
  <si>
    <t>Binders</t>
  </si>
  <si>
    <t>Supplies</t>
  </si>
  <si>
    <t>Appliances</t>
  </si>
  <si>
    <t>Machines</t>
  </si>
  <si>
    <t>Bookcases</t>
  </si>
  <si>
    <t>Storage</t>
  </si>
  <si>
    <t>Furnishings</t>
  </si>
  <si>
    <t>Order Type</t>
  </si>
  <si>
    <t>Total Sales:</t>
  </si>
  <si>
    <t>Sales&gt;1000:</t>
  </si>
  <si>
    <t>Average Profit:</t>
  </si>
  <si>
    <r>
      <t xml:space="preserve">COUNTIF Analysis: Used </t>
    </r>
    <r>
      <rPr>
        <b/>
        <sz val="12"/>
        <color theme="1"/>
        <rFont val="Arial Unicode MS"/>
      </rPr>
      <t>=COUNTIF(I2:I1000, "&gt;1000")</t>
    </r>
    <r>
      <rPr>
        <b/>
        <sz val="12"/>
        <color theme="1"/>
        <rFont val="Aptos Narrow"/>
        <family val="2"/>
        <scheme val="minor"/>
      </rPr>
      <t xml:space="preserve"> and found exactly 634 high-value orders above 1000 sales.</t>
    </r>
  </si>
  <si>
    <r>
      <t xml:space="preserve">SUMIF Revenue: Applied </t>
    </r>
    <r>
      <rPr>
        <b/>
        <sz val="12"/>
        <color theme="1"/>
        <rFont val="Arial Unicode MS"/>
      </rPr>
      <t>=SUMIF(M2:M1000, "High", I2:I1000)</t>
    </r>
    <r>
      <rPr>
        <b/>
        <sz val="12"/>
        <color theme="1"/>
        <rFont val="Aptos Narrow"/>
        <family val="2"/>
        <scheme val="minor"/>
      </rPr>
      <t xml:space="preserve"> to find the total revenue for the high priority group, which is 607,070.02.</t>
    </r>
  </si>
  <si>
    <r>
      <t xml:space="preserve">AVERAGEIF Profit: Used </t>
    </r>
    <r>
      <rPr>
        <b/>
        <sz val="12"/>
        <color theme="1"/>
        <rFont val="Arial Unicode MS"/>
      </rPr>
      <t>=AVERAGEIF(M2:M1000, "High", L2:L1000)</t>
    </r>
    <r>
      <rPr>
        <b/>
        <sz val="12"/>
        <color theme="1"/>
        <rFont val="Aptos Narrow"/>
        <family val="2"/>
        <scheme val="minor"/>
      </rPr>
      <t xml:space="preserve"> and calculated the exact average profit per order as 324.58.</t>
    </r>
  </si>
  <si>
    <r>
      <t xml:space="preserve">IF Automation: Applied </t>
    </r>
    <r>
      <rPr>
        <b/>
        <sz val="12"/>
        <color theme="1"/>
        <rFont val="Arial Unicode MS"/>
      </rPr>
      <t>=IF(J2:J1000&gt;5, "Bulk Order", "Normal Order")</t>
    </r>
    <r>
      <rPr>
        <b/>
        <sz val="12"/>
        <color theme="1"/>
        <rFont val="Aptos Narrow"/>
        <family val="2"/>
        <scheme val="minor"/>
      </rPr>
      <t xml:space="preserve"> to check the entire range and classify rows into Bulk or Normal orders based on quantity.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</si>
</sst>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2"/>
      <color theme="8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2"/>
      <color theme="1"/>
      <name val="Arial Unicode MS"/>
    </font>
    <font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  <xf numFmtId="0" fontId="16" fillId="3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22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9" fontId="16" fillId="0" borderId="0" xfId="42" applyFont="1" applyAlignment="1">
      <alignment horizontal="center" vertical="center"/>
    </xf>
    <xf numFmtId="0" fontId="19" fillId="0" borderId="0" xfId="0" applyFont="1"/>
    <xf numFmtId="0" fontId="20" fillId="0" borderId="0" xfId="0" applyFont="1"/>
    <xf numFmtId="164" fontId="21" fillId="0" borderId="0" xfId="0" applyNumberFormat="1" applyFont="1"/>
    <xf numFmtId="0" fontId="21" fillId="0" borderId="0" xfId="0" applyFont="1"/>
    <xf numFmtId="0" fontId="16" fillId="34" borderId="0" xfId="0" applyFont="1" applyFill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2" fontId="24" fillId="0" borderId="0" xfId="0" applyNumberFormat="1" applyFont="1"/>
    <xf numFmtId="0" fontId="2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topLeftCell="D1"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2653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s="1">
        <v>41929</v>
      </c>
      <c r="C2" s="1">
        <v>41930</v>
      </c>
      <c r="D2" t="s">
        <v>13</v>
      </c>
      <c r="E2" t="s">
        <v>14</v>
      </c>
      <c r="F2" t="s">
        <v>15</v>
      </c>
      <c r="G2" t="s">
        <v>16</v>
      </c>
      <c r="H2" t="s">
        <v>2654</v>
      </c>
      <c r="I2">
        <v>5175.1710000000003</v>
      </c>
      <c r="J2">
        <v>9</v>
      </c>
      <c r="K2">
        <v>0.1</v>
      </c>
      <c r="L2">
        <v>919.97099999999898</v>
      </c>
      <c r="M2" t="s">
        <v>17</v>
      </c>
    </row>
    <row r="3" spans="1:13">
      <c r="A3" t="s">
        <v>18</v>
      </c>
      <c r="B3" s="1">
        <v>41667</v>
      </c>
      <c r="C3" s="1">
        <v>41669</v>
      </c>
      <c r="D3" t="s">
        <v>19</v>
      </c>
      <c r="E3" t="s">
        <v>20</v>
      </c>
      <c r="G3" t="s">
        <v>16</v>
      </c>
      <c r="H3" t="s">
        <v>2655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21</v>
      </c>
      <c r="F4" t="s">
        <v>22</v>
      </c>
      <c r="G4" t="s">
        <v>16</v>
      </c>
      <c r="H4" t="s">
        <v>2656</v>
      </c>
      <c r="I4">
        <v>2832.96</v>
      </c>
      <c r="J4">
        <v>8</v>
      </c>
      <c r="K4">
        <v>0</v>
      </c>
      <c r="L4">
        <v>311.52</v>
      </c>
      <c r="M4" t="s">
        <v>23</v>
      </c>
    </row>
    <row r="5" spans="1:13">
      <c r="A5" t="s">
        <v>24</v>
      </c>
      <c r="B5" s="1">
        <v>41818</v>
      </c>
      <c r="C5" s="1">
        <v>41821</v>
      </c>
      <c r="D5" t="s">
        <v>25</v>
      </c>
      <c r="E5" t="s">
        <v>14</v>
      </c>
      <c r="F5" t="s">
        <v>15</v>
      </c>
      <c r="G5" t="s">
        <v>16</v>
      </c>
      <c r="H5" t="s">
        <v>2656</v>
      </c>
      <c r="I5">
        <v>2862.6750000000002</v>
      </c>
      <c r="J5">
        <v>5</v>
      </c>
      <c r="K5">
        <v>0.1</v>
      </c>
      <c r="L5">
        <v>763.27499999999998</v>
      </c>
      <c r="M5" t="s">
        <v>23</v>
      </c>
    </row>
    <row r="6" spans="1:13">
      <c r="B6" s="1">
        <v>41219</v>
      </c>
      <c r="C6" s="1">
        <v>41221</v>
      </c>
      <c r="D6" t="s">
        <v>26</v>
      </c>
      <c r="E6" t="s">
        <v>27</v>
      </c>
      <c r="F6" t="s">
        <v>15</v>
      </c>
      <c r="G6" t="s">
        <v>28</v>
      </c>
      <c r="H6" t="s">
        <v>2657</v>
      </c>
      <c r="I6">
        <v>1822.0799999999899</v>
      </c>
      <c r="J6">
        <v>4</v>
      </c>
      <c r="K6">
        <v>0</v>
      </c>
      <c r="L6">
        <v>564.84</v>
      </c>
      <c r="M6" t="s">
        <v>23</v>
      </c>
    </row>
    <row r="7" spans="1:13">
      <c r="A7" t="s">
        <v>29</v>
      </c>
      <c r="D7" t="s">
        <v>30</v>
      </c>
      <c r="E7" t="s">
        <v>27</v>
      </c>
      <c r="F7" t="s">
        <v>15</v>
      </c>
      <c r="G7" t="s">
        <v>28</v>
      </c>
      <c r="H7" t="s">
        <v>2656</v>
      </c>
      <c r="I7">
        <v>5244.84</v>
      </c>
      <c r="J7" t="s">
        <v>31</v>
      </c>
      <c r="K7">
        <v>0</v>
      </c>
      <c r="L7">
        <v>996.479999999999</v>
      </c>
      <c r="M7" t="s">
        <v>32</v>
      </c>
    </row>
    <row r="8" spans="1:13">
      <c r="A8" t="s">
        <v>33</v>
      </c>
      <c r="B8" s="1">
        <v>41954</v>
      </c>
      <c r="C8" s="1">
        <v>41956</v>
      </c>
      <c r="D8" t="s">
        <v>34</v>
      </c>
      <c r="E8" t="s">
        <v>35</v>
      </c>
      <c r="F8" t="s">
        <v>36</v>
      </c>
      <c r="G8" t="s">
        <v>28</v>
      </c>
      <c r="H8" t="s">
        <v>2655</v>
      </c>
      <c r="I8">
        <v>341.96</v>
      </c>
      <c r="J8">
        <v>2</v>
      </c>
      <c r="K8">
        <v>0</v>
      </c>
      <c r="L8">
        <v>54.7135999999999</v>
      </c>
      <c r="M8" t="s">
        <v>32</v>
      </c>
    </row>
    <row r="9" spans="1:13">
      <c r="A9" t="s">
        <v>37</v>
      </c>
      <c r="B9" s="1">
        <v>40974</v>
      </c>
      <c r="C9" s="1">
        <v>40975</v>
      </c>
      <c r="D9" t="s">
        <v>34</v>
      </c>
      <c r="E9" t="s">
        <v>35</v>
      </c>
      <c r="F9" t="s">
        <v>38</v>
      </c>
      <c r="G9" t="s">
        <v>28</v>
      </c>
      <c r="H9" t="s">
        <v>2658</v>
      </c>
      <c r="I9">
        <v>48.712000000000003</v>
      </c>
      <c r="J9">
        <v>1</v>
      </c>
      <c r="L9">
        <v>5.4800999999999904</v>
      </c>
      <c r="M9" t="s">
        <v>32</v>
      </c>
    </row>
    <row r="10" spans="1:13">
      <c r="A10" t="s">
        <v>37</v>
      </c>
      <c r="B10" s="1">
        <v>40974</v>
      </c>
      <c r="C10" s="1">
        <v>40975</v>
      </c>
      <c r="D10" t="s">
        <v>34</v>
      </c>
      <c r="F10" t="s">
        <v>38</v>
      </c>
      <c r="G10" t="s">
        <v>39</v>
      </c>
      <c r="H10" t="s">
        <v>2659</v>
      </c>
      <c r="I10" t="s">
        <v>40</v>
      </c>
      <c r="J10">
        <v>3</v>
      </c>
      <c r="K10">
        <v>0</v>
      </c>
      <c r="L10">
        <v>26.647123533229099</v>
      </c>
      <c r="M10" t="s">
        <v>32</v>
      </c>
    </row>
    <row r="11" spans="1:13">
      <c r="A11" t="s">
        <v>41</v>
      </c>
      <c r="B11" s="1">
        <v>41383</v>
      </c>
      <c r="C11" t="s">
        <v>42</v>
      </c>
      <c r="D11" t="s">
        <v>43</v>
      </c>
      <c r="E11" t="s">
        <v>44</v>
      </c>
      <c r="F11" t="s">
        <v>45</v>
      </c>
      <c r="G11" t="s">
        <v>28</v>
      </c>
      <c r="H11" t="s">
        <v>2658</v>
      </c>
      <c r="I11">
        <v>4626.1499999999996</v>
      </c>
      <c r="J11">
        <v>5</v>
      </c>
      <c r="K11">
        <v>0</v>
      </c>
      <c r="M11" t="s">
        <v>32</v>
      </c>
    </row>
    <row r="12" spans="1:13">
      <c r="A12" t="s">
        <v>46</v>
      </c>
      <c r="B12" s="1">
        <v>41269</v>
      </c>
      <c r="D12" t="s">
        <v>47</v>
      </c>
      <c r="E12" t="s">
        <v>48</v>
      </c>
      <c r="F12" t="s">
        <v>49</v>
      </c>
      <c r="G12" t="s">
        <v>16</v>
      </c>
      <c r="H12" t="s">
        <v>2660</v>
      </c>
      <c r="I12">
        <v>2616.96</v>
      </c>
      <c r="J12">
        <v>4</v>
      </c>
      <c r="K12">
        <v>0</v>
      </c>
      <c r="L12">
        <v>1151.4000000000001</v>
      </c>
      <c r="M12" t="s">
        <v>23</v>
      </c>
    </row>
    <row r="13" spans="1:13">
      <c r="A13" t="s">
        <v>50</v>
      </c>
      <c r="B13" s="1">
        <v>41591</v>
      </c>
      <c r="C13" s="1">
        <v>41591</v>
      </c>
      <c r="D13" t="s">
        <v>51</v>
      </c>
      <c r="E13" t="s">
        <v>52</v>
      </c>
      <c r="F13" t="s">
        <v>53</v>
      </c>
      <c r="G13" t="s">
        <v>28</v>
      </c>
      <c r="H13" t="s">
        <v>2658</v>
      </c>
      <c r="I13" t="s">
        <v>54</v>
      </c>
      <c r="J13" t="s">
        <v>55</v>
      </c>
      <c r="K13">
        <v>0</v>
      </c>
      <c r="L13">
        <v>622.02</v>
      </c>
      <c r="M13" t="s">
        <v>23</v>
      </c>
    </row>
    <row r="14" spans="1:13">
      <c r="A14" t="s">
        <v>56</v>
      </c>
      <c r="B14" s="1">
        <v>41796</v>
      </c>
      <c r="C14" s="1">
        <v>41798</v>
      </c>
      <c r="D14" t="s">
        <v>57</v>
      </c>
      <c r="E14" t="s">
        <v>58</v>
      </c>
      <c r="F14" t="s">
        <v>59</v>
      </c>
      <c r="G14" t="s">
        <v>39</v>
      </c>
      <c r="H14" t="s">
        <v>2656</v>
      </c>
      <c r="I14">
        <v>3701.51999999999</v>
      </c>
      <c r="J14">
        <v>12</v>
      </c>
      <c r="K14">
        <v>0</v>
      </c>
      <c r="L14">
        <v>1036.08</v>
      </c>
      <c r="M14" t="s">
        <v>23</v>
      </c>
    </row>
    <row r="15" spans="1:13">
      <c r="A15" t="s">
        <v>60</v>
      </c>
      <c r="B15" s="1">
        <v>42216</v>
      </c>
      <c r="C15" s="1">
        <v>42219</v>
      </c>
      <c r="D15" t="s">
        <v>61</v>
      </c>
      <c r="E15" t="s">
        <v>62</v>
      </c>
      <c r="F15" t="s">
        <v>63</v>
      </c>
      <c r="G15" t="s">
        <v>39</v>
      </c>
      <c r="H15" t="s">
        <v>2655</v>
      </c>
      <c r="I15">
        <v>1869.58799999999</v>
      </c>
      <c r="J15">
        <v>4</v>
      </c>
      <c r="K15">
        <v>0.1</v>
      </c>
      <c r="M15" t="s">
        <v>23</v>
      </c>
    </row>
    <row r="16" spans="1:13">
      <c r="A16" t="s">
        <v>64</v>
      </c>
      <c r="B16" s="1">
        <v>40958</v>
      </c>
      <c r="C16" s="1">
        <v>40964</v>
      </c>
      <c r="D16" t="s">
        <v>34</v>
      </c>
      <c r="E16" t="s">
        <v>35</v>
      </c>
      <c r="F16" t="s">
        <v>36</v>
      </c>
      <c r="G16" t="s">
        <v>39</v>
      </c>
      <c r="H16" t="s">
        <v>2661</v>
      </c>
      <c r="I16">
        <v>12.624000000000001</v>
      </c>
      <c r="J16">
        <v>2</v>
      </c>
      <c r="K16">
        <v>0.2</v>
      </c>
      <c r="L16">
        <v>-2.5247999999999999</v>
      </c>
      <c r="M16" t="s">
        <v>65</v>
      </c>
    </row>
    <row r="17" spans="1:13">
      <c r="A17" t="s">
        <v>66</v>
      </c>
      <c r="B17" s="1">
        <v>42255</v>
      </c>
      <c r="C17" s="1">
        <v>42261</v>
      </c>
      <c r="E17" t="s">
        <v>67</v>
      </c>
      <c r="F17" t="s">
        <v>68</v>
      </c>
      <c r="G17" t="s">
        <v>39</v>
      </c>
      <c r="H17" t="s">
        <v>2661</v>
      </c>
      <c r="I17" t="s">
        <v>69</v>
      </c>
      <c r="J17">
        <v>14</v>
      </c>
      <c r="K17">
        <v>0</v>
      </c>
      <c r="L17">
        <v>3979.0799999999899</v>
      </c>
      <c r="M17" t="s">
        <v>65</v>
      </c>
    </row>
    <row r="18" spans="1:13">
      <c r="A18" t="s">
        <v>70</v>
      </c>
      <c r="B18" s="1">
        <v>42035</v>
      </c>
      <c r="C18" s="1">
        <v>42036</v>
      </c>
      <c r="D18" t="s">
        <v>71</v>
      </c>
      <c r="E18" t="s">
        <v>14</v>
      </c>
      <c r="F18" t="s">
        <v>15</v>
      </c>
      <c r="H18" t="s">
        <v>2654</v>
      </c>
      <c r="I18">
        <v>2565.5940000000001</v>
      </c>
      <c r="J18">
        <v>9</v>
      </c>
      <c r="M18" t="s">
        <v>23</v>
      </c>
    </row>
    <row r="19" spans="1:13">
      <c r="A19" t="s">
        <v>72</v>
      </c>
      <c r="B19" s="1">
        <v>42343</v>
      </c>
      <c r="C19" s="1">
        <v>42345</v>
      </c>
      <c r="D19" t="s">
        <v>73</v>
      </c>
      <c r="E19" t="s">
        <v>74</v>
      </c>
      <c r="F19" t="s">
        <v>75</v>
      </c>
      <c r="G19" t="s">
        <v>39</v>
      </c>
      <c r="H19" t="s">
        <v>2661</v>
      </c>
      <c r="I19">
        <v>3409.74</v>
      </c>
      <c r="J19">
        <v>6</v>
      </c>
      <c r="K19">
        <v>0</v>
      </c>
      <c r="L19">
        <v>818.28</v>
      </c>
      <c r="M19" t="s">
        <v>32</v>
      </c>
    </row>
    <row r="20" spans="1:13">
      <c r="A20" t="s">
        <v>76</v>
      </c>
      <c r="B20" s="1">
        <v>41494</v>
      </c>
      <c r="C20" s="1">
        <v>41496</v>
      </c>
      <c r="D20" t="s">
        <v>77</v>
      </c>
      <c r="F20" t="s">
        <v>78</v>
      </c>
      <c r="G20" t="s">
        <v>28</v>
      </c>
      <c r="H20" t="s">
        <v>2657</v>
      </c>
      <c r="I20">
        <v>1977.71999999999</v>
      </c>
      <c r="J20">
        <v>4</v>
      </c>
      <c r="K20">
        <v>0</v>
      </c>
      <c r="L20">
        <v>276.83999999999997</v>
      </c>
      <c r="M20" t="s">
        <v>23</v>
      </c>
    </row>
    <row r="21" spans="1:13">
      <c r="A21" t="s">
        <v>37</v>
      </c>
      <c r="B21" s="1">
        <v>40974</v>
      </c>
      <c r="C21" s="1">
        <v>40975</v>
      </c>
      <c r="D21" t="s">
        <v>34</v>
      </c>
      <c r="E21" t="s">
        <v>35</v>
      </c>
      <c r="F21" t="s">
        <v>38</v>
      </c>
      <c r="G21" t="s">
        <v>39</v>
      </c>
      <c r="H21" t="s">
        <v>2661</v>
      </c>
      <c r="I21">
        <v>242.94</v>
      </c>
      <c r="J21">
        <v>3</v>
      </c>
      <c r="K21">
        <v>0</v>
      </c>
      <c r="L21">
        <v>4.8588000000000102</v>
      </c>
      <c r="M21" t="s">
        <v>32</v>
      </c>
    </row>
    <row r="22" spans="1:13">
      <c r="A22" t="s">
        <v>79</v>
      </c>
      <c r="B22" s="1">
        <v>41030</v>
      </c>
      <c r="C22" s="1">
        <v>41031</v>
      </c>
      <c r="D22" t="s">
        <v>80</v>
      </c>
      <c r="E22" t="s">
        <v>58</v>
      </c>
      <c r="F22" t="s">
        <v>81</v>
      </c>
      <c r="G22" t="s">
        <v>28</v>
      </c>
      <c r="H22" t="s">
        <v>2658</v>
      </c>
      <c r="I22">
        <v>2753.99999999999</v>
      </c>
      <c r="J22">
        <v>6</v>
      </c>
      <c r="K22">
        <v>0</v>
      </c>
      <c r="L22">
        <v>358.02</v>
      </c>
      <c r="M22" t="s">
        <v>23</v>
      </c>
    </row>
    <row r="23" spans="1:13">
      <c r="A23" t="s">
        <v>82</v>
      </c>
      <c r="B23" s="1">
        <v>41697</v>
      </c>
      <c r="C23" s="1">
        <v>41699</v>
      </c>
      <c r="D23" t="s">
        <v>83</v>
      </c>
      <c r="E23" t="s">
        <v>84</v>
      </c>
      <c r="F23" t="s">
        <v>85</v>
      </c>
      <c r="G23" t="s">
        <v>39</v>
      </c>
      <c r="H23" t="s">
        <v>2656</v>
      </c>
      <c r="I23">
        <v>5273.7</v>
      </c>
      <c r="J23">
        <v>10</v>
      </c>
      <c r="L23">
        <v>1898.4</v>
      </c>
      <c r="M23" t="s">
        <v>32</v>
      </c>
    </row>
    <row r="24" spans="1:13">
      <c r="A24" t="s">
        <v>86</v>
      </c>
      <c r="B24" s="1">
        <v>42216</v>
      </c>
      <c r="C24" s="1">
        <v>42217</v>
      </c>
      <c r="D24" t="s">
        <v>87</v>
      </c>
      <c r="E24" t="s">
        <v>88</v>
      </c>
      <c r="F24" t="s">
        <v>89</v>
      </c>
      <c r="G24" t="s">
        <v>16</v>
      </c>
      <c r="H24" t="s">
        <v>2655</v>
      </c>
      <c r="I24">
        <v>1713.84</v>
      </c>
      <c r="J24">
        <v>4</v>
      </c>
      <c r="K24">
        <v>0</v>
      </c>
      <c r="L24">
        <v>445.52</v>
      </c>
      <c r="M24" t="s">
        <v>23</v>
      </c>
    </row>
    <row r="25" spans="1:13">
      <c r="A25" t="s">
        <v>90</v>
      </c>
      <c r="B25" s="1">
        <v>42252</v>
      </c>
      <c r="C25" s="1">
        <v>42255</v>
      </c>
      <c r="D25" t="s">
        <v>91</v>
      </c>
      <c r="E25" t="s">
        <v>92</v>
      </c>
      <c r="F25" t="s">
        <v>89</v>
      </c>
      <c r="G25" t="s">
        <v>28</v>
      </c>
      <c r="H25" t="s">
        <v>2661</v>
      </c>
      <c r="I25">
        <v>2106.4960000000001</v>
      </c>
      <c r="J25">
        <v>8</v>
      </c>
      <c r="K25">
        <v>0.2</v>
      </c>
      <c r="L25">
        <v>526.49599999999998</v>
      </c>
      <c r="M25" t="s">
        <v>23</v>
      </c>
    </row>
    <row r="26" spans="1:13">
      <c r="A26" t="s">
        <v>93</v>
      </c>
      <c r="B26" s="1">
        <v>41259</v>
      </c>
      <c r="C26" s="1">
        <v>41262</v>
      </c>
      <c r="D26" t="s">
        <v>94</v>
      </c>
      <c r="E26" t="s">
        <v>95</v>
      </c>
      <c r="F26" t="s">
        <v>81</v>
      </c>
      <c r="G26" t="s">
        <v>28</v>
      </c>
      <c r="H26" t="s">
        <v>2656</v>
      </c>
      <c r="I26">
        <v>1715.1599999999901</v>
      </c>
      <c r="K26">
        <v>0</v>
      </c>
      <c r="L26">
        <v>720.36</v>
      </c>
      <c r="M26" t="s">
        <v>23</v>
      </c>
    </row>
    <row r="27" spans="1:13">
      <c r="A27" t="s">
        <v>96</v>
      </c>
      <c r="C27" s="1">
        <v>40984</v>
      </c>
      <c r="D27" t="s">
        <v>97</v>
      </c>
      <c r="E27" t="s">
        <v>20</v>
      </c>
      <c r="F27" t="s">
        <v>98</v>
      </c>
      <c r="G27" t="s">
        <v>99</v>
      </c>
      <c r="H27" t="s">
        <v>2658</v>
      </c>
      <c r="I27">
        <v>3069.7379999999998</v>
      </c>
      <c r="J27">
        <v>6</v>
      </c>
      <c r="K27">
        <v>0.1</v>
      </c>
      <c r="L27">
        <v>1364.2379999999901</v>
      </c>
      <c r="M27" t="s">
        <v>23</v>
      </c>
    </row>
    <row r="28" spans="1:13">
      <c r="A28" t="s">
        <v>100</v>
      </c>
      <c r="B28" s="1">
        <v>41020</v>
      </c>
      <c r="C28" s="1">
        <v>41022</v>
      </c>
      <c r="D28" t="s">
        <v>101</v>
      </c>
      <c r="E28" t="s">
        <v>35</v>
      </c>
      <c r="F28" t="s">
        <v>102</v>
      </c>
      <c r="G28" t="s">
        <v>39</v>
      </c>
      <c r="H28" t="s">
        <v>2658</v>
      </c>
      <c r="I28">
        <v>247.84</v>
      </c>
      <c r="J28">
        <v>8</v>
      </c>
      <c r="K28">
        <v>0</v>
      </c>
      <c r="L28">
        <v>121.44159999999999</v>
      </c>
      <c r="M28" t="s">
        <v>23</v>
      </c>
    </row>
    <row r="29" spans="1:13">
      <c r="A29" t="s">
        <v>103</v>
      </c>
      <c r="B29" s="1">
        <v>41329</v>
      </c>
      <c r="C29" s="1">
        <v>41329</v>
      </c>
      <c r="D29" t="s">
        <v>104</v>
      </c>
      <c r="E29" t="s">
        <v>105</v>
      </c>
      <c r="F29" t="s">
        <v>106</v>
      </c>
      <c r="G29" t="s">
        <v>28</v>
      </c>
      <c r="H29" t="s">
        <v>2661</v>
      </c>
      <c r="I29">
        <v>1878.71999999999</v>
      </c>
      <c r="J29">
        <v>4</v>
      </c>
      <c r="L29">
        <v>582.36</v>
      </c>
      <c r="M29" t="s">
        <v>23</v>
      </c>
    </row>
    <row r="30" spans="1:13">
      <c r="A30" t="s">
        <v>107</v>
      </c>
      <c r="B30" s="1">
        <v>41270</v>
      </c>
      <c r="C30" t="s">
        <v>108</v>
      </c>
      <c r="D30" t="s">
        <v>109</v>
      </c>
      <c r="E30" t="s">
        <v>110</v>
      </c>
      <c r="F30" t="s">
        <v>111</v>
      </c>
      <c r="G30" t="s">
        <v>16</v>
      </c>
      <c r="H30" t="s">
        <v>2656</v>
      </c>
      <c r="I30">
        <v>1696.64</v>
      </c>
      <c r="J30">
        <v>5</v>
      </c>
      <c r="L30">
        <v>-148.46</v>
      </c>
      <c r="M30" t="s">
        <v>23</v>
      </c>
    </row>
    <row r="31" spans="1:13">
      <c r="A31" t="s">
        <v>112</v>
      </c>
      <c r="B31" s="1">
        <v>41472</v>
      </c>
      <c r="C31" s="1">
        <v>41474</v>
      </c>
      <c r="D31" t="s">
        <v>113</v>
      </c>
      <c r="E31" t="s">
        <v>62</v>
      </c>
      <c r="F31" t="s">
        <v>63</v>
      </c>
      <c r="G31" t="s">
        <v>16</v>
      </c>
      <c r="H31" t="s">
        <v>2655</v>
      </c>
      <c r="I31">
        <v>2402.8649999999998</v>
      </c>
      <c r="J31">
        <v>9</v>
      </c>
      <c r="K31">
        <v>0.15</v>
      </c>
      <c r="L31">
        <v>763.15499999999997</v>
      </c>
      <c r="M31" t="s">
        <v>23</v>
      </c>
    </row>
    <row r="32" spans="1:13">
      <c r="A32" t="s">
        <v>114</v>
      </c>
      <c r="B32" s="1">
        <v>41635</v>
      </c>
      <c r="C32" s="1">
        <v>41639</v>
      </c>
      <c r="D32" t="s">
        <v>101</v>
      </c>
      <c r="E32" t="s">
        <v>35</v>
      </c>
      <c r="F32" t="s">
        <v>38</v>
      </c>
      <c r="G32" t="s">
        <v>16</v>
      </c>
      <c r="H32" t="s">
        <v>2656</v>
      </c>
      <c r="I32">
        <v>668.16</v>
      </c>
      <c r="J32">
        <v>9</v>
      </c>
      <c r="K32">
        <v>0.2</v>
      </c>
      <c r="L32">
        <v>75.167999999999907</v>
      </c>
      <c r="M32" t="s">
        <v>17</v>
      </c>
    </row>
    <row r="33" spans="1:13">
      <c r="A33" t="s">
        <v>115</v>
      </c>
      <c r="B33" t="s">
        <v>116</v>
      </c>
      <c r="C33" s="1">
        <v>41217</v>
      </c>
      <c r="D33" t="s">
        <v>117</v>
      </c>
      <c r="E33" t="s">
        <v>14</v>
      </c>
      <c r="F33" t="s">
        <v>15</v>
      </c>
      <c r="G33" t="s">
        <v>39</v>
      </c>
      <c r="H33" t="s">
        <v>2662</v>
      </c>
      <c r="I33">
        <v>2526.9299999999998</v>
      </c>
      <c r="J33">
        <v>5</v>
      </c>
      <c r="K33">
        <v>0.1</v>
      </c>
      <c r="L33">
        <v>561.48</v>
      </c>
      <c r="M33" t="s">
        <v>23</v>
      </c>
    </row>
    <row r="34" spans="1:13">
      <c r="A34" t="s">
        <v>118</v>
      </c>
      <c r="B34" s="1">
        <v>41635</v>
      </c>
      <c r="C34" s="1">
        <v>41639</v>
      </c>
      <c r="D34" t="s">
        <v>101</v>
      </c>
      <c r="E34" t="s">
        <v>35</v>
      </c>
      <c r="F34" t="s">
        <v>38</v>
      </c>
      <c r="G34" t="s">
        <v>39</v>
      </c>
      <c r="H34" t="s">
        <v>2655</v>
      </c>
      <c r="I34">
        <v>323.10000000000002</v>
      </c>
      <c r="J34">
        <v>2</v>
      </c>
      <c r="K34">
        <v>0</v>
      </c>
      <c r="L34">
        <v>61.389000000000003</v>
      </c>
      <c r="M34" t="s">
        <v>17</v>
      </c>
    </row>
    <row r="35" spans="1:13">
      <c r="A35" t="s">
        <v>119</v>
      </c>
      <c r="B35" s="1">
        <v>41165</v>
      </c>
      <c r="C35" s="1">
        <v>41166</v>
      </c>
      <c r="D35" t="s">
        <v>101</v>
      </c>
      <c r="E35" t="s">
        <v>120</v>
      </c>
      <c r="F35" t="s">
        <v>121</v>
      </c>
      <c r="G35" t="s">
        <v>122</v>
      </c>
      <c r="H35" t="s">
        <v>2661</v>
      </c>
      <c r="I35">
        <v>3817.26</v>
      </c>
      <c r="J35">
        <v>6</v>
      </c>
      <c r="K35">
        <v>0</v>
      </c>
      <c r="L35">
        <v>1068.6599999999901</v>
      </c>
      <c r="M35" t="s">
        <v>32</v>
      </c>
    </row>
    <row r="36" spans="1:13">
      <c r="A36" t="s">
        <v>123</v>
      </c>
      <c r="B36" s="1">
        <v>41041</v>
      </c>
      <c r="C36" t="s">
        <v>124</v>
      </c>
      <c r="D36" t="s">
        <v>101</v>
      </c>
      <c r="E36" t="s">
        <v>35</v>
      </c>
      <c r="F36" t="s">
        <v>38</v>
      </c>
      <c r="G36" t="s">
        <v>28</v>
      </c>
      <c r="H36" t="s">
        <v>2658</v>
      </c>
      <c r="I36">
        <v>279.45600000000002</v>
      </c>
      <c r="J36">
        <v>6</v>
      </c>
      <c r="K36">
        <v>0.2</v>
      </c>
      <c r="L36">
        <v>20.9591999999999</v>
      </c>
      <c r="M36" t="s">
        <v>17</v>
      </c>
    </row>
    <row r="37" spans="1:13">
      <c r="A37" t="s">
        <v>125</v>
      </c>
      <c r="B37" s="1">
        <v>41273</v>
      </c>
      <c r="C37" s="1">
        <v>41274</v>
      </c>
      <c r="E37" t="s">
        <v>35</v>
      </c>
      <c r="F37" t="s">
        <v>102</v>
      </c>
      <c r="G37" t="s">
        <v>16</v>
      </c>
      <c r="H37" t="s">
        <v>2656</v>
      </c>
      <c r="I37">
        <v>34.769999999999897</v>
      </c>
      <c r="J37">
        <v>3</v>
      </c>
      <c r="K37">
        <v>0</v>
      </c>
      <c r="L37">
        <v>11.4740999999999</v>
      </c>
      <c r="M37" t="s">
        <v>32</v>
      </c>
    </row>
    <row r="38" spans="1:13">
      <c r="A38" t="s">
        <v>126</v>
      </c>
      <c r="B38" s="1">
        <v>42018</v>
      </c>
      <c r="C38" s="1">
        <v>42022</v>
      </c>
      <c r="E38" t="s">
        <v>84</v>
      </c>
      <c r="F38" t="s">
        <v>85</v>
      </c>
      <c r="G38" t="s">
        <v>16</v>
      </c>
      <c r="H38" t="s">
        <v>2662</v>
      </c>
      <c r="I38">
        <v>4141.0200000000004</v>
      </c>
      <c r="J38">
        <v>13</v>
      </c>
      <c r="K38">
        <v>0</v>
      </c>
      <c r="L38">
        <v>1697.67</v>
      </c>
      <c r="M38" t="s">
        <v>32</v>
      </c>
    </row>
    <row r="39" spans="1:13">
      <c r="A39" t="s">
        <v>127</v>
      </c>
      <c r="B39" s="1">
        <v>40918</v>
      </c>
      <c r="C39" s="1">
        <v>41214</v>
      </c>
      <c r="D39" t="s">
        <v>128</v>
      </c>
      <c r="E39" t="s">
        <v>14</v>
      </c>
      <c r="F39" t="s">
        <v>15</v>
      </c>
      <c r="G39" t="s">
        <v>16</v>
      </c>
      <c r="H39" t="s">
        <v>2662</v>
      </c>
      <c r="I39">
        <v>2875.0949999999998</v>
      </c>
      <c r="J39">
        <v>5</v>
      </c>
      <c r="K39">
        <v>0.1</v>
      </c>
      <c r="L39">
        <v>511.094999999999</v>
      </c>
      <c r="M39" t="s">
        <v>17</v>
      </c>
    </row>
    <row r="40" spans="1:13">
      <c r="A40" t="s">
        <v>129</v>
      </c>
      <c r="B40" s="1">
        <v>41873</v>
      </c>
      <c r="C40" s="1">
        <v>41877</v>
      </c>
      <c r="D40" t="s">
        <v>130</v>
      </c>
      <c r="E40" t="s">
        <v>131</v>
      </c>
      <c r="F40" t="s">
        <v>132</v>
      </c>
      <c r="G40" t="s">
        <v>16</v>
      </c>
      <c r="H40" t="s">
        <v>2657</v>
      </c>
      <c r="I40">
        <v>3200.5962</v>
      </c>
      <c r="J40">
        <v>6</v>
      </c>
      <c r="K40">
        <v>0.17</v>
      </c>
      <c r="L40">
        <v>-77.203799999999802</v>
      </c>
      <c r="M40" t="s">
        <v>32</v>
      </c>
    </row>
    <row r="41" spans="1:13">
      <c r="A41" t="s">
        <v>133</v>
      </c>
      <c r="B41" s="1">
        <v>42319</v>
      </c>
      <c r="C41" s="1">
        <v>42323</v>
      </c>
      <c r="D41" t="s">
        <v>134</v>
      </c>
      <c r="E41" t="s">
        <v>105</v>
      </c>
      <c r="F41" t="s">
        <v>106</v>
      </c>
      <c r="G41" t="s">
        <v>16</v>
      </c>
      <c r="H41" t="s">
        <v>2656</v>
      </c>
      <c r="I41">
        <v>4518.78</v>
      </c>
      <c r="J41">
        <v>7</v>
      </c>
      <c r="K41">
        <v>0</v>
      </c>
      <c r="L41">
        <v>632.52</v>
      </c>
      <c r="M41" t="s">
        <v>32</v>
      </c>
    </row>
    <row r="42" spans="1:13">
      <c r="A42" t="s">
        <v>135</v>
      </c>
      <c r="B42" s="1">
        <v>42273</v>
      </c>
      <c r="C42" s="1">
        <v>42275</v>
      </c>
      <c r="D42" t="s">
        <v>136</v>
      </c>
      <c r="E42" t="s">
        <v>105</v>
      </c>
      <c r="F42" t="s">
        <v>106</v>
      </c>
      <c r="G42" t="s">
        <v>28</v>
      </c>
      <c r="H42" t="s">
        <v>2656</v>
      </c>
      <c r="I42">
        <v>5667.87</v>
      </c>
      <c r="J42">
        <v>13</v>
      </c>
      <c r="K42">
        <v>0</v>
      </c>
      <c r="L42">
        <v>2097.0300000000002</v>
      </c>
      <c r="M42" t="s">
        <v>17</v>
      </c>
    </row>
    <row r="43" spans="1:13">
      <c r="A43" t="s">
        <v>137</v>
      </c>
      <c r="B43" s="1">
        <v>41621</v>
      </c>
      <c r="C43" s="1">
        <v>41625</v>
      </c>
      <c r="D43" t="s">
        <v>138</v>
      </c>
      <c r="E43" t="s">
        <v>84</v>
      </c>
      <c r="F43" t="s">
        <v>85</v>
      </c>
      <c r="G43" t="s">
        <v>16</v>
      </c>
      <c r="H43" t="s">
        <v>2656</v>
      </c>
      <c r="I43">
        <v>5785.0199999999904</v>
      </c>
      <c r="J43">
        <v>9</v>
      </c>
      <c r="K43">
        <v>0</v>
      </c>
      <c r="L43">
        <v>404.73</v>
      </c>
      <c r="M43" t="s">
        <v>32</v>
      </c>
    </row>
    <row r="44" spans="1:13">
      <c r="A44" t="s">
        <v>139</v>
      </c>
      <c r="B44" s="1">
        <v>41174</v>
      </c>
      <c r="C44" s="1">
        <v>41176</v>
      </c>
      <c r="D44" t="s">
        <v>140</v>
      </c>
      <c r="E44" t="s">
        <v>20</v>
      </c>
      <c r="F44" t="s">
        <v>63</v>
      </c>
      <c r="G44" t="s">
        <v>39</v>
      </c>
      <c r="H44" t="s">
        <v>2663</v>
      </c>
      <c r="I44">
        <v>3018.6239999999998</v>
      </c>
      <c r="J44">
        <v>7</v>
      </c>
      <c r="K44">
        <v>0.2</v>
      </c>
      <c r="L44">
        <v>377.24399999999901</v>
      </c>
      <c r="M44" t="s">
        <v>23</v>
      </c>
    </row>
    <row r="45" spans="1:13">
      <c r="A45" t="s">
        <v>141</v>
      </c>
      <c r="B45" s="1">
        <v>41719</v>
      </c>
      <c r="C45" s="1">
        <v>41724</v>
      </c>
      <c r="E45" t="s">
        <v>35</v>
      </c>
      <c r="F45" t="s">
        <v>142</v>
      </c>
      <c r="G45" t="s">
        <v>28</v>
      </c>
      <c r="H45" t="s">
        <v>2656</v>
      </c>
      <c r="I45">
        <v>86.45</v>
      </c>
      <c r="J45">
        <v>7</v>
      </c>
      <c r="K45">
        <v>0</v>
      </c>
      <c r="M45" t="s">
        <v>17</v>
      </c>
    </row>
    <row r="46" spans="1:13">
      <c r="A46" t="s">
        <v>143</v>
      </c>
      <c r="B46" s="1">
        <v>41706</v>
      </c>
      <c r="C46" s="1">
        <v>41854</v>
      </c>
      <c r="D46" t="s">
        <v>144</v>
      </c>
      <c r="E46" t="s">
        <v>62</v>
      </c>
      <c r="F46" t="s">
        <v>63</v>
      </c>
      <c r="G46" t="s">
        <v>28</v>
      </c>
      <c r="H46" t="s">
        <v>2661</v>
      </c>
      <c r="I46">
        <v>2092.49999999999</v>
      </c>
      <c r="J46">
        <v>5</v>
      </c>
      <c r="K46">
        <v>0.1</v>
      </c>
      <c r="L46">
        <v>720.74999999999898</v>
      </c>
      <c r="M46" t="s">
        <v>23</v>
      </c>
    </row>
    <row r="47" spans="1:13">
      <c r="A47" t="s">
        <v>145</v>
      </c>
      <c r="B47" s="1">
        <v>42244</v>
      </c>
      <c r="C47" s="1">
        <v>42245</v>
      </c>
      <c r="D47" t="s">
        <v>146</v>
      </c>
      <c r="E47" t="s">
        <v>58</v>
      </c>
      <c r="F47" t="s">
        <v>81</v>
      </c>
      <c r="G47" t="s">
        <v>28</v>
      </c>
      <c r="H47" t="s">
        <v>2659</v>
      </c>
      <c r="I47">
        <v>2761.2</v>
      </c>
      <c r="J47">
        <v>6</v>
      </c>
      <c r="K47">
        <v>0</v>
      </c>
      <c r="L47">
        <v>110.34</v>
      </c>
      <c r="M47" t="s">
        <v>32</v>
      </c>
    </row>
    <row r="48" spans="1:13">
      <c r="A48" t="s">
        <v>147</v>
      </c>
      <c r="B48" s="1">
        <v>42125</v>
      </c>
      <c r="C48" s="1">
        <v>42125</v>
      </c>
      <c r="D48" t="s">
        <v>148</v>
      </c>
      <c r="E48" t="s">
        <v>105</v>
      </c>
      <c r="F48" t="s">
        <v>106</v>
      </c>
      <c r="G48" t="s">
        <v>16</v>
      </c>
      <c r="H48" t="s">
        <v>2655</v>
      </c>
      <c r="I48">
        <v>2174.13</v>
      </c>
      <c r="J48">
        <v>7</v>
      </c>
      <c r="L48">
        <v>500.00999999999902</v>
      </c>
      <c r="M48" t="s">
        <v>23</v>
      </c>
    </row>
    <row r="49" spans="1:13">
      <c r="A49" t="s">
        <v>149</v>
      </c>
      <c r="B49" t="s">
        <v>116</v>
      </c>
      <c r="C49" s="1">
        <v>42358</v>
      </c>
      <c r="D49" t="s">
        <v>150</v>
      </c>
      <c r="E49" t="s">
        <v>151</v>
      </c>
      <c r="F49" t="s">
        <v>53</v>
      </c>
      <c r="G49" t="s">
        <v>28</v>
      </c>
      <c r="H49" t="s">
        <v>2655</v>
      </c>
      <c r="I49" t="s">
        <v>152</v>
      </c>
      <c r="J49">
        <v>11</v>
      </c>
      <c r="K49">
        <v>0</v>
      </c>
      <c r="L49">
        <v>868.12</v>
      </c>
      <c r="M49" t="s">
        <v>32</v>
      </c>
    </row>
    <row r="50" spans="1:13">
      <c r="A50" t="s">
        <v>153</v>
      </c>
      <c r="B50" s="1">
        <v>41206</v>
      </c>
      <c r="C50" s="1">
        <v>41209</v>
      </c>
      <c r="D50" t="s">
        <v>101</v>
      </c>
      <c r="E50" t="s">
        <v>35</v>
      </c>
      <c r="F50" t="s">
        <v>38</v>
      </c>
      <c r="G50" t="s">
        <v>154</v>
      </c>
      <c r="H50" t="s">
        <v>2662</v>
      </c>
      <c r="I50">
        <v>49.408000000000001</v>
      </c>
      <c r="J50">
        <v>4</v>
      </c>
      <c r="K50">
        <v>0.2</v>
      </c>
      <c r="M50" t="s">
        <v>32</v>
      </c>
    </row>
    <row r="51" spans="1:13">
      <c r="A51" t="s">
        <v>155</v>
      </c>
      <c r="B51" s="1">
        <v>42265</v>
      </c>
      <c r="C51" s="1">
        <v>42268</v>
      </c>
      <c r="D51" t="s">
        <v>156</v>
      </c>
      <c r="E51" t="s">
        <v>157</v>
      </c>
      <c r="F51" t="s">
        <v>158</v>
      </c>
      <c r="G51" t="s">
        <v>16</v>
      </c>
      <c r="H51" t="s">
        <v>2655</v>
      </c>
      <c r="I51">
        <v>2108.64</v>
      </c>
      <c r="J51">
        <v>8</v>
      </c>
      <c r="K51">
        <v>0</v>
      </c>
      <c r="L51">
        <v>527.04</v>
      </c>
      <c r="M51" t="s">
        <v>23</v>
      </c>
    </row>
    <row r="52" spans="1:13">
      <c r="A52" t="s">
        <v>125</v>
      </c>
      <c r="B52" s="1">
        <v>41273</v>
      </c>
      <c r="C52" s="1">
        <v>41274</v>
      </c>
      <c r="D52" t="s">
        <v>101</v>
      </c>
      <c r="E52" t="s">
        <v>35</v>
      </c>
      <c r="F52" t="s">
        <v>102</v>
      </c>
      <c r="G52" t="s">
        <v>39</v>
      </c>
      <c r="H52" t="s">
        <v>2659</v>
      </c>
      <c r="J52">
        <v>3</v>
      </c>
      <c r="K52">
        <v>0</v>
      </c>
      <c r="L52">
        <v>8.6939999999999902</v>
      </c>
      <c r="M52" t="s">
        <v>32</v>
      </c>
    </row>
    <row r="53" spans="1:13">
      <c r="A53" t="s">
        <v>93</v>
      </c>
      <c r="B53" t="s">
        <v>159</v>
      </c>
      <c r="C53" s="1">
        <v>41262</v>
      </c>
      <c r="D53" t="s">
        <v>94</v>
      </c>
      <c r="E53" t="s">
        <v>95</v>
      </c>
      <c r="F53" t="s">
        <v>81</v>
      </c>
      <c r="G53" t="s">
        <v>28</v>
      </c>
      <c r="H53" t="s">
        <v>2657</v>
      </c>
      <c r="J53">
        <v>5</v>
      </c>
      <c r="K53">
        <v>0</v>
      </c>
      <c r="M53" t="s">
        <v>23</v>
      </c>
    </row>
    <row r="54" spans="1:13">
      <c r="A54" t="s">
        <v>160</v>
      </c>
      <c r="B54" s="1">
        <v>41991</v>
      </c>
      <c r="C54" s="1">
        <v>41991</v>
      </c>
      <c r="D54" t="s">
        <v>161</v>
      </c>
      <c r="E54" t="s">
        <v>162</v>
      </c>
      <c r="F54" t="s">
        <v>75</v>
      </c>
      <c r="G54" t="s">
        <v>16</v>
      </c>
      <c r="H54" t="s">
        <v>2657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163</v>
      </c>
      <c r="B55" s="1">
        <v>41424</v>
      </c>
      <c r="C55" s="1">
        <v>41425</v>
      </c>
      <c r="D55" t="s">
        <v>164</v>
      </c>
      <c r="E55" t="s">
        <v>105</v>
      </c>
      <c r="F55" t="s">
        <v>106</v>
      </c>
      <c r="G55" t="s">
        <v>16</v>
      </c>
      <c r="H55" t="s">
        <v>2663</v>
      </c>
      <c r="I55">
        <v>1526.52</v>
      </c>
      <c r="J55">
        <v>4</v>
      </c>
      <c r="K55">
        <v>0</v>
      </c>
      <c r="L55">
        <v>732.72</v>
      </c>
      <c r="M55" t="s">
        <v>23</v>
      </c>
    </row>
    <row r="56" spans="1:13">
      <c r="A56" t="s">
        <v>100</v>
      </c>
      <c r="B56" s="1">
        <v>41020</v>
      </c>
      <c r="C56" s="1">
        <v>41022</v>
      </c>
      <c r="D56" t="s">
        <v>101</v>
      </c>
      <c r="E56" t="s">
        <v>35</v>
      </c>
      <c r="F56" t="s">
        <v>165</v>
      </c>
      <c r="H56" t="s">
        <v>2656</v>
      </c>
      <c r="I56">
        <v>9.9120000000000008</v>
      </c>
      <c r="J56">
        <v>3</v>
      </c>
      <c r="K56">
        <v>0.2</v>
      </c>
      <c r="M56" t="s">
        <v>23</v>
      </c>
    </row>
    <row r="57" spans="1:13">
      <c r="A57" t="s">
        <v>166</v>
      </c>
      <c r="B57" s="1">
        <v>41419</v>
      </c>
      <c r="C57" s="1">
        <v>41422</v>
      </c>
      <c r="D57" t="s">
        <v>167</v>
      </c>
      <c r="E57" t="s">
        <v>105</v>
      </c>
      <c r="F57" t="s">
        <v>106</v>
      </c>
      <c r="G57" t="s">
        <v>168</v>
      </c>
      <c r="H57" t="s">
        <v>2657</v>
      </c>
      <c r="I57">
        <v>1745.34</v>
      </c>
      <c r="J57">
        <v>2</v>
      </c>
      <c r="K57">
        <v>0</v>
      </c>
      <c r="L57">
        <v>226.86</v>
      </c>
      <c r="M57" t="s">
        <v>23</v>
      </c>
    </row>
    <row r="58" spans="1:13">
      <c r="A58" t="s">
        <v>169</v>
      </c>
      <c r="B58" s="1">
        <v>42221</v>
      </c>
      <c r="C58" s="1">
        <v>42222</v>
      </c>
      <c r="D58" t="s">
        <v>170</v>
      </c>
      <c r="E58" t="s">
        <v>14</v>
      </c>
      <c r="F58" t="s">
        <v>15</v>
      </c>
      <c r="G58" t="s">
        <v>39</v>
      </c>
      <c r="H58" t="s">
        <v>2657</v>
      </c>
      <c r="I58">
        <v>4191.5069999999996</v>
      </c>
      <c r="J58">
        <v>9</v>
      </c>
      <c r="K58">
        <v>0.1</v>
      </c>
      <c r="L58">
        <v>1164.26699999999</v>
      </c>
      <c r="M58" t="s">
        <v>32</v>
      </c>
    </row>
    <row r="59" spans="1:13">
      <c r="A59" t="s">
        <v>123</v>
      </c>
      <c r="B59" s="1">
        <v>41041</v>
      </c>
      <c r="C59" s="1">
        <v>41047</v>
      </c>
      <c r="D59" t="s">
        <v>101</v>
      </c>
      <c r="E59" t="s">
        <v>35</v>
      </c>
      <c r="F59" t="s">
        <v>38</v>
      </c>
      <c r="G59" t="s">
        <v>154</v>
      </c>
      <c r="H59" t="s">
        <v>2658</v>
      </c>
      <c r="I59">
        <v>8</v>
      </c>
      <c r="J59">
        <v>2</v>
      </c>
      <c r="L59">
        <v>3.84</v>
      </c>
      <c r="M59" t="s">
        <v>17</v>
      </c>
    </row>
    <row r="60" spans="1:13">
      <c r="A60" t="s">
        <v>171</v>
      </c>
      <c r="B60" s="1">
        <v>42074</v>
      </c>
      <c r="D60" t="s">
        <v>172</v>
      </c>
      <c r="E60" t="s">
        <v>173</v>
      </c>
      <c r="F60" t="s">
        <v>106</v>
      </c>
      <c r="G60" t="s">
        <v>174</v>
      </c>
      <c r="H60" t="s">
        <v>2661</v>
      </c>
      <c r="I60">
        <v>3063.27</v>
      </c>
      <c r="J60">
        <v>7</v>
      </c>
      <c r="K60">
        <v>0</v>
      </c>
      <c r="L60">
        <v>581.91</v>
      </c>
      <c r="M60" t="s">
        <v>32</v>
      </c>
    </row>
    <row r="61" spans="1:13">
      <c r="A61" t="s">
        <v>175</v>
      </c>
      <c r="B61" s="1">
        <v>42357</v>
      </c>
      <c r="C61" s="1">
        <v>42361</v>
      </c>
      <c r="D61" t="s">
        <v>101</v>
      </c>
      <c r="E61" t="s">
        <v>35</v>
      </c>
      <c r="F61" t="s">
        <v>102</v>
      </c>
      <c r="G61" t="s">
        <v>39</v>
      </c>
      <c r="H61" t="s">
        <v>2656</v>
      </c>
      <c r="I61">
        <v>18.704000000000001</v>
      </c>
      <c r="J61">
        <v>7</v>
      </c>
      <c r="K61">
        <v>0.2</v>
      </c>
      <c r="L61">
        <v>2.3379999999999899</v>
      </c>
      <c r="M61" t="s">
        <v>17</v>
      </c>
    </row>
    <row r="62" spans="1:13">
      <c r="A62" t="s">
        <v>176</v>
      </c>
      <c r="B62" s="1">
        <v>42227</v>
      </c>
      <c r="C62" s="1">
        <v>42232</v>
      </c>
      <c r="D62" t="s">
        <v>177</v>
      </c>
      <c r="E62" t="s">
        <v>20</v>
      </c>
      <c r="F62" t="s">
        <v>63</v>
      </c>
      <c r="G62" t="s">
        <v>16</v>
      </c>
      <c r="H62" t="s">
        <v>2663</v>
      </c>
      <c r="I62">
        <v>4473</v>
      </c>
      <c r="J62">
        <v>7</v>
      </c>
      <c r="K62">
        <v>0</v>
      </c>
      <c r="L62">
        <v>313.11</v>
      </c>
      <c r="M62" t="s">
        <v>17</v>
      </c>
    </row>
    <row r="63" spans="1:13">
      <c r="A63" t="s">
        <v>178</v>
      </c>
      <c r="B63" s="1">
        <v>41882</v>
      </c>
      <c r="C63" s="1">
        <v>41885</v>
      </c>
      <c r="D63" t="s">
        <v>179</v>
      </c>
      <c r="E63" t="s">
        <v>20</v>
      </c>
      <c r="F63" t="s">
        <v>63</v>
      </c>
      <c r="G63" t="s">
        <v>16</v>
      </c>
      <c r="H63" t="s">
        <v>2662</v>
      </c>
      <c r="I63">
        <v>1502.01</v>
      </c>
      <c r="J63">
        <v>9</v>
      </c>
      <c r="K63">
        <v>0</v>
      </c>
      <c r="L63">
        <v>225.18</v>
      </c>
      <c r="M63" t="s">
        <v>23</v>
      </c>
    </row>
    <row r="64" spans="1:13">
      <c r="A64" t="s">
        <v>180</v>
      </c>
      <c r="B64" s="1">
        <v>42022</v>
      </c>
      <c r="C64" s="1">
        <v>42027</v>
      </c>
      <c r="D64" t="s">
        <v>181</v>
      </c>
      <c r="E64" t="s">
        <v>58</v>
      </c>
      <c r="F64" t="s">
        <v>81</v>
      </c>
      <c r="G64" t="s">
        <v>28</v>
      </c>
      <c r="H64" t="s">
        <v>2656</v>
      </c>
      <c r="I64">
        <v>5048.99999999999</v>
      </c>
      <c r="J64">
        <v>11</v>
      </c>
      <c r="K64">
        <v>0</v>
      </c>
      <c r="L64">
        <v>3799.5593480469101</v>
      </c>
      <c r="M64" t="s">
        <v>32</v>
      </c>
    </row>
    <row r="65" spans="1:13">
      <c r="A65" t="s">
        <v>182</v>
      </c>
      <c r="B65" s="1">
        <v>42007</v>
      </c>
      <c r="D65" t="s">
        <v>183</v>
      </c>
      <c r="E65" t="s">
        <v>35</v>
      </c>
      <c r="F65" t="s">
        <v>142</v>
      </c>
      <c r="G65" t="s">
        <v>16</v>
      </c>
      <c r="H65" t="s">
        <v>2656</v>
      </c>
      <c r="I65">
        <v>695.7</v>
      </c>
      <c r="L65">
        <v>-27.8279999999999</v>
      </c>
      <c r="M65" t="s">
        <v>32</v>
      </c>
    </row>
    <row r="66" spans="1:13">
      <c r="A66" t="s">
        <v>184</v>
      </c>
      <c r="B66" s="1">
        <v>42345</v>
      </c>
      <c r="C66" s="1">
        <v>42228</v>
      </c>
      <c r="D66" t="s">
        <v>185</v>
      </c>
      <c r="E66" t="s">
        <v>186</v>
      </c>
      <c r="F66" t="s">
        <v>68</v>
      </c>
      <c r="G66" t="s">
        <v>28</v>
      </c>
      <c r="H66" t="s">
        <v>2655</v>
      </c>
      <c r="I66">
        <v>2188.0500000000002</v>
      </c>
      <c r="J66">
        <v>5</v>
      </c>
      <c r="K66">
        <v>0</v>
      </c>
      <c r="L66">
        <v>1050.1500000000001</v>
      </c>
      <c r="M66" t="s">
        <v>32</v>
      </c>
    </row>
    <row r="67" spans="1:13">
      <c r="A67" t="s">
        <v>187</v>
      </c>
      <c r="C67" s="1">
        <v>42357</v>
      </c>
      <c r="D67" t="s">
        <v>188</v>
      </c>
      <c r="E67" t="s">
        <v>105</v>
      </c>
      <c r="F67" t="s">
        <v>106</v>
      </c>
      <c r="G67" t="s">
        <v>28</v>
      </c>
      <c r="H67" t="s">
        <v>2661</v>
      </c>
      <c r="I67">
        <v>1920.36</v>
      </c>
      <c r="J67">
        <v>4</v>
      </c>
      <c r="K67">
        <v>0</v>
      </c>
      <c r="L67">
        <v>652.91999999999996</v>
      </c>
      <c r="M67" t="s">
        <v>23</v>
      </c>
    </row>
    <row r="68" spans="1:13">
      <c r="A68" t="s">
        <v>189</v>
      </c>
      <c r="B68" s="1">
        <v>42328</v>
      </c>
      <c r="C68" s="1">
        <v>42328</v>
      </c>
      <c r="D68" t="s">
        <v>190</v>
      </c>
      <c r="E68" t="s">
        <v>88</v>
      </c>
      <c r="F68" t="s">
        <v>89</v>
      </c>
      <c r="G68" t="s">
        <v>16</v>
      </c>
      <c r="H68" t="s">
        <v>2663</v>
      </c>
      <c r="I68">
        <v>1704</v>
      </c>
      <c r="J68">
        <v>4</v>
      </c>
      <c r="K68">
        <v>0</v>
      </c>
      <c r="L68">
        <v>119.28</v>
      </c>
      <c r="M68" t="s">
        <v>23</v>
      </c>
    </row>
    <row r="69" spans="1:13">
      <c r="A69" t="s">
        <v>191</v>
      </c>
      <c r="B69" s="1">
        <v>41221</v>
      </c>
      <c r="C69" s="1">
        <v>41223</v>
      </c>
      <c r="D69" t="s">
        <v>192</v>
      </c>
      <c r="E69" t="s">
        <v>193</v>
      </c>
      <c r="F69" t="s">
        <v>194</v>
      </c>
      <c r="G69" t="s">
        <v>28</v>
      </c>
      <c r="H69" t="s">
        <v>2658</v>
      </c>
      <c r="I69">
        <v>1858.68</v>
      </c>
      <c r="J69">
        <v>4</v>
      </c>
      <c r="K69">
        <v>0</v>
      </c>
      <c r="M69" t="s">
        <v>23</v>
      </c>
    </row>
    <row r="70" spans="1:13">
      <c r="A70" t="s">
        <v>195</v>
      </c>
      <c r="B70" s="1">
        <v>41826</v>
      </c>
      <c r="C70" s="1">
        <v>41799</v>
      </c>
      <c r="D70" t="s">
        <v>196</v>
      </c>
      <c r="E70" t="s">
        <v>197</v>
      </c>
      <c r="F70" t="s">
        <v>81</v>
      </c>
      <c r="G70" t="s">
        <v>28</v>
      </c>
      <c r="H70" t="s">
        <v>2656</v>
      </c>
      <c r="I70">
        <v>3298.2599999999902</v>
      </c>
      <c r="J70">
        <v>7</v>
      </c>
      <c r="K70">
        <v>0</v>
      </c>
      <c r="L70">
        <v>1055.25</v>
      </c>
      <c r="M70" t="s">
        <v>32</v>
      </c>
    </row>
    <row r="71" spans="1:13">
      <c r="A71" t="s">
        <v>198</v>
      </c>
      <c r="B71" s="1">
        <v>41234</v>
      </c>
      <c r="C71" s="1">
        <v>41235</v>
      </c>
      <c r="D71" t="s">
        <v>199</v>
      </c>
      <c r="E71" t="s">
        <v>200</v>
      </c>
      <c r="F71" t="s">
        <v>89</v>
      </c>
      <c r="G71" t="s">
        <v>39</v>
      </c>
      <c r="H71" t="s">
        <v>2658</v>
      </c>
      <c r="I71">
        <v>2443.48</v>
      </c>
      <c r="J71">
        <v>13</v>
      </c>
      <c r="K71">
        <v>0</v>
      </c>
      <c r="L71" t="s">
        <v>201</v>
      </c>
      <c r="M71" t="s">
        <v>17</v>
      </c>
    </row>
    <row r="72" spans="1:13">
      <c r="A72" t="s">
        <v>202</v>
      </c>
      <c r="B72" s="1">
        <v>41727</v>
      </c>
      <c r="C72" s="1">
        <v>41729</v>
      </c>
      <c r="D72" t="s">
        <v>203</v>
      </c>
      <c r="E72" t="s">
        <v>120</v>
      </c>
      <c r="F72" t="s">
        <v>121</v>
      </c>
      <c r="G72" t="s">
        <v>28</v>
      </c>
      <c r="H72" t="s">
        <v>2655</v>
      </c>
      <c r="J72">
        <v>8</v>
      </c>
      <c r="K72">
        <v>0</v>
      </c>
      <c r="L72">
        <v>1523.52</v>
      </c>
      <c r="M72" t="s">
        <v>32</v>
      </c>
    </row>
    <row r="73" spans="1:13">
      <c r="A73" t="s">
        <v>204</v>
      </c>
      <c r="B73" s="1">
        <v>42242</v>
      </c>
      <c r="C73" s="1">
        <v>42243</v>
      </c>
      <c r="D73" t="s">
        <v>205</v>
      </c>
      <c r="E73" t="s">
        <v>131</v>
      </c>
      <c r="F73" t="s">
        <v>132</v>
      </c>
      <c r="G73" t="s">
        <v>28</v>
      </c>
      <c r="H73" t="s">
        <v>2661</v>
      </c>
      <c r="I73">
        <v>3427.1495999999902</v>
      </c>
      <c r="J73">
        <v>7</v>
      </c>
      <c r="L73">
        <v>-452.81039999999899</v>
      </c>
      <c r="M73" t="s">
        <v>32</v>
      </c>
    </row>
    <row r="74" spans="1:13">
      <c r="A74" t="s">
        <v>206</v>
      </c>
      <c r="B74" s="1">
        <v>41537</v>
      </c>
      <c r="C74" s="1">
        <v>41539</v>
      </c>
      <c r="D74" t="s">
        <v>207</v>
      </c>
      <c r="E74" t="s">
        <v>84</v>
      </c>
      <c r="G74" t="s">
        <v>16</v>
      </c>
      <c r="H74" t="s">
        <v>2655</v>
      </c>
      <c r="I74">
        <v>3441.69</v>
      </c>
      <c r="K74">
        <v>0.1</v>
      </c>
      <c r="L74">
        <v>38.069999999999901</v>
      </c>
      <c r="M74" t="s">
        <v>32</v>
      </c>
    </row>
    <row r="75" spans="1:13">
      <c r="A75" t="s">
        <v>208</v>
      </c>
      <c r="B75" s="1">
        <v>42140</v>
      </c>
      <c r="C75" s="1">
        <v>42142</v>
      </c>
      <c r="D75" t="s">
        <v>150</v>
      </c>
      <c r="E75" t="s">
        <v>14</v>
      </c>
      <c r="F75" t="s">
        <v>15</v>
      </c>
      <c r="G75" t="s">
        <v>16</v>
      </c>
      <c r="H75" t="s">
        <v>2658</v>
      </c>
      <c r="I75">
        <v>2863.35</v>
      </c>
      <c r="J75">
        <v>5</v>
      </c>
      <c r="K75">
        <v>0.1</v>
      </c>
      <c r="L75">
        <v>858.9</v>
      </c>
      <c r="M75" t="s">
        <v>209</v>
      </c>
    </row>
    <row r="76" spans="1:13">
      <c r="B76" s="1">
        <v>42218</v>
      </c>
      <c r="C76" s="1">
        <v>42224</v>
      </c>
      <c r="D76" t="s">
        <v>183</v>
      </c>
      <c r="E76" t="s">
        <v>35</v>
      </c>
      <c r="F76" t="s">
        <v>36</v>
      </c>
      <c r="G76" t="s">
        <v>16</v>
      </c>
      <c r="H76" t="s">
        <v>2656</v>
      </c>
      <c r="J76">
        <v>3</v>
      </c>
      <c r="K76">
        <v>0.4</v>
      </c>
      <c r="L76">
        <v>-263.99669999999998</v>
      </c>
      <c r="M76" t="s">
        <v>17</v>
      </c>
    </row>
    <row r="77" spans="1:13">
      <c r="A77" t="s">
        <v>210</v>
      </c>
      <c r="B77" s="1">
        <v>41967</v>
      </c>
      <c r="C77" s="1">
        <v>41968</v>
      </c>
      <c r="D77" t="s">
        <v>211</v>
      </c>
      <c r="F77" t="s">
        <v>63</v>
      </c>
      <c r="G77" t="s">
        <v>212</v>
      </c>
      <c r="H77" t="s">
        <v>2656</v>
      </c>
      <c r="I77">
        <v>1487.4</v>
      </c>
      <c r="J77">
        <v>10</v>
      </c>
      <c r="K77">
        <v>0</v>
      </c>
      <c r="L77">
        <v>728.7</v>
      </c>
      <c r="M77" t="s">
        <v>23</v>
      </c>
    </row>
    <row r="78" spans="1:13">
      <c r="A78" t="s">
        <v>213</v>
      </c>
      <c r="B78" s="1">
        <v>41221</v>
      </c>
      <c r="C78" s="1">
        <v>41223</v>
      </c>
      <c r="D78" t="s">
        <v>214</v>
      </c>
      <c r="E78" t="s">
        <v>58</v>
      </c>
      <c r="F78" t="s">
        <v>81</v>
      </c>
      <c r="G78" t="s">
        <v>16</v>
      </c>
      <c r="H78" t="s">
        <v>2659</v>
      </c>
      <c r="I78">
        <v>3200.04</v>
      </c>
      <c r="J78">
        <v>9</v>
      </c>
      <c r="K78" t="s">
        <v>215</v>
      </c>
      <c r="L78">
        <v>1183.95</v>
      </c>
      <c r="M78" t="s">
        <v>216</v>
      </c>
    </row>
    <row r="79" spans="1:13">
      <c r="A79" t="s">
        <v>217</v>
      </c>
      <c r="B79" s="1">
        <v>41209</v>
      </c>
      <c r="C79" s="1">
        <v>41209</v>
      </c>
      <c r="D79" t="s">
        <v>218</v>
      </c>
      <c r="E79" t="s">
        <v>105</v>
      </c>
      <c r="F79" t="s">
        <v>106</v>
      </c>
      <c r="H79" t="s">
        <v>2657</v>
      </c>
      <c r="I79">
        <v>2300.99999999999</v>
      </c>
      <c r="J79">
        <v>5</v>
      </c>
      <c r="K79">
        <v>0</v>
      </c>
      <c r="L79">
        <v>91.95</v>
      </c>
      <c r="M79" t="s">
        <v>23</v>
      </c>
    </row>
    <row r="80" spans="1:13">
      <c r="B80" s="1">
        <v>42327</v>
      </c>
      <c r="C80" s="1">
        <v>42331</v>
      </c>
      <c r="D80" t="s">
        <v>219</v>
      </c>
      <c r="E80" t="s">
        <v>62</v>
      </c>
      <c r="F80" t="s">
        <v>63</v>
      </c>
      <c r="G80" t="s">
        <v>28</v>
      </c>
      <c r="H80" t="s">
        <v>2657</v>
      </c>
      <c r="I80">
        <v>5729.3459999999905</v>
      </c>
      <c r="J80">
        <v>14</v>
      </c>
      <c r="K80">
        <v>0.1</v>
      </c>
      <c r="L80">
        <v>63.546000000000099</v>
      </c>
      <c r="M80" t="s">
        <v>32</v>
      </c>
    </row>
    <row r="81" spans="1:13">
      <c r="A81" t="s">
        <v>220</v>
      </c>
      <c r="B81" s="1">
        <v>42305</v>
      </c>
      <c r="C81" s="1">
        <v>42307</v>
      </c>
      <c r="D81" t="s">
        <v>117</v>
      </c>
      <c r="E81" t="s">
        <v>221</v>
      </c>
      <c r="F81" t="s">
        <v>222</v>
      </c>
      <c r="G81" t="s">
        <v>16</v>
      </c>
      <c r="H81" t="s">
        <v>2655</v>
      </c>
      <c r="I81">
        <v>5301.24</v>
      </c>
      <c r="J81">
        <v>14</v>
      </c>
      <c r="K81">
        <v>0</v>
      </c>
      <c r="L81">
        <v>2597.2800000000002</v>
      </c>
      <c r="M81" t="s">
        <v>17</v>
      </c>
    </row>
    <row r="82" spans="1:13">
      <c r="B82" s="1">
        <v>41908</v>
      </c>
      <c r="C82" s="1">
        <v>41910</v>
      </c>
      <c r="D82" t="s">
        <v>183</v>
      </c>
      <c r="E82" t="s">
        <v>35</v>
      </c>
      <c r="F82" t="s">
        <v>38</v>
      </c>
      <c r="G82" t="s">
        <v>28</v>
      </c>
      <c r="H82" t="s">
        <v>2655</v>
      </c>
      <c r="I82">
        <v>477.666</v>
      </c>
      <c r="J82">
        <v>2</v>
      </c>
      <c r="K82">
        <v>0.15</v>
      </c>
      <c r="L82">
        <v>84.293999999999897</v>
      </c>
      <c r="M82" t="s">
        <v>23</v>
      </c>
    </row>
    <row r="83" spans="1:13">
      <c r="A83" t="s">
        <v>223</v>
      </c>
      <c r="B83" s="1">
        <v>42252</v>
      </c>
      <c r="C83" s="1">
        <v>42253</v>
      </c>
      <c r="D83" t="s">
        <v>224</v>
      </c>
      <c r="E83" t="s">
        <v>35</v>
      </c>
      <c r="F83" t="s">
        <v>38</v>
      </c>
      <c r="G83" t="s">
        <v>39</v>
      </c>
      <c r="H83" t="s">
        <v>2657</v>
      </c>
      <c r="I83">
        <v>88.073999999999998</v>
      </c>
      <c r="J83">
        <v>7</v>
      </c>
      <c r="K83">
        <v>0.7</v>
      </c>
      <c r="L83">
        <v>-58.715999999999902</v>
      </c>
      <c r="M83" t="s">
        <v>32</v>
      </c>
    </row>
    <row r="84" spans="1:13">
      <c r="B84" s="1">
        <v>41668</v>
      </c>
      <c r="C84" s="1">
        <v>41675</v>
      </c>
      <c r="D84" t="s">
        <v>130</v>
      </c>
      <c r="E84" t="s">
        <v>20</v>
      </c>
      <c r="F84" t="s">
        <v>63</v>
      </c>
      <c r="G84" t="s">
        <v>16</v>
      </c>
      <c r="H84" t="s">
        <v>2659</v>
      </c>
      <c r="I84">
        <v>3219.9</v>
      </c>
      <c r="J84">
        <v>5</v>
      </c>
      <c r="L84">
        <v>965.85</v>
      </c>
      <c r="M84" t="s">
        <v>65</v>
      </c>
    </row>
    <row r="85" spans="1:13">
      <c r="A85" t="s">
        <v>225</v>
      </c>
      <c r="B85" s="1">
        <v>41535</v>
      </c>
      <c r="C85" s="1">
        <v>41538</v>
      </c>
      <c r="D85" t="s">
        <v>226</v>
      </c>
      <c r="E85" t="s">
        <v>131</v>
      </c>
      <c r="F85" t="s">
        <v>132</v>
      </c>
      <c r="G85" t="s">
        <v>39</v>
      </c>
      <c r="H85" t="s">
        <v>2655</v>
      </c>
      <c r="I85">
        <v>2487.8087999999998</v>
      </c>
      <c r="K85">
        <v>0.17</v>
      </c>
      <c r="L85">
        <v>-269.7912</v>
      </c>
      <c r="M85" t="s">
        <v>23</v>
      </c>
    </row>
    <row r="86" spans="1:13">
      <c r="A86" t="s">
        <v>227</v>
      </c>
      <c r="B86" s="1">
        <v>41966</v>
      </c>
      <c r="C86" s="1">
        <v>41966</v>
      </c>
      <c r="D86" t="s">
        <v>228</v>
      </c>
      <c r="E86" t="s">
        <v>221</v>
      </c>
      <c r="F86" t="s">
        <v>222</v>
      </c>
      <c r="G86" t="s">
        <v>39</v>
      </c>
      <c r="H86" t="s">
        <v>2656</v>
      </c>
      <c r="I86">
        <v>2266.44</v>
      </c>
      <c r="J86">
        <v>4</v>
      </c>
      <c r="K86">
        <v>0</v>
      </c>
      <c r="L86">
        <v>113.28</v>
      </c>
      <c r="M86" t="s">
        <v>17</v>
      </c>
    </row>
    <row r="87" spans="1:13">
      <c r="B87" s="1">
        <v>41438</v>
      </c>
      <c r="C87" s="1">
        <v>41438</v>
      </c>
      <c r="D87" t="s">
        <v>229</v>
      </c>
      <c r="E87" t="s">
        <v>14</v>
      </c>
      <c r="F87" t="s">
        <v>15</v>
      </c>
      <c r="G87" t="s">
        <v>16</v>
      </c>
      <c r="H87" t="s">
        <v>2661</v>
      </c>
      <c r="I87">
        <v>3068.3609999999999</v>
      </c>
      <c r="K87">
        <v>0.1</v>
      </c>
      <c r="L87">
        <v>1124.9009999999901</v>
      </c>
      <c r="M87" t="s">
        <v>32</v>
      </c>
    </row>
    <row r="88" spans="1:13">
      <c r="A88" t="s">
        <v>230</v>
      </c>
      <c r="B88" s="1">
        <v>41940</v>
      </c>
      <c r="C88" s="1">
        <v>41943</v>
      </c>
      <c r="D88" t="s">
        <v>231</v>
      </c>
      <c r="E88" t="s">
        <v>173</v>
      </c>
      <c r="F88" t="s">
        <v>106</v>
      </c>
      <c r="G88" t="s">
        <v>28</v>
      </c>
      <c r="H88" t="s">
        <v>2661</v>
      </c>
      <c r="I88">
        <v>3728.4299999999898</v>
      </c>
      <c r="J88">
        <v>9</v>
      </c>
      <c r="K88">
        <v>0</v>
      </c>
      <c r="L88">
        <v>1192.8599999999999</v>
      </c>
      <c r="M88" t="s">
        <v>17</v>
      </c>
    </row>
    <row r="89" spans="1:13">
      <c r="B89" s="1">
        <v>41985</v>
      </c>
      <c r="C89" s="1">
        <v>41987</v>
      </c>
      <c r="E89" t="s">
        <v>58</v>
      </c>
      <c r="F89" t="s">
        <v>81</v>
      </c>
      <c r="G89" t="s">
        <v>16</v>
      </c>
      <c r="H89" t="s">
        <v>2657</v>
      </c>
      <c r="I89">
        <v>1581.48</v>
      </c>
      <c r="K89">
        <v>0</v>
      </c>
      <c r="L89">
        <v>0</v>
      </c>
      <c r="M89" t="s">
        <v>32</v>
      </c>
    </row>
    <row r="90" spans="1:13">
      <c r="A90" t="s">
        <v>232</v>
      </c>
      <c r="B90" s="1">
        <v>41419</v>
      </c>
      <c r="C90" s="1">
        <v>41422</v>
      </c>
      <c r="D90" t="s">
        <v>167</v>
      </c>
      <c r="E90" t="s">
        <v>105</v>
      </c>
      <c r="F90" t="s">
        <v>106</v>
      </c>
      <c r="G90" t="s">
        <v>16</v>
      </c>
      <c r="H90" t="s">
        <v>2663</v>
      </c>
      <c r="I90">
        <v>1916.73</v>
      </c>
      <c r="J90">
        <v>3</v>
      </c>
      <c r="K90">
        <v>0</v>
      </c>
      <c r="L90">
        <v>498.32999999999902</v>
      </c>
      <c r="M90" t="s">
        <v>23</v>
      </c>
    </row>
    <row r="91" spans="1:13">
      <c r="A91" t="s">
        <v>233</v>
      </c>
      <c r="B91" s="1">
        <v>42281</v>
      </c>
      <c r="C91" s="1">
        <v>42286</v>
      </c>
      <c r="D91" t="s">
        <v>183</v>
      </c>
      <c r="E91" t="s">
        <v>35</v>
      </c>
      <c r="F91" t="s">
        <v>234</v>
      </c>
      <c r="G91" t="s">
        <v>28</v>
      </c>
      <c r="H91" t="s">
        <v>2657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17</v>
      </c>
    </row>
    <row r="92" spans="1:13">
      <c r="A92" t="s">
        <v>235</v>
      </c>
      <c r="B92" s="1">
        <v>41975</v>
      </c>
      <c r="D92" t="s">
        <v>236</v>
      </c>
      <c r="E92" t="s">
        <v>62</v>
      </c>
      <c r="F92" t="s">
        <v>63</v>
      </c>
      <c r="G92" t="s">
        <v>39</v>
      </c>
      <c r="H92" t="s">
        <v>2656</v>
      </c>
      <c r="I92">
        <v>2432.16</v>
      </c>
      <c r="J92">
        <v>5</v>
      </c>
      <c r="K92">
        <v>0.1</v>
      </c>
      <c r="L92">
        <v>513.36</v>
      </c>
      <c r="M92" t="s">
        <v>23</v>
      </c>
    </row>
    <row r="93" spans="1:13">
      <c r="A93" t="s">
        <v>182</v>
      </c>
      <c r="C93" s="1">
        <v>42009</v>
      </c>
      <c r="E93" t="s">
        <v>35</v>
      </c>
      <c r="F93" t="s">
        <v>142</v>
      </c>
      <c r="G93" t="s">
        <v>39</v>
      </c>
      <c r="H93" t="s">
        <v>2658</v>
      </c>
      <c r="I93">
        <v>28.853999999999999</v>
      </c>
      <c r="J93">
        <v>6</v>
      </c>
      <c r="K93">
        <v>0.7</v>
      </c>
      <c r="L93">
        <v>-21.159599999999902</v>
      </c>
      <c r="M93" t="s">
        <v>32</v>
      </c>
    </row>
    <row r="94" spans="1:13">
      <c r="A94" t="s">
        <v>237</v>
      </c>
      <c r="B94" s="1">
        <v>41667</v>
      </c>
      <c r="C94" s="1">
        <v>41669</v>
      </c>
      <c r="D94" t="s">
        <v>238</v>
      </c>
      <c r="E94" t="s">
        <v>239</v>
      </c>
      <c r="F94" t="s">
        <v>132</v>
      </c>
      <c r="G94" t="s">
        <v>28</v>
      </c>
      <c r="H94" t="s">
        <v>2661</v>
      </c>
      <c r="I94" t="s">
        <v>152</v>
      </c>
      <c r="J94">
        <v>7</v>
      </c>
      <c r="K94">
        <v>0.25</v>
      </c>
      <c r="L94" t="s">
        <v>240</v>
      </c>
      <c r="M94" t="s">
        <v>32</v>
      </c>
    </row>
    <row r="95" spans="1:13">
      <c r="A95" t="s">
        <v>241</v>
      </c>
      <c r="B95" s="1">
        <v>41401</v>
      </c>
      <c r="C95" s="1">
        <v>41401</v>
      </c>
      <c r="D95" t="s">
        <v>242</v>
      </c>
      <c r="F95" t="s">
        <v>15</v>
      </c>
      <c r="G95" t="s">
        <v>243</v>
      </c>
      <c r="H95" t="s">
        <v>2656</v>
      </c>
      <c r="I95">
        <v>1847.51999999999</v>
      </c>
      <c r="J95">
        <v>2</v>
      </c>
      <c r="K95">
        <v>0</v>
      </c>
      <c r="L95">
        <v>738.96</v>
      </c>
      <c r="M95" t="s">
        <v>32</v>
      </c>
    </row>
    <row r="96" spans="1:13">
      <c r="B96" s="1">
        <v>41970</v>
      </c>
      <c r="C96" s="1">
        <v>41972</v>
      </c>
      <c r="D96" t="s">
        <v>244</v>
      </c>
      <c r="E96" t="s">
        <v>245</v>
      </c>
      <c r="F96" t="s">
        <v>63</v>
      </c>
      <c r="G96" t="s">
        <v>28</v>
      </c>
      <c r="H96" t="s">
        <v>2655</v>
      </c>
      <c r="I96">
        <v>2899.8899999999899</v>
      </c>
      <c r="J96">
        <v>7</v>
      </c>
      <c r="K96">
        <v>0</v>
      </c>
      <c r="L96">
        <v>927.78</v>
      </c>
      <c r="M96" t="s">
        <v>32</v>
      </c>
    </row>
    <row r="97" spans="1:13">
      <c r="A97" t="s">
        <v>246</v>
      </c>
      <c r="B97" s="1">
        <v>41606</v>
      </c>
      <c r="C97" s="1">
        <v>41610</v>
      </c>
      <c r="D97" t="s">
        <v>236</v>
      </c>
      <c r="E97" t="s">
        <v>14</v>
      </c>
      <c r="F97" t="s">
        <v>15</v>
      </c>
      <c r="G97" t="s">
        <v>28</v>
      </c>
      <c r="H97" t="s">
        <v>2658</v>
      </c>
      <c r="I97">
        <v>2891.6999999999898</v>
      </c>
      <c r="J97">
        <v>7</v>
      </c>
      <c r="K97">
        <v>0.1</v>
      </c>
      <c r="L97">
        <v>96.39</v>
      </c>
      <c r="M97" t="s">
        <v>17</v>
      </c>
    </row>
    <row r="98" spans="1:13">
      <c r="A98" t="s">
        <v>247</v>
      </c>
      <c r="B98" s="1">
        <v>41546</v>
      </c>
      <c r="C98" s="1">
        <v>41546</v>
      </c>
      <c r="D98" t="s">
        <v>248</v>
      </c>
      <c r="E98" t="s">
        <v>62</v>
      </c>
      <c r="F98" t="s">
        <v>63</v>
      </c>
      <c r="G98" t="s">
        <v>16</v>
      </c>
      <c r="H98" t="s">
        <v>2663</v>
      </c>
      <c r="I98">
        <v>2016.846</v>
      </c>
      <c r="J98">
        <v>9</v>
      </c>
      <c r="K98">
        <v>0.15</v>
      </c>
      <c r="L98">
        <v>-5.4000000000030399E-2</v>
      </c>
      <c r="M98" t="s">
        <v>23</v>
      </c>
    </row>
    <row r="99" spans="1:13">
      <c r="A99" t="s">
        <v>249</v>
      </c>
      <c r="B99" s="2">
        <v>41707</v>
      </c>
      <c r="C99" s="1">
        <v>41887</v>
      </c>
      <c r="D99" t="s">
        <v>250</v>
      </c>
      <c r="E99" t="s">
        <v>62</v>
      </c>
      <c r="F99" t="s">
        <v>63</v>
      </c>
      <c r="G99" t="s">
        <v>39</v>
      </c>
      <c r="H99" t="s">
        <v>2655</v>
      </c>
      <c r="I99">
        <v>3155.5439999999999</v>
      </c>
      <c r="J99">
        <v>7</v>
      </c>
      <c r="K99">
        <v>0.1</v>
      </c>
      <c r="L99">
        <v>34.944000000000003</v>
      </c>
      <c r="M99" t="s">
        <v>32</v>
      </c>
    </row>
    <row r="100" spans="1:13">
      <c r="A100" t="s">
        <v>251</v>
      </c>
      <c r="B100" s="1">
        <v>41846</v>
      </c>
      <c r="C100" s="1">
        <v>41852</v>
      </c>
      <c r="D100" t="s">
        <v>252</v>
      </c>
      <c r="E100" t="s">
        <v>120</v>
      </c>
      <c r="F100" t="s">
        <v>253</v>
      </c>
      <c r="G100" t="s">
        <v>16</v>
      </c>
      <c r="H100" t="s">
        <v>2662</v>
      </c>
      <c r="I100">
        <v>3856.1399999999899</v>
      </c>
      <c r="J100">
        <v>6</v>
      </c>
      <c r="K100">
        <v>0</v>
      </c>
      <c r="M100" t="s">
        <v>65</v>
      </c>
    </row>
    <row r="101" spans="1:13">
      <c r="A101" t="s">
        <v>254</v>
      </c>
      <c r="B101" s="1">
        <v>42327</v>
      </c>
      <c r="C101" s="1">
        <v>42333</v>
      </c>
      <c r="D101" t="s">
        <v>255</v>
      </c>
      <c r="E101" t="s">
        <v>14</v>
      </c>
      <c r="F101" t="s">
        <v>15</v>
      </c>
      <c r="G101" t="s">
        <v>16</v>
      </c>
      <c r="H101" t="s">
        <v>2661</v>
      </c>
      <c r="I101">
        <v>3524.4720000000002</v>
      </c>
      <c r="J101">
        <v>6</v>
      </c>
      <c r="K101">
        <v>0.1</v>
      </c>
      <c r="L101" t="s">
        <v>256</v>
      </c>
      <c r="M101" t="s">
        <v>65</v>
      </c>
    </row>
    <row r="102" spans="1:13">
      <c r="B102" s="1">
        <v>41444</v>
      </c>
      <c r="C102" s="1">
        <v>41444</v>
      </c>
      <c r="D102" t="s">
        <v>257</v>
      </c>
      <c r="E102" t="s">
        <v>62</v>
      </c>
      <c r="F102" t="s">
        <v>63</v>
      </c>
      <c r="G102" t="s">
        <v>16</v>
      </c>
      <c r="H102" t="s">
        <v>2656</v>
      </c>
      <c r="I102">
        <v>2167.2959999999998</v>
      </c>
      <c r="J102">
        <v>4</v>
      </c>
      <c r="L102">
        <v>790.41599999999903</v>
      </c>
      <c r="M102" t="s">
        <v>32</v>
      </c>
    </row>
    <row r="103" spans="1:13">
      <c r="A103" t="s">
        <v>258</v>
      </c>
      <c r="B103" s="1">
        <v>41558</v>
      </c>
      <c r="C103" s="1">
        <v>41561</v>
      </c>
      <c r="D103" t="s">
        <v>259</v>
      </c>
      <c r="E103" t="s">
        <v>88</v>
      </c>
      <c r="F103" t="s">
        <v>89</v>
      </c>
      <c r="G103" t="s">
        <v>16</v>
      </c>
      <c r="H103" t="s">
        <v>2656</v>
      </c>
      <c r="J103">
        <v>6</v>
      </c>
      <c r="K103">
        <v>0</v>
      </c>
      <c r="L103">
        <v>178.92</v>
      </c>
      <c r="M103" t="s">
        <v>17</v>
      </c>
    </row>
    <row r="104" spans="1:13">
      <c r="B104" s="1">
        <v>41129</v>
      </c>
      <c r="C104" s="1">
        <v>41131</v>
      </c>
      <c r="D104" t="s">
        <v>260</v>
      </c>
      <c r="E104" t="s">
        <v>20</v>
      </c>
      <c r="F104" t="s">
        <v>63</v>
      </c>
      <c r="G104" t="s">
        <v>16</v>
      </c>
      <c r="H104" t="s">
        <v>2656</v>
      </c>
      <c r="I104">
        <v>1469.24999999999</v>
      </c>
      <c r="J104">
        <v>5</v>
      </c>
      <c r="K104">
        <v>0</v>
      </c>
      <c r="L104">
        <v>308.39999999999998</v>
      </c>
      <c r="M104" t="s">
        <v>23</v>
      </c>
    </row>
    <row r="105" spans="1:13">
      <c r="B105" s="1">
        <v>41217</v>
      </c>
      <c r="C105" s="1">
        <v>41221</v>
      </c>
      <c r="D105" t="s">
        <v>261</v>
      </c>
      <c r="F105" t="s">
        <v>63</v>
      </c>
      <c r="G105" t="s">
        <v>16</v>
      </c>
      <c r="H105" t="s">
        <v>2656</v>
      </c>
      <c r="I105">
        <v>4448.8320000000003</v>
      </c>
      <c r="J105">
        <v>8</v>
      </c>
      <c r="K105">
        <v>0.15</v>
      </c>
      <c r="L105">
        <v>1517.712</v>
      </c>
      <c r="M105" t="s">
        <v>32</v>
      </c>
    </row>
    <row r="106" spans="1:13">
      <c r="A106" t="s">
        <v>262</v>
      </c>
      <c r="B106" s="1">
        <v>41116</v>
      </c>
      <c r="C106" s="1">
        <v>41122</v>
      </c>
      <c r="D106" t="s">
        <v>183</v>
      </c>
      <c r="E106" t="s">
        <v>35</v>
      </c>
      <c r="F106" t="s">
        <v>102</v>
      </c>
      <c r="G106" t="s">
        <v>39</v>
      </c>
      <c r="H106" t="s">
        <v>2657</v>
      </c>
      <c r="I106">
        <v>65.78</v>
      </c>
      <c r="J106">
        <v>11</v>
      </c>
      <c r="K106">
        <v>0</v>
      </c>
      <c r="L106">
        <v>32.232199999999999</v>
      </c>
      <c r="M106" t="s">
        <v>17</v>
      </c>
    </row>
    <row r="107" spans="1:13">
      <c r="A107" t="s">
        <v>263</v>
      </c>
      <c r="B107" s="1">
        <v>41755</v>
      </c>
      <c r="C107" s="1">
        <v>41757</v>
      </c>
      <c r="D107" t="s">
        <v>264</v>
      </c>
      <c r="E107" t="s">
        <v>265</v>
      </c>
      <c r="F107" t="s">
        <v>53</v>
      </c>
      <c r="G107" t="s">
        <v>28</v>
      </c>
      <c r="H107" t="s">
        <v>2656</v>
      </c>
      <c r="J107">
        <v>9</v>
      </c>
      <c r="K107">
        <v>0</v>
      </c>
      <c r="L107">
        <v>914.76</v>
      </c>
      <c r="M107" t="s">
        <v>32</v>
      </c>
    </row>
    <row r="108" spans="1:13">
      <c r="A108" t="s">
        <v>266</v>
      </c>
      <c r="B108" s="1">
        <v>41999</v>
      </c>
      <c r="C108" s="1">
        <v>41999</v>
      </c>
      <c r="D108" t="s">
        <v>267</v>
      </c>
      <c r="E108" t="s">
        <v>14</v>
      </c>
      <c r="F108" t="s">
        <v>15</v>
      </c>
      <c r="G108" t="s">
        <v>39</v>
      </c>
      <c r="H108" t="s">
        <v>2658</v>
      </c>
      <c r="I108">
        <v>3739.1759999999899</v>
      </c>
      <c r="J108">
        <v>8</v>
      </c>
      <c r="K108">
        <v>0.1</v>
      </c>
      <c r="L108">
        <v>747.81600000000003</v>
      </c>
      <c r="M108" t="s">
        <v>32</v>
      </c>
    </row>
    <row r="109" spans="1:13">
      <c r="A109" t="s">
        <v>268</v>
      </c>
      <c r="B109" s="1">
        <v>41711</v>
      </c>
      <c r="C109" s="1">
        <v>41711</v>
      </c>
      <c r="D109" t="s">
        <v>269</v>
      </c>
      <c r="E109" t="s">
        <v>270</v>
      </c>
      <c r="F109" t="s">
        <v>63</v>
      </c>
      <c r="G109" t="s">
        <v>28</v>
      </c>
      <c r="H109" t="s">
        <v>2663</v>
      </c>
      <c r="I109">
        <v>2570.8649999999998</v>
      </c>
      <c r="J109">
        <v>11</v>
      </c>
      <c r="K109">
        <v>0.5</v>
      </c>
      <c r="L109">
        <v>-2211.165</v>
      </c>
      <c r="M109" t="s">
        <v>32</v>
      </c>
    </row>
    <row r="110" spans="1:13">
      <c r="A110" t="s">
        <v>271</v>
      </c>
      <c r="B110" s="1">
        <v>41727</v>
      </c>
      <c r="C110" s="1">
        <v>41730</v>
      </c>
      <c r="D110" t="s">
        <v>183</v>
      </c>
      <c r="E110" t="s">
        <v>35</v>
      </c>
      <c r="F110" t="s">
        <v>142</v>
      </c>
      <c r="G110" t="s">
        <v>39</v>
      </c>
      <c r="H110" t="s">
        <v>2661</v>
      </c>
      <c r="I110">
        <v>31.4</v>
      </c>
      <c r="J110">
        <v>2</v>
      </c>
      <c r="K110">
        <v>0</v>
      </c>
      <c r="M110" t="s">
        <v>17</v>
      </c>
    </row>
    <row r="111" spans="1:13">
      <c r="A111" t="s">
        <v>272</v>
      </c>
      <c r="B111" s="1">
        <v>41369</v>
      </c>
      <c r="C111" s="1">
        <v>41369</v>
      </c>
      <c r="D111" t="s">
        <v>273</v>
      </c>
      <c r="E111" t="s">
        <v>20</v>
      </c>
      <c r="F111" t="s">
        <v>63</v>
      </c>
      <c r="G111" t="s">
        <v>16</v>
      </c>
      <c r="H111" t="s">
        <v>2655</v>
      </c>
      <c r="I111">
        <v>2875.77</v>
      </c>
      <c r="J111">
        <v>9</v>
      </c>
      <c r="K111">
        <v>0.5</v>
      </c>
      <c r="L111">
        <v>-1783.08</v>
      </c>
      <c r="M111" t="s">
        <v>32</v>
      </c>
    </row>
    <row r="112" spans="1:13">
      <c r="A112" t="s">
        <v>274</v>
      </c>
      <c r="B112" t="s">
        <v>275</v>
      </c>
      <c r="C112" s="1">
        <v>41636</v>
      </c>
      <c r="D112" t="s">
        <v>276</v>
      </c>
      <c r="E112" t="s">
        <v>186</v>
      </c>
      <c r="F112" t="s">
        <v>68</v>
      </c>
      <c r="G112" t="s">
        <v>28</v>
      </c>
      <c r="H112" t="s">
        <v>2662</v>
      </c>
      <c r="I112">
        <v>1741.8</v>
      </c>
      <c r="J112" t="s">
        <v>55</v>
      </c>
      <c r="K112">
        <v>0</v>
      </c>
      <c r="L112">
        <v>261.24</v>
      </c>
      <c r="M112" t="s">
        <v>23</v>
      </c>
    </row>
    <row r="113" spans="1:13">
      <c r="A113" t="s">
        <v>277</v>
      </c>
      <c r="B113" s="1">
        <v>41747</v>
      </c>
      <c r="C113" s="1">
        <v>41748</v>
      </c>
      <c r="D113" t="s">
        <v>278</v>
      </c>
      <c r="E113" t="s">
        <v>14</v>
      </c>
      <c r="F113" t="s">
        <v>15</v>
      </c>
      <c r="G113" t="s">
        <v>16</v>
      </c>
      <c r="H113" t="s">
        <v>2656</v>
      </c>
      <c r="I113">
        <v>1601.64</v>
      </c>
      <c r="J113">
        <v>5</v>
      </c>
      <c r="K113">
        <v>0.1</v>
      </c>
      <c r="L113">
        <v>587.18999999999903</v>
      </c>
      <c r="M113" t="s">
        <v>23</v>
      </c>
    </row>
    <row r="114" spans="1:13">
      <c r="A114" t="s">
        <v>279</v>
      </c>
      <c r="B114" s="1">
        <v>41052</v>
      </c>
      <c r="C114" s="1">
        <v>41054</v>
      </c>
      <c r="D114" t="s">
        <v>280</v>
      </c>
      <c r="E114" t="s">
        <v>58</v>
      </c>
      <c r="F114" t="s">
        <v>81</v>
      </c>
      <c r="G114" t="s">
        <v>39</v>
      </c>
      <c r="H114" t="s">
        <v>2663</v>
      </c>
      <c r="I114">
        <v>3670.7999999999902</v>
      </c>
      <c r="J114">
        <v>7</v>
      </c>
      <c r="L114">
        <v>367.08</v>
      </c>
      <c r="M114" t="s">
        <v>32</v>
      </c>
    </row>
    <row r="115" spans="1:13">
      <c r="A115" t="s">
        <v>281</v>
      </c>
      <c r="B115" s="1">
        <v>42218</v>
      </c>
      <c r="C115" s="1">
        <v>42224</v>
      </c>
      <c r="D115" t="s">
        <v>183</v>
      </c>
      <c r="E115" t="s">
        <v>35</v>
      </c>
      <c r="F115" t="s">
        <v>36</v>
      </c>
      <c r="H115" t="s">
        <v>2657</v>
      </c>
      <c r="I115">
        <v>36.287999999999997</v>
      </c>
      <c r="J115">
        <v>7</v>
      </c>
      <c r="K115">
        <v>0.2</v>
      </c>
      <c r="L115">
        <v>12.700799999999999</v>
      </c>
      <c r="M115" t="s">
        <v>17</v>
      </c>
    </row>
    <row r="116" spans="1:13">
      <c r="B116" s="1">
        <v>41775</v>
      </c>
      <c r="C116" s="1">
        <v>41779</v>
      </c>
      <c r="D116" t="s">
        <v>282</v>
      </c>
      <c r="E116" t="s">
        <v>20</v>
      </c>
      <c r="F116" t="s">
        <v>283</v>
      </c>
      <c r="G116" t="s">
        <v>16</v>
      </c>
      <c r="H116" t="s">
        <v>2661</v>
      </c>
      <c r="I116">
        <v>1900.95</v>
      </c>
      <c r="J116">
        <v>5</v>
      </c>
      <c r="K116">
        <v>0</v>
      </c>
      <c r="L116">
        <v>589.20000000000005</v>
      </c>
      <c r="M116" t="s">
        <v>32</v>
      </c>
    </row>
    <row r="117" spans="1:13">
      <c r="A117" t="s">
        <v>182</v>
      </c>
      <c r="B117" s="1">
        <v>42007</v>
      </c>
      <c r="C117" s="1">
        <v>42009</v>
      </c>
      <c r="D117" t="s">
        <v>183</v>
      </c>
      <c r="E117" t="s">
        <v>35</v>
      </c>
      <c r="F117" t="s">
        <v>142</v>
      </c>
      <c r="G117" t="s">
        <v>39</v>
      </c>
      <c r="H117" t="s">
        <v>2662</v>
      </c>
      <c r="I117">
        <v>15.66</v>
      </c>
      <c r="J117">
        <v>5</v>
      </c>
      <c r="K117">
        <v>0.7</v>
      </c>
      <c r="L117">
        <v>-12.527999999999899</v>
      </c>
      <c r="M117" t="s">
        <v>32</v>
      </c>
    </row>
    <row r="118" spans="1:13">
      <c r="A118" t="s">
        <v>284</v>
      </c>
      <c r="B118" s="1">
        <v>40955</v>
      </c>
      <c r="C118" s="1">
        <v>40958</v>
      </c>
      <c r="D118" t="s">
        <v>285</v>
      </c>
      <c r="E118" t="s">
        <v>62</v>
      </c>
      <c r="F118" t="s">
        <v>63</v>
      </c>
      <c r="G118" t="s">
        <v>28</v>
      </c>
      <c r="H118" t="s">
        <v>2657</v>
      </c>
      <c r="I118">
        <v>4544.0999999999904</v>
      </c>
      <c r="J118">
        <v>11</v>
      </c>
      <c r="K118">
        <v>0.1</v>
      </c>
      <c r="L118">
        <v>1868.1299999999901</v>
      </c>
      <c r="M118" t="s">
        <v>17</v>
      </c>
    </row>
    <row r="119" spans="1:13">
      <c r="A119" t="s">
        <v>286</v>
      </c>
      <c r="B119" s="1">
        <v>41790</v>
      </c>
      <c r="C119" s="1">
        <v>41792</v>
      </c>
      <c r="D119" t="s">
        <v>287</v>
      </c>
      <c r="E119" t="s">
        <v>58</v>
      </c>
      <c r="F119" t="s">
        <v>81</v>
      </c>
      <c r="G119" t="s">
        <v>28</v>
      </c>
      <c r="H119" t="s">
        <v>2664</v>
      </c>
      <c r="I119">
        <v>1455.12</v>
      </c>
      <c r="J119">
        <v>4</v>
      </c>
      <c r="K119">
        <v>0</v>
      </c>
      <c r="L119">
        <v>116.399999999999</v>
      </c>
      <c r="M119" t="s">
        <v>23</v>
      </c>
    </row>
    <row r="120" spans="1:13">
      <c r="A120" t="s">
        <v>288</v>
      </c>
      <c r="B120" s="1">
        <v>41913</v>
      </c>
      <c r="C120" s="1">
        <v>41914</v>
      </c>
      <c r="D120" t="s">
        <v>289</v>
      </c>
      <c r="E120" t="s">
        <v>14</v>
      </c>
      <c r="F120" t="s">
        <v>15</v>
      </c>
      <c r="G120" t="s">
        <v>16</v>
      </c>
      <c r="H120" t="s">
        <v>2655</v>
      </c>
      <c r="I120">
        <v>1943.19</v>
      </c>
      <c r="J120">
        <v>6</v>
      </c>
      <c r="K120">
        <v>0.1</v>
      </c>
      <c r="L120">
        <v>258.93</v>
      </c>
      <c r="M120" t="s">
        <v>32</v>
      </c>
    </row>
    <row r="121" spans="1:13">
      <c r="A121" t="s">
        <v>290</v>
      </c>
      <c r="B121" s="1">
        <v>42315</v>
      </c>
      <c r="C121" s="1">
        <v>42322</v>
      </c>
      <c r="D121" t="s">
        <v>264</v>
      </c>
      <c r="E121" t="s">
        <v>291</v>
      </c>
      <c r="F121" t="s">
        <v>38</v>
      </c>
      <c r="G121" t="s">
        <v>28</v>
      </c>
      <c r="H121" t="s">
        <v>2663</v>
      </c>
      <c r="I121">
        <v>2036.86</v>
      </c>
      <c r="J121">
        <v>7</v>
      </c>
      <c r="K121">
        <v>0</v>
      </c>
      <c r="L121">
        <v>366.63479999999902</v>
      </c>
      <c r="M121" t="s">
        <v>65</v>
      </c>
    </row>
    <row r="122" spans="1:13">
      <c r="A122" t="s">
        <v>292</v>
      </c>
      <c r="B122" s="1">
        <v>41884</v>
      </c>
      <c r="C122" s="1">
        <v>41886</v>
      </c>
      <c r="D122" t="s">
        <v>264</v>
      </c>
      <c r="E122" t="s">
        <v>35</v>
      </c>
      <c r="F122" t="s">
        <v>165</v>
      </c>
      <c r="G122" t="s">
        <v>39</v>
      </c>
      <c r="H122" t="s">
        <v>2657</v>
      </c>
      <c r="I122" t="s">
        <v>152</v>
      </c>
      <c r="J122">
        <v>4</v>
      </c>
      <c r="K122">
        <v>0.2</v>
      </c>
      <c r="L122">
        <v>1415.4295999999899</v>
      </c>
      <c r="M122" t="s">
        <v>23</v>
      </c>
    </row>
    <row r="123" spans="1:13">
      <c r="A123" t="s">
        <v>293</v>
      </c>
      <c r="B123" s="1">
        <v>41984</v>
      </c>
      <c r="C123" s="1">
        <v>41987</v>
      </c>
      <c r="D123" t="s">
        <v>80</v>
      </c>
      <c r="E123" t="s">
        <v>14</v>
      </c>
      <c r="F123" t="s">
        <v>15</v>
      </c>
      <c r="G123" t="s">
        <v>16</v>
      </c>
      <c r="H123" t="s">
        <v>2662</v>
      </c>
      <c r="I123">
        <v>1695.87</v>
      </c>
      <c r="J123">
        <v>5</v>
      </c>
      <c r="K123">
        <v>0.1</v>
      </c>
      <c r="L123">
        <v>-37.83</v>
      </c>
      <c r="M123" t="s">
        <v>23</v>
      </c>
    </row>
    <row r="124" spans="1:13">
      <c r="A124" t="s">
        <v>294</v>
      </c>
      <c r="B124" s="1">
        <v>42081</v>
      </c>
      <c r="C124" t="s">
        <v>295</v>
      </c>
      <c r="D124" t="s">
        <v>229</v>
      </c>
      <c r="E124" t="s">
        <v>62</v>
      </c>
      <c r="F124" t="s">
        <v>63</v>
      </c>
      <c r="G124" t="s">
        <v>16</v>
      </c>
      <c r="H124" t="s">
        <v>2659</v>
      </c>
      <c r="I124">
        <v>1505.97899999999</v>
      </c>
      <c r="J124">
        <v>6</v>
      </c>
      <c r="K124">
        <v>0.15</v>
      </c>
      <c r="L124">
        <v>-265.760999999999</v>
      </c>
      <c r="M124" t="s">
        <v>23</v>
      </c>
    </row>
    <row r="125" spans="1:13">
      <c r="A125" t="s">
        <v>296</v>
      </c>
      <c r="B125" s="1">
        <v>42357</v>
      </c>
      <c r="C125" s="1">
        <v>42358</v>
      </c>
      <c r="D125" t="s">
        <v>297</v>
      </c>
      <c r="E125" t="s">
        <v>298</v>
      </c>
      <c r="F125" t="s">
        <v>132</v>
      </c>
      <c r="G125" t="s">
        <v>16</v>
      </c>
      <c r="H125" t="s">
        <v>2657</v>
      </c>
      <c r="I125">
        <v>1954.17</v>
      </c>
      <c r="J125">
        <v>3</v>
      </c>
      <c r="K125">
        <v>0</v>
      </c>
      <c r="L125">
        <v>312.659999999999</v>
      </c>
      <c r="M125" t="s">
        <v>23</v>
      </c>
    </row>
    <row r="126" spans="1:13">
      <c r="A126" t="s">
        <v>290</v>
      </c>
      <c r="B126" s="1">
        <v>42315</v>
      </c>
      <c r="C126" s="1">
        <v>42322</v>
      </c>
      <c r="D126" t="s">
        <v>264</v>
      </c>
      <c r="E126" t="s">
        <v>35</v>
      </c>
      <c r="F126" t="s">
        <v>38</v>
      </c>
      <c r="G126" t="s">
        <v>28</v>
      </c>
      <c r="H126" t="s">
        <v>2657</v>
      </c>
      <c r="I126">
        <v>449.56799999999998</v>
      </c>
      <c r="J126">
        <v>2</v>
      </c>
      <c r="K126">
        <v>0.2</v>
      </c>
      <c r="L126">
        <v>-73.0548</v>
      </c>
      <c r="M126" t="s">
        <v>65</v>
      </c>
    </row>
    <row r="127" spans="1:13">
      <c r="A127" t="s">
        <v>299</v>
      </c>
      <c r="B127" t="s">
        <v>300</v>
      </c>
      <c r="C127" s="1">
        <v>41717</v>
      </c>
      <c r="D127" t="s">
        <v>264</v>
      </c>
      <c r="E127" t="s">
        <v>35</v>
      </c>
      <c r="F127" t="s">
        <v>142</v>
      </c>
      <c r="G127" t="s">
        <v>39</v>
      </c>
      <c r="H127" t="s">
        <v>2656</v>
      </c>
      <c r="I127">
        <v>160.32</v>
      </c>
      <c r="J127">
        <v>2</v>
      </c>
      <c r="K127">
        <v>0</v>
      </c>
      <c r="L127">
        <v>291.20200743633302</v>
      </c>
      <c r="M127" t="s">
        <v>17</v>
      </c>
    </row>
    <row r="128" spans="1:13">
      <c r="B128" s="1">
        <v>42315</v>
      </c>
      <c r="C128" s="1">
        <v>42322</v>
      </c>
      <c r="F128" t="s">
        <v>38</v>
      </c>
      <c r="G128" t="s">
        <v>16</v>
      </c>
      <c r="H128" t="s">
        <v>2658</v>
      </c>
      <c r="I128">
        <v>108.96</v>
      </c>
      <c r="J128" t="s">
        <v>55</v>
      </c>
      <c r="K128">
        <v>0</v>
      </c>
      <c r="L128">
        <v>32.687999999999903</v>
      </c>
      <c r="M128" t="s">
        <v>65</v>
      </c>
    </row>
    <row r="129" spans="1:13">
      <c r="A129" t="s">
        <v>301</v>
      </c>
      <c r="B129" s="1">
        <v>42265</v>
      </c>
      <c r="C129" s="1">
        <v>42265</v>
      </c>
      <c r="D129" t="s">
        <v>302</v>
      </c>
      <c r="E129" t="s">
        <v>303</v>
      </c>
      <c r="F129" t="s">
        <v>53</v>
      </c>
      <c r="G129" t="s">
        <v>16</v>
      </c>
      <c r="H129" t="s">
        <v>2657</v>
      </c>
      <c r="I129">
        <v>1213.18876</v>
      </c>
      <c r="J129">
        <v>7</v>
      </c>
      <c r="K129">
        <v>2E-3</v>
      </c>
      <c r="L129">
        <v>508.00876</v>
      </c>
      <c r="M129" t="s">
        <v>23</v>
      </c>
    </row>
    <row r="130" spans="1:13">
      <c r="A130" t="s">
        <v>304</v>
      </c>
      <c r="B130" s="1">
        <v>41968</v>
      </c>
      <c r="C130" s="1">
        <v>41970</v>
      </c>
      <c r="D130" t="s">
        <v>305</v>
      </c>
      <c r="E130" t="s">
        <v>105</v>
      </c>
      <c r="F130" t="s">
        <v>106</v>
      </c>
      <c r="G130" t="s">
        <v>16</v>
      </c>
      <c r="H130" t="s">
        <v>2655</v>
      </c>
      <c r="I130">
        <v>1590.6</v>
      </c>
      <c r="J130">
        <v>5</v>
      </c>
      <c r="L130">
        <v>572.54999999999995</v>
      </c>
      <c r="M130" t="s">
        <v>23</v>
      </c>
    </row>
    <row r="131" spans="1:13">
      <c r="B131" s="1">
        <v>41950</v>
      </c>
      <c r="C131" s="1">
        <v>41953</v>
      </c>
      <c r="D131" t="s">
        <v>306</v>
      </c>
      <c r="E131" t="s">
        <v>58</v>
      </c>
      <c r="F131" t="s">
        <v>81</v>
      </c>
      <c r="G131" t="s">
        <v>16</v>
      </c>
      <c r="H131" t="s">
        <v>2657</v>
      </c>
      <c r="J131">
        <v>9</v>
      </c>
      <c r="K131">
        <v>0</v>
      </c>
      <c r="L131">
        <v>1025.46</v>
      </c>
      <c r="M131" t="s">
        <v>23</v>
      </c>
    </row>
    <row r="132" spans="1:13">
      <c r="A132" t="s">
        <v>307</v>
      </c>
      <c r="B132" s="1">
        <v>42204</v>
      </c>
      <c r="C132" s="1">
        <v>42208</v>
      </c>
      <c r="D132" t="s">
        <v>308</v>
      </c>
      <c r="E132" t="s">
        <v>131</v>
      </c>
      <c r="F132" t="s">
        <v>132</v>
      </c>
      <c r="G132" t="s">
        <v>28</v>
      </c>
      <c r="H132" t="s">
        <v>2657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32</v>
      </c>
    </row>
    <row r="133" spans="1:13">
      <c r="A133" t="s">
        <v>309</v>
      </c>
      <c r="B133" s="1">
        <v>41502</v>
      </c>
      <c r="C133" s="1">
        <v>41502</v>
      </c>
      <c r="D133" t="s">
        <v>190</v>
      </c>
      <c r="E133" t="s">
        <v>310</v>
      </c>
      <c r="F133" t="s">
        <v>132</v>
      </c>
      <c r="G133" t="s">
        <v>16</v>
      </c>
      <c r="H133" t="s">
        <v>2654</v>
      </c>
      <c r="I133">
        <v>3741.5237999999899</v>
      </c>
      <c r="J133">
        <v>7</v>
      </c>
      <c r="K133">
        <v>0.17</v>
      </c>
      <c r="L133">
        <v>946.63379999999904</v>
      </c>
      <c r="M133" t="s">
        <v>32</v>
      </c>
    </row>
    <row r="134" spans="1:13">
      <c r="B134" s="1">
        <v>42314</v>
      </c>
      <c r="C134" s="1">
        <v>42316</v>
      </c>
      <c r="D134" t="s">
        <v>264</v>
      </c>
      <c r="E134" t="s">
        <v>35</v>
      </c>
      <c r="F134" t="s">
        <v>36</v>
      </c>
      <c r="G134" t="s">
        <v>39</v>
      </c>
      <c r="H134" t="s">
        <v>2663</v>
      </c>
      <c r="I134">
        <v>67.8</v>
      </c>
      <c r="J134">
        <v>10</v>
      </c>
      <c r="K134">
        <v>0</v>
      </c>
      <c r="L134">
        <v>31.187999999999999</v>
      </c>
      <c r="M134" t="s">
        <v>32</v>
      </c>
    </row>
    <row r="135" spans="1:13">
      <c r="A135" t="s">
        <v>311</v>
      </c>
      <c r="B135" s="1">
        <v>41284</v>
      </c>
      <c r="C135" s="1">
        <v>41288</v>
      </c>
      <c r="D135" t="s">
        <v>248</v>
      </c>
      <c r="E135" t="s">
        <v>131</v>
      </c>
      <c r="F135" t="s">
        <v>132</v>
      </c>
      <c r="G135" t="s">
        <v>28</v>
      </c>
      <c r="H135" t="s">
        <v>2656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32</v>
      </c>
    </row>
    <row r="136" spans="1:13">
      <c r="A136" t="s">
        <v>312</v>
      </c>
      <c r="B136" s="1">
        <v>41667</v>
      </c>
      <c r="C136" s="1">
        <v>41669</v>
      </c>
      <c r="E136" t="s">
        <v>88</v>
      </c>
      <c r="F136" t="s">
        <v>89</v>
      </c>
      <c r="G136" t="s">
        <v>39</v>
      </c>
      <c r="H136" t="s">
        <v>2655</v>
      </c>
      <c r="I136" t="s">
        <v>152</v>
      </c>
      <c r="K136">
        <v>0</v>
      </c>
      <c r="L136">
        <v>785.81999999999903</v>
      </c>
      <c r="M136" t="s">
        <v>17</v>
      </c>
    </row>
    <row r="137" spans="1:13">
      <c r="A137" t="s">
        <v>313</v>
      </c>
      <c r="B137" s="1">
        <v>41439</v>
      </c>
      <c r="C137" s="1">
        <v>41442</v>
      </c>
      <c r="D137" t="s">
        <v>34</v>
      </c>
      <c r="E137" t="s">
        <v>58</v>
      </c>
      <c r="G137" t="s">
        <v>16</v>
      </c>
      <c r="H137" t="s">
        <v>2663</v>
      </c>
      <c r="I137">
        <v>1024.68</v>
      </c>
      <c r="J137">
        <v>8</v>
      </c>
      <c r="K137">
        <v>0.5</v>
      </c>
    </row>
    <row r="138" spans="1:13">
      <c r="A138" t="s">
        <v>314</v>
      </c>
      <c r="C138" s="1">
        <v>42316</v>
      </c>
      <c r="D138" t="s">
        <v>264</v>
      </c>
      <c r="E138" t="s">
        <v>35</v>
      </c>
      <c r="F138" t="s">
        <v>36</v>
      </c>
      <c r="G138" t="s">
        <v>39</v>
      </c>
      <c r="H138" t="s">
        <v>2661</v>
      </c>
      <c r="I138">
        <v>167.94</v>
      </c>
      <c r="J138">
        <v>3</v>
      </c>
      <c r="K138">
        <v>0</v>
      </c>
      <c r="L138">
        <v>82.290599999999998</v>
      </c>
      <c r="M138" t="s">
        <v>32</v>
      </c>
    </row>
    <row r="139" spans="1:13">
      <c r="A139" t="s">
        <v>292</v>
      </c>
      <c r="B139" s="1">
        <v>41884</v>
      </c>
      <c r="C139" s="1">
        <v>41886</v>
      </c>
      <c r="D139" t="s">
        <v>264</v>
      </c>
      <c r="E139" t="s">
        <v>35</v>
      </c>
      <c r="F139" t="s">
        <v>102</v>
      </c>
      <c r="G139" t="s">
        <v>39</v>
      </c>
      <c r="H139" t="s">
        <v>2662</v>
      </c>
      <c r="J139">
        <v>2</v>
      </c>
      <c r="K139">
        <v>0</v>
      </c>
      <c r="L139">
        <v>83.822606763171294</v>
      </c>
      <c r="M139" t="s">
        <v>23</v>
      </c>
    </row>
    <row r="140" spans="1:13">
      <c r="A140" t="s">
        <v>315</v>
      </c>
      <c r="B140" s="1">
        <v>41614</v>
      </c>
      <c r="C140" s="1">
        <v>41616</v>
      </c>
      <c r="D140" t="s">
        <v>316</v>
      </c>
      <c r="E140" t="s">
        <v>52</v>
      </c>
      <c r="F140" t="s">
        <v>53</v>
      </c>
      <c r="G140" t="s">
        <v>16</v>
      </c>
      <c r="H140" t="s">
        <v>2655</v>
      </c>
      <c r="I140">
        <v>2297.96</v>
      </c>
      <c r="J140">
        <v>14</v>
      </c>
      <c r="K140">
        <v>0</v>
      </c>
      <c r="L140">
        <v>988.11999999999898</v>
      </c>
      <c r="M140" t="s">
        <v>32</v>
      </c>
    </row>
    <row r="141" spans="1:13">
      <c r="A141" t="s">
        <v>317</v>
      </c>
      <c r="B141" s="1">
        <v>41887</v>
      </c>
      <c r="C141" s="1">
        <v>41889</v>
      </c>
      <c r="D141" t="s">
        <v>318</v>
      </c>
      <c r="E141" t="s">
        <v>67</v>
      </c>
      <c r="F141" t="s">
        <v>68</v>
      </c>
      <c r="G141" t="s">
        <v>16</v>
      </c>
      <c r="H141" t="s">
        <v>2662</v>
      </c>
      <c r="I141">
        <v>2671.41</v>
      </c>
      <c r="J141">
        <v>7</v>
      </c>
      <c r="K141">
        <v>0</v>
      </c>
      <c r="M141" t="s">
        <v>32</v>
      </c>
    </row>
    <row r="142" spans="1:13">
      <c r="A142" t="s">
        <v>319</v>
      </c>
      <c r="B142" s="1">
        <v>42265</v>
      </c>
      <c r="C142" s="1">
        <v>42267</v>
      </c>
      <c r="D142" t="s">
        <v>320</v>
      </c>
      <c r="E142" t="s">
        <v>321</v>
      </c>
      <c r="F142" t="s">
        <v>75</v>
      </c>
      <c r="G142" t="s">
        <v>16</v>
      </c>
      <c r="H142" t="s">
        <v>2654</v>
      </c>
      <c r="I142">
        <v>3834</v>
      </c>
      <c r="J142">
        <v>6</v>
      </c>
      <c r="K142">
        <v>0</v>
      </c>
      <c r="L142">
        <v>268.38</v>
      </c>
      <c r="M142" t="s">
        <v>32</v>
      </c>
    </row>
    <row r="143" spans="1:13">
      <c r="A143" t="s">
        <v>292</v>
      </c>
      <c r="B143" s="1">
        <v>41884</v>
      </c>
      <c r="C143" s="1">
        <v>41886</v>
      </c>
      <c r="D143" t="s">
        <v>264</v>
      </c>
      <c r="E143" t="s">
        <v>322</v>
      </c>
      <c r="F143" t="s">
        <v>102</v>
      </c>
      <c r="G143" t="s">
        <v>39</v>
      </c>
      <c r="H143" t="s">
        <v>2657</v>
      </c>
      <c r="I143">
        <v>49.12</v>
      </c>
      <c r="J143">
        <v>4</v>
      </c>
      <c r="K143">
        <v>0</v>
      </c>
      <c r="L143">
        <v>23.086399999999902</v>
      </c>
      <c r="M143" t="s">
        <v>23</v>
      </c>
    </row>
    <row r="144" spans="1:13">
      <c r="A144" t="s">
        <v>323</v>
      </c>
      <c r="B144" s="1">
        <v>41489</v>
      </c>
      <c r="C144" s="1">
        <v>41494</v>
      </c>
      <c r="D144" t="s">
        <v>324</v>
      </c>
      <c r="E144" t="s">
        <v>131</v>
      </c>
      <c r="F144" t="s">
        <v>132</v>
      </c>
      <c r="G144" t="s">
        <v>39</v>
      </c>
      <c r="H144" t="s">
        <v>2656</v>
      </c>
      <c r="I144">
        <v>3501.7367999999901</v>
      </c>
      <c r="J144">
        <v>8</v>
      </c>
      <c r="K144">
        <v>0.17</v>
      </c>
      <c r="L144">
        <v>210.85679999999999</v>
      </c>
      <c r="M144" t="s">
        <v>32</v>
      </c>
    </row>
    <row r="145" spans="1:13">
      <c r="A145" t="s">
        <v>325</v>
      </c>
      <c r="C145" s="1">
        <v>42349</v>
      </c>
      <c r="D145" t="s">
        <v>326</v>
      </c>
      <c r="E145" t="s">
        <v>14</v>
      </c>
      <c r="F145" t="s">
        <v>15</v>
      </c>
      <c r="G145" t="s">
        <v>16</v>
      </c>
      <c r="H145" t="s">
        <v>2655</v>
      </c>
      <c r="I145">
        <v>1725.462</v>
      </c>
      <c r="J145">
        <v>3</v>
      </c>
      <c r="K145">
        <v>0.1</v>
      </c>
      <c r="L145">
        <v>747.61199999999997</v>
      </c>
      <c r="M145" t="s">
        <v>32</v>
      </c>
    </row>
    <row r="146" spans="1:13">
      <c r="A146" t="s">
        <v>327</v>
      </c>
      <c r="B146" s="1">
        <v>41572</v>
      </c>
      <c r="C146" s="1">
        <v>41575</v>
      </c>
      <c r="D146" t="s">
        <v>328</v>
      </c>
      <c r="E146" t="s">
        <v>58</v>
      </c>
      <c r="F146" t="s">
        <v>81</v>
      </c>
      <c r="G146" t="s">
        <v>16</v>
      </c>
      <c r="H146" t="s">
        <v>2661</v>
      </c>
      <c r="I146">
        <v>1583.7</v>
      </c>
      <c r="J146">
        <v>5</v>
      </c>
      <c r="K146">
        <v>0</v>
      </c>
      <c r="L146">
        <v>174.14999999999901</v>
      </c>
      <c r="M146" t="s">
        <v>23</v>
      </c>
    </row>
    <row r="147" spans="1:13">
      <c r="A147" t="s">
        <v>329</v>
      </c>
      <c r="B147" s="1">
        <v>42132</v>
      </c>
      <c r="C147" s="1">
        <v>42137</v>
      </c>
      <c r="E147" t="s">
        <v>35</v>
      </c>
      <c r="F147" t="s">
        <v>38</v>
      </c>
      <c r="G147" t="s">
        <v>16</v>
      </c>
      <c r="H147" t="s">
        <v>2656</v>
      </c>
      <c r="I147">
        <v>79.989999999999995</v>
      </c>
      <c r="J147">
        <v>1</v>
      </c>
      <c r="K147" t="s">
        <v>215</v>
      </c>
      <c r="L147">
        <v>28.796399999999998</v>
      </c>
      <c r="M147" t="s">
        <v>330</v>
      </c>
    </row>
    <row r="148" spans="1:13">
      <c r="A148" t="s">
        <v>331</v>
      </c>
      <c r="B148" s="1">
        <v>41878</v>
      </c>
      <c r="C148" s="1">
        <v>41880</v>
      </c>
      <c r="D148" t="s">
        <v>332</v>
      </c>
      <c r="E148" t="s">
        <v>14</v>
      </c>
      <c r="F148" t="s">
        <v>15</v>
      </c>
      <c r="G148" t="s">
        <v>28</v>
      </c>
      <c r="H148" t="s">
        <v>2657</v>
      </c>
      <c r="I148">
        <v>2760.3449999999998</v>
      </c>
      <c r="J148">
        <v>7</v>
      </c>
      <c r="K148">
        <v>0.1</v>
      </c>
      <c r="L148">
        <v>-214.72499999999999</v>
      </c>
      <c r="M148" t="s">
        <v>32</v>
      </c>
    </row>
    <row r="149" spans="1:13">
      <c r="B149" s="1">
        <v>41041</v>
      </c>
      <c r="C149" s="1">
        <v>41045</v>
      </c>
      <c r="D149" t="s">
        <v>242</v>
      </c>
      <c r="E149" t="s">
        <v>173</v>
      </c>
      <c r="F149" t="s">
        <v>106</v>
      </c>
      <c r="G149" t="s">
        <v>16</v>
      </c>
      <c r="H149" t="s">
        <v>2655</v>
      </c>
      <c r="I149">
        <v>3078.72</v>
      </c>
      <c r="J149">
        <v>12</v>
      </c>
      <c r="K149">
        <v>0</v>
      </c>
      <c r="L149">
        <v>523.07999999999902</v>
      </c>
      <c r="M149" t="s">
        <v>32</v>
      </c>
    </row>
    <row r="150" spans="1:13">
      <c r="A150" t="s">
        <v>333</v>
      </c>
      <c r="B150" s="1">
        <v>41215</v>
      </c>
      <c r="C150" s="1">
        <v>41218</v>
      </c>
      <c r="D150" t="s">
        <v>334</v>
      </c>
      <c r="E150" t="s">
        <v>270</v>
      </c>
      <c r="F150" t="s">
        <v>98</v>
      </c>
      <c r="G150" t="s">
        <v>39</v>
      </c>
      <c r="H150" t="s">
        <v>2663</v>
      </c>
      <c r="I150">
        <v>1983.135</v>
      </c>
      <c r="K150">
        <v>0.5</v>
      </c>
      <c r="L150" t="s">
        <v>335</v>
      </c>
      <c r="M150" t="s">
        <v>32</v>
      </c>
    </row>
    <row r="151" spans="1:13">
      <c r="A151" t="s">
        <v>336</v>
      </c>
      <c r="B151" s="1">
        <v>42218</v>
      </c>
      <c r="C151" s="1">
        <v>42219</v>
      </c>
      <c r="E151" t="s">
        <v>62</v>
      </c>
      <c r="F151" t="s">
        <v>63</v>
      </c>
      <c r="G151" t="s">
        <v>28</v>
      </c>
      <c r="H151" t="s">
        <v>2654</v>
      </c>
      <c r="I151">
        <v>1112.778</v>
      </c>
      <c r="J151">
        <v>3</v>
      </c>
      <c r="L151">
        <v>296.65800000000002</v>
      </c>
      <c r="M151" t="s">
        <v>23</v>
      </c>
    </row>
    <row r="152" spans="1:13">
      <c r="A152" t="s">
        <v>337</v>
      </c>
      <c r="B152" s="1">
        <v>41171</v>
      </c>
      <c r="C152" t="s">
        <v>338</v>
      </c>
      <c r="D152" t="s">
        <v>267</v>
      </c>
      <c r="E152" t="s">
        <v>20</v>
      </c>
      <c r="F152" t="s">
        <v>63</v>
      </c>
      <c r="G152" t="s">
        <v>16</v>
      </c>
      <c r="H152" t="s">
        <v>2661</v>
      </c>
      <c r="I152">
        <v>3616.5</v>
      </c>
      <c r="J152">
        <v>10</v>
      </c>
      <c r="K152">
        <v>0</v>
      </c>
      <c r="L152">
        <v>36</v>
      </c>
      <c r="M152" t="s">
        <v>23</v>
      </c>
    </row>
    <row r="153" spans="1:13">
      <c r="A153" t="s">
        <v>299</v>
      </c>
      <c r="B153" s="1">
        <v>41712</v>
      </c>
      <c r="C153" s="1">
        <v>41717</v>
      </c>
      <c r="D153" t="s">
        <v>264</v>
      </c>
      <c r="E153" t="s">
        <v>322</v>
      </c>
      <c r="F153" t="s">
        <v>142</v>
      </c>
      <c r="G153" t="s">
        <v>28</v>
      </c>
      <c r="H153" t="s">
        <v>2663</v>
      </c>
      <c r="I153">
        <v>127.88</v>
      </c>
      <c r="J153">
        <v>2</v>
      </c>
      <c r="K153">
        <v>0</v>
      </c>
      <c r="L153">
        <v>40.921599999999998</v>
      </c>
      <c r="M153" t="s">
        <v>17</v>
      </c>
    </row>
    <row r="154" spans="1:13">
      <c r="A154" t="s">
        <v>339</v>
      </c>
      <c r="B154" s="1">
        <v>41709</v>
      </c>
      <c r="C154" s="1">
        <v>41713</v>
      </c>
      <c r="D154" t="s">
        <v>340</v>
      </c>
      <c r="E154" t="s">
        <v>14</v>
      </c>
      <c r="F154" t="s">
        <v>15</v>
      </c>
      <c r="G154" t="s">
        <v>16</v>
      </c>
      <c r="H154" t="s">
        <v>2657</v>
      </c>
      <c r="I154">
        <v>2892.10499999999</v>
      </c>
      <c r="J154">
        <v>5</v>
      </c>
      <c r="K154">
        <v>0.1</v>
      </c>
      <c r="L154">
        <v>160.60499999999999</v>
      </c>
      <c r="M154" t="s">
        <v>32</v>
      </c>
    </row>
    <row r="155" spans="1:13">
      <c r="A155" t="s">
        <v>341</v>
      </c>
      <c r="B155" s="1">
        <v>41306</v>
      </c>
      <c r="C155" s="1">
        <v>41309</v>
      </c>
      <c r="D155" t="s">
        <v>150</v>
      </c>
      <c r="E155" t="s">
        <v>20</v>
      </c>
      <c r="F155" t="s">
        <v>63</v>
      </c>
      <c r="G155" t="s">
        <v>16</v>
      </c>
      <c r="H155" t="s">
        <v>2662</v>
      </c>
      <c r="I155">
        <v>3263.4</v>
      </c>
      <c r="J155">
        <v>5</v>
      </c>
      <c r="K155">
        <v>0</v>
      </c>
      <c r="L155">
        <v>848.4</v>
      </c>
      <c r="M155" t="s">
        <v>342</v>
      </c>
    </row>
    <row r="156" spans="1:13">
      <c r="A156" t="s">
        <v>343</v>
      </c>
      <c r="B156" s="1">
        <v>41712</v>
      </c>
      <c r="C156" s="1">
        <v>41717</v>
      </c>
      <c r="D156" t="s">
        <v>264</v>
      </c>
      <c r="E156" t="s">
        <v>35</v>
      </c>
      <c r="F156" t="s">
        <v>142</v>
      </c>
      <c r="G156" t="s">
        <v>39</v>
      </c>
      <c r="H156" t="s">
        <v>2656</v>
      </c>
      <c r="I156">
        <v>46</v>
      </c>
      <c r="J156">
        <v>4</v>
      </c>
      <c r="K156">
        <v>0</v>
      </c>
      <c r="L156">
        <v>20.7</v>
      </c>
      <c r="M156" t="s">
        <v>17</v>
      </c>
    </row>
    <row r="157" spans="1:13">
      <c r="A157" t="s">
        <v>344</v>
      </c>
      <c r="B157" s="1">
        <v>42103</v>
      </c>
      <c r="C157" s="1">
        <v>42107</v>
      </c>
      <c r="D157" t="s">
        <v>345</v>
      </c>
      <c r="E157" t="s">
        <v>346</v>
      </c>
      <c r="F157" t="s">
        <v>89</v>
      </c>
      <c r="G157" t="s">
        <v>28</v>
      </c>
      <c r="H157" t="s">
        <v>2656</v>
      </c>
      <c r="I157">
        <v>3117.0879999999902</v>
      </c>
      <c r="J157">
        <v>13</v>
      </c>
      <c r="K157">
        <v>0.2</v>
      </c>
      <c r="L157">
        <v>38.948</v>
      </c>
      <c r="M157" t="s">
        <v>32</v>
      </c>
    </row>
    <row r="158" spans="1:13">
      <c r="A158" t="s">
        <v>347</v>
      </c>
      <c r="B158" s="1">
        <v>41881</v>
      </c>
      <c r="C158" s="1">
        <v>41886</v>
      </c>
      <c r="D158" t="s">
        <v>264</v>
      </c>
      <c r="E158" t="s">
        <v>35</v>
      </c>
      <c r="F158" t="s">
        <v>102</v>
      </c>
      <c r="G158" t="s">
        <v>39</v>
      </c>
      <c r="H158" t="s">
        <v>2663</v>
      </c>
      <c r="I158">
        <v>27.93</v>
      </c>
      <c r="J158">
        <v>3</v>
      </c>
      <c r="K158">
        <v>0</v>
      </c>
      <c r="L158">
        <v>8.0996999999999897</v>
      </c>
      <c r="M158" t="s">
        <v>17</v>
      </c>
    </row>
    <row r="159" spans="1:13">
      <c r="A159" t="s">
        <v>348</v>
      </c>
      <c r="B159" s="1">
        <v>42082</v>
      </c>
      <c r="C159" s="1">
        <v>42084</v>
      </c>
      <c r="D159" t="s">
        <v>349</v>
      </c>
      <c r="E159" t="s">
        <v>88</v>
      </c>
      <c r="F159" t="s">
        <v>89</v>
      </c>
      <c r="G159" t="s">
        <v>39</v>
      </c>
      <c r="H159" t="s">
        <v>2658</v>
      </c>
      <c r="I159">
        <v>1888.7</v>
      </c>
      <c r="J159">
        <v>5</v>
      </c>
      <c r="K159">
        <v>0</v>
      </c>
      <c r="L159">
        <v>887.6</v>
      </c>
      <c r="M159" t="s">
        <v>32</v>
      </c>
    </row>
    <row r="160" spans="1:13">
      <c r="A160" t="s">
        <v>350</v>
      </c>
      <c r="B160" s="1">
        <v>41914</v>
      </c>
      <c r="C160" s="1">
        <v>41916</v>
      </c>
      <c r="D160" t="s">
        <v>351</v>
      </c>
      <c r="E160" t="s">
        <v>58</v>
      </c>
      <c r="F160" t="s">
        <v>81</v>
      </c>
      <c r="G160" t="s">
        <v>39</v>
      </c>
      <c r="H160" t="s">
        <v>2662</v>
      </c>
      <c r="I160">
        <v>3000.7799999999902</v>
      </c>
      <c r="J160">
        <v>6</v>
      </c>
      <c r="K160">
        <v>0</v>
      </c>
      <c r="L160">
        <v>1080.18</v>
      </c>
      <c r="M160" t="s">
        <v>32</v>
      </c>
    </row>
    <row r="161" spans="1:13">
      <c r="A161" t="s">
        <v>352</v>
      </c>
      <c r="B161" s="1">
        <v>41651</v>
      </c>
      <c r="C161" s="1">
        <v>41654</v>
      </c>
      <c r="E161" t="s">
        <v>186</v>
      </c>
      <c r="F161" t="s">
        <v>68</v>
      </c>
      <c r="G161" t="s">
        <v>39</v>
      </c>
      <c r="H161" t="s">
        <v>2661</v>
      </c>
      <c r="I161">
        <v>3801.63</v>
      </c>
      <c r="J161">
        <v>7</v>
      </c>
      <c r="K161">
        <v>0</v>
      </c>
      <c r="L161">
        <v>1444.59</v>
      </c>
      <c r="M161" t="s">
        <v>17</v>
      </c>
    </row>
    <row r="162" spans="1:13">
      <c r="A162" t="s">
        <v>353</v>
      </c>
      <c r="B162" s="1">
        <v>42236</v>
      </c>
      <c r="C162" s="1">
        <v>42241</v>
      </c>
      <c r="D162" t="s">
        <v>354</v>
      </c>
      <c r="E162" t="s">
        <v>48</v>
      </c>
      <c r="F162" t="s">
        <v>49</v>
      </c>
      <c r="G162" t="s">
        <v>16</v>
      </c>
      <c r="H162" t="s">
        <v>2661</v>
      </c>
      <c r="I162">
        <v>5211.12</v>
      </c>
      <c r="J162">
        <v>8</v>
      </c>
      <c r="K162">
        <v>0</v>
      </c>
      <c r="L162">
        <v>1146.24</v>
      </c>
      <c r="M162" t="s">
        <v>17</v>
      </c>
    </row>
    <row r="163" spans="1:13">
      <c r="A163" t="s">
        <v>93</v>
      </c>
      <c r="B163" s="1">
        <v>41259</v>
      </c>
      <c r="C163" s="1">
        <v>41262</v>
      </c>
      <c r="D163" t="s">
        <v>94</v>
      </c>
      <c r="E163" t="s">
        <v>95</v>
      </c>
      <c r="F163" t="s">
        <v>81</v>
      </c>
      <c r="H163" t="s">
        <v>2661</v>
      </c>
      <c r="I163">
        <v>1356.03</v>
      </c>
      <c r="J163">
        <v>3</v>
      </c>
      <c r="K163">
        <v>0</v>
      </c>
      <c r="L163">
        <v>311.849999999999</v>
      </c>
      <c r="M163" t="s">
        <v>23</v>
      </c>
    </row>
    <row r="164" spans="1:13">
      <c r="A164" t="s">
        <v>355</v>
      </c>
      <c r="B164" t="s">
        <v>356</v>
      </c>
      <c r="C164" s="1">
        <v>42081</v>
      </c>
      <c r="D164" t="s">
        <v>357</v>
      </c>
      <c r="E164" t="s">
        <v>14</v>
      </c>
      <c r="F164" t="s">
        <v>15</v>
      </c>
      <c r="G164" t="s">
        <v>39</v>
      </c>
      <c r="H164" t="s">
        <v>2656</v>
      </c>
      <c r="J164">
        <v>7</v>
      </c>
      <c r="K164">
        <v>0.1</v>
      </c>
      <c r="L164">
        <v>674.16300000000001</v>
      </c>
      <c r="M164" t="s">
        <v>32</v>
      </c>
    </row>
    <row r="165" spans="1:13">
      <c r="A165" t="s">
        <v>358</v>
      </c>
      <c r="B165" s="1">
        <v>41535</v>
      </c>
      <c r="C165" s="1">
        <v>41541</v>
      </c>
      <c r="D165" t="s">
        <v>264</v>
      </c>
      <c r="E165" t="s">
        <v>35</v>
      </c>
      <c r="F165" t="s">
        <v>38</v>
      </c>
      <c r="G165" t="s">
        <v>39</v>
      </c>
      <c r="H165" t="s">
        <v>2658</v>
      </c>
      <c r="I165">
        <v>18.54</v>
      </c>
      <c r="J165">
        <v>2</v>
      </c>
      <c r="K165">
        <v>0</v>
      </c>
      <c r="L165">
        <v>8.7137999999999902</v>
      </c>
      <c r="M165" t="s">
        <v>17</v>
      </c>
    </row>
    <row r="166" spans="1:13">
      <c r="A166" t="s">
        <v>359</v>
      </c>
      <c r="B166" s="1">
        <v>42194</v>
      </c>
      <c r="C166" s="1">
        <v>42198</v>
      </c>
      <c r="E166" t="s">
        <v>131</v>
      </c>
      <c r="F166" t="s">
        <v>132</v>
      </c>
      <c r="G166" t="s">
        <v>28</v>
      </c>
      <c r="H166" t="s">
        <v>2661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32</v>
      </c>
    </row>
    <row r="167" spans="1:13">
      <c r="A167" t="s">
        <v>360</v>
      </c>
      <c r="B167" s="1">
        <v>41801</v>
      </c>
      <c r="C167" s="1">
        <v>41805</v>
      </c>
      <c r="D167" t="s">
        <v>361</v>
      </c>
      <c r="E167" t="s">
        <v>131</v>
      </c>
      <c r="F167" t="s">
        <v>132</v>
      </c>
      <c r="G167" t="s">
        <v>28</v>
      </c>
      <c r="H167" t="s">
        <v>2654</v>
      </c>
      <c r="I167">
        <v>3126.40019999999</v>
      </c>
      <c r="J167">
        <v>9</v>
      </c>
      <c r="K167">
        <v>0.27</v>
      </c>
      <c r="L167">
        <v>-128.719799999999</v>
      </c>
      <c r="M167" t="s">
        <v>32</v>
      </c>
    </row>
    <row r="168" spans="1:13">
      <c r="A168" t="s">
        <v>362</v>
      </c>
      <c r="B168" s="1">
        <v>41130</v>
      </c>
      <c r="C168" s="1">
        <v>41137</v>
      </c>
      <c r="D168" t="s">
        <v>363</v>
      </c>
      <c r="E168" t="s">
        <v>84</v>
      </c>
      <c r="F168" t="s">
        <v>85</v>
      </c>
      <c r="G168" t="s">
        <v>16</v>
      </c>
      <c r="H168" t="s">
        <v>2663</v>
      </c>
      <c r="I168">
        <v>5276.9880000000003</v>
      </c>
      <c r="J168">
        <v>9</v>
      </c>
      <c r="K168">
        <v>0.1</v>
      </c>
      <c r="L168">
        <v>1758.8879999999899</v>
      </c>
      <c r="M168" t="s">
        <v>17</v>
      </c>
    </row>
    <row r="169" spans="1:13">
      <c r="B169" s="1">
        <v>42080</v>
      </c>
      <c r="C169" s="1">
        <v>42084</v>
      </c>
      <c r="D169" t="s">
        <v>364</v>
      </c>
      <c r="E169" t="s">
        <v>310</v>
      </c>
      <c r="F169" t="s">
        <v>132</v>
      </c>
      <c r="G169" t="s">
        <v>16</v>
      </c>
      <c r="H169" t="s">
        <v>2655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32</v>
      </c>
    </row>
    <row r="170" spans="1:13">
      <c r="A170" t="s">
        <v>365</v>
      </c>
      <c r="B170" s="1">
        <v>41641</v>
      </c>
      <c r="C170" s="1">
        <v>41642</v>
      </c>
      <c r="D170" t="s">
        <v>366</v>
      </c>
      <c r="E170" t="s">
        <v>14</v>
      </c>
      <c r="F170" t="s">
        <v>15</v>
      </c>
      <c r="G170" t="s">
        <v>28</v>
      </c>
      <c r="H170" t="s">
        <v>2656</v>
      </c>
      <c r="I170">
        <v>1637.01</v>
      </c>
      <c r="J170">
        <v>5</v>
      </c>
      <c r="K170">
        <v>0.1</v>
      </c>
      <c r="L170">
        <v>-36.39</v>
      </c>
      <c r="M170" t="s">
        <v>17</v>
      </c>
    </row>
    <row r="171" spans="1:13">
      <c r="A171" t="s">
        <v>292</v>
      </c>
      <c r="B171" s="1">
        <v>41884</v>
      </c>
      <c r="C171" s="1">
        <v>41886</v>
      </c>
      <c r="D171" t="s">
        <v>264</v>
      </c>
      <c r="E171" t="s">
        <v>35</v>
      </c>
      <c r="F171" t="s">
        <v>102</v>
      </c>
      <c r="G171" t="s">
        <v>39</v>
      </c>
      <c r="H171" t="s">
        <v>2656</v>
      </c>
      <c r="I171">
        <v>3.048</v>
      </c>
      <c r="J171">
        <v>1</v>
      </c>
      <c r="K171">
        <v>0.2</v>
      </c>
      <c r="L171">
        <v>1.0668</v>
      </c>
      <c r="M171" t="s">
        <v>23</v>
      </c>
    </row>
    <row r="172" spans="1:13">
      <c r="A172" t="s">
        <v>367</v>
      </c>
      <c r="B172" s="1">
        <v>41557</v>
      </c>
      <c r="C172" s="1">
        <v>41558</v>
      </c>
      <c r="D172" t="s">
        <v>368</v>
      </c>
      <c r="F172" t="s">
        <v>132</v>
      </c>
      <c r="G172" t="s">
        <v>16</v>
      </c>
      <c r="H172" t="s">
        <v>2663</v>
      </c>
      <c r="I172">
        <v>2645.3760000000002</v>
      </c>
      <c r="J172">
        <v>5</v>
      </c>
      <c r="K172" t="s">
        <v>369</v>
      </c>
      <c r="L172">
        <v>-2.4000000000114499E-2</v>
      </c>
      <c r="M172" t="s">
        <v>32</v>
      </c>
    </row>
    <row r="173" spans="1:13">
      <c r="A173" t="s">
        <v>292</v>
      </c>
      <c r="B173" s="1">
        <v>41884</v>
      </c>
      <c r="C173" s="1">
        <v>41886</v>
      </c>
      <c r="E173" t="s">
        <v>35</v>
      </c>
      <c r="F173" t="s">
        <v>102</v>
      </c>
      <c r="G173" t="s">
        <v>16</v>
      </c>
      <c r="H173" t="s">
        <v>2662</v>
      </c>
      <c r="I173" t="s">
        <v>370</v>
      </c>
      <c r="J173">
        <v>1</v>
      </c>
      <c r="K173" t="s">
        <v>215</v>
      </c>
      <c r="L173">
        <v>2.3086000000000002</v>
      </c>
      <c r="M173" t="s">
        <v>23</v>
      </c>
    </row>
    <row r="174" spans="1:13">
      <c r="A174" t="s">
        <v>371</v>
      </c>
      <c r="B174" s="1">
        <v>41076</v>
      </c>
      <c r="C174" s="1">
        <v>41078</v>
      </c>
      <c r="D174" t="s">
        <v>372</v>
      </c>
      <c r="E174" t="s">
        <v>58</v>
      </c>
      <c r="F174" t="s">
        <v>81</v>
      </c>
      <c r="G174" t="s">
        <v>28</v>
      </c>
      <c r="H174" t="s">
        <v>2656</v>
      </c>
      <c r="I174">
        <v>3238.3049999999998</v>
      </c>
      <c r="J174">
        <v>5</v>
      </c>
      <c r="K174">
        <v>0.3</v>
      </c>
      <c r="L174" t="s">
        <v>373</v>
      </c>
      <c r="M174" t="s">
        <v>32</v>
      </c>
    </row>
    <row r="175" spans="1:13">
      <c r="A175" t="s">
        <v>374</v>
      </c>
      <c r="B175" s="1">
        <v>42097</v>
      </c>
      <c r="C175" s="1">
        <v>42099</v>
      </c>
      <c r="D175" t="s">
        <v>375</v>
      </c>
      <c r="E175" t="s">
        <v>84</v>
      </c>
      <c r="F175" t="s">
        <v>85</v>
      </c>
      <c r="G175" t="s">
        <v>28</v>
      </c>
      <c r="H175" t="s">
        <v>2656</v>
      </c>
      <c r="I175">
        <v>2291.8139999999999</v>
      </c>
      <c r="J175">
        <v>7</v>
      </c>
      <c r="K175">
        <v>0.1</v>
      </c>
      <c r="M175" t="s">
        <v>32</v>
      </c>
    </row>
    <row r="176" spans="1:13">
      <c r="A176" t="s">
        <v>376</v>
      </c>
      <c r="B176" s="1">
        <v>41045</v>
      </c>
      <c r="C176" s="1">
        <v>41048</v>
      </c>
      <c r="D176" t="s">
        <v>377</v>
      </c>
      <c r="E176" t="s">
        <v>88</v>
      </c>
      <c r="F176" t="s">
        <v>89</v>
      </c>
      <c r="G176" t="s">
        <v>16</v>
      </c>
      <c r="H176" t="s">
        <v>2658</v>
      </c>
      <c r="I176">
        <v>2124.5</v>
      </c>
      <c r="J176">
        <v>5</v>
      </c>
      <c r="K176">
        <v>0</v>
      </c>
      <c r="L176">
        <v>488.6</v>
      </c>
      <c r="M176" t="s">
        <v>32</v>
      </c>
    </row>
    <row r="177" spans="1:13">
      <c r="A177" t="s">
        <v>378</v>
      </c>
      <c r="B177" s="1">
        <v>42046</v>
      </c>
      <c r="C177" s="1">
        <v>42050</v>
      </c>
      <c r="D177" t="s">
        <v>250</v>
      </c>
      <c r="E177" t="s">
        <v>379</v>
      </c>
      <c r="F177" t="s">
        <v>380</v>
      </c>
      <c r="G177" t="s">
        <v>28</v>
      </c>
      <c r="H177" t="s">
        <v>2663</v>
      </c>
      <c r="K177">
        <v>0</v>
      </c>
      <c r="L177">
        <v>744.48</v>
      </c>
      <c r="M177" t="s">
        <v>32</v>
      </c>
    </row>
    <row r="178" spans="1:13">
      <c r="A178" t="s">
        <v>381</v>
      </c>
      <c r="B178" s="1">
        <v>41924</v>
      </c>
      <c r="C178" s="1">
        <v>41924</v>
      </c>
      <c r="D178" t="s">
        <v>382</v>
      </c>
      <c r="E178" t="s">
        <v>186</v>
      </c>
      <c r="F178" t="s">
        <v>68</v>
      </c>
      <c r="G178" t="s">
        <v>16</v>
      </c>
      <c r="H178" t="s">
        <v>2656</v>
      </c>
      <c r="I178">
        <v>1549.98</v>
      </c>
      <c r="J178">
        <v>6</v>
      </c>
      <c r="K178">
        <v>0</v>
      </c>
      <c r="L178">
        <v>139.32</v>
      </c>
      <c r="M178" t="s">
        <v>23</v>
      </c>
    </row>
    <row r="179" spans="1:13">
      <c r="A179" t="s">
        <v>383</v>
      </c>
      <c r="B179" s="1">
        <v>42264</v>
      </c>
      <c r="C179" s="1">
        <v>42269</v>
      </c>
      <c r="D179" t="s">
        <v>264</v>
      </c>
      <c r="E179" t="s">
        <v>35</v>
      </c>
      <c r="F179" t="s">
        <v>102</v>
      </c>
      <c r="H179" t="s">
        <v>2655</v>
      </c>
      <c r="I179">
        <v>20.736000000000001</v>
      </c>
      <c r="J179">
        <v>4</v>
      </c>
      <c r="K179">
        <v>0.2</v>
      </c>
      <c r="L179">
        <v>7.2576000000000001</v>
      </c>
      <c r="M179" t="s">
        <v>32</v>
      </c>
    </row>
    <row r="180" spans="1:13">
      <c r="A180" t="s">
        <v>384</v>
      </c>
      <c r="B180" s="1">
        <v>42202</v>
      </c>
      <c r="C180" s="1">
        <v>42204</v>
      </c>
      <c r="D180" t="s">
        <v>385</v>
      </c>
      <c r="E180" t="s">
        <v>386</v>
      </c>
      <c r="F180" t="s">
        <v>78</v>
      </c>
      <c r="G180" t="s">
        <v>39</v>
      </c>
      <c r="H180" t="s">
        <v>2654</v>
      </c>
      <c r="I180">
        <v>3146.3999999999901</v>
      </c>
      <c r="J180">
        <v>6</v>
      </c>
      <c r="K180">
        <v>0</v>
      </c>
      <c r="L180">
        <v>629.28</v>
      </c>
      <c r="M180" t="s">
        <v>23</v>
      </c>
    </row>
    <row r="181" spans="1:13">
      <c r="A181" t="s">
        <v>387</v>
      </c>
      <c r="B181" s="1">
        <v>42330</v>
      </c>
      <c r="C181" s="1">
        <v>42336</v>
      </c>
      <c r="D181" t="s">
        <v>388</v>
      </c>
      <c r="E181" t="s">
        <v>62</v>
      </c>
      <c r="F181" t="s">
        <v>63</v>
      </c>
      <c r="G181" t="s">
        <v>16</v>
      </c>
      <c r="H181" t="s">
        <v>2662</v>
      </c>
      <c r="I181">
        <v>2456.6190000000001</v>
      </c>
      <c r="J181">
        <v>11</v>
      </c>
      <c r="K181">
        <v>0.15</v>
      </c>
      <c r="L181">
        <v>664.71900000000005</v>
      </c>
      <c r="M181" t="s">
        <v>65</v>
      </c>
    </row>
    <row r="182" spans="1:13">
      <c r="A182" t="s">
        <v>389</v>
      </c>
      <c r="B182" s="1">
        <v>41058</v>
      </c>
      <c r="C182" s="1">
        <v>41061</v>
      </c>
      <c r="D182" t="s">
        <v>390</v>
      </c>
      <c r="E182" t="s">
        <v>62</v>
      </c>
      <c r="F182" t="s">
        <v>63</v>
      </c>
      <c r="G182" t="s">
        <v>28</v>
      </c>
      <c r="H182" t="s">
        <v>2661</v>
      </c>
      <c r="I182">
        <v>2228.6354999999999</v>
      </c>
      <c r="J182">
        <v>7</v>
      </c>
      <c r="K182">
        <v>0.35</v>
      </c>
      <c r="M182" t="s">
        <v>23</v>
      </c>
    </row>
    <row r="183" spans="1:13">
      <c r="A183" t="s">
        <v>314</v>
      </c>
      <c r="B183" s="1">
        <v>42314</v>
      </c>
      <c r="C183" s="1">
        <v>42316</v>
      </c>
      <c r="D183" t="s">
        <v>264</v>
      </c>
      <c r="E183" t="s">
        <v>35</v>
      </c>
      <c r="F183" t="s">
        <v>36</v>
      </c>
      <c r="G183" t="s">
        <v>39</v>
      </c>
      <c r="H183" t="s">
        <v>2662</v>
      </c>
      <c r="I183">
        <v>4.41</v>
      </c>
      <c r="J183">
        <v>1</v>
      </c>
      <c r="K183">
        <v>0</v>
      </c>
      <c r="L183">
        <v>2.0286</v>
      </c>
      <c r="M183" t="s">
        <v>32</v>
      </c>
    </row>
    <row r="184" spans="1:13">
      <c r="B184" s="1">
        <v>42202</v>
      </c>
      <c r="C184" s="1">
        <v>42205</v>
      </c>
      <c r="D184" t="s">
        <v>391</v>
      </c>
      <c r="E184" t="s">
        <v>105</v>
      </c>
      <c r="F184" t="s">
        <v>106</v>
      </c>
      <c r="G184" t="s">
        <v>39</v>
      </c>
      <c r="H184" t="s">
        <v>2658</v>
      </c>
      <c r="I184">
        <v>4001.03999999999</v>
      </c>
      <c r="J184">
        <v>8</v>
      </c>
      <c r="K184">
        <v>0</v>
      </c>
      <c r="M184" t="s">
        <v>17</v>
      </c>
    </row>
    <row r="185" spans="1:13">
      <c r="A185" t="s">
        <v>392</v>
      </c>
      <c r="B185" s="1">
        <v>42245</v>
      </c>
      <c r="C185" s="1">
        <v>42250</v>
      </c>
      <c r="D185" t="s">
        <v>393</v>
      </c>
      <c r="E185" t="s">
        <v>62</v>
      </c>
      <c r="F185" t="s">
        <v>63</v>
      </c>
      <c r="G185" t="s">
        <v>16</v>
      </c>
      <c r="H185" t="s">
        <v>2657</v>
      </c>
      <c r="I185">
        <v>4876.875</v>
      </c>
      <c r="J185">
        <v>9</v>
      </c>
      <c r="K185">
        <v>0.15</v>
      </c>
      <c r="L185">
        <v>745.875</v>
      </c>
      <c r="M185" t="s">
        <v>17</v>
      </c>
    </row>
    <row r="186" spans="1:13">
      <c r="B186" s="1">
        <v>41634</v>
      </c>
      <c r="C186" s="1">
        <v>41634</v>
      </c>
      <c r="D186" t="s">
        <v>394</v>
      </c>
      <c r="E186" t="s">
        <v>14</v>
      </c>
      <c r="F186" t="s">
        <v>15</v>
      </c>
      <c r="G186" t="s">
        <v>28</v>
      </c>
      <c r="H186" t="s">
        <v>2661</v>
      </c>
      <c r="I186">
        <v>1788.8219999999901</v>
      </c>
      <c r="J186">
        <v>6</v>
      </c>
      <c r="K186">
        <v>0.3</v>
      </c>
      <c r="L186">
        <v>204.28200000000001</v>
      </c>
      <c r="M186" t="s">
        <v>23</v>
      </c>
    </row>
    <row r="187" spans="1:13">
      <c r="A187" t="s">
        <v>133</v>
      </c>
      <c r="B187" s="1">
        <v>42319</v>
      </c>
      <c r="C187" s="1">
        <v>42323</v>
      </c>
      <c r="D187" t="s">
        <v>134</v>
      </c>
      <c r="E187" t="s">
        <v>105</v>
      </c>
      <c r="F187" t="s">
        <v>106</v>
      </c>
      <c r="G187" t="s">
        <v>39</v>
      </c>
      <c r="H187" t="s">
        <v>2656</v>
      </c>
      <c r="I187">
        <v>3622.28999999999</v>
      </c>
      <c r="J187">
        <v>7</v>
      </c>
      <c r="K187">
        <v>0</v>
      </c>
      <c r="L187">
        <v>1267.77</v>
      </c>
      <c r="M187" t="s">
        <v>32</v>
      </c>
    </row>
    <row r="188" spans="1:13">
      <c r="A188" t="s">
        <v>395</v>
      </c>
      <c r="B188" s="1">
        <v>41760</v>
      </c>
      <c r="C188" s="1">
        <v>41763</v>
      </c>
      <c r="E188" t="s">
        <v>131</v>
      </c>
      <c r="F188" t="s">
        <v>132</v>
      </c>
      <c r="G188" t="s">
        <v>28</v>
      </c>
      <c r="H188" t="s">
        <v>2658</v>
      </c>
      <c r="I188">
        <v>1242.585</v>
      </c>
      <c r="J188">
        <v>5</v>
      </c>
      <c r="K188">
        <v>0.47</v>
      </c>
      <c r="L188">
        <v>-140.715</v>
      </c>
      <c r="M188" t="s">
        <v>396</v>
      </c>
    </row>
    <row r="189" spans="1:13">
      <c r="A189" t="s">
        <v>397</v>
      </c>
      <c r="B189" s="1">
        <v>41136</v>
      </c>
      <c r="C189" s="1">
        <v>41141</v>
      </c>
      <c r="D189" t="s">
        <v>398</v>
      </c>
      <c r="E189" t="s">
        <v>84</v>
      </c>
      <c r="F189" t="s">
        <v>85</v>
      </c>
      <c r="G189" t="s">
        <v>16</v>
      </c>
      <c r="H189" t="s">
        <v>2661</v>
      </c>
      <c r="I189">
        <v>4453.05</v>
      </c>
      <c r="J189">
        <v>7</v>
      </c>
      <c r="K189">
        <v>0</v>
      </c>
      <c r="L189">
        <v>1424.85</v>
      </c>
      <c r="M189" t="s">
        <v>17</v>
      </c>
    </row>
    <row r="190" spans="1:13">
      <c r="A190" t="s">
        <v>399</v>
      </c>
      <c r="B190" s="1">
        <v>42341</v>
      </c>
      <c r="C190" s="1">
        <v>42345</v>
      </c>
      <c r="E190" t="s">
        <v>400</v>
      </c>
      <c r="F190" t="s">
        <v>132</v>
      </c>
      <c r="G190" t="s">
        <v>28</v>
      </c>
      <c r="H190" t="s">
        <v>2658</v>
      </c>
      <c r="I190">
        <v>2673.36</v>
      </c>
      <c r="J190">
        <v>8</v>
      </c>
      <c r="K190">
        <v>0</v>
      </c>
      <c r="L190">
        <v>1069.19999999999</v>
      </c>
      <c r="M190" t="s">
        <v>32</v>
      </c>
    </row>
    <row r="191" spans="1:13">
      <c r="A191" t="s">
        <v>401</v>
      </c>
      <c r="B191" s="1">
        <v>41815</v>
      </c>
      <c r="C191" s="1">
        <v>41819</v>
      </c>
      <c r="E191" t="s">
        <v>14</v>
      </c>
      <c r="F191" t="s">
        <v>15</v>
      </c>
      <c r="G191" t="s">
        <v>28</v>
      </c>
      <c r="H191" t="s">
        <v>2656</v>
      </c>
      <c r="J191">
        <v>5</v>
      </c>
      <c r="K191">
        <v>0.1</v>
      </c>
      <c r="L191">
        <v>3044.2857968140702</v>
      </c>
      <c r="M191" t="s">
        <v>32</v>
      </c>
    </row>
    <row r="192" spans="1:13">
      <c r="A192" t="s">
        <v>402</v>
      </c>
      <c r="B192" s="1">
        <v>41660</v>
      </c>
      <c r="C192" s="1">
        <v>41663</v>
      </c>
      <c r="D192" t="s">
        <v>403</v>
      </c>
      <c r="E192" t="s">
        <v>84</v>
      </c>
      <c r="F192" t="s">
        <v>404</v>
      </c>
      <c r="G192" t="s">
        <v>28</v>
      </c>
      <c r="H192" t="s">
        <v>2658</v>
      </c>
      <c r="I192">
        <v>5451.2999999999902</v>
      </c>
      <c r="J192">
        <v>6</v>
      </c>
      <c r="L192">
        <v>2071.44</v>
      </c>
      <c r="M192" t="s">
        <v>17</v>
      </c>
    </row>
    <row r="193" spans="1:13">
      <c r="A193" t="s">
        <v>405</v>
      </c>
      <c r="B193" s="1">
        <v>42301</v>
      </c>
      <c r="C193" s="1">
        <v>42302</v>
      </c>
      <c r="D193" t="s">
        <v>406</v>
      </c>
      <c r="E193" t="s">
        <v>35</v>
      </c>
      <c r="F193" t="s">
        <v>102</v>
      </c>
      <c r="G193" t="s">
        <v>28</v>
      </c>
      <c r="H193" t="s">
        <v>2655</v>
      </c>
      <c r="I193">
        <v>637.89599999999996</v>
      </c>
      <c r="J193">
        <v>3</v>
      </c>
      <c r="K193">
        <v>0.3</v>
      </c>
      <c r="L193">
        <v>-127.57919999999901</v>
      </c>
      <c r="M193" t="s">
        <v>23</v>
      </c>
    </row>
    <row r="194" spans="1:13">
      <c r="A194" t="s">
        <v>407</v>
      </c>
      <c r="B194" s="1">
        <v>42197</v>
      </c>
      <c r="C194" s="1">
        <v>42199</v>
      </c>
      <c r="D194" t="s">
        <v>408</v>
      </c>
      <c r="E194" t="s">
        <v>131</v>
      </c>
      <c r="F194" t="s">
        <v>132</v>
      </c>
      <c r="G194" t="s">
        <v>39</v>
      </c>
      <c r="H194" t="s">
        <v>2658</v>
      </c>
      <c r="I194">
        <v>1722.2831999999901</v>
      </c>
      <c r="J194">
        <v>4</v>
      </c>
      <c r="K194">
        <v>0.17</v>
      </c>
      <c r="L194">
        <v>539.44319999999902</v>
      </c>
      <c r="M194" t="s">
        <v>23</v>
      </c>
    </row>
    <row r="195" spans="1:13">
      <c r="A195" t="s">
        <v>405</v>
      </c>
      <c r="B195" t="s">
        <v>409</v>
      </c>
      <c r="C195" s="1">
        <v>42302</v>
      </c>
      <c r="D195" t="s">
        <v>410</v>
      </c>
      <c r="E195" t="s">
        <v>35</v>
      </c>
      <c r="F195" t="s">
        <v>102</v>
      </c>
      <c r="G195" t="s">
        <v>28</v>
      </c>
      <c r="H195" t="s">
        <v>2659</v>
      </c>
      <c r="I195">
        <v>210.68</v>
      </c>
      <c r="J195">
        <v>2</v>
      </c>
      <c r="K195">
        <v>0</v>
      </c>
      <c r="L195">
        <v>50.563199999999902</v>
      </c>
      <c r="M195" t="s">
        <v>23</v>
      </c>
    </row>
    <row r="196" spans="1:13">
      <c r="A196" t="s">
        <v>411</v>
      </c>
      <c r="B196" s="1">
        <v>42248</v>
      </c>
      <c r="C196" s="1">
        <v>42248</v>
      </c>
      <c r="D196" t="s">
        <v>412</v>
      </c>
      <c r="E196" t="s">
        <v>20</v>
      </c>
      <c r="F196" t="s">
        <v>63</v>
      </c>
      <c r="G196" t="s">
        <v>39</v>
      </c>
      <c r="H196" t="s">
        <v>2661</v>
      </c>
      <c r="I196">
        <v>1007.424</v>
      </c>
      <c r="J196">
        <v>2</v>
      </c>
      <c r="K196">
        <v>0.1</v>
      </c>
      <c r="L196">
        <v>134.30399999999901</v>
      </c>
      <c r="M196" t="s">
        <v>23</v>
      </c>
    </row>
    <row r="197" spans="1:13">
      <c r="A197" t="s">
        <v>405</v>
      </c>
      <c r="B197" s="1">
        <v>42301</v>
      </c>
      <c r="C197" s="1">
        <v>42302</v>
      </c>
      <c r="D197" t="s">
        <v>406</v>
      </c>
      <c r="E197" t="s">
        <v>35</v>
      </c>
      <c r="F197" t="s">
        <v>102</v>
      </c>
      <c r="G197" t="s">
        <v>28</v>
      </c>
      <c r="H197" t="s">
        <v>2656</v>
      </c>
      <c r="I197">
        <v>240.744</v>
      </c>
      <c r="J197">
        <v>4</v>
      </c>
      <c r="K197">
        <v>0.3</v>
      </c>
      <c r="L197">
        <v>-13.756799999999901</v>
      </c>
      <c r="M197" t="s">
        <v>23</v>
      </c>
    </row>
    <row r="198" spans="1:13">
      <c r="A198" t="s">
        <v>413</v>
      </c>
      <c r="B198" s="1">
        <v>41066</v>
      </c>
      <c r="C198" s="1">
        <v>41070</v>
      </c>
      <c r="D198" t="s">
        <v>414</v>
      </c>
      <c r="E198" t="s">
        <v>14</v>
      </c>
      <c r="F198" t="s">
        <v>15</v>
      </c>
      <c r="G198" t="s">
        <v>39</v>
      </c>
      <c r="H198" t="s">
        <v>2661</v>
      </c>
      <c r="I198">
        <v>4624.29</v>
      </c>
      <c r="J198">
        <v>9</v>
      </c>
      <c r="K198">
        <v>0.1</v>
      </c>
      <c r="L198">
        <v>1644.03</v>
      </c>
      <c r="M198" t="s">
        <v>17</v>
      </c>
    </row>
    <row r="199" spans="1:13">
      <c r="A199" t="s">
        <v>415</v>
      </c>
      <c r="B199" s="1">
        <v>41194</v>
      </c>
      <c r="C199" s="1">
        <v>41194</v>
      </c>
      <c r="D199" t="s">
        <v>416</v>
      </c>
      <c r="E199" t="s">
        <v>417</v>
      </c>
      <c r="F199" t="s">
        <v>63</v>
      </c>
      <c r="G199" t="s">
        <v>39</v>
      </c>
      <c r="H199" t="s">
        <v>2664</v>
      </c>
      <c r="I199">
        <v>1066.4459999999999</v>
      </c>
      <c r="J199">
        <v>6</v>
      </c>
      <c r="K199">
        <v>0.1</v>
      </c>
      <c r="L199">
        <v>-11.933999999999999</v>
      </c>
      <c r="M199" t="s">
        <v>23</v>
      </c>
    </row>
    <row r="200" spans="1:13">
      <c r="A200" t="s">
        <v>418</v>
      </c>
      <c r="B200" s="1">
        <v>41800</v>
      </c>
      <c r="C200" s="1">
        <v>41800</v>
      </c>
      <c r="D200" t="s">
        <v>419</v>
      </c>
      <c r="E200" t="s">
        <v>58</v>
      </c>
      <c r="F200" t="s">
        <v>81</v>
      </c>
      <c r="G200" t="s">
        <v>16</v>
      </c>
      <c r="H200" t="s">
        <v>2661</v>
      </c>
      <c r="I200">
        <v>957.599999999999</v>
      </c>
      <c r="J200">
        <v>4</v>
      </c>
      <c r="K200">
        <v>0</v>
      </c>
      <c r="L200">
        <v>0</v>
      </c>
      <c r="M200" t="s">
        <v>396</v>
      </c>
    </row>
    <row r="201" spans="1:13">
      <c r="B201" s="1">
        <v>42351</v>
      </c>
      <c r="C201" s="1">
        <v>42355</v>
      </c>
      <c r="E201" t="s">
        <v>14</v>
      </c>
      <c r="F201" t="s">
        <v>15</v>
      </c>
      <c r="G201" t="s">
        <v>39</v>
      </c>
      <c r="H201" t="s">
        <v>2664</v>
      </c>
      <c r="I201">
        <v>4864.32</v>
      </c>
      <c r="J201">
        <v>10</v>
      </c>
      <c r="K201">
        <v>0.1</v>
      </c>
      <c r="M201" t="s">
        <v>17</v>
      </c>
    </row>
    <row r="202" spans="1:13">
      <c r="A202" t="s">
        <v>420</v>
      </c>
      <c r="B202" s="1">
        <v>41898</v>
      </c>
      <c r="C202" s="1">
        <v>41903</v>
      </c>
      <c r="D202" t="s">
        <v>406</v>
      </c>
      <c r="F202" t="s">
        <v>102</v>
      </c>
      <c r="G202" t="s">
        <v>39</v>
      </c>
      <c r="H202" t="s">
        <v>2657</v>
      </c>
      <c r="I202">
        <v>841.56799999999998</v>
      </c>
      <c r="J202">
        <v>2</v>
      </c>
      <c r="K202">
        <v>0.2</v>
      </c>
      <c r="L202">
        <v>294.54879999999901</v>
      </c>
      <c r="M202" t="s">
        <v>17</v>
      </c>
    </row>
    <row r="203" spans="1:13">
      <c r="A203" t="s">
        <v>421</v>
      </c>
      <c r="B203" s="1">
        <v>42165</v>
      </c>
      <c r="C203" s="1">
        <v>42166</v>
      </c>
      <c r="D203" t="s">
        <v>422</v>
      </c>
      <c r="F203" t="s">
        <v>132</v>
      </c>
      <c r="G203" t="s">
        <v>39</v>
      </c>
      <c r="H203" t="s">
        <v>2661</v>
      </c>
      <c r="I203">
        <v>1433.83949999999</v>
      </c>
      <c r="J203">
        <v>3</v>
      </c>
      <c r="K203">
        <v>0.15</v>
      </c>
      <c r="L203">
        <v>-84.370500000000007</v>
      </c>
      <c r="M203" t="s">
        <v>32</v>
      </c>
    </row>
    <row r="204" spans="1:13">
      <c r="A204" t="s">
        <v>423</v>
      </c>
      <c r="B204" s="1">
        <v>40954</v>
      </c>
      <c r="C204" s="1">
        <v>40955</v>
      </c>
      <c r="D204" t="s">
        <v>424</v>
      </c>
      <c r="E204" t="s">
        <v>425</v>
      </c>
      <c r="F204" t="s">
        <v>426</v>
      </c>
      <c r="G204" t="s">
        <v>39</v>
      </c>
      <c r="H204" t="s">
        <v>2663</v>
      </c>
      <c r="I204">
        <v>2784.5999999999899</v>
      </c>
      <c r="J204">
        <v>14</v>
      </c>
      <c r="K204">
        <v>0</v>
      </c>
      <c r="M204" t="s">
        <v>23</v>
      </c>
    </row>
    <row r="205" spans="1:13">
      <c r="A205" t="s">
        <v>427</v>
      </c>
      <c r="B205" s="1">
        <v>41971</v>
      </c>
      <c r="C205" s="1">
        <v>41977</v>
      </c>
      <c r="D205" t="s">
        <v>428</v>
      </c>
      <c r="F205" t="s">
        <v>68</v>
      </c>
      <c r="G205" t="s">
        <v>28</v>
      </c>
      <c r="H205" t="s">
        <v>2661</v>
      </c>
      <c r="I205">
        <v>3063.27</v>
      </c>
      <c r="J205">
        <v>7</v>
      </c>
      <c r="K205">
        <v>0</v>
      </c>
      <c r="L205">
        <v>1470.21</v>
      </c>
      <c r="M205" t="s">
        <v>65</v>
      </c>
    </row>
    <row r="206" spans="1:13">
      <c r="A206" t="s">
        <v>429</v>
      </c>
      <c r="B206" s="1">
        <v>41817</v>
      </c>
      <c r="C206" s="1">
        <v>41817</v>
      </c>
      <c r="D206" t="s">
        <v>406</v>
      </c>
      <c r="E206" t="s">
        <v>35</v>
      </c>
      <c r="F206" t="s">
        <v>38</v>
      </c>
      <c r="G206" t="s">
        <v>39</v>
      </c>
      <c r="H206" t="s">
        <v>2664</v>
      </c>
      <c r="I206" t="s">
        <v>152</v>
      </c>
      <c r="J206">
        <v>2</v>
      </c>
      <c r="K206">
        <v>0</v>
      </c>
      <c r="L206">
        <v>11.585999999999901</v>
      </c>
      <c r="M206" t="s">
        <v>23</v>
      </c>
    </row>
    <row r="207" spans="1:13">
      <c r="A207" t="s">
        <v>430</v>
      </c>
      <c r="B207" s="1">
        <v>42110</v>
      </c>
      <c r="C207" s="1">
        <v>42113</v>
      </c>
      <c r="D207" t="s">
        <v>406</v>
      </c>
      <c r="F207" t="s">
        <v>38</v>
      </c>
      <c r="G207" t="s">
        <v>28</v>
      </c>
      <c r="H207" t="s">
        <v>2663</v>
      </c>
      <c r="I207">
        <v>196.45</v>
      </c>
      <c r="J207">
        <v>5</v>
      </c>
      <c r="K207">
        <v>0</v>
      </c>
      <c r="L207">
        <v>70.721999999999895</v>
      </c>
      <c r="M207" t="s">
        <v>17</v>
      </c>
    </row>
    <row r="208" spans="1:13">
      <c r="A208" t="s">
        <v>431</v>
      </c>
      <c r="B208" s="1">
        <v>41129</v>
      </c>
      <c r="C208" s="1">
        <v>41129</v>
      </c>
      <c r="D208" t="s">
        <v>432</v>
      </c>
      <c r="E208" t="s">
        <v>110</v>
      </c>
      <c r="F208" t="s">
        <v>111</v>
      </c>
      <c r="G208" t="s">
        <v>16</v>
      </c>
      <c r="H208" t="s">
        <v>2662</v>
      </c>
      <c r="I208">
        <v>2044.8</v>
      </c>
      <c r="J208">
        <v>6</v>
      </c>
      <c r="K208">
        <v>0.2</v>
      </c>
      <c r="L208">
        <v>-332.28</v>
      </c>
      <c r="M208" t="s">
        <v>32</v>
      </c>
    </row>
    <row r="209" spans="1:13">
      <c r="A209" t="s">
        <v>433</v>
      </c>
      <c r="B209" s="1">
        <v>41991</v>
      </c>
      <c r="C209" s="1">
        <v>41995</v>
      </c>
      <c r="D209" t="s">
        <v>406</v>
      </c>
      <c r="G209" t="s">
        <v>16</v>
      </c>
      <c r="H209" t="s">
        <v>2664</v>
      </c>
      <c r="I209">
        <v>165.6</v>
      </c>
      <c r="J209">
        <v>3</v>
      </c>
      <c r="K209">
        <v>0.2</v>
      </c>
      <c r="L209">
        <v>-6.2100000000000097</v>
      </c>
      <c r="M209" t="s">
        <v>17</v>
      </c>
    </row>
    <row r="210" spans="1:13">
      <c r="A210" t="s">
        <v>434</v>
      </c>
      <c r="B210" s="1">
        <v>41488</v>
      </c>
      <c r="C210" s="2">
        <v>74361</v>
      </c>
      <c r="D210" t="s">
        <v>435</v>
      </c>
      <c r="E210" t="s">
        <v>58</v>
      </c>
      <c r="F210" t="s">
        <v>81</v>
      </c>
      <c r="G210" t="s">
        <v>16</v>
      </c>
      <c r="H210" t="s">
        <v>2656</v>
      </c>
      <c r="I210">
        <v>1521</v>
      </c>
      <c r="J210">
        <v>4</v>
      </c>
      <c r="K210">
        <v>0</v>
      </c>
      <c r="L210">
        <v>0</v>
      </c>
      <c r="M210" t="s">
        <v>32</v>
      </c>
    </row>
    <row r="211" spans="1:13">
      <c r="A211" t="s">
        <v>436</v>
      </c>
      <c r="B211" s="1">
        <v>41444</v>
      </c>
      <c r="C211" s="1">
        <v>41444</v>
      </c>
      <c r="D211" t="s">
        <v>257</v>
      </c>
      <c r="E211" t="s">
        <v>62</v>
      </c>
      <c r="F211" t="s">
        <v>63</v>
      </c>
      <c r="G211" t="s">
        <v>39</v>
      </c>
      <c r="H211" t="s">
        <v>2656</v>
      </c>
      <c r="I211">
        <v>2443.9050000000002</v>
      </c>
      <c r="J211">
        <v>5</v>
      </c>
      <c r="K211">
        <v>0.1</v>
      </c>
      <c r="L211">
        <v>760.30499999999904</v>
      </c>
      <c r="M211" t="s">
        <v>32</v>
      </c>
    </row>
    <row r="212" spans="1:13">
      <c r="A212" t="s">
        <v>437</v>
      </c>
      <c r="B212" s="1">
        <v>42101</v>
      </c>
      <c r="C212" s="1">
        <v>42106</v>
      </c>
      <c r="D212" t="s">
        <v>406</v>
      </c>
      <c r="E212" t="s">
        <v>438</v>
      </c>
      <c r="F212" t="s">
        <v>439</v>
      </c>
      <c r="G212" t="s">
        <v>39</v>
      </c>
      <c r="H212" t="s">
        <v>2657</v>
      </c>
      <c r="I212">
        <v>137.31</v>
      </c>
      <c r="J212">
        <v>1</v>
      </c>
      <c r="K212">
        <v>0</v>
      </c>
      <c r="L212">
        <v>54.9</v>
      </c>
      <c r="M212" t="s">
        <v>32</v>
      </c>
    </row>
    <row r="213" spans="1:13">
      <c r="A213" t="s">
        <v>440</v>
      </c>
      <c r="B213" s="1">
        <v>41853</v>
      </c>
      <c r="C213" s="1">
        <v>41853</v>
      </c>
      <c r="D213" t="s">
        <v>441</v>
      </c>
      <c r="E213" t="s">
        <v>157</v>
      </c>
      <c r="F213" t="s">
        <v>106</v>
      </c>
      <c r="G213" t="s">
        <v>16</v>
      </c>
      <c r="H213" t="s">
        <v>2661</v>
      </c>
      <c r="J213">
        <v>10</v>
      </c>
      <c r="K213">
        <v>0</v>
      </c>
      <c r="L213">
        <v>570.9</v>
      </c>
      <c r="M213" t="s">
        <v>23</v>
      </c>
    </row>
    <row r="214" spans="1:13">
      <c r="B214" s="1">
        <v>42146</v>
      </c>
      <c r="C214" s="1">
        <v>42149</v>
      </c>
      <c r="D214" t="s">
        <v>442</v>
      </c>
      <c r="E214" t="s">
        <v>105</v>
      </c>
      <c r="F214" t="s">
        <v>106</v>
      </c>
      <c r="G214" t="s">
        <v>39</v>
      </c>
      <c r="H214" t="s">
        <v>2655</v>
      </c>
      <c r="J214">
        <v>9</v>
      </c>
      <c r="K214">
        <v>0</v>
      </c>
      <c r="L214">
        <v>802.17</v>
      </c>
      <c r="M214" t="s">
        <v>23</v>
      </c>
    </row>
    <row r="215" spans="1:13">
      <c r="A215" t="s">
        <v>443</v>
      </c>
      <c r="B215" s="1">
        <v>40949</v>
      </c>
      <c r="C215" s="1">
        <v>40954</v>
      </c>
      <c r="F215" t="s">
        <v>81</v>
      </c>
      <c r="G215" t="s">
        <v>16</v>
      </c>
      <c r="H215" t="s">
        <v>2662</v>
      </c>
      <c r="I215">
        <v>6998.64</v>
      </c>
      <c r="J215">
        <v>11</v>
      </c>
      <c r="K215">
        <v>0</v>
      </c>
      <c r="L215">
        <v>2939.31</v>
      </c>
      <c r="M215" t="s">
        <v>17</v>
      </c>
    </row>
    <row r="216" spans="1:13">
      <c r="A216" t="s">
        <v>444</v>
      </c>
      <c r="B216" s="1">
        <v>41909</v>
      </c>
      <c r="C216" s="1">
        <v>41909</v>
      </c>
      <c r="D216" t="s">
        <v>445</v>
      </c>
      <c r="E216" t="s">
        <v>186</v>
      </c>
      <c r="F216" t="s">
        <v>68</v>
      </c>
      <c r="G216" t="s">
        <v>28</v>
      </c>
      <c r="H216" t="s">
        <v>2664</v>
      </c>
      <c r="I216">
        <v>1091.25</v>
      </c>
      <c r="J216">
        <v>3</v>
      </c>
      <c r="K216">
        <v>0</v>
      </c>
      <c r="L216">
        <v>119.97</v>
      </c>
      <c r="M216" t="s">
        <v>23</v>
      </c>
    </row>
    <row r="217" spans="1:13">
      <c r="A217" t="s">
        <v>446</v>
      </c>
      <c r="B217" s="1">
        <v>42157</v>
      </c>
      <c r="C217" s="1">
        <v>42159</v>
      </c>
      <c r="D217" t="s">
        <v>447</v>
      </c>
      <c r="F217" t="s">
        <v>106</v>
      </c>
      <c r="G217" t="s">
        <v>28</v>
      </c>
      <c r="H217" t="s">
        <v>2656</v>
      </c>
      <c r="I217">
        <v>1094.22</v>
      </c>
      <c r="K217">
        <v>0</v>
      </c>
      <c r="L217">
        <v>328.23</v>
      </c>
      <c r="M217" t="s">
        <v>23</v>
      </c>
    </row>
    <row r="218" spans="1:13">
      <c r="B218" s="1">
        <v>41912</v>
      </c>
      <c r="C218" s="1">
        <v>41915</v>
      </c>
      <c r="D218" t="s">
        <v>448</v>
      </c>
      <c r="E218" t="s">
        <v>14</v>
      </c>
      <c r="F218" t="s">
        <v>15</v>
      </c>
      <c r="G218" t="s">
        <v>28</v>
      </c>
      <c r="H218" t="s">
        <v>2663</v>
      </c>
      <c r="I218">
        <v>1320.624</v>
      </c>
      <c r="J218">
        <v>4</v>
      </c>
      <c r="K218">
        <v>0.1</v>
      </c>
      <c r="L218">
        <v>484.22399999999999</v>
      </c>
      <c r="M218" t="s">
        <v>396</v>
      </c>
    </row>
    <row r="219" spans="1:13">
      <c r="A219" t="s">
        <v>449</v>
      </c>
      <c r="B219" s="1">
        <v>41108</v>
      </c>
      <c r="C219" s="1">
        <v>41109</v>
      </c>
      <c r="D219" t="s">
        <v>450</v>
      </c>
      <c r="E219" t="s">
        <v>298</v>
      </c>
      <c r="F219" t="s">
        <v>132</v>
      </c>
      <c r="G219" t="s">
        <v>16</v>
      </c>
      <c r="H219" t="s">
        <v>2663</v>
      </c>
      <c r="I219">
        <v>2555.64</v>
      </c>
      <c r="J219">
        <v>4</v>
      </c>
      <c r="K219">
        <v>0</v>
      </c>
      <c r="L219">
        <v>664.43999999999903</v>
      </c>
      <c r="M219" t="s">
        <v>32</v>
      </c>
    </row>
    <row r="220" spans="1:13">
      <c r="A220" t="s">
        <v>451</v>
      </c>
      <c r="B220" s="1">
        <v>42230</v>
      </c>
      <c r="C220" s="1">
        <v>42232</v>
      </c>
      <c r="E220" t="s">
        <v>452</v>
      </c>
      <c r="F220" t="s">
        <v>78</v>
      </c>
      <c r="G220" t="s">
        <v>28</v>
      </c>
      <c r="H220" t="s">
        <v>2663</v>
      </c>
      <c r="I220" t="s">
        <v>152</v>
      </c>
      <c r="J220">
        <v>8</v>
      </c>
      <c r="K220">
        <v>0</v>
      </c>
      <c r="L220">
        <v>594.72</v>
      </c>
      <c r="M220" t="s">
        <v>17</v>
      </c>
    </row>
    <row r="221" spans="1:13">
      <c r="A221" t="s">
        <v>405</v>
      </c>
      <c r="B221" s="1">
        <v>42301</v>
      </c>
      <c r="C221" s="1">
        <v>42302</v>
      </c>
      <c r="D221" t="s">
        <v>406</v>
      </c>
      <c r="E221" t="s">
        <v>35</v>
      </c>
      <c r="F221" t="s">
        <v>102</v>
      </c>
      <c r="G221" t="s">
        <v>28</v>
      </c>
      <c r="H221" t="s">
        <v>2656</v>
      </c>
      <c r="I221">
        <v>35</v>
      </c>
      <c r="J221">
        <v>4</v>
      </c>
      <c r="L221">
        <v>14.7</v>
      </c>
      <c r="M221" t="s">
        <v>23</v>
      </c>
    </row>
    <row r="222" spans="1:13">
      <c r="A222" t="s">
        <v>453</v>
      </c>
      <c r="B222" s="1">
        <v>42308</v>
      </c>
      <c r="C222" s="1">
        <v>42311</v>
      </c>
      <c r="D222" t="s">
        <v>185</v>
      </c>
      <c r="E222" t="s">
        <v>58</v>
      </c>
      <c r="F222" t="s">
        <v>81</v>
      </c>
      <c r="G222" t="s">
        <v>16</v>
      </c>
      <c r="H222" t="s">
        <v>2663</v>
      </c>
      <c r="I222">
        <v>2272.86</v>
      </c>
      <c r="J222">
        <v>6</v>
      </c>
      <c r="K222">
        <v>0</v>
      </c>
      <c r="L222">
        <v>977.22</v>
      </c>
      <c r="M222" t="s">
        <v>32</v>
      </c>
    </row>
    <row r="223" spans="1:13">
      <c r="A223" t="s">
        <v>454</v>
      </c>
      <c r="B223" s="1">
        <v>41845</v>
      </c>
      <c r="C223" s="1">
        <v>41850</v>
      </c>
      <c r="D223" t="s">
        <v>455</v>
      </c>
      <c r="F223" t="s">
        <v>81</v>
      </c>
      <c r="G223" t="s">
        <v>16</v>
      </c>
      <c r="H223" t="s">
        <v>2657</v>
      </c>
      <c r="J223">
        <v>8</v>
      </c>
      <c r="K223">
        <v>0</v>
      </c>
      <c r="L223">
        <v>833.76</v>
      </c>
      <c r="M223" t="s">
        <v>17</v>
      </c>
    </row>
    <row r="224" spans="1:13">
      <c r="A224" t="s">
        <v>456</v>
      </c>
      <c r="B224" s="1">
        <v>42284</v>
      </c>
      <c r="C224" s="1">
        <v>42288</v>
      </c>
      <c r="D224" t="s">
        <v>457</v>
      </c>
      <c r="E224" t="s">
        <v>105</v>
      </c>
      <c r="F224" t="s">
        <v>106</v>
      </c>
      <c r="G224" t="s">
        <v>16</v>
      </c>
      <c r="H224" t="s">
        <v>2657</v>
      </c>
      <c r="I224">
        <v>2582.16</v>
      </c>
      <c r="J224">
        <v>4</v>
      </c>
      <c r="K224">
        <v>0</v>
      </c>
      <c r="L224">
        <v>361.44</v>
      </c>
      <c r="M224" t="s">
        <v>32</v>
      </c>
    </row>
    <row r="225" spans="1:13">
      <c r="A225" t="s">
        <v>458</v>
      </c>
      <c r="B225" s="1">
        <v>42294</v>
      </c>
      <c r="C225" s="1">
        <v>42298</v>
      </c>
      <c r="D225" t="s">
        <v>459</v>
      </c>
      <c r="E225" t="s">
        <v>105</v>
      </c>
      <c r="F225" t="s">
        <v>106</v>
      </c>
      <c r="G225" t="s">
        <v>16</v>
      </c>
      <c r="H225" t="s">
        <v>2656</v>
      </c>
      <c r="I225">
        <v>3194.55</v>
      </c>
      <c r="K225">
        <v>0</v>
      </c>
      <c r="L225">
        <v>830.55</v>
      </c>
      <c r="M225" t="s">
        <v>32</v>
      </c>
    </row>
    <row r="226" spans="1:13">
      <c r="A226" t="s">
        <v>460</v>
      </c>
      <c r="B226" s="1">
        <v>41976</v>
      </c>
      <c r="C226" s="1">
        <v>41979</v>
      </c>
      <c r="D226" t="s">
        <v>461</v>
      </c>
      <c r="E226" t="s">
        <v>14</v>
      </c>
      <c r="F226" t="s">
        <v>15</v>
      </c>
      <c r="G226" t="s">
        <v>28</v>
      </c>
      <c r="H226" t="s">
        <v>2656</v>
      </c>
      <c r="I226">
        <v>1704.9959999999901</v>
      </c>
      <c r="K226">
        <v>0.1</v>
      </c>
      <c r="L226">
        <v>378.87599999999998</v>
      </c>
      <c r="M226" t="s">
        <v>23</v>
      </c>
    </row>
    <row r="227" spans="1:13">
      <c r="A227" t="s">
        <v>462</v>
      </c>
      <c r="B227" s="1">
        <v>42316</v>
      </c>
      <c r="C227" s="1">
        <v>42318</v>
      </c>
      <c r="D227" t="s">
        <v>463</v>
      </c>
      <c r="E227" t="s">
        <v>239</v>
      </c>
      <c r="F227" t="s">
        <v>132</v>
      </c>
      <c r="G227" t="s">
        <v>154</v>
      </c>
      <c r="H227" t="s">
        <v>2656</v>
      </c>
      <c r="I227">
        <v>1538.72099999999</v>
      </c>
      <c r="J227" t="s">
        <v>55</v>
      </c>
      <c r="K227">
        <v>0.15</v>
      </c>
      <c r="L227">
        <v>325.70100000000002</v>
      </c>
      <c r="M227" t="s">
        <v>32</v>
      </c>
    </row>
    <row r="228" spans="1:13">
      <c r="A228" t="s">
        <v>418</v>
      </c>
      <c r="B228" s="1">
        <v>41800</v>
      </c>
      <c r="C228" s="1">
        <v>41800</v>
      </c>
      <c r="E228" t="s">
        <v>58</v>
      </c>
      <c r="F228" t="s">
        <v>81</v>
      </c>
      <c r="G228" t="s">
        <v>28</v>
      </c>
      <c r="H228" t="s">
        <v>2655</v>
      </c>
      <c r="I228">
        <v>1381.3199999999899</v>
      </c>
      <c r="K228">
        <v>0</v>
      </c>
      <c r="L228">
        <v>593.90999999999894</v>
      </c>
      <c r="M228" t="s">
        <v>23</v>
      </c>
    </row>
    <row r="229" spans="1:13">
      <c r="A229" t="s">
        <v>464</v>
      </c>
      <c r="B229" s="1">
        <v>41172</v>
      </c>
      <c r="C229" s="1">
        <v>41174</v>
      </c>
      <c r="D229" t="s">
        <v>465</v>
      </c>
      <c r="E229" t="s">
        <v>62</v>
      </c>
      <c r="F229" t="s">
        <v>63</v>
      </c>
      <c r="G229" t="s">
        <v>466</v>
      </c>
      <c r="H229" t="s">
        <v>2661</v>
      </c>
      <c r="I229">
        <v>1181.547</v>
      </c>
      <c r="J229">
        <v>3</v>
      </c>
      <c r="K229">
        <v>0.1</v>
      </c>
      <c r="L229">
        <v>498.80700000000002</v>
      </c>
      <c r="M229" t="s">
        <v>23</v>
      </c>
    </row>
    <row r="230" spans="1:13">
      <c r="A230" t="s">
        <v>467</v>
      </c>
      <c r="B230" s="1">
        <v>41080</v>
      </c>
      <c r="C230" s="1">
        <v>41083</v>
      </c>
      <c r="D230" t="s">
        <v>468</v>
      </c>
      <c r="E230" t="s">
        <v>62</v>
      </c>
      <c r="F230" t="s">
        <v>63</v>
      </c>
      <c r="G230" t="s">
        <v>28</v>
      </c>
      <c r="H230" t="s">
        <v>2655</v>
      </c>
      <c r="I230">
        <v>1696.24799999999</v>
      </c>
      <c r="J230">
        <v>4</v>
      </c>
      <c r="K230">
        <v>0.1</v>
      </c>
      <c r="L230" t="s">
        <v>469</v>
      </c>
      <c r="M230" t="s">
        <v>32</v>
      </c>
    </row>
    <row r="231" spans="1:13">
      <c r="A231" t="s">
        <v>470</v>
      </c>
      <c r="B231" s="1">
        <v>42273</v>
      </c>
      <c r="C231" s="1">
        <v>42276</v>
      </c>
      <c r="D231" t="s">
        <v>406</v>
      </c>
      <c r="E231" t="s">
        <v>35</v>
      </c>
      <c r="F231" t="s">
        <v>102</v>
      </c>
      <c r="G231" t="s">
        <v>154</v>
      </c>
      <c r="H231" t="s">
        <v>2663</v>
      </c>
      <c r="I231">
        <v>190.89599999999999</v>
      </c>
      <c r="J231">
        <v>2</v>
      </c>
      <c r="K231">
        <v>0.2</v>
      </c>
      <c r="L231">
        <v>-42.951599999999999</v>
      </c>
      <c r="M231" t="s">
        <v>17</v>
      </c>
    </row>
    <row r="232" spans="1:13">
      <c r="A232" t="s">
        <v>471</v>
      </c>
      <c r="B232" s="1">
        <v>42144</v>
      </c>
      <c r="C232" s="1">
        <v>42149</v>
      </c>
      <c r="D232" t="s">
        <v>406</v>
      </c>
      <c r="E232" t="s">
        <v>35</v>
      </c>
      <c r="F232" t="s">
        <v>142</v>
      </c>
      <c r="G232" t="s">
        <v>28</v>
      </c>
      <c r="H232" t="s">
        <v>2655</v>
      </c>
      <c r="I232">
        <v>314.35199999999998</v>
      </c>
      <c r="J232">
        <v>3</v>
      </c>
      <c r="K232" t="s">
        <v>472</v>
      </c>
      <c r="M232" t="s">
        <v>17</v>
      </c>
    </row>
    <row r="233" spans="1:13">
      <c r="A233" t="s">
        <v>473</v>
      </c>
      <c r="B233" s="1">
        <v>42334</v>
      </c>
      <c r="C233" s="1">
        <v>42337</v>
      </c>
      <c r="D233" t="s">
        <v>264</v>
      </c>
      <c r="E233" t="s">
        <v>425</v>
      </c>
      <c r="F233" t="s">
        <v>426</v>
      </c>
      <c r="G233" t="s">
        <v>39</v>
      </c>
      <c r="H233" t="s">
        <v>2657</v>
      </c>
      <c r="I233">
        <v>1237.56</v>
      </c>
      <c r="J233">
        <v>4</v>
      </c>
      <c r="K233">
        <v>0</v>
      </c>
      <c r="L233">
        <v>606.36</v>
      </c>
      <c r="M233" t="s">
        <v>23</v>
      </c>
    </row>
    <row r="234" spans="1:13">
      <c r="A234" t="s">
        <v>474</v>
      </c>
      <c r="B234" s="1">
        <v>41363</v>
      </c>
      <c r="D234" t="s">
        <v>475</v>
      </c>
      <c r="E234" t="s">
        <v>476</v>
      </c>
      <c r="F234" t="s">
        <v>222</v>
      </c>
      <c r="G234" t="s">
        <v>16</v>
      </c>
      <c r="H234" t="s">
        <v>2660</v>
      </c>
      <c r="I234">
        <v>1274.7</v>
      </c>
      <c r="J234">
        <v>2</v>
      </c>
      <c r="K234">
        <v>0</v>
      </c>
      <c r="L234">
        <v>140.16</v>
      </c>
      <c r="M234" t="s">
        <v>23</v>
      </c>
    </row>
    <row r="235" spans="1:13">
      <c r="A235" t="s">
        <v>477</v>
      </c>
      <c r="B235" s="1">
        <v>41222</v>
      </c>
      <c r="C235" s="1">
        <v>41227</v>
      </c>
      <c r="D235" t="s">
        <v>478</v>
      </c>
      <c r="E235" t="s">
        <v>265</v>
      </c>
      <c r="G235" t="s">
        <v>39</v>
      </c>
      <c r="H235" t="s">
        <v>2661</v>
      </c>
      <c r="I235">
        <v>3172.14</v>
      </c>
      <c r="J235">
        <v>9</v>
      </c>
      <c r="K235" t="s">
        <v>215</v>
      </c>
      <c r="L235">
        <v>856.43999999999903</v>
      </c>
      <c r="M235" t="s">
        <v>17</v>
      </c>
    </row>
    <row r="236" spans="1:13">
      <c r="A236" t="s">
        <v>405</v>
      </c>
      <c r="B236" s="1">
        <v>42301</v>
      </c>
      <c r="C236" s="1">
        <v>42302</v>
      </c>
      <c r="D236" t="s">
        <v>406</v>
      </c>
      <c r="E236" t="s">
        <v>35</v>
      </c>
      <c r="F236" t="s">
        <v>102</v>
      </c>
      <c r="G236" t="s">
        <v>39</v>
      </c>
      <c r="H236" t="s">
        <v>2656</v>
      </c>
      <c r="I236">
        <v>43.44</v>
      </c>
      <c r="J236">
        <v>8</v>
      </c>
      <c r="L236">
        <v>21.285599999999999</v>
      </c>
      <c r="M236" t="s">
        <v>23</v>
      </c>
    </row>
    <row r="237" spans="1:13">
      <c r="A237" t="s">
        <v>479</v>
      </c>
      <c r="B237" s="1">
        <v>41487</v>
      </c>
      <c r="C237" s="1">
        <v>41492</v>
      </c>
      <c r="D237" t="s">
        <v>480</v>
      </c>
      <c r="E237" t="s">
        <v>84</v>
      </c>
      <c r="F237" t="s">
        <v>85</v>
      </c>
      <c r="G237" t="s">
        <v>39</v>
      </c>
      <c r="H237" t="s">
        <v>2661</v>
      </c>
      <c r="I237">
        <v>3979.29</v>
      </c>
      <c r="J237">
        <v>7</v>
      </c>
      <c r="K237">
        <v>0</v>
      </c>
      <c r="L237">
        <v>1989.53999999999</v>
      </c>
      <c r="M237" t="s">
        <v>17</v>
      </c>
    </row>
    <row r="238" spans="1:13">
      <c r="A238" t="s">
        <v>433</v>
      </c>
      <c r="B238" s="1">
        <v>41991</v>
      </c>
      <c r="C238" s="1">
        <v>41995</v>
      </c>
      <c r="D238" t="s">
        <v>406</v>
      </c>
      <c r="E238" t="s">
        <v>35</v>
      </c>
      <c r="F238" t="s">
        <v>481</v>
      </c>
      <c r="G238" t="s">
        <v>39</v>
      </c>
      <c r="H238" t="s">
        <v>2659</v>
      </c>
      <c r="I238">
        <v>51.84</v>
      </c>
      <c r="J238">
        <v>10</v>
      </c>
      <c r="K238">
        <v>0.2</v>
      </c>
      <c r="L238">
        <v>18.143999999999998</v>
      </c>
      <c r="M238" t="s">
        <v>17</v>
      </c>
    </row>
    <row r="239" spans="1:13">
      <c r="A239" t="s">
        <v>429</v>
      </c>
      <c r="B239" s="1">
        <v>41817</v>
      </c>
      <c r="C239" s="1">
        <v>41817</v>
      </c>
      <c r="D239" t="s">
        <v>406</v>
      </c>
      <c r="E239" t="s">
        <v>35</v>
      </c>
      <c r="F239" t="s">
        <v>38</v>
      </c>
      <c r="G239" t="s">
        <v>39</v>
      </c>
      <c r="H239" t="s">
        <v>2661</v>
      </c>
      <c r="I239">
        <v>17.899999999999999</v>
      </c>
      <c r="J239">
        <v>5</v>
      </c>
      <c r="K239">
        <v>0</v>
      </c>
      <c r="L239">
        <v>8.9499999999999993</v>
      </c>
      <c r="M239" t="s">
        <v>23</v>
      </c>
    </row>
    <row r="240" spans="1:13">
      <c r="A240" t="s">
        <v>429</v>
      </c>
      <c r="B240" s="1">
        <v>41817</v>
      </c>
      <c r="C240" s="1">
        <v>41817</v>
      </c>
      <c r="D240" t="s">
        <v>406</v>
      </c>
      <c r="E240" t="s">
        <v>35</v>
      </c>
      <c r="F240" t="s">
        <v>38</v>
      </c>
      <c r="G240" t="s">
        <v>39</v>
      </c>
      <c r="H240" t="s">
        <v>2655</v>
      </c>
      <c r="I240">
        <v>12.48</v>
      </c>
      <c r="J240">
        <v>2</v>
      </c>
      <c r="L240">
        <v>5.6159999999999997</v>
      </c>
      <c r="M240" t="s">
        <v>23</v>
      </c>
    </row>
    <row r="241" spans="1:13">
      <c r="A241" t="s">
        <v>482</v>
      </c>
      <c r="B241" s="1">
        <v>41662</v>
      </c>
      <c r="C241" s="1">
        <v>41666</v>
      </c>
      <c r="D241" t="s">
        <v>455</v>
      </c>
      <c r="E241" t="s">
        <v>483</v>
      </c>
      <c r="F241" t="s">
        <v>49</v>
      </c>
      <c r="G241" t="s">
        <v>28</v>
      </c>
      <c r="H241" t="s">
        <v>2662</v>
      </c>
      <c r="I241">
        <v>2058</v>
      </c>
      <c r="J241">
        <v>4</v>
      </c>
      <c r="K241">
        <v>0</v>
      </c>
      <c r="L241">
        <v>946.68</v>
      </c>
      <c r="M241" t="s">
        <v>32</v>
      </c>
    </row>
    <row r="242" spans="1:13">
      <c r="A242" t="s">
        <v>484</v>
      </c>
      <c r="B242" s="1">
        <v>41049</v>
      </c>
      <c r="C242" s="1">
        <v>41053</v>
      </c>
      <c r="D242" t="s">
        <v>485</v>
      </c>
      <c r="E242" t="s">
        <v>131</v>
      </c>
      <c r="F242" t="s">
        <v>132</v>
      </c>
      <c r="G242" t="s">
        <v>28</v>
      </c>
      <c r="H242" t="s">
        <v>2656</v>
      </c>
      <c r="I242">
        <v>2539.8764999999898</v>
      </c>
      <c r="J242">
        <v>7</v>
      </c>
      <c r="K242">
        <v>7.0000000000000007E-2</v>
      </c>
      <c r="M242" t="s">
        <v>32</v>
      </c>
    </row>
    <row r="243" spans="1:13">
      <c r="A243" t="s">
        <v>486</v>
      </c>
      <c r="B243" s="1">
        <v>42275</v>
      </c>
      <c r="C243" s="1">
        <v>42278</v>
      </c>
      <c r="D243" t="s">
        <v>487</v>
      </c>
      <c r="E243" t="s">
        <v>84</v>
      </c>
      <c r="F243" t="s">
        <v>85</v>
      </c>
      <c r="G243" t="s">
        <v>28</v>
      </c>
      <c r="H243" t="s">
        <v>2658</v>
      </c>
      <c r="I243">
        <v>2898.21</v>
      </c>
      <c r="J243">
        <v>7</v>
      </c>
      <c r="K243">
        <v>0</v>
      </c>
      <c r="L243">
        <v>1420.02</v>
      </c>
      <c r="M243" t="s">
        <v>32</v>
      </c>
    </row>
    <row r="244" spans="1:13">
      <c r="A244" t="s">
        <v>488</v>
      </c>
      <c r="B244" s="1">
        <v>41218</v>
      </c>
      <c r="C244" s="1">
        <v>41220</v>
      </c>
      <c r="D244" t="s">
        <v>489</v>
      </c>
      <c r="E244" t="s">
        <v>62</v>
      </c>
      <c r="F244" t="s">
        <v>63</v>
      </c>
      <c r="G244" t="s">
        <v>16</v>
      </c>
      <c r="H244" t="s">
        <v>2663</v>
      </c>
      <c r="I244">
        <v>1320.0074999999999</v>
      </c>
      <c r="J244">
        <v>5</v>
      </c>
      <c r="K244">
        <v>0.15</v>
      </c>
      <c r="L244">
        <v>357.15750000000003</v>
      </c>
      <c r="M244" t="s">
        <v>23</v>
      </c>
    </row>
    <row r="245" spans="1:13">
      <c r="A245" t="s">
        <v>490</v>
      </c>
      <c r="B245" s="1">
        <v>42032</v>
      </c>
      <c r="C245" s="1">
        <v>42034</v>
      </c>
      <c r="D245" t="s">
        <v>491</v>
      </c>
      <c r="E245" t="s">
        <v>492</v>
      </c>
      <c r="F245" t="s">
        <v>85</v>
      </c>
      <c r="G245" t="s">
        <v>28</v>
      </c>
      <c r="H245" t="s">
        <v>2663</v>
      </c>
      <c r="I245">
        <v>2171.16</v>
      </c>
      <c r="J245" t="s">
        <v>493</v>
      </c>
      <c r="K245">
        <v>0.7</v>
      </c>
      <c r="L245">
        <v>-2750.2799999999902</v>
      </c>
      <c r="M245" t="s">
        <v>32</v>
      </c>
    </row>
    <row r="246" spans="1:13">
      <c r="A246" t="s">
        <v>494</v>
      </c>
      <c r="B246" s="1">
        <v>42260</v>
      </c>
      <c r="C246" t="s">
        <v>116</v>
      </c>
      <c r="D246" t="s">
        <v>495</v>
      </c>
      <c r="E246" t="s">
        <v>14</v>
      </c>
      <c r="F246" t="s">
        <v>15</v>
      </c>
      <c r="G246" t="s">
        <v>16</v>
      </c>
      <c r="H246" t="s">
        <v>2662</v>
      </c>
      <c r="I246">
        <v>4448.223</v>
      </c>
      <c r="J246">
        <v>13</v>
      </c>
      <c r="K246">
        <v>0.1</v>
      </c>
      <c r="L246">
        <v>444.483</v>
      </c>
      <c r="M246" t="s">
        <v>17</v>
      </c>
    </row>
    <row r="247" spans="1:13">
      <c r="A247" t="s">
        <v>496</v>
      </c>
      <c r="B247" s="1">
        <v>42335</v>
      </c>
      <c r="C247" s="1">
        <v>42016</v>
      </c>
      <c r="D247" t="s">
        <v>406</v>
      </c>
      <c r="E247" t="s">
        <v>35</v>
      </c>
      <c r="F247" t="s">
        <v>142</v>
      </c>
      <c r="G247" t="s">
        <v>39</v>
      </c>
      <c r="H247" t="s">
        <v>2658</v>
      </c>
      <c r="I247">
        <v>12.84</v>
      </c>
      <c r="J247">
        <v>3</v>
      </c>
      <c r="K247">
        <v>0</v>
      </c>
      <c r="L247">
        <v>3.72359999999999</v>
      </c>
      <c r="M247" t="s">
        <v>17</v>
      </c>
    </row>
    <row r="248" spans="1:13">
      <c r="A248" t="s">
        <v>497</v>
      </c>
      <c r="B248" s="1">
        <v>41264</v>
      </c>
      <c r="C248" s="1">
        <v>41266</v>
      </c>
      <c r="D248" t="s">
        <v>498</v>
      </c>
      <c r="E248" t="s">
        <v>499</v>
      </c>
      <c r="F248" t="s">
        <v>53</v>
      </c>
      <c r="G248" t="s">
        <v>16</v>
      </c>
      <c r="H248" t="s">
        <v>2657</v>
      </c>
      <c r="I248">
        <v>2300.61599999999</v>
      </c>
      <c r="J248">
        <v>9</v>
      </c>
      <c r="K248">
        <v>0.4</v>
      </c>
      <c r="L248">
        <v>38.196000000000097</v>
      </c>
      <c r="M248" t="s">
        <v>32</v>
      </c>
    </row>
    <row r="249" spans="1:13">
      <c r="A249" t="s">
        <v>500</v>
      </c>
      <c r="B249" s="1">
        <v>41675</v>
      </c>
      <c r="C249" s="1">
        <v>41677</v>
      </c>
      <c r="D249" t="s">
        <v>501</v>
      </c>
      <c r="E249" t="s">
        <v>476</v>
      </c>
      <c r="F249" t="s">
        <v>222</v>
      </c>
      <c r="G249" t="s">
        <v>28</v>
      </c>
      <c r="H249" t="s">
        <v>2658</v>
      </c>
      <c r="J249">
        <v>6</v>
      </c>
      <c r="K249">
        <v>0</v>
      </c>
      <c r="L249">
        <v>1072.44</v>
      </c>
      <c r="M249" t="s">
        <v>23</v>
      </c>
    </row>
    <row r="250" spans="1:13">
      <c r="A250" t="s">
        <v>502</v>
      </c>
      <c r="B250" s="1">
        <v>41270</v>
      </c>
      <c r="C250" s="1">
        <v>41271</v>
      </c>
      <c r="D250" t="s">
        <v>503</v>
      </c>
      <c r="F250" t="s">
        <v>106</v>
      </c>
      <c r="G250" t="s">
        <v>16</v>
      </c>
      <c r="H250" t="s">
        <v>2656</v>
      </c>
      <c r="I250">
        <v>1066.68</v>
      </c>
      <c r="J250">
        <v>3</v>
      </c>
      <c r="K250">
        <v>0</v>
      </c>
      <c r="L250">
        <v>394.65</v>
      </c>
      <c r="M250" t="s">
        <v>23</v>
      </c>
    </row>
    <row r="251" spans="1:13">
      <c r="A251" t="s">
        <v>405</v>
      </c>
      <c r="B251" s="1">
        <v>42301</v>
      </c>
      <c r="C251" s="1">
        <v>42302</v>
      </c>
      <c r="D251" t="s">
        <v>406</v>
      </c>
      <c r="E251" t="s">
        <v>35</v>
      </c>
      <c r="F251" t="s">
        <v>102</v>
      </c>
      <c r="G251" t="s">
        <v>39</v>
      </c>
      <c r="H251" t="s">
        <v>2663</v>
      </c>
      <c r="I251">
        <v>2.2200000000000002</v>
      </c>
      <c r="J251">
        <v>1</v>
      </c>
      <c r="K251">
        <v>0</v>
      </c>
      <c r="L251" t="s">
        <v>504</v>
      </c>
      <c r="M251" t="s">
        <v>23</v>
      </c>
    </row>
    <row r="252" spans="1:13">
      <c r="A252" t="s">
        <v>505</v>
      </c>
      <c r="C252" s="1">
        <v>41028</v>
      </c>
      <c r="D252" t="s">
        <v>506</v>
      </c>
      <c r="E252" t="s">
        <v>507</v>
      </c>
      <c r="F252" t="s">
        <v>426</v>
      </c>
      <c r="G252" t="s">
        <v>16</v>
      </c>
      <c r="H252" t="s">
        <v>2657</v>
      </c>
      <c r="I252">
        <v>2544.6</v>
      </c>
      <c r="J252">
        <v>4</v>
      </c>
      <c r="K252">
        <v>0</v>
      </c>
      <c r="M252" t="s">
        <v>32</v>
      </c>
    </row>
    <row r="253" spans="1:13">
      <c r="A253" t="s">
        <v>508</v>
      </c>
      <c r="B253" s="1">
        <v>41187</v>
      </c>
      <c r="C253" s="1">
        <v>41192</v>
      </c>
      <c r="D253" t="s">
        <v>509</v>
      </c>
      <c r="E253" t="s">
        <v>27</v>
      </c>
      <c r="F253" t="s">
        <v>15</v>
      </c>
      <c r="G253" t="s">
        <v>28</v>
      </c>
      <c r="H253" t="s">
        <v>2655</v>
      </c>
      <c r="I253">
        <v>3694.68</v>
      </c>
      <c r="J253">
        <v>4</v>
      </c>
      <c r="L253">
        <v>886.68</v>
      </c>
      <c r="M253" t="s">
        <v>32</v>
      </c>
    </row>
    <row r="254" spans="1:13">
      <c r="A254" t="s">
        <v>510</v>
      </c>
      <c r="C254" s="1">
        <v>41877</v>
      </c>
      <c r="D254" t="s">
        <v>511</v>
      </c>
      <c r="E254" t="s">
        <v>58</v>
      </c>
      <c r="F254" t="s">
        <v>81</v>
      </c>
      <c r="G254" t="s">
        <v>28</v>
      </c>
      <c r="H254" t="s">
        <v>2656</v>
      </c>
      <c r="I254">
        <v>2214.8490000000002</v>
      </c>
      <c r="J254">
        <v>7</v>
      </c>
      <c r="K254">
        <v>0.3</v>
      </c>
      <c r="L254">
        <v>-221.571</v>
      </c>
      <c r="M254" t="s">
        <v>23</v>
      </c>
    </row>
    <row r="255" spans="1:13">
      <c r="A255" t="s">
        <v>512</v>
      </c>
      <c r="B255" s="1">
        <v>41903</v>
      </c>
      <c r="C255" s="1">
        <v>41906</v>
      </c>
      <c r="D255" t="s">
        <v>513</v>
      </c>
      <c r="E255" t="s">
        <v>52</v>
      </c>
      <c r="F255" t="s">
        <v>53</v>
      </c>
      <c r="G255" t="s">
        <v>28</v>
      </c>
      <c r="H255" t="s">
        <v>2658</v>
      </c>
      <c r="I255">
        <v>1236.47999999999</v>
      </c>
      <c r="J255">
        <v>4</v>
      </c>
      <c r="K255">
        <v>0</v>
      </c>
      <c r="L255">
        <v>111.28</v>
      </c>
      <c r="M255" t="s">
        <v>23</v>
      </c>
    </row>
    <row r="256" spans="1:13">
      <c r="A256" t="s">
        <v>514</v>
      </c>
      <c r="B256" s="1">
        <v>42355</v>
      </c>
      <c r="C256" s="1">
        <v>42357</v>
      </c>
      <c r="D256" t="s">
        <v>515</v>
      </c>
      <c r="E256" t="s">
        <v>200</v>
      </c>
      <c r="F256" t="s">
        <v>89</v>
      </c>
      <c r="G256" t="s">
        <v>39</v>
      </c>
      <c r="H256" t="s">
        <v>2658</v>
      </c>
      <c r="J256">
        <v>5</v>
      </c>
      <c r="K256">
        <v>0</v>
      </c>
      <c r="L256">
        <v>126.4</v>
      </c>
      <c r="M256" t="s">
        <v>23</v>
      </c>
    </row>
    <row r="257" spans="1:13">
      <c r="A257" t="s">
        <v>516</v>
      </c>
      <c r="B257" t="s">
        <v>116</v>
      </c>
      <c r="C257" s="1">
        <v>41234</v>
      </c>
      <c r="D257" t="s">
        <v>406</v>
      </c>
      <c r="E257" t="s">
        <v>35</v>
      </c>
      <c r="F257" t="s">
        <v>234</v>
      </c>
      <c r="G257" t="s">
        <v>39</v>
      </c>
      <c r="H257" t="s">
        <v>2655</v>
      </c>
      <c r="I257">
        <v>5.22</v>
      </c>
      <c r="J257">
        <v>2</v>
      </c>
      <c r="K257">
        <v>0</v>
      </c>
      <c r="L257">
        <v>2.4011999999999998</v>
      </c>
      <c r="M257" t="s">
        <v>17</v>
      </c>
    </row>
    <row r="258" spans="1:13">
      <c r="A258" t="s">
        <v>517</v>
      </c>
      <c r="B258" s="1">
        <v>41629</v>
      </c>
      <c r="C258" s="1">
        <v>41631</v>
      </c>
      <c r="D258" t="s">
        <v>406</v>
      </c>
      <c r="E258" t="s">
        <v>35</v>
      </c>
      <c r="F258" t="s">
        <v>102</v>
      </c>
      <c r="G258" t="s">
        <v>39</v>
      </c>
      <c r="H258" t="s">
        <v>2661</v>
      </c>
      <c r="I258">
        <v>3.008</v>
      </c>
      <c r="K258">
        <v>0.2</v>
      </c>
      <c r="L258">
        <v>0.33839999999999898</v>
      </c>
      <c r="M258" t="s">
        <v>32</v>
      </c>
    </row>
    <row r="259" spans="1:13">
      <c r="A259" t="s">
        <v>470</v>
      </c>
      <c r="B259" s="1">
        <v>42273</v>
      </c>
      <c r="C259" s="1">
        <v>42276</v>
      </c>
      <c r="D259" t="s">
        <v>406</v>
      </c>
      <c r="E259" t="s">
        <v>35</v>
      </c>
      <c r="F259" t="s">
        <v>102</v>
      </c>
      <c r="G259" t="s">
        <v>39</v>
      </c>
      <c r="H259" t="s">
        <v>2662</v>
      </c>
      <c r="I259">
        <v>8.5950000000000006</v>
      </c>
      <c r="J259">
        <v>5</v>
      </c>
      <c r="K259">
        <v>0.7</v>
      </c>
      <c r="L259">
        <v>-6.3029999999999999</v>
      </c>
      <c r="M259" t="s">
        <v>17</v>
      </c>
    </row>
    <row r="260" spans="1:13">
      <c r="A260" t="s">
        <v>518</v>
      </c>
      <c r="B260" s="1">
        <v>42158</v>
      </c>
      <c r="C260" s="1">
        <v>42162</v>
      </c>
      <c r="D260" t="s">
        <v>519</v>
      </c>
      <c r="E260" t="s">
        <v>200</v>
      </c>
      <c r="F260" t="s">
        <v>89</v>
      </c>
      <c r="G260" t="s">
        <v>39</v>
      </c>
      <c r="H260" t="s">
        <v>2654</v>
      </c>
      <c r="J260">
        <v>5</v>
      </c>
      <c r="L260">
        <v>54.299999999999898</v>
      </c>
      <c r="M260" t="s">
        <v>32</v>
      </c>
    </row>
    <row r="261" spans="1:13">
      <c r="A261" t="s">
        <v>520</v>
      </c>
      <c r="B261" s="1">
        <v>42259</v>
      </c>
      <c r="C261" s="1">
        <v>42261</v>
      </c>
      <c r="D261" t="s">
        <v>172</v>
      </c>
      <c r="E261" t="s">
        <v>200</v>
      </c>
      <c r="F261" t="s">
        <v>89</v>
      </c>
      <c r="G261" t="s">
        <v>16</v>
      </c>
      <c r="H261" t="s">
        <v>2659</v>
      </c>
      <c r="I261">
        <v>2120.5</v>
      </c>
      <c r="J261">
        <v>5</v>
      </c>
      <c r="K261">
        <v>0</v>
      </c>
      <c r="L261">
        <v>106</v>
      </c>
      <c r="M261" t="s">
        <v>23</v>
      </c>
    </row>
    <row r="262" spans="1:13">
      <c r="A262" t="s">
        <v>521</v>
      </c>
      <c r="B262" s="2">
        <v>42111</v>
      </c>
      <c r="C262" s="1">
        <v>42111</v>
      </c>
      <c r="D262" t="s">
        <v>522</v>
      </c>
      <c r="E262" t="s">
        <v>58</v>
      </c>
      <c r="F262" t="s">
        <v>81</v>
      </c>
      <c r="G262" t="s">
        <v>16</v>
      </c>
      <c r="H262" t="s">
        <v>2661</v>
      </c>
      <c r="I262">
        <v>1275</v>
      </c>
      <c r="J262">
        <v>2</v>
      </c>
      <c r="K262">
        <v>0</v>
      </c>
      <c r="L262">
        <v>140.22</v>
      </c>
      <c r="M262" t="s">
        <v>23</v>
      </c>
    </row>
    <row r="263" spans="1:13">
      <c r="A263" t="s">
        <v>523</v>
      </c>
      <c r="B263" s="1">
        <v>41599</v>
      </c>
      <c r="C263" s="1">
        <v>41602</v>
      </c>
      <c r="D263" t="s">
        <v>524</v>
      </c>
      <c r="F263" t="s">
        <v>63</v>
      </c>
      <c r="G263" t="s">
        <v>16</v>
      </c>
      <c r="H263" t="s">
        <v>2656</v>
      </c>
      <c r="I263">
        <v>1593.6479999999999</v>
      </c>
      <c r="K263">
        <v>0.15</v>
      </c>
      <c r="L263">
        <v>-225.16200000000001</v>
      </c>
      <c r="M263" t="s">
        <v>396</v>
      </c>
    </row>
    <row r="264" spans="1:13">
      <c r="B264" s="1">
        <v>42069</v>
      </c>
      <c r="C264" s="1">
        <v>42071</v>
      </c>
      <c r="D264" t="s">
        <v>525</v>
      </c>
      <c r="E264" t="s">
        <v>62</v>
      </c>
      <c r="F264" t="s">
        <v>63</v>
      </c>
      <c r="G264" t="s">
        <v>28</v>
      </c>
      <c r="H264" t="s">
        <v>2656</v>
      </c>
      <c r="I264">
        <v>1114.2360000000001</v>
      </c>
      <c r="J264">
        <v>3</v>
      </c>
      <c r="K264">
        <v>0.1</v>
      </c>
      <c r="L264">
        <v>383.70600000000002</v>
      </c>
      <c r="M264" t="s">
        <v>23</v>
      </c>
    </row>
    <row r="265" spans="1:13">
      <c r="A265" t="s">
        <v>526</v>
      </c>
      <c r="B265" s="1">
        <v>41478</v>
      </c>
      <c r="C265" s="1">
        <v>41483</v>
      </c>
      <c r="D265" t="s">
        <v>527</v>
      </c>
      <c r="E265" t="s">
        <v>20</v>
      </c>
      <c r="F265" t="s">
        <v>63</v>
      </c>
      <c r="G265" t="s">
        <v>16</v>
      </c>
      <c r="H265" t="s">
        <v>2662</v>
      </c>
      <c r="I265">
        <v>2944.08</v>
      </c>
      <c r="J265">
        <v>5</v>
      </c>
      <c r="K265">
        <v>0.1</v>
      </c>
      <c r="L265">
        <v>1112.1300000000001</v>
      </c>
      <c r="M265" t="s">
        <v>32</v>
      </c>
    </row>
    <row r="266" spans="1:13">
      <c r="A266" t="s">
        <v>528</v>
      </c>
      <c r="B266" s="1">
        <v>42315</v>
      </c>
      <c r="C266" s="2">
        <v>42317</v>
      </c>
      <c r="D266" t="s">
        <v>529</v>
      </c>
      <c r="E266" t="s">
        <v>131</v>
      </c>
      <c r="F266" t="s">
        <v>132</v>
      </c>
      <c r="G266" t="s">
        <v>39</v>
      </c>
      <c r="H266" t="s">
        <v>2663</v>
      </c>
      <c r="I266">
        <v>3309.2597999999998</v>
      </c>
      <c r="J266">
        <v>7</v>
      </c>
      <c r="K266">
        <v>0.17</v>
      </c>
      <c r="L266">
        <v>318.85979999999898</v>
      </c>
      <c r="M266" t="s">
        <v>32</v>
      </c>
    </row>
    <row r="267" spans="1:13">
      <c r="A267" t="s">
        <v>530</v>
      </c>
      <c r="B267" s="1">
        <v>42330</v>
      </c>
      <c r="C267" t="s">
        <v>531</v>
      </c>
      <c r="D267" t="s">
        <v>532</v>
      </c>
      <c r="E267" t="s">
        <v>52</v>
      </c>
      <c r="F267" t="s">
        <v>53</v>
      </c>
      <c r="G267" t="s">
        <v>168</v>
      </c>
      <c r="H267" t="s">
        <v>2656</v>
      </c>
      <c r="I267">
        <v>897.48</v>
      </c>
      <c r="J267">
        <v>9</v>
      </c>
      <c r="K267">
        <v>0</v>
      </c>
      <c r="L267">
        <v>322.92</v>
      </c>
      <c r="M267" t="s">
        <v>23</v>
      </c>
    </row>
    <row r="268" spans="1:13">
      <c r="A268" t="s">
        <v>533</v>
      </c>
      <c r="B268" s="1">
        <v>41070</v>
      </c>
      <c r="C268" s="1">
        <v>41073</v>
      </c>
      <c r="D268" t="s">
        <v>534</v>
      </c>
      <c r="E268" t="s">
        <v>245</v>
      </c>
      <c r="F268" t="s">
        <v>63</v>
      </c>
      <c r="G268" t="s">
        <v>28</v>
      </c>
      <c r="H268" t="s">
        <v>2661</v>
      </c>
      <c r="I268">
        <v>2056.0499999999902</v>
      </c>
      <c r="J268">
        <v>5</v>
      </c>
      <c r="K268">
        <v>0</v>
      </c>
      <c r="L268">
        <v>390.6</v>
      </c>
      <c r="M268" t="s">
        <v>32</v>
      </c>
    </row>
    <row r="269" spans="1:13">
      <c r="A269" t="s">
        <v>535</v>
      </c>
      <c r="B269" s="1">
        <v>41531</v>
      </c>
      <c r="C269" s="1">
        <v>41536</v>
      </c>
      <c r="D269" t="s">
        <v>536</v>
      </c>
      <c r="E269" t="s">
        <v>88</v>
      </c>
      <c r="F269" t="s">
        <v>89</v>
      </c>
      <c r="G269" t="s">
        <v>16</v>
      </c>
      <c r="H269" t="s">
        <v>2655</v>
      </c>
      <c r="J269">
        <v>10</v>
      </c>
      <c r="K269">
        <v>2E-3</v>
      </c>
      <c r="L269" t="s">
        <v>537</v>
      </c>
      <c r="M269" t="s">
        <v>32</v>
      </c>
    </row>
    <row r="270" spans="1:13">
      <c r="A270" t="s">
        <v>538</v>
      </c>
      <c r="B270" s="1">
        <v>41237</v>
      </c>
      <c r="C270" s="1">
        <v>41237</v>
      </c>
      <c r="D270" t="s">
        <v>539</v>
      </c>
      <c r="E270" t="s">
        <v>14</v>
      </c>
      <c r="F270" t="s">
        <v>15</v>
      </c>
      <c r="G270" t="s">
        <v>16</v>
      </c>
      <c r="H270" t="s">
        <v>2663</v>
      </c>
      <c r="I270">
        <v>1336.356</v>
      </c>
      <c r="J270">
        <v>7</v>
      </c>
      <c r="K270">
        <v>0.4</v>
      </c>
      <c r="L270">
        <v>44.436</v>
      </c>
      <c r="M270" t="s">
        <v>23</v>
      </c>
    </row>
    <row r="271" spans="1:13">
      <c r="A271" t="s">
        <v>540</v>
      </c>
      <c r="B271" s="1">
        <v>41496</v>
      </c>
      <c r="C271" s="1">
        <v>41498</v>
      </c>
      <c r="D271" t="s">
        <v>541</v>
      </c>
      <c r="E271" t="s">
        <v>542</v>
      </c>
      <c r="F271" t="s">
        <v>81</v>
      </c>
      <c r="G271" t="s">
        <v>16</v>
      </c>
      <c r="H271" t="s">
        <v>2657</v>
      </c>
      <c r="I271">
        <v>3038.64</v>
      </c>
      <c r="J271">
        <v>8</v>
      </c>
      <c r="K271">
        <v>0</v>
      </c>
      <c r="L271">
        <v>1245.8399999999999</v>
      </c>
      <c r="M271" t="s">
        <v>32</v>
      </c>
    </row>
    <row r="272" spans="1:13">
      <c r="A272" t="s">
        <v>543</v>
      </c>
      <c r="B272" s="1">
        <v>41718</v>
      </c>
      <c r="C272" s="1">
        <v>41721</v>
      </c>
      <c r="E272" t="s">
        <v>84</v>
      </c>
      <c r="F272" t="s">
        <v>85</v>
      </c>
      <c r="G272" t="s">
        <v>39</v>
      </c>
      <c r="H272" t="s">
        <v>2657</v>
      </c>
      <c r="I272">
        <v>2698.6499999999901</v>
      </c>
      <c r="J272">
        <v>9</v>
      </c>
      <c r="K272">
        <v>0</v>
      </c>
      <c r="L272">
        <v>890.46</v>
      </c>
      <c r="M272" t="s">
        <v>32</v>
      </c>
    </row>
    <row r="273" spans="1:13">
      <c r="A273" t="s">
        <v>544</v>
      </c>
      <c r="B273" s="1">
        <v>42003</v>
      </c>
      <c r="C273" s="1">
        <v>42008</v>
      </c>
      <c r="D273" t="s">
        <v>545</v>
      </c>
      <c r="E273" t="s">
        <v>546</v>
      </c>
      <c r="F273" t="s">
        <v>426</v>
      </c>
      <c r="G273" t="s">
        <v>16</v>
      </c>
      <c r="H273" t="s">
        <v>2657</v>
      </c>
      <c r="I273">
        <v>3799.08</v>
      </c>
      <c r="J273">
        <v>12</v>
      </c>
      <c r="K273">
        <v>0</v>
      </c>
      <c r="L273">
        <v>455.76</v>
      </c>
      <c r="M273" t="s">
        <v>17</v>
      </c>
    </row>
    <row r="274" spans="1:13">
      <c r="A274" t="s">
        <v>547</v>
      </c>
      <c r="B274" s="1">
        <v>41551</v>
      </c>
      <c r="C274" s="1">
        <v>41556</v>
      </c>
      <c r="D274" t="s">
        <v>548</v>
      </c>
      <c r="E274" t="s">
        <v>549</v>
      </c>
      <c r="F274" t="s">
        <v>106</v>
      </c>
      <c r="G274" t="s">
        <v>28</v>
      </c>
      <c r="H274" t="s">
        <v>2661</v>
      </c>
      <c r="J274">
        <v>6</v>
      </c>
      <c r="K274">
        <v>0</v>
      </c>
      <c r="L274">
        <v>413.28</v>
      </c>
      <c r="M274" t="s">
        <v>32</v>
      </c>
    </row>
    <row r="275" spans="1:13">
      <c r="A275" t="s">
        <v>550</v>
      </c>
      <c r="B275" s="1">
        <v>41492</v>
      </c>
      <c r="C275" s="2">
        <v>48067</v>
      </c>
      <c r="D275" t="s">
        <v>551</v>
      </c>
      <c r="E275" t="s">
        <v>552</v>
      </c>
      <c r="F275" t="s">
        <v>68</v>
      </c>
      <c r="G275" t="s">
        <v>16</v>
      </c>
      <c r="H275" t="s">
        <v>2657</v>
      </c>
      <c r="J275" t="s">
        <v>55</v>
      </c>
      <c r="K275">
        <v>0.1</v>
      </c>
      <c r="M275" t="s">
        <v>23</v>
      </c>
    </row>
    <row r="276" spans="1:13">
      <c r="A276" t="s">
        <v>553</v>
      </c>
      <c r="B276" s="1">
        <v>41549</v>
      </c>
      <c r="C276" s="1">
        <v>41549</v>
      </c>
      <c r="E276" t="s">
        <v>554</v>
      </c>
      <c r="F276" t="s">
        <v>132</v>
      </c>
      <c r="G276" t="s">
        <v>28</v>
      </c>
      <c r="H276" t="s">
        <v>2655</v>
      </c>
      <c r="I276">
        <v>1719.80699999999</v>
      </c>
      <c r="J276" t="s">
        <v>55</v>
      </c>
      <c r="K276">
        <v>0.27</v>
      </c>
      <c r="M276" t="s">
        <v>32</v>
      </c>
    </row>
    <row r="277" spans="1:13">
      <c r="A277" t="s">
        <v>555</v>
      </c>
      <c r="B277" s="1">
        <v>42089</v>
      </c>
      <c r="D277" t="s">
        <v>146</v>
      </c>
      <c r="E277" t="s">
        <v>131</v>
      </c>
      <c r="F277" t="s">
        <v>132</v>
      </c>
      <c r="G277" t="s">
        <v>39</v>
      </c>
      <c r="H277" t="s">
        <v>2656</v>
      </c>
      <c r="I277">
        <v>1421.5409999999999</v>
      </c>
      <c r="J277">
        <v>3</v>
      </c>
      <c r="K277">
        <v>0.17</v>
      </c>
      <c r="L277">
        <v>428.12099999999901</v>
      </c>
      <c r="M277" t="s">
        <v>23</v>
      </c>
    </row>
    <row r="278" spans="1:13">
      <c r="A278" t="s">
        <v>556</v>
      </c>
      <c r="B278" s="1">
        <v>42329</v>
      </c>
      <c r="C278" s="1">
        <v>42329</v>
      </c>
      <c r="D278" t="s">
        <v>557</v>
      </c>
      <c r="E278" t="s">
        <v>558</v>
      </c>
      <c r="F278" t="s">
        <v>111</v>
      </c>
      <c r="G278" t="s">
        <v>16</v>
      </c>
      <c r="H278" t="s">
        <v>2655</v>
      </c>
      <c r="I278">
        <v>1053.6884</v>
      </c>
      <c r="J278">
        <v>5</v>
      </c>
      <c r="K278">
        <v>2E-3</v>
      </c>
      <c r="L278">
        <v>441.28840000000002</v>
      </c>
      <c r="M278" t="s">
        <v>32</v>
      </c>
    </row>
    <row r="279" spans="1:13">
      <c r="B279" s="1">
        <v>41242</v>
      </c>
      <c r="C279" s="2">
        <v>44530</v>
      </c>
      <c r="D279" t="s">
        <v>559</v>
      </c>
      <c r="E279" t="s">
        <v>270</v>
      </c>
      <c r="F279" t="s">
        <v>63</v>
      </c>
      <c r="G279" t="s">
        <v>16</v>
      </c>
      <c r="H279" t="s">
        <v>2661</v>
      </c>
      <c r="I279">
        <v>1440.84</v>
      </c>
      <c r="J279" t="s">
        <v>55</v>
      </c>
      <c r="K279">
        <v>0.5</v>
      </c>
      <c r="L279">
        <v>-1268.04</v>
      </c>
      <c r="M279" t="s">
        <v>23</v>
      </c>
    </row>
    <row r="280" spans="1:13">
      <c r="A280" t="s">
        <v>115</v>
      </c>
      <c r="B280" s="1">
        <v>40950</v>
      </c>
      <c r="C280" s="1">
        <v>41217</v>
      </c>
      <c r="E280" t="s">
        <v>14</v>
      </c>
      <c r="F280" t="s">
        <v>15</v>
      </c>
      <c r="G280" t="s">
        <v>28</v>
      </c>
      <c r="H280" t="s">
        <v>2657</v>
      </c>
      <c r="I280">
        <v>2544.3719999999998</v>
      </c>
      <c r="J280">
        <v>6</v>
      </c>
      <c r="K280">
        <v>0.1</v>
      </c>
      <c r="L280">
        <v>621.79200000000003</v>
      </c>
      <c r="M280" t="s">
        <v>23</v>
      </c>
    </row>
    <row r="281" spans="1:13">
      <c r="A281" t="s">
        <v>471</v>
      </c>
      <c r="B281" t="s">
        <v>560</v>
      </c>
      <c r="C281" s="1">
        <v>42149</v>
      </c>
      <c r="E281" t="s">
        <v>35</v>
      </c>
      <c r="F281" t="s">
        <v>142</v>
      </c>
      <c r="G281" t="s">
        <v>39</v>
      </c>
      <c r="H281" t="s">
        <v>2657</v>
      </c>
      <c r="I281">
        <v>27.888000000000002</v>
      </c>
      <c r="J281">
        <v>7</v>
      </c>
      <c r="K281">
        <v>0.2</v>
      </c>
      <c r="L281">
        <v>10.109400000000001</v>
      </c>
      <c r="M281" t="s">
        <v>17</v>
      </c>
    </row>
    <row r="282" spans="1:13">
      <c r="A282" t="s">
        <v>561</v>
      </c>
      <c r="B282" s="1">
        <v>41614</v>
      </c>
      <c r="C282" s="1">
        <v>41614</v>
      </c>
      <c r="D282" t="s">
        <v>562</v>
      </c>
      <c r="E282" t="s">
        <v>563</v>
      </c>
      <c r="F282" t="s">
        <v>78</v>
      </c>
      <c r="G282" t="s">
        <v>16</v>
      </c>
      <c r="H282" t="s">
        <v>2655</v>
      </c>
      <c r="I282">
        <v>1554.48</v>
      </c>
      <c r="J282">
        <v>8</v>
      </c>
      <c r="K282">
        <v>0</v>
      </c>
      <c r="L282">
        <v>341.76</v>
      </c>
      <c r="M282" t="s">
        <v>32</v>
      </c>
    </row>
    <row r="283" spans="1:13">
      <c r="A283" t="s">
        <v>564</v>
      </c>
      <c r="B283" s="1">
        <v>41976</v>
      </c>
      <c r="C283" s="1">
        <v>41977</v>
      </c>
      <c r="D283" t="s">
        <v>565</v>
      </c>
      <c r="E283" t="s">
        <v>88</v>
      </c>
      <c r="F283" t="s">
        <v>89</v>
      </c>
      <c r="G283" t="s">
        <v>16</v>
      </c>
      <c r="H283" t="s">
        <v>2661</v>
      </c>
      <c r="I283">
        <v>1278</v>
      </c>
      <c r="J283">
        <v>3</v>
      </c>
      <c r="K283">
        <v>0</v>
      </c>
      <c r="L283">
        <v>89.46</v>
      </c>
      <c r="M283" t="s">
        <v>32</v>
      </c>
    </row>
    <row r="284" spans="1:13">
      <c r="A284" t="s">
        <v>566</v>
      </c>
      <c r="B284" s="2">
        <v>41628</v>
      </c>
      <c r="C284" s="1">
        <v>41632</v>
      </c>
      <c r="D284" t="s">
        <v>259</v>
      </c>
      <c r="E284" t="s">
        <v>567</v>
      </c>
      <c r="F284" t="s">
        <v>89</v>
      </c>
      <c r="G284" t="s">
        <v>16</v>
      </c>
      <c r="H284" t="s">
        <v>2657</v>
      </c>
      <c r="I284">
        <v>3474.08</v>
      </c>
      <c r="J284">
        <v>8</v>
      </c>
      <c r="K284">
        <v>0</v>
      </c>
      <c r="L284">
        <v>625.28</v>
      </c>
      <c r="M284" t="s">
        <v>32</v>
      </c>
    </row>
    <row r="285" spans="1:13">
      <c r="B285" s="1">
        <v>41530</v>
      </c>
      <c r="C285" s="1">
        <v>41532</v>
      </c>
      <c r="D285" t="s">
        <v>568</v>
      </c>
      <c r="E285" t="s">
        <v>88</v>
      </c>
      <c r="F285" t="s">
        <v>89</v>
      </c>
      <c r="G285" t="s">
        <v>16</v>
      </c>
      <c r="H285" t="s">
        <v>2656</v>
      </c>
      <c r="I285">
        <v>2550</v>
      </c>
      <c r="J285">
        <v>6</v>
      </c>
      <c r="K285">
        <v>0</v>
      </c>
      <c r="L285" t="s">
        <v>569</v>
      </c>
      <c r="M285" t="s">
        <v>17</v>
      </c>
    </row>
    <row r="286" spans="1:13">
      <c r="A286" t="s">
        <v>570</v>
      </c>
      <c r="B286" s="1">
        <v>42264</v>
      </c>
      <c r="C286" s="1">
        <v>42266</v>
      </c>
      <c r="D286" t="s">
        <v>571</v>
      </c>
      <c r="E286" t="s">
        <v>35</v>
      </c>
      <c r="F286" t="s">
        <v>102</v>
      </c>
      <c r="G286" t="s">
        <v>39</v>
      </c>
      <c r="H286" t="s">
        <v>2656</v>
      </c>
      <c r="I286">
        <v>538.19399999999996</v>
      </c>
      <c r="J286">
        <v>2</v>
      </c>
      <c r="K286">
        <v>0.7</v>
      </c>
      <c r="L286">
        <v>-412.615399999999</v>
      </c>
      <c r="M286" t="s">
        <v>23</v>
      </c>
    </row>
    <row r="287" spans="1:13">
      <c r="A287" t="s">
        <v>572</v>
      </c>
      <c r="B287" s="1">
        <v>41173</v>
      </c>
      <c r="C287" s="1">
        <v>41180</v>
      </c>
      <c r="D287" t="s">
        <v>571</v>
      </c>
      <c r="E287" t="s">
        <v>35</v>
      </c>
      <c r="F287" t="s">
        <v>573</v>
      </c>
      <c r="G287" t="s">
        <v>28</v>
      </c>
      <c r="H287" t="s">
        <v>2656</v>
      </c>
      <c r="J287">
        <v>4</v>
      </c>
      <c r="K287">
        <v>0.1</v>
      </c>
      <c r="L287">
        <v>83.709599999999895</v>
      </c>
      <c r="M287" t="s">
        <v>17</v>
      </c>
    </row>
    <row r="288" spans="1:13">
      <c r="A288" t="s">
        <v>574</v>
      </c>
      <c r="B288" s="1">
        <v>41587</v>
      </c>
      <c r="C288" s="1">
        <v>41591</v>
      </c>
      <c r="D288" t="s">
        <v>571</v>
      </c>
      <c r="E288" t="s">
        <v>35</v>
      </c>
      <c r="F288" t="s">
        <v>36</v>
      </c>
      <c r="G288" t="s">
        <v>28</v>
      </c>
      <c r="H288" t="s">
        <v>2661</v>
      </c>
      <c r="I288">
        <v>1024.3800000000001</v>
      </c>
      <c r="J288">
        <v>7</v>
      </c>
      <c r="L288">
        <v>215.119799999999</v>
      </c>
      <c r="M288" t="s">
        <v>17</v>
      </c>
    </row>
    <row r="289" spans="1:13">
      <c r="A289" t="s">
        <v>575</v>
      </c>
      <c r="B289" s="1">
        <v>41417</v>
      </c>
      <c r="C289" s="1">
        <v>41420</v>
      </c>
      <c r="E289" t="s">
        <v>576</v>
      </c>
      <c r="F289" t="s">
        <v>49</v>
      </c>
      <c r="G289" t="s">
        <v>16</v>
      </c>
      <c r="H289" t="s">
        <v>2659</v>
      </c>
      <c r="I289">
        <v>934.24800000000005</v>
      </c>
      <c r="J289">
        <v>14</v>
      </c>
      <c r="K289">
        <v>0.6</v>
      </c>
      <c r="L289">
        <v>-1331.65199999999</v>
      </c>
      <c r="M289" t="s">
        <v>32</v>
      </c>
    </row>
    <row r="290" spans="1:13">
      <c r="A290" t="s">
        <v>577</v>
      </c>
      <c r="B290" s="1">
        <v>41812</v>
      </c>
      <c r="C290" t="s">
        <v>578</v>
      </c>
      <c r="D290" t="s">
        <v>571</v>
      </c>
      <c r="E290" t="s">
        <v>35</v>
      </c>
      <c r="F290" t="s">
        <v>102</v>
      </c>
      <c r="G290" t="s">
        <v>28</v>
      </c>
      <c r="H290" t="s">
        <v>2657</v>
      </c>
      <c r="I290">
        <v>353.56799999999998</v>
      </c>
      <c r="J290" t="s">
        <v>579</v>
      </c>
      <c r="L290">
        <v>-44.195999999999998</v>
      </c>
      <c r="M290" t="s">
        <v>32</v>
      </c>
    </row>
    <row r="291" spans="1:13">
      <c r="A291" t="s">
        <v>580</v>
      </c>
      <c r="B291" t="s">
        <v>581</v>
      </c>
      <c r="C291" s="1">
        <v>42111</v>
      </c>
      <c r="D291" t="s">
        <v>582</v>
      </c>
      <c r="E291" t="s">
        <v>583</v>
      </c>
      <c r="F291" t="s">
        <v>22</v>
      </c>
      <c r="G291" t="s">
        <v>16</v>
      </c>
      <c r="H291" t="s">
        <v>2656</v>
      </c>
      <c r="I291">
        <v>3908.88</v>
      </c>
      <c r="J291">
        <v>6</v>
      </c>
      <c r="K291">
        <v>0</v>
      </c>
      <c r="L291">
        <v>1563.48</v>
      </c>
      <c r="M291" t="s">
        <v>584</v>
      </c>
    </row>
    <row r="292" spans="1:13">
      <c r="A292" t="s">
        <v>585</v>
      </c>
      <c r="B292" s="1">
        <v>42245</v>
      </c>
      <c r="C292" s="1">
        <v>42249</v>
      </c>
      <c r="D292" t="s">
        <v>586</v>
      </c>
      <c r="E292" t="s">
        <v>88</v>
      </c>
      <c r="F292" t="s">
        <v>89</v>
      </c>
      <c r="G292" t="s">
        <v>16</v>
      </c>
      <c r="H292" t="s">
        <v>2657</v>
      </c>
      <c r="I292">
        <v>2142.3000000000002</v>
      </c>
      <c r="J292">
        <v>5</v>
      </c>
      <c r="K292">
        <v>0</v>
      </c>
      <c r="L292">
        <v>556.9</v>
      </c>
      <c r="M292" t="s">
        <v>32</v>
      </c>
    </row>
    <row r="293" spans="1:13">
      <c r="A293" t="s">
        <v>587</v>
      </c>
      <c r="B293" s="1">
        <v>42140</v>
      </c>
      <c r="C293" s="1">
        <v>42142</v>
      </c>
      <c r="D293" t="s">
        <v>588</v>
      </c>
      <c r="E293" t="s">
        <v>589</v>
      </c>
      <c r="F293" t="s">
        <v>15</v>
      </c>
      <c r="G293" t="s">
        <v>154</v>
      </c>
      <c r="H293" t="s">
        <v>2656</v>
      </c>
      <c r="I293">
        <v>1900.5839999999901</v>
      </c>
      <c r="J293">
        <v>6</v>
      </c>
      <c r="K293">
        <v>0.4</v>
      </c>
      <c r="L293">
        <v>-348.51600000000002</v>
      </c>
      <c r="M293" t="s">
        <v>32</v>
      </c>
    </row>
    <row r="294" spans="1:13">
      <c r="B294" s="1">
        <v>41621</v>
      </c>
      <c r="C294" s="1">
        <v>41623</v>
      </c>
      <c r="D294" t="s">
        <v>104</v>
      </c>
      <c r="E294" t="s">
        <v>590</v>
      </c>
      <c r="F294" t="s">
        <v>121</v>
      </c>
      <c r="G294" t="s">
        <v>39</v>
      </c>
      <c r="H294" t="s">
        <v>2656</v>
      </c>
      <c r="I294">
        <v>1840.6799999999901</v>
      </c>
      <c r="J294">
        <v>6</v>
      </c>
      <c r="K294">
        <v>0</v>
      </c>
      <c r="L294">
        <v>496.98</v>
      </c>
      <c r="M294" t="s">
        <v>23</v>
      </c>
    </row>
    <row r="295" spans="1:13">
      <c r="A295" t="s">
        <v>591</v>
      </c>
      <c r="B295" s="1">
        <v>40998</v>
      </c>
      <c r="C295" s="1">
        <v>41002</v>
      </c>
      <c r="D295" t="s">
        <v>592</v>
      </c>
      <c r="E295" t="s">
        <v>84</v>
      </c>
      <c r="F295" t="s">
        <v>85</v>
      </c>
      <c r="G295" t="s">
        <v>28</v>
      </c>
      <c r="H295" t="s">
        <v>2661</v>
      </c>
      <c r="I295">
        <v>2624.04</v>
      </c>
      <c r="J295">
        <v>6</v>
      </c>
      <c r="K295">
        <v>0</v>
      </c>
      <c r="M295" t="s">
        <v>32</v>
      </c>
    </row>
    <row r="296" spans="1:13">
      <c r="A296" t="s">
        <v>593</v>
      </c>
      <c r="B296" s="1">
        <v>41308</v>
      </c>
      <c r="C296" s="1">
        <v>41312</v>
      </c>
      <c r="E296" t="s">
        <v>105</v>
      </c>
      <c r="F296" t="s">
        <v>106</v>
      </c>
      <c r="G296" t="s">
        <v>28</v>
      </c>
      <c r="H296" t="s">
        <v>2661</v>
      </c>
      <c r="I296">
        <v>3076.5</v>
      </c>
      <c r="J296">
        <v>7</v>
      </c>
      <c r="K296">
        <v>0</v>
      </c>
      <c r="L296">
        <v>215.25</v>
      </c>
      <c r="M296" t="s">
        <v>17</v>
      </c>
    </row>
    <row r="297" spans="1:13">
      <c r="A297" t="s">
        <v>594</v>
      </c>
      <c r="B297" s="1">
        <v>41788</v>
      </c>
      <c r="C297" s="1">
        <v>41791</v>
      </c>
      <c r="D297" t="s">
        <v>595</v>
      </c>
      <c r="E297" t="s">
        <v>310</v>
      </c>
      <c r="F297" t="s">
        <v>132</v>
      </c>
      <c r="G297" t="s">
        <v>16</v>
      </c>
      <c r="H297" t="s">
        <v>2663</v>
      </c>
      <c r="I297">
        <v>3181.7718</v>
      </c>
      <c r="J297">
        <v>6</v>
      </c>
      <c r="K297">
        <v>0.17</v>
      </c>
      <c r="L297">
        <v>344.97179999999901</v>
      </c>
      <c r="M297" t="s">
        <v>17</v>
      </c>
    </row>
    <row r="298" spans="1:13">
      <c r="A298" t="s">
        <v>596</v>
      </c>
      <c r="B298" s="1">
        <v>41515</v>
      </c>
      <c r="C298" s="1">
        <v>41518</v>
      </c>
      <c r="D298" t="s">
        <v>597</v>
      </c>
      <c r="E298" t="s">
        <v>186</v>
      </c>
      <c r="F298" t="s">
        <v>68</v>
      </c>
      <c r="G298" t="s">
        <v>39</v>
      </c>
      <c r="H298" t="s">
        <v>2663</v>
      </c>
      <c r="I298">
        <v>1392.633</v>
      </c>
      <c r="J298">
        <v>11</v>
      </c>
      <c r="K298" t="s">
        <v>598</v>
      </c>
      <c r="L298">
        <v>-139.55699999999999</v>
      </c>
      <c r="M298" t="s">
        <v>23</v>
      </c>
    </row>
    <row r="299" spans="1:13">
      <c r="A299" t="s">
        <v>599</v>
      </c>
      <c r="B299" s="1">
        <v>41074</v>
      </c>
      <c r="C299" s="1">
        <v>41076</v>
      </c>
      <c r="D299" t="s">
        <v>600</v>
      </c>
      <c r="E299" t="s">
        <v>58</v>
      </c>
      <c r="F299" t="s">
        <v>81</v>
      </c>
      <c r="G299" t="s">
        <v>28</v>
      </c>
      <c r="H299" t="s">
        <v>2656</v>
      </c>
      <c r="I299">
        <v>1296.24</v>
      </c>
      <c r="K299">
        <v>0</v>
      </c>
      <c r="L299">
        <v>285.12</v>
      </c>
      <c r="M299" t="s">
        <v>23</v>
      </c>
    </row>
    <row r="300" spans="1:13">
      <c r="A300" t="s">
        <v>601</v>
      </c>
      <c r="B300" s="1">
        <v>42244</v>
      </c>
      <c r="C300" s="1">
        <v>42247</v>
      </c>
      <c r="D300" t="s">
        <v>602</v>
      </c>
      <c r="G300" t="s">
        <v>39</v>
      </c>
      <c r="H300" t="s">
        <v>2664</v>
      </c>
      <c r="I300">
        <v>1682.91</v>
      </c>
      <c r="J300">
        <v>3</v>
      </c>
      <c r="K300">
        <v>0</v>
      </c>
      <c r="L300">
        <v>487.98</v>
      </c>
      <c r="M300" t="s">
        <v>17</v>
      </c>
    </row>
    <row r="301" spans="1:13">
      <c r="A301" t="s">
        <v>603</v>
      </c>
      <c r="B301" s="1">
        <v>41208</v>
      </c>
      <c r="C301" s="1">
        <v>41209</v>
      </c>
      <c r="D301" t="s">
        <v>130</v>
      </c>
      <c r="E301" t="s">
        <v>200</v>
      </c>
      <c r="F301" t="s">
        <v>89</v>
      </c>
      <c r="G301" t="s">
        <v>16</v>
      </c>
      <c r="H301" t="s">
        <v>2655</v>
      </c>
      <c r="I301">
        <v>1278</v>
      </c>
      <c r="J301">
        <v>3</v>
      </c>
      <c r="L301">
        <v>89.46</v>
      </c>
      <c r="M301" t="s">
        <v>23</v>
      </c>
    </row>
    <row r="302" spans="1:13">
      <c r="B302" s="1">
        <v>42082</v>
      </c>
      <c r="C302" s="1">
        <v>42086</v>
      </c>
      <c r="D302" t="s">
        <v>604</v>
      </c>
      <c r="F302" t="s">
        <v>78</v>
      </c>
      <c r="G302" t="s">
        <v>16</v>
      </c>
      <c r="H302" t="s">
        <v>2661</v>
      </c>
      <c r="I302">
        <v>2570.7599999999902</v>
      </c>
      <c r="J302">
        <v>4</v>
      </c>
      <c r="K302">
        <v>0</v>
      </c>
      <c r="L302">
        <v>976.8</v>
      </c>
      <c r="M302" t="s">
        <v>17</v>
      </c>
    </row>
    <row r="303" spans="1:13">
      <c r="A303" t="s">
        <v>605</v>
      </c>
      <c r="B303" s="1">
        <v>42258</v>
      </c>
      <c r="C303" s="1">
        <v>42265</v>
      </c>
      <c r="D303" t="s">
        <v>606</v>
      </c>
      <c r="E303" t="s">
        <v>52</v>
      </c>
      <c r="F303" t="s">
        <v>53</v>
      </c>
      <c r="G303" t="s">
        <v>28</v>
      </c>
      <c r="H303" t="s">
        <v>2656</v>
      </c>
      <c r="I303">
        <v>2332.96</v>
      </c>
      <c r="J303" t="s">
        <v>55</v>
      </c>
      <c r="K303">
        <v>0.2</v>
      </c>
      <c r="L303">
        <v>3272.1878041889699</v>
      </c>
      <c r="M303" t="s">
        <v>65</v>
      </c>
    </row>
    <row r="304" spans="1:13">
      <c r="A304" t="s">
        <v>607</v>
      </c>
      <c r="B304" s="1">
        <v>41514</v>
      </c>
      <c r="D304" t="s">
        <v>551</v>
      </c>
      <c r="F304" t="s">
        <v>15</v>
      </c>
      <c r="G304" t="s">
        <v>28</v>
      </c>
      <c r="H304" t="s">
        <v>2656</v>
      </c>
      <c r="I304" t="s">
        <v>152</v>
      </c>
      <c r="J304">
        <v>6</v>
      </c>
      <c r="K304">
        <v>0.4</v>
      </c>
      <c r="L304">
        <v>-870.3</v>
      </c>
      <c r="M304" t="s">
        <v>23</v>
      </c>
    </row>
    <row r="305" spans="1:13">
      <c r="A305" t="s">
        <v>570</v>
      </c>
      <c r="C305" s="1">
        <v>42266</v>
      </c>
      <c r="D305" t="s">
        <v>571</v>
      </c>
      <c r="E305" t="s">
        <v>35</v>
      </c>
      <c r="F305" t="s">
        <v>102</v>
      </c>
      <c r="G305" t="s">
        <v>16</v>
      </c>
      <c r="H305" t="s">
        <v>2658</v>
      </c>
      <c r="I305">
        <v>71.975999999999999</v>
      </c>
      <c r="J305">
        <v>3</v>
      </c>
      <c r="K305">
        <v>0.2</v>
      </c>
      <c r="L305">
        <v>19.793399999999998</v>
      </c>
      <c r="M305" t="s">
        <v>23</v>
      </c>
    </row>
    <row r="306" spans="1:13">
      <c r="A306" t="s">
        <v>608</v>
      </c>
      <c r="B306" s="1">
        <v>41852</v>
      </c>
      <c r="C306" s="1">
        <v>41855</v>
      </c>
      <c r="D306" t="s">
        <v>609</v>
      </c>
      <c r="E306" t="s">
        <v>14</v>
      </c>
      <c r="F306" t="s">
        <v>15</v>
      </c>
      <c r="G306" t="s">
        <v>28</v>
      </c>
      <c r="H306" t="s">
        <v>2663</v>
      </c>
      <c r="I306">
        <v>1512</v>
      </c>
      <c r="J306">
        <v>6</v>
      </c>
      <c r="K306">
        <v>0</v>
      </c>
      <c r="L306">
        <v>498.96</v>
      </c>
      <c r="M306" t="s">
        <v>23</v>
      </c>
    </row>
    <row r="307" spans="1:13">
      <c r="A307" t="s">
        <v>577</v>
      </c>
      <c r="B307" s="1">
        <v>41812</v>
      </c>
      <c r="C307" s="1">
        <v>41817</v>
      </c>
      <c r="D307" t="s">
        <v>571</v>
      </c>
      <c r="E307" t="s">
        <v>35</v>
      </c>
      <c r="F307" t="s">
        <v>102</v>
      </c>
      <c r="G307" t="s">
        <v>39</v>
      </c>
      <c r="H307" t="s">
        <v>2664</v>
      </c>
      <c r="I307">
        <v>186.14400000000001</v>
      </c>
      <c r="J307">
        <v>6</v>
      </c>
      <c r="K307">
        <v>0.2</v>
      </c>
      <c r="L307">
        <v>60.496799999999901</v>
      </c>
      <c r="M307" t="s">
        <v>32</v>
      </c>
    </row>
    <row r="308" spans="1:13">
      <c r="A308" t="s">
        <v>610</v>
      </c>
      <c r="B308" s="1">
        <v>42362</v>
      </c>
      <c r="C308" s="1">
        <v>42365</v>
      </c>
      <c r="D308" t="s">
        <v>611</v>
      </c>
      <c r="E308" t="s">
        <v>425</v>
      </c>
      <c r="F308" t="s">
        <v>426</v>
      </c>
      <c r="G308" t="s">
        <v>612</v>
      </c>
      <c r="H308" t="s">
        <v>2658</v>
      </c>
      <c r="I308">
        <v>2550</v>
      </c>
      <c r="J308">
        <v>4</v>
      </c>
      <c r="K308">
        <v>0</v>
      </c>
      <c r="L308">
        <v>714</v>
      </c>
      <c r="M308" t="s">
        <v>17</v>
      </c>
    </row>
    <row r="309" spans="1:13">
      <c r="A309" t="s">
        <v>570</v>
      </c>
      <c r="B309" s="1">
        <v>42264</v>
      </c>
      <c r="C309" s="1">
        <v>42266</v>
      </c>
      <c r="D309" t="s">
        <v>571</v>
      </c>
      <c r="F309" t="s">
        <v>102</v>
      </c>
      <c r="G309" t="s">
        <v>16</v>
      </c>
      <c r="H309" t="s">
        <v>2662</v>
      </c>
      <c r="I309">
        <v>47.984000000000002</v>
      </c>
      <c r="J309">
        <v>2</v>
      </c>
      <c r="K309">
        <v>0.2</v>
      </c>
      <c r="L309">
        <v>14.395200000000001</v>
      </c>
      <c r="M309" t="s">
        <v>23</v>
      </c>
    </row>
    <row r="310" spans="1:13">
      <c r="A310" t="s">
        <v>613</v>
      </c>
      <c r="B310" s="1">
        <v>41327</v>
      </c>
      <c r="C310" s="1">
        <v>41330</v>
      </c>
      <c r="D310" t="s">
        <v>614</v>
      </c>
      <c r="E310" t="s">
        <v>84</v>
      </c>
      <c r="F310" t="s">
        <v>85</v>
      </c>
      <c r="G310" t="s">
        <v>28</v>
      </c>
      <c r="H310" t="s">
        <v>2656</v>
      </c>
      <c r="J310">
        <v>5</v>
      </c>
      <c r="K310">
        <v>0</v>
      </c>
      <c r="L310">
        <v>845.7</v>
      </c>
      <c r="M310" t="s">
        <v>32</v>
      </c>
    </row>
    <row r="311" spans="1:13">
      <c r="A311" t="s">
        <v>615</v>
      </c>
      <c r="B311" s="1">
        <v>42288</v>
      </c>
      <c r="C311" s="1">
        <v>42290</v>
      </c>
      <c r="D311" t="s">
        <v>616</v>
      </c>
      <c r="E311" t="s">
        <v>131</v>
      </c>
      <c r="F311" t="s">
        <v>132</v>
      </c>
      <c r="G311" t="s">
        <v>28</v>
      </c>
      <c r="H311" t="s">
        <v>2654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23</v>
      </c>
    </row>
    <row r="312" spans="1:13">
      <c r="A312" t="s">
        <v>617</v>
      </c>
      <c r="B312" s="1">
        <v>42115</v>
      </c>
      <c r="C312" s="1">
        <v>42117</v>
      </c>
      <c r="D312" t="s">
        <v>618</v>
      </c>
      <c r="E312" t="s">
        <v>346</v>
      </c>
      <c r="F312" t="s">
        <v>89</v>
      </c>
      <c r="G312" t="s">
        <v>16</v>
      </c>
      <c r="H312" t="s">
        <v>2655</v>
      </c>
      <c r="I312">
        <v>1058.2791999999999</v>
      </c>
      <c r="J312">
        <v>5</v>
      </c>
      <c r="K312">
        <v>2E-3</v>
      </c>
      <c r="L312">
        <v>-2.1208</v>
      </c>
      <c r="M312" t="s">
        <v>23</v>
      </c>
    </row>
    <row r="313" spans="1:13">
      <c r="A313" t="s">
        <v>619</v>
      </c>
      <c r="B313" s="1">
        <v>41802</v>
      </c>
      <c r="C313" s="1">
        <v>41807</v>
      </c>
      <c r="D313" t="s">
        <v>620</v>
      </c>
      <c r="E313" t="s">
        <v>105</v>
      </c>
      <c r="F313" t="s">
        <v>106</v>
      </c>
      <c r="G313" t="s">
        <v>16</v>
      </c>
      <c r="H313" t="s">
        <v>2663</v>
      </c>
      <c r="I313">
        <v>5751.54</v>
      </c>
      <c r="J313">
        <v>9</v>
      </c>
      <c r="K313">
        <v>0</v>
      </c>
      <c r="L313">
        <v>2817.99</v>
      </c>
      <c r="M313" t="s">
        <v>17</v>
      </c>
    </row>
    <row r="314" spans="1:13">
      <c r="A314" t="s">
        <v>621</v>
      </c>
      <c r="B314" s="1">
        <v>41899</v>
      </c>
      <c r="C314" s="1">
        <v>41902</v>
      </c>
      <c r="D314" t="s">
        <v>622</v>
      </c>
      <c r="E314" t="s">
        <v>623</v>
      </c>
      <c r="F314" t="s">
        <v>63</v>
      </c>
      <c r="G314" t="s">
        <v>28</v>
      </c>
      <c r="H314" t="s">
        <v>2657</v>
      </c>
      <c r="I314">
        <v>2442.069</v>
      </c>
      <c r="J314">
        <v>7</v>
      </c>
      <c r="K314">
        <v>0.1</v>
      </c>
      <c r="L314">
        <v>-244.251</v>
      </c>
      <c r="M314" t="s">
        <v>32</v>
      </c>
    </row>
    <row r="315" spans="1:13">
      <c r="A315" t="s">
        <v>624</v>
      </c>
      <c r="B315" s="1">
        <v>42266</v>
      </c>
      <c r="C315" s="1">
        <v>42266</v>
      </c>
      <c r="D315" t="s">
        <v>625</v>
      </c>
      <c r="E315" t="s">
        <v>27</v>
      </c>
      <c r="F315" t="s">
        <v>15</v>
      </c>
      <c r="G315" t="s">
        <v>39</v>
      </c>
      <c r="H315" t="s">
        <v>2656</v>
      </c>
      <c r="I315">
        <v>1190.52</v>
      </c>
      <c r="J315">
        <v>6</v>
      </c>
      <c r="L315">
        <v>178.56</v>
      </c>
      <c r="M315" t="s">
        <v>396</v>
      </c>
    </row>
    <row r="316" spans="1:13">
      <c r="C316" s="1">
        <v>42341</v>
      </c>
      <c r="D316" t="s">
        <v>626</v>
      </c>
      <c r="E316" t="s">
        <v>62</v>
      </c>
      <c r="F316" t="s">
        <v>98</v>
      </c>
      <c r="G316" t="s">
        <v>39</v>
      </c>
      <c r="H316" t="s">
        <v>2663</v>
      </c>
      <c r="I316">
        <v>3150.81899999999</v>
      </c>
      <c r="J316">
        <v>7</v>
      </c>
      <c r="K316">
        <v>0.1</v>
      </c>
      <c r="L316">
        <v>-35.091000000000001</v>
      </c>
      <c r="M316" t="s">
        <v>216</v>
      </c>
    </row>
    <row r="317" spans="1:13">
      <c r="A317" t="s">
        <v>411</v>
      </c>
      <c r="B317" s="1">
        <v>42248</v>
      </c>
      <c r="C317" s="1">
        <v>42248</v>
      </c>
      <c r="D317" t="s">
        <v>412</v>
      </c>
      <c r="E317" t="s">
        <v>627</v>
      </c>
      <c r="F317" t="s">
        <v>63</v>
      </c>
      <c r="G317" t="s">
        <v>16</v>
      </c>
      <c r="H317" t="s">
        <v>2664</v>
      </c>
      <c r="I317">
        <v>1599.9</v>
      </c>
      <c r="J317">
        <v>5</v>
      </c>
      <c r="K317">
        <v>0</v>
      </c>
      <c r="L317">
        <v>719.85</v>
      </c>
      <c r="M317" t="s">
        <v>23</v>
      </c>
    </row>
    <row r="318" spans="1:13">
      <c r="A318" t="s">
        <v>628</v>
      </c>
      <c r="B318" s="1">
        <v>42175</v>
      </c>
      <c r="C318" s="1">
        <v>42181</v>
      </c>
      <c r="D318" t="s">
        <v>629</v>
      </c>
      <c r="E318" t="s">
        <v>58</v>
      </c>
      <c r="F318" t="s">
        <v>81</v>
      </c>
      <c r="G318" t="s">
        <v>28</v>
      </c>
      <c r="H318" t="s">
        <v>2661</v>
      </c>
      <c r="I318">
        <v>2063.4</v>
      </c>
      <c r="J318">
        <v>5</v>
      </c>
      <c r="K318">
        <v>0</v>
      </c>
      <c r="L318">
        <v>123.75</v>
      </c>
      <c r="M318" t="s">
        <v>65</v>
      </c>
    </row>
    <row r="319" spans="1:13">
      <c r="A319" t="s">
        <v>630</v>
      </c>
      <c r="B319" s="1">
        <v>42300</v>
      </c>
      <c r="C319" s="1">
        <v>42302</v>
      </c>
      <c r="E319" t="s">
        <v>631</v>
      </c>
      <c r="F319" t="s">
        <v>78</v>
      </c>
      <c r="G319" t="s">
        <v>39</v>
      </c>
      <c r="H319" t="s">
        <v>2657</v>
      </c>
      <c r="I319">
        <v>1269.8999999999901</v>
      </c>
      <c r="J319">
        <v>6</v>
      </c>
      <c r="K319">
        <v>0</v>
      </c>
      <c r="L319">
        <v>558.72</v>
      </c>
      <c r="M319" t="s">
        <v>32</v>
      </c>
    </row>
    <row r="320" spans="1:13">
      <c r="A320" t="s">
        <v>632</v>
      </c>
      <c r="B320" s="1">
        <v>41136</v>
      </c>
      <c r="C320" s="1">
        <v>41140</v>
      </c>
      <c r="D320" t="s">
        <v>633</v>
      </c>
      <c r="E320" t="s">
        <v>105</v>
      </c>
      <c r="F320" t="s">
        <v>106</v>
      </c>
      <c r="G320" t="s">
        <v>28</v>
      </c>
      <c r="H320" t="s">
        <v>2663</v>
      </c>
      <c r="I320">
        <v>3274.02</v>
      </c>
      <c r="J320">
        <v>9</v>
      </c>
      <c r="K320">
        <v>0</v>
      </c>
      <c r="L320">
        <v>261.89999999999998</v>
      </c>
      <c r="M320" t="s">
        <v>17</v>
      </c>
    </row>
    <row r="321" spans="1:13">
      <c r="A321" t="s">
        <v>520</v>
      </c>
      <c r="B321" s="1">
        <v>42259</v>
      </c>
      <c r="C321" s="1">
        <v>42261</v>
      </c>
      <c r="D321" t="s">
        <v>172</v>
      </c>
      <c r="E321" t="s">
        <v>200</v>
      </c>
      <c r="F321" t="s">
        <v>89</v>
      </c>
      <c r="G321" t="s">
        <v>16</v>
      </c>
      <c r="H321" t="s">
        <v>2664</v>
      </c>
      <c r="I321">
        <v>848.32</v>
      </c>
      <c r="J321">
        <v>2</v>
      </c>
      <c r="K321">
        <v>0</v>
      </c>
      <c r="L321">
        <v>110.28</v>
      </c>
      <c r="M321" t="s">
        <v>23</v>
      </c>
    </row>
    <row r="322" spans="1:13">
      <c r="A322" t="s">
        <v>634</v>
      </c>
      <c r="B322" s="1">
        <v>42096</v>
      </c>
      <c r="C322" t="s">
        <v>635</v>
      </c>
      <c r="D322" t="s">
        <v>571</v>
      </c>
      <c r="E322" t="s">
        <v>35</v>
      </c>
      <c r="F322" t="s">
        <v>36</v>
      </c>
      <c r="G322" t="s">
        <v>39</v>
      </c>
      <c r="H322" t="s">
        <v>2663</v>
      </c>
      <c r="I322">
        <v>94.199999999999903</v>
      </c>
      <c r="J322">
        <v>6</v>
      </c>
      <c r="K322">
        <v>0</v>
      </c>
      <c r="L322">
        <v>23.55</v>
      </c>
      <c r="M322" t="s">
        <v>32</v>
      </c>
    </row>
    <row r="323" spans="1:13">
      <c r="A323" t="s">
        <v>636</v>
      </c>
      <c r="B323" s="1">
        <v>42018</v>
      </c>
      <c r="C323" s="1">
        <v>42020</v>
      </c>
      <c r="D323" t="s">
        <v>637</v>
      </c>
      <c r="E323" t="s">
        <v>67</v>
      </c>
      <c r="F323" t="s">
        <v>68</v>
      </c>
      <c r="G323" t="s">
        <v>16</v>
      </c>
      <c r="H323" t="s">
        <v>2656</v>
      </c>
      <c r="I323">
        <v>2847.36</v>
      </c>
      <c r="J323">
        <v>8</v>
      </c>
      <c r="K323">
        <v>0</v>
      </c>
      <c r="L323">
        <v>711.84</v>
      </c>
      <c r="M323" t="s">
        <v>32</v>
      </c>
    </row>
    <row r="324" spans="1:13">
      <c r="A324" t="s">
        <v>638</v>
      </c>
      <c r="B324" s="1">
        <v>42321</v>
      </c>
      <c r="C324" s="1">
        <v>42323</v>
      </c>
      <c r="D324" t="s">
        <v>51</v>
      </c>
      <c r="F324" t="s">
        <v>132</v>
      </c>
      <c r="G324" t="s">
        <v>28</v>
      </c>
      <c r="H324" t="s">
        <v>2662</v>
      </c>
      <c r="I324">
        <v>1725.75</v>
      </c>
      <c r="J324">
        <v>5</v>
      </c>
      <c r="K324">
        <v>0.25</v>
      </c>
      <c r="L324">
        <v>-483.29999999999899</v>
      </c>
      <c r="M324" t="s">
        <v>23</v>
      </c>
    </row>
    <row r="325" spans="1:13">
      <c r="A325" t="s">
        <v>639</v>
      </c>
      <c r="B325" s="1">
        <v>41803</v>
      </c>
      <c r="C325" s="1">
        <v>41803</v>
      </c>
      <c r="D325" t="s">
        <v>226</v>
      </c>
      <c r="F325" t="s">
        <v>132</v>
      </c>
      <c r="G325" t="s">
        <v>16</v>
      </c>
      <c r="H325" t="s">
        <v>2657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32</v>
      </c>
    </row>
    <row r="326" spans="1:13">
      <c r="A326" t="s">
        <v>570</v>
      </c>
      <c r="B326" s="1">
        <v>42264</v>
      </c>
      <c r="C326" t="s">
        <v>640</v>
      </c>
      <c r="D326" t="s">
        <v>571</v>
      </c>
      <c r="E326" t="s">
        <v>641</v>
      </c>
      <c r="F326" t="s">
        <v>102</v>
      </c>
      <c r="G326" t="s">
        <v>28</v>
      </c>
      <c r="H326" t="s">
        <v>2655</v>
      </c>
      <c r="I326">
        <v>22.512</v>
      </c>
      <c r="J326">
        <v>3</v>
      </c>
      <c r="K326">
        <v>0.2</v>
      </c>
      <c r="L326">
        <v>2.2511999999999999</v>
      </c>
      <c r="M326" t="s">
        <v>23</v>
      </c>
    </row>
    <row r="327" spans="1:13">
      <c r="A327" t="s">
        <v>642</v>
      </c>
      <c r="B327" s="1">
        <v>42269</v>
      </c>
      <c r="C327" s="1">
        <v>42272</v>
      </c>
      <c r="D327" t="s">
        <v>643</v>
      </c>
      <c r="E327" t="s">
        <v>644</v>
      </c>
      <c r="F327" t="s">
        <v>645</v>
      </c>
      <c r="G327" t="s">
        <v>16</v>
      </c>
      <c r="H327" t="s">
        <v>2657</v>
      </c>
      <c r="I327">
        <v>1282.22999999999</v>
      </c>
      <c r="J327">
        <v>9</v>
      </c>
      <c r="K327">
        <v>0</v>
      </c>
      <c r="L327">
        <v>12.69</v>
      </c>
      <c r="M327" t="s">
        <v>23</v>
      </c>
    </row>
    <row r="328" spans="1:13">
      <c r="A328" t="s">
        <v>646</v>
      </c>
      <c r="B328" s="1">
        <v>40916</v>
      </c>
      <c r="D328" t="s">
        <v>647</v>
      </c>
      <c r="E328" t="s">
        <v>648</v>
      </c>
      <c r="F328" t="s">
        <v>121</v>
      </c>
      <c r="G328" t="s">
        <v>28</v>
      </c>
      <c r="H328" t="s">
        <v>2657</v>
      </c>
      <c r="I328">
        <v>2478.6</v>
      </c>
      <c r="J328">
        <v>6</v>
      </c>
      <c r="K328">
        <v>0</v>
      </c>
      <c r="L328">
        <v>49.5</v>
      </c>
      <c r="M328" t="s">
        <v>32</v>
      </c>
    </row>
    <row r="329" spans="1:13">
      <c r="A329" t="s">
        <v>572</v>
      </c>
      <c r="B329" s="1">
        <v>41173</v>
      </c>
      <c r="C329" s="1">
        <v>41180</v>
      </c>
      <c r="E329" t="s">
        <v>35</v>
      </c>
      <c r="F329" t="s">
        <v>102</v>
      </c>
      <c r="G329" t="s">
        <v>28</v>
      </c>
      <c r="H329" t="s">
        <v>2657</v>
      </c>
      <c r="I329">
        <v>97.44</v>
      </c>
      <c r="J329">
        <v>3</v>
      </c>
      <c r="K329">
        <v>0</v>
      </c>
      <c r="L329">
        <v>35.078399999999903</v>
      </c>
      <c r="M329" t="s">
        <v>17</v>
      </c>
    </row>
    <row r="330" spans="1:13">
      <c r="A330" t="s">
        <v>649</v>
      </c>
      <c r="B330" s="1">
        <v>41850</v>
      </c>
      <c r="C330" s="1">
        <v>41850</v>
      </c>
      <c r="D330" t="s">
        <v>650</v>
      </c>
      <c r="E330" t="s">
        <v>542</v>
      </c>
      <c r="F330" t="s">
        <v>81</v>
      </c>
      <c r="G330" t="s">
        <v>212</v>
      </c>
      <c r="H330" t="s">
        <v>2663</v>
      </c>
      <c r="I330">
        <v>959.76</v>
      </c>
      <c r="J330">
        <v>3</v>
      </c>
      <c r="K330">
        <v>0</v>
      </c>
      <c r="L330">
        <v>460.62</v>
      </c>
      <c r="M330" t="s">
        <v>23</v>
      </c>
    </row>
    <row r="331" spans="1:13">
      <c r="A331" t="s">
        <v>651</v>
      </c>
      <c r="B331" s="1">
        <v>42341</v>
      </c>
      <c r="C331" s="2">
        <v>42344</v>
      </c>
      <c r="D331" t="s">
        <v>571</v>
      </c>
      <c r="E331" t="s">
        <v>35</v>
      </c>
      <c r="F331" t="s">
        <v>652</v>
      </c>
      <c r="G331" t="s">
        <v>39</v>
      </c>
      <c r="H331" t="s">
        <v>2657</v>
      </c>
      <c r="I331">
        <v>34.65</v>
      </c>
      <c r="J331">
        <v>3</v>
      </c>
      <c r="K331">
        <v>0</v>
      </c>
      <c r="L331">
        <v>72.253413101131102</v>
      </c>
      <c r="M331" t="s">
        <v>17</v>
      </c>
    </row>
    <row r="332" spans="1:13">
      <c r="A332" t="s">
        <v>653</v>
      </c>
      <c r="B332" s="1">
        <v>42124</v>
      </c>
      <c r="C332" s="1">
        <v>42128</v>
      </c>
      <c r="D332" t="s">
        <v>654</v>
      </c>
      <c r="E332" t="s">
        <v>131</v>
      </c>
      <c r="F332" t="s">
        <v>132</v>
      </c>
      <c r="G332" t="s">
        <v>39</v>
      </c>
      <c r="H332" t="s">
        <v>2657</v>
      </c>
      <c r="I332">
        <v>4135.6409999999996</v>
      </c>
      <c r="J332">
        <v>10</v>
      </c>
      <c r="K332">
        <v>0.17</v>
      </c>
      <c r="L332">
        <v>847.04099999999903</v>
      </c>
      <c r="M332" t="s">
        <v>17</v>
      </c>
    </row>
    <row r="333" spans="1:13">
      <c r="A333" t="s">
        <v>655</v>
      </c>
      <c r="B333" s="2">
        <v>74050</v>
      </c>
      <c r="C333" t="s">
        <v>656</v>
      </c>
      <c r="D333" t="s">
        <v>657</v>
      </c>
      <c r="E333" t="s">
        <v>92</v>
      </c>
      <c r="F333" t="s">
        <v>89</v>
      </c>
      <c r="G333" t="s">
        <v>28</v>
      </c>
      <c r="H333" t="s">
        <v>2658</v>
      </c>
      <c r="I333">
        <v>2325.2800000000002</v>
      </c>
      <c r="J333">
        <v>8</v>
      </c>
      <c r="K333">
        <v>0</v>
      </c>
      <c r="L333">
        <v>511.52</v>
      </c>
      <c r="M333" t="s">
        <v>32</v>
      </c>
    </row>
    <row r="334" spans="1:13">
      <c r="B334" s="1">
        <v>42179</v>
      </c>
      <c r="C334" s="1">
        <v>42183</v>
      </c>
      <c r="D334" t="s">
        <v>658</v>
      </c>
      <c r="E334" t="s">
        <v>14</v>
      </c>
      <c r="F334" t="s">
        <v>15</v>
      </c>
      <c r="G334" t="s">
        <v>28</v>
      </c>
      <c r="H334" t="s">
        <v>2661</v>
      </c>
      <c r="I334">
        <v>5486.67</v>
      </c>
      <c r="J334">
        <v>14</v>
      </c>
      <c r="K334">
        <v>0.1</v>
      </c>
      <c r="L334">
        <v>2316.5099999999902</v>
      </c>
      <c r="M334" t="s">
        <v>17</v>
      </c>
    </row>
    <row r="335" spans="1:13">
      <c r="A335" t="s">
        <v>659</v>
      </c>
      <c r="B335" s="1">
        <v>41004</v>
      </c>
      <c r="C335" s="1">
        <v>41006</v>
      </c>
      <c r="D335" t="s">
        <v>660</v>
      </c>
      <c r="E335" t="s">
        <v>661</v>
      </c>
      <c r="F335" t="s">
        <v>68</v>
      </c>
      <c r="G335" t="s">
        <v>39</v>
      </c>
      <c r="H335" t="s">
        <v>2663</v>
      </c>
      <c r="I335">
        <v>1523.664</v>
      </c>
      <c r="J335" t="s">
        <v>55</v>
      </c>
      <c r="K335">
        <v>0.1</v>
      </c>
      <c r="L335">
        <v>-50.975999999999999</v>
      </c>
      <c r="M335" t="s">
        <v>32</v>
      </c>
    </row>
    <row r="336" spans="1:13">
      <c r="A336" t="s">
        <v>662</v>
      </c>
      <c r="B336" s="1">
        <v>42223</v>
      </c>
      <c r="C336" s="1">
        <v>42225</v>
      </c>
      <c r="D336" t="s">
        <v>663</v>
      </c>
      <c r="E336" t="s">
        <v>62</v>
      </c>
      <c r="F336" t="s">
        <v>63</v>
      </c>
      <c r="G336" t="s">
        <v>16</v>
      </c>
      <c r="H336" t="s">
        <v>2663</v>
      </c>
      <c r="I336">
        <v>1625.2425000000001</v>
      </c>
      <c r="J336">
        <v>3</v>
      </c>
      <c r="K336">
        <v>0.15</v>
      </c>
      <c r="L336">
        <v>-76.567499999999995</v>
      </c>
      <c r="M336" t="s">
        <v>23</v>
      </c>
    </row>
    <row r="337" spans="1:13">
      <c r="A337" t="s">
        <v>634</v>
      </c>
      <c r="B337" s="1">
        <v>42039</v>
      </c>
      <c r="C337" s="1">
        <v>42099</v>
      </c>
      <c r="D337" t="s">
        <v>571</v>
      </c>
      <c r="E337" t="s">
        <v>35</v>
      </c>
      <c r="F337" t="s">
        <v>36</v>
      </c>
      <c r="G337" t="s">
        <v>39</v>
      </c>
      <c r="H337" t="s">
        <v>2664</v>
      </c>
      <c r="I337">
        <v>28.4</v>
      </c>
      <c r="J337">
        <v>5</v>
      </c>
      <c r="K337">
        <v>0</v>
      </c>
      <c r="L337" t="s">
        <v>664</v>
      </c>
      <c r="M337" t="s">
        <v>32</v>
      </c>
    </row>
    <row r="338" spans="1:13">
      <c r="A338" t="s">
        <v>665</v>
      </c>
      <c r="B338" s="1">
        <v>42049</v>
      </c>
      <c r="D338" t="s">
        <v>30</v>
      </c>
      <c r="E338" t="s">
        <v>62</v>
      </c>
      <c r="F338" t="s">
        <v>666</v>
      </c>
      <c r="G338" t="s">
        <v>39</v>
      </c>
      <c r="H338" t="s">
        <v>2656</v>
      </c>
      <c r="I338">
        <v>734.93999999999903</v>
      </c>
      <c r="K338">
        <v>0.1</v>
      </c>
      <c r="L338">
        <v>130.62</v>
      </c>
      <c r="M338" t="s">
        <v>23</v>
      </c>
    </row>
    <row r="339" spans="1:13">
      <c r="A339" t="s">
        <v>667</v>
      </c>
      <c r="B339" s="1">
        <v>41266</v>
      </c>
      <c r="C339" s="1">
        <v>41268</v>
      </c>
      <c r="D339" t="s">
        <v>571</v>
      </c>
      <c r="E339" t="s">
        <v>35</v>
      </c>
      <c r="F339" t="s">
        <v>38</v>
      </c>
      <c r="G339" t="s">
        <v>39</v>
      </c>
      <c r="H339" t="s">
        <v>2654</v>
      </c>
      <c r="I339">
        <v>13.97</v>
      </c>
      <c r="J339">
        <v>1</v>
      </c>
      <c r="K339">
        <v>0</v>
      </c>
      <c r="L339">
        <v>3.6322000000000001</v>
      </c>
      <c r="M339" t="s">
        <v>32</v>
      </c>
    </row>
    <row r="340" spans="1:13">
      <c r="A340" t="s">
        <v>668</v>
      </c>
      <c r="B340" s="1">
        <v>41503</v>
      </c>
      <c r="C340" s="1">
        <v>41505</v>
      </c>
      <c r="D340" t="s">
        <v>669</v>
      </c>
      <c r="E340" t="s">
        <v>670</v>
      </c>
      <c r="F340" t="s">
        <v>78</v>
      </c>
      <c r="G340" t="s">
        <v>28</v>
      </c>
      <c r="H340" t="s">
        <v>2664</v>
      </c>
      <c r="I340">
        <v>1391.52</v>
      </c>
      <c r="J340">
        <v>8</v>
      </c>
      <c r="K340">
        <v>0</v>
      </c>
      <c r="L340">
        <v>69.36</v>
      </c>
      <c r="M340" t="s">
        <v>23</v>
      </c>
    </row>
    <row r="341" spans="1:13">
      <c r="A341" t="s">
        <v>574</v>
      </c>
      <c r="B341" s="1">
        <v>41587</v>
      </c>
      <c r="C341" s="1">
        <v>41591</v>
      </c>
      <c r="D341" t="s">
        <v>571</v>
      </c>
      <c r="E341" t="s">
        <v>35</v>
      </c>
      <c r="F341" t="s">
        <v>671</v>
      </c>
      <c r="G341" t="s">
        <v>39</v>
      </c>
      <c r="H341" t="s">
        <v>2658</v>
      </c>
      <c r="I341">
        <v>26.22</v>
      </c>
      <c r="J341">
        <v>3</v>
      </c>
      <c r="K341">
        <v>0</v>
      </c>
      <c r="L341">
        <v>12.323399999999999</v>
      </c>
      <c r="M341" t="s">
        <v>17</v>
      </c>
    </row>
    <row r="342" spans="1:13">
      <c r="A342" t="s">
        <v>672</v>
      </c>
      <c r="B342" s="1">
        <v>41493</v>
      </c>
      <c r="C342" s="1">
        <v>41494</v>
      </c>
      <c r="D342" t="s">
        <v>450</v>
      </c>
      <c r="E342" t="s">
        <v>52</v>
      </c>
      <c r="F342" t="s">
        <v>53</v>
      </c>
      <c r="G342" t="s">
        <v>39</v>
      </c>
      <c r="H342" t="s">
        <v>2655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577</v>
      </c>
      <c r="B343" s="1">
        <v>41812</v>
      </c>
      <c r="C343" s="1">
        <v>41817</v>
      </c>
      <c r="D343" t="s">
        <v>571</v>
      </c>
      <c r="E343" t="s">
        <v>35</v>
      </c>
      <c r="F343" t="s">
        <v>102</v>
      </c>
      <c r="G343" t="s">
        <v>39</v>
      </c>
      <c r="H343" t="s">
        <v>2663</v>
      </c>
      <c r="I343">
        <v>36.56</v>
      </c>
      <c r="J343">
        <v>5</v>
      </c>
      <c r="K343">
        <v>0.2</v>
      </c>
      <c r="L343">
        <v>12.795999999999999</v>
      </c>
      <c r="M343" t="s">
        <v>32</v>
      </c>
    </row>
    <row r="344" spans="1:13">
      <c r="A344" t="s">
        <v>673</v>
      </c>
      <c r="B344" s="1">
        <v>41762</v>
      </c>
      <c r="C344" s="1">
        <v>41766</v>
      </c>
      <c r="D344" t="s">
        <v>571</v>
      </c>
      <c r="E344" t="s">
        <v>35</v>
      </c>
      <c r="F344" t="s">
        <v>36</v>
      </c>
      <c r="G344" t="s">
        <v>39</v>
      </c>
      <c r="H344" t="s">
        <v>2661</v>
      </c>
      <c r="I344">
        <v>18.936</v>
      </c>
      <c r="J344">
        <v>3</v>
      </c>
      <c r="K344">
        <v>0.2</v>
      </c>
      <c r="L344">
        <v>-3.7871999999999999</v>
      </c>
      <c r="M344" t="s">
        <v>17</v>
      </c>
    </row>
    <row r="345" spans="1:13">
      <c r="A345" t="s">
        <v>674</v>
      </c>
      <c r="B345" s="1">
        <v>41495</v>
      </c>
      <c r="C345" t="s">
        <v>675</v>
      </c>
      <c r="D345" t="s">
        <v>676</v>
      </c>
      <c r="E345" t="s">
        <v>677</v>
      </c>
      <c r="F345" t="s">
        <v>132</v>
      </c>
      <c r="G345" t="s">
        <v>16</v>
      </c>
      <c r="H345" t="s">
        <v>2656</v>
      </c>
      <c r="I345" t="s">
        <v>152</v>
      </c>
      <c r="J345">
        <v>7</v>
      </c>
      <c r="K345">
        <v>0</v>
      </c>
      <c r="L345">
        <v>612.99</v>
      </c>
      <c r="M345" t="s">
        <v>23</v>
      </c>
    </row>
    <row r="346" spans="1:13">
      <c r="A346" t="s">
        <v>678</v>
      </c>
      <c r="B346" s="2">
        <v>41691</v>
      </c>
      <c r="C346" s="1">
        <v>41692</v>
      </c>
      <c r="D346" t="s">
        <v>679</v>
      </c>
      <c r="E346" t="s">
        <v>14</v>
      </c>
      <c r="F346" t="s">
        <v>15</v>
      </c>
      <c r="G346" t="s">
        <v>28</v>
      </c>
      <c r="H346" t="s">
        <v>2662</v>
      </c>
      <c r="I346">
        <v>1809.2550000000001</v>
      </c>
      <c r="J346">
        <v>5</v>
      </c>
      <c r="K346">
        <v>0.3</v>
      </c>
      <c r="L346">
        <v>-258.495</v>
      </c>
      <c r="M346" t="s">
        <v>32</v>
      </c>
    </row>
    <row r="347" spans="1:13">
      <c r="A347" t="s">
        <v>680</v>
      </c>
      <c r="B347" t="s">
        <v>116</v>
      </c>
      <c r="C347" s="1">
        <v>41474</v>
      </c>
      <c r="D347" t="s">
        <v>595</v>
      </c>
      <c r="E347" t="s">
        <v>14</v>
      </c>
      <c r="F347" t="s">
        <v>15</v>
      </c>
      <c r="G347" t="s">
        <v>16</v>
      </c>
      <c r="H347" t="s">
        <v>2662</v>
      </c>
      <c r="I347">
        <v>1863</v>
      </c>
      <c r="J347">
        <v>8</v>
      </c>
      <c r="K347">
        <v>0.1</v>
      </c>
      <c r="L347">
        <v>393.24</v>
      </c>
      <c r="M347" t="s">
        <v>32</v>
      </c>
    </row>
    <row r="348" spans="1:13">
      <c r="A348" t="s">
        <v>681</v>
      </c>
      <c r="B348" s="1">
        <v>41894</v>
      </c>
      <c r="C348" s="1">
        <v>41899</v>
      </c>
      <c r="D348" t="s">
        <v>571</v>
      </c>
      <c r="E348" t="s">
        <v>35</v>
      </c>
      <c r="F348" t="s">
        <v>36</v>
      </c>
      <c r="G348" t="s">
        <v>39</v>
      </c>
      <c r="H348" t="s">
        <v>2658</v>
      </c>
      <c r="I348">
        <v>6</v>
      </c>
      <c r="J348">
        <v>2</v>
      </c>
      <c r="K348">
        <v>0.2</v>
      </c>
      <c r="L348">
        <v>2.0999999999999899</v>
      </c>
      <c r="M348" t="s">
        <v>32</v>
      </c>
    </row>
    <row r="349" spans="1:13">
      <c r="A349" t="s">
        <v>682</v>
      </c>
      <c r="B349" s="1">
        <v>42103</v>
      </c>
      <c r="C349" s="1">
        <v>42106</v>
      </c>
      <c r="D349" t="s">
        <v>683</v>
      </c>
      <c r="E349" t="s">
        <v>62</v>
      </c>
      <c r="F349" t="s">
        <v>63</v>
      </c>
      <c r="G349" t="s">
        <v>39</v>
      </c>
      <c r="H349" t="s">
        <v>2654</v>
      </c>
      <c r="I349">
        <v>1244.1869999999999</v>
      </c>
      <c r="J349">
        <v>7</v>
      </c>
      <c r="L349">
        <v>-13.923</v>
      </c>
      <c r="M349" t="s">
        <v>23</v>
      </c>
    </row>
    <row r="350" spans="1:13">
      <c r="A350" t="s">
        <v>684</v>
      </c>
      <c r="B350" s="1">
        <v>41443</v>
      </c>
      <c r="C350" s="1">
        <v>41445</v>
      </c>
      <c r="D350" t="s">
        <v>685</v>
      </c>
      <c r="E350" t="s">
        <v>62</v>
      </c>
      <c r="F350" t="s">
        <v>63</v>
      </c>
      <c r="G350" t="s">
        <v>28</v>
      </c>
      <c r="H350" t="s">
        <v>2656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17</v>
      </c>
    </row>
    <row r="351" spans="1:13">
      <c r="A351" t="s">
        <v>686</v>
      </c>
      <c r="B351" s="1">
        <v>42004</v>
      </c>
      <c r="C351" s="1">
        <v>42006</v>
      </c>
      <c r="D351" t="s">
        <v>345</v>
      </c>
      <c r="E351" t="s">
        <v>62</v>
      </c>
      <c r="F351" t="s">
        <v>63</v>
      </c>
      <c r="G351" t="s">
        <v>16</v>
      </c>
      <c r="H351" t="s">
        <v>2664</v>
      </c>
      <c r="I351">
        <v>1946.3129999999901</v>
      </c>
      <c r="J351">
        <v>6</v>
      </c>
      <c r="K351">
        <v>0.15</v>
      </c>
      <c r="L351">
        <v>114.453</v>
      </c>
      <c r="M351" t="s">
        <v>32</v>
      </c>
    </row>
    <row r="352" spans="1:13">
      <c r="A352" t="s">
        <v>673</v>
      </c>
      <c r="B352" s="1">
        <v>41762</v>
      </c>
      <c r="C352" s="1">
        <v>41766</v>
      </c>
      <c r="D352" t="s">
        <v>571</v>
      </c>
      <c r="F352" t="s">
        <v>36</v>
      </c>
      <c r="G352" t="s">
        <v>39</v>
      </c>
      <c r="H352" t="s">
        <v>2658</v>
      </c>
      <c r="I352">
        <v>12.672000000000001</v>
      </c>
      <c r="J352">
        <v>3</v>
      </c>
      <c r="K352">
        <v>0.2</v>
      </c>
      <c r="L352">
        <v>-3.1680000000000001</v>
      </c>
      <c r="M352" t="s">
        <v>17</v>
      </c>
    </row>
    <row r="353" spans="1:13">
      <c r="A353" t="s">
        <v>687</v>
      </c>
      <c r="B353" s="1">
        <v>41289</v>
      </c>
      <c r="C353" s="1">
        <v>41291</v>
      </c>
      <c r="D353" t="s">
        <v>688</v>
      </c>
      <c r="E353" t="s">
        <v>689</v>
      </c>
      <c r="F353" t="s">
        <v>63</v>
      </c>
      <c r="G353" t="s">
        <v>39</v>
      </c>
      <c r="H353" t="s">
        <v>2657</v>
      </c>
      <c r="I353">
        <v>2283.7139999999999</v>
      </c>
      <c r="J353">
        <v>9</v>
      </c>
      <c r="K353">
        <v>0.1</v>
      </c>
      <c r="L353">
        <v>-0.21600000000000799</v>
      </c>
      <c r="M353" t="s">
        <v>32</v>
      </c>
    </row>
    <row r="354" spans="1:13">
      <c r="A354" t="s">
        <v>690</v>
      </c>
      <c r="B354" s="1">
        <v>41437</v>
      </c>
      <c r="D354" t="s">
        <v>203</v>
      </c>
      <c r="E354" t="s">
        <v>120</v>
      </c>
      <c r="F354" t="s">
        <v>121</v>
      </c>
      <c r="G354" t="s">
        <v>16</v>
      </c>
      <c r="H354" t="s">
        <v>2659</v>
      </c>
      <c r="I354">
        <v>2549.7600000000002</v>
      </c>
      <c r="J354">
        <v>4</v>
      </c>
      <c r="K354">
        <v>0</v>
      </c>
      <c r="L354">
        <v>1172.8799999999901</v>
      </c>
      <c r="M354" t="s">
        <v>17</v>
      </c>
    </row>
    <row r="355" spans="1:13">
      <c r="A355" t="s">
        <v>691</v>
      </c>
      <c r="B355" s="1">
        <v>42080</v>
      </c>
      <c r="C355" s="1">
        <v>42085</v>
      </c>
      <c r="D355" t="s">
        <v>692</v>
      </c>
      <c r="E355" t="s">
        <v>14</v>
      </c>
      <c r="F355" t="s">
        <v>15</v>
      </c>
      <c r="G355" t="s">
        <v>16</v>
      </c>
      <c r="H355" t="s">
        <v>2661</v>
      </c>
      <c r="I355">
        <v>3299.5619999999999</v>
      </c>
      <c r="J355">
        <v>14</v>
      </c>
      <c r="K355">
        <v>0.1</v>
      </c>
      <c r="M355" t="s">
        <v>17</v>
      </c>
    </row>
    <row r="356" spans="1:13">
      <c r="A356" t="s">
        <v>693</v>
      </c>
      <c r="B356" s="1">
        <v>41591</v>
      </c>
      <c r="C356" s="1">
        <v>41595</v>
      </c>
      <c r="D356" t="s">
        <v>694</v>
      </c>
      <c r="E356" t="s">
        <v>695</v>
      </c>
      <c r="F356" t="s">
        <v>63</v>
      </c>
      <c r="G356" t="s">
        <v>39</v>
      </c>
      <c r="H356" t="s">
        <v>2656</v>
      </c>
      <c r="I356">
        <v>2489.3999999999901</v>
      </c>
      <c r="J356">
        <v>9</v>
      </c>
      <c r="K356">
        <v>0</v>
      </c>
      <c r="L356" t="s">
        <v>696</v>
      </c>
      <c r="M356" t="s">
        <v>32</v>
      </c>
    </row>
    <row r="357" spans="1:13">
      <c r="A357" t="s">
        <v>673</v>
      </c>
      <c r="B357" s="1">
        <v>41762</v>
      </c>
      <c r="C357" s="1">
        <v>41766</v>
      </c>
      <c r="D357" t="s">
        <v>571</v>
      </c>
      <c r="E357" t="s">
        <v>35</v>
      </c>
      <c r="F357" t="s">
        <v>36</v>
      </c>
      <c r="G357" t="s">
        <v>39</v>
      </c>
      <c r="H357" t="s">
        <v>2657</v>
      </c>
      <c r="I357">
        <v>5.04</v>
      </c>
      <c r="J357">
        <v>2</v>
      </c>
      <c r="K357">
        <v>0.2</v>
      </c>
      <c r="L357">
        <v>1.764</v>
      </c>
      <c r="M357" t="s">
        <v>17</v>
      </c>
    </row>
    <row r="358" spans="1:13">
      <c r="A358" t="s">
        <v>570</v>
      </c>
      <c r="B358" s="1">
        <v>42264</v>
      </c>
      <c r="C358" s="1">
        <v>42266</v>
      </c>
      <c r="D358" t="s">
        <v>571</v>
      </c>
      <c r="E358" t="s">
        <v>35</v>
      </c>
      <c r="F358" t="s">
        <v>102</v>
      </c>
      <c r="G358" t="s">
        <v>39</v>
      </c>
      <c r="H358" t="s">
        <v>2661</v>
      </c>
      <c r="I358">
        <v>3.444</v>
      </c>
      <c r="J358">
        <v>2</v>
      </c>
      <c r="K358">
        <v>0.7</v>
      </c>
      <c r="L358">
        <v>-2.7551999999999901</v>
      </c>
      <c r="M358" t="s">
        <v>23</v>
      </c>
    </row>
    <row r="359" spans="1:13">
      <c r="A359" t="s">
        <v>697</v>
      </c>
      <c r="B359" s="1">
        <v>42140</v>
      </c>
      <c r="C359" s="1">
        <v>42143</v>
      </c>
      <c r="D359" t="s">
        <v>269</v>
      </c>
      <c r="E359" t="s">
        <v>62</v>
      </c>
      <c r="F359" t="s">
        <v>63</v>
      </c>
      <c r="G359" t="s">
        <v>28</v>
      </c>
      <c r="H359" t="s">
        <v>2663</v>
      </c>
      <c r="J359">
        <v>9</v>
      </c>
      <c r="K359">
        <v>0.1</v>
      </c>
      <c r="M359" t="s">
        <v>32</v>
      </c>
    </row>
    <row r="360" spans="1:13">
      <c r="A360" t="s">
        <v>574</v>
      </c>
      <c r="B360" s="1">
        <v>41587</v>
      </c>
      <c r="C360" s="1">
        <v>41591</v>
      </c>
      <c r="D360" t="s">
        <v>571</v>
      </c>
      <c r="E360" t="s">
        <v>35</v>
      </c>
      <c r="F360" t="s">
        <v>36</v>
      </c>
      <c r="G360" t="s">
        <v>39</v>
      </c>
      <c r="H360" t="s">
        <v>2657</v>
      </c>
      <c r="I360">
        <v>17.22</v>
      </c>
      <c r="J360">
        <v>3</v>
      </c>
      <c r="K360">
        <v>0</v>
      </c>
      <c r="L360">
        <v>7.9211999999999998</v>
      </c>
      <c r="M360" t="s">
        <v>17</v>
      </c>
    </row>
    <row r="361" spans="1:13">
      <c r="B361" s="1">
        <v>42360</v>
      </c>
      <c r="C361" s="1">
        <v>42362</v>
      </c>
      <c r="D361" t="s">
        <v>238</v>
      </c>
      <c r="E361" t="s">
        <v>92</v>
      </c>
      <c r="F361" t="s">
        <v>89</v>
      </c>
      <c r="G361" t="s">
        <v>28</v>
      </c>
      <c r="H361" t="s">
        <v>2663</v>
      </c>
      <c r="I361" t="s">
        <v>698</v>
      </c>
      <c r="J361">
        <v>4</v>
      </c>
      <c r="K361">
        <v>0</v>
      </c>
      <c r="L361">
        <v>1793.76237633908</v>
      </c>
      <c r="M361" t="s">
        <v>32</v>
      </c>
    </row>
    <row r="362" spans="1:13">
      <c r="A362" t="s">
        <v>699</v>
      </c>
      <c r="B362" s="1">
        <v>41896</v>
      </c>
      <c r="C362" s="1">
        <v>41896</v>
      </c>
      <c r="D362" t="s">
        <v>700</v>
      </c>
      <c r="E362" t="s">
        <v>701</v>
      </c>
      <c r="F362" t="s">
        <v>106</v>
      </c>
      <c r="G362" t="s">
        <v>16</v>
      </c>
      <c r="H362" t="s">
        <v>2657</v>
      </c>
      <c r="I362">
        <v>3499.1550000000002</v>
      </c>
      <c r="J362">
        <v>11</v>
      </c>
      <c r="K362">
        <v>0.5</v>
      </c>
      <c r="L362">
        <v>-3009.4349999999999</v>
      </c>
      <c r="M362" t="s">
        <v>17</v>
      </c>
    </row>
    <row r="363" spans="1:13">
      <c r="A363" t="s">
        <v>702</v>
      </c>
      <c r="C363" s="1">
        <v>41652</v>
      </c>
      <c r="D363" t="s">
        <v>703</v>
      </c>
      <c r="E363" t="s">
        <v>14</v>
      </c>
      <c r="F363" t="s">
        <v>15</v>
      </c>
      <c r="G363" t="s">
        <v>28</v>
      </c>
      <c r="H363" t="s">
        <v>2655</v>
      </c>
      <c r="I363">
        <v>2993.0249999999901</v>
      </c>
      <c r="J363">
        <v>5</v>
      </c>
      <c r="K363">
        <v>0.3</v>
      </c>
      <c r="L363">
        <v>726.82499999999902</v>
      </c>
      <c r="M363" t="s">
        <v>17</v>
      </c>
    </row>
    <row r="364" spans="1:13">
      <c r="A364" t="s">
        <v>704</v>
      </c>
      <c r="B364" s="1">
        <v>42182</v>
      </c>
      <c r="C364" s="1">
        <v>42182</v>
      </c>
      <c r="E364" t="s">
        <v>62</v>
      </c>
      <c r="F364" t="s">
        <v>63</v>
      </c>
      <c r="G364" t="s">
        <v>16</v>
      </c>
      <c r="H364" t="s">
        <v>2656</v>
      </c>
      <c r="I364">
        <v>815.94899999999996</v>
      </c>
      <c r="J364">
        <v>3</v>
      </c>
      <c r="K364">
        <v>0.15</v>
      </c>
      <c r="L364">
        <v>287.91899999999998</v>
      </c>
      <c r="M364" t="s">
        <v>23</v>
      </c>
    </row>
    <row r="365" spans="1:13">
      <c r="A365" t="s">
        <v>705</v>
      </c>
      <c r="B365" s="1">
        <v>41468</v>
      </c>
      <c r="C365" s="2">
        <v>41471</v>
      </c>
      <c r="D365" t="s">
        <v>706</v>
      </c>
      <c r="E365" t="s">
        <v>707</v>
      </c>
      <c r="F365" t="s">
        <v>85</v>
      </c>
      <c r="G365" t="s">
        <v>16</v>
      </c>
      <c r="H365" t="s">
        <v>2658</v>
      </c>
      <c r="I365">
        <v>1245</v>
      </c>
      <c r="J365">
        <v>4</v>
      </c>
      <c r="K365">
        <v>0</v>
      </c>
      <c r="L365">
        <v>161.76</v>
      </c>
      <c r="M365" t="s">
        <v>23</v>
      </c>
    </row>
    <row r="366" spans="1:13">
      <c r="A366" t="s">
        <v>708</v>
      </c>
      <c r="B366" s="1">
        <v>42046</v>
      </c>
      <c r="C366" s="1">
        <v>42046</v>
      </c>
      <c r="D366" t="s">
        <v>709</v>
      </c>
      <c r="E366" t="s">
        <v>14</v>
      </c>
      <c r="F366" t="s">
        <v>15</v>
      </c>
      <c r="G366" t="s">
        <v>16</v>
      </c>
      <c r="H366" t="s">
        <v>2657</v>
      </c>
      <c r="I366">
        <v>1027.7280000000001</v>
      </c>
      <c r="J366">
        <v>8</v>
      </c>
      <c r="K366">
        <v>0.1</v>
      </c>
      <c r="L366">
        <v>182.68799999999999</v>
      </c>
      <c r="M366" t="s">
        <v>23</v>
      </c>
    </row>
    <row r="367" spans="1:13">
      <c r="A367" t="s">
        <v>710</v>
      </c>
      <c r="B367" s="1">
        <v>42153</v>
      </c>
      <c r="C367" s="1">
        <v>42160</v>
      </c>
      <c r="D367" t="s">
        <v>503</v>
      </c>
      <c r="E367" t="s">
        <v>14</v>
      </c>
      <c r="F367" t="s">
        <v>15</v>
      </c>
      <c r="G367" t="s">
        <v>16</v>
      </c>
      <c r="H367" t="s">
        <v>2662</v>
      </c>
      <c r="I367">
        <v>1703.0250000000001</v>
      </c>
      <c r="J367">
        <v>5</v>
      </c>
      <c r="L367">
        <v>737.92499999999995</v>
      </c>
      <c r="M367" t="s">
        <v>65</v>
      </c>
    </row>
    <row r="368" spans="1:13">
      <c r="A368" t="s">
        <v>711</v>
      </c>
      <c r="B368" s="1">
        <v>42110</v>
      </c>
      <c r="C368" s="1">
        <v>42112</v>
      </c>
      <c r="D368" t="s">
        <v>712</v>
      </c>
      <c r="E368" t="s">
        <v>131</v>
      </c>
      <c r="F368" t="s">
        <v>132</v>
      </c>
      <c r="G368" t="s">
        <v>154</v>
      </c>
      <c r="H368" t="s">
        <v>2657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32</v>
      </c>
    </row>
    <row r="369" spans="1:13">
      <c r="A369" t="s">
        <v>713</v>
      </c>
      <c r="B369" s="1">
        <v>42335</v>
      </c>
      <c r="C369" s="1">
        <v>42337</v>
      </c>
      <c r="D369" t="s">
        <v>714</v>
      </c>
      <c r="E369" t="s">
        <v>62</v>
      </c>
      <c r="F369" t="s">
        <v>63</v>
      </c>
      <c r="G369" t="s">
        <v>28</v>
      </c>
      <c r="H369" t="s">
        <v>2657</v>
      </c>
      <c r="I369">
        <v>676.48500000000001</v>
      </c>
      <c r="J369">
        <v>5</v>
      </c>
      <c r="K369">
        <v>0.1</v>
      </c>
      <c r="L369">
        <v>195.285</v>
      </c>
      <c r="M369" t="s">
        <v>23</v>
      </c>
    </row>
    <row r="370" spans="1:13">
      <c r="A370" t="s">
        <v>715</v>
      </c>
      <c r="B370" s="1">
        <v>41221</v>
      </c>
      <c r="C370" s="1">
        <v>41223</v>
      </c>
      <c r="D370" t="s">
        <v>716</v>
      </c>
      <c r="E370" t="s">
        <v>105</v>
      </c>
      <c r="F370" t="s">
        <v>106</v>
      </c>
      <c r="G370" t="s">
        <v>28</v>
      </c>
      <c r="H370" t="s">
        <v>2664</v>
      </c>
      <c r="I370">
        <v>969.36</v>
      </c>
      <c r="J370">
        <v>7</v>
      </c>
      <c r="K370">
        <v>0</v>
      </c>
      <c r="L370">
        <v>348.81</v>
      </c>
      <c r="M370" t="s">
        <v>23</v>
      </c>
    </row>
    <row r="371" spans="1:13">
      <c r="A371" t="s">
        <v>717</v>
      </c>
      <c r="B371" s="1">
        <v>42265</v>
      </c>
      <c r="C371" t="s">
        <v>718</v>
      </c>
      <c r="D371" t="s">
        <v>719</v>
      </c>
      <c r="F371" t="s">
        <v>63</v>
      </c>
      <c r="G371" t="s">
        <v>28</v>
      </c>
      <c r="H371" t="s">
        <v>2663</v>
      </c>
      <c r="I371" t="s">
        <v>152</v>
      </c>
      <c r="J371">
        <v>5</v>
      </c>
      <c r="K371">
        <v>0.1</v>
      </c>
      <c r="L371">
        <v>90.809999999999903</v>
      </c>
      <c r="M371" t="s">
        <v>32</v>
      </c>
    </row>
    <row r="372" spans="1:13">
      <c r="A372" t="s">
        <v>720</v>
      </c>
      <c r="B372" s="1">
        <v>42059</v>
      </c>
      <c r="C372" s="1">
        <v>42062</v>
      </c>
      <c r="D372" t="s">
        <v>721</v>
      </c>
      <c r="E372" t="s">
        <v>265</v>
      </c>
      <c r="F372" t="s">
        <v>53</v>
      </c>
      <c r="G372" t="s">
        <v>16</v>
      </c>
      <c r="H372" t="s">
        <v>2655</v>
      </c>
      <c r="I372">
        <v>1655.96143999999</v>
      </c>
      <c r="J372">
        <v>7</v>
      </c>
      <c r="L372">
        <v>13.20144</v>
      </c>
      <c r="M372" t="s">
        <v>32</v>
      </c>
    </row>
    <row r="373" spans="1:13">
      <c r="A373" t="s">
        <v>722</v>
      </c>
      <c r="B373" s="1">
        <v>41885</v>
      </c>
      <c r="C373" s="1">
        <v>41887</v>
      </c>
      <c r="D373" t="s">
        <v>723</v>
      </c>
      <c r="E373" t="s">
        <v>88</v>
      </c>
      <c r="F373" t="s">
        <v>89</v>
      </c>
      <c r="G373" t="s">
        <v>28</v>
      </c>
      <c r="H373" t="s">
        <v>2663</v>
      </c>
      <c r="I373">
        <v>976.95999999999901</v>
      </c>
      <c r="J373">
        <v>4</v>
      </c>
      <c r="L373">
        <v>232</v>
      </c>
      <c r="M373" t="s">
        <v>23</v>
      </c>
    </row>
    <row r="374" spans="1:13">
      <c r="A374" t="s">
        <v>724</v>
      </c>
      <c r="B374" s="1">
        <v>41996</v>
      </c>
      <c r="C374" s="1">
        <v>41998</v>
      </c>
      <c r="D374" t="s">
        <v>136</v>
      </c>
      <c r="E374" t="s">
        <v>725</v>
      </c>
      <c r="F374" t="s">
        <v>81</v>
      </c>
      <c r="G374" t="s">
        <v>28</v>
      </c>
      <c r="H374" t="s">
        <v>2657</v>
      </c>
      <c r="I374">
        <v>731.34</v>
      </c>
      <c r="J374">
        <v>2</v>
      </c>
      <c r="K374">
        <v>0</v>
      </c>
      <c r="L374">
        <v>175.5</v>
      </c>
      <c r="M374" t="s">
        <v>23</v>
      </c>
    </row>
    <row r="375" spans="1:13">
      <c r="A375" t="s">
        <v>726</v>
      </c>
      <c r="B375" s="1">
        <v>42172</v>
      </c>
      <c r="C375" s="1">
        <v>42174</v>
      </c>
      <c r="D375" t="s">
        <v>597</v>
      </c>
      <c r="E375" t="s">
        <v>727</v>
      </c>
      <c r="F375" t="s">
        <v>22</v>
      </c>
      <c r="G375" t="s">
        <v>39</v>
      </c>
      <c r="H375" t="s">
        <v>2655</v>
      </c>
      <c r="I375">
        <v>1239</v>
      </c>
      <c r="J375">
        <v>4</v>
      </c>
      <c r="K375">
        <v>0</v>
      </c>
      <c r="L375">
        <v>0</v>
      </c>
      <c r="M375" t="s">
        <v>23</v>
      </c>
    </row>
    <row r="376" spans="1:13">
      <c r="A376" t="s">
        <v>728</v>
      </c>
      <c r="B376" s="1">
        <v>42078</v>
      </c>
      <c r="C376" s="1">
        <v>42080</v>
      </c>
      <c r="D376" t="s">
        <v>729</v>
      </c>
      <c r="E376" t="s">
        <v>730</v>
      </c>
      <c r="F376" t="s">
        <v>132</v>
      </c>
      <c r="G376" t="s">
        <v>28</v>
      </c>
      <c r="H376" t="s">
        <v>2663</v>
      </c>
      <c r="I376">
        <v>1680.60599999999</v>
      </c>
      <c r="J376">
        <v>5</v>
      </c>
      <c r="K376">
        <v>0.27</v>
      </c>
      <c r="L376">
        <v>368.25599999999997</v>
      </c>
      <c r="M376" t="s">
        <v>32</v>
      </c>
    </row>
    <row r="377" spans="1:13">
      <c r="A377" t="s">
        <v>731</v>
      </c>
      <c r="B377" s="1">
        <v>42197</v>
      </c>
      <c r="C377" s="1">
        <v>42198</v>
      </c>
      <c r="D377" t="s">
        <v>703</v>
      </c>
      <c r="E377" t="s">
        <v>105</v>
      </c>
      <c r="F377" t="s">
        <v>106</v>
      </c>
      <c r="G377" t="s">
        <v>28</v>
      </c>
      <c r="H377" t="s">
        <v>2661</v>
      </c>
      <c r="I377">
        <v>2190.75</v>
      </c>
      <c r="J377">
        <v>5</v>
      </c>
      <c r="K377">
        <v>0</v>
      </c>
      <c r="L377">
        <v>65.7</v>
      </c>
      <c r="M377" t="s">
        <v>17</v>
      </c>
    </row>
    <row r="378" spans="1:13">
      <c r="A378" t="s">
        <v>732</v>
      </c>
      <c r="B378" s="1">
        <v>42164</v>
      </c>
      <c r="C378" s="1">
        <v>42167</v>
      </c>
      <c r="D378" t="s">
        <v>733</v>
      </c>
      <c r="E378" t="s">
        <v>84</v>
      </c>
      <c r="F378" t="s">
        <v>85</v>
      </c>
      <c r="G378" t="s">
        <v>16</v>
      </c>
      <c r="H378" t="s">
        <v>2655</v>
      </c>
      <c r="I378">
        <v>935.171999999999</v>
      </c>
      <c r="J378">
        <v>4</v>
      </c>
      <c r="K378">
        <v>0.1</v>
      </c>
      <c r="M378" t="s">
        <v>23</v>
      </c>
    </row>
    <row r="379" spans="1:13">
      <c r="A379" t="s">
        <v>734</v>
      </c>
      <c r="B379" s="1">
        <v>42292</v>
      </c>
      <c r="D379" t="s">
        <v>735</v>
      </c>
      <c r="E379" t="s">
        <v>245</v>
      </c>
      <c r="F379" t="s">
        <v>666</v>
      </c>
      <c r="G379" t="s">
        <v>39</v>
      </c>
      <c r="H379" t="s">
        <v>2663</v>
      </c>
      <c r="I379">
        <v>1026.96</v>
      </c>
      <c r="J379">
        <v>8</v>
      </c>
      <c r="K379">
        <v>0</v>
      </c>
      <c r="M379" t="s">
        <v>23</v>
      </c>
    </row>
    <row r="380" spans="1:13">
      <c r="A380" t="s">
        <v>736</v>
      </c>
      <c r="B380" s="1">
        <v>42222</v>
      </c>
      <c r="C380" t="s">
        <v>737</v>
      </c>
      <c r="D380" t="s">
        <v>683</v>
      </c>
      <c r="F380" t="s">
        <v>106</v>
      </c>
      <c r="G380" t="s">
        <v>16</v>
      </c>
      <c r="H380" t="s">
        <v>2662</v>
      </c>
      <c r="I380">
        <v>2550</v>
      </c>
      <c r="J380">
        <v>4</v>
      </c>
      <c r="K380">
        <v>0</v>
      </c>
      <c r="L380">
        <v>280.44</v>
      </c>
      <c r="M380" t="s">
        <v>32</v>
      </c>
    </row>
    <row r="381" spans="1:13">
      <c r="A381" t="s">
        <v>738</v>
      </c>
      <c r="B381" s="1">
        <v>41633</v>
      </c>
      <c r="C381" s="1">
        <v>41636</v>
      </c>
      <c r="D381" t="s">
        <v>739</v>
      </c>
      <c r="E381" t="s">
        <v>310</v>
      </c>
      <c r="F381" t="s">
        <v>132</v>
      </c>
      <c r="G381" t="s">
        <v>16</v>
      </c>
      <c r="H381" t="s">
        <v>2664</v>
      </c>
      <c r="I381">
        <v>2667.5369999999998</v>
      </c>
      <c r="J381">
        <v>5</v>
      </c>
      <c r="K381">
        <v>0.17</v>
      </c>
      <c r="L381">
        <v>-417.81299999999902</v>
      </c>
      <c r="M381" t="s">
        <v>17</v>
      </c>
    </row>
    <row r="382" spans="1:13">
      <c r="B382" s="1">
        <v>41615</v>
      </c>
      <c r="C382" s="1">
        <v>41615</v>
      </c>
      <c r="D382" t="s">
        <v>740</v>
      </c>
      <c r="F382" t="s">
        <v>63</v>
      </c>
      <c r="G382" t="s">
        <v>16</v>
      </c>
      <c r="H382" t="s">
        <v>2656</v>
      </c>
      <c r="I382">
        <v>1224.7139999999999</v>
      </c>
      <c r="J382">
        <v>4</v>
      </c>
      <c r="K382">
        <v>0.15</v>
      </c>
      <c r="L382">
        <v>-129.726</v>
      </c>
      <c r="M382" t="s">
        <v>32</v>
      </c>
    </row>
    <row r="383" spans="1:13">
      <c r="A383" t="s">
        <v>741</v>
      </c>
      <c r="B383" s="1">
        <v>41775</v>
      </c>
      <c r="C383" s="1">
        <v>41779</v>
      </c>
      <c r="D383" t="s">
        <v>742</v>
      </c>
      <c r="E383" t="s">
        <v>20</v>
      </c>
      <c r="F383" t="s">
        <v>63</v>
      </c>
      <c r="G383" t="s">
        <v>16</v>
      </c>
      <c r="H383" t="s">
        <v>2657</v>
      </c>
      <c r="I383">
        <v>2605.92</v>
      </c>
      <c r="J383">
        <v>4</v>
      </c>
      <c r="K383" t="s">
        <v>215</v>
      </c>
      <c r="L383">
        <v>8994.9828630280499</v>
      </c>
      <c r="M383" t="s">
        <v>32</v>
      </c>
    </row>
    <row r="384" spans="1:13">
      <c r="A384" t="s">
        <v>743</v>
      </c>
      <c r="B384" s="1">
        <v>41807</v>
      </c>
      <c r="C384" s="1">
        <v>41808</v>
      </c>
      <c r="E384" t="s">
        <v>157</v>
      </c>
      <c r="F384" t="s">
        <v>106</v>
      </c>
      <c r="G384" t="s">
        <v>39</v>
      </c>
      <c r="H384" t="s">
        <v>2656</v>
      </c>
      <c r="I384">
        <v>2962.68</v>
      </c>
      <c r="J384">
        <v>14</v>
      </c>
      <c r="K384">
        <v>0</v>
      </c>
      <c r="L384">
        <v>207.06</v>
      </c>
      <c r="M384" t="s">
        <v>17</v>
      </c>
    </row>
    <row r="385" spans="1:13">
      <c r="A385" t="s">
        <v>744</v>
      </c>
      <c r="B385" s="1">
        <v>42311</v>
      </c>
      <c r="C385" s="1">
        <v>42315</v>
      </c>
      <c r="D385" t="s">
        <v>745</v>
      </c>
      <c r="E385" t="s">
        <v>105</v>
      </c>
      <c r="F385" t="s">
        <v>106</v>
      </c>
      <c r="G385" t="s">
        <v>28</v>
      </c>
      <c r="H385" t="s">
        <v>2656</v>
      </c>
      <c r="I385">
        <v>2664</v>
      </c>
      <c r="K385">
        <v>0</v>
      </c>
      <c r="L385">
        <v>905.7</v>
      </c>
      <c r="M385" t="s">
        <v>17</v>
      </c>
    </row>
    <row r="386" spans="1:13">
      <c r="A386" t="s">
        <v>746</v>
      </c>
      <c r="B386" s="1">
        <v>41422</v>
      </c>
      <c r="C386" s="1">
        <v>41425</v>
      </c>
      <c r="D386" t="s">
        <v>747</v>
      </c>
      <c r="E386" t="s">
        <v>67</v>
      </c>
      <c r="F386" t="s">
        <v>68</v>
      </c>
      <c r="G386" t="s">
        <v>16</v>
      </c>
      <c r="H386" t="s">
        <v>2664</v>
      </c>
      <c r="I386">
        <v>1513.56</v>
      </c>
      <c r="J386">
        <v>4</v>
      </c>
      <c r="K386">
        <v>0</v>
      </c>
      <c r="L386">
        <v>741.599999999999</v>
      </c>
      <c r="M386" t="s">
        <v>748</v>
      </c>
    </row>
    <row r="387" spans="1:13">
      <c r="B387" s="1">
        <v>41868</v>
      </c>
      <c r="C387" s="1">
        <v>41871</v>
      </c>
      <c r="D387" t="s">
        <v>749</v>
      </c>
      <c r="E387" t="s">
        <v>84</v>
      </c>
      <c r="F387" t="s">
        <v>85</v>
      </c>
      <c r="G387" t="s">
        <v>28</v>
      </c>
      <c r="H387" t="s">
        <v>2658</v>
      </c>
      <c r="I387">
        <v>1233.6299999999901</v>
      </c>
      <c r="J387">
        <v>3</v>
      </c>
      <c r="K387">
        <v>0</v>
      </c>
      <c r="L387">
        <v>234.36</v>
      </c>
      <c r="M387" t="s">
        <v>750</v>
      </c>
    </row>
    <row r="388" spans="1:13">
      <c r="A388" t="s">
        <v>751</v>
      </c>
      <c r="B388" s="1">
        <v>41062</v>
      </c>
      <c r="C388" s="1">
        <v>41064</v>
      </c>
      <c r="D388" t="s">
        <v>709</v>
      </c>
      <c r="E388" t="s">
        <v>193</v>
      </c>
      <c r="F388" t="s">
        <v>78</v>
      </c>
      <c r="G388" t="s">
        <v>28</v>
      </c>
      <c r="H388" t="s">
        <v>2657</v>
      </c>
      <c r="I388">
        <v>855.14999999999895</v>
      </c>
      <c r="J388">
        <v>1</v>
      </c>
      <c r="K388">
        <v>0</v>
      </c>
      <c r="L388">
        <v>384.81</v>
      </c>
      <c r="M388" t="s">
        <v>23</v>
      </c>
    </row>
    <row r="389" spans="1:13">
      <c r="A389" t="s">
        <v>752</v>
      </c>
      <c r="B389" s="1">
        <v>41103</v>
      </c>
      <c r="C389" s="1">
        <v>41104</v>
      </c>
      <c r="D389" t="s">
        <v>753</v>
      </c>
      <c r="E389" t="s">
        <v>84</v>
      </c>
      <c r="F389" t="s">
        <v>754</v>
      </c>
      <c r="G389" t="s">
        <v>16</v>
      </c>
      <c r="H389" t="s">
        <v>2663</v>
      </c>
      <c r="I389">
        <v>956.34</v>
      </c>
      <c r="J389">
        <v>4</v>
      </c>
      <c r="K389">
        <v>0.1</v>
      </c>
      <c r="L389">
        <v>-95.7</v>
      </c>
      <c r="M389" t="s">
        <v>23</v>
      </c>
    </row>
    <row r="390" spans="1:13">
      <c r="A390" t="s">
        <v>574</v>
      </c>
      <c r="B390" s="1">
        <v>41587</v>
      </c>
      <c r="C390" s="1">
        <v>41591</v>
      </c>
      <c r="D390" t="s">
        <v>571</v>
      </c>
      <c r="E390" t="s">
        <v>35</v>
      </c>
      <c r="F390" t="s">
        <v>36</v>
      </c>
      <c r="G390" t="s">
        <v>39</v>
      </c>
      <c r="H390" t="s">
        <v>2658</v>
      </c>
      <c r="I390">
        <v>17.34</v>
      </c>
      <c r="J390" t="s">
        <v>55</v>
      </c>
      <c r="K390">
        <v>0</v>
      </c>
      <c r="M390" t="s">
        <v>17</v>
      </c>
    </row>
    <row r="391" spans="1:13">
      <c r="A391" t="s">
        <v>755</v>
      </c>
      <c r="B391" s="1">
        <v>41198</v>
      </c>
      <c r="C391" s="1">
        <v>41205</v>
      </c>
      <c r="D391" t="s">
        <v>138</v>
      </c>
      <c r="E391" t="s">
        <v>186</v>
      </c>
      <c r="F391" t="s">
        <v>68</v>
      </c>
      <c r="G391" t="s">
        <v>28</v>
      </c>
      <c r="H391" t="s">
        <v>2662</v>
      </c>
      <c r="I391">
        <v>1838.51999999999</v>
      </c>
      <c r="J391">
        <v>5</v>
      </c>
      <c r="K391">
        <v>0.2</v>
      </c>
      <c r="L391">
        <v>160.77000000000001</v>
      </c>
      <c r="M391" t="s">
        <v>65</v>
      </c>
    </row>
    <row r="392" spans="1:13">
      <c r="A392" t="s">
        <v>756</v>
      </c>
      <c r="B392" s="1">
        <v>41226</v>
      </c>
      <c r="C392" s="1">
        <v>41232</v>
      </c>
      <c r="D392" t="s">
        <v>757</v>
      </c>
      <c r="E392" t="s">
        <v>105</v>
      </c>
      <c r="F392" t="s">
        <v>106</v>
      </c>
      <c r="G392" t="s">
        <v>16</v>
      </c>
      <c r="H392" t="s">
        <v>2664</v>
      </c>
      <c r="J392">
        <v>7</v>
      </c>
      <c r="K392">
        <v>0</v>
      </c>
      <c r="L392">
        <v>674.73</v>
      </c>
      <c r="M392" t="s">
        <v>17</v>
      </c>
    </row>
    <row r="393" spans="1:13">
      <c r="A393" t="s">
        <v>758</v>
      </c>
      <c r="C393" s="1">
        <v>42203</v>
      </c>
      <c r="D393" t="s">
        <v>306</v>
      </c>
      <c r="E393" t="s">
        <v>62</v>
      </c>
      <c r="F393" t="s">
        <v>63</v>
      </c>
      <c r="G393" t="s">
        <v>16</v>
      </c>
      <c r="H393" t="s">
        <v>2655</v>
      </c>
      <c r="I393">
        <v>1824.144</v>
      </c>
      <c r="J393">
        <v>8</v>
      </c>
      <c r="K393">
        <v>0.65</v>
      </c>
      <c r="L393">
        <v>-1303.056</v>
      </c>
      <c r="M393" t="s">
        <v>32</v>
      </c>
    </row>
    <row r="394" spans="1:13">
      <c r="A394" t="s">
        <v>759</v>
      </c>
      <c r="B394" s="1">
        <v>42158</v>
      </c>
      <c r="C394" s="1">
        <v>42160</v>
      </c>
      <c r="E394" t="s">
        <v>760</v>
      </c>
      <c r="F394" t="s">
        <v>89</v>
      </c>
      <c r="G394" t="s">
        <v>28</v>
      </c>
      <c r="H394" t="s">
        <v>2656</v>
      </c>
      <c r="I394">
        <v>2344</v>
      </c>
      <c r="J394">
        <v>8</v>
      </c>
      <c r="K394">
        <v>0</v>
      </c>
      <c r="L394">
        <v>46.88</v>
      </c>
      <c r="M394" t="s">
        <v>32</v>
      </c>
    </row>
    <row r="395" spans="1:13">
      <c r="A395" t="s">
        <v>761</v>
      </c>
      <c r="B395" t="s">
        <v>762</v>
      </c>
      <c r="C395" s="1">
        <v>42355</v>
      </c>
      <c r="D395" t="s">
        <v>267</v>
      </c>
      <c r="E395" t="s">
        <v>58</v>
      </c>
      <c r="F395" t="s">
        <v>81</v>
      </c>
      <c r="G395" t="s">
        <v>16</v>
      </c>
      <c r="H395" t="s">
        <v>2656</v>
      </c>
      <c r="I395">
        <v>2043.72</v>
      </c>
      <c r="J395">
        <v>14</v>
      </c>
      <c r="K395">
        <v>0</v>
      </c>
      <c r="L395">
        <v>756</v>
      </c>
      <c r="M395" t="s">
        <v>32</v>
      </c>
    </row>
    <row r="396" spans="1:13">
      <c r="A396" t="s">
        <v>763</v>
      </c>
      <c r="B396" s="1">
        <v>42183</v>
      </c>
      <c r="C396" s="1">
        <v>42183</v>
      </c>
      <c r="D396" t="s">
        <v>764</v>
      </c>
      <c r="E396" t="s">
        <v>162</v>
      </c>
      <c r="F396" t="s">
        <v>75</v>
      </c>
      <c r="G396" t="s">
        <v>39</v>
      </c>
      <c r="H396" t="s">
        <v>2663</v>
      </c>
      <c r="I396">
        <v>856.8</v>
      </c>
      <c r="J396">
        <v>14</v>
      </c>
      <c r="K396">
        <v>0</v>
      </c>
      <c r="L396">
        <v>265.44</v>
      </c>
      <c r="M396" t="s">
        <v>23</v>
      </c>
    </row>
    <row r="397" spans="1:13">
      <c r="A397" t="s">
        <v>765</v>
      </c>
      <c r="B397" s="1">
        <v>42358</v>
      </c>
      <c r="C397" s="1">
        <v>42362</v>
      </c>
      <c r="D397" t="s">
        <v>739</v>
      </c>
      <c r="E397" t="s">
        <v>88</v>
      </c>
      <c r="F397" t="s">
        <v>89</v>
      </c>
      <c r="G397" t="s">
        <v>39</v>
      </c>
      <c r="H397" t="s">
        <v>2656</v>
      </c>
      <c r="I397">
        <v>2509.36</v>
      </c>
      <c r="J397" t="s">
        <v>55</v>
      </c>
      <c r="K397">
        <v>0</v>
      </c>
      <c r="L397">
        <v>426.58</v>
      </c>
      <c r="M397" t="s">
        <v>32</v>
      </c>
    </row>
    <row r="398" spans="1:13">
      <c r="A398" t="s">
        <v>766</v>
      </c>
      <c r="B398" s="1">
        <v>41310</v>
      </c>
      <c r="C398" s="1">
        <v>41313</v>
      </c>
      <c r="D398" t="s">
        <v>767</v>
      </c>
      <c r="E398" t="s">
        <v>14</v>
      </c>
      <c r="F398" t="s">
        <v>768</v>
      </c>
      <c r="G398" t="s">
        <v>28</v>
      </c>
      <c r="H398" t="s">
        <v>2664</v>
      </c>
      <c r="I398">
        <v>819.93599999999901</v>
      </c>
      <c r="J398">
        <v>2</v>
      </c>
      <c r="K398">
        <v>0.1</v>
      </c>
      <c r="L398">
        <v>191.316</v>
      </c>
      <c r="M398" t="s">
        <v>23</v>
      </c>
    </row>
    <row r="399" spans="1:13">
      <c r="B399" s="1">
        <v>40929</v>
      </c>
      <c r="C399" s="1">
        <v>40935</v>
      </c>
      <c r="D399" t="s">
        <v>539</v>
      </c>
      <c r="E399" t="s">
        <v>200</v>
      </c>
      <c r="F399" t="s">
        <v>89</v>
      </c>
      <c r="G399" t="s">
        <v>28</v>
      </c>
      <c r="H399" t="s">
        <v>2661</v>
      </c>
      <c r="I399">
        <v>2797.248</v>
      </c>
      <c r="J399">
        <v>6</v>
      </c>
      <c r="K399">
        <v>0.2</v>
      </c>
      <c r="L399">
        <v>-7.2000000000025405E-2</v>
      </c>
      <c r="M399" t="s">
        <v>65</v>
      </c>
    </row>
    <row r="400" spans="1:13">
      <c r="A400" t="s">
        <v>769</v>
      </c>
      <c r="B400" s="1">
        <v>41489</v>
      </c>
      <c r="C400" s="1">
        <v>41491</v>
      </c>
      <c r="D400" t="s">
        <v>770</v>
      </c>
      <c r="E400" t="s">
        <v>52</v>
      </c>
      <c r="F400" t="s">
        <v>53</v>
      </c>
      <c r="G400" t="s">
        <v>39</v>
      </c>
      <c r="H400" t="s">
        <v>2655</v>
      </c>
      <c r="I400">
        <v>1455.08</v>
      </c>
      <c r="J400">
        <v>11</v>
      </c>
      <c r="K400">
        <v>0</v>
      </c>
      <c r="L400">
        <v>261.8</v>
      </c>
      <c r="M400" t="s">
        <v>17</v>
      </c>
    </row>
    <row r="401" spans="1:13">
      <c r="A401" t="s">
        <v>771</v>
      </c>
      <c r="B401" s="1">
        <v>42304</v>
      </c>
      <c r="C401" s="1">
        <v>42308</v>
      </c>
      <c r="D401" t="s">
        <v>772</v>
      </c>
      <c r="E401" t="s">
        <v>131</v>
      </c>
      <c r="F401" t="s">
        <v>132</v>
      </c>
      <c r="G401" t="s">
        <v>28</v>
      </c>
      <c r="H401" t="s">
        <v>2658</v>
      </c>
      <c r="I401">
        <v>2189.0897999999902</v>
      </c>
      <c r="J401">
        <v>6</v>
      </c>
      <c r="K401">
        <v>7.0000000000000007E-2</v>
      </c>
      <c r="M401" t="s">
        <v>773</v>
      </c>
    </row>
    <row r="402" spans="1:13">
      <c r="A402" t="s">
        <v>774</v>
      </c>
      <c r="B402" s="2">
        <v>74202</v>
      </c>
      <c r="C402" s="1">
        <v>41337</v>
      </c>
      <c r="D402" t="s">
        <v>775</v>
      </c>
      <c r="E402" t="s">
        <v>105</v>
      </c>
      <c r="F402" t="s">
        <v>106</v>
      </c>
      <c r="G402" t="s">
        <v>28</v>
      </c>
      <c r="H402" t="s">
        <v>2664</v>
      </c>
      <c r="I402" t="s">
        <v>152</v>
      </c>
      <c r="J402">
        <v>6</v>
      </c>
      <c r="K402">
        <v>0</v>
      </c>
      <c r="L402">
        <v>327.06</v>
      </c>
      <c r="M402" t="s">
        <v>17</v>
      </c>
    </row>
    <row r="403" spans="1:13">
      <c r="A403" t="s">
        <v>776</v>
      </c>
      <c r="C403" s="1">
        <v>41437</v>
      </c>
      <c r="D403" t="s">
        <v>777</v>
      </c>
      <c r="E403" t="s">
        <v>778</v>
      </c>
      <c r="F403" t="s">
        <v>106</v>
      </c>
      <c r="G403" t="s">
        <v>16</v>
      </c>
      <c r="H403" t="s">
        <v>2663</v>
      </c>
      <c r="I403">
        <v>1291.08</v>
      </c>
      <c r="J403">
        <v>2</v>
      </c>
      <c r="K403">
        <v>0</v>
      </c>
      <c r="L403">
        <v>296.94</v>
      </c>
      <c r="M403" t="s">
        <v>23</v>
      </c>
    </row>
    <row r="404" spans="1:13">
      <c r="A404" t="s">
        <v>779</v>
      </c>
      <c r="B404" s="1">
        <v>40962</v>
      </c>
      <c r="C404" s="1">
        <v>40965</v>
      </c>
      <c r="D404" t="s">
        <v>780</v>
      </c>
      <c r="E404" t="s">
        <v>105</v>
      </c>
      <c r="F404" t="s">
        <v>106</v>
      </c>
      <c r="G404" t="s">
        <v>16</v>
      </c>
      <c r="H404" t="s">
        <v>2658</v>
      </c>
      <c r="I404">
        <v>1526.52</v>
      </c>
      <c r="J404">
        <v>4</v>
      </c>
      <c r="K404">
        <v>0</v>
      </c>
      <c r="L404">
        <v>3985.40136153395</v>
      </c>
      <c r="M404" t="s">
        <v>32</v>
      </c>
    </row>
    <row r="405" spans="1:13">
      <c r="A405" t="s">
        <v>572</v>
      </c>
      <c r="B405" s="1">
        <v>41173</v>
      </c>
      <c r="C405" s="1">
        <v>41180</v>
      </c>
      <c r="D405" t="s">
        <v>571</v>
      </c>
      <c r="E405" t="s">
        <v>35</v>
      </c>
      <c r="F405" t="s">
        <v>102</v>
      </c>
      <c r="G405" t="s">
        <v>39</v>
      </c>
      <c r="H405" t="s">
        <v>2656</v>
      </c>
      <c r="I405">
        <v>3.984</v>
      </c>
      <c r="J405">
        <v>1</v>
      </c>
      <c r="K405">
        <v>0.2</v>
      </c>
      <c r="L405">
        <v>1.3944000000000001</v>
      </c>
      <c r="M405" t="s">
        <v>17</v>
      </c>
    </row>
    <row r="406" spans="1:13">
      <c r="A406" t="s">
        <v>781</v>
      </c>
      <c r="B406" s="1">
        <v>41840</v>
      </c>
      <c r="C406" s="1">
        <v>41847</v>
      </c>
      <c r="D406" t="s">
        <v>782</v>
      </c>
      <c r="E406" t="s">
        <v>265</v>
      </c>
      <c r="F406" t="s">
        <v>53</v>
      </c>
      <c r="G406" t="s">
        <v>28</v>
      </c>
      <c r="H406" t="s">
        <v>2657</v>
      </c>
      <c r="J406">
        <v>6</v>
      </c>
      <c r="L406">
        <v>205.56</v>
      </c>
      <c r="M406" t="s">
        <v>65</v>
      </c>
    </row>
    <row r="407" spans="1:13">
      <c r="A407" t="s">
        <v>783</v>
      </c>
      <c r="B407" s="1">
        <v>41727</v>
      </c>
      <c r="C407" s="1">
        <v>41643</v>
      </c>
      <c r="D407" t="s">
        <v>784</v>
      </c>
      <c r="E407" t="s">
        <v>346</v>
      </c>
      <c r="F407" t="s">
        <v>89</v>
      </c>
      <c r="G407" t="s">
        <v>28</v>
      </c>
      <c r="H407" t="s">
        <v>2656</v>
      </c>
      <c r="I407">
        <v>1815.23999999999</v>
      </c>
      <c r="J407">
        <v>7</v>
      </c>
      <c r="K407">
        <v>0</v>
      </c>
      <c r="M407" t="s">
        <v>32</v>
      </c>
    </row>
    <row r="408" spans="1:13">
      <c r="A408" t="s">
        <v>785</v>
      </c>
      <c r="B408" s="1">
        <v>42300</v>
      </c>
      <c r="C408" s="1">
        <v>42302</v>
      </c>
      <c r="D408" t="s">
        <v>536</v>
      </c>
      <c r="E408" t="s">
        <v>105</v>
      </c>
      <c r="G408" t="s">
        <v>16</v>
      </c>
      <c r="H408" t="s">
        <v>2655</v>
      </c>
      <c r="J408">
        <v>3</v>
      </c>
      <c r="M408" t="s">
        <v>23</v>
      </c>
    </row>
    <row r="409" spans="1:13">
      <c r="A409" t="s">
        <v>786</v>
      </c>
      <c r="B409" s="1">
        <v>42179</v>
      </c>
      <c r="C409" s="1">
        <v>42181</v>
      </c>
      <c r="D409" t="s">
        <v>787</v>
      </c>
      <c r="E409" t="s">
        <v>88</v>
      </c>
      <c r="F409" t="s">
        <v>89</v>
      </c>
      <c r="G409" t="s">
        <v>16</v>
      </c>
      <c r="H409" t="s">
        <v>2663</v>
      </c>
      <c r="I409">
        <v>3045.8399999999901</v>
      </c>
      <c r="J409">
        <v>7</v>
      </c>
      <c r="K409">
        <v>0</v>
      </c>
      <c r="L409">
        <v>1035.58</v>
      </c>
      <c r="M409" t="s">
        <v>32</v>
      </c>
    </row>
    <row r="410" spans="1:13">
      <c r="A410" t="s">
        <v>788</v>
      </c>
      <c r="B410" s="1">
        <v>41942</v>
      </c>
      <c r="C410" s="1">
        <v>41948</v>
      </c>
      <c r="D410" t="s">
        <v>789</v>
      </c>
      <c r="E410" t="s">
        <v>790</v>
      </c>
      <c r="F410" t="s">
        <v>89</v>
      </c>
      <c r="G410" t="s">
        <v>16</v>
      </c>
      <c r="H410" t="s">
        <v>2657</v>
      </c>
      <c r="I410">
        <v>2125</v>
      </c>
      <c r="J410">
        <v>5</v>
      </c>
      <c r="K410">
        <v>0</v>
      </c>
      <c r="L410">
        <v>297.5</v>
      </c>
      <c r="M410" t="s">
        <v>65</v>
      </c>
    </row>
    <row r="411" spans="1:13">
      <c r="A411" t="s">
        <v>791</v>
      </c>
      <c r="B411" s="1">
        <v>41621</v>
      </c>
      <c r="C411" s="1">
        <v>41623</v>
      </c>
      <c r="D411" t="s">
        <v>104</v>
      </c>
      <c r="E411" t="s">
        <v>590</v>
      </c>
      <c r="F411" t="s">
        <v>121</v>
      </c>
      <c r="G411" t="s">
        <v>16</v>
      </c>
      <c r="H411" t="s">
        <v>2656</v>
      </c>
      <c r="I411">
        <v>976.08</v>
      </c>
      <c r="J411">
        <v>4</v>
      </c>
      <c r="K411">
        <v>0</v>
      </c>
      <c r="L411">
        <v>292.79999999999899</v>
      </c>
      <c r="M411" t="s">
        <v>23</v>
      </c>
    </row>
    <row r="412" spans="1:13">
      <c r="A412" t="s">
        <v>792</v>
      </c>
      <c r="C412" s="1">
        <v>41765</v>
      </c>
      <c r="D412" t="s">
        <v>793</v>
      </c>
      <c r="E412" t="s">
        <v>58</v>
      </c>
      <c r="F412" t="s">
        <v>81</v>
      </c>
      <c r="G412" t="s">
        <v>16</v>
      </c>
      <c r="H412" t="s">
        <v>2656</v>
      </c>
      <c r="I412">
        <v>1266.3599999999999</v>
      </c>
      <c r="J412">
        <v>4</v>
      </c>
      <c r="K412">
        <v>0</v>
      </c>
      <c r="M412" t="s">
        <v>773</v>
      </c>
    </row>
    <row r="413" spans="1:13">
      <c r="A413" t="s">
        <v>794</v>
      </c>
      <c r="B413" s="1">
        <v>41173</v>
      </c>
      <c r="C413" s="1">
        <v>41180</v>
      </c>
      <c r="D413" t="s">
        <v>571</v>
      </c>
      <c r="E413" t="s">
        <v>35</v>
      </c>
      <c r="F413" t="s">
        <v>102</v>
      </c>
      <c r="G413" t="s">
        <v>39</v>
      </c>
      <c r="H413" t="s">
        <v>2654</v>
      </c>
      <c r="I413">
        <v>13.04</v>
      </c>
      <c r="J413">
        <v>4</v>
      </c>
      <c r="K413">
        <v>0</v>
      </c>
      <c r="L413">
        <v>42.544024685653</v>
      </c>
      <c r="M413" t="s">
        <v>17</v>
      </c>
    </row>
    <row r="414" spans="1:13">
      <c r="A414" t="s">
        <v>795</v>
      </c>
      <c r="B414" s="1">
        <v>41159</v>
      </c>
      <c r="C414" s="1">
        <v>41161</v>
      </c>
      <c r="D414" t="s">
        <v>796</v>
      </c>
      <c r="E414" t="s">
        <v>797</v>
      </c>
      <c r="F414" t="s">
        <v>75</v>
      </c>
      <c r="G414" t="s">
        <v>28</v>
      </c>
      <c r="H414" t="s">
        <v>2657</v>
      </c>
      <c r="I414">
        <v>2134.4399999999901</v>
      </c>
      <c r="J414">
        <v>4</v>
      </c>
      <c r="K414">
        <v>0</v>
      </c>
      <c r="L414">
        <v>682.92</v>
      </c>
      <c r="M414" t="s">
        <v>23</v>
      </c>
    </row>
    <row r="415" spans="1:13">
      <c r="A415" t="s">
        <v>798</v>
      </c>
      <c r="B415" t="s">
        <v>116</v>
      </c>
      <c r="C415" s="1">
        <v>41390</v>
      </c>
      <c r="D415" t="s">
        <v>799</v>
      </c>
      <c r="E415" t="s">
        <v>20</v>
      </c>
      <c r="F415" t="s">
        <v>63</v>
      </c>
      <c r="G415" t="s">
        <v>16</v>
      </c>
      <c r="H415" t="s">
        <v>2655</v>
      </c>
      <c r="I415">
        <v>4748.4359999999997</v>
      </c>
      <c r="J415">
        <v>14</v>
      </c>
      <c r="K415">
        <v>0.1</v>
      </c>
      <c r="L415">
        <v>844.11599999999896</v>
      </c>
      <c r="M415" t="s">
        <v>17</v>
      </c>
    </row>
    <row r="416" spans="1:13">
      <c r="A416" t="s">
        <v>800</v>
      </c>
      <c r="B416" s="1">
        <v>41942</v>
      </c>
      <c r="C416" s="1">
        <v>41947</v>
      </c>
      <c r="D416" t="s">
        <v>255</v>
      </c>
      <c r="E416" t="s">
        <v>425</v>
      </c>
      <c r="F416" t="s">
        <v>426</v>
      </c>
      <c r="G416" t="s">
        <v>16</v>
      </c>
      <c r="H416" t="s">
        <v>2658</v>
      </c>
      <c r="I416">
        <v>1867.5</v>
      </c>
      <c r="J416">
        <v>6</v>
      </c>
      <c r="K416">
        <v>0</v>
      </c>
      <c r="L416">
        <v>242.64</v>
      </c>
      <c r="M416" t="s">
        <v>32</v>
      </c>
    </row>
    <row r="417" spans="1:13">
      <c r="A417" t="s">
        <v>801</v>
      </c>
      <c r="B417" s="2">
        <v>41014</v>
      </c>
      <c r="C417" s="1">
        <v>41015</v>
      </c>
      <c r="D417" t="s">
        <v>802</v>
      </c>
      <c r="E417" t="s">
        <v>58</v>
      </c>
      <c r="F417" t="s">
        <v>803</v>
      </c>
      <c r="G417" t="s">
        <v>28</v>
      </c>
      <c r="H417" t="s">
        <v>2657</v>
      </c>
      <c r="J417">
        <v>6</v>
      </c>
      <c r="K417">
        <v>0</v>
      </c>
      <c r="L417">
        <v>250.38</v>
      </c>
      <c r="M417" t="s">
        <v>32</v>
      </c>
    </row>
    <row r="418" spans="1:13">
      <c r="B418" s="1">
        <v>41894</v>
      </c>
      <c r="C418" s="1">
        <v>41899</v>
      </c>
      <c r="D418" t="s">
        <v>571</v>
      </c>
      <c r="E418" t="s">
        <v>641</v>
      </c>
      <c r="F418" t="s">
        <v>36</v>
      </c>
      <c r="G418" t="s">
        <v>39</v>
      </c>
      <c r="H418" t="s">
        <v>2662</v>
      </c>
      <c r="I418">
        <v>1.9079999999999899</v>
      </c>
      <c r="J418">
        <v>3</v>
      </c>
      <c r="K418">
        <v>0.8</v>
      </c>
      <c r="L418">
        <v>-3.2435999999999998</v>
      </c>
      <c r="M418" t="s">
        <v>32</v>
      </c>
    </row>
    <row r="419" spans="1:13">
      <c r="A419" t="s">
        <v>804</v>
      </c>
      <c r="B419" s="1">
        <v>41991</v>
      </c>
      <c r="C419" s="1">
        <v>41995</v>
      </c>
      <c r="D419" t="s">
        <v>503</v>
      </c>
      <c r="E419" t="s">
        <v>35</v>
      </c>
      <c r="F419" t="s">
        <v>36</v>
      </c>
      <c r="G419" t="s">
        <v>154</v>
      </c>
      <c r="H419" t="s">
        <v>2655</v>
      </c>
      <c r="I419">
        <v>9892.74</v>
      </c>
      <c r="J419">
        <v>13</v>
      </c>
      <c r="K419">
        <v>0</v>
      </c>
      <c r="L419">
        <v>4946.37</v>
      </c>
      <c r="M419" t="s">
        <v>17</v>
      </c>
    </row>
    <row r="420" spans="1:13">
      <c r="A420" t="s">
        <v>805</v>
      </c>
      <c r="B420" s="1">
        <v>42308</v>
      </c>
      <c r="D420" t="s">
        <v>806</v>
      </c>
      <c r="E420" t="s">
        <v>542</v>
      </c>
      <c r="F420" t="s">
        <v>59</v>
      </c>
      <c r="G420" t="s">
        <v>39</v>
      </c>
      <c r="H420" t="s">
        <v>2663</v>
      </c>
      <c r="I420">
        <v>4306.32</v>
      </c>
      <c r="J420">
        <v>8</v>
      </c>
      <c r="K420">
        <v>0</v>
      </c>
      <c r="L420">
        <v>1722.48</v>
      </c>
      <c r="M420" t="s">
        <v>17</v>
      </c>
    </row>
    <row r="421" spans="1:13">
      <c r="A421" t="s">
        <v>807</v>
      </c>
      <c r="B421" s="1">
        <v>41741</v>
      </c>
      <c r="C421" s="1">
        <v>41743</v>
      </c>
      <c r="D421" t="s">
        <v>412</v>
      </c>
      <c r="E421" t="s">
        <v>808</v>
      </c>
      <c r="F421" t="s">
        <v>81</v>
      </c>
      <c r="G421" t="s">
        <v>39</v>
      </c>
      <c r="H421" t="s">
        <v>2659</v>
      </c>
      <c r="I421">
        <v>899.55</v>
      </c>
      <c r="J421">
        <v>3</v>
      </c>
      <c r="K421">
        <v>0</v>
      </c>
      <c r="L421">
        <v>323.82</v>
      </c>
      <c r="M421" t="s">
        <v>23</v>
      </c>
    </row>
    <row r="422" spans="1:13">
      <c r="A422" t="s">
        <v>809</v>
      </c>
      <c r="B422" s="1">
        <v>41954</v>
      </c>
      <c r="C422" t="s">
        <v>116</v>
      </c>
      <c r="D422" t="s">
        <v>810</v>
      </c>
      <c r="F422" t="s">
        <v>106</v>
      </c>
      <c r="G422" t="s">
        <v>16</v>
      </c>
      <c r="H422" t="s">
        <v>2661</v>
      </c>
      <c r="I422">
        <v>763.92</v>
      </c>
      <c r="J422">
        <v>4</v>
      </c>
      <c r="K422">
        <v>0</v>
      </c>
      <c r="L422">
        <v>381.96</v>
      </c>
      <c r="M422" t="s">
        <v>23</v>
      </c>
    </row>
    <row r="423" spans="1:13">
      <c r="A423" t="s">
        <v>811</v>
      </c>
      <c r="B423" s="1">
        <v>41560</v>
      </c>
      <c r="C423" s="1">
        <v>41564</v>
      </c>
      <c r="D423" t="s">
        <v>812</v>
      </c>
      <c r="F423" t="s">
        <v>63</v>
      </c>
      <c r="G423" t="s">
        <v>16</v>
      </c>
      <c r="H423" t="s">
        <v>2661</v>
      </c>
      <c r="I423">
        <v>2544.2399999999998</v>
      </c>
      <c r="J423">
        <v>4</v>
      </c>
      <c r="K423" t="s">
        <v>215</v>
      </c>
      <c r="M423" t="s">
        <v>32</v>
      </c>
    </row>
    <row r="424" spans="1:13">
      <c r="A424" t="s">
        <v>813</v>
      </c>
      <c r="B424" s="1">
        <v>41560</v>
      </c>
      <c r="C424" s="1">
        <v>41563</v>
      </c>
      <c r="D424" t="s">
        <v>354</v>
      </c>
      <c r="E424" t="s">
        <v>814</v>
      </c>
      <c r="F424" t="s">
        <v>15</v>
      </c>
      <c r="G424" t="s">
        <v>28</v>
      </c>
      <c r="H424" t="s">
        <v>2657</v>
      </c>
      <c r="I424">
        <v>1136.66399999999</v>
      </c>
      <c r="J424">
        <v>4</v>
      </c>
      <c r="K424">
        <v>0.4</v>
      </c>
      <c r="L424">
        <v>-189.45599999999899</v>
      </c>
      <c r="M424" t="s">
        <v>23</v>
      </c>
    </row>
    <row r="425" spans="1:13">
      <c r="A425" t="s">
        <v>815</v>
      </c>
      <c r="B425" s="1">
        <v>42034</v>
      </c>
      <c r="C425" s="1">
        <v>42038</v>
      </c>
      <c r="D425" t="s">
        <v>816</v>
      </c>
      <c r="E425" t="s">
        <v>58</v>
      </c>
      <c r="F425" t="s">
        <v>81</v>
      </c>
      <c r="G425" t="s">
        <v>28</v>
      </c>
      <c r="H425" t="s">
        <v>2656</v>
      </c>
      <c r="I425">
        <v>2300.99999999999</v>
      </c>
      <c r="J425">
        <v>5</v>
      </c>
      <c r="K425">
        <v>0</v>
      </c>
      <c r="L425">
        <v>91.95</v>
      </c>
      <c r="M425" t="s">
        <v>32</v>
      </c>
    </row>
    <row r="426" spans="1:13">
      <c r="A426" t="s">
        <v>817</v>
      </c>
      <c r="B426" s="1">
        <v>41559</v>
      </c>
      <c r="D426" t="s">
        <v>818</v>
      </c>
      <c r="E426" t="s">
        <v>120</v>
      </c>
      <c r="G426" t="s">
        <v>16</v>
      </c>
      <c r="H426" t="s">
        <v>2655</v>
      </c>
      <c r="I426">
        <v>3908.88</v>
      </c>
      <c r="J426">
        <v>6</v>
      </c>
      <c r="K426">
        <v>0</v>
      </c>
      <c r="L426">
        <v>1563.48</v>
      </c>
      <c r="M426" t="s">
        <v>17</v>
      </c>
    </row>
    <row r="427" spans="1:13">
      <c r="A427" t="s">
        <v>819</v>
      </c>
      <c r="B427" s="1">
        <v>42161</v>
      </c>
      <c r="C427" s="1">
        <v>42162</v>
      </c>
      <c r="D427" t="s">
        <v>503</v>
      </c>
      <c r="E427" t="s">
        <v>35</v>
      </c>
      <c r="F427" t="s">
        <v>820</v>
      </c>
      <c r="G427" t="s">
        <v>16</v>
      </c>
      <c r="H427" t="s">
        <v>2655</v>
      </c>
      <c r="I427">
        <v>470.37599999999998</v>
      </c>
      <c r="J427">
        <v>3</v>
      </c>
      <c r="K427">
        <v>0.2</v>
      </c>
      <c r="L427">
        <v>52.917299999999898</v>
      </c>
      <c r="M427" t="s">
        <v>32</v>
      </c>
    </row>
    <row r="428" spans="1:13">
      <c r="A428" t="s">
        <v>821</v>
      </c>
      <c r="B428" s="1">
        <v>42328</v>
      </c>
      <c r="C428" s="1">
        <v>42332</v>
      </c>
      <c r="D428" t="s">
        <v>503</v>
      </c>
      <c r="E428" t="s">
        <v>35</v>
      </c>
      <c r="F428" t="s">
        <v>142</v>
      </c>
      <c r="G428" t="s">
        <v>28</v>
      </c>
      <c r="H428" t="s">
        <v>2656</v>
      </c>
      <c r="I428">
        <v>821.87999999999897</v>
      </c>
      <c r="J428">
        <v>6</v>
      </c>
      <c r="K428">
        <v>0</v>
      </c>
      <c r="L428">
        <v>213.68879999999999</v>
      </c>
      <c r="M428" t="s">
        <v>17</v>
      </c>
    </row>
    <row r="429" spans="1:13">
      <c r="A429" t="s">
        <v>822</v>
      </c>
      <c r="B429" s="1">
        <v>41901</v>
      </c>
      <c r="C429" s="1">
        <v>41905</v>
      </c>
      <c r="D429" t="s">
        <v>823</v>
      </c>
      <c r="E429" t="s">
        <v>105</v>
      </c>
      <c r="F429" t="s">
        <v>106</v>
      </c>
      <c r="G429" t="s">
        <v>39</v>
      </c>
      <c r="H429" t="s">
        <v>2655</v>
      </c>
      <c r="I429">
        <v>2249.16</v>
      </c>
      <c r="J429">
        <v>4</v>
      </c>
      <c r="K429">
        <v>0</v>
      </c>
      <c r="L429">
        <v>224.88</v>
      </c>
      <c r="M429" t="s">
        <v>32</v>
      </c>
    </row>
    <row r="430" spans="1:13">
      <c r="A430" t="s">
        <v>824</v>
      </c>
      <c r="B430" s="1">
        <v>41639</v>
      </c>
      <c r="D430" t="s">
        <v>825</v>
      </c>
      <c r="E430" t="s">
        <v>88</v>
      </c>
      <c r="F430" t="s">
        <v>89</v>
      </c>
      <c r="G430" t="s">
        <v>39</v>
      </c>
      <c r="H430" t="s">
        <v>2656</v>
      </c>
      <c r="I430">
        <v>2528.2600000000002</v>
      </c>
      <c r="J430">
        <v>7</v>
      </c>
      <c r="K430" t="s">
        <v>215</v>
      </c>
      <c r="M430" t="s">
        <v>32</v>
      </c>
    </row>
    <row r="431" spans="1:13">
      <c r="B431" s="1">
        <v>42367</v>
      </c>
      <c r="C431" s="1">
        <v>42369</v>
      </c>
      <c r="D431" t="s">
        <v>826</v>
      </c>
      <c r="E431" t="s">
        <v>62</v>
      </c>
      <c r="G431" t="s">
        <v>28</v>
      </c>
      <c r="H431" t="s">
        <v>2661</v>
      </c>
      <c r="I431">
        <v>1461.135</v>
      </c>
      <c r="J431">
        <v>5</v>
      </c>
      <c r="K431">
        <v>0.35</v>
      </c>
      <c r="L431">
        <v>202.18499999999901</v>
      </c>
      <c r="M431" t="s">
        <v>32</v>
      </c>
    </row>
    <row r="432" spans="1:13">
      <c r="A432" t="s">
        <v>827</v>
      </c>
      <c r="B432" s="1">
        <v>41958</v>
      </c>
      <c r="C432" s="1">
        <v>41962</v>
      </c>
      <c r="D432" t="s">
        <v>828</v>
      </c>
      <c r="E432" t="s">
        <v>567</v>
      </c>
      <c r="F432" t="s">
        <v>89</v>
      </c>
      <c r="G432" t="s">
        <v>16</v>
      </c>
      <c r="H432" t="s">
        <v>2661</v>
      </c>
      <c r="I432">
        <v>3045.8399999999901</v>
      </c>
      <c r="K432">
        <v>0</v>
      </c>
      <c r="L432">
        <v>1035.58</v>
      </c>
      <c r="M432" t="s">
        <v>32</v>
      </c>
    </row>
    <row r="433" spans="1:13">
      <c r="A433" t="s">
        <v>829</v>
      </c>
      <c r="B433" s="1">
        <v>41262</v>
      </c>
      <c r="C433" s="1">
        <v>41265</v>
      </c>
      <c r="D433" t="s">
        <v>503</v>
      </c>
      <c r="E433" t="s">
        <v>322</v>
      </c>
      <c r="F433" t="s">
        <v>36</v>
      </c>
      <c r="G433" t="s">
        <v>39</v>
      </c>
      <c r="H433" t="s">
        <v>2658</v>
      </c>
      <c r="I433">
        <v>1103.97</v>
      </c>
      <c r="J433">
        <v>3</v>
      </c>
      <c r="K433">
        <v>0</v>
      </c>
      <c r="L433">
        <v>496.78649999999902</v>
      </c>
      <c r="M433" t="s">
        <v>17</v>
      </c>
    </row>
    <row r="434" spans="1:13">
      <c r="A434" t="s">
        <v>830</v>
      </c>
      <c r="B434" s="1">
        <v>42143</v>
      </c>
      <c r="C434" s="1">
        <v>42145</v>
      </c>
      <c r="D434" t="s">
        <v>503</v>
      </c>
      <c r="E434" t="s">
        <v>35</v>
      </c>
      <c r="F434" t="s">
        <v>38</v>
      </c>
      <c r="G434" t="s">
        <v>16</v>
      </c>
      <c r="H434" t="s">
        <v>2656</v>
      </c>
      <c r="I434">
        <v>344.70400000000001</v>
      </c>
      <c r="J434">
        <v>2</v>
      </c>
      <c r="K434">
        <v>0.2</v>
      </c>
      <c r="L434">
        <v>38.779199999999904</v>
      </c>
      <c r="M434" t="s">
        <v>17</v>
      </c>
    </row>
    <row r="435" spans="1:13">
      <c r="A435" t="s">
        <v>831</v>
      </c>
      <c r="B435" s="1">
        <v>42255</v>
      </c>
      <c r="C435" s="1">
        <v>42258</v>
      </c>
      <c r="D435" t="s">
        <v>832</v>
      </c>
      <c r="E435" t="s">
        <v>239</v>
      </c>
      <c r="F435" t="s">
        <v>132</v>
      </c>
      <c r="G435" t="s">
        <v>28</v>
      </c>
      <c r="H435" t="s">
        <v>2655</v>
      </c>
      <c r="I435">
        <v>2152.9560000000001</v>
      </c>
      <c r="J435">
        <v>8</v>
      </c>
      <c r="K435">
        <v>0.35</v>
      </c>
      <c r="M435" t="s">
        <v>17</v>
      </c>
    </row>
    <row r="436" spans="1:13">
      <c r="A436" t="s">
        <v>833</v>
      </c>
      <c r="B436" s="1">
        <v>41807</v>
      </c>
      <c r="C436" s="1">
        <v>41809</v>
      </c>
      <c r="D436" t="s">
        <v>712</v>
      </c>
      <c r="E436" t="s">
        <v>62</v>
      </c>
      <c r="F436" t="s">
        <v>63</v>
      </c>
      <c r="G436" t="s">
        <v>16</v>
      </c>
      <c r="H436" t="s">
        <v>2654</v>
      </c>
      <c r="I436">
        <v>1244.0999999999999</v>
      </c>
      <c r="J436">
        <v>5</v>
      </c>
      <c r="K436">
        <v>0</v>
      </c>
      <c r="L436">
        <v>447.75</v>
      </c>
      <c r="M436" t="s">
        <v>32</v>
      </c>
    </row>
    <row r="437" spans="1:13">
      <c r="A437" t="s">
        <v>834</v>
      </c>
      <c r="B437" s="1">
        <v>41250</v>
      </c>
      <c r="C437" s="1">
        <v>41250</v>
      </c>
      <c r="D437" t="s">
        <v>835</v>
      </c>
      <c r="F437" t="s">
        <v>89</v>
      </c>
      <c r="G437" t="s">
        <v>28</v>
      </c>
      <c r="H437" t="s">
        <v>2663</v>
      </c>
      <c r="I437">
        <v>2226.8159999999998</v>
      </c>
      <c r="J437">
        <v>9</v>
      </c>
      <c r="K437">
        <v>0.2</v>
      </c>
      <c r="L437">
        <v>500.976</v>
      </c>
      <c r="M437" t="s">
        <v>32</v>
      </c>
    </row>
    <row r="438" spans="1:13">
      <c r="A438" t="s">
        <v>836</v>
      </c>
      <c r="B438" s="1">
        <v>42266</v>
      </c>
      <c r="C438" s="1">
        <v>42268</v>
      </c>
      <c r="D438" t="s">
        <v>837</v>
      </c>
      <c r="E438" t="s">
        <v>14</v>
      </c>
      <c r="F438" t="s">
        <v>15</v>
      </c>
      <c r="G438" t="s">
        <v>28</v>
      </c>
      <c r="H438" t="s">
        <v>2654</v>
      </c>
      <c r="I438">
        <v>1586.41199999999</v>
      </c>
      <c r="J438">
        <v>4</v>
      </c>
      <c r="K438">
        <v>0.1</v>
      </c>
      <c r="L438">
        <v>17.531999999999901</v>
      </c>
      <c r="M438" t="s">
        <v>32</v>
      </c>
    </row>
    <row r="439" spans="1:13">
      <c r="A439" t="s">
        <v>838</v>
      </c>
      <c r="B439" s="1">
        <v>41908</v>
      </c>
      <c r="C439" s="1">
        <v>41913</v>
      </c>
      <c r="D439" t="s">
        <v>503</v>
      </c>
      <c r="E439" t="s">
        <v>35</v>
      </c>
      <c r="F439" t="s">
        <v>38</v>
      </c>
      <c r="G439" t="s">
        <v>28</v>
      </c>
      <c r="H439" t="s">
        <v>2655</v>
      </c>
      <c r="I439">
        <v>393.16500000000002</v>
      </c>
      <c r="K439">
        <v>0.5</v>
      </c>
      <c r="L439">
        <v>-204.44579999999999</v>
      </c>
      <c r="M439" t="s">
        <v>17</v>
      </c>
    </row>
    <row r="440" spans="1:13">
      <c r="A440" t="s">
        <v>839</v>
      </c>
      <c r="B440" s="1">
        <v>42045</v>
      </c>
      <c r="C440" s="1">
        <v>42049</v>
      </c>
      <c r="E440" t="s">
        <v>840</v>
      </c>
      <c r="F440" t="s">
        <v>49</v>
      </c>
      <c r="G440" t="s">
        <v>39</v>
      </c>
      <c r="H440" t="s">
        <v>2663</v>
      </c>
      <c r="I440">
        <v>3425.4</v>
      </c>
      <c r="J440">
        <v>6</v>
      </c>
      <c r="K440">
        <v>0</v>
      </c>
      <c r="L440">
        <v>1233</v>
      </c>
      <c r="M440" t="s">
        <v>32</v>
      </c>
    </row>
    <row r="441" spans="1:13">
      <c r="B441" s="1">
        <v>42043</v>
      </c>
      <c r="D441" t="s">
        <v>841</v>
      </c>
      <c r="E441" t="s">
        <v>186</v>
      </c>
      <c r="F441" t="s">
        <v>68</v>
      </c>
      <c r="G441" t="s">
        <v>154</v>
      </c>
      <c r="H441" t="s">
        <v>2662</v>
      </c>
      <c r="I441">
        <v>1136.94</v>
      </c>
      <c r="J441">
        <v>2</v>
      </c>
      <c r="K441">
        <v>0</v>
      </c>
      <c r="L441">
        <v>568.43999999999903</v>
      </c>
      <c r="M441" t="s">
        <v>32</v>
      </c>
    </row>
    <row r="442" spans="1:13">
      <c r="A442" t="s">
        <v>842</v>
      </c>
      <c r="B442" s="1">
        <v>41856</v>
      </c>
      <c r="C442" s="1">
        <v>41858</v>
      </c>
      <c r="D442" t="s">
        <v>843</v>
      </c>
      <c r="E442" t="s">
        <v>131</v>
      </c>
      <c r="F442" t="s">
        <v>132</v>
      </c>
      <c r="G442" t="s">
        <v>28</v>
      </c>
      <c r="H442" t="s">
        <v>2661</v>
      </c>
      <c r="I442">
        <v>677.63519999999903</v>
      </c>
      <c r="J442">
        <v>2</v>
      </c>
      <c r="L442">
        <v>211.2552</v>
      </c>
      <c r="M442" t="s">
        <v>23</v>
      </c>
    </row>
    <row r="443" spans="1:13">
      <c r="A443" t="s">
        <v>844</v>
      </c>
      <c r="B443" s="1">
        <v>42109</v>
      </c>
      <c r="C443" s="1">
        <v>42112</v>
      </c>
      <c r="D443" t="s">
        <v>729</v>
      </c>
      <c r="E443" t="s">
        <v>778</v>
      </c>
      <c r="F443" t="s">
        <v>106</v>
      </c>
      <c r="G443" t="s">
        <v>28</v>
      </c>
      <c r="H443" t="s">
        <v>2661</v>
      </c>
      <c r="I443">
        <v>731.34</v>
      </c>
      <c r="J443">
        <v>2</v>
      </c>
      <c r="K443">
        <v>0</v>
      </c>
      <c r="L443">
        <v>80.400000000000006</v>
      </c>
      <c r="M443" t="s">
        <v>23</v>
      </c>
    </row>
    <row r="444" spans="1:13">
      <c r="A444" t="s">
        <v>845</v>
      </c>
      <c r="B444" s="1">
        <v>41585</v>
      </c>
      <c r="C444" s="1">
        <v>41590</v>
      </c>
      <c r="D444" t="s">
        <v>503</v>
      </c>
      <c r="E444" t="s">
        <v>35</v>
      </c>
      <c r="F444" t="s">
        <v>36</v>
      </c>
      <c r="G444" t="s">
        <v>16</v>
      </c>
      <c r="H444" t="s">
        <v>2663</v>
      </c>
      <c r="I444">
        <v>287.909999999999</v>
      </c>
      <c r="J444">
        <v>3</v>
      </c>
      <c r="K444">
        <v>0.4</v>
      </c>
      <c r="L444">
        <v>33.589499999999902</v>
      </c>
      <c r="M444" t="s">
        <v>17</v>
      </c>
    </row>
    <row r="445" spans="1:13">
      <c r="A445" t="s">
        <v>846</v>
      </c>
      <c r="B445" s="1">
        <v>42129</v>
      </c>
      <c r="C445" s="1">
        <v>42131</v>
      </c>
      <c r="D445" t="s">
        <v>847</v>
      </c>
      <c r="E445" t="s">
        <v>105</v>
      </c>
      <c r="F445" t="s">
        <v>45</v>
      </c>
      <c r="G445" t="s">
        <v>16</v>
      </c>
      <c r="H445" t="s">
        <v>2663</v>
      </c>
      <c r="I445">
        <v>1272.72</v>
      </c>
      <c r="J445">
        <v>4</v>
      </c>
      <c r="K445">
        <v>0</v>
      </c>
      <c r="L445">
        <v>534.48</v>
      </c>
      <c r="M445" t="s">
        <v>32</v>
      </c>
    </row>
    <row r="446" spans="1:13">
      <c r="A446" t="s">
        <v>848</v>
      </c>
      <c r="B446" s="1">
        <v>41947</v>
      </c>
      <c r="C446" s="1">
        <v>41949</v>
      </c>
      <c r="D446" t="s">
        <v>849</v>
      </c>
      <c r="E446" t="s">
        <v>67</v>
      </c>
      <c r="F446" t="s">
        <v>68</v>
      </c>
      <c r="G446" t="s">
        <v>39</v>
      </c>
      <c r="H446" t="s">
        <v>2656</v>
      </c>
      <c r="I446">
        <v>1856.34</v>
      </c>
      <c r="J446">
        <v>6</v>
      </c>
      <c r="K446">
        <v>0</v>
      </c>
      <c r="M446" t="s">
        <v>23</v>
      </c>
    </row>
    <row r="447" spans="1:13">
      <c r="A447" t="s">
        <v>850</v>
      </c>
      <c r="B447" s="1">
        <v>42165</v>
      </c>
      <c r="C447" s="1">
        <v>42167</v>
      </c>
      <c r="D447" t="s">
        <v>259</v>
      </c>
      <c r="E447" t="s">
        <v>186</v>
      </c>
      <c r="F447" t="s">
        <v>68</v>
      </c>
      <c r="G447" t="s">
        <v>16</v>
      </c>
      <c r="H447" t="s">
        <v>2657</v>
      </c>
      <c r="I447">
        <v>2295</v>
      </c>
      <c r="J447">
        <v>4</v>
      </c>
      <c r="K447">
        <v>0.1</v>
      </c>
      <c r="M447" t="s">
        <v>17</v>
      </c>
    </row>
    <row r="448" spans="1:13">
      <c r="A448" t="s">
        <v>851</v>
      </c>
      <c r="B448" s="1">
        <v>41517</v>
      </c>
      <c r="C448" s="1">
        <v>41519</v>
      </c>
      <c r="D448" t="s">
        <v>852</v>
      </c>
      <c r="E448" t="s">
        <v>62</v>
      </c>
      <c r="F448" t="s">
        <v>63</v>
      </c>
      <c r="G448" t="s">
        <v>16</v>
      </c>
      <c r="H448" t="s">
        <v>2661</v>
      </c>
      <c r="I448">
        <v>1622.1824999999999</v>
      </c>
      <c r="J448" t="s">
        <v>55</v>
      </c>
      <c r="K448">
        <v>0.15</v>
      </c>
      <c r="L448">
        <v>324.38249999999903</v>
      </c>
      <c r="M448" t="s">
        <v>23</v>
      </c>
    </row>
    <row r="449" spans="1:13">
      <c r="A449" t="s">
        <v>853</v>
      </c>
      <c r="B449" s="1">
        <v>41810</v>
      </c>
      <c r="C449" s="1">
        <v>41812</v>
      </c>
      <c r="D449" t="s">
        <v>854</v>
      </c>
      <c r="E449" t="s">
        <v>855</v>
      </c>
      <c r="F449" t="s">
        <v>81</v>
      </c>
      <c r="G449" t="s">
        <v>16</v>
      </c>
      <c r="H449" t="s">
        <v>2656</v>
      </c>
      <c r="I449">
        <v>1063.44</v>
      </c>
      <c r="J449">
        <v>7</v>
      </c>
      <c r="K449">
        <v>0</v>
      </c>
      <c r="L449">
        <v>361.41</v>
      </c>
      <c r="M449" t="s">
        <v>23</v>
      </c>
    </row>
    <row r="450" spans="1:13">
      <c r="A450" t="s">
        <v>856</v>
      </c>
      <c r="B450" s="1">
        <v>42239</v>
      </c>
      <c r="D450" t="s">
        <v>857</v>
      </c>
      <c r="E450" t="s">
        <v>631</v>
      </c>
      <c r="F450" t="s">
        <v>78</v>
      </c>
      <c r="G450" t="s">
        <v>16</v>
      </c>
      <c r="H450" t="s">
        <v>2656</v>
      </c>
      <c r="I450">
        <v>3449.88</v>
      </c>
      <c r="J450">
        <v>14</v>
      </c>
      <c r="K450">
        <v>0</v>
      </c>
      <c r="M450" t="s">
        <v>17</v>
      </c>
    </row>
    <row r="451" spans="1:13">
      <c r="A451" t="s">
        <v>858</v>
      </c>
      <c r="B451" s="1">
        <v>41422</v>
      </c>
      <c r="C451" s="1">
        <v>41423</v>
      </c>
      <c r="D451" t="s">
        <v>859</v>
      </c>
      <c r="E451" t="s">
        <v>88</v>
      </c>
      <c r="F451" t="s">
        <v>89</v>
      </c>
      <c r="G451" t="s">
        <v>28</v>
      </c>
      <c r="H451" t="s">
        <v>2656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23</v>
      </c>
    </row>
    <row r="452" spans="1:13">
      <c r="A452" t="s">
        <v>860</v>
      </c>
      <c r="B452" s="1">
        <v>42143</v>
      </c>
      <c r="C452" t="s">
        <v>861</v>
      </c>
      <c r="D452" t="s">
        <v>394</v>
      </c>
      <c r="E452" t="s">
        <v>862</v>
      </c>
      <c r="F452" t="s">
        <v>22</v>
      </c>
      <c r="G452" t="s">
        <v>16</v>
      </c>
      <c r="H452" t="s">
        <v>2654</v>
      </c>
      <c r="I452">
        <v>1429.4399999999901</v>
      </c>
      <c r="J452">
        <v>4</v>
      </c>
      <c r="K452">
        <v>0</v>
      </c>
      <c r="L452">
        <v>471.599999999999</v>
      </c>
      <c r="M452" t="s">
        <v>23</v>
      </c>
    </row>
    <row r="453" spans="1:13">
      <c r="A453" t="s">
        <v>863</v>
      </c>
      <c r="C453" s="1">
        <v>41759</v>
      </c>
      <c r="D453" t="s">
        <v>864</v>
      </c>
      <c r="E453" t="s">
        <v>865</v>
      </c>
      <c r="F453" t="s">
        <v>426</v>
      </c>
      <c r="G453" t="s">
        <v>28</v>
      </c>
      <c r="H453" t="s">
        <v>2663</v>
      </c>
      <c r="I453">
        <v>1057.8</v>
      </c>
      <c r="J453">
        <v>2</v>
      </c>
      <c r="K453">
        <v>0</v>
      </c>
      <c r="L453">
        <v>158.63999999999999</v>
      </c>
      <c r="M453" t="s">
        <v>23</v>
      </c>
    </row>
    <row r="454" spans="1:13">
      <c r="A454" t="s">
        <v>724</v>
      </c>
      <c r="B454" s="1">
        <v>41996</v>
      </c>
      <c r="C454" s="1">
        <v>41998</v>
      </c>
      <c r="D454" t="s">
        <v>136</v>
      </c>
      <c r="E454" t="s">
        <v>58</v>
      </c>
      <c r="F454" t="s">
        <v>81</v>
      </c>
      <c r="G454" t="s">
        <v>28</v>
      </c>
      <c r="H454" t="s">
        <v>2657</v>
      </c>
      <c r="I454">
        <v>1092.96</v>
      </c>
      <c r="K454">
        <v>0</v>
      </c>
      <c r="L454">
        <v>393.39</v>
      </c>
      <c r="M454" t="s">
        <v>23</v>
      </c>
    </row>
    <row r="455" spans="1:13">
      <c r="A455" t="s">
        <v>866</v>
      </c>
      <c r="B455" s="1">
        <v>42289</v>
      </c>
      <c r="D455" t="s">
        <v>867</v>
      </c>
      <c r="E455" t="s">
        <v>558</v>
      </c>
      <c r="F455" t="s">
        <v>111</v>
      </c>
      <c r="G455" t="s">
        <v>28</v>
      </c>
      <c r="H455" t="s">
        <v>2658</v>
      </c>
      <c r="I455">
        <v>1483</v>
      </c>
      <c r="J455">
        <v>5</v>
      </c>
      <c r="K455">
        <v>0</v>
      </c>
      <c r="L455">
        <v>741.5</v>
      </c>
      <c r="M455" t="s">
        <v>32</v>
      </c>
    </row>
    <row r="456" spans="1:13">
      <c r="A456" t="s">
        <v>868</v>
      </c>
      <c r="B456" s="1">
        <v>42109</v>
      </c>
      <c r="C456" s="1">
        <v>42111</v>
      </c>
      <c r="D456" t="s">
        <v>869</v>
      </c>
      <c r="E456" t="s">
        <v>265</v>
      </c>
      <c r="F456" t="s">
        <v>53</v>
      </c>
      <c r="G456" t="s">
        <v>39</v>
      </c>
      <c r="H456" t="s">
        <v>2663</v>
      </c>
      <c r="I456" t="s">
        <v>870</v>
      </c>
      <c r="J456">
        <v>5</v>
      </c>
      <c r="K456">
        <v>0</v>
      </c>
      <c r="L456">
        <v>304.7</v>
      </c>
      <c r="M456" t="s">
        <v>23</v>
      </c>
    </row>
    <row r="457" spans="1:13">
      <c r="A457" t="s">
        <v>871</v>
      </c>
      <c r="B457" s="1">
        <v>42336</v>
      </c>
      <c r="C457" s="1">
        <v>42341</v>
      </c>
      <c r="D457" t="s">
        <v>872</v>
      </c>
      <c r="E457" t="s">
        <v>20</v>
      </c>
      <c r="F457" t="s">
        <v>63</v>
      </c>
      <c r="G457" t="s">
        <v>28</v>
      </c>
      <c r="H457" t="s">
        <v>2658</v>
      </c>
      <c r="I457">
        <v>2455.6770000000001</v>
      </c>
      <c r="J457">
        <v>7</v>
      </c>
      <c r="K457">
        <v>0.1</v>
      </c>
      <c r="L457">
        <v>-191.16300000000001</v>
      </c>
      <c r="M457" t="s">
        <v>873</v>
      </c>
    </row>
    <row r="458" spans="1:13">
      <c r="A458" t="s">
        <v>874</v>
      </c>
      <c r="B458" s="1">
        <v>41405</v>
      </c>
      <c r="C458" s="1">
        <v>41407</v>
      </c>
      <c r="D458" t="s">
        <v>875</v>
      </c>
      <c r="F458" t="s">
        <v>49</v>
      </c>
      <c r="G458" t="s">
        <v>16</v>
      </c>
      <c r="H458" t="s">
        <v>2661</v>
      </c>
      <c r="I458">
        <v>1900.44</v>
      </c>
      <c r="J458">
        <v>6</v>
      </c>
      <c r="K458">
        <v>0</v>
      </c>
      <c r="L458">
        <v>417.96</v>
      </c>
      <c r="M458" t="s">
        <v>32</v>
      </c>
    </row>
    <row r="459" spans="1:13">
      <c r="A459" t="s">
        <v>876</v>
      </c>
      <c r="B459" s="1">
        <v>41808</v>
      </c>
      <c r="C459" s="1">
        <v>41814</v>
      </c>
      <c r="D459" t="s">
        <v>877</v>
      </c>
      <c r="E459" t="s">
        <v>310</v>
      </c>
      <c r="F459" t="s">
        <v>132</v>
      </c>
      <c r="G459" t="s">
        <v>16</v>
      </c>
      <c r="H459" t="s">
        <v>2663</v>
      </c>
      <c r="I459">
        <v>3712.59</v>
      </c>
      <c r="J459">
        <v>7</v>
      </c>
      <c r="K459">
        <v>0.17</v>
      </c>
      <c r="L459">
        <v>849.87</v>
      </c>
      <c r="M459" t="s">
        <v>17</v>
      </c>
    </row>
    <row r="460" spans="1:13">
      <c r="A460" t="s">
        <v>878</v>
      </c>
      <c r="B460" s="1">
        <v>41398</v>
      </c>
      <c r="C460" s="1">
        <v>41400</v>
      </c>
      <c r="D460" t="s">
        <v>236</v>
      </c>
      <c r="E460" t="s">
        <v>879</v>
      </c>
      <c r="F460" t="s">
        <v>106</v>
      </c>
      <c r="G460" t="s">
        <v>16</v>
      </c>
      <c r="H460" t="s">
        <v>2657</v>
      </c>
      <c r="I460">
        <v>2372.2199999999998</v>
      </c>
      <c r="J460">
        <v>9</v>
      </c>
      <c r="K460">
        <v>0</v>
      </c>
      <c r="L460">
        <v>0</v>
      </c>
      <c r="M460" t="s">
        <v>32</v>
      </c>
    </row>
    <row r="461" spans="1:13">
      <c r="A461" t="s">
        <v>880</v>
      </c>
      <c r="B461" s="1">
        <v>41223</v>
      </c>
      <c r="C461" s="1">
        <v>41227</v>
      </c>
      <c r="D461" t="s">
        <v>881</v>
      </c>
      <c r="E461" t="s">
        <v>58</v>
      </c>
      <c r="F461" t="s">
        <v>81</v>
      </c>
      <c r="G461" t="s">
        <v>16</v>
      </c>
      <c r="H461" t="s">
        <v>2656</v>
      </c>
      <c r="I461">
        <v>5725.35</v>
      </c>
      <c r="J461">
        <v>9</v>
      </c>
      <c r="L461">
        <v>1602.98999999999</v>
      </c>
      <c r="M461" t="s">
        <v>17</v>
      </c>
    </row>
    <row r="462" spans="1:13">
      <c r="A462" t="s">
        <v>882</v>
      </c>
      <c r="B462" s="1">
        <v>42362</v>
      </c>
      <c r="C462" s="1">
        <v>42362</v>
      </c>
      <c r="D462" t="s">
        <v>883</v>
      </c>
      <c r="E462" t="s">
        <v>67</v>
      </c>
      <c r="F462" t="s">
        <v>68</v>
      </c>
      <c r="G462" t="s">
        <v>28</v>
      </c>
      <c r="H462" t="s">
        <v>2657</v>
      </c>
      <c r="J462">
        <v>7</v>
      </c>
      <c r="K462">
        <v>0</v>
      </c>
      <c r="L462">
        <v>842.51999999999896</v>
      </c>
      <c r="M462" t="s">
        <v>17</v>
      </c>
    </row>
    <row r="463" spans="1:13">
      <c r="A463" t="s">
        <v>884</v>
      </c>
      <c r="C463" s="1">
        <v>42143</v>
      </c>
      <c r="D463" t="s">
        <v>406</v>
      </c>
      <c r="E463" t="s">
        <v>88</v>
      </c>
      <c r="F463" t="s">
        <v>89</v>
      </c>
      <c r="G463" t="s">
        <v>39</v>
      </c>
      <c r="H463" t="s">
        <v>2656</v>
      </c>
      <c r="I463">
        <v>2003.51999999999</v>
      </c>
      <c r="J463">
        <v>6</v>
      </c>
      <c r="K463">
        <v>0</v>
      </c>
      <c r="L463">
        <v>861.48</v>
      </c>
      <c r="M463" t="s">
        <v>32</v>
      </c>
    </row>
    <row r="464" spans="1:13">
      <c r="A464" t="s">
        <v>885</v>
      </c>
      <c r="B464" s="1">
        <v>42347</v>
      </c>
      <c r="C464" s="1">
        <v>42350</v>
      </c>
      <c r="D464" t="s">
        <v>886</v>
      </c>
      <c r="E464" t="s">
        <v>887</v>
      </c>
      <c r="F464" t="s">
        <v>78</v>
      </c>
      <c r="G464" t="s">
        <v>16</v>
      </c>
      <c r="H464" t="s">
        <v>2663</v>
      </c>
      <c r="I464">
        <v>1188.3599999999999</v>
      </c>
      <c r="J464">
        <v>4</v>
      </c>
      <c r="K464">
        <v>0</v>
      </c>
      <c r="L464">
        <v>95.039999999999907</v>
      </c>
      <c r="M464" t="s">
        <v>32</v>
      </c>
    </row>
    <row r="465" spans="1:13">
      <c r="A465" t="s">
        <v>888</v>
      </c>
      <c r="B465" s="1">
        <v>41249</v>
      </c>
      <c r="C465" s="1">
        <v>41253</v>
      </c>
      <c r="D465" t="s">
        <v>889</v>
      </c>
      <c r="E465" t="s">
        <v>14</v>
      </c>
      <c r="F465" t="s">
        <v>15</v>
      </c>
      <c r="G465" t="s">
        <v>16</v>
      </c>
      <c r="H465" t="s">
        <v>2661</v>
      </c>
      <c r="I465">
        <v>2875.0949999999998</v>
      </c>
      <c r="J465">
        <v>5</v>
      </c>
      <c r="K465">
        <v>0.1</v>
      </c>
      <c r="L465">
        <v>511.094999999999</v>
      </c>
      <c r="M465" t="s">
        <v>32</v>
      </c>
    </row>
    <row r="466" spans="1:13">
      <c r="A466" t="s">
        <v>890</v>
      </c>
      <c r="B466" s="1">
        <v>41892</v>
      </c>
      <c r="C466" s="1">
        <v>41897</v>
      </c>
      <c r="D466" t="s">
        <v>226</v>
      </c>
      <c r="E466" t="s">
        <v>891</v>
      </c>
      <c r="F466" t="s">
        <v>98</v>
      </c>
      <c r="G466" t="s">
        <v>28</v>
      </c>
      <c r="H466" t="s">
        <v>2657</v>
      </c>
      <c r="I466" t="s">
        <v>152</v>
      </c>
      <c r="J466">
        <v>5</v>
      </c>
      <c r="K466">
        <v>0</v>
      </c>
      <c r="L466">
        <v>952.2</v>
      </c>
      <c r="M466" t="s">
        <v>17</v>
      </c>
    </row>
    <row r="467" spans="1:13">
      <c r="B467" s="1">
        <v>40970</v>
      </c>
      <c r="C467" s="1">
        <v>40972</v>
      </c>
      <c r="D467" t="s">
        <v>892</v>
      </c>
      <c r="E467" t="s">
        <v>893</v>
      </c>
      <c r="F467" t="s">
        <v>68</v>
      </c>
      <c r="G467" t="s">
        <v>16</v>
      </c>
      <c r="H467" t="s">
        <v>2656</v>
      </c>
      <c r="I467">
        <v>1619.1</v>
      </c>
      <c r="J467">
        <v>10</v>
      </c>
      <c r="K467">
        <v>0</v>
      </c>
      <c r="L467">
        <v>258.89999999999998</v>
      </c>
      <c r="M467" t="s">
        <v>32</v>
      </c>
    </row>
    <row r="468" spans="1:13">
      <c r="A468" t="s">
        <v>894</v>
      </c>
      <c r="B468" s="1">
        <v>41275</v>
      </c>
      <c r="C468" s="1">
        <v>41395</v>
      </c>
      <c r="E468" t="s">
        <v>131</v>
      </c>
      <c r="F468" t="s">
        <v>132</v>
      </c>
      <c r="G468" t="s">
        <v>39</v>
      </c>
      <c r="H468" t="s">
        <v>2655</v>
      </c>
      <c r="I468">
        <v>2821.7177999999999</v>
      </c>
      <c r="J468">
        <v>6</v>
      </c>
      <c r="L468">
        <v>339.87779999999998</v>
      </c>
      <c r="M468" t="s">
        <v>32</v>
      </c>
    </row>
    <row r="469" spans="1:13">
      <c r="A469" t="s">
        <v>895</v>
      </c>
      <c r="B469" s="1">
        <v>41577</v>
      </c>
      <c r="C469" s="1">
        <v>41581</v>
      </c>
      <c r="D469" t="s">
        <v>896</v>
      </c>
      <c r="E469" t="s">
        <v>131</v>
      </c>
      <c r="F469" t="s">
        <v>132</v>
      </c>
      <c r="G469" t="s">
        <v>16</v>
      </c>
      <c r="H469" t="s">
        <v>2662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17</v>
      </c>
    </row>
    <row r="470" spans="1:13">
      <c r="A470" t="s">
        <v>897</v>
      </c>
      <c r="B470" s="1">
        <v>41962</v>
      </c>
      <c r="C470" s="1">
        <v>41962</v>
      </c>
      <c r="D470" t="s">
        <v>390</v>
      </c>
      <c r="E470" t="s">
        <v>898</v>
      </c>
      <c r="F470" t="s">
        <v>132</v>
      </c>
      <c r="G470" t="s">
        <v>39</v>
      </c>
      <c r="H470" t="s">
        <v>2661</v>
      </c>
      <c r="I470">
        <v>1798.6763999999901</v>
      </c>
      <c r="J470">
        <v>4</v>
      </c>
      <c r="K470">
        <v>0.17</v>
      </c>
      <c r="L470">
        <v>86.636399999999895</v>
      </c>
      <c r="M470" t="s">
        <v>32</v>
      </c>
    </row>
    <row r="471" spans="1:13">
      <c r="B471" s="1">
        <v>41866</v>
      </c>
      <c r="C471" s="1">
        <v>41868</v>
      </c>
      <c r="D471" t="s">
        <v>899</v>
      </c>
      <c r="E471" t="s">
        <v>452</v>
      </c>
      <c r="F471" t="s">
        <v>380</v>
      </c>
      <c r="G471" t="s">
        <v>16</v>
      </c>
      <c r="H471" t="s">
        <v>2657</v>
      </c>
      <c r="I471">
        <v>2544.84</v>
      </c>
      <c r="J471">
        <v>4</v>
      </c>
      <c r="K471">
        <v>0</v>
      </c>
      <c r="L471">
        <v>712.43999999999903</v>
      </c>
      <c r="M471" t="s">
        <v>17</v>
      </c>
    </row>
    <row r="472" spans="1:13">
      <c r="A472" t="s">
        <v>900</v>
      </c>
      <c r="B472" s="1">
        <v>41798</v>
      </c>
      <c r="C472" s="1">
        <v>41798</v>
      </c>
      <c r="D472" t="s">
        <v>881</v>
      </c>
      <c r="F472" t="s">
        <v>81</v>
      </c>
      <c r="G472" t="s">
        <v>28</v>
      </c>
      <c r="H472" t="s">
        <v>2661</v>
      </c>
      <c r="I472">
        <v>951.719999999999</v>
      </c>
      <c r="J472">
        <v>2</v>
      </c>
      <c r="K472">
        <v>0</v>
      </c>
      <c r="L472">
        <v>228.36</v>
      </c>
      <c r="M472" t="s">
        <v>32</v>
      </c>
    </row>
    <row r="473" spans="1:13">
      <c r="A473" t="s">
        <v>901</v>
      </c>
      <c r="B473" s="1">
        <v>42279</v>
      </c>
      <c r="C473" s="1">
        <v>42283</v>
      </c>
      <c r="D473" t="s">
        <v>244</v>
      </c>
      <c r="E473" t="s">
        <v>173</v>
      </c>
      <c r="F473" t="s">
        <v>106</v>
      </c>
      <c r="G473" t="s">
        <v>16</v>
      </c>
      <c r="H473" t="s">
        <v>2656</v>
      </c>
      <c r="I473">
        <v>2575.92</v>
      </c>
      <c r="J473">
        <v>4</v>
      </c>
      <c r="K473">
        <v>0</v>
      </c>
      <c r="L473">
        <v>978.83999999999901</v>
      </c>
      <c r="M473" t="s">
        <v>32</v>
      </c>
    </row>
    <row r="474" spans="1:13">
      <c r="A474" t="s">
        <v>902</v>
      </c>
      <c r="B474" s="1">
        <v>42062</v>
      </c>
      <c r="C474" s="1">
        <v>42066</v>
      </c>
      <c r="D474" t="s">
        <v>571</v>
      </c>
      <c r="E474" t="s">
        <v>84</v>
      </c>
      <c r="F474" t="s">
        <v>85</v>
      </c>
      <c r="G474" t="s">
        <v>39</v>
      </c>
      <c r="H474" t="s">
        <v>2655</v>
      </c>
      <c r="I474">
        <v>1699.83</v>
      </c>
      <c r="J474">
        <v>3</v>
      </c>
      <c r="K474">
        <v>0</v>
      </c>
      <c r="L474">
        <v>84.96</v>
      </c>
      <c r="M474" t="s">
        <v>32</v>
      </c>
    </row>
    <row r="475" spans="1:13">
      <c r="A475" t="s">
        <v>903</v>
      </c>
      <c r="B475" s="1">
        <v>41943</v>
      </c>
      <c r="C475" t="s">
        <v>904</v>
      </c>
      <c r="D475" t="s">
        <v>905</v>
      </c>
      <c r="E475" t="s">
        <v>14</v>
      </c>
      <c r="F475" t="s">
        <v>15</v>
      </c>
      <c r="G475" t="s">
        <v>28</v>
      </c>
      <c r="H475" t="s">
        <v>2656</v>
      </c>
      <c r="I475">
        <v>2634.5519999999901</v>
      </c>
      <c r="J475">
        <v>8</v>
      </c>
      <c r="K475">
        <v>0.1</v>
      </c>
      <c r="L475">
        <v>116.952</v>
      </c>
      <c r="M475" t="s">
        <v>17</v>
      </c>
    </row>
    <row r="476" spans="1:13">
      <c r="A476" t="s">
        <v>906</v>
      </c>
      <c r="B476" s="1">
        <v>41991</v>
      </c>
      <c r="C476" s="1">
        <v>41998</v>
      </c>
      <c r="D476" t="s">
        <v>907</v>
      </c>
      <c r="E476" t="s">
        <v>131</v>
      </c>
      <c r="F476" t="s">
        <v>132</v>
      </c>
      <c r="G476" t="s">
        <v>28</v>
      </c>
      <c r="H476" t="s">
        <v>2661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17</v>
      </c>
    </row>
    <row r="477" spans="1:13">
      <c r="A477" t="s">
        <v>908</v>
      </c>
      <c r="B477" s="1">
        <v>42133</v>
      </c>
      <c r="C477" s="1">
        <v>42139</v>
      </c>
      <c r="D477" t="s">
        <v>849</v>
      </c>
      <c r="E477" t="s">
        <v>105</v>
      </c>
      <c r="F477" t="s">
        <v>158</v>
      </c>
      <c r="G477" t="s">
        <v>28</v>
      </c>
      <c r="H477" t="s">
        <v>2663</v>
      </c>
      <c r="I477">
        <v>4298.8500000000004</v>
      </c>
      <c r="J477">
        <v>5</v>
      </c>
      <c r="K477">
        <v>0</v>
      </c>
      <c r="L477">
        <v>300.89999999999998</v>
      </c>
      <c r="M477" t="s">
        <v>65</v>
      </c>
    </row>
    <row r="478" spans="1:13">
      <c r="B478" s="1">
        <v>42189</v>
      </c>
      <c r="C478" s="1">
        <v>42193</v>
      </c>
      <c r="D478" t="s">
        <v>739</v>
      </c>
      <c r="E478" t="s">
        <v>58</v>
      </c>
      <c r="F478" t="s">
        <v>81</v>
      </c>
      <c r="G478" t="s">
        <v>39</v>
      </c>
      <c r="H478" t="s">
        <v>2663</v>
      </c>
      <c r="I478">
        <v>3417.48</v>
      </c>
      <c r="J478">
        <v>6</v>
      </c>
      <c r="K478">
        <v>0</v>
      </c>
      <c r="L478">
        <v>854.28</v>
      </c>
      <c r="M478" t="s">
        <v>17</v>
      </c>
    </row>
    <row r="479" spans="1:13">
      <c r="A479" t="s">
        <v>909</v>
      </c>
      <c r="B479" s="1">
        <v>41411</v>
      </c>
      <c r="C479" s="1">
        <v>41415</v>
      </c>
      <c r="D479" t="s">
        <v>104</v>
      </c>
      <c r="E479" t="s">
        <v>186</v>
      </c>
      <c r="F479" t="s">
        <v>68</v>
      </c>
      <c r="G479" t="s">
        <v>39</v>
      </c>
      <c r="H479" t="s">
        <v>2658</v>
      </c>
      <c r="I479">
        <v>2080.3199999999902</v>
      </c>
      <c r="J479">
        <v>4</v>
      </c>
      <c r="K479">
        <v>0</v>
      </c>
      <c r="L479">
        <v>561.599999999999</v>
      </c>
      <c r="M479" t="s">
        <v>32</v>
      </c>
    </row>
    <row r="480" spans="1:13">
      <c r="A480" t="s">
        <v>910</v>
      </c>
      <c r="B480" s="1">
        <v>41123</v>
      </c>
      <c r="C480" s="1">
        <v>41126</v>
      </c>
      <c r="D480" t="s">
        <v>273</v>
      </c>
      <c r="E480" t="s">
        <v>105</v>
      </c>
      <c r="F480" t="s">
        <v>106</v>
      </c>
      <c r="G480" t="s">
        <v>16</v>
      </c>
      <c r="H480" t="s">
        <v>2661</v>
      </c>
      <c r="I480" t="s">
        <v>911</v>
      </c>
      <c r="J480">
        <v>5</v>
      </c>
      <c r="K480">
        <v>0</v>
      </c>
      <c r="L480">
        <v>319.349999999999</v>
      </c>
      <c r="M480" t="s">
        <v>23</v>
      </c>
    </row>
    <row r="481" spans="1:13">
      <c r="A481" t="s">
        <v>912</v>
      </c>
      <c r="B481" s="1">
        <v>42267</v>
      </c>
      <c r="C481" s="1">
        <v>42273</v>
      </c>
      <c r="D481" t="s">
        <v>503</v>
      </c>
      <c r="E481" t="s">
        <v>35</v>
      </c>
      <c r="F481" t="s">
        <v>38</v>
      </c>
      <c r="G481" t="s">
        <v>16</v>
      </c>
      <c r="H481" t="s">
        <v>2661</v>
      </c>
      <c r="I481">
        <v>471.92</v>
      </c>
      <c r="K481">
        <v>0.2</v>
      </c>
      <c r="L481">
        <v>29.495000000000001</v>
      </c>
      <c r="M481" t="s">
        <v>65</v>
      </c>
    </row>
    <row r="482" spans="1:13">
      <c r="A482" t="s">
        <v>913</v>
      </c>
      <c r="B482" s="1">
        <v>41684</v>
      </c>
      <c r="C482" s="1">
        <v>41686</v>
      </c>
      <c r="D482" t="s">
        <v>914</v>
      </c>
      <c r="E482" t="s">
        <v>915</v>
      </c>
      <c r="F482" t="s">
        <v>121</v>
      </c>
      <c r="G482" t="s">
        <v>39</v>
      </c>
      <c r="H482" t="s">
        <v>2656</v>
      </c>
      <c r="I482">
        <v>1288.8</v>
      </c>
      <c r="J482" t="s">
        <v>55</v>
      </c>
      <c r="K482">
        <v>0</v>
      </c>
      <c r="L482">
        <v>90</v>
      </c>
      <c r="M482" t="s">
        <v>396</v>
      </c>
    </row>
    <row r="483" spans="1:13">
      <c r="A483" t="s">
        <v>916</v>
      </c>
      <c r="B483" s="1">
        <v>41417</v>
      </c>
      <c r="C483" s="1">
        <v>41417</v>
      </c>
      <c r="E483" t="s">
        <v>14</v>
      </c>
      <c r="F483" t="s">
        <v>15</v>
      </c>
      <c r="G483" t="s">
        <v>28</v>
      </c>
      <c r="H483" t="s">
        <v>2659</v>
      </c>
      <c r="I483">
        <v>660.69</v>
      </c>
      <c r="J483">
        <v>5</v>
      </c>
      <c r="K483">
        <v>0.1</v>
      </c>
      <c r="L483">
        <v>44.04</v>
      </c>
      <c r="M483" t="s">
        <v>23</v>
      </c>
    </row>
    <row r="484" spans="1:13">
      <c r="A484" t="s">
        <v>917</v>
      </c>
      <c r="B484" t="s">
        <v>918</v>
      </c>
      <c r="C484" s="1">
        <v>42225</v>
      </c>
      <c r="D484" t="s">
        <v>919</v>
      </c>
      <c r="E484" t="s">
        <v>920</v>
      </c>
      <c r="F484" t="s">
        <v>68</v>
      </c>
      <c r="G484" t="s">
        <v>39</v>
      </c>
      <c r="H484" t="s">
        <v>2664</v>
      </c>
      <c r="I484">
        <v>3234.24</v>
      </c>
      <c r="J484">
        <v>6</v>
      </c>
      <c r="K484">
        <v>0</v>
      </c>
      <c r="L484">
        <v>970.19999999999902</v>
      </c>
      <c r="M484" t="s">
        <v>17</v>
      </c>
    </row>
    <row r="485" spans="1:13">
      <c r="A485" t="s">
        <v>921</v>
      </c>
      <c r="B485" s="1">
        <v>41956</v>
      </c>
      <c r="C485" s="1">
        <v>41961</v>
      </c>
      <c r="D485" t="s">
        <v>26</v>
      </c>
      <c r="E485" t="s">
        <v>922</v>
      </c>
      <c r="F485" t="s">
        <v>53</v>
      </c>
      <c r="G485" t="s">
        <v>16</v>
      </c>
      <c r="H485" t="s">
        <v>2663</v>
      </c>
      <c r="I485">
        <v>2171.3000000000002</v>
      </c>
      <c r="J485">
        <v>5</v>
      </c>
      <c r="K485">
        <v>0</v>
      </c>
      <c r="L485">
        <v>390.79999999999899</v>
      </c>
      <c r="M485" t="s">
        <v>32</v>
      </c>
    </row>
    <row r="486" spans="1:13">
      <c r="C486" s="1">
        <v>42049</v>
      </c>
      <c r="D486" t="s">
        <v>226</v>
      </c>
      <c r="E486" t="s">
        <v>14</v>
      </c>
      <c r="F486" t="s">
        <v>923</v>
      </c>
      <c r="G486" t="s">
        <v>16</v>
      </c>
      <c r="H486" t="s">
        <v>2661</v>
      </c>
      <c r="I486">
        <v>2074.7339999999999</v>
      </c>
      <c r="J486">
        <v>9</v>
      </c>
      <c r="K486">
        <v>0.1</v>
      </c>
      <c r="L486">
        <v>276.53399999999999</v>
      </c>
      <c r="M486" t="s">
        <v>17</v>
      </c>
    </row>
    <row r="487" spans="1:13">
      <c r="A487" t="s">
        <v>924</v>
      </c>
      <c r="B487" s="1">
        <v>42319</v>
      </c>
      <c r="C487" s="1">
        <v>42322</v>
      </c>
      <c r="E487" t="s">
        <v>88</v>
      </c>
      <c r="F487" t="s">
        <v>89</v>
      </c>
      <c r="G487" t="s">
        <v>16</v>
      </c>
      <c r="H487" t="s">
        <v>2656</v>
      </c>
      <c r="I487">
        <v>849.8</v>
      </c>
      <c r="J487">
        <v>2</v>
      </c>
      <c r="K487">
        <v>0</v>
      </c>
      <c r="L487">
        <v>195.44</v>
      </c>
      <c r="M487" t="s">
        <v>23</v>
      </c>
    </row>
    <row r="488" spans="1:13">
      <c r="A488" t="s">
        <v>925</v>
      </c>
      <c r="B488" s="1">
        <v>41728</v>
      </c>
      <c r="C488" s="1">
        <v>41730</v>
      </c>
      <c r="D488" t="s">
        <v>414</v>
      </c>
      <c r="E488" t="s">
        <v>14</v>
      </c>
      <c r="F488" t="s">
        <v>15</v>
      </c>
      <c r="G488" t="s">
        <v>28</v>
      </c>
      <c r="H488" t="s">
        <v>2654</v>
      </c>
      <c r="I488">
        <v>1177.173</v>
      </c>
      <c r="K488">
        <v>0.1</v>
      </c>
      <c r="L488">
        <v>353.13299999999998</v>
      </c>
      <c r="M488" t="s">
        <v>17</v>
      </c>
    </row>
    <row r="489" spans="1:13">
      <c r="A489" t="s">
        <v>845</v>
      </c>
      <c r="B489" s="1">
        <v>41585</v>
      </c>
      <c r="C489" s="1">
        <v>41590</v>
      </c>
      <c r="D489" t="s">
        <v>503</v>
      </c>
      <c r="E489" t="s">
        <v>35</v>
      </c>
      <c r="F489" t="s">
        <v>36</v>
      </c>
      <c r="G489" t="s">
        <v>39</v>
      </c>
      <c r="H489" t="s">
        <v>2656</v>
      </c>
      <c r="I489">
        <v>177.648</v>
      </c>
      <c r="J489">
        <v>2</v>
      </c>
      <c r="K489">
        <v>0.2</v>
      </c>
      <c r="L489">
        <v>-28.867799999999999</v>
      </c>
      <c r="M489" t="s">
        <v>17</v>
      </c>
    </row>
    <row r="490" spans="1:13">
      <c r="A490" t="s">
        <v>912</v>
      </c>
      <c r="B490" s="1">
        <v>42267</v>
      </c>
      <c r="C490" s="1">
        <v>42273</v>
      </c>
      <c r="D490" t="s">
        <v>503</v>
      </c>
      <c r="E490" t="s">
        <v>35</v>
      </c>
      <c r="F490" t="s">
        <v>38</v>
      </c>
      <c r="G490" t="s">
        <v>16</v>
      </c>
      <c r="H490" t="s">
        <v>2663</v>
      </c>
      <c r="I490">
        <v>89.584000000000003</v>
      </c>
      <c r="J490">
        <v>2</v>
      </c>
      <c r="K490">
        <v>0.2</v>
      </c>
      <c r="L490">
        <v>4.4791999999999996</v>
      </c>
      <c r="M490" t="s">
        <v>65</v>
      </c>
    </row>
    <row r="491" spans="1:13">
      <c r="A491" t="s">
        <v>926</v>
      </c>
      <c r="B491" s="1">
        <v>41870</v>
      </c>
      <c r="C491" s="1">
        <v>41872</v>
      </c>
      <c r="D491" t="s">
        <v>927</v>
      </c>
      <c r="E491" t="s">
        <v>701</v>
      </c>
      <c r="F491" t="s">
        <v>106</v>
      </c>
      <c r="G491" t="s">
        <v>16</v>
      </c>
      <c r="H491" t="s">
        <v>2657</v>
      </c>
      <c r="I491">
        <v>2863.08</v>
      </c>
      <c r="J491">
        <v>9</v>
      </c>
      <c r="K491">
        <v>0.5</v>
      </c>
      <c r="L491">
        <v>-458.19</v>
      </c>
      <c r="M491" t="s">
        <v>17</v>
      </c>
    </row>
    <row r="492" spans="1:13">
      <c r="A492" t="s">
        <v>928</v>
      </c>
      <c r="B492" s="1">
        <v>42153</v>
      </c>
      <c r="C492" s="1">
        <v>42155</v>
      </c>
      <c r="E492" t="s">
        <v>62</v>
      </c>
      <c r="F492" t="s">
        <v>63</v>
      </c>
      <c r="G492" t="s">
        <v>39</v>
      </c>
      <c r="H492" t="s">
        <v>2658</v>
      </c>
      <c r="I492">
        <v>1253.07</v>
      </c>
      <c r="J492">
        <v>5</v>
      </c>
      <c r="K492">
        <v>0.1</v>
      </c>
      <c r="L492">
        <v>236.67</v>
      </c>
      <c r="M492" t="s">
        <v>23</v>
      </c>
    </row>
    <row r="493" spans="1:13">
      <c r="A493" t="s">
        <v>929</v>
      </c>
      <c r="B493" s="1">
        <v>41508</v>
      </c>
      <c r="C493" s="1">
        <v>41515</v>
      </c>
      <c r="D493" t="s">
        <v>930</v>
      </c>
      <c r="E493" t="s">
        <v>157</v>
      </c>
      <c r="F493" t="s">
        <v>106</v>
      </c>
      <c r="G493" t="s">
        <v>39</v>
      </c>
      <c r="H493" t="s">
        <v>2656</v>
      </c>
      <c r="I493">
        <v>3369.24</v>
      </c>
      <c r="J493">
        <v>6</v>
      </c>
      <c r="K493">
        <v>0</v>
      </c>
      <c r="L493">
        <v>606.41999999999996</v>
      </c>
      <c r="M493" t="s">
        <v>65</v>
      </c>
    </row>
    <row r="494" spans="1:13">
      <c r="A494" t="s">
        <v>931</v>
      </c>
      <c r="B494" s="1">
        <v>42190</v>
      </c>
      <c r="C494" s="1">
        <v>42190</v>
      </c>
      <c r="D494" t="s">
        <v>932</v>
      </c>
      <c r="E494" t="s">
        <v>933</v>
      </c>
      <c r="F494" t="s">
        <v>426</v>
      </c>
      <c r="G494" t="s">
        <v>16</v>
      </c>
      <c r="H494" t="s">
        <v>2661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934</v>
      </c>
      <c r="B495" s="1">
        <v>41347</v>
      </c>
      <c r="C495" s="1">
        <v>41350</v>
      </c>
      <c r="D495" t="s">
        <v>302</v>
      </c>
      <c r="E495" t="s">
        <v>270</v>
      </c>
      <c r="F495" t="s">
        <v>63</v>
      </c>
      <c r="G495" t="s">
        <v>28</v>
      </c>
      <c r="H495" t="s">
        <v>2661</v>
      </c>
      <c r="I495">
        <v>1273.125</v>
      </c>
      <c r="J495">
        <v>7</v>
      </c>
      <c r="K495">
        <v>0.5</v>
      </c>
      <c r="L495">
        <v>-993.19499999999903</v>
      </c>
      <c r="M495" t="s">
        <v>32</v>
      </c>
    </row>
    <row r="496" spans="1:13">
      <c r="A496" t="s">
        <v>935</v>
      </c>
      <c r="B496" s="1">
        <v>42139</v>
      </c>
      <c r="C496" s="1">
        <v>42139</v>
      </c>
      <c r="D496" t="s">
        <v>503</v>
      </c>
      <c r="E496" t="s">
        <v>438</v>
      </c>
      <c r="F496" t="s">
        <v>438</v>
      </c>
      <c r="G496" t="s">
        <v>39</v>
      </c>
      <c r="H496" t="s">
        <v>2654</v>
      </c>
      <c r="J496">
        <v>2</v>
      </c>
      <c r="K496">
        <v>0</v>
      </c>
      <c r="L496">
        <v>10.74</v>
      </c>
      <c r="M496" t="s">
        <v>32</v>
      </c>
    </row>
    <row r="497" spans="1:13">
      <c r="A497" t="s">
        <v>936</v>
      </c>
      <c r="B497" s="1">
        <v>42263</v>
      </c>
      <c r="C497" s="1">
        <v>42265</v>
      </c>
      <c r="D497" t="s">
        <v>864</v>
      </c>
      <c r="E497" t="s">
        <v>346</v>
      </c>
      <c r="F497" t="s">
        <v>89</v>
      </c>
      <c r="G497" t="s">
        <v>16</v>
      </c>
      <c r="H497" t="s">
        <v>2663</v>
      </c>
      <c r="I497">
        <v>1258.7773999999999</v>
      </c>
      <c r="J497">
        <v>5</v>
      </c>
      <c r="K497">
        <v>2E-3</v>
      </c>
      <c r="L497">
        <v>375.77739999999898</v>
      </c>
      <c r="M497" t="s">
        <v>32</v>
      </c>
    </row>
    <row r="498" spans="1:13">
      <c r="A498" t="s">
        <v>937</v>
      </c>
      <c r="B498" s="1">
        <v>42223</v>
      </c>
      <c r="C498" s="1">
        <v>42228</v>
      </c>
      <c r="D498" t="s">
        <v>938</v>
      </c>
      <c r="E498" t="s">
        <v>701</v>
      </c>
      <c r="F498" t="s">
        <v>106</v>
      </c>
      <c r="G498" t="s">
        <v>28</v>
      </c>
      <c r="H498" t="s">
        <v>2662</v>
      </c>
      <c r="J498">
        <v>7</v>
      </c>
      <c r="K498">
        <v>0.2</v>
      </c>
      <c r="L498">
        <v>290.59800000000001</v>
      </c>
      <c r="M498" t="s">
        <v>17</v>
      </c>
    </row>
    <row r="499" spans="1:13">
      <c r="A499" t="s">
        <v>939</v>
      </c>
      <c r="B499" s="1">
        <v>41891</v>
      </c>
      <c r="E499" t="s">
        <v>239</v>
      </c>
      <c r="F499" t="s">
        <v>132</v>
      </c>
      <c r="G499" t="s">
        <v>16</v>
      </c>
      <c r="H499" t="s">
        <v>2657</v>
      </c>
      <c r="I499">
        <v>1482.39</v>
      </c>
      <c r="J499">
        <v>6</v>
      </c>
      <c r="K499">
        <v>0.35</v>
      </c>
      <c r="L499">
        <v>68.31</v>
      </c>
      <c r="M499" t="s">
        <v>32</v>
      </c>
    </row>
    <row r="500" spans="1:13">
      <c r="A500" t="s">
        <v>940</v>
      </c>
      <c r="B500" s="1">
        <v>42255</v>
      </c>
      <c r="C500" s="1">
        <v>42258</v>
      </c>
      <c r="D500" t="s">
        <v>941</v>
      </c>
      <c r="E500" t="s">
        <v>92</v>
      </c>
      <c r="F500" t="s">
        <v>89</v>
      </c>
      <c r="G500" t="s">
        <v>16</v>
      </c>
      <c r="H500" t="s">
        <v>2655</v>
      </c>
      <c r="I500">
        <v>1274.7</v>
      </c>
      <c r="J500">
        <v>3</v>
      </c>
      <c r="K500">
        <v>0</v>
      </c>
      <c r="L500">
        <v>293.16000000000003</v>
      </c>
      <c r="M500" t="s">
        <v>750</v>
      </c>
    </row>
    <row r="501" spans="1:13">
      <c r="A501" t="s">
        <v>845</v>
      </c>
      <c r="B501" s="1">
        <v>41585</v>
      </c>
      <c r="C501" s="1">
        <v>41619</v>
      </c>
      <c r="D501" t="s">
        <v>503</v>
      </c>
      <c r="E501" t="s">
        <v>35</v>
      </c>
      <c r="F501" t="s">
        <v>36</v>
      </c>
      <c r="G501" t="s">
        <v>154</v>
      </c>
      <c r="H501" t="s">
        <v>2657</v>
      </c>
      <c r="I501">
        <v>84.784000000000006</v>
      </c>
      <c r="K501">
        <v>0.2</v>
      </c>
      <c r="L501">
        <v>-16.956800000000001</v>
      </c>
      <c r="M501" t="s">
        <v>17</v>
      </c>
    </row>
    <row r="502" spans="1:13">
      <c r="A502" t="s">
        <v>942</v>
      </c>
      <c r="B502" s="1">
        <v>41564</v>
      </c>
      <c r="C502" s="1">
        <v>41568</v>
      </c>
      <c r="D502" t="s">
        <v>382</v>
      </c>
      <c r="E502" t="s">
        <v>558</v>
      </c>
      <c r="F502" t="s">
        <v>111</v>
      </c>
      <c r="G502" t="s">
        <v>28</v>
      </c>
      <c r="H502" t="s">
        <v>2656</v>
      </c>
      <c r="I502">
        <v>2818.0799999999899</v>
      </c>
      <c r="J502">
        <v>9</v>
      </c>
      <c r="K502">
        <v>0</v>
      </c>
      <c r="L502">
        <v>225.35999999999899</v>
      </c>
      <c r="M502" t="s">
        <v>943</v>
      </c>
    </row>
    <row r="503" spans="1:13">
      <c r="A503" t="s">
        <v>944</v>
      </c>
      <c r="B503" s="1">
        <v>42052</v>
      </c>
      <c r="C503" s="1">
        <v>42053</v>
      </c>
      <c r="D503" t="s">
        <v>945</v>
      </c>
      <c r="E503" t="s">
        <v>239</v>
      </c>
      <c r="F503" t="s">
        <v>132</v>
      </c>
      <c r="G503" t="s">
        <v>28</v>
      </c>
      <c r="H503" t="s">
        <v>2655</v>
      </c>
      <c r="I503">
        <v>1046.24999999999</v>
      </c>
      <c r="J503">
        <v>3</v>
      </c>
      <c r="K503">
        <v>0.25</v>
      </c>
      <c r="L503">
        <v>-111.599999999999</v>
      </c>
      <c r="M503" t="s">
        <v>32</v>
      </c>
    </row>
    <row r="504" spans="1:13">
      <c r="A504" t="s">
        <v>946</v>
      </c>
      <c r="B504" s="1">
        <v>41328</v>
      </c>
      <c r="C504" s="1">
        <v>41333</v>
      </c>
      <c r="D504" t="s">
        <v>947</v>
      </c>
      <c r="E504" t="s">
        <v>105</v>
      </c>
      <c r="F504" t="s">
        <v>106</v>
      </c>
      <c r="G504" t="s">
        <v>16</v>
      </c>
      <c r="H504" t="s">
        <v>2655</v>
      </c>
      <c r="I504">
        <v>3187.2</v>
      </c>
      <c r="J504">
        <v>5</v>
      </c>
      <c r="K504">
        <v>0</v>
      </c>
      <c r="L504">
        <v>541.79999999999995</v>
      </c>
      <c r="M504" t="s">
        <v>17</v>
      </c>
    </row>
    <row r="505" spans="1:13">
      <c r="A505" t="s">
        <v>948</v>
      </c>
      <c r="C505" s="1">
        <v>41618</v>
      </c>
      <c r="D505" t="s">
        <v>949</v>
      </c>
      <c r="E505" t="s">
        <v>950</v>
      </c>
      <c r="F505" t="s">
        <v>15</v>
      </c>
      <c r="G505" t="s">
        <v>28</v>
      </c>
      <c r="H505" t="s">
        <v>2655</v>
      </c>
      <c r="I505">
        <v>4099.6799999999903</v>
      </c>
      <c r="J505">
        <v>10</v>
      </c>
      <c r="K505">
        <v>0.1</v>
      </c>
      <c r="L505">
        <v>956.58</v>
      </c>
      <c r="M505" t="s">
        <v>17</v>
      </c>
    </row>
    <row r="506" spans="1:13">
      <c r="A506" t="s">
        <v>951</v>
      </c>
      <c r="B506" s="1">
        <v>41620</v>
      </c>
      <c r="C506" s="1">
        <v>41622</v>
      </c>
      <c r="D506" t="s">
        <v>952</v>
      </c>
      <c r="E506" t="s">
        <v>58</v>
      </c>
      <c r="F506" t="s">
        <v>81</v>
      </c>
      <c r="G506" t="s">
        <v>39</v>
      </c>
      <c r="H506" t="s">
        <v>2656</v>
      </c>
      <c r="I506">
        <v>703.35</v>
      </c>
      <c r="J506">
        <v>5</v>
      </c>
      <c r="K506">
        <v>0</v>
      </c>
      <c r="L506">
        <v>260.099999999999</v>
      </c>
      <c r="M506" t="s">
        <v>23</v>
      </c>
    </row>
    <row r="507" spans="1:13">
      <c r="A507" t="s">
        <v>953</v>
      </c>
      <c r="B507" s="1">
        <v>42171</v>
      </c>
      <c r="C507" s="1">
        <v>42176</v>
      </c>
      <c r="D507" t="s">
        <v>954</v>
      </c>
      <c r="E507" t="s">
        <v>14</v>
      </c>
      <c r="F507" t="s">
        <v>15</v>
      </c>
      <c r="G507" t="s">
        <v>16</v>
      </c>
      <c r="H507" t="s">
        <v>2655</v>
      </c>
      <c r="I507">
        <v>2293.4879999999998</v>
      </c>
      <c r="J507">
        <v>8</v>
      </c>
      <c r="K507">
        <v>0.1</v>
      </c>
      <c r="L507">
        <v>509.56799999999998</v>
      </c>
      <c r="M507" t="s">
        <v>32</v>
      </c>
    </row>
    <row r="508" spans="1:13">
      <c r="A508" t="s">
        <v>955</v>
      </c>
      <c r="B508" s="1">
        <v>41628</v>
      </c>
      <c r="C508" s="1">
        <v>41630</v>
      </c>
      <c r="D508" t="s">
        <v>956</v>
      </c>
      <c r="E508" t="s">
        <v>62</v>
      </c>
      <c r="F508" t="s">
        <v>63</v>
      </c>
      <c r="G508" t="s">
        <v>212</v>
      </c>
      <c r="H508" t="s">
        <v>2664</v>
      </c>
      <c r="I508">
        <v>1238.6115</v>
      </c>
      <c r="K508">
        <v>0.15</v>
      </c>
      <c r="L508">
        <v>14.4314999999999</v>
      </c>
      <c r="M508" t="s">
        <v>32</v>
      </c>
    </row>
    <row r="509" spans="1:13">
      <c r="A509" t="s">
        <v>957</v>
      </c>
      <c r="B509" s="1">
        <v>42137</v>
      </c>
      <c r="C509" s="1">
        <v>42141</v>
      </c>
      <c r="D509" t="s">
        <v>958</v>
      </c>
      <c r="E509" t="s">
        <v>88</v>
      </c>
      <c r="F509" t="s">
        <v>89</v>
      </c>
      <c r="G509" t="s">
        <v>28</v>
      </c>
      <c r="H509" t="s">
        <v>2657</v>
      </c>
      <c r="I509">
        <v>1715.05599999999</v>
      </c>
      <c r="J509">
        <v>7</v>
      </c>
      <c r="K509">
        <v>0.2</v>
      </c>
      <c r="L509">
        <v>300.07600000000002</v>
      </c>
      <c r="M509" t="s">
        <v>32</v>
      </c>
    </row>
    <row r="510" spans="1:13">
      <c r="B510" s="1">
        <v>42220</v>
      </c>
      <c r="C510" s="1">
        <v>42224</v>
      </c>
      <c r="D510" t="s">
        <v>503</v>
      </c>
      <c r="E510" t="s">
        <v>35</v>
      </c>
      <c r="F510" t="s">
        <v>36</v>
      </c>
      <c r="G510" t="s">
        <v>16</v>
      </c>
      <c r="H510" t="s">
        <v>2662</v>
      </c>
      <c r="I510">
        <v>39.816000000000003</v>
      </c>
      <c r="J510">
        <v>3</v>
      </c>
      <c r="K510">
        <v>0.2</v>
      </c>
      <c r="M510" t="s">
        <v>32</v>
      </c>
    </row>
    <row r="511" spans="1:13">
      <c r="A511" t="s">
        <v>959</v>
      </c>
      <c r="B511" s="1">
        <v>42315</v>
      </c>
      <c r="C511" s="1">
        <v>42319</v>
      </c>
      <c r="D511" t="s">
        <v>960</v>
      </c>
      <c r="E511" t="s">
        <v>14</v>
      </c>
      <c r="F511" t="s">
        <v>15</v>
      </c>
      <c r="G511" t="s">
        <v>28</v>
      </c>
      <c r="H511" t="s">
        <v>2655</v>
      </c>
      <c r="J511">
        <v>6</v>
      </c>
      <c r="K511">
        <v>0</v>
      </c>
      <c r="L511">
        <v>852.479999999999</v>
      </c>
      <c r="M511" t="s">
        <v>32</v>
      </c>
    </row>
    <row r="512" spans="1:13">
      <c r="A512" t="s">
        <v>961</v>
      </c>
      <c r="B512" s="1">
        <v>41800</v>
      </c>
      <c r="C512" s="1">
        <v>41804</v>
      </c>
      <c r="D512" t="s">
        <v>962</v>
      </c>
      <c r="F512" t="s">
        <v>68</v>
      </c>
      <c r="G512" t="s">
        <v>39</v>
      </c>
      <c r="H512" t="s">
        <v>2660</v>
      </c>
      <c r="I512">
        <v>3399.66</v>
      </c>
      <c r="J512">
        <v>12</v>
      </c>
      <c r="K512">
        <v>0.5</v>
      </c>
      <c r="L512">
        <v>-3059.8199999999902</v>
      </c>
      <c r="M512" t="s">
        <v>17</v>
      </c>
    </row>
    <row r="513" spans="1:13">
      <c r="A513" t="s">
        <v>963</v>
      </c>
      <c r="B513" s="1">
        <v>41404</v>
      </c>
      <c r="C513" s="1">
        <v>41406</v>
      </c>
      <c r="D513" t="s">
        <v>372</v>
      </c>
      <c r="E513" t="s">
        <v>105</v>
      </c>
      <c r="F513" t="s">
        <v>106</v>
      </c>
      <c r="G513" t="s">
        <v>16</v>
      </c>
      <c r="H513" t="s">
        <v>2655</v>
      </c>
      <c r="I513">
        <v>1607.76</v>
      </c>
      <c r="L513">
        <v>482.22</v>
      </c>
      <c r="M513" t="s">
        <v>32</v>
      </c>
    </row>
    <row r="514" spans="1:13">
      <c r="A514" t="s">
        <v>964</v>
      </c>
      <c r="B514" s="1">
        <v>41895</v>
      </c>
      <c r="C514" s="1">
        <v>41895</v>
      </c>
      <c r="D514" t="s">
        <v>965</v>
      </c>
      <c r="E514" t="s">
        <v>105</v>
      </c>
      <c r="F514" t="s">
        <v>106</v>
      </c>
      <c r="G514" t="s">
        <v>16</v>
      </c>
      <c r="H514" t="s">
        <v>2661</v>
      </c>
      <c r="I514">
        <v>840.15</v>
      </c>
      <c r="J514">
        <v>5</v>
      </c>
      <c r="K514">
        <v>0</v>
      </c>
      <c r="L514">
        <v>260.39999999999998</v>
      </c>
      <c r="M514" t="s">
        <v>23</v>
      </c>
    </row>
    <row r="515" spans="1:13">
      <c r="A515" t="s">
        <v>966</v>
      </c>
      <c r="B515" s="1">
        <v>41845</v>
      </c>
      <c r="C515" s="2">
        <v>41848</v>
      </c>
      <c r="D515" t="s">
        <v>967</v>
      </c>
      <c r="E515" t="s">
        <v>58</v>
      </c>
      <c r="F515" t="s">
        <v>81</v>
      </c>
      <c r="G515" t="s">
        <v>28</v>
      </c>
      <c r="H515" t="s">
        <v>2662</v>
      </c>
      <c r="I515">
        <v>1236.33</v>
      </c>
      <c r="J515">
        <v>3</v>
      </c>
      <c r="K515">
        <v>0</v>
      </c>
      <c r="L515">
        <v>519.21</v>
      </c>
      <c r="M515" t="s">
        <v>17</v>
      </c>
    </row>
    <row r="516" spans="1:13">
      <c r="A516" t="s">
        <v>968</v>
      </c>
      <c r="B516" s="1">
        <v>42288</v>
      </c>
      <c r="C516" s="1">
        <v>42291</v>
      </c>
      <c r="D516" t="s">
        <v>969</v>
      </c>
      <c r="E516" t="s">
        <v>105</v>
      </c>
      <c r="F516" t="s">
        <v>970</v>
      </c>
      <c r="G516" t="s">
        <v>99</v>
      </c>
      <c r="H516" t="s">
        <v>2656</v>
      </c>
      <c r="I516">
        <v>2488.56</v>
      </c>
      <c r="J516">
        <v>8</v>
      </c>
      <c r="K516">
        <v>0</v>
      </c>
      <c r="L516">
        <v>348.24</v>
      </c>
      <c r="M516" t="s">
        <v>32</v>
      </c>
    </row>
    <row r="517" spans="1:13">
      <c r="A517" t="s">
        <v>971</v>
      </c>
      <c r="B517" s="1">
        <v>41234</v>
      </c>
      <c r="C517" s="1">
        <v>41237</v>
      </c>
      <c r="D517" t="s">
        <v>914</v>
      </c>
      <c r="E517" t="s">
        <v>110</v>
      </c>
      <c r="F517" t="s">
        <v>111</v>
      </c>
      <c r="G517" t="s">
        <v>39</v>
      </c>
      <c r="H517" t="s">
        <v>2663</v>
      </c>
      <c r="I517">
        <v>1124.2559999999901</v>
      </c>
      <c r="J517">
        <v>7</v>
      </c>
      <c r="K517">
        <v>0.2</v>
      </c>
      <c r="L517">
        <v>252.89599999999899</v>
      </c>
      <c r="M517" t="s">
        <v>23</v>
      </c>
    </row>
    <row r="518" spans="1:13">
      <c r="A518" t="s">
        <v>845</v>
      </c>
      <c r="B518" s="1">
        <v>41585</v>
      </c>
      <c r="C518" s="1">
        <v>41590</v>
      </c>
      <c r="D518" t="s">
        <v>503</v>
      </c>
      <c r="E518" t="s">
        <v>35</v>
      </c>
      <c r="F518" t="s">
        <v>36</v>
      </c>
      <c r="G518" t="s">
        <v>28</v>
      </c>
      <c r="H518" t="s">
        <v>2661</v>
      </c>
      <c r="I518">
        <v>64.959999999999994</v>
      </c>
      <c r="J518">
        <v>5</v>
      </c>
      <c r="K518">
        <v>0.6</v>
      </c>
      <c r="L518">
        <v>-84.447999999999993</v>
      </c>
      <c r="M518" t="s">
        <v>17</v>
      </c>
    </row>
    <row r="519" spans="1:13">
      <c r="A519" t="s">
        <v>972</v>
      </c>
      <c r="B519" s="1">
        <v>42302</v>
      </c>
      <c r="C519" s="1">
        <v>42302</v>
      </c>
      <c r="D519" t="s">
        <v>545</v>
      </c>
      <c r="E519" t="s">
        <v>88</v>
      </c>
      <c r="F519" t="s">
        <v>89</v>
      </c>
      <c r="G519" t="s">
        <v>28</v>
      </c>
      <c r="H519" t="s">
        <v>2661</v>
      </c>
      <c r="I519">
        <v>726.72</v>
      </c>
      <c r="J519">
        <v>3</v>
      </c>
      <c r="L519">
        <v>-165.589264177258</v>
      </c>
      <c r="M519" t="s">
        <v>23</v>
      </c>
    </row>
    <row r="520" spans="1:13">
      <c r="A520" t="s">
        <v>973</v>
      </c>
      <c r="B520" s="1">
        <v>41672</v>
      </c>
      <c r="C520" s="1">
        <v>41677</v>
      </c>
      <c r="D520" t="s">
        <v>974</v>
      </c>
      <c r="E520" t="s">
        <v>35</v>
      </c>
      <c r="F520" t="s">
        <v>102</v>
      </c>
      <c r="G520" t="s">
        <v>39</v>
      </c>
      <c r="H520" t="s">
        <v>2662</v>
      </c>
      <c r="I520">
        <v>117.96</v>
      </c>
      <c r="J520">
        <v>2</v>
      </c>
      <c r="K520">
        <v>0</v>
      </c>
      <c r="L520">
        <v>5.8979999999999899</v>
      </c>
      <c r="M520" t="s">
        <v>17</v>
      </c>
    </row>
    <row r="521" spans="1:13">
      <c r="A521" t="s">
        <v>975</v>
      </c>
      <c r="B521" s="1">
        <v>41926</v>
      </c>
      <c r="C521" s="1">
        <v>41927</v>
      </c>
      <c r="D521" t="s">
        <v>976</v>
      </c>
      <c r="E521" t="s">
        <v>977</v>
      </c>
      <c r="F521" t="s">
        <v>75</v>
      </c>
      <c r="G521" t="s">
        <v>16</v>
      </c>
      <c r="H521" t="s">
        <v>2658</v>
      </c>
      <c r="I521">
        <v>1519.92</v>
      </c>
      <c r="J521">
        <v>6</v>
      </c>
      <c r="K521">
        <v>0</v>
      </c>
      <c r="L521">
        <v>5856.54436626399</v>
      </c>
      <c r="M521" t="s">
        <v>978</v>
      </c>
    </row>
    <row r="522" spans="1:13">
      <c r="A522" t="s">
        <v>979</v>
      </c>
      <c r="B522" s="1">
        <v>40953</v>
      </c>
      <c r="C522" s="1">
        <v>40955</v>
      </c>
      <c r="D522" t="s">
        <v>980</v>
      </c>
      <c r="E522" t="s">
        <v>452</v>
      </c>
      <c r="F522" t="s">
        <v>78</v>
      </c>
      <c r="G522" t="s">
        <v>16</v>
      </c>
      <c r="H522" t="s">
        <v>2657</v>
      </c>
      <c r="I522" t="s">
        <v>152</v>
      </c>
      <c r="K522">
        <v>0</v>
      </c>
      <c r="L522">
        <v>319.79999999999899</v>
      </c>
      <c r="M522" t="s">
        <v>23</v>
      </c>
    </row>
    <row r="523" spans="1:13">
      <c r="A523" t="s">
        <v>147</v>
      </c>
      <c r="B523" s="1">
        <v>42125</v>
      </c>
      <c r="C523" s="1">
        <v>42125</v>
      </c>
      <c r="D523" t="s">
        <v>148</v>
      </c>
      <c r="E523" t="s">
        <v>105</v>
      </c>
      <c r="F523" t="s">
        <v>106</v>
      </c>
      <c r="G523" t="s">
        <v>28</v>
      </c>
      <c r="H523" t="s">
        <v>2662</v>
      </c>
      <c r="I523">
        <v>723.3</v>
      </c>
      <c r="J523">
        <v>5</v>
      </c>
      <c r="K523">
        <v>0</v>
      </c>
      <c r="L523">
        <v>122.85</v>
      </c>
      <c r="M523" t="s">
        <v>23</v>
      </c>
    </row>
    <row r="524" spans="1:13">
      <c r="A524" t="s">
        <v>981</v>
      </c>
      <c r="B524" s="1">
        <v>40978</v>
      </c>
      <c r="C524" s="1">
        <v>40980</v>
      </c>
      <c r="D524" t="s">
        <v>982</v>
      </c>
      <c r="E524" t="s">
        <v>157</v>
      </c>
      <c r="F524" t="s">
        <v>106</v>
      </c>
      <c r="G524" t="s">
        <v>16</v>
      </c>
      <c r="H524" t="s">
        <v>2657</v>
      </c>
      <c r="I524">
        <v>642.68999999999903</v>
      </c>
      <c r="J524">
        <v>1</v>
      </c>
      <c r="K524">
        <v>0</v>
      </c>
      <c r="L524">
        <v>244.2</v>
      </c>
      <c r="M524" t="s">
        <v>23</v>
      </c>
    </row>
    <row r="525" spans="1:13">
      <c r="A525" t="s">
        <v>983</v>
      </c>
      <c r="C525" s="2">
        <v>41494</v>
      </c>
      <c r="D525" t="s">
        <v>967</v>
      </c>
      <c r="E525" t="s">
        <v>14</v>
      </c>
      <c r="F525" t="s">
        <v>15</v>
      </c>
      <c r="G525" t="s">
        <v>28</v>
      </c>
      <c r="H525" t="s">
        <v>2655</v>
      </c>
      <c r="I525">
        <v>2619</v>
      </c>
      <c r="J525">
        <v>8</v>
      </c>
      <c r="K525">
        <v>0.1</v>
      </c>
      <c r="L525">
        <v>232.68</v>
      </c>
      <c r="M525" t="s">
        <v>32</v>
      </c>
    </row>
    <row r="526" spans="1:13">
      <c r="A526" t="s">
        <v>984</v>
      </c>
      <c r="B526" s="1">
        <v>41628</v>
      </c>
      <c r="C526" s="1">
        <v>41631</v>
      </c>
      <c r="D526" t="s">
        <v>958</v>
      </c>
      <c r="E526" t="s">
        <v>701</v>
      </c>
      <c r="F526" t="s">
        <v>106</v>
      </c>
      <c r="G526" t="s">
        <v>39</v>
      </c>
      <c r="H526" t="s">
        <v>2656</v>
      </c>
      <c r="I526">
        <v>1704.87</v>
      </c>
      <c r="J526">
        <v>6</v>
      </c>
      <c r="K526">
        <v>0.5</v>
      </c>
      <c r="L526">
        <v>-1023.02999999999</v>
      </c>
      <c r="M526" t="s">
        <v>396</v>
      </c>
    </row>
    <row r="527" spans="1:13">
      <c r="A527" t="s">
        <v>985</v>
      </c>
      <c r="B527" s="1">
        <v>41489</v>
      </c>
      <c r="C527" s="1">
        <v>41493</v>
      </c>
      <c r="D527" t="s">
        <v>289</v>
      </c>
      <c r="E527" t="s">
        <v>67</v>
      </c>
      <c r="F527" t="s">
        <v>68</v>
      </c>
      <c r="G527" t="s">
        <v>16</v>
      </c>
      <c r="H527" t="s">
        <v>2663</v>
      </c>
      <c r="I527">
        <v>1715.9099999999901</v>
      </c>
      <c r="J527">
        <v>7</v>
      </c>
      <c r="K527" t="s">
        <v>215</v>
      </c>
      <c r="L527">
        <v>583.38</v>
      </c>
      <c r="M527" t="s">
        <v>342</v>
      </c>
    </row>
    <row r="528" spans="1:13">
      <c r="A528" t="s">
        <v>986</v>
      </c>
      <c r="B528" s="1">
        <v>41445</v>
      </c>
      <c r="C528" s="1">
        <v>41447</v>
      </c>
      <c r="D528" t="s">
        <v>534</v>
      </c>
      <c r="E528" t="s">
        <v>58</v>
      </c>
      <c r="F528" t="s">
        <v>81</v>
      </c>
      <c r="G528" t="s">
        <v>16</v>
      </c>
      <c r="H528" t="s">
        <v>2661</v>
      </c>
      <c r="I528" t="s">
        <v>987</v>
      </c>
      <c r="J528">
        <v>2</v>
      </c>
      <c r="K528">
        <v>0</v>
      </c>
      <c r="L528">
        <v>460.08</v>
      </c>
      <c r="M528" t="s">
        <v>32</v>
      </c>
    </row>
    <row r="529" spans="1:13">
      <c r="A529" t="s">
        <v>988</v>
      </c>
      <c r="B529" s="1">
        <v>41678</v>
      </c>
      <c r="C529" s="1">
        <v>41679</v>
      </c>
      <c r="D529" t="s">
        <v>167</v>
      </c>
      <c r="E529" t="s">
        <v>221</v>
      </c>
      <c r="F529" t="s">
        <v>222</v>
      </c>
      <c r="G529" t="s">
        <v>99</v>
      </c>
      <c r="H529" t="s">
        <v>2657</v>
      </c>
      <c r="I529">
        <v>1234.56</v>
      </c>
      <c r="K529">
        <v>0</v>
      </c>
      <c r="L529">
        <v>246.84</v>
      </c>
      <c r="M529" t="s">
        <v>23</v>
      </c>
    </row>
    <row r="530" spans="1:13">
      <c r="A530" t="s">
        <v>989</v>
      </c>
      <c r="B530" s="1">
        <v>41179</v>
      </c>
      <c r="C530" s="1">
        <v>41184</v>
      </c>
      <c r="D530" t="s">
        <v>990</v>
      </c>
      <c r="E530" t="s">
        <v>695</v>
      </c>
      <c r="F530" t="s">
        <v>63</v>
      </c>
      <c r="G530" t="s">
        <v>39</v>
      </c>
      <c r="H530" t="s">
        <v>2656</v>
      </c>
      <c r="I530">
        <v>4195.2</v>
      </c>
      <c r="K530">
        <v>0</v>
      </c>
      <c r="L530">
        <v>839.04</v>
      </c>
      <c r="M530" t="s">
        <v>17</v>
      </c>
    </row>
    <row r="531" spans="1:13">
      <c r="A531" t="s">
        <v>991</v>
      </c>
      <c r="B531" s="1">
        <v>41448</v>
      </c>
      <c r="C531" s="1">
        <v>41451</v>
      </c>
      <c r="D531" t="s">
        <v>992</v>
      </c>
      <c r="E531" t="s">
        <v>62</v>
      </c>
      <c r="F531" t="s">
        <v>63</v>
      </c>
      <c r="G531" t="s">
        <v>28</v>
      </c>
      <c r="H531" t="s">
        <v>2661</v>
      </c>
      <c r="I531">
        <v>1765.39499999999</v>
      </c>
      <c r="J531">
        <v>5</v>
      </c>
      <c r="L531">
        <v>-98.204999999999899</v>
      </c>
      <c r="M531" t="s">
        <v>32</v>
      </c>
    </row>
    <row r="532" spans="1:13">
      <c r="A532" t="s">
        <v>993</v>
      </c>
      <c r="B532" s="1">
        <v>41993</v>
      </c>
      <c r="C532" s="1">
        <v>41995</v>
      </c>
      <c r="D532" t="s">
        <v>13</v>
      </c>
      <c r="E532" t="s">
        <v>265</v>
      </c>
      <c r="F532" t="s">
        <v>53</v>
      </c>
      <c r="G532" t="s">
        <v>28</v>
      </c>
      <c r="H532" t="s">
        <v>2661</v>
      </c>
      <c r="I532">
        <v>1480.3679999999999</v>
      </c>
      <c r="J532">
        <v>3</v>
      </c>
      <c r="K532">
        <v>0.2</v>
      </c>
      <c r="L532">
        <v>333.048</v>
      </c>
      <c r="M532" t="s">
        <v>17</v>
      </c>
    </row>
    <row r="533" spans="1:13">
      <c r="A533" t="s">
        <v>258</v>
      </c>
      <c r="B533" s="1">
        <v>41558</v>
      </c>
      <c r="C533" s="1">
        <v>41561</v>
      </c>
      <c r="D533" t="s">
        <v>259</v>
      </c>
      <c r="E533" t="s">
        <v>88</v>
      </c>
      <c r="F533" t="s">
        <v>89</v>
      </c>
      <c r="G533" t="s">
        <v>16</v>
      </c>
      <c r="H533" t="s">
        <v>2663</v>
      </c>
      <c r="I533">
        <v>2968.97999999999</v>
      </c>
      <c r="J533">
        <v>7</v>
      </c>
      <c r="K533">
        <v>0</v>
      </c>
      <c r="L533">
        <v>89.039999999999907</v>
      </c>
      <c r="M533" t="s">
        <v>17</v>
      </c>
    </row>
    <row r="534" spans="1:13">
      <c r="A534" t="s">
        <v>994</v>
      </c>
      <c r="B534" s="1">
        <v>41149</v>
      </c>
      <c r="C534" s="1">
        <v>41156</v>
      </c>
      <c r="D534" t="s">
        <v>995</v>
      </c>
      <c r="E534" t="s">
        <v>14</v>
      </c>
      <c r="F534" t="s">
        <v>15</v>
      </c>
      <c r="G534" t="s">
        <v>28</v>
      </c>
      <c r="H534" t="s">
        <v>2658</v>
      </c>
      <c r="I534">
        <v>2301.1379999999999</v>
      </c>
      <c r="J534">
        <v>7</v>
      </c>
      <c r="L534">
        <v>-953.44200000000001</v>
      </c>
      <c r="M534" t="s">
        <v>65</v>
      </c>
    </row>
    <row r="535" spans="1:13">
      <c r="A535" t="s">
        <v>996</v>
      </c>
      <c r="B535" s="1">
        <v>42203</v>
      </c>
      <c r="C535" s="1">
        <v>42203</v>
      </c>
      <c r="D535" t="s">
        <v>997</v>
      </c>
      <c r="E535" t="s">
        <v>245</v>
      </c>
      <c r="F535" t="s">
        <v>63</v>
      </c>
      <c r="G535" t="s">
        <v>28</v>
      </c>
      <c r="H535" t="s">
        <v>2656</v>
      </c>
      <c r="I535">
        <v>1100.52</v>
      </c>
      <c r="J535">
        <v>3</v>
      </c>
      <c r="K535">
        <v>0</v>
      </c>
      <c r="L535">
        <v>352.07999999999902</v>
      </c>
      <c r="M535" t="s">
        <v>23</v>
      </c>
    </row>
    <row r="536" spans="1:13">
      <c r="A536" t="s">
        <v>998</v>
      </c>
      <c r="B536" s="1">
        <v>41248</v>
      </c>
      <c r="C536" s="1">
        <v>41255</v>
      </c>
      <c r="D536" t="s">
        <v>999</v>
      </c>
      <c r="E536" t="s">
        <v>58</v>
      </c>
      <c r="F536" t="s">
        <v>81</v>
      </c>
      <c r="G536" t="s">
        <v>16</v>
      </c>
      <c r="H536" t="s">
        <v>2658</v>
      </c>
      <c r="I536">
        <v>2518.9499999999998</v>
      </c>
      <c r="J536">
        <v>7</v>
      </c>
      <c r="K536">
        <v>0</v>
      </c>
      <c r="L536">
        <v>3063.7564411559201</v>
      </c>
      <c r="M536" t="s">
        <v>17</v>
      </c>
    </row>
    <row r="537" spans="1:13">
      <c r="A537" t="s">
        <v>1000</v>
      </c>
      <c r="B537" s="1">
        <v>42110</v>
      </c>
      <c r="D537" t="s">
        <v>739</v>
      </c>
      <c r="E537" t="s">
        <v>84</v>
      </c>
      <c r="F537" t="s">
        <v>754</v>
      </c>
      <c r="G537" t="s">
        <v>28</v>
      </c>
      <c r="H537" t="s">
        <v>2663</v>
      </c>
      <c r="I537">
        <v>996.3</v>
      </c>
      <c r="J537">
        <v>5</v>
      </c>
      <c r="K537">
        <v>0</v>
      </c>
      <c r="L537">
        <v>119.55</v>
      </c>
      <c r="M537" t="s">
        <v>23</v>
      </c>
    </row>
    <row r="538" spans="1:13">
      <c r="A538" t="s">
        <v>912</v>
      </c>
      <c r="B538" s="1">
        <v>42267</v>
      </c>
      <c r="D538" t="s">
        <v>503</v>
      </c>
      <c r="E538" t="s">
        <v>35</v>
      </c>
      <c r="F538" t="s">
        <v>38</v>
      </c>
      <c r="G538" t="s">
        <v>39</v>
      </c>
      <c r="H538" t="s">
        <v>2657</v>
      </c>
      <c r="I538">
        <v>18.18</v>
      </c>
      <c r="J538">
        <v>4</v>
      </c>
      <c r="K538">
        <v>0.7</v>
      </c>
      <c r="L538">
        <v>-13.938000000000001</v>
      </c>
      <c r="M538" t="s">
        <v>65</v>
      </c>
    </row>
    <row r="539" spans="1:13">
      <c r="A539" t="s">
        <v>1001</v>
      </c>
      <c r="B539" s="1">
        <v>41153</v>
      </c>
      <c r="C539" t="s">
        <v>1002</v>
      </c>
      <c r="D539" t="s">
        <v>1003</v>
      </c>
      <c r="E539" t="s">
        <v>245</v>
      </c>
      <c r="F539" t="s">
        <v>63</v>
      </c>
      <c r="G539" t="s">
        <v>28</v>
      </c>
      <c r="H539" t="s">
        <v>2663</v>
      </c>
      <c r="I539">
        <v>922.94999999999902</v>
      </c>
      <c r="J539">
        <v>1</v>
      </c>
      <c r="K539">
        <v>0</v>
      </c>
      <c r="L539">
        <v>341.49</v>
      </c>
      <c r="M539" t="s">
        <v>23</v>
      </c>
    </row>
    <row r="540" spans="1:13">
      <c r="A540" t="s">
        <v>1004</v>
      </c>
      <c r="B540" s="1">
        <v>41852</v>
      </c>
      <c r="C540" s="1">
        <v>41853</v>
      </c>
      <c r="D540" t="s">
        <v>1005</v>
      </c>
      <c r="E540" t="s">
        <v>62</v>
      </c>
      <c r="F540" t="s">
        <v>63</v>
      </c>
      <c r="G540" t="s">
        <v>28</v>
      </c>
      <c r="H540" t="s">
        <v>2662</v>
      </c>
      <c r="I540">
        <v>1850.4449999999999</v>
      </c>
      <c r="J540">
        <v>5</v>
      </c>
      <c r="K540">
        <v>0.1</v>
      </c>
      <c r="L540">
        <v>184.995</v>
      </c>
      <c r="M540" t="s">
        <v>32</v>
      </c>
    </row>
    <row r="541" spans="1:13">
      <c r="A541" t="s">
        <v>520</v>
      </c>
      <c r="B541" s="1">
        <v>42259</v>
      </c>
      <c r="C541" s="1">
        <v>42261</v>
      </c>
      <c r="D541" t="s">
        <v>172</v>
      </c>
      <c r="F541" t="s">
        <v>89</v>
      </c>
      <c r="G541" t="s">
        <v>28</v>
      </c>
      <c r="H541" t="s">
        <v>2658</v>
      </c>
      <c r="I541">
        <v>664.56</v>
      </c>
      <c r="J541">
        <v>6</v>
      </c>
      <c r="K541">
        <v>0</v>
      </c>
      <c r="L541">
        <v>6.6</v>
      </c>
      <c r="M541" t="s">
        <v>23</v>
      </c>
    </row>
    <row r="542" spans="1:13">
      <c r="A542" t="s">
        <v>1006</v>
      </c>
      <c r="B542" s="1">
        <v>42222</v>
      </c>
      <c r="C542" s="1">
        <v>42223</v>
      </c>
      <c r="D542" t="s">
        <v>1007</v>
      </c>
      <c r="F542" t="s">
        <v>63</v>
      </c>
      <c r="G542" t="s">
        <v>1008</v>
      </c>
      <c r="H542" t="s">
        <v>2663</v>
      </c>
      <c r="I542">
        <v>1547.1</v>
      </c>
      <c r="J542">
        <v>6</v>
      </c>
      <c r="K542">
        <v>0</v>
      </c>
      <c r="L542">
        <v>340.2</v>
      </c>
      <c r="M542" t="s">
        <v>23</v>
      </c>
    </row>
    <row r="543" spans="1:13">
      <c r="A543" t="s">
        <v>1009</v>
      </c>
      <c r="B543" s="1">
        <v>42328</v>
      </c>
      <c r="C543" s="1">
        <v>42331</v>
      </c>
      <c r="D543" t="s">
        <v>326</v>
      </c>
      <c r="E543" t="s">
        <v>730</v>
      </c>
      <c r="F543" t="s">
        <v>132</v>
      </c>
      <c r="G543" t="s">
        <v>39</v>
      </c>
      <c r="H543" t="s">
        <v>2663</v>
      </c>
      <c r="I543">
        <v>2190.95099999999</v>
      </c>
      <c r="J543">
        <v>5</v>
      </c>
      <c r="K543">
        <v>0.17</v>
      </c>
      <c r="L543">
        <v>316.70100000000002</v>
      </c>
      <c r="M543" t="s">
        <v>17</v>
      </c>
    </row>
    <row r="544" spans="1:13">
      <c r="A544" t="s">
        <v>1010</v>
      </c>
      <c r="B544" s="1">
        <v>41398</v>
      </c>
      <c r="C544" s="1">
        <v>41403</v>
      </c>
      <c r="D544" t="s">
        <v>1011</v>
      </c>
      <c r="E544" t="s">
        <v>88</v>
      </c>
      <c r="F544" t="s">
        <v>89</v>
      </c>
      <c r="G544" t="s">
        <v>39</v>
      </c>
      <c r="H544" t="s">
        <v>2654</v>
      </c>
      <c r="I544">
        <v>3242.88</v>
      </c>
      <c r="J544">
        <v>9</v>
      </c>
      <c r="K544">
        <v>0</v>
      </c>
      <c r="L544">
        <v>324.18</v>
      </c>
      <c r="M544" t="s">
        <v>17</v>
      </c>
    </row>
    <row r="545" spans="1:13">
      <c r="B545" s="1">
        <v>41513</v>
      </c>
      <c r="C545" s="1">
        <v>41517</v>
      </c>
      <c r="D545" t="s">
        <v>1012</v>
      </c>
      <c r="E545" t="s">
        <v>221</v>
      </c>
      <c r="F545" t="s">
        <v>222</v>
      </c>
      <c r="G545" t="s">
        <v>16</v>
      </c>
      <c r="H545" t="s">
        <v>2661</v>
      </c>
      <c r="I545">
        <v>2544.6</v>
      </c>
      <c r="J545">
        <v>4</v>
      </c>
      <c r="K545">
        <v>0</v>
      </c>
      <c r="L545">
        <v>1246.8</v>
      </c>
      <c r="M545" t="s">
        <v>32</v>
      </c>
    </row>
    <row r="546" spans="1:13">
      <c r="A546" t="s">
        <v>1013</v>
      </c>
      <c r="B546" s="1">
        <v>41997</v>
      </c>
      <c r="C546" s="1">
        <v>42002</v>
      </c>
      <c r="D546" t="s">
        <v>1014</v>
      </c>
      <c r="E546" t="s">
        <v>193</v>
      </c>
      <c r="F546" t="s">
        <v>78</v>
      </c>
      <c r="G546" t="s">
        <v>16</v>
      </c>
      <c r="H546" t="s">
        <v>2661</v>
      </c>
      <c r="I546">
        <v>2605.56</v>
      </c>
      <c r="J546">
        <v>4</v>
      </c>
      <c r="K546">
        <v>0</v>
      </c>
      <c r="L546">
        <v>573.12</v>
      </c>
      <c r="M546" t="s">
        <v>17</v>
      </c>
    </row>
    <row r="547" spans="1:13">
      <c r="A547" t="s">
        <v>1015</v>
      </c>
      <c r="B547" s="1">
        <v>41668</v>
      </c>
      <c r="C547" s="1">
        <v>41670</v>
      </c>
      <c r="D547" t="s">
        <v>382</v>
      </c>
      <c r="E547" t="s">
        <v>186</v>
      </c>
      <c r="F547" t="s">
        <v>68</v>
      </c>
      <c r="G547" t="s">
        <v>39</v>
      </c>
      <c r="H547" t="s">
        <v>2656</v>
      </c>
      <c r="I547">
        <v>1271.4569999999901</v>
      </c>
      <c r="J547">
        <v>11</v>
      </c>
      <c r="K547">
        <v>0.1</v>
      </c>
      <c r="L547">
        <v>-127.412999999999</v>
      </c>
      <c r="M547" t="s">
        <v>32</v>
      </c>
    </row>
    <row r="548" spans="1:13">
      <c r="A548" t="s">
        <v>935</v>
      </c>
      <c r="B548" s="1">
        <v>42139</v>
      </c>
      <c r="C548" s="1">
        <v>42139</v>
      </c>
      <c r="D548" t="s">
        <v>503</v>
      </c>
      <c r="E548" t="s">
        <v>1016</v>
      </c>
      <c r="F548" t="s">
        <v>438</v>
      </c>
      <c r="G548" t="s">
        <v>39</v>
      </c>
      <c r="H548" t="s">
        <v>2656</v>
      </c>
      <c r="I548">
        <v>34.019999999999897</v>
      </c>
      <c r="J548">
        <v>2</v>
      </c>
      <c r="K548" t="s">
        <v>215</v>
      </c>
      <c r="L548">
        <v>14.28</v>
      </c>
      <c r="M548" t="s">
        <v>773</v>
      </c>
    </row>
    <row r="549" spans="1:13">
      <c r="A549" t="s">
        <v>46</v>
      </c>
      <c r="B549" s="1">
        <v>41269</v>
      </c>
      <c r="C549" s="1">
        <v>41271</v>
      </c>
      <c r="E549" t="s">
        <v>48</v>
      </c>
      <c r="F549" t="s">
        <v>49</v>
      </c>
      <c r="G549" t="s">
        <v>1017</v>
      </c>
      <c r="H549" t="s">
        <v>2664</v>
      </c>
      <c r="I549">
        <v>1207.56</v>
      </c>
      <c r="J549" t="s">
        <v>55</v>
      </c>
      <c r="K549">
        <v>0</v>
      </c>
      <c r="L549">
        <v>0</v>
      </c>
      <c r="M549" t="s">
        <v>23</v>
      </c>
    </row>
    <row r="550" spans="1:13">
      <c r="A550" t="s">
        <v>1018</v>
      </c>
      <c r="B550" s="1">
        <v>41608</v>
      </c>
      <c r="C550" s="1">
        <v>41612</v>
      </c>
      <c r="D550" t="s">
        <v>1019</v>
      </c>
      <c r="E550" t="s">
        <v>644</v>
      </c>
      <c r="F550" t="s">
        <v>132</v>
      </c>
      <c r="G550" t="s">
        <v>28</v>
      </c>
      <c r="H550" t="s">
        <v>2658</v>
      </c>
      <c r="I550">
        <v>2051.1</v>
      </c>
      <c r="J550">
        <v>5</v>
      </c>
      <c r="K550">
        <v>0</v>
      </c>
      <c r="L550">
        <v>40.949999999999903</v>
      </c>
      <c r="M550" t="s">
        <v>32</v>
      </c>
    </row>
    <row r="551" spans="1:13">
      <c r="A551" t="s">
        <v>1020</v>
      </c>
      <c r="B551" s="1">
        <v>41780</v>
      </c>
      <c r="C551" s="1">
        <v>41782</v>
      </c>
      <c r="D551" t="s">
        <v>1021</v>
      </c>
      <c r="E551" t="s">
        <v>92</v>
      </c>
      <c r="F551" t="s">
        <v>89</v>
      </c>
      <c r="G551" t="s">
        <v>16</v>
      </c>
      <c r="H551" t="s">
        <v>2662</v>
      </c>
      <c r="I551">
        <v>2544.2399999999998</v>
      </c>
      <c r="J551">
        <v>6</v>
      </c>
      <c r="K551">
        <v>0</v>
      </c>
      <c r="L551">
        <v>992.15999999999894</v>
      </c>
      <c r="M551" t="s">
        <v>32</v>
      </c>
    </row>
    <row r="552" spans="1:13">
      <c r="A552" t="s">
        <v>845</v>
      </c>
      <c r="B552" s="1">
        <v>41585</v>
      </c>
      <c r="C552" s="1">
        <v>41590</v>
      </c>
      <c r="D552" t="s">
        <v>503</v>
      </c>
      <c r="E552" t="s">
        <v>35</v>
      </c>
      <c r="F552" t="s">
        <v>36</v>
      </c>
      <c r="G552" t="s">
        <v>154</v>
      </c>
      <c r="H552" t="s">
        <v>2663</v>
      </c>
      <c r="I552">
        <v>23.64</v>
      </c>
      <c r="J552">
        <v>3</v>
      </c>
      <c r="K552">
        <v>0.2</v>
      </c>
      <c r="L552">
        <v>5.319</v>
      </c>
      <c r="M552" t="s">
        <v>1022</v>
      </c>
    </row>
    <row r="553" spans="1:13">
      <c r="B553" s="1">
        <v>42182</v>
      </c>
      <c r="C553" t="s">
        <v>1023</v>
      </c>
      <c r="D553" t="s">
        <v>976</v>
      </c>
      <c r="E553" t="s">
        <v>84</v>
      </c>
      <c r="F553" t="s">
        <v>85</v>
      </c>
      <c r="G553" t="s">
        <v>28</v>
      </c>
      <c r="H553" t="s">
        <v>2656</v>
      </c>
      <c r="I553">
        <v>1314.45</v>
      </c>
      <c r="J553">
        <v>3</v>
      </c>
      <c r="K553">
        <v>0</v>
      </c>
      <c r="L553">
        <v>341.73</v>
      </c>
      <c r="M553" t="s">
        <v>17</v>
      </c>
    </row>
    <row r="554" spans="1:13">
      <c r="A554" t="s">
        <v>912</v>
      </c>
      <c r="B554" s="1">
        <v>42267</v>
      </c>
      <c r="C554" s="1">
        <v>42273</v>
      </c>
      <c r="D554" t="s">
        <v>503</v>
      </c>
      <c r="E554" t="s">
        <v>35</v>
      </c>
      <c r="F554" t="s">
        <v>38</v>
      </c>
      <c r="G554" t="s">
        <v>39</v>
      </c>
      <c r="H554" t="s">
        <v>2658</v>
      </c>
      <c r="I554">
        <v>12.624000000000001</v>
      </c>
      <c r="K554">
        <v>0.2</v>
      </c>
      <c r="L554">
        <v>-2.5247999999999999</v>
      </c>
      <c r="M554" t="s">
        <v>65</v>
      </c>
    </row>
    <row r="555" spans="1:13">
      <c r="A555" t="s">
        <v>1024</v>
      </c>
      <c r="B555" s="1">
        <v>41845</v>
      </c>
      <c r="D555" t="s">
        <v>1025</v>
      </c>
      <c r="F555" t="s">
        <v>1026</v>
      </c>
      <c r="G555" t="s">
        <v>28</v>
      </c>
      <c r="H555" t="s">
        <v>2663</v>
      </c>
      <c r="I555">
        <v>980.31999999999903</v>
      </c>
      <c r="J555">
        <v>2</v>
      </c>
      <c r="K555">
        <v>0.2</v>
      </c>
      <c r="L555">
        <v>110.28</v>
      </c>
      <c r="M555" t="s">
        <v>17</v>
      </c>
    </row>
    <row r="556" spans="1:13">
      <c r="A556" t="s">
        <v>821</v>
      </c>
      <c r="B556" s="1">
        <v>42328</v>
      </c>
      <c r="C556" s="1">
        <v>42332</v>
      </c>
      <c r="D556" t="s">
        <v>503</v>
      </c>
      <c r="E556" t="s">
        <v>35</v>
      </c>
      <c r="F556" t="s">
        <v>142</v>
      </c>
      <c r="G556" t="s">
        <v>39</v>
      </c>
      <c r="H556" t="s">
        <v>2662</v>
      </c>
      <c r="I556">
        <v>21.96</v>
      </c>
      <c r="J556">
        <v>2</v>
      </c>
      <c r="K556">
        <v>0</v>
      </c>
      <c r="L556">
        <v>10.760400000000001</v>
      </c>
      <c r="M556" t="s">
        <v>17</v>
      </c>
    </row>
    <row r="557" spans="1:13">
      <c r="A557" t="s">
        <v>1027</v>
      </c>
      <c r="B557" s="1">
        <v>41208</v>
      </c>
      <c r="C557" s="1">
        <v>41210</v>
      </c>
      <c r="D557" t="s">
        <v>1028</v>
      </c>
      <c r="E557" t="s">
        <v>58</v>
      </c>
      <c r="F557" t="s">
        <v>81</v>
      </c>
      <c r="G557" t="s">
        <v>28</v>
      </c>
      <c r="H557" t="s">
        <v>2658</v>
      </c>
      <c r="I557">
        <v>2470.5</v>
      </c>
      <c r="J557">
        <v>6</v>
      </c>
      <c r="K557">
        <v>0</v>
      </c>
      <c r="L557">
        <v>518.76</v>
      </c>
      <c r="M557" t="s">
        <v>216</v>
      </c>
    </row>
    <row r="558" spans="1:13">
      <c r="A558" t="s">
        <v>845</v>
      </c>
      <c r="B558" s="1">
        <v>41585</v>
      </c>
      <c r="C558" s="1">
        <v>41619</v>
      </c>
      <c r="D558" t="s">
        <v>503</v>
      </c>
      <c r="E558" t="s">
        <v>35</v>
      </c>
      <c r="F558" t="s">
        <v>36</v>
      </c>
      <c r="G558" t="s">
        <v>39</v>
      </c>
      <c r="H558" t="s">
        <v>2657</v>
      </c>
      <c r="I558">
        <v>32.059999999999903</v>
      </c>
      <c r="J558">
        <v>10</v>
      </c>
      <c r="K558">
        <v>0.8</v>
      </c>
      <c r="L558">
        <v>-51.295999999999999</v>
      </c>
      <c r="M558" t="s">
        <v>17</v>
      </c>
    </row>
    <row r="559" spans="1:13">
      <c r="A559" t="s">
        <v>1029</v>
      </c>
      <c r="B559" s="1">
        <v>41634</v>
      </c>
      <c r="C559" s="1">
        <v>41635</v>
      </c>
      <c r="D559" t="s">
        <v>1030</v>
      </c>
      <c r="E559" t="s">
        <v>27</v>
      </c>
      <c r="F559" t="s">
        <v>15</v>
      </c>
      <c r="G559" t="s">
        <v>28</v>
      </c>
      <c r="H559" t="s">
        <v>2663</v>
      </c>
      <c r="J559">
        <v>2</v>
      </c>
      <c r="K559">
        <v>0</v>
      </c>
      <c r="L559">
        <v>105.24</v>
      </c>
      <c r="M559" t="s">
        <v>23</v>
      </c>
    </row>
    <row r="560" spans="1:13">
      <c r="A560" t="s">
        <v>829</v>
      </c>
      <c r="B560" s="1">
        <v>41262</v>
      </c>
      <c r="C560" s="1">
        <v>41265</v>
      </c>
      <c r="D560" t="s">
        <v>503</v>
      </c>
      <c r="E560" t="s">
        <v>35</v>
      </c>
      <c r="F560" t="s">
        <v>1031</v>
      </c>
      <c r="G560" t="s">
        <v>39</v>
      </c>
      <c r="H560" t="s">
        <v>2657</v>
      </c>
      <c r="I560">
        <v>3.69</v>
      </c>
      <c r="J560">
        <v>1</v>
      </c>
      <c r="K560">
        <v>0</v>
      </c>
      <c r="L560">
        <v>1.7343</v>
      </c>
      <c r="M560" t="s">
        <v>17</v>
      </c>
    </row>
    <row r="561" spans="1:13">
      <c r="A561" t="s">
        <v>1032</v>
      </c>
      <c r="B561" s="1">
        <v>41401</v>
      </c>
      <c r="C561" s="2">
        <v>41552</v>
      </c>
      <c r="D561" t="s">
        <v>1033</v>
      </c>
      <c r="E561" t="s">
        <v>27</v>
      </c>
      <c r="F561" t="s">
        <v>15</v>
      </c>
      <c r="G561" t="s">
        <v>16</v>
      </c>
      <c r="H561" t="s">
        <v>2663</v>
      </c>
      <c r="I561">
        <v>1917.36</v>
      </c>
      <c r="J561">
        <v>6</v>
      </c>
      <c r="K561">
        <v>0</v>
      </c>
      <c r="L561">
        <v>747.72</v>
      </c>
      <c r="M561" t="s">
        <v>17</v>
      </c>
    </row>
    <row r="562" spans="1:13">
      <c r="A562" t="s">
        <v>1034</v>
      </c>
      <c r="B562" s="1">
        <v>40916</v>
      </c>
      <c r="C562" s="1">
        <v>40920</v>
      </c>
      <c r="D562" t="s">
        <v>1035</v>
      </c>
      <c r="E562" t="s">
        <v>58</v>
      </c>
      <c r="F562" t="s">
        <v>81</v>
      </c>
      <c r="G562" t="s">
        <v>16</v>
      </c>
      <c r="H562" t="s">
        <v>2658</v>
      </c>
      <c r="I562">
        <v>2173.5</v>
      </c>
      <c r="J562">
        <v>7</v>
      </c>
      <c r="K562">
        <v>0</v>
      </c>
      <c r="L562">
        <v>260.82</v>
      </c>
      <c r="M562" t="s">
        <v>17</v>
      </c>
    </row>
    <row r="563" spans="1:13">
      <c r="A563" t="s">
        <v>1036</v>
      </c>
      <c r="B563" s="1">
        <v>41992</v>
      </c>
      <c r="C563" s="1">
        <v>41995</v>
      </c>
      <c r="D563" t="s">
        <v>1037</v>
      </c>
      <c r="F563" t="s">
        <v>38</v>
      </c>
      <c r="G563" t="s">
        <v>28</v>
      </c>
      <c r="H563" t="s">
        <v>2657</v>
      </c>
      <c r="I563">
        <v>377.45</v>
      </c>
      <c r="J563">
        <v>5</v>
      </c>
      <c r="K563">
        <v>0.5</v>
      </c>
      <c r="L563">
        <v>-264.21499999999997</v>
      </c>
      <c r="M563" t="s">
        <v>17</v>
      </c>
    </row>
    <row r="564" spans="1:13">
      <c r="A564" t="s">
        <v>1038</v>
      </c>
      <c r="B564" s="1">
        <v>42103</v>
      </c>
      <c r="C564" s="1">
        <v>42107</v>
      </c>
      <c r="D564" t="s">
        <v>1037</v>
      </c>
      <c r="E564" t="s">
        <v>35</v>
      </c>
      <c r="F564" t="s">
        <v>38</v>
      </c>
      <c r="G564" t="s">
        <v>39</v>
      </c>
      <c r="H564" t="s">
        <v>2662</v>
      </c>
      <c r="I564">
        <v>195.76</v>
      </c>
      <c r="J564">
        <v>4</v>
      </c>
      <c r="K564">
        <v>0</v>
      </c>
      <c r="L564">
        <v>97.88</v>
      </c>
      <c r="M564" t="s">
        <v>32</v>
      </c>
    </row>
    <row r="565" spans="1:13">
      <c r="A565" t="s">
        <v>1039</v>
      </c>
      <c r="B565" s="1">
        <v>41077</v>
      </c>
      <c r="C565" s="1">
        <v>41079</v>
      </c>
      <c r="D565" t="s">
        <v>468</v>
      </c>
      <c r="E565" t="s">
        <v>186</v>
      </c>
      <c r="F565" t="s">
        <v>68</v>
      </c>
      <c r="G565" t="s">
        <v>28</v>
      </c>
      <c r="H565" t="s">
        <v>2661</v>
      </c>
      <c r="I565">
        <v>1814.25</v>
      </c>
      <c r="J565">
        <v>5</v>
      </c>
      <c r="K565">
        <v>0</v>
      </c>
      <c r="L565">
        <v>653.1</v>
      </c>
      <c r="M565" t="s">
        <v>32</v>
      </c>
    </row>
    <row r="566" spans="1:13">
      <c r="B566" s="1">
        <v>41283</v>
      </c>
      <c r="C566" s="1">
        <v>41284</v>
      </c>
      <c r="D566" t="s">
        <v>1040</v>
      </c>
      <c r="E566" t="s">
        <v>1041</v>
      </c>
      <c r="F566" t="s">
        <v>85</v>
      </c>
      <c r="G566" t="s">
        <v>39</v>
      </c>
      <c r="H566" t="s">
        <v>2661</v>
      </c>
      <c r="I566">
        <v>1293.67499999999</v>
      </c>
      <c r="J566">
        <v>5</v>
      </c>
      <c r="K566">
        <v>0.5</v>
      </c>
      <c r="L566">
        <v>-776.32499999999902</v>
      </c>
      <c r="M566" t="s">
        <v>23</v>
      </c>
    </row>
    <row r="567" spans="1:13">
      <c r="A567" t="s">
        <v>1042</v>
      </c>
      <c r="B567" s="1">
        <v>42046</v>
      </c>
      <c r="C567" s="1">
        <v>42050</v>
      </c>
      <c r="D567" t="s">
        <v>372</v>
      </c>
      <c r="E567" t="s">
        <v>186</v>
      </c>
      <c r="F567" t="s">
        <v>68</v>
      </c>
      <c r="G567" t="s">
        <v>39</v>
      </c>
      <c r="H567" t="s">
        <v>2663</v>
      </c>
      <c r="I567">
        <v>2477.5500000000002</v>
      </c>
      <c r="J567">
        <v>5</v>
      </c>
      <c r="K567">
        <v>0</v>
      </c>
    </row>
    <row r="568" spans="1:13">
      <c r="A568" t="s">
        <v>1043</v>
      </c>
      <c r="B568" s="1">
        <v>41107</v>
      </c>
      <c r="C568" s="1">
        <v>41107</v>
      </c>
      <c r="D568" t="s">
        <v>1037</v>
      </c>
      <c r="E568" t="s">
        <v>35</v>
      </c>
      <c r="F568" t="s">
        <v>38</v>
      </c>
      <c r="G568" t="s">
        <v>28</v>
      </c>
      <c r="H568" t="s">
        <v>2661</v>
      </c>
      <c r="I568">
        <v>259.13600000000002</v>
      </c>
      <c r="J568" t="s">
        <v>1044</v>
      </c>
      <c r="K568">
        <v>0.2</v>
      </c>
      <c r="M568" t="s">
        <v>342</v>
      </c>
    </row>
    <row r="569" spans="1:13">
      <c r="A569" t="s">
        <v>1045</v>
      </c>
      <c r="B569" s="1">
        <v>41376</v>
      </c>
      <c r="C569" s="1">
        <v>41378</v>
      </c>
      <c r="D569" t="s">
        <v>1046</v>
      </c>
      <c r="E569" t="s">
        <v>105</v>
      </c>
      <c r="F569" t="s">
        <v>106</v>
      </c>
      <c r="G569" t="s">
        <v>16</v>
      </c>
      <c r="H569" t="s">
        <v>2661</v>
      </c>
      <c r="I569">
        <v>723.3</v>
      </c>
      <c r="J569">
        <v>2</v>
      </c>
      <c r="K569">
        <v>0</v>
      </c>
      <c r="L569">
        <v>332.7</v>
      </c>
      <c r="M569" t="s">
        <v>23</v>
      </c>
    </row>
    <row r="570" spans="1:13">
      <c r="A570" t="s">
        <v>1047</v>
      </c>
      <c r="B570" s="1">
        <v>42007</v>
      </c>
      <c r="C570" s="1">
        <v>42008</v>
      </c>
      <c r="D570" t="s">
        <v>1048</v>
      </c>
      <c r="E570" t="s">
        <v>186</v>
      </c>
      <c r="F570" t="s">
        <v>68</v>
      </c>
      <c r="G570" t="s">
        <v>16</v>
      </c>
      <c r="H570" t="s">
        <v>2654</v>
      </c>
      <c r="I570">
        <v>2097.12</v>
      </c>
      <c r="J570">
        <v>8</v>
      </c>
      <c r="K570">
        <v>0</v>
      </c>
      <c r="L570">
        <v>188.64</v>
      </c>
      <c r="M570" t="s">
        <v>32</v>
      </c>
    </row>
    <row r="571" spans="1:13">
      <c r="A571" t="s">
        <v>1038</v>
      </c>
      <c r="B571" t="s">
        <v>1049</v>
      </c>
      <c r="C571" s="1">
        <v>42107</v>
      </c>
      <c r="D571" t="s">
        <v>1037</v>
      </c>
      <c r="E571" t="s">
        <v>35</v>
      </c>
      <c r="F571" t="s">
        <v>38</v>
      </c>
      <c r="G571" t="s">
        <v>39</v>
      </c>
      <c r="H571" t="s">
        <v>2657</v>
      </c>
      <c r="I571">
        <v>244.54999999999899</v>
      </c>
      <c r="J571">
        <v>5</v>
      </c>
      <c r="L571">
        <v>114.938499999999</v>
      </c>
      <c r="M571" t="s">
        <v>32</v>
      </c>
    </row>
    <row r="572" spans="1:13">
      <c r="A572" t="s">
        <v>1050</v>
      </c>
      <c r="B572" t="s">
        <v>1051</v>
      </c>
      <c r="C572" s="1">
        <v>42357</v>
      </c>
      <c r="D572" t="s">
        <v>1052</v>
      </c>
      <c r="E572" t="s">
        <v>542</v>
      </c>
      <c r="F572" t="s">
        <v>81</v>
      </c>
      <c r="G572" t="s">
        <v>39</v>
      </c>
      <c r="H572" t="s">
        <v>2657</v>
      </c>
      <c r="I572">
        <v>3242.88</v>
      </c>
      <c r="K572">
        <v>0</v>
      </c>
      <c r="L572">
        <v>421.56</v>
      </c>
      <c r="M572" t="s">
        <v>17</v>
      </c>
    </row>
    <row r="573" spans="1:13">
      <c r="A573" t="s">
        <v>1053</v>
      </c>
      <c r="B573" s="1">
        <v>42188</v>
      </c>
      <c r="C573" s="1">
        <v>42191</v>
      </c>
      <c r="D573" t="s">
        <v>1037</v>
      </c>
      <c r="E573" t="s">
        <v>35</v>
      </c>
      <c r="G573" t="s">
        <v>39</v>
      </c>
      <c r="H573" t="s">
        <v>2664</v>
      </c>
      <c r="I573">
        <v>163.96</v>
      </c>
      <c r="J573">
        <v>5</v>
      </c>
      <c r="K573">
        <v>0.2</v>
      </c>
      <c r="L573">
        <v>59.435499999999998</v>
      </c>
      <c r="M573" t="s">
        <v>17</v>
      </c>
    </row>
    <row r="574" spans="1:13">
      <c r="A574" t="s">
        <v>1054</v>
      </c>
      <c r="B574" s="1">
        <v>42234</v>
      </c>
      <c r="C574" s="1">
        <v>42240</v>
      </c>
      <c r="D574" t="s">
        <v>1037</v>
      </c>
      <c r="E574" t="s">
        <v>35</v>
      </c>
      <c r="F574" t="s">
        <v>142</v>
      </c>
      <c r="G574" t="s">
        <v>16</v>
      </c>
      <c r="H574" t="s">
        <v>2661</v>
      </c>
      <c r="I574">
        <v>98.16</v>
      </c>
      <c r="J574" t="s">
        <v>31</v>
      </c>
      <c r="K574">
        <v>0</v>
      </c>
      <c r="L574">
        <v>9.8159999999999901</v>
      </c>
      <c r="M574" t="s">
        <v>65</v>
      </c>
    </row>
    <row r="575" spans="1:13">
      <c r="A575" t="s">
        <v>1055</v>
      </c>
      <c r="B575" s="2">
        <v>42284</v>
      </c>
      <c r="C575" s="1">
        <v>42285</v>
      </c>
      <c r="E575" t="s">
        <v>67</v>
      </c>
      <c r="F575" t="s">
        <v>68</v>
      </c>
      <c r="G575" t="s">
        <v>28</v>
      </c>
      <c r="H575" t="s">
        <v>2658</v>
      </c>
      <c r="J575">
        <v>4</v>
      </c>
      <c r="K575">
        <v>0</v>
      </c>
      <c r="L575">
        <v>226.92</v>
      </c>
      <c r="M575" t="s">
        <v>23</v>
      </c>
    </row>
    <row r="576" spans="1:13">
      <c r="A576" t="s">
        <v>1056</v>
      </c>
      <c r="B576" s="1">
        <v>41810</v>
      </c>
      <c r="C576" s="1">
        <v>41814</v>
      </c>
      <c r="D576" t="s">
        <v>954</v>
      </c>
      <c r="E576" t="s">
        <v>1057</v>
      </c>
      <c r="F576" t="s">
        <v>78</v>
      </c>
      <c r="G576" t="s">
        <v>39</v>
      </c>
      <c r="H576" t="s">
        <v>2659</v>
      </c>
      <c r="I576">
        <v>3955.14</v>
      </c>
      <c r="J576">
        <v>14</v>
      </c>
      <c r="K576">
        <v>0</v>
      </c>
      <c r="L576">
        <v>1383.9</v>
      </c>
      <c r="M576" t="s">
        <v>32</v>
      </c>
    </row>
    <row r="577" spans="1:13">
      <c r="A577" t="s">
        <v>1058</v>
      </c>
      <c r="B577" s="1">
        <v>42196</v>
      </c>
      <c r="C577" s="1">
        <v>42199</v>
      </c>
      <c r="E577" t="s">
        <v>1059</v>
      </c>
      <c r="F577" t="s">
        <v>132</v>
      </c>
      <c r="G577" t="s">
        <v>28</v>
      </c>
      <c r="H577" t="s">
        <v>2663</v>
      </c>
      <c r="J577">
        <v>6</v>
      </c>
      <c r="K577">
        <v>7.0000000000000007E-2</v>
      </c>
      <c r="L577">
        <v>231.26400000000001</v>
      </c>
      <c r="M577" t="s">
        <v>32</v>
      </c>
    </row>
    <row r="578" spans="1:13">
      <c r="A578" t="s">
        <v>1060</v>
      </c>
      <c r="B578" s="1">
        <v>42118</v>
      </c>
      <c r="C578" s="1">
        <v>42121</v>
      </c>
      <c r="D578" t="s">
        <v>1061</v>
      </c>
      <c r="E578" t="s">
        <v>20</v>
      </c>
      <c r="F578" t="s">
        <v>63</v>
      </c>
      <c r="G578" t="s">
        <v>16</v>
      </c>
      <c r="H578" t="s">
        <v>2661</v>
      </c>
      <c r="I578">
        <v>2305.2600000000002</v>
      </c>
      <c r="J578">
        <v>9</v>
      </c>
      <c r="K578">
        <v>0</v>
      </c>
      <c r="L578">
        <v>9054.2758390963409</v>
      </c>
      <c r="M578" t="s">
        <v>216</v>
      </c>
    </row>
    <row r="579" spans="1:13">
      <c r="A579" t="s">
        <v>1062</v>
      </c>
      <c r="B579" s="1">
        <v>41032</v>
      </c>
      <c r="C579" s="1">
        <v>41036</v>
      </c>
      <c r="D579" t="s">
        <v>1063</v>
      </c>
      <c r="E579" t="s">
        <v>92</v>
      </c>
      <c r="F579" t="s">
        <v>89</v>
      </c>
      <c r="G579" t="s">
        <v>28</v>
      </c>
      <c r="H579" t="s">
        <v>2663</v>
      </c>
      <c r="I579">
        <v>2833.7599999999902</v>
      </c>
      <c r="J579">
        <v>10</v>
      </c>
      <c r="K579">
        <v>0.2</v>
      </c>
      <c r="L579">
        <v>35.3599999999998</v>
      </c>
      <c r="M579" t="s">
        <v>32</v>
      </c>
    </row>
    <row r="580" spans="1:13">
      <c r="A580" t="s">
        <v>1064</v>
      </c>
      <c r="B580" s="1">
        <v>41187</v>
      </c>
      <c r="C580" s="1">
        <v>41191</v>
      </c>
      <c r="E580" t="s">
        <v>105</v>
      </c>
      <c r="F580" t="s">
        <v>106</v>
      </c>
      <c r="G580" t="s">
        <v>39</v>
      </c>
      <c r="H580" t="s">
        <v>2654</v>
      </c>
      <c r="I580">
        <v>2077.3199999999902</v>
      </c>
      <c r="J580">
        <v>4</v>
      </c>
      <c r="K580">
        <v>0</v>
      </c>
      <c r="L580">
        <v>581.64</v>
      </c>
      <c r="M580" t="s">
        <v>17</v>
      </c>
    </row>
    <row r="581" spans="1:13">
      <c r="A581" t="s">
        <v>1065</v>
      </c>
      <c r="B581" s="1">
        <v>42320</v>
      </c>
      <c r="C581" s="1">
        <v>42324</v>
      </c>
      <c r="D581" t="s">
        <v>1066</v>
      </c>
      <c r="E581" t="s">
        <v>558</v>
      </c>
      <c r="F581" t="s">
        <v>1067</v>
      </c>
      <c r="G581" t="s">
        <v>28</v>
      </c>
      <c r="H581" t="s">
        <v>2658</v>
      </c>
      <c r="I581">
        <v>1916.8799999999901</v>
      </c>
      <c r="J581">
        <v>7</v>
      </c>
      <c r="K581">
        <v>0</v>
      </c>
      <c r="L581">
        <v>939.26</v>
      </c>
      <c r="M581" t="s">
        <v>32</v>
      </c>
    </row>
    <row r="582" spans="1:13">
      <c r="A582" t="s">
        <v>514</v>
      </c>
      <c r="B582" s="1">
        <v>42355</v>
      </c>
      <c r="C582" s="1">
        <v>42357</v>
      </c>
      <c r="D582" t="s">
        <v>515</v>
      </c>
      <c r="E582" t="s">
        <v>200</v>
      </c>
      <c r="F582" t="s">
        <v>89</v>
      </c>
      <c r="G582" t="s">
        <v>28</v>
      </c>
      <c r="H582" t="s">
        <v>2661</v>
      </c>
      <c r="I582">
        <v>1212.5</v>
      </c>
      <c r="J582">
        <v>5</v>
      </c>
      <c r="K582">
        <v>0</v>
      </c>
      <c r="L582">
        <v>606.20000000000005</v>
      </c>
      <c r="M582" t="s">
        <v>23</v>
      </c>
    </row>
    <row r="583" spans="1:13">
      <c r="A583" t="s">
        <v>1054</v>
      </c>
      <c r="C583" s="1">
        <v>42240</v>
      </c>
      <c r="D583" t="s">
        <v>1037</v>
      </c>
      <c r="E583" t="s">
        <v>35</v>
      </c>
      <c r="F583" t="s">
        <v>142</v>
      </c>
      <c r="G583" t="s">
        <v>39</v>
      </c>
      <c r="H583" t="s">
        <v>2663</v>
      </c>
      <c r="I583">
        <v>102.93</v>
      </c>
      <c r="K583">
        <v>0</v>
      </c>
      <c r="L583">
        <v>48.377099999999999</v>
      </c>
      <c r="M583" t="s">
        <v>65</v>
      </c>
    </row>
    <row r="584" spans="1:13">
      <c r="A584" t="s">
        <v>1068</v>
      </c>
      <c r="B584" s="1">
        <v>41734</v>
      </c>
      <c r="C584" s="1">
        <v>41737</v>
      </c>
      <c r="D584" t="s">
        <v>1069</v>
      </c>
      <c r="E584" t="s">
        <v>62</v>
      </c>
      <c r="F584" t="s">
        <v>63</v>
      </c>
      <c r="G584" t="s">
        <v>16</v>
      </c>
      <c r="H584" t="s">
        <v>2663</v>
      </c>
      <c r="I584">
        <v>1622.5649999999901</v>
      </c>
      <c r="J584">
        <v>3</v>
      </c>
      <c r="K584">
        <v>0.15</v>
      </c>
      <c r="L584">
        <v>133.604999999999</v>
      </c>
      <c r="M584" t="s">
        <v>17</v>
      </c>
    </row>
    <row r="585" spans="1:13">
      <c r="A585" t="s">
        <v>624</v>
      </c>
      <c r="B585" s="1">
        <v>42266</v>
      </c>
      <c r="C585" s="1">
        <v>42266</v>
      </c>
      <c r="D585" t="s">
        <v>625</v>
      </c>
      <c r="E585" t="s">
        <v>27</v>
      </c>
      <c r="F585" t="s">
        <v>15</v>
      </c>
      <c r="G585" t="s">
        <v>16</v>
      </c>
      <c r="H585" t="s">
        <v>2655</v>
      </c>
      <c r="I585">
        <v>856.44</v>
      </c>
      <c r="J585">
        <v>6</v>
      </c>
      <c r="K585">
        <v>0</v>
      </c>
      <c r="M585" t="s">
        <v>23</v>
      </c>
    </row>
    <row r="586" spans="1:13">
      <c r="A586" t="s">
        <v>1036</v>
      </c>
      <c r="B586" s="1">
        <v>41992</v>
      </c>
      <c r="C586" s="1">
        <v>41995</v>
      </c>
      <c r="D586" t="s">
        <v>1037</v>
      </c>
      <c r="E586" t="s">
        <v>35</v>
      </c>
      <c r="F586" t="s">
        <v>38</v>
      </c>
      <c r="G586" t="s">
        <v>39</v>
      </c>
      <c r="H586" t="s">
        <v>2656</v>
      </c>
      <c r="I586">
        <v>45.24</v>
      </c>
      <c r="K586">
        <v>0.7</v>
      </c>
      <c r="L586">
        <v>-30.159999999999901</v>
      </c>
      <c r="M586" t="s">
        <v>17</v>
      </c>
    </row>
    <row r="587" spans="1:13">
      <c r="B587" s="1">
        <v>42195</v>
      </c>
      <c r="C587" s="1">
        <v>42199</v>
      </c>
      <c r="E587" t="s">
        <v>20</v>
      </c>
      <c r="F587" t="s">
        <v>666</v>
      </c>
      <c r="G587" t="s">
        <v>28</v>
      </c>
      <c r="H587" t="s">
        <v>2657</v>
      </c>
      <c r="I587">
        <v>1361.0429999999999</v>
      </c>
      <c r="J587">
        <v>9</v>
      </c>
      <c r="K587">
        <v>0.1</v>
      </c>
      <c r="L587">
        <v>196.53299999999899</v>
      </c>
      <c r="M587" t="s">
        <v>32</v>
      </c>
    </row>
    <row r="588" spans="1:13">
      <c r="A588" t="s">
        <v>1070</v>
      </c>
      <c r="B588" s="1">
        <v>42283</v>
      </c>
      <c r="C588" s="1">
        <v>42289</v>
      </c>
      <c r="D588" t="s">
        <v>1071</v>
      </c>
      <c r="E588" t="s">
        <v>58</v>
      </c>
      <c r="F588" t="s">
        <v>81</v>
      </c>
      <c r="G588" t="s">
        <v>16</v>
      </c>
      <c r="H588" t="s">
        <v>2658</v>
      </c>
      <c r="I588">
        <v>3391.74</v>
      </c>
      <c r="J588">
        <v>9</v>
      </c>
      <c r="K588">
        <v>0</v>
      </c>
      <c r="L588">
        <v>271.08</v>
      </c>
      <c r="M588" t="s">
        <v>17</v>
      </c>
    </row>
    <row r="589" spans="1:13">
      <c r="A589" t="s">
        <v>1072</v>
      </c>
      <c r="B589" s="1">
        <v>41791</v>
      </c>
      <c r="C589" s="1">
        <v>41797</v>
      </c>
      <c r="D589" t="s">
        <v>1073</v>
      </c>
      <c r="E589" t="s">
        <v>110</v>
      </c>
      <c r="F589" t="s">
        <v>111</v>
      </c>
      <c r="G589" t="s">
        <v>16</v>
      </c>
      <c r="H589" t="s">
        <v>2663</v>
      </c>
      <c r="J589">
        <v>7</v>
      </c>
      <c r="K589">
        <v>0.2</v>
      </c>
      <c r="M589" t="s">
        <v>65</v>
      </c>
    </row>
    <row r="590" spans="1:13">
      <c r="A590" t="s">
        <v>1074</v>
      </c>
      <c r="B590" s="1">
        <v>41506</v>
      </c>
      <c r="C590" s="1">
        <v>41508</v>
      </c>
      <c r="D590" t="s">
        <v>1075</v>
      </c>
      <c r="E590" t="s">
        <v>425</v>
      </c>
      <c r="F590" t="s">
        <v>426</v>
      </c>
      <c r="G590" t="s">
        <v>28</v>
      </c>
      <c r="H590" t="s">
        <v>2657</v>
      </c>
      <c r="I590">
        <v>889.02</v>
      </c>
      <c r="J590">
        <v>6</v>
      </c>
      <c r="K590">
        <v>0</v>
      </c>
      <c r="L590">
        <v>320.04000000000002</v>
      </c>
      <c r="M590" t="s">
        <v>23</v>
      </c>
    </row>
    <row r="591" spans="1:13">
      <c r="A591" t="s">
        <v>1076</v>
      </c>
      <c r="B591" s="1">
        <v>41150</v>
      </c>
      <c r="C591" s="1">
        <v>41150</v>
      </c>
      <c r="D591" t="s">
        <v>1077</v>
      </c>
      <c r="E591" t="s">
        <v>452</v>
      </c>
      <c r="F591" t="s">
        <v>78</v>
      </c>
      <c r="G591" t="s">
        <v>28</v>
      </c>
      <c r="H591" t="s">
        <v>2656</v>
      </c>
      <c r="I591">
        <v>1782.48</v>
      </c>
      <c r="J591">
        <v>4</v>
      </c>
      <c r="K591">
        <v>0</v>
      </c>
      <c r="L591">
        <v>873.36</v>
      </c>
      <c r="M591" t="s">
        <v>32</v>
      </c>
    </row>
    <row r="592" spans="1:13">
      <c r="A592" t="s">
        <v>1078</v>
      </c>
      <c r="B592" s="1">
        <v>41612</v>
      </c>
      <c r="C592" s="1">
        <v>41613</v>
      </c>
      <c r="D592" t="s">
        <v>647</v>
      </c>
      <c r="E592" t="s">
        <v>62</v>
      </c>
      <c r="F592" t="s">
        <v>63</v>
      </c>
      <c r="G592" t="s">
        <v>16</v>
      </c>
      <c r="H592" t="s">
        <v>2663</v>
      </c>
      <c r="I592">
        <v>667.76849999999899</v>
      </c>
      <c r="J592">
        <v>3</v>
      </c>
      <c r="K592">
        <v>0.15</v>
      </c>
      <c r="L592">
        <v>274.91849999999999</v>
      </c>
      <c r="M592" t="s">
        <v>23</v>
      </c>
    </row>
    <row r="593" spans="1:13">
      <c r="A593" t="s">
        <v>1079</v>
      </c>
      <c r="B593" s="1">
        <v>42290</v>
      </c>
      <c r="C593" s="1">
        <v>42295</v>
      </c>
      <c r="E593" t="s">
        <v>14</v>
      </c>
      <c r="F593" t="s">
        <v>15</v>
      </c>
      <c r="G593" t="s">
        <v>16</v>
      </c>
      <c r="H593" t="s">
        <v>2658</v>
      </c>
      <c r="I593">
        <v>1612.84499999999</v>
      </c>
      <c r="J593">
        <v>5</v>
      </c>
      <c r="K593">
        <v>0.1</v>
      </c>
      <c r="L593">
        <v>394.245</v>
      </c>
      <c r="M593" t="s">
        <v>32</v>
      </c>
    </row>
    <row r="594" spans="1:13">
      <c r="A594" t="s">
        <v>1080</v>
      </c>
      <c r="B594" s="1">
        <v>41992</v>
      </c>
      <c r="C594" s="1">
        <v>41994</v>
      </c>
      <c r="D594" t="s">
        <v>1081</v>
      </c>
      <c r="E594" t="s">
        <v>186</v>
      </c>
      <c r="F594" t="s">
        <v>68</v>
      </c>
      <c r="G594" t="s">
        <v>39</v>
      </c>
      <c r="H594" t="s">
        <v>2657</v>
      </c>
      <c r="I594">
        <v>845.20799999999997</v>
      </c>
      <c r="J594">
        <v>7</v>
      </c>
      <c r="K594">
        <v>0.1</v>
      </c>
      <c r="L594">
        <v>-9.4920000000000098</v>
      </c>
      <c r="M594" t="s">
        <v>23</v>
      </c>
    </row>
    <row r="595" spans="1:13">
      <c r="A595" t="s">
        <v>1082</v>
      </c>
      <c r="B595" s="1">
        <v>41441</v>
      </c>
      <c r="C595" s="1">
        <v>41447</v>
      </c>
      <c r="D595" t="s">
        <v>1083</v>
      </c>
      <c r="E595" t="s">
        <v>105</v>
      </c>
      <c r="F595" t="s">
        <v>106</v>
      </c>
      <c r="G595" t="s">
        <v>39</v>
      </c>
      <c r="H595" t="s">
        <v>2657</v>
      </c>
      <c r="I595" t="s">
        <v>1084</v>
      </c>
      <c r="J595">
        <v>9</v>
      </c>
      <c r="K595">
        <v>0</v>
      </c>
      <c r="L595">
        <v>391.77</v>
      </c>
      <c r="M595" t="s">
        <v>17</v>
      </c>
    </row>
    <row r="596" spans="1:13">
      <c r="A596" t="s">
        <v>1085</v>
      </c>
      <c r="B596" s="1">
        <v>41871</v>
      </c>
      <c r="C596" s="1">
        <v>41871</v>
      </c>
      <c r="D596" t="s">
        <v>1086</v>
      </c>
      <c r="E596" t="s">
        <v>1087</v>
      </c>
      <c r="F596" t="s">
        <v>132</v>
      </c>
      <c r="G596" t="s">
        <v>39</v>
      </c>
      <c r="H596" t="s">
        <v>2664</v>
      </c>
      <c r="I596">
        <v>1549.12859999999</v>
      </c>
      <c r="J596">
        <v>6</v>
      </c>
      <c r="K596">
        <v>0.17</v>
      </c>
      <c r="L596">
        <v>-56.111400000000003</v>
      </c>
      <c r="M596" t="s">
        <v>23</v>
      </c>
    </row>
    <row r="597" spans="1:13">
      <c r="A597" t="s">
        <v>1088</v>
      </c>
      <c r="B597" s="1">
        <v>41446</v>
      </c>
      <c r="C597" t="s">
        <v>116</v>
      </c>
      <c r="D597" t="s">
        <v>1089</v>
      </c>
      <c r="E597" t="s">
        <v>88</v>
      </c>
      <c r="F597" t="s">
        <v>89</v>
      </c>
      <c r="G597" t="s">
        <v>16</v>
      </c>
      <c r="H597" t="s">
        <v>2661</v>
      </c>
      <c r="I597">
        <v>1696.4</v>
      </c>
      <c r="J597">
        <v>4</v>
      </c>
      <c r="K597">
        <v>0</v>
      </c>
      <c r="L597">
        <v>67.84</v>
      </c>
      <c r="M597" t="s">
        <v>32</v>
      </c>
    </row>
    <row r="598" spans="1:13">
      <c r="A598" t="s">
        <v>1090</v>
      </c>
      <c r="B598" s="1">
        <v>41417</v>
      </c>
      <c r="C598" s="1">
        <v>41419</v>
      </c>
      <c r="D598" t="s">
        <v>161</v>
      </c>
      <c r="E598" t="s">
        <v>88</v>
      </c>
      <c r="F598" t="s">
        <v>89</v>
      </c>
      <c r="G598" t="s">
        <v>39</v>
      </c>
      <c r="H598" t="s">
        <v>2661</v>
      </c>
      <c r="I598">
        <v>935.5</v>
      </c>
      <c r="J598">
        <v>5</v>
      </c>
      <c r="K598">
        <v>0</v>
      </c>
      <c r="L598">
        <v>168.3</v>
      </c>
      <c r="M598" t="s">
        <v>17</v>
      </c>
    </row>
    <row r="599" spans="1:13">
      <c r="A599" t="s">
        <v>1091</v>
      </c>
      <c r="B599" s="1">
        <v>41759</v>
      </c>
      <c r="C599" s="1">
        <v>41762</v>
      </c>
      <c r="D599" t="s">
        <v>1092</v>
      </c>
      <c r="E599" t="s">
        <v>62</v>
      </c>
      <c r="F599" t="s">
        <v>63</v>
      </c>
      <c r="G599" t="s">
        <v>16</v>
      </c>
      <c r="H599" t="s">
        <v>2656</v>
      </c>
      <c r="J599">
        <v>9</v>
      </c>
      <c r="K599">
        <v>0.15</v>
      </c>
      <c r="L599">
        <v>359.30249999999899</v>
      </c>
      <c r="M599" t="s">
        <v>17</v>
      </c>
    </row>
    <row r="600" spans="1:13">
      <c r="A600" t="s">
        <v>1093</v>
      </c>
      <c r="B600" s="1">
        <v>41440</v>
      </c>
      <c r="C600" s="1">
        <v>41440</v>
      </c>
      <c r="D600" t="s">
        <v>1094</v>
      </c>
      <c r="E600" t="s">
        <v>62</v>
      </c>
      <c r="F600" t="s">
        <v>63</v>
      </c>
      <c r="G600" t="s">
        <v>16</v>
      </c>
      <c r="H600" t="s">
        <v>2661</v>
      </c>
      <c r="I600">
        <v>980.52</v>
      </c>
      <c r="J600">
        <v>4</v>
      </c>
      <c r="K600">
        <v>0</v>
      </c>
      <c r="L600">
        <v>176.39999999999901</v>
      </c>
      <c r="M600" t="s">
        <v>32</v>
      </c>
    </row>
    <row r="601" spans="1:13">
      <c r="A601" t="s">
        <v>1036</v>
      </c>
      <c r="B601" s="1">
        <v>41992</v>
      </c>
      <c r="C601" s="1">
        <v>41995</v>
      </c>
      <c r="D601" t="s">
        <v>1037</v>
      </c>
      <c r="E601" t="s">
        <v>35</v>
      </c>
      <c r="F601" t="s">
        <v>38</v>
      </c>
      <c r="G601" t="s">
        <v>1095</v>
      </c>
      <c r="H601" t="s">
        <v>2662</v>
      </c>
      <c r="I601">
        <v>18.687999999999999</v>
      </c>
      <c r="K601">
        <v>0.2</v>
      </c>
      <c r="L601">
        <v>2.3359999999999901</v>
      </c>
      <c r="M601" t="s">
        <v>17</v>
      </c>
    </row>
    <row r="602" spans="1:13">
      <c r="A602" t="s">
        <v>1096</v>
      </c>
      <c r="B602" s="1">
        <v>41991</v>
      </c>
      <c r="C602" s="1">
        <v>41995</v>
      </c>
      <c r="D602" t="s">
        <v>1097</v>
      </c>
      <c r="E602" t="s">
        <v>62</v>
      </c>
      <c r="F602" t="s">
        <v>63</v>
      </c>
      <c r="G602" t="s">
        <v>16</v>
      </c>
      <c r="H602" t="s">
        <v>2654</v>
      </c>
      <c r="I602">
        <v>1654.64399999999</v>
      </c>
      <c r="J602">
        <v>8</v>
      </c>
      <c r="K602">
        <v>0.15</v>
      </c>
      <c r="L602">
        <v>681.20399999999995</v>
      </c>
      <c r="M602" t="s">
        <v>32</v>
      </c>
    </row>
    <row r="603" spans="1:13">
      <c r="A603" t="s">
        <v>1098</v>
      </c>
      <c r="B603" s="1">
        <v>42206</v>
      </c>
      <c r="C603" s="1">
        <v>42210</v>
      </c>
      <c r="D603" t="s">
        <v>1099</v>
      </c>
      <c r="E603" t="s">
        <v>131</v>
      </c>
      <c r="G603" t="s">
        <v>28</v>
      </c>
      <c r="H603" t="s">
        <v>2657</v>
      </c>
      <c r="I603">
        <v>2063.7683999999999</v>
      </c>
      <c r="J603" t="s">
        <v>55</v>
      </c>
      <c r="L603">
        <v>141.1884</v>
      </c>
      <c r="M603" t="s">
        <v>32</v>
      </c>
    </row>
    <row r="604" spans="1:13">
      <c r="A604" t="s">
        <v>988</v>
      </c>
      <c r="B604" s="1">
        <v>41678</v>
      </c>
      <c r="C604" t="s">
        <v>1100</v>
      </c>
      <c r="D604" t="s">
        <v>167</v>
      </c>
      <c r="E604" t="s">
        <v>221</v>
      </c>
      <c r="F604" t="s">
        <v>222</v>
      </c>
      <c r="G604" t="s">
        <v>16</v>
      </c>
      <c r="H604" t="s">
        <v>2659</v>
      </c>
      <c r="I604">
        <v>1457.28</v>
      </c>
      <c r="J604">
        <v>8</v>
      </c>
      <c r="K604">
        <v>0</v>
      </c>
      <c r="L604">
        <v>3572.9804248258702</v>
      </c>
      <c r="M604" t="s">
        <v>23</v>
      </c>
    </row>
    <row r="605" spans="1:13">
      <c r="A605" t="s">
        <v>1101</v>
      </c>
      <c r="B605" s="1">
        <v>41208</v>
      </c>
      <c r="C605" s="1">
        <v>41210</v>
      </c>
      <c r="D605" t="s">
        <v>1028</v>
      </c>
      <c r="E605" t="s">
        <v>58</v>
      </c>
      <c r="F605" t="s">
        <v>1102</v>
      </c>
      <c r="G605" t="s">
        <v>1103</v>
      </c>
      <c r="H605" t="s">
        <v>2655</v>
      </c>
      <c r="I605">
        <v>1693.23</v>
      </c>
      <c r="K605">
        <v>0</v>
      </c>
      <c r="L605">
        <v>829.5</v>
      </c>
      <c r="M605" t="s">
        <v>17</v>
      </c>
    </row>
    <row r="606" spans="1:13">
      <c r="A606" t="s">
        <v>1104</v>
      </c>
      <c r="B606" s="1">
        <v>41992</v>
      </c>
      <c r="C606" s="1">
        <v>41995</v>
      </c>
      <c r="D606" t="s">
        <v>1037</v>
      </c>
      <c r="E606" t="s">
        <v>35</v>
      </c>
      <c r="F606" t="s">
        <v>38</v>
      </c>
      <c r="G606" t="s">
        <v>16</v>
      </c>
      <c r="H606" t="s">
        <v>2656</v>
      </c>
      <c r="I606">
        <v>28.68</v>
      </c>
      <c r="J606">
        <v>3</v>
      </c>
      <c r="K606">
        <v>0.2</v>
      </c>
      <c r="L606">
        <v>-7.17</v>
      </c>
      <c r="M606" t="s">
        <v>17</v>
      </c>
    </row>
    <row r="607" spans="1:13">
      <c r="A607" t="s">
        <v>1105</v>
      </c>
      <c r="B607" s="1">
        <v>41696</v>
      </c>
      <c r="C607" s="1">
        <v>41699</v>
      </c>
      <c r="D607" t="s">
        <v>320</v>
      </c>
      <c r="E607" t="s">
        <v>1106</v>
      </c>
      <c r="F607" t="s">
        <v>53</v>
      </c>
      <c r="G607" t="s">
        <v>28</v>
      </c>
      <c r="H607" t="s">
        <v>2657</v>
      </c>
      <c r="I607">
        <v>1411.2</v>
      </c>
      <c r="J607">
        <v>6</v>
      </c>
      <c r="K607">
        <v>0.2</v>
      </c>
      <c r="M607" t="s">
        <v>17</v>
      </c>
    </row>
    <row r="608" spans="1:13">
      <c r="A608" t="s">
        <v>1107</v>
      </c>
      <c r="B608" s="1">
        <v>41238</v>
      </c>
      <c r="C608" s="1">
        <v>41242</v>
      </c>
      <c r="D608" t="s">
        <v>475</v>
      </c>
      <c r="E608" t="s">
        <v>20</v>
      </c>
      <c r="F608" t="s">
        <v>63</v>
      </c>
      <c r="G608" t="s">
        <v>39</v>
      </c>
      <c r="H608" t="s">
        <v>2660</v>
      </c>
      <c r="I608">
        <v>2039.796</v>
      </c>
      <c r="J608">
        <v>4</v>
      </c>
      <c r="K608">
        <v>0.1</v>
      </c>
      <c r="L608">
        <v>-113.364</v>
      </c>
      <c r="M608" t="s">
        <v>32</v>
      </c>
    </row>
    <row r="609" spans="1:13">
      <c r="A609" t="s">
        <v>1108</v>
      </c>
      <c r="B609" s="1">
        <v>41506</v>
      </c>
      <c r="C609" s="1">
        <v>41510</v>
      </c>
      <c r="D609" t="s">
        <v>1109</v>
      </c>
      <c r="E609" t="s">
        <v>1110</v>
      </c>
      <c r="F609" t="s">
        <v>81</v>
      </c>
      <c r="G609" t="s">
        <v>16</v>
      </c>
      <c r="H609" t="s">
        <v>2658</v>
      </c>
      <c r="I609">
        <v>5737.5</v>
      </c>
      <c r="J609">
        <v>9</v>
      </c>
      <c r="K609">
        <v>0</v>
      </c>
      <c r="L609">
        <v>630.99</v>
      </c>
      <c r="M609" t="s">
        <v>17</v>
      </c>
    </row>
    <row r="610" spans="1:13">
      <c r="A610" t="s">
        <v>1111</v>
      </c>
      <c r="B610" s="1">
        <v>41418</v>
      </c>
      <c r="C610" s="1">
        <v>41422</v>
      </c>
      <c r="D610" t="s">
        <v>1112</v>
      </c>
      <c r="E610" t="s">
        <v>14</v>
      </c>
      <c r="F610" t="s">
        <v>15</v>
      </c>
      <c r="G610" t="s">
        <v>16</v>
      </c>
      <c r="H610" t="s">
        <v>2661</v>
      </c>
      <c r="I610">
        <v>1641.087</v>
      </c>
      <c r="J610">
        <v>7</v>
      </c>
      <c r="K610">
        <v>0.1</v>
      </c>
      <c r="L610">
        <v>473.90699999999998</v>
      </c>
      <c r="M610" t="s">
        <v>32</v>
      </c>
    </row>
    <row r="611" spans="1:13">
      <c r="A611" t="s">
        <v>1113</v>
      </c>
      <c r="B611" s="1">
        <v>41216</v>
      </c>
      <c r="C611" s="1">
        <v>41220</v>
      </c>
      <c r="D611" t="s">
        <v>1114</v>
      </c>
      <c r="E611" t="s">
        <v>1115</v>
      </c>
      <c r="F611" t="s">
        <v>111</v>
      </c>
      <c r="G611" t="s">
        <v>28</v>
      </c>
      <c r="H611" t="s">
        <v>2656</v>
      </c>
      <c r="I611">
        <v>1380.8999999999901</v>
      </c>
      <c r="J611">
        <v>5</v>
      </c>
      <c r="K611">
        <v>0</v>
      </c>
      <c r="L611">
        <v>303.7</v>
      </c>
      <c r="M611" t="s">
        <v>32</v>
      </c>
    </row>
    <row r="612" spans="1:13">
      <c r="A612" t="s">
        <v>1116</v>
      </c>
      <c r="B612" s="1">
        <v>41173</v>
      </c>
      <c r="C612" s="1">
        <v>41178</v>
      </c>
      <c r="D612" t="s">
        <v>1117</v>
      </c>
      <c r="E612" t="s">
        <v>105</v>
      </c>
      <c r="F612" t="s">
        <v>106</v>
      </c>
      <c r="G612" t="s">
        <v>16</v>
      </c>
      <c r="H612" t="s">
        <v>2657</v>
      </c>
      <c r="I612">
        <v>1917</v>
      </c>
      <c r="J612">
        <v>3</v>
      </c>
      <c r="K612">
        <v>0</v>
      </c>
      <c r="M612" t="s">
        <v>32</v>
      </c>
    </row>
    <row r="613" spans="1:13">
      <c r="A613" t="s">
        <v>1118</v>
      </c>
      <c r="B613" s="1">
        <v>41929</v>
      </c>
      <c r="C613" s="1">
        <v>41931</v>
      </c>
      <c r="D613" t="s">
        <v>1119</v>
      </c>
      <c r="E613" t="s">
        <v>27</v>
      </c>
      <c r="F613" t="s">
        <v>15</v>
      </c>
      <c r="G613" t="s">
        <v>28</v>
      </c>
      <c r="H613" t="s">
        <v>2663</v>
      </c>
      <c r="I613">
        <v>823.5</v>
      </c>
      <c r="J613">
        <v>2</v>
      </c>
      <c r="K613">
        <v>0</v>
      </c>
      <c r="L613">
        <v>172.92</v>
      </c>
      <c r="M613" t="s">
        <v>23</v>
      </c>
    </row>
    <row r="614" spans="1:13">
      <c r="A614" t="s">
        <v>1120</v>
      </c>
      <c r="B614" s="1">
        <v>41992</v>
      </c>
      <c r="C614" s="2">
        <v>41995</v>
      </c>
      <c r="D614" t="s">
        <v>1037</v>
      </c>
      <c r="E614" t="s">
        <v>35</v>
      </c>
      <c r="F614" t="s">
        <v>234</v>
      </c>
      <c r="G614" t="s">
        <v>16</v>
      </c>
      <c r="H614" t="s">
        <v>2656</v>
      </c>
      <c r="J614">
        <v>3</v>
      </c>
      <c r="L614">
        <v>-8.4581999999999908</v>
      </c>
      <c r="M614" t="s">
        <v>17</v>
      </c>
    </row>
    <row r="615" spans="1:13">
      <c r="A615" t="s">
        <v>1121</v>
      </c>
      <c r="B615" s="1">
        <v>41795</v>
      </c>
      <c r="C615" s="1">
        <v>41799</v>
      </c>
      <c r="D615" t="s">
        <v>302</v>
      </c>
      <c r="E615" t="s">
        <v>58</v>
      </c>
      <c r="F615" t="s">
        <v>81</v>
      </c>
      <c r="G615" t="s">
        <v>16</v>
      </c>
      <c r="H615" t="s">
        <v>2663</v>
      </c>
      <c r="I615">
        <v>3180.75</v>
      </c>
      <c r="J615">
        <v>5</v>
      </c>
      <c r="K615">
        <v>0</v>
      </c>
      <c r="L615">
        <v>1081.3499999999999</v>
      </c>
      <c r="M615" t="s">
        <v>17</v>
      </c>
    </row>
    <row r="616" spans="1:13">
      <c r="A616" t="s">
        <v>1122</v>
      </c>
      <c r="B616" t="s">
        <v>1123</v>
      </c>
      <c r="C616" s="1">
        <v>41775</v>
      </c>
      <c r="D616" t="s">
        <v>1124</v>
      </c>
      <c r="E616" t="s">
        <v>62</v>
      </c>
      <c r="F616" t="s">
        <v>63</v>
      </c>
      <c r="G616" t="s">
        <v>16</v>
      </c>
      <c r="H616" t="s">
        <v>2655</v>
      </c>
      <c r="I616">
        <v>2910.1875</v>
      </c>
      <c r="J616">
        <v>11</v>
      </c>
      <c r="K616" t="s">
        <v>1125</v>
      </c>
      <c r="L616">
        <v>-68.722500000000096</v>
      </c>
      <c r="M616" t="s">
        <v>32</v>
      </c>
    </row>
    <row r="617" spans="1:13">
      <c r="A617" t="s">
        <v>1036</v>
      </c>
      <c r="B617" s="1">
        <v>41992</v>
      </c>
      <c r="C617" s="1">
        <v>41995</v>
      </c>
      <c r="D617" t="s">
        <v>1037</v>
      </c>
      <c r="E617" t="s">
        <v>35</v>
      </c>
      <c r="F617" t="s">
        <v>38</v>
      </c>
      <c r="G617" t="s">
        <v>39</v>
      </c>
      <c r="H617" t="s">
        <v>2656</v>
      </c>
      <c r="I617">
        <v>15.936</v>
      </c>
      <c r="J617">
        <v>4</v>
      </c>
      <c r="K617">
        <v>0.2</v>
      </c>
      <c r="L617">
        <v>5.1791999999999998</v>
      </c>
      <c r="M617" t="s">
        <v>17</v>
      </c>
    </row>
    <row r="618" spans="1:13">
      <c r="A618" t="s">
        <v>1053</v>
      </c>
      <c r="B618" s="1">
        <v>42188</v>
      </c>
      <c r="C618" s="1">
        <v>42191</v>
      </c>
      <c r="D618" t="s">
        <v>1037</v>
      </c>
      <c r="E618" t="s">
        <v>322</v>
      </c>
      <c r="F618" t="s">
        <v>36</v>
      </c>
      <c r="G618" t="s">
        <v>39</v>
      </c>
      <c r="H618" t="s">
        <v>2662</v>
      </c>
      <c r="I618">
        <v>5.2319999999999904</v>
      </c>
      <c r="J618">
        <v>4</v>
      </c>
      <c r="K618">
        <v>0.8</v>
      </c>
      <c r="L618">
        <v>-8.1096000000000004</v>
      </c>
      <c r="M618" t="s">
        <v>17</v>
      </c>
    </row>
    <row r="619" spans="1:13">
      <c r="A619" t="s">
        <v>1126</v>
      </c>
      <c r="B619" s="1">
        <v>41933</v>
      </c>
      <c r="C619" s="1">
        <v>41936</v>
      </c>
      <c r="D619" t="s">
        <v>47</v>
      </c>
      <c r="E619" t="s">
        <v>58</v>
      </c>
      <c r="F619" t="s">
        <v>81</v>
      </c>
      <c r="G619" t="s">
        <v>16</v>
      </c>
      <c r="H619" t="s">
        <v>2658</v>
      </c>
      <c r="I619">
        <v>910.349999999999</v>
      </c>
      <c r="J619">
        <v>5</v>
      </c>
      <c r="K619">
        <v>0</v>
      </c>
      <c r="L619">
        <v>391.349999999999</v>
      </c>
      <c r="M619" t="s">
        <v>23</v>
      </c>
    </row>
    <row r="620" spans="1:13">
      <c r="A620" t="s">
        <v>1127</v>
      </c>
      <c r="B620" s="1">
        <v>42227</v>
      </c>
      <c r="C620" s="1">
        <v>42230</v>
      </c>
      <c r="D620" t="s">
        <v>1128</v>
      </c>
      <c r="E620" t="s">
        <v>84</v>
      </c>
      <c r="F620" t="s">
        <v>85</v>
      </c>
      <c r="G620" t="s">
        <v>28</v>
      </c>
      <c r="H620" t="s">
        <v>2661</v>
      </c>
      <c r="I620" t="s">
        <v>152</v>
      </c>
      <c r="J620">
        <v>2</v>
      </c>
      <c r="K620">
        <v>0</v>
      </c>
      <c r="L620">
        <v>274.08</v>
      </c>
      <c r="M620" t="s">
        <v>23</v>
      </c>
    </row>
    <row r="621" spans="1:13">
      <c r="A621" t="s">
        <v>1129</v>
      </c>
      <c r="B621" s="1">
        <v>41763</v>
      </c>
      <c r="C621" s="1">
        <v>41767</v>
      </c>
      <c r="D621" t="s">
        <v>1130</v>
      </c>
      <c r="E621" t="s">
        <v>88</v>
      </c>
      <c r="F621" t="s">
        <v>89</v>
      </c>
      <c r="G621" t="s">
        <v>28</v>
      </c>
      <c r="H621" t="s">
        <v>2656</v>
      </c>
      <c r="I621">
        <v>1731.0719999999901</v>
      </c>
      <c r="J621">
        <v>7</v>
      </c>
      <c r="K621">
        <v>0.2</v>
      </c>
      <c r="L621">
        <v>-238.027999999999</v>
      </c>
      <c r="M621" t="s">
        <v>32</v>
      </c>
    </row>
    <row r="622" spans="1:13">
      <c r="A622" t="s">
        <v>1131</v>
      </c>
      <c r="C622" s="1">
        <v>41835</v>
      </c>
      <c r="D622" t="s">
        <v>1132</v>
      </c>
      <c r="E622" t="s">
        <v>186</v>
      </c>
      <c r="F622" t="s">
        <v>68</v>
      </c>
      <c r="G622" t="s">
        <v>612</v>
      </c>
      <c r="H622" t="s">
        <v>2658</v>
      </c>
      <c r="I622">
        <v>1330.992</v>
      </c>
      <c r="J622">
        <v>12</v>
      </c>
      <c r="K622">
        <v>0.1</v>
      </c>
      <c r="L622">
        <v>-103.608</v>
      </c>
      <c r="M622" t="s">
        <v>23</v>
      </c>
    </row>
    <row r="623" spans="1:13">
      <c r="A623" t="s">
        <v>1036</v>
      </c>
      <c r="B623" s="1">
        <v>41992</v>
      </c>
      <c r="C623" s="1">
        <v>41995</v>
      </c>
      <c r="D623" t="s">
        <v>1037</v>
      </c>
      <c r="E623" t="s">
        <v>35</v>
      </c>
      <c r="F623" t="s">
        <v>38</v>
      </c>
      <c r="H623" t="s">
        <v>2655</v>
      </c>
      <c r="I623">
        <v>11.648</v>
      </c>
      <c r="J623">
        <v>2</v>
      </c>
      <c r="K623">
        <v>0.2</v>
      </c>
      <c r="L623">
        <v>3.7855999999999899</v>
      </c>
      <c r="M623" t="s">
        <v>17</v>
      </c>
    </row>
    <row r="624" spans="1:13">
      <c r="A624" t="s">
        <v>1133</v>
      </c>
      <c r="B624" s="1">
        <v>42340</v>
      </c>
      <c r="C624" s="1">
        <v>42344</v>
      </c>
      <c r="D624" t="s">
        <v>1134</v>
      </c>
      <c r="E624" t="s">
        <v>110</v>
      </c>
      <c r="F624" t="s">
        <v>111</v>
      </c>
      <c r="G624" t="s">
        <v>16</v>
      </c>
      <c r="H624" t="s">
        <v>2656</v>
      </c>
      <c r="I624">
        <v>1914.0799999999899</v>
      </c>
      <c r="J624">
        <v>14</v>
      </c>
      <c r="K624">
        <v>0.2</v>
      </c>
      <c r="L624">
        <v>669.76</v>
      </c>
      <c r="M624" t="s">
        <v>17</v>
      </c>
    </row>
    <row r="625" spans="1:13">
      <c r="A625" t="s">
        <v>1135</v>
      </c>
      <c r="B625" s="1">
        <v>42012</v>
      </c>
      <c r="C625" s="1">
        <v>42017</v>
      </c>
      <c r="D625" t="s">
        <v>1030</v>
      </c>
      <c r="E625" t="s">
        <v>52</v>
      </c>
      <c r="F625" t="s">
        <v>53</v>
      </c>
      <c r="G625" t="s">
        <v>16</v>
      </c>
      <c r="H625" t="s">
        <v>2655</v>
      </c>
      <c r="I625">
        <v>3393.12</v>
      </c>
      <c r="J625">
        <v>8</v>
      </c>
      <c r="K625">
        <v>0</v>
      </c>
      <c r="L625">
        <v>101.76</v>
      </c>
      <c r="M625" t="s">
        <v>17</v>
      </c>
    </row>
    <row r="626" spans="1:13">
      <c r="A626" t="s">
        <v>1136</v>
      </c>
      <c r="B626" s="1">
        <v>41821</v>
      </c>
      <c r="C626" s="1">
        <v>41824</v>
      </c>
      <c r="D626" t="s">
        <v>1037</v>
      </c>
      <c r="E626" t="s">
        <v>35</v>
      </c>
      <c r="F626" t="s">
        <v>36</v>
      </c>
      <c r="G626" t="s">
        <v>16</v>
      </c>
      <c r="H626" t="s">
        <v>2654</v>
      </c>
      <c r="I626">
        <v>50.12</v>
      </c>
      <c r="J626">
        <v>7</v>
      </c>
      <c r="K626">
        <v>0.2</v>
      </c>
      <c r="L626">
        <v>-0.62650000000000705</v>
      </c>
      <c r="M626" t="s">
        <v>17</v>
      </c>
    </row>
    <row r="627" spans="1:13">
      <c r="B627" s="1">
        <v>42182</v>
      </c>
      <c r="C627" s="1">
        <v>42182</v>
      </c>
      <c r="D627" t="s">
        <v>787</v>
      </c>
      <c r="F627" t="s">
        <v>81</v>
      </c>
      <c r="G627" t="s">
        <v>16</v>
      </c>
      <c r="H627" t="s">
        <v>2656</v>
      </c>
      <c r="I627">
        <v>1446.6</v>
      </c>
      <c r="J627">
        <v>4</v>
      </c>
      <c r="K627" t="s">
        <v>215</v>
      </c>
      <c r="L627">
        <v>665.4</v>
      </c>
      <c r="M627" t="s">
        <v>32</v>
      </c>
    </row>
    <row r="628" spans="1:13">
      <c r="A628" t="s">
        <v>1137</v>
      </c>
      <c r="B628" s="1">
        <v>40979</v>
      </c>
      <c r="C628" s="1">
        <v>40984</v>
      </c>
      <c r="D628" t="s">
        <v>826</v>
      </c>
      <c r="E628" t="s">
        <v>58</v>
      </c>
      <c r="F628" t="s">
        <v>81</v>
      </c>
      <c r="G628" t="s">
        <v>28</v>
      </c>
      <c r="H628" t="s">
        <v>2655</v>
      </c>
      <c r="I628">
        <v>3272.0099999999902</v>
      </c>
      <c r="J628">
        <v>7</v>
      </c>
      <c r="K628">
        <v>0</v>
      </c>
      <c r="L628">
        <v>1537.83</v>
      </c>
      <c r="M628" t="s">
        <v>17</v>
      </c>
    </row>
    <row r="629" spans="1:13">
      <c r="A629" t="s">
        <v>1138</v>
      </c>
      <c r="B629" s="1">
        <v>41654</v>
      </c>
      <c r="C629" s="1">
        <v>41660</v>
      </c>
      <c r="D629" t="s">
        <v>1139</v>
      </c>
      <c r="E629" t="s">
        <v>239</v>
      </c>
      <c r="F629" t="s">
        <v>132</v>
      </c>
      <c r="G629" t="s">
        <v>39</v>
      </c>
      <c r="H629" t="s">
        <v>2657</v>
      </c>
      <c r="I629">
        <v>3386.8589999999999</v>
      </c>
      <c r="J629">
        <v>7</v>
      </c>
      <c r="K629">
        <v>0.15</v>
      </c>
      <c r="L629">
        <v>-597.68100000000004</v>
      </c>
      <c r="M629" t="s">
        <v>65</v>
      </c>
    </row>
    <row r="630" spans="1:13">
      <c r="B630" s="1">
        <v>41514</v>
      </c>
      <c r="C630" s="1">
        <v>41519</v>
      </c>
      <c r="D630" t="s">
        <v>117</v>
      </c>
      <c r="E630" t="s">
        <v>14</v>
      </c>
      <c r="F630" t="s">
        <v>15</v>
      </c>
      <c r="G630" t="s">
        <v>39</v>
      </c>
      <c r="H630" t="s">
        <v>2655</v>
      </c>
      <c r="I630">
        <v>2498.5259999999998</v>
      </c>
      <c r="J630">
        <v>9</v>
      </c>
      <c r="K630">
        <v>0.1</v>
      </c>
      <c r="L630">
        <v>499.44600000000003</v>
      </c>
      <c r="M630" t="s">
        <v>17</v>
      </c>
    </row>
    <row r="631" spans="1:13">
      <c r="A631" t="s">
        <v>1140</v>
      </c>
      <c r="B631" s="1">
        <v>41231</v>
      </c>
      <c r="C631" s="1">
        <v>41233</v>
      </c>
      <c r="D631" t="s">
        <v>825</v>
      </c>
      <c r="E631" t="s">
        <v>1141</v>
      </c>
      <c r="F631" t="s">
        <v>68</v>
      </c>
      <c r="G631" t="s">
        <v>16</v>
      </c>
      <c r="H631" t="s">
        <v>2661</v>
      </c>
      <c r="I631">
        <v>728.53200000000004</v>
      </c>
      <c r="J631">
        <v>7</v>
      </c>
      <c r="K631">
        <v>0.4</v>
      </c>
      <c r="L631">
        <v>-133.72799999999901</v>
      </c>
      <c r="M631" t="s">
        <v>23</v>
      </c>
    </row>
    <row r="632" spans="1:13">
      <c r="A632" t="s">
        <v>1142</v>
      </c>
      <c r="B632" s="1">
        <v>42362</v>
      </c>
      <c r="C632" s="1">
        <v>42366</v>
      </c>
      <c r="D632" t="s">
        <v>1143</v>
      </c>
      <c r="E632" t="s">
        <v>1144</v>
      </c>
      <c r="F632" t="s">
        <v>49</v>
      </c>
      <c r="G632" t="s">
        <v>16</v>
      </c>
      <c r="H632" t="s">
        <v>2656</v>
      </c>
      <c r="J632">
        <v>4</v>
      </c>
      <c r="L632">
        <v>772.68</v>
      </c>
      <c r="M632" t="s">
        <v>32</v>
      </c>
    </row>
    <row r="633" spans="1:13">
      <c r="A633" t="s">
        <v>1145</v>
      </c>
      <c r="B633" t="s">
        <v>1146</v>
      </c>
      <c r="C633" s="1">
        <v>41445</v>
      </c>
      <c r="D633" t="s">
        <v>1147</v>
      </c>
      <c r="E633" t="s">
        <v>67</v>
      </c>
      <c r="F633" t="s">
        <v>68</v>
      </c>
      <c r="G633" t="s">
        <v>28</v>
      </c>
      <c r="H633" t="s">
        <v>2661</v>
      </c>
      <c r="I633">
        <v>2546.46</v>
      </c>
      <c r="J633">
        <v>7</v>
      </c>
      <c r="K633">
        <v>0</v>
      </c>
      <c r="L633">
        <v>381.78</v>
      </c>
      <c r="M633" t="s">
        <v>32</v>
      </c>
    </row>
    <row r="634" spans="1:13">
      <c r="A634" t="s">
        <v>1148</v>
      </c>
      <c r="B634" s="1">
        <v>41831</v>
      </c>
      <c r="C634" s="1">
        <v>41835</v>
      </c>
      <c r="D634" t="s">
        <v>1149</v>
      </c>
      <c r="E634" t="s">
        <v>542</v>
      </c>
      <c r="F634" t="s">
        <v>81</v>
      </c>
      <c r="G634" t="s">
        <v>28</v>
      </c>
      <c r="H634" t="s">
        <v>2656</v>
      </c>
      <c r="I634">
        <v>2888.76</v>
      </c>
      <c r="J634">
        <v>7</v>
      </c>
      <c r="K634">
        <v>0</v>
      </c>
      <c r="L634">
        <v>173.25</v>
      </c>
      <c r="M634" t="s">
        <v>17</v>
      </c>
    </row>
    <row r="635" spans="1:13">
      <c r="A635" t="s">
        <v>1150</v>
      </c>
      <c r="B635" s="1">
        <v>41416</v>
      </c>
      <c r="C635" s="1">
        <v>41419</v>
      </c>
      <c r="D635" t="s">
        <v>660</v>
      </c>
      <c r="E635" t="s">
        <v>677</v>
      </c>
      <c r="F635" t="s">
        <v>132</v>
      </c>
      <c r="G635" t="s">
        <v>16</v>
      </c>
      <c r="H635" t="s">
        <v>2663</v>
      </c>
      <c r="I635">
        <v>1031.3999999999901</v>
      </c>
      <c r="J635">
        <v>4</v>
      </c>
      <c r="K635">
        <v>0</v>
      </c>
      <c r="L635">
        <v>1773.8879586580799</v>
      </c>
      <c r="M635" t="s">
        <v>32</v>
      </c>
    </row>
    <row r="636" spans="1:13">
      <c r="A636" t="s">
        <v>1151</v>
      </c>
      <c r="B636" s="1">
        <v>42221</v>
      </c>
      <c r="C636" s="1">
        <v>42225</v>
      </c>
      <c r="D636" t="s">
        <v>1152</v>
      </c>
      <c r="E636" t="s">
        <v>84</v>
      </c>
      <c r="F636" t="s">
        <v>85</v>
      </c>
      <c r="G636" t="s">
        <v>16</v>
      </c>
      <c r="H636" t="s">
        <v>2663</v>
      </c>
      <c r="I636">
        <v>1237.44</v>
      </c>
      <c r="J636">
        <v>8</v>
      </c>
      <c r="K636">
        <v>0</v>
      </c>
      <c r="L636">
        <v>74.16</v>
      </c>
      <c r="M636" t="s">
        <v>32</v>
      </c>
    </row>
    <row r="637" spans="1:13">
      <c r="A637" t="s">
        <v>1153</v>
      </c>
      <c r="B637" s="1">
        <v>42228</v>
      </c>
      <c r="C637" s="1">
        <v>42231</v>
      </c>
      <c r="D637" t="s">
        <v>568</v>
      </c>
      <c r="E637" t="s">
        <v>120</v>
      </c>
      <c r="F637" t="s">
        <v>121</v>
      </c>
      <c r="G637" t="s">
        <v>16</v>
      </c>
      <c r="H637" t="s">
        <v>2654</v>
      </c>
      <c r="I637">
        <v>1018.32</v>
      </c>
      <c r="J637">
        <v>4</v>
      </c>
      <c r="K637">
        <v>0</v>
      </c>
      <c r="L637">
        <v>183.24</v>
      </c>
      <c r="M637" t="s">
        <v>23</v>
      </c>
    </row>
    <row r="638" spans="1:13">
      <c r="A638" t="s">
        <v>274</v>
      </c>
      <c r="B638" s="1">
        <v>41634</v>
      </c>
      <c r="C638" s="1">
        <v>41636</v>
      </c>
      <c r="D638" t="s">
        <v>276</v>
      </c>
      <c r="E638" t="s">
        <v>186</v>
      </c>
      <c r="F638" t="s">
        <v>68</v>
      </c>
      <c r="G638" t="s">
        <v>39</v>
      </c>
      <c r="H638" t="s">
        <v>2656</v>
      </c>
      <c r="I638">
        <v>600.6</v>
      </c>
      <c r="J638">
        <v>13</v>
      </c>
      <c r="K638">
        <v>0</v>
      </c>
      <c r="L638">
        <v>131.82</v>
      </c>
      <c r="M638" t="s">
        <v>23</v>
      </c>
    </row>
    <row r="639" spans="1:13">
      <c r="A639" t="s">
        <v>1154</v>
      </c>
      <c r="B639" s="1">
        <v>41644</v>
      </c>
      <c r="C639" s="1">
        <v>41649</v>
      </c>
      <c r="D639" t="s">
        <v>1155</v>
      </c>
      <c r="E639" t="s">
        <v>62</v>
      </c>
      <c r="F639" t="s">
        <v>63</v>
      </c>
      <c r="G639" t="s">
        <v>28</v>
      </c>
      <c r="H639" t="s">
        <v>2662</v>
      </c>
      <c r="J639">
        <v>7</v>
      </c>
      <c r="K639">
        <v>0.1</v>
      </c>
      <c r="L639">
        <v>1163.883</v>
      </c>
      <c r="M639" t="s">
        <v>17</v>
      </c>
    </row>
    <row r="640" spans="1:13">
      <c r="A640" t="s">
        <v>1156</v>
      </c>
      <c r="B640" s="1">
        <v>42367</v>
      </c>
      <c r="C640" s="1">
        <v>42369</v>
      </c>
      <c r="D640" t="s">
        <v>406</v>
      </c>
      <c r="E640" t="s">
        <v>14</v>
      </c>
      <c r="F640" t="s">
        <v>15</v>
      </c>
      <c r="G640" t="s">
        <v>39</v>
      </c>
      <c r="H640" t="s">
        <v>2660</v>
      </c>
      <c r="I640">
        <v>1534.8689999999999</v>
      </c>
      <c r="J640">
        <v>3</v>
      </c>
      <c r="K640">
        <v>0.1</v>
      </c>
      <c r="L640">
        <v>-102.411</v>
      </c>
      <c r="M640" t="s">
        <v>1157</v>
      </c>
    </row>
    <row r="641" spans="1:13">
      <c r="A641" t="s">
        <v>1158</v>
      </c>
      <c r="B641" s="1">
        <v>41989</v>
      </c>
      <c r="C641" s="1">
        <v>41993</v>
      </c>
      <c r="D641" t="s">
        <v>1159</v>
      </c>
      <c r="E641" t="s">
        <v>27</v>
      </c>
      <c r="F641" t="s">
        <v>15</v>
      </c>
      <c r="G641" t="s">
        <v>16</v>
      </c>
      <c r="H641" t="s">
        <v>2663</v>
      </c>
      <c r="J641">
        <v>10</v>
      </c>
      <c r="K641">
        <v>0</v>
      </c>
      <c r="L641">
        <v>2447.1</v>
      </c>
      <c r="M641" t="s">
        <v>17</v>
      </c>
    </row>
    <row r="642" spans="1:13">
      <c r="A642" t="s">
        <v>1160</v>
      </c>
      <c r="B642" s="1">
        <v>41697</v>
      </c>
      <c r="C642" s="1">
        <v>41702</v>
      </c>
      <c r="D642" t="s">
        <v>529</v>
      </c>
      <c r="E642" t="s">
        <v>131</v>
      </c>
      <c r="F642" t="s">
        <v>645</v>
      </c>
      <c r="G642" t="s">
        <v>16</v>
      </c>
      <c r="H642" t="s">
        <v>2661</v>
      </c>
      <c r="I642">
        <v>1781.13599999999</v>
      </c>
      <c r="J642">
        <v>8</v>
      </c>
      <c r="K642">
        <v>7.0000000000000007E-2</v>
      </c>
      <c r="M642" t="s">
        <v>32</v>
      </c>
    </row>
    <row r="643" spans="1:13">
      <c r="A643" t="s">
        <v>1161</v>
      </c>
      <c r="B643" s="1">
        <v>41459</v>
      </c>
      <c r="C643" s="1">
        <v>41459</v>
      </c>
      <c r="D643" t="s">
        <v>1162</v>
      </c>
      <c r="E643" t="s">
        <v>52</v>
      </c>
      <c r="F643" t="s">
        <v>53</v>
      </c>
      <c r="G643" t="s">
        <v>16</v>
      </c>
      <c r="H643" t="s">
        <v>2657</v>
      </c>
      <c r="I643">
        <v>1363.2</v>
      </c>
      <c r="J643">
        <v>8</v>
      </c>
      <c r="K643">
        <v>0.6</v>
      </c>
      <c r="L643">
        <v>-1806.24</v>
      </c>
      <c r="M643" t="s">
        <v>23</v>
      </c>
    </row>
    <row r="644" spans="1:13">
      <c r="A644" t="s">
        <v>1163</v>
      </c>
      <c r="B644" s="1">
        <v>41506</v>
      </c>
      <c r="C644" s="1">
        <v>41510</v>
      </c>
      <c r="D644" t="s">
        <v>1164</v>
      </c>
      <c r="E644" t="s">
        <v>84</v>
      </c>
      <c r="F644" t="s">
        <v>85</v>
      </c>
      <c r="G644" t="s">
        <v>28</v>
      </c>
      <c r="H644" t="s">
        <v>2656</v>
      </c>
      <c r="I644">
        <v>3315.26999999999</v>
      </c>
      <c r="J644">
        <v>7</v>
      </c>
      <c r="K644">
        <v>0</v>
      </c>
      <c r="L644">
        <v>961.38</v>
      </c>
      <c r="M644" t="s">
        <v>32</v>
      </c>
    </row>
    <row r="645" spans="1:13">
      <c r="A645" t="s">
        <v>1165</v>
      </c>
      <c r="B645" s="1">
        <v>42015</v>
      </c>
      <c r="C645" s="1">
        <v>42313</v>
      </c>
      <c r="D645" t="s">
        <v>1037</v>
      </c>
      <c r="E645" t="s">
        <v>35</v>
      </c>
      <c r="F645" t="s">
        <v>36</v>
      </c>
      <c r="G645" t="s">
        <v>39</v>
      </c>
      <c r="H645" t="s">
        <v>2656</v>
      </c>
      <c r="I645">
        <v>5.2480000000000002</v>
      </c>
      <c r="J645" t="s">
        <v>55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1166</v>
      </c>
      <c r="E646" t="s">
        <v>62</v>
      </c>
      <c r="F646" t="s">
        <v>63</v>
      </c>
      <c r="G646" t="s">
        <v>16</v>
      </c>
      <c r="H646" t="s">
        <v>2655</v>
      </c>
      <c r="I646">
        <v>2123.0279999999998</v>
      </c>
      <c r="J646">
        <v>8</v>
      </c>
      <c r="K646">
        <v>0.15</v>
      </c>
      <c r="L646">
        <v>124.787999999999</v>
      </c>
      <c r="M646" t="s">
        <v>32</v>
      </c>
    </row>
    <row r="647" spans="1:13">
      <c r="A647" t="s">
        <v>1167</v>
      </c>
      <c r="B647" s="1">
        <v>42337</v>
      </c>
      <c r="C647" s="1">
        <v>42342</v>
      </c>
      <c r="D647" t="s">
        <v>660</v>
      </c>
      <c r="E647" t="s">
        <v>20</v>
      </c>
      <c r="F647" t="s">
        <v>63</v>
      </c>
      <c r="H647" t="s">
        <v>2663</v>
      </c>
      <c r="I647">
        <v>2478.84</v>
      </c>
      <c r="K647">
        <v>0</v>
      </c>
      <c r="L647">
        <v>272.58</v>
      </c>
      <c r="M647" t="s">
        <v>17</v>
      </c>
    </row>
    <row r="648" spans="1:13">
      <c r="A648" t="s">
        <v>1168</v>
      </c>
      <c r="B648" s="1">
        <v>41006</v>
      </c>
      <c r="C648" s="1">
        <v>41011</v>
      </c>
      <c r="D648" t="s">
        <v>287</v>
      </c>
      <c r="E648" t="s">
        <v>14</v>
      </c>
      <c r="F648" t="s">
        <v>15</v>
      </c>
      <c r="G648" t="s">
        <v>39</v>
      </c>
      <c r="H648" t="s">
        <v>2662</v>
      </c>
      <c r="I648">
        <v>1894.5360000000001</v>
      </c>
      <c r="J648">
        <v>4</v>
      </c>
      <c r="K648">
        <v>0.1</v>
      </c>
      <c r="L648">
        <v>505.17599999999999</v>
      </c>
      <c r="M648" t="s">
        <v>32</v>
      </c>
    </row>
    <row r="649" spans="1:13">
      <c r="A649" t="s">
        <v>1169</v>
      </c>
      <c r="B649" s="1">
        <v>42328</v>
      </c>
      <c r="C649" s="1">
        <v>42331</v>
      </c>
      <c r="E649" t="s">
        <v>35</v>
      </c>
      <c r="F649" t="s">
        <v>102</v>
      </c>
      <c r="G649" t="s">
        <v>1170</v>
      </c>
      <c r="H649" t="s">
        <v>2657</v>
      </c>
      <c r="I649">
        <v>41.28</v>
      </c>
      <c r="J649">
        <v>6</v>
      </c>
      <c r="K649">
        <v>0.2</v>
      </c>
      <c r="L649">
        <v>13.931999999999899</v>
      </c>
      <c r="M649" t="s">
        <v>17</v>
      </c>
    </row>
    <row r="650" spans="1:13">
      <c r="A650" t="s">
        <v>1171</v>
      </c>
      <c r="B650" s="1">
        <v>41403</v>
      </c>
      <c r="C650" s="1">
        <v>41407</v>
      </c>
      <c r="D650" t="s">
        <v>1172</v>
      </c>
      <c r="E650" t="s">
        <v>438</v>
      </c>
      <c r="F650" t="s">
        <v>438</v>
      </c>
      <c r="G650" t="s">
        <v>39</v>
      </c>
      <c r="H650" t="s">
        <v>2661</v>
      </c>
      <c r="I650">
        <v>187.01999999999899</v>
      </c>
      <c r="J650">
        <v>6</v>
      </c>
      <c r="K650">
        <v>0</v>
      </c>
      <c r="L650">
        <v>26.099999999999898</v>
      </c>
      <c r="M650" t="s">
        <v>584</v>
      </c>
    </row>
    <row r="651" spans="1:13">
      <c r="A651" t="s">
        <v>1173</v>
      </c>
      <c r="B651" s="1">
        <v>41597</v>
      </c>
      <c r="C651" s="1">
        <v>41601</v>
      </c>
      <c r="D651" t="s">
        <v>475</v>
      </c>
      <c r="E651" t="s">
        <v>58</v>
      </c>
      <c r="F651" t="s">
        <v>81</v>
      </c>
      <c r="G651" t="s">
        <v>16</v>
      </c>
      <c r="H651" t="s">
        <v>2664</v>
      </c>
      <c r="I651">
        <v>1317.8999999999901</v>
      </c>
      <c r="J651">
        <v>5</v>
      </c>
      <c r="K651">
        <v>0</v>
      </c>
      <c r="L651">
        <v>0</v>
      </c>
      <c r="M651" t="s">
        <v>32</v>
      </c>
    </row>
    <row r="652" spans="1:13">
      <c r="A652" t="s">
        <v>411</v>
      </c>
      <c r="B652" s="1">
        <v>42248</v>
      </c>
      <c r="C652" s="1">
        <v>42248</v>
      </c>
      <c r="D652" t="s">
        <v>412</v>
      </c>
      <c r="E652" t="s">
        <v>20</v>
      </c>
      <c r="F652" t="s">
        <v>63</v>
      </c>
      <c r="G652" t="s">
        <v>16</v>
      </c>
      <c r="H652" t="s">
        <v>2657</v>
      </c>
      <c r="I652">
        <v>1350.09</v>
      </c>
      <c r="J652">
        <v>7</v>
      </c>
      <c r="K652">
        <v>0</v>
      </c>
      <c r="L652">
        <v>256.41000000000003</v>
      </c>
      <c r="M652" t="s">
        <v>23</v>
      </c>
    </row>
    <row r="653" spans="1:13">
      <c r="A653" t="s">
        <v>1174</v>
      </c>
      <c r="B653" s="1">
        <v>41947</v>
      </c>
      <c r="C653" s="1">
        <v>41951</v>
      </c>
      <c r="E653" t="s">
        <v>58</v>
      </c>
      <c r="F653" t="s">
        <v>81</v>
      </c>
      <c r="G653" t="s">
        <v>16</v>
      </c>
      <c r="H653" t="s">
        <v>2657</v>
      </c>
      <c r="I653">
        <v>1839.18</v>
      </c>
      <c r="J653">
        <v>7</v>
      </c>
      <c r="K653">
        <v>0</v>
      </c>
      <c r="L653">
        <v>238.98</v>
      </c>
      <c r="M653" t="s">
        <v>32</v>
      </c>
    </row>
    <row r="654" spans="1:13">
      <c r="A654" t="s">
        <v>1169</v>
      </c>
      <c r="B654" s="1">
        <v>42328</v>
      </c>
      <c r="C654" s="1">
        <v>42331</v>
      </c>
      <c r="D654" t="s">
        <v>1172</v>
      </c>
      <c r="E654" t="s">
        <v>35</v>
      </c>
      <c r="F654" t="s">
        <v>102</v>
      </c>
      <c r="G654" t="s">
        <v>39</v>
      </c>
      <c r="H654" t="s">
        <v>2657</v>
      </c>
      <c r="I654">
        <v>13.36</v>
      </c>
      <c r="J654">
        <v>2</v>
      </c>
      <c r="K654">
        <v>0</v>
      </c>
      <c r="L654">
        <v>6.4127999999999998</v>
      </c>
      <c r="M654" t="s">
        <v>17</v>
      </c>
    </row>
    <row r="655" spans="1:13">
      <c r="A655" t="s">
        <v>1175</v>
      </c>
      <c r="B655" s="1">
        <v>41962</v>
      </c>
      <c r="C655" s="1">
        <v>41967</v>
      </c>
      <c r="D655" t="s">
        <v>1099</v>
      </c>
      <c r="E655" t="s">
        <v>84</v>
      </c>
      <c r="F655" t="s">
        <v>85</v>
      </c>
      <c r="G655" t="s">
        <v>16</v>
      </c>
      <c r="H655" t="s">
        <v>2662</v>
      </c>
      <c r="I655">
        <v>1908.18</v>
      </c>
      <c r="J655">
        <v>3</v>
      </c>
      <c r="K655">
        <v>0</v>
      </c>
      <c r="L655">
        <v>820.44</v>
      </c>
      <c r="M655" t="s">
        <v>32</v>
      </c>
    </row>
    <row r="656" spans="1:13">
      <c r="A656" t="s">
        <v>1176</v>
      </c>
      <c r="B656" s="1">
        <v>42369</v>
      </c>
      <c r="C656" s="1">
        <v>42372</v>
      </c>
      <c r="D656" t="s">
        <v>1177</v>
      </c>
      <c r="E656" t="s">
        <v>52</v>
      </c>
      <c r="F656" t="s">
        <v>53</v>
      </c>
      <c r="G656" t="s">
        <v>16</v>
      </c>
      <c r="H656" t="s">
        <v>2657</v>
      </c>
      <c r="I656">
        <v>1264.4659999999999</v>
      </c>
      <c r="J656">
        <v>5</v>
      </c>
      <c r="K656">
        <v>2E-3</v>
      </c>
      <c r="M656" t="s">
        <v>32</v>
      </c>
    </row>
    <row r="657" spans="1:13">
      <c r="A657" t="s">
        <v>1178</v>
      </c>
      <c r="C657" s="1">
        <v>41963</v>
      </c>
      <c r="E657" t="s">
        <v>35</v>
      </c>
      <c r="F657" t="s">
        <v>38</v>
      </c>
      <c r="G657" t="s">
        <v>28</v>
      </c>
      <c r="H657" t="s">
        <v>2656</v>
      </c>
      <c r="I657">
        <v>4.18</v>
      </c>
      <c r="J657">
        <v>1</v>
      </c>
      <c r="K657">
        <v>0</v>
      </c>
      <c r="L657">
        <v>1.5047999999999999</v>
      </c>
      <c r="M657" t="s">
        <v>17</v>
      </c>
    </row>
    <row r="658" spans="1:13">
      <c r="A658" t="s">
        <v>1179</v>
      </c>
      <c r="B658" s="1">
        <v>41306</v>
      </c>
      <c r="C658" s="1">
        <v>41309</v>
      </c>
      <c r="D658" t="s">
        <v>1180</v>
      </c>
      <c r="E658" t="s">
        <v>20</v>
      </c>
      <c r="F658" t="s">
        <v>63</v>
      </c>
      <c r="G658" t="s">
        <v>612</v>
      </c>
      <c r="H658" t="s">
        <v>2657</v>
      </c>
      <c r="I658">
        <v>965.16</v>
      </c>
      <c r="J658">
        <v>7</v>
      </c>
      <c r="K658">
        <v>0</v>
      </c>
      <c r="L658">
        <v>463.25999999999902</v>
      </c>
      <c r="M658" t="s">
        <v>32</v>
      </c>
    </row>
    <row r="659" spans="1:13">
      <c r="A659" t="s">
        <v>1181</v>
      </c>
      <c r="B659" s="1">
        <v>41717</v>
      </c>
      <c r="C659" s="1">
        <v>41717</v>
      </c>
      <c r="D659" t="s">
        <v>1182</v>
      </c>
      <c r="E659" t="s">
        <v>62</v>
      </c>
      <c r="F659" t="s">
        <v>63</v>
      </c>
      <c r="G659" t="s">
        <v>39</v>
      </c>
      <c r="H659" t="s">
        <v>2660</v>
      </c>
      <c r="I659">
        <v>748.11599999999999</v>
      </c>
      <c r="J659">
        <v>4</v>
      </c>
      <c r="K659">
        <v>0.1</v>
      </c>
      <c r="L659">
        <v>282.515999999999</v>
      </c>
      <c r="M659" t="s">
        <v>23</v>
      </c>
    </row>
    <row r="660" spans="1:13">
      <c r="A660" t="s">
        <v>1183</v>
      </c>
      <c r="B660" t="s">
        <v>1184</v>
      </c>
      <c r="C660" s="1">
        <v>41356</v>
      </c>
      <c r="D660" t="s">
        <v>1185</v>
      </c>
      <c r="F660" t="s">
        <v>63</v>
      </c>
      <c r="G660" t="s">
        <v>28</v>
      </c>
      <c r="H660" t="s">
        <v>2656</v>
      </c>
      <c r="I660">
        <v>943.86599999999999</v>
      </c>
      <c r="J660">
        <v>7</v>
      </c>
      <c r="K660">
        <v>0.1</v>
      </c>
      <c r="L660">
        <v>209.70599999999899</v>
      </c>
      <c r="M660" t="s">
        <v>1186</v>
      </c>
    </row>
    <row r="661" spans="1:13">
      <c r="B661" s="1">
        <v>42148</v>
      </c>
      <c r="C661" s="1">
        <v>42153</v>
      </c>
      <c r="D661" t="s">
        <v>205</v>
      </c>
      <c r="E661" t="s">
        <v>58</v>
      </c>
      <c r="F661" t="s">
        <v>81</v>
      </c>
      <c r="G661" t="s">
        <v>28</v>
      </c>
      <c r="H661" t="s">
        <v>2664</v>
      </c>
      <c r="I661">
        <v>1447.44</v>
      </c>
      <c r="J661">
        <v>4</v>
      </c>
      <c r="K661">
        <v>0</v>
      </c>
      <c r="L661">
        <v>43.32</v>
      </c>
      <c r="M661" t="s">
        <v>17</v>
      </c>
    </row>
    <row r="662" spans="1:13">
      <c r="A662" t="s">
        <v>1187</v>
      </c>
      <c r="B662" s="1">
        <v>41804</v>
      </c>
      <c r="C662" s="1">
        <v>41806</v>
      </c>
      <c r="D662" t="s">
        <v>618</v>
      </c>
      <c r="E662" t="s">
        <v>67</v>
      </c>
      <c r="F662" t="s">
        <v>68</v>
      </c>
      <c r="G662" t="s">
        <v>16</v>
      </c>
      <c r="H662" t="s">
        <v>2663</v>
      </c>
      <c r="I662">
        <v>1552.5</v>
      </c>
      <c r="J662">
        <v>6</v>
      </c>
      <c r="K662">
        <v>0</v>
      </c>
      <c r="L662">
        <v>62.1</v>
      </c>
      <c r="M662" t="s">
        <v>17</v>
      </c>
    </row>
    <row r="663" spans="1:13">
      <c r="A663" t="s">
        <v>1188</v>
      </c>
      <c r="B663" s="1">
        <v>40972</v>
      </c>
      <c r="C663" s="1">
        <v>40975</v>
      </c>
      <c r="D663" t="s">
        <v>207</v>
      </c>
      <c r="E663" t="s">
        <v>35</v>
      </c>
      <c r="F663" t="s">
        <v>102</v>
      </c>
      <c r="G663" t="s">
        <v>16</v>
      </c>
      <c r="H663" t="s">
        <v>2663</v>
      </c>
      <c r="I663">
        <v>479.97</v>
      </c>
      <c r="J663">
        <v>3</v>
      </c>
      <c r="K663" t="s">
        <v>215</v>
      </c>
      <c r="L663">
        <v>177.5889</v>
      </c>
      <c r="M663" t="s">
        <v>17</v>
      </c>
    </row>
    <row r="664" spans="1:13">
      <c r="A664" t="s">
        <v>1188</v>
      </c>
      <c r="B664" s="1">
        <v>40972</v>
      </c>
      <c r="C664" s="1">
        <v>40975</v>
      </c>
      <c r="D664" t="s">
        <v>207</v>
      </c>
      <c r="E664" t="s">
        <v>35</v>
      </c>
      <c r="G664" t="s">
        <v>154</v>
      </c>
      <c r="H664" t="s">
        <v>2654</v>
      </c>
      <c r="I664">
        <v>97.82</v>
      </c>
      <c r="J664">
        <v>2</v>
      </c>
      <c r="L664">
        <v>45.975399999999901</v>
      </c>
      <c r="M664" t="s">
        <v>17</v>
      </c>
    </row>
    <row r="665" spans="1:13">
      <c r="A665" t="s">
        <v>1188</v>
      </c>
      <c r="B665" s="1">
        <v>40972</v>
      </c>
      <c r="C665" s="1">
        <v>40975</v>
      </c>
      <c r="D665" t="s">
        <v>207</v>
      </c>
      <c r="E665" t="s">
        <v>35</v>
      </c>
      <c r="F665" t="s">
        <v>102</v>
      </c>
      <c r="G665" t="s">
        <v>39</v>
      </c>
      <c r="H665" t="s">
        <v>2657</v>
      </c>
      <c r="I665">
        <v>59.519999999999897</v>
      </c>
      <c r="J665">
        <v>3</v>
      </c>
      <c r="K665">
        <v>0</v>
      </c>
      <c r="L665">
        <v>15.475199999999999</v>
      </c>
      <c r="M665" t="s">
        <v>17</v>
      </c>
    </row>
    <row r="666" spans="1:13">
      <c r="B666" s="1">
        <v>41982</v>
      </c>
      <c r="C666" s="1">
        <v>41984</v>
      </c>
      <c r="E666" t="s">
        <v>52</v>
      </c>
      <c r="F666" t="s">
        <v>53</v>
      </c>
      <c r="G666" t="s">
        <v>28</v>
      </c>
      <c r="H666" t="s">
        <v>2661</v>
      </c>
      <c r="I666">
        <v>919.25999999999897</v>
      </c>
      <c r="J666">
        <v>3</v>
      </c>
      <c r="L666">
        <v>266.58</v>
      </c>
      <c r="M666" t="s">
        <v>23</v>
      </c>
    </row>
    <row r="667" spans="1:13">
      <c r="A667" t="s">
        <v>1189</v>
      </c>
      <c r="B667" s="2">
        <v>41892</v>
      </c>
      <c r="C667" s="1">
        <v>41926</v>
      </c>
      <c r="D667" t="s">
        <v>1134</v>
      </c>
      <c r="E667" t="s">
        <v>88</v>
      </c>
      <c r="F667" t="s">
        <v>89</v>
      </c>
      <c r="G667" t="s">
        <v>16</v>
      </c>
      <c r="H667" t="s">
        <v>2655</v>
      </c>
      <c r="I667">
        <v>3045.8399999999901</v>
      </c>
      <c r="K667">
        <v>0</v>
      </c>
      <c r="L667">
        <v>1035.58</v>
      </c>
      <c r="M667" t="s">
        <v>32</v>
      </c>
    </row>
    <row r="668" spans="1:13">
      <c r="A668" t="s">
        <v>1190</v>
      </c>
      <c r="B668" s="1">
        <v>41928</v>
      </c>
      <c r="C668" s="1">
        <v>41930</v>
      </c>
      <c r="D668" t="s">
        <v>1191</v>
      </c>
      <c r="E668" t="s">
        <v>14</v>
      </c>
      <c r="F668" t="s">
        <v>15</v>
      </c>
      <c r="G668" t="s">
        <v>16</v>
      </c>
      <c r="H668" t="s">
        <v>2655</v>
      </c>
      <c r="I668">
        <v>766.87199999999996</v>
      </c>
      <c r="K668">
        <v>0.4</v>
      </c>
      <c r="L668">
        <v>114.971999999999</v>
      </c>
      <c r="M668" t="s">
        <v>32</v>
      </c>
    </row>
    <row r="669" spans="1:13">
      <c r="A669" t="s">
        <v>1192</v>
      </c>
      <c r="C669" s="1">
        <v>41270</v>
      </c>
      <c r="D669" t="s">
        <v>1193</v>
      </c>
      <c r="E669" t="s">
        <v>221</v>
      </c>
      <c r="F669" t="s">
        <v>222</v>
      </c>
      <c r="G669" t="s">
        <v>28</v>
      </c>
      <c r="H669" t="s">
        <v>2656</v>
      </c>
      <c r="I669">
        <v>2880.18</v>
      </c>
      <c r="J669">
        <v>6</v>
      </c>
      <c r="K669">
        <v>0</v>
      </c>
      <c r="L669">
        <v>115.2</v>
      </c>
      <c r="M669" t="s">
        <v>17</v>
      </c>
    </row>
    <row r="670" spans="1:13">
      <c r="A670" t="s">
        <v>1194</v>
      </c>
      <c r="B670" s="1">
        <v>41745</v>
      </c>
      <c r="C670" s="1">
        <v>41748</v>
      </c>
      <c r="D670" t="s">
        <v>1195</v>
      </c>
      <c r="E670" t="s">
        <v>52</v>
      </c>
      <c r="F670" t="s">
        <v>53</v>
      </c>
      <c r="G670" t="s">
        <v>39</v>
      </c>
      <c r="H670" t="s">
        <v>2656</v>
      </c>
      <c r="I670">
        <v>1403.36</v>
      </c>
      <c r="J670">
        <v>4</v>
      </c>
      <c r="K670">
        <v>0</v>
      </c>
      <c r="L670">
        <v>449.039999999999</v>
      </c>
      <c r="M670" t="s">
        <v>773</v>
      </c>
    </row>
    <row r="671" spans="1:13">
      <c r="A671" t="s">
        <v>431</v>
      </c>
      <c r="B671" s="1">
        <v>41129</v>
      </c>
      <c r="C671" s="1">
        <v>41129</v>
      </c>
      <c r="D671" t="s">
        <v>432</v>
      </c>
      <c r="E671" t="s">
        <v>110</v>
      </c>
      <c r="F671" t="s">
        <v>111</v>
      </c>
      <c r="G671" t="s">
        <v>39</v>
      </c>
      <c r="H671" t="s">
        <v>2658</v>
      </c>
      <c r="I671">
        <v>1819.104</v>
      </c>
      <c r="J671" t="s">
        <v>55</v>
      </c>
      <c r="K671">
        <v>0.2</v>
      </c>
      <c r="L671">
        <v>500.183999999999</v>
      </c>
      <c r="M671" t="s">
        <v>32</v>
      </c>
    </row>
    <row r="672" spans="1:13">
      <c r="A672" t="s">
        <v>1188</v>
      </c>
      <c r="B672" s="1">
        <v>40972</v>
      </c>
      <c r="C672" s="1">
        <v>40975</v>
      </c>
      <c r="D672" t="s">
        <v>207</v>
      </c>
      <c r="E672" t="s">
        <v>35</v>
      </c>
      <c r="F672" t="s">
        <v>102</v>
      </c>
      <c r="G672" t="s">
        <v>39</v>
      </c>
      <c r="H672" t="s">
        <v>2661</v>
      </c>
      <c r="I672">
        <v>49.631999999999998</v>
      </c>
      <c r="J672">
        <v>6</v>
      </c>
      <c r="K672">
        <v>0.2</v>
      </c>
      <c r="L672">
        <v>16.750799999999899</v>
      </c>
      <c r="M672" t="s">
        <v>17</v>
      </c>
    </row>
    <row r="673" spans="1:13">
      <c r="A673" t="s">
        <v>1196</v>
      </c>
      <c r="B673" s="1">
        <v>41200</v>
      </c>
      <c r="C673" s="1">
        <v>41205</v>
      </c>
      <c r="D673" t="s">
        <v>551</v>
      </c>
      <c r="E673" t="s">
        <v>58</v>
      </c>
      <c r="F673" t="s">
        <v>81</v>
      </c>
      <c r="G673" t="s">
        <v>28</v>
      </c>
      <c r="H673" t="s">
        <v>2661</v>
      </c>
      <c r="I673">
        <v>2018.3309999999999</v>
      </c>
      <c r="J673">
        <v>9</v>
      </c>
      <c r="K673">
        <v>0.3</v>
      </c>
      <c r="L673">
        <v>-576.90899999999999</v>
      </c>
      <c r="M673" t="s">
        <v>943</v>
      </c>
    </row>
    <row r="674" spans="1:13">
      <c r="B674" s="1">
        <v>40962</v>
      </c>
      <c r="C674" s="1">
        <v>40965</v>
      </c>
      <c r="D674" t="s">
        <v>780</v>
      </c>
      <c r="E674" t="s">
        <v>105</v>
      </c>
      <c r="F674" t="s">
        <v>106</v>
      </c>
      <c r="G674" t="s">
        <v>28</v>
      </c>
      <c r="H674" t="s">
        <v>2654</v>
      </c>
      <c r="I674">
        <v>2065.5</v>
      </c>
      <c r="J674">
        <v>5</v>
      </c>
      <c r="K674">
        <v>0</v>
      </c>
      <c r="L674">
        <v>41.25</v>
      </c>
      <c r="M674" t="s">
        <v>32</v>
      </c>
    </row>
    <row r="675" spans="1:13">
      <c r="B675" t="s">
        <v>1197</v>
      </c>
      <c r="C675" s="2">
        <v>41216</v>
      </c>
      <c r="D675" t="s">
        <v>565</v>
      </c>
      <c r="E675" t="s">
        <v>58</v>
      </c>
      <c r="F675" t="s">
        <v>59</v>
      </c>
      <c r="G675" t="s">
        <v>16</v>
      </c>
      <c r="H675" t="s">
        <v>2658</v>
      </c>
      <c r="J675">
        <v>4</v>
      </c>
      <c r="K675">
        <v>0</v>
      </c>
      <c r="L675">
        <v>382.2</v>
      </c>
      <c r="M675" t="s">
        <v>23</v>
      </c>
    </row>
    <row r="676" spans="1:13">
      <c r="A676" t="s">
        <v>1198</v>
      </c>
      <c r="B676" s="1">
        <v>42029</v>
      </c>
      <c r="C676" s="1">
        <v>42033</v>
      </c>
      <c r="D676" t="s">
        <v>1199</v>
      </c>
      <c r="E676" t="s">
        <v>105</v>
      </c>
      <c r="F676" t="s">
        <v>106</v>
      </c>
      <c r="G676" t="s">
        <v>28</v>
      </c>
      <c r="H676" t="s">
        <v>2663</v>
      </c>
      <c r="I676">
        <v>2485.6199999999899</v>
      </c>
      <c r="J676">
        <v>6</v>
      </c>
      <c r="K676">
        <v>0</v>
      </c>
      <c r="L676">
        <v>795.24</v>
      </c>
      <c r="M676" t="s">
        <v>17</v>
      </c>
    </row>
    <row r="677" spans="1:13">
      <c r="A677" t="s">
        <v>1200</v>
      </c>
      <c r="B677" s="1">
        <v>42173</v>
      </c>
      <c r="C677" s="1">
        <v>42173</v>
      </c>
      <c r="D677" t="s">
        <v>1201</v>
      </c>
      <c r="E677" t="s">
        <v>84</v>
      </c>
      <c r="F677" t="s">
        <v>85</v>
      </c>
      <c r="G677" t="s">
        <v>1095</v>
      </c>
      <c r="H677" t="s">
        <v>2657</v>
      </c>
      <c r="I677">
        <v>1560.23999999999</v>
      </c>
      <c r="J677">
        <v>3</v>
      </c>
      <c r="K677">
        <v>0</v>
      </c>
      <c r="L677">
        <v>421.19999999999902</v>
      </c>
      <c r="M677" t="s">
        <v>32</v>
      </c>
    </row>
    <row r="678" spans="1:13">
      <c r="A678" t="s">
        <v>1202</v>
      </c>
      <c r="B678" s="1">
        <v>41266</v>
      </c>
      <c r="C678" s="1">
        <v>41272</v>
      </c>
      <c r="D678" t="s">
        <v>1147</v>
      </c>
      <c r="E678" t="s">
        <v>725</v>
      </c>
      <c r="G678" t="s">
        <v>16</v>
      </c>
      <c r="H678" t="s">
        <v>2663</v>
      </c>
      <c r="I678">
        <v>3271.2</v>
      </c>
      <c r="J678">
        <v>5</v>
      </c>
      <c r="K678">
        <v>0</v>
      </c>
      <c r="L678">
        <v>1341.15</v>
      </c>
      <c r="M678" t="s">
        <v>17</v>
      </c>
    </row>
    <row r="679" spans="1:13">
      <c r="A679" t="s">
        <v>1203</v>
      </c>
      <c r="B679" s="1">
        <v>41647</v>
      </c>
      <c r="C679" s="1">
        <v>41650</v>
      </c>
      <c r="D679" t="s">
        <v>1204</v>
      </c>
      <c r="E679" t="s">
        <v>88</v>
      </c>
      <c r="F679" t="s">
        <v>89</v>
      </c>
      <c r="G679" t="s">
        <v>28</v>
      </c>
      <c r="H679" t="s">
        <v>2661</v>
      </c>
      <c r="I679">
        <v>751.48799999999903</v>
      </c>
      <c r="J679" t="s">
        <v>1205</v>
      </c>
      <c r="K679">
        <v>0.2</v>
      </c>
      <c r="L679">
        <v>-112.752</v>
      </c>
      <c r="M679" t="s">
        <v>23</v>
      </c>
    </row>
    <row r="680" spans="1:13">
      <c r="A680" t="s">
        <v>1206</v>
      </c>
      <c r="B680" s="1">
        <v>41643</v>
      </c>
      <c r="C680" s="1">
        <v>41649</v>
      </c>
      <c r="D680" t="s">
        <v>354</v>
      </c>
      <c r="E680" t="s">
        <v>346</v>
      </c>
      <c r="F680" t="s">
        <v>89</v>
      </c>
      <c r="G680" t="s">
        <v>16</v>
      </c>
      <c r="H680" t="s">
        <v>2656</v>
      </c>
      <c r="I680">
        <v>2120.8000000000002</v>
      </c>
      <c r="J680">
        <v>5</v>
      </c>
      <c r="K680">
        <v>0</v>
      </c>
      <c r="L680">
        <v>275.7</v>
      </c>
      <c r="M680" t="s">
        <v>17</v>
      </c>
    </row>
    <row r="681" spans="1:13">
      <c r="A681" t="s">
        <v>1207</v>
      </c>
      <c r="B681" s="1">
        <v>42035</v>
      </c>
      <c r="C681" s="1">
        <v>42039</v>
      </c>
      <c r="D681" t="s">
        <v>825</v>
      </c>
      <c r="E681" t="s">
        <v>62</v>
      </c>
      <c r="F681" t="s">
        <v>63</v>
      </c>
      <c r="G681" t="s">
        <v>16</v>
      </c>
      <c r="H681" t="s">
        <v>2655</v>
      </c>
      <c r="I681">
        <v>2102.8319999999999</v>
      </c>
      <c r="J681">
        <v>8</v>
      </c>
      <c r="K681">
        <v>0.15</v>
      </c>
      <c r="L681">
        <v>2270.15770744771</v>
      </c>
      <c r="M681" t="s">
        <v>32</v>
      </c>
    </row>
    <row r="682" spans="1:13">
      <c r="A682" t="s">
        <v>1208</v>
      </c>
      <c r="B682" s="1">
        <v>41216</v>
      </c>
      <c r="C682" s="1">
        <v>41218</v>
      </c>
      <c r="E682" t="s">
        <v>62</v>
      </c>
      <c r="F682" t="s">
        <v>63</v>
      </c>
      <c r="G682" t="s">
        <v>16</v>
      </c>
      <c r="H682" t="s">
        <v>2656</v>
      </c>
      <c r="I682">
        <v>820.48800000000006</v>
      </c>
      <c r="J682">
        <v>8</v>
      </c>
      <c r="K682">
        <v>0.15</v>
      </c>
      <c r="L682">
        <v>183.28799999999899</v>
      </c>
      <c r="M682" t="s">
        <v>23</v>
      </c>
    </row>
    <row r="683" spans="1:13">
      <c r="B683" s="1">
        <v>42252</v>
      </c>
      <c r="C683" s="1">
        <v>42256</v>
      </c>
      <c r="D683" t="s">
        <v>207</v>
      </c>
      <c r="E683" t="s">
        <v>35</v>
      </c>
      <c r="F683" t="s">
        <v>102</v>
      </c>
      <c r="G683" t="s">
        <v>16</v>
      </c>
      <c r="H683" t="s">
        <v>2662</v>
      </c>
      <c r="I683">
        <v>91.96</v>
      </c>
      <c r="J683">
        <v>4</v>
      </c>
      <c r="K683">
        <v>0</v>
      </c>
      <c r="L683">
        <v>39.5428</v>
      </c>
      <c r="M683" t="s">
        <v>17</v>
      </c>
    </row>
    <row r="684" spans="1:13">
      <c r="A684" t="s">
        <v>1209</v>
      </c>
      <c r="B684" s="1">
        <v>41906</v>
      </c>
      <c r="C684" s="2">
        <v>41906</v>
      </c>
      <c r="D684" t="s">
        <v>1210</v>
      </c>
      <c r="E684" t="s">
        <v>74</v>
      </c>
      <c r="F684" t="s">
        <v>75</v>
      </c>
      <c r="G684" t="s">
        <v>39</v>
      </c>
      <c r="H684" t="s">
        <v>2662</v>
      </c>
      <c r="I684">
        <v>553.44000000000005</v>
      </c>
      <c r="J684">
        <v>8</v>
      </c>
      <c r="K684">
        <v>0</v>
      </c>
      <c r="L684">
        <v>16.559999999999999</v>
      </c>
      <c r="M684" t="s">
        <v>23</v>
      </c>
    </row>
    <row r="685" spans="1:13">
      <c r="A685" t="s">
        <v>1211</v>
      </c>
      <c r="C685" s="1">
        <v>41086</v>
      </c>
      <c r="D685" t="s">
        <v>1212</v>
      </c>
      <c r="E685" t="s">
        <v>14</v>
      </c>
      <c r="F685" t="s">
        <v>15</v>
      </c>
      <c r="G685" t="s">
        <v>16</v>
      </c>
      <c r="H685" t="s">
        <v>2655</v>
      </c>
      <c r="I685">
        <v>1718.172</v>
      </c>
      <c r="J685">
        <v>6</v>
      </c>
      <c r="K685">
        <v>0.1</v>
      </c>
      <c r="L685">
        <v>610.81200000000001</v>
      </c>
      <c r="M685" t="s">
        <v>32</v>
      </c>
    </row>
    <row r="686" spans="1:13">
      <c r="A686" t="s">
        <v>1213</v>
      </c>
      <c r="B686" s="1">
        <v>41516</v>
      </c>
      <c r="C686" s="1">
        <v>41519</v>
      </c>
      <c r="D686" t="s">
        <v>1214</v>
      </c>
      <c r="E686" t="s">
        <v>20</v>
      </c>
      <c r="F686" t="s">
        <v>63</v>
      </c>
      <c r="G686" t="s">
        <v>28</v>
      </c>
      <c r="H686" t="s">
        <v>2657</v>
      </c>
      <c r="I686">
        <v>2794.2525000000001</v>
      </c>
      <c r="J686">
        <v>5</v>
      </c>
      <c r="K686">
        <v>0.35</v>
      </c>
      <c r="L686">
        <v>515.75250000000005</v>
      </c>
      <c r="M686" t="s">
        <v>17</v>
      </c>
    </row>
    <row r="687" spans="1:13">
      <c r="A687" t="s">
        <v>833</v>
      </c>
      <c r="B687" s="1">
        <v>41807</v>
      </c>
      <c r="C687" s="1">
        <v>41809</v>
      </c>
      <c r="D687" t="s">
        <v>712</v>
      </c>
      <c r="E687" t="s">
        <v>62</v>
      </c>
      <c r="F687" t="s">
        <v>1215</v>
      </c>
      <c r="H687" t="s">
        <v>2661</v>
      </c>
      <c r="I687">
        <v>1242.54</v>
      </c>
      <c r="J687">
        <v>3</v>
      </c>
      <c r="K687">
        <v>0.1</v>
      </c>
      <c r="L687">
        <v>345.15</v>
      </c>
      <c r="M687" t="s">
        <v>32</v>
      </c>
    </row>
    <row r="688" spans="1:13">
      <c r="A688" t="s">
        <v>1216</v>
      </c>
      <c r="B688" s="1">
        <v>42328</v>
      </c>
      <c r="C688" s="1">
        <v>42330</v>
      </c>
      <c r="D688" t="s">
        <v>207</v>
      </c>
      <c r="F688" t="s">
        <v>36</v>
      </c>
      <c r="G688" t="s">
        <v>39</v>
      </c>
      <c r="H688" t="s">
        <v>2658</v>
      </c>
      <c r="I688">
        <v>99.135999999999996</v>
      </c>
      <c r="J688">
        <v>4</v>
      </c>
      <c r="K688">
        <v>0.2</v>
      </c>
      <c r="L688">
        <v>8.6743999999999897</v>
      </c>
      <c r="M688" t="s">
        <v>17</v>
      </c>
    </row>
    <row r="689" spans="1:13">
      <c r="C689" s="1">
        <v>41630</v>
      </c>
      <c r="D689" t="s">
        <v>657</v>
      </c>
      <c r="E689" t="s">
        <v>58</v>
      </c>
      <c r="F689" t="s">
        <v>81</v>
      </c>
      <c r="G689" t="s">
        <v>16</v>
      </c>
      <c r="H689" t="s">
        <v>2655</v>
      </c>
      <c r="I689">
        <v>1274.7</v>
      </c>
      <c r="J689">
        <v>2</v>
      </c>
      <c r="K689">
        <v>0</v>
      </c>
      <c r="L689">
        <v>165.66</v>
      </c>
      <c r="M689" t="s">
        <v>32</v>
      </c>
    </row>
    <row r="690" spans="1:13">
      <c r="A690" t="s">
        <v>1217</v>
      </c>
      <c r="B690" s="1">
        <v>41907</v>
      </c>
      <c r="C690" s="1">
        <v>41913</v>
      </c>
      <c r="D690" t="s">
        <v>1218</v>
      </c>
      <c r="E690" t="s">
        <v>1219</v>
      </c>
      <c r="F690" t="s">
        <v>222</v>
      </c>
      <c r="G690" t="s">
        <v>16</v>
      </c>
      <c r="H690" t="s">
        <v>2656</v>
      </c>
      <c r="J690">
        <v>6</v>
      </c>
      <c r="K690">
        <v>0</v>
      </c>
      <c r="L690">
        <v>730.26</v>
      </c>
      <c r="M690" t="s">
        <v>65</v>
      </c>
    </row>
    <row r="691" spans="1:13">
      <c r="A691" t="s">
        <v>1220</v>
      </c>
      <c r="B691" s="1">
        <v>42087</v>
      </c>
      <c r="C691" s="1">
        <v>42091</v>
      </c>
      <c r="D691" t="s">
        <v>244</v>
      </c>
      <c r="E691" t="s">
        <v>88</v>
      </c>
      <c r="F691" t="s">
        <v>89</v>
      </c>
      <c r="G691" t="s">
        <v>28</v>
      </c>
      <c r="H691" t="s">
        <v>2656</v>
      </c>
      <c r="I691">
        <v>2205.5680000000002</v>
      </c>
      <c r="J691">
        <v>8</v>
      </c>
      <c r="K691">
        <v>0.2</v>
      </c>
      <c r="L691">
        <v>689.08799999999997</v>
      </c>
      <c r="M691" t="s">
        <v>32</v>
      </c>
    </row>
    <row r="692" spans="1:13">
      <c r="A692" t="s">
        <v>1221</v>
      </c>
      <c r="B692" s="1">
        <v>41670</v>
      </c>
      <c r="C692" s="1">
        <v>41672</v>
      </c>
      <c r="E692" t="s">
        <v>35</v>
      </c>
      <c r="F692" t="s">
        <v>1031</v>
      </c>
      <c r="G692" t="s">
        <v>39</v>
      </c>
      <c r="H692" t="s">
        <v>2654</v>
      </c>
      <c r="I692">
        <v>15.552</v>
      </c>
      <c r="J692">
        <v>3</v>
      </c>
      <c r="L692">
        <v>5.4432</v>
      </c>
      <c r="M692" t="s">
        <v>23</v>
      </c>
    </row>
    <row r="693" spans="1:13">
      <c r="A693" t="s">
        <v>1222</v>
      </c>
      <c r="B693" s="1">
        <v>41245</v>
      </c>
      <c r="C693" s="1">
        <v>41245</v>
      </c>
      <c r="D693" t="s">
        <v>1223</v>
      </c>
      <c r="E693" t="s">
        <v>20</v>
      </c>
      <c r="F693" t="s">
        <v>63</v>
      </c>
      <c r="G693" t="s">
        <v>16</v>
      </c>
      <c r="H693" t="s">
        <v>2658</v>
      </c>
      <c r="J693">
        <v>5</v>
      </c>
      <c r="K693">
        <v>0</v>
      </c>
      <c r="L693">
        <v>742.35</v>
      </c>
      <c r="M693" t="s">
        <v>17</v>
      </c>
    </row>
    <row r="694" spans="1:13">
      <c r="A694" t="s">
        <v>1224</v>
      </c>
      <c r="B694" s="1">
        <v>42152</v>
      </c>
      <c r="C694" s="1">
        <v>42156</v>
      </c>
      <c r="D694" t="s">
        <v>414</v>
      </c>
      <c r="E694" t="s">
        <v>105</v>
      </c>
      <c r="F694" t="s">
        <v>106</v>
      </c>
      <c r="G694" t="s">
        <v>28</v>
      </c>
      <c r="H694" t="s">
        <v>2659</v>
      </c>
      <c r="I694">
        <v>1394.99999999999</v>
      </c>
      <c r="J694">
        <v>3</v>
      </c>
      <c r="K694" t="s">
        <v>215</v>
      </c>
      <c r="L694">
        <v>237.15</v>
      </c>
      <c r="M694" t="s">
        <v>32</v>
      </c>
    </row>
    <row r="695" spans="1:13">
      <c r="A695" t="s">
        <v>1225</v>
      </c>
      <c r="B695" s="2">
        <v>42169</v>
      </c>
      <c r="C695" s="1">
        <v>42172</v>
      </c>
      <c r="D695" t="s">
        <v>1226</v>
      </c>
      <c r="E695" t="s">
        <v>20</v>
      </c>
      <c r="F695" t="s">
        <v>63</v>
      </c>
      <c r="G695" t="s">
        <v>28</v>
      </c>
      <c r="H695" t="s">
        <v>2656</v>
      </c>
      <c r="I695">
        <v>2291.835</v>
      </c>
      <c r="J695">
        <v>7</v>
      </c>
      <c r="K695">
        <v>0.35</v>
      </c>
      <c r="L695">
        <v>-1128.4349999999999</v>
      </c>
      <c r="M695" t="s">
        <v>32</v>
      </c>
    </row>
    <row r="696" spans="1:13">
      <c r="A696" t="s">
        <v>1227</v>
      </c>
      <c r="B696" s="1">
        <v>41224</v>
      </c>
      <c r="C696" s="1">
        <v>41228</v>
      </c>
      <c r="D696" t="s">
        <v>1228</v>
      </c>
      <c r="E696" t="s">
        <v>1229</v>
      </c>
      <c r="F696" t="s">
        <v>121</v>
      </c>
      <c r="G696" t="s">
        <v>28</v>
      </c>
      <c r="H696" t="s">
        <v>2655</v>
      </c>
      <c r="I696">
        <v>1660.79999999999</v>
      </c>
      <c r="J696">
        <v>4</v>
      </c>
      <c r="K696">
        <v>0</v>
      </c>
      <c r="L696">
        <v>83.039999999999907</v>
      </c>
      <c r="M696" t="s">
        <v>32</v>
      </c>
    </row>
    <row r="697" spans="1:13">
      <c r="A697" t="s">
        <v>1230</v>
      </c>
      <c r="B697" s="1">
        <v>41790</v>
      </c>
      <c r="C697" s="1">
        <v>41795</v>
      </c>
      <c r="D697" t="s">
        <v>136</v>
      </c>
      <c r="E697" t="s">
        <v>58</v>
      </c>
      <c r="F697" t="s">
        <v>81</v>
      </c>
      <c r="G697" t="s">
        <v>28</v>
      </c>
      <c r="H697" t="s">
        <v>2658</v>
      </c>
      <c r="I697">
        <v>2436.672</v>
      </c>
      <c r="J697">
        <v>4</v>
      </c>
      <c r="K697">
        <v>0.3</v>
      </c>
      <c r="L697">
        <v>-487.36799999999999</v>
      </c>
      <c r="M697" t="s">
        <v>32</v>
      </c>
    </row>
    <row r="698" spans="1:13">
      <c r="A698" t="s">
        <v>1188</v>
      </c>
      <c r="B698" s="1">
        <v>40972</v>
      </c>
      <c r="C698" s="1">
        <v>40975</v>
      </c>
      <c r="D698" t="s">
        <v>207</v>
      </c>
      <c r="E698" t="s">
        <v>35</v>
      </c>
      <c r="F698" t="s">
        <v>102</v>
      </c>
      <c r="G698" t="s">
        <v>39</v>
      </c>
      <c r="H698" t="s">
        <v>2663</v>
      </c>
      <c r="I698">
        <v>18.62</v>
      </c>
      <c r="J698">
        <v>2</v>
      </c>
      <c r="K698">
        <v>0</v>
      </c>
      <c r="L698">
        <v>5.3997999999999902</v>
      </c>
      <c r="M698" t="s">
        <v>17</v>
      </c>
    </row>
    <row r="699" spans="1:13">
      <c r="A699" t="s">
        <v>1231</v>
      </c>
      <c r="B699" s="1">
        <v>41137</v>
      </c>
      <c r="C699" s="1">
        <v>41139</v>
      </c>
      <c r="D699" t="s">
        <v>716</v>
      </c>
      <c r="E699" t="s">
        <v>452</v>
      </c>
      <c r="F699" t="s">
        <v>78</v>
      </c>
      <c r="G699" t="s">
        <v>28</v>
      </c>
      <c r="H699" t="s">
        <v>2658</v>
      </c>
      <c r="I699">
        <v>954.6</v>
      </c>
      <c r="J699" t="s">
        <v>1232</v>
      </c>
      <c r="K699">
        <v>0</v>
      </c>
      <c r="L699">
        <v>152.69999999999999</v>
      </c>
      <c r="M699" t="s">
        <v>23</v>
      </c>
    </row>
    <row r="700" spans="1:13">
      <c r="A700" t="s">
        <v>1233</v>
      </c>
      <c r="B700" s="1">
        <v>41339</v>
      </c>
      <c r="C700" s="1">
        <v>41344</v>
      </c>
      <c r="D700" t="s">
        <v>1234</v>
      </c>
      <c r="E700" t="s">
        <v>92</v>
      </c>
      <c r="F700" t="s">
        <v>89</v>
      </c>
      <c r="G700" t="s">
        <v>39</v>
      </c>
      <c r="H700" t="s">
        <v>2655</v>
      </c>
      <c r="I700">
        <v>1903</v>
      </c>
      <c r="J700">
        <v>5</v>
      </c>
      <c r="K700">
        <v>0</v>
      </c>
      <c r="L700">
        <v>57</v>
      </c>
      <c r="M700" t="s">
        <v>32</v>
      </c>
    </row>
    <row r="701" spans="1:13">
      <c r="A701" t="s">
        <v>1216</v>
      </c>
      <c r="B701" s="1">
        <v>42328</v>
      </c>
      <c r="C701" s="1">
        <v>42330</v>
      </c>
      <c r="D701" t="s">
        <v>207</v>
      </c>
      <c r="E701" t="s">
        <v>35</v>
      </c>
      <c r="F701" t="s">
        <v>36</v>
      </c>
      <c r="G701" t="s">
        <v>39</v>
      </c>
      <c r="H701" t="s">
        <v>2655</v>
      </c>
      <c r="I701">
        <v>16.896000000000001</v>
      </c>
      <c r="J701">
        <v>4</v>
      </c>
      <c r="K701">
        <v>0.2</v>
      </c>
      <c r="L701">
        <v>5.2799999999999896</v>
      </c>
      <c r="M701" t="s">
        <v>17</v>
      </c>
    </row>
    <row r="702" spans="1:13">
      <c r="A702" t="s">
        <v>1235</v>
      </c>
      <c r="B702" s="1">
        <v>42222</v>
      </c>
      <c r="C702" s="1">
        <v>42222</v>
      </c>
      <c r="D702" t="s">
        <v>255</v>
      </c>
      <c r="E702" t="s">
        <v>1236</v>
      </c>
      <c r="F702" t="s">
        <v>85</v>
      </c>
      <c r="G702" t="s">
        <v>16</v>
      </c>
      <c r="H702" t="s">
        <v>2661</v>
      </c>
      <c r="I702">
        <v>1590.9</v>
      </c>
      <c r="J702">
        <v>5</v>
      </c>
      <c r="K702">
        <v>0</v>
      </c>
      <c r="L702">
        <v>508.94999999999902</v>
      </c>
      <c r="M702" t="s">
        <v>17</v>
      </c>
    </row>
    <row r="703" spans="1:13">
      <c r="A703" t="s">
        <v>1237</v>
      </c>
      <c r="B703" s="1">
        <v>42173</v>
      </c>
      <c r="C703" s="1">
        <v>42176</v>
      </c>
      <c r="D703" t="s">
        <v>1238</v>
      </c>
      <c r="E703" t="s">
        <v>840</v>
      </c>
      <c r="F703" t="s">
        <v>49</v>
      </c>
      <c r="G703" t="s">
        <v>28</v>
      </c>
      <c r="H703" t="s">
        <v>2655</v>
      </c>
      <c r="I703">
        <v>1467.36</v>
      </c>
      <c r="J703">
        <v>4</v>
      </c>
      <c r="K703">
        <v>0</v>
      </c>
      <c r="L703">
        <v>469.43999999999897</v>
      </c>
      <c r="M703" t="s">
        <v>32</v>
      </c>
    </row>
    <row r="704" spans="1:13">
      <c r="A704" t="s">
        <v>1239</v>
      </c>
      <c r="B704" s="1">
        <v>42369</v>
      </c>
      <c r="C704" s="1">
        <v>42370</v>
      </c>
      <c r="D704" t="s">
        <v>1240</v>
      </c>
      <c r="E704" t="s">
        <v>131</v>
      </c>
      <c r="F704" t="s">
        <v>132</v>
      </c>
      <c r="G704" t="s">
        <v>28</v>
      </c>
      <c r="H704" t="s">
        <v>2657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32</v>
      </c>
    </row>
    <row r="705" spans="1:13">
      <c r="A705" t="s">
        <v>1241</v>
      </c>
      <c r="B705" s="1">
        <v>41541</v>
      </c>
      <c r="C705" s="1">
        <v>41545</v>
      </c>
      <c r="D705" t="s">
        <v>1242</v>
      </c>
      <c r="E705" t="s">
        <v>200</v>
      </c>
      <c r="F705" t="s">
        <v>89</v>
      </c>
      <c r="G705" t="s">
        <v>16</v>
      </c>
      <c r="H705" t="s">
        <v>2663</v>
      </c>
      <c r="I705">
        <v>2014.3632</v>
      </c>
      <c r="K705">
        <v>2E-3</v>
      </c>
      <c r="L705">
        <v>419.80319999999898</v>
      </c>
      <c r="M705" t="s">
        <v>17</v>
      </c>
    </row>
    <row r="706" spans="1:13">
      <c r="A706" t="s">
        <v>1243</v>
      </c>
      <c r="B706" s="1">
        <v>41688</v>
      </c>
      <c r="C706" s="1">
        <v>41693</v>
      </c>
      <c r="D706" t="s">
        <v>658</v>
      </c>
      <c r="E706" t="s">
        <v>120</v>
      </c>
      <c r="F706" t="s">
        <v>121</v>
      </c>
      <c r="G706" t="s">
        <v>28</v>
      </c>
      <c r="H706" t="s">
        <v>2663</v>
      </c>
      <c r="I706">
        <v>3877.68</v>
      </c>
      <c r="J706">
        <v>8</v>
      </c>
      <c r="K706">
        <v>0</v>
      </c>
      <c r="L706">
        <v>930.48</v>
      </c>
      <c r="M706" t="s">
        <v>17</v>
      </c>
    </row>
    <row r="707" spans="1:13">
      <c r="A707" t="s">
        <v>1216</v>
      </c>
      <c r="B707" s="1">
        <v>42328</v>
      </c>
      <c r="C707" s="1">
        <v>42330</v>
      </c>
      <c r="D707" t="s">
        <v>207</v>
      </c>
      <c r="E707" t="s">
        <v>35</v>
      </c>
      <c r="F707" t="s">
        <v>36</v>
      </c>
      <c r="G707" t="s">
        <v>39</v>
      </c>
      <c r="H707" t="s">
        <v>2657</v>
      </c>
      <c r="I707">
        <v>6.6719999999999997</v>
      </c>
      <c r="J707">
        <v>1</v>
      </c>
      <c r="L707">
        <v>0.50039999999999996</v>
      </c>
      <c r="M707" t="s">
        <v>17</v>
      </c>
    </row>
    <row r="708" spans="1:13">
      <c r="A708" t="s">
        <v>1216</v>
      </c>
      <c r="B708" s="1">
        <v>42328</v>
      </c>
      <c r="C708" s="1">
        <v>42330</v>
      </c>
      <c r="E708" t="s">
        <v>35</v>
      </c>
      <c r="F708" t="s">
        <v>36</v>
      </c>
      <c r="G708" t="s">
        <v>28</v>
      </c>
      <c r="H708" t="s">
        <v>2658</v>
      </c>
      <c r="I708">
        <v>15.9919999999999</v>
      </c>
      <c r="J708">
        <v>2</v>
      </c>
      <c r="K708">
        <v>0.6</v>
      </c>
      <c r="L708">
        <v>-13.992999999999901</v>
      </c>
      <c r="M708" t="s">
        <v>17</v>
      </c>
    </row>
    <row r="709" spans="1:13">
      <c r="A709" t="s">
        <v>1244</v>
      </c>
      <c r="B709" s="1">
        <v>42332</v>
      </c>
      <c r="C709" s="1">
        <v>42334</v>
      </c>
      <c r="D709" t="s">
        <v>1245</v>
      </c>
      <c r="E709" t="s">
        <v>14</v>
      </c>
      <c r="F709" t="s">
        <v>15</v>
      </c>
      <c r="G709" t="s">
        <v>16</v>
      </c>
      <c r="H709" t="s">
        <v>2658</v>
      </c>
      <c r="I709">
        <v>2863.35</v>
      </c>
      <c r="J709">
        <v>5</v>
      </c>
      <c r="K709">
        <v>0.1</v>
      </c>
      <c r="L709">
        <v>858.9</v>
      </c>
      <c r="M709" t="s">
        <v>17</v>
      </c>
    </row>
    <row r="710" spans="1:13">
      <c r="B710" s="1">
        <v>42270</v>
      </c>
      <c r="D710" t="s">
        <v>1246</v>
      </c>
      <c r="E710" t="s">
        <v>239</v>
      </c>
      <c r="F710" t="s">
        <v>132</v>
      </c>
      <c r="G710" t="s">
        <v>28</v>
      </c>
      <c r="H710" t="s">
        <v>2663</v>
      </c>
      <c r="I710">
        <v>2841.6599999999899</v>
      </c>
      <c r="J710">
        <v>8</v>
      </c>
      <c r="K710">
        <v>0.25</v>
      </c>
      <c r="L710">
        <v>189.42</v>
      </c>
      <c r="M710" t="s">
        <v>17</v>
      </c>
    </row>
    <row r="711" spans="1:13">
      <c r="A711" t="s">
        <v>1247</v>
      </c>
      <c r="B711" s="1">
        <v>42312</v>
      </c>
      <c r="C711" s="1">
        <v>42315</v>
      </c>
      <c r="D711" t="s">
        <v>1248</v>
      </c>
      <c r="E711" t="s">
        <v>62</v>
      </c>
      <c r="F711" t="s">
        <v>63</v>
      </c>
      <c r="G711" t="s">
        <v>16</v>
      </c>
      <c r="H711" t="s">
        <v>2656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23</v>
      </c>
    </row>
    <row r="712" spans="1:13">
      <c r="A712" t="s">
        <v>1249</v>
      </c>
      <c r="B712" s="1">
        <v>42248</v>
      </c>
      <c r="C712" s="1">
        <v>42251</v>
      </c>
      <c r="D712" t="s">
        <v>94</v>
      </c>
      <c r="E712" t="s">
        <v>14</v>
      </c>
      <c r="F712" t="s">
        <v>15</v>
      </c>
      <c r="G712" t="s">
        <v>39</v>
      </c>
      <c r="H712" t="s">
        <v>2655</v>
      </c>
      <c r="I712">
        <v>1887.84</v>
      </c>
      <c r="J712">
        <v>4</v>
      </c>
      <c r="K712">
        <v>0.1</v>
      </c>
      <c r="L712">
        <v>0</v>
      </c>
      <c r="M712" t="s">
        <v>17</v>
      </c>
    </row>
    <row r="713" spans="1:13">
      <c r="A713" t="s">
        <v>1250</v>
      </c>
      <c r="B713" s="1">
        <v>41527</v>
      </c>
      <c r="C713" s="1">
        <v>41532</v>
      </c>
      <c r="D713" t="s">
        <v>207</v>
      </c>
      <c r="E713" t="s">
        <v>35</v>
      </c>
      <c r="G713" t="s">
        <v>39</v>
      </c>
      <c r="H713" t="s">
        <v>2662</v>
      </c>
      <c r="I713">
        <v>14.94</v>
      </c>
      <c r="J713">
        <v>3</v>
      </c>
      <c r="K713">
        <v>0</v>
      </c>
      <c r="L713">
        <v>7.0217999999999998</v>
      </c>
      <c r="M713" t="s">
        <v>32</v>
      </c>
    </row>
    <row r="714" spans="1:13">
      <c r="A714" t="s">
        <v>1251</v>
      </c>
      <c r="B714" s="1">
        <v>41660</v>
      </c>
      <c r="C714" s="1">
        <v>41660</v>
      </c>
      <c r="D714" t="s">
        <v>1252</v>
      </c>
      <c r="E714" t="s">
        <v>438</v>
      </c>
      <c r="F714" t="s">
        <v>438</v>
      </c>
      <c r="G714" t="s">
        <v>39</v>
      </c>
      <c r="H714" t="s">
        <v>2661</v>
      </c>
      <c r="I714">
        <v>410.87999999999897</v>
      </c>
      <c r="J714">
        <v>8</v>
      </c>
      <c r="K714">
        <v>0</v>
      </c>
      <c r="L714" t="s">
        <v>1253</v>
      </c>
      <c r="M714" t="s">
        <v>32</v>
      </c>
    </row>
    <row r="715" spans="1:13">
      <c r="A715" t="s">
        <v>1254</v>
      </c>
      <c r="B715" s="1">
        <v>42111</v>
      </c>
      <c r="C715" s="1">
        <v>42114</v>
      </c>
      <c r="D715" t="s">
        <v>364</v>
      </c>
      <c r="E715" t="s">
        <v>558</v>
      </c>
      <c r="F715" t="s">
        <v>111</v>
      </c>
      <c r="G715" t="s">
        <v>39</v>
      </c>
      <c r="H715" t="s">
        <v>2656</v>
      </c>
      <c r="I715" t="s">
        <v>152</v>
      </c>
      <c r="J715">
        <v>5</v>
      </c>
      <c r="K715">
        <v>0</v>
      </c>
      <c r="L715">
        <v>180.1</v>
      </c>
      <c r="M715" t="s">
        <v>17</v>
      </c>
    </row>
    <row r="716" spans="1:13">
      <c r="A716" t="s">
        <v>143</v>
      </c>
      <c r="B716" s="1">
        <v>41706</v>
      </c>
      <c r="C716" s="1">
        <v>41706</v>
      </c>
      <c r="D716" t="s">
        <v>480</v>
      </c>
      <c r="E716" t="s">
        <v>62</v>
      </c>
      <c r="F716" t="s">
        <v>63</v>
      </c>
      <c r="G716" t="s">
        <v>16</v>
      </c>
      <c r="H716" t="s">
        <v>2661</v>
      </c>
      <c r="I716">
        <v>779.28</v>
      </c>
      <c r="J716">
        <v>5</v>
      </c>
      <c r="K716">
        <v>0.15</v>
      </c>
      <c r="L716">
        <v>-0.119999999999976</v>
      </c>
      <c r="M716" t="s">
        <v>23</v>
      </c>
    </row>
    <row r="717" spans="1:13">
      <c r="A717" t="s">
        <v>1255</v>
      </c>
      <c r="B717" s="1">
        <v>40964</v>
      </c>
      <c r="C717" s="1">
        <v>40964</v>
      </c>
      <c r="D717" t="s">
        <v>280</v>
      </c>
      <c r="E717" t="s">
        <v>1256</v>
      </c>
      <c r="F717" t="s">
        <v>222</v>
      </c>
      <c r="G717" t="s">
        <v>16</v>
      </c>
      <c r="H717" t="s">
        <v>2661</v>
      </c>
      <c r="I717">
        <v>613.26</v>
      </c>
      <c r="J717">
        <v>2</v>
      </c>
      <c r="K717">
        <v>0</v>
      </c>
      <c r="L717">
        <v>202.32</v>
      </c>
      <c r="M717" t="s">
        <v>23</v>
      </c>
    </row>
    <row r="718" spans="1:13">
      <c r="A718" t="s">
        <v>1257</v>
      </c>
      <c r="B718" s="1">
        <v>41361</v>
      </c>
      <c r="C718" s="1">
        <v>41366</v>
      </c>
      <c r="D718" t="s">
        <v>1252</v>
      </c>
      <c r="E718" t="s">
        <v>35</v>
      </c>
      <c r="F718" t="s">
        <v>234</v>
      </c>
      <c r="G718" t="s">
        <v>16</v>
      </c>
      <c r="H718" t="s">
        <v>2656</v>
      </c>
      <c r="I718">
        <v>166.24</v>
      </c>
      <c r="J718">
        <v>1</v>
      </c>
      <c r="K718">
        <v>0</v>
      </c>
      <c r="L718">
        <v>24.936</v>
      </c>
      <c r="M718" t="s">
        <v>17</v>
      </c>
    </row>
    <row r="719" spans="1:13">
      <c r="A719" t="s">
        <v>1258</v>
      </c>
      <c r="B719" s="1">
        <v>42263</v>
      </c>
      <c r="C719" s="1">
        <v>42267</v>
      </c>
      <c r="D719" t="s">
        <v>1259</v>
      </c>
      <c r="E719" t="s">
        <v>14</v>
      </c>
      <c r="F719" t="s">
        <v>15</v>
      </c>
      <c r="G719" t="s">
        <v>28</v>
      </c>
      <c r="H719" t="s">
        <v>2662</v>
      </c>
      <c r="I719">
        <v>1837.5599999999899</v>
      </c>
      <c r="J719">
        <v>4</v>
      </c>
      <c r="K719">
        <v>0</v>
      </c>
      <c r="L719">
        <v>275.52</v>
      </c>
      <c r="M719" t="s">
        <v>17</v>
      </c>
    </row>
    <row r="720" spans="1:13">
      <c r="A720" t="s">
        <v>1260</v>
      </c>
      <c r="B720" s="1">
        <v>41828</v>
      </c>
      <c r="C720" s="1">
        <v>41831</v>
      </c>
      <c r="D720" t="s">
        <v>877</v>
      </c>
      <c r="F720" t="s">
        <v>68</v>
      </c>
      <c r="G720" t="s">
        <v>39</v>
      </c>
      <c r="H720" t="s">
        <v>2656</v>
      </c>
      <c r="I720">
        <v>3979.29</v>
      </c>
      <c r="J720">
        <v>7</v>
      </c>
      <c r="K720">
        <v>0</v>
      </c>
      <c r="L720">
        <v>1989.53999999999</v>
      </c>
      <c r="M720" t="s">
        <v>17</v>
      </c>
    </row>
    <row r="721" spans="1:13">
      <c r="A721" t="s">
        <v>1261</v>
      </c>
      <c r="B721" t="s">
        <v>1262</v>
      </c>
      <c r="C721" s="1">
        <v>41456</v>
      </c>
      <c r="D721" t="s">
        <v>1252</v>
      </c>
      <c r="E721" t="s">
        <v>35</v>
      </c>
      <c r="F721" t="s">
        <v>38</v>
      </c>
      <c r="G721" t="s">
        <v>39</v>
      </c>
      <c r="H721" t="s">
        <v>2655</v>
      </c>
      <c r="I721">
        <v>304.23</v>
      </c>
      <c r="J721">
        <v>3</v>
      </c>
      <c r="K721">
        <v>0</v>
      </c>
      <c r="M721" t="s">
        <v>17</v>
      </c>
    </row>
    <row r="722" spans="1:13">
      <c r="A722" t="s">
        <v>1263</v>
      </c>
      <c r="B722" s="1">
        <v>42004</v>
      </c>
      <c r="C722" s="1">
        <v>42005</v>
      </c>
      <c r="D722" t="s">
        <v>1264</v>
      </c>
      <c r="E722" t="s">
        <v>200</v>
      </c>
      <c r="F722" t="s">
        <v>89</v>
      </c>
      <c r="G722" t="s">
        <v>16</v>
      </c>
      <c r="H722" t="s">
        <v>2661</v>
      </c>
      <c r="I722">
        <v>1198.2986000000001</v>
      </c>
      <c r="J722">
        <v>5</v>
      </c>
      <c r="K722">
        <v>2E-3</v>
      </c>
      <c r="L722" t="s">
        <v>1265</v>
      </c>
      <c r="M722" t="s">
        <v>32</v>
      </c>
    </row>
    <row r="723" spans="1:13">
      <c r="A723" t="s">
        <v>1266</v>
      </c>
      <c r="B723" t="s">
        <v>116</v>
      </c>
      <c r="D723" t="s">
        <v>1252</v>
      </c>
      <c r="E723" t="s">
        <v>35</v>
      </c>
      <c r="F723" t="s">
        <v>142</v>
      </c>
      <c r="G723" t="s">
        <v>39</v>
      </c>
      <c r="H723" t="s">
        <v>2662</v>
      </c>
      <c r="I723">
        <v>163.96</v>
      </c>
      <c r="J723">
        <v>5</v>
      </c>
      <c r="K723">
        <v>0.2</v>
      </c>
      <c r="L723">
        <v>59.435499999999998</v>
      </c>
      <c r="M723" t="s">
        <v>17</v>
      </c>
    </row>
    <row r="724" spans="1:13">
      <c r="A724" t="s">
        <v>1267</v>
      </c>
      <c r="B724" s="1">
        <v>42033</v>
      </c>
      <c r="D724" t="s">
        <v>1268</v>
      </c>
      <c r="E724" t="s">
        <v>14</v>
      </c>
      <c r="F724" t="s">
        <v>15</v>
      </c>
      <c r="G724" t="s">
        <v>28</v>
      </c>
      <c r="H724" t="s">
        <v>2657</v>
      </c>
      <c r="I724">
        <v>1864.2149999999899</v>
      </c>
      <c r="J724">
        <v>5</v>
      </c>
      <c r="L724">
        <v>455.56499999999897</v>
      </c>
      <c r="M724" t="s">
        <v>32</v>
      </c>
    </row>
    <row r="725" spans="1:13">
      <c r="A725" t="s">
        <v>1269</v>
      </c>
      <c r="B725" s="1">
        <v>41159</v>
      </c>
      <c r="C725" s="1">
        <v>41161</v>
      </c>
      <c r="D725" t="s">
        <v>506</v>
      </c>
      <c r="E725" t="s">
        <v>576</v>
      </c>
      <c r="F725" t="s">
        <v>49</v>
      </c>
      <c r="G725" t="s">
        <v>28</v>
      </c>
      <c r="H725" t="s">
        <v>2658</v>
      </c>
      <c r="I725">
        <v>1142.6399999999901</v>
      </c>
      <c r="J725">
        <v>6</v>
      </c>
      <c r="K725">
        <v>0.6</v>
      </c>
      <c r="M725" t="s">
        <v>23</v>
      </c>
    </row>
    <row r="726" spans="1:13">
      <c r="A726" t="s">
        <v>1270</v>
      </c>
      <c r="B726" s="1">
        <v>42052</v>
      </c>
      <c r="C726" s="1">
        <v>42056</v>
      </c>
      <c r="D726" t="s">
        <v>1271</v>
      </c>
      <c r="E726" t="s">
        <v>62</v>
      </c>
      <c r="F726" t="s">
        <v>63</v>
      </c>
      <c r="G726" t="s">
        <v>28</v>
      </c>
      <c r="H726" t="s">
        <v>2663</v>
      </c>
      <c r="I726">
        <v>1630.79999999999</v>
      </c>
      <c r="J726">
        <v>5</v>
      </c>
      <c r="K726">
        <v>0.1</v>
      </c>
      <c r="M726" t="s">
        <v>32</v>
      </c>
    </row>
    <row r="727" spans="1:13">
      <c r="B727" s="1">
        <v>41424</v>
      </c>
      <c r="C727" s="1">
        <v>41427</v>
      </c>
      <c r="D727" t="s">
        <v>1272</v>
      </c>
      <c r="E727" t="s">
        <v>492</v>
      </c>
      <c r="F727" t="s">
        <v>85</v>
      </c>
      <c r="G727" t="s">
        <v>16</v>
      </c>
      <c r="H727" t="s">
        <v>2655</v>
      </c>
      <c r="I727">
        <v>1172.664</v>
      </c>
      <c r="J727">
        <v>6</v>
      </c>
      <c r="K727">
        <v>0.7</v>
      </c>
      <c r="L727">
        <v>-1172.7359999999901</v>
      </c>
      <c r="M727" t="s">
        <v>32</v>
      </c>
    </row>
    <row r="728" spans="1:13">
      <c r="A728" t="s">
        <v>1273</v>
      </c>
      <c r="B728" s="1">
        <v>41641</v>
      </c>
      <c r="C728" s="1">
        <v>41643</v>
      </c>
      <c r="D728" t="s">
        <v>1274</v>
      </c>
      <c r="E728" t="s">
        <v>157</v>
      </c>
      <c r="F728" t="s">
        <v>106</v>
      </c>
      <c r="G728" t="s">
        <v>16</v>
      </c>
      <c r="H728" t="s">
        <v>2663</v>
      </c>
      <c r="I728">
        <v>2021.88</v>
      </c>
      <c r="J728">
        <v>14</v>
      </c>
      <c r="K728">
        <v>0</v>
      </c>
      <c r="L728">
        <v>323.39999999999998</v>
      </c>
      <c r="M728" t="s">
        <v>32</v>
      </c>
    </row>
    <row r="729" spans="1:13">
      <c r="A729" t="s">
        <v>1275</v>
      </c>
      <c r="B729" s="1">
        <v>41601</v>
      </c>
      <c r="C729" s="1">
        <v>41603</v>
      </c>
      <c r="D729" t="s">
        <v>1276</v>
      </c>
      <c r="E729" t="s">
        <v>88</v>
      </c>
      <c r="F729" t="s">
        <v>89</v>
      </c>
      <c r="G729" t="s">
        <v>28</v>
      </c>
      <c r="H729" t="s">
        <v>2656</v>
      </c>
      <c r="I729">
        <v>836.92799999999897</v>
      </c>
      <c r="K729">
        <v>0.2</v>
      </c>
      <c r="L729">
        <v>230.12799999999999</v>
      </c>
      <c r="M729" t="s">
        <v>32</v>
      </c>
    </row>
    <row r="730" spans="1:13">
      <c r="A730" t="s">
        <v>1277</v>
      </c>
      <c r="B730" s="1">
        <v>42105</v>
      </c>
      <c r="C730" s="1">
        <v>42111</v>
      </c>
      <c r="D730" t="s">
        <v>170</v>
      </c>
      <c r="E730" t="s">
        <v>1278</v>
      </c>
      <c r="F730" t="s">
        <v>49</v>
      </c>
      <c r="G730" t="s">
        <v>16</v>
      </c>
      <c r="H730" t="s">
        <v>2656</v>
      </c>
      <c r="I730">
        <v>1302.78</v>
      </c>
      <c r="J730">
        <v>2</v>
      </c>
      <c r="K730">
        <v>0</v>
      </c>
      <c r="L730">
        <v>286.56</v>
      </c>
      <c r="M730" t="s">
        <v>65</v>
      </c>
    </row>
    <row r="731" spans="1:13">
      <c r="A731" t="s">
        <v>1279</v>
      </c>
      <c r="B731" s="1">
        <v>41489</v>
      </c>
      <c r="C731" s="1">
        <v>41493</v>
      </c>
      <c r="D731" t="s">
        <v>1195</v>
      </c>
      <c r="E731" t="s">
        <v>476</v>
      </c>
      <c r="F731" t="s">
        <v>222</v>
      </c>
      <c r="G731" t="s">
        <v>154</v>
      </c>
      <c r="H731" t="s">
        <v>2663</v>
      </c>
      <c r="I731">
        <v>2243.88</v>
      </c>
      <c r="J731">
        <v>4</v>
      </c>
      <c r="K731">
        <v>0</v>
      </c>
      <c r="L731">
        <v>246.719999999999</v>
      </c>
      <c r="M731" t="s">
        <v>17</v>
      </c>
    </row>
    <row r="732" spans="1:13">
      <c r="A732" t="s">
        <v>1280</v>
      </c>
      <c r="B732" s="1">
        <v>42326</v>
      </c>
      <c r="C732" t="s">
        <v>1281</v>
      </c>
      <c r="D732" t="s">
        <v>782</v>
      </c>
      <c r="E732" t="s">
        <v>14</v>
      </c>
      <c r="F732" t="s">
        <v>15</v>
      </c>
      <c r="G732" t="s">
        <v>16</v>
      </c>
      <c r="H732" t="s">
        <v>2656</v>
      </c>
      <c r="I732">
        <v>1221.5609999999999</v>
      </c>
      <c r="J732">
        <v>11</v>
      </c>
      <c r="K732">
        <v>0.1</v>
      </c>
      <c r="L732">
        <v>325.61099999999999</v>
      </c>
      <c r="M732" t="s">
        <v>32</v>
      </c>
    </row>
    <row r="733" spans="1:13">
      <c r="A733" t="s">
        <v>1282</v>
      </c>
      <c r="B733" s="2">
        <v>41255</v>
      </c>
      <c r="C733" s="1">
        <v>41259</v>
      </c>
      <c r="D733" t="s">
        <v>1066</v>
      </c>
      <c r="E733" t="s">
        <v>58</v>
      </c>
      <c r="F733" t="s">
        <v>81</v>
      </c>
      <c r="G733" t="s">
        <v>1095</v>
      </c>
      <c r="H733" t="s">
        <v>2661</v>
      </c>
      <c r="I733">
        <v>1609.29</v>
      </c>
      <c r="J733">
        <v>3</v>
      </c>
      <c r="K733">
        <v>0</v>
      </c>
      <c r="L733">
        <v>241.38</v>
      </c>
      <c r="M733" t="s">
        <v>32</v>
      </c>
    </row>
    <row r="734" spans="1:13">
      <c r="A734" t="s">
        <v>1283</v>
      </c>
      <c r="B734" s="1">
        <v>42175</v>
      </c>
      <c r="C734" s="1">
        <v>42178</v>
      </c>
      <c r="D734" t="s">
        <v>1284</v>
      </c>
      <c r="E734" t="s">
        <v>14</v>
      </c>
      <c r="F734" t="s">
        <v>15</v>
      </c>
      <c r="G734" t="s">
        <v>16</v>
      </c>
      <c r="H734" t="s">
        <v>2656</v>
      </c>
      <c r="I734">
        <v>1596.50999999999</v>
      </c>
      <c r="J734">
        <v>6</v>
      </c>
      <c r="K734">
        <v>0.1</v>
      </c>
      <c r="L734">
        <v>-53.37</v>
      </c>
      <c r="M734" t="s">
        <v>17</v>
      </c>
    </row>
    <row r="735" spans="1:13">
      <c r="A735" t="s">
        <v>1285</v>
      </c>
      <c r="B735" s="1">
        <v>42109</v>
      </c>
      <c r="C735" s="1">
        <v>42112</v>
      </c>
      <c r="D735" t="s">
        <v>1286</v>
      </c>
      <c r="E735" t="s">
        <v>35</v>
      </c>
      <c r="F735" t="s">
        <v>102</v>
      </c>
      <c r="G735" t="s">
        <v>39</v>
      </c>
      <c r="H735" t="s">
        <v>2661</v>
      </c>
      <c r="I735">
        <v>89.855999999999995</v>
      </c>
      <c r="J735">
        <v>3</v>
      </c>
      <c r="K735">
        <v>0.2</v>
      </c>
      <c r="L735">
        <v>21.340800000000002</v>
      </c>
      <c r="M735" t="s">
        <v>17</v>
      </c>
    </row>
    <row r="736" spans="1:13">
      <c r="A736" t="s">
        <v>1287</v>
      </c>
      <c r="B736" s="1">
        <v>41780</v>
      </c>
      <c r="C736" s="1">
        <v>41784</v>
      </c>
      <c r="D736" t="s">
        <v>465</v>
      </c>
      <c r="E736" t="s">
        <v>58</v>
      </c>
      <c r="F736" t="s">
        <v>81</v>
      </c>
      <c r="G736" t="s">
        <v>16</v>
      </c>
      <c r="H736" t="s">
        <v>2657</v>
      </c>
      <c r="I736">
        <v>2018.88</v>
      </c>
      <c r="J736">
        <v>12</v>
      </c>
      <c r="K736">
        <v>0</v>
      </c>
      <c r="L736">
        <v>928.44</v>
      </c>
      <c r="M736" t="s">
        <v>17</v>
      </c>
    </row>
    <row r="737" spans="1:13">
      <c r="A737" t="s">
        <v>1288</v>
      </c>
      <c r="B737" s="1">
        <v>42280</v>
      </c>
      <c r="C737" s="1">
        <v>42284</v>
      </c>
      <c r="D737" t="s">
        <v>1289</v>
      </c>
      <c r="E737" t="s">
        <v>425</v>
      </c>
      <c r="F737" t="s">
        <v>426</v>
      </c>
      <c r="G737" t="s">
        <v>16</v>
      </c>
      <c r="H737" t="s">
        <v>2655</v>
      </c>
      <c r="I737">
        <v>1885.32</v>
      </c>
      <c r="J737">
        <v>6</v>
      </c>
      <c r="K737">
        <v>0</v>
      </c>
      <c r="L737">
        <v>18.72</v>
      </c>
      <c r="M737" t="s">
        <v>32</v>
      </c>
    </row>
    <row r="738" spans="1:13">
      <c r="A738" t="s">
        <v>1290</v>
      </c>
      <c r="B738" s="1">
        <v>41268</v>
      </c>
      <c r="C738" s="1">
        <v>41273</v>
      </c>
      <c r="D738" t="s">
        <v>949</v>
      </c>
      <c r="E738" t="s">
        <v>84</v>
      </c>
      <c r="F738" t="s">
        <v>85</v>
      </c>
      <c r="G738" t="s">
        <v>28</v>
      </c>
      <c r="H738" t="s">
        <v>2657</v>
      </c>
      <c r="I738">
        <v>3119.34</v>
      </c>
      <c r="J738">
        <v>7</v>
      </c>
      <c r="K738">
        <v>0</v>
      </c>
      <c r="L738">
        <v>1528.38</v>
      </c>
      <c r="M738" t="s">
        <v>17</v>
      </c>
    </row>
    <row r="739" spans="1:13">
      <c r="A739" t="s">
        <v>1291</v>
      </c>
      <c r="B739" s="1">
        <v>42271</v>
      </c>
      <c r="C739" s="1">
        <v>42278</v>
      </c>
      <c r="D739" t="s">
        <v>1292</v>
      </c>
      <c r="E739" t="s">
        <v>20</v>
      </c>
      <c r="F739" t="s">
        <v>63</v>
      </c>
      <c r="G739" t="s">
        <v>28</v>
      </c>
      <c r="H739" t="s">
        <v>2662</v>
      </c>
      <c r="I739">
        <v>1964.25</v>
      </c>
      <c r="J739">
        <v>6</v>
      </c>
      <c r="K739">
        <v>0.1</v>
      </c>
      <c r="L739">
        <v>21.689999999999898</v>
      </c>
      <c r="M739" t="s">
        <v>65</v>
      </c>
    </row>
    <row r="740" spans="1:13">
      <c r="A740" t="s">
        <v>1261</v>
      </c>
      <c r="B740" s="1">
        <v>41450</v>
      </c>
      <c r="C740" s="1">
        <v>41456</v>
      </c>
      <c r="D740" t="s">
        <v>1252</v>
      </c>
      <c r="E740" t="s">
        <v>35</v>
      </c>
      <c r="F740" t="s">
        <v>38</v>
      </c>
      <c r="G740" t="s">
        <v>39</v>
      </c>
      <c r="H740" t="s">
        <v>2658</v>
      </c>
      <c r="I740">
        <v>88.751999999999995</v>
      </c>
      <c r="J740">
        <v>3</v>
      </c>
      <c r="K740">
        <v>0.2</v>
      </c>
      <c r="L740">
        <v>27.7349999999999</v>
      </c>
      <c r="M740" t="s">
        <v>17</v>
      </c>
    </row>
    <row r="741" spans="1:13">
      <c r="A741" t="s">
        <v>1293</v>
      </c>
      <c r="B741" s="1">
        <v>42242</v>
      </c>
      <c r="C741" s="1">
        <v>42244</v>
      </c>
      <c r="D741" t="s">
        <v>692</v>
      </c>
      <c r="E741" t="s">
        <v>14</v>
      </c>
      <c r="F741" t="s">
        <v>15</v>
      </c>
      <c r="G741" t="s">
        <v>28</v>
      </c>
      <c r="H741" t="s">
        <v>2663</v>
      </c>
      <c r="I741">
        <v>1653.8039999999901</v>
      </c>
      <c r="J741">
        <v>6</v>
      </c>
      <c r="K741">
        <v>0.4</v>
      </c>
      <c r="L741">
        <v>-689.25599999999895</v>
      </c>
      <c r="M741" t="s">
        <v>32</v>
      </c>
    </row>
    <row r="742" spans="1:13">
      <c r="A742" t="s">
        <v>1294</v>
      </c>
      <c r="B742" s="1">
        <v>42326</v>
      </c>
      <c r="C742" s="1">
        <v>42329</v>
      </c>
      <c r="D742" t="s">
        <v>1295</v>
      </c>
      <c r="E742" t="s">
        <v>48</v>
      </c>
      <c r="F742" t="s">
        <v>49</v>
      </c>
      <c r="G742" t="s">
        <v>16</v>
      </c>
      <c r="H742" t="s">
        <v>2658</v>
      </c>
      <c r="I742">
        <v>621</v>
      </c>
      <c r="J742">
        <v>2</v>
      </c>
      <c r="K742">
        <v>0</v>
      </c>
      <c r="L742">
        <v>180.06</v>
      </c>
      <c r="M742" t="s">
        <v>23</v>
      </c>
    </row>
    <row r="743" spans="1:13">
      <c r="A743" t="s">
        <v>1296</v>
      </c>
      <c r="C743" s="1">
        <v>41615</v>
      </c>
      <c r="D743" t="s">
        <v>172</v>
      </c>
      <c r="E743" t="s">
        <v>105</v>
      </c>
      <c r="F743" t="s">
        <v>158</v>
      </c>
      <c r="G743" t="s">
        <v>16</v>
      </c>
      <c r="H743" t="s">
        <v>2655</v>
      </c>
      <c r="I743">
        <v>2673.81</v>
      </c>
      <c r="J743">
        <v>9</v>
      </c>
      <c r="K743">
        <v>0</v>
      </c>
      <c r="L743">
        <v>26.729999999999901</v>
      </c>
      <c r="M743" t="s">
        <v>17</v>
      </c>
    </row>
    <row r="744" spans="1:13">
      <c r="A744" t="s">
        <v>1297</v>
      </c>
      <c r="B744" s="1">
        <v>42253</v>
      </c>
      <c r="C744" s="1">
        <v>42253</v>
      </c>
      <c r="D744" t="s">
        <v>1128</v>
      </c>
      <c r="E744" t="s">
        <v>67</v>
      </c>
      <c r="F744" t="s">
        <v>68</v>
      </c>
      <c r="G744" t="s">
        <v>28</v>
      </c>
      <c r="H744" t="s">
        <v>2662</v>
      </c>
      <c r="I744">
        <v>1307.97</v>
      </c>
      <c r="K744">
        <v>0</v>
      </c>
      <c r="L744">
        <v>536.22</v>
      </c>
      <c r="M744" t="s">
        <v>32</v>
      </c>
    </row>
    <row r="745" spans="1:13">
      <c r="A745" t="s">
        <v>1298</v>
      </c>
      <c r="B745" s="1">
        <v>42277</v>
      </c>
      <c r="C745" s="1">
        <v>42279</v>
      </c>
      <c r="D745" t="s">
        <v>148</v>
      </c>
      <c r="E745" t="s">
        <v>67</v>
      </c>
      <c r="F745" t="s">
        <v>68</v>
      </c>
      <c r="G745" t="s">
        <v>16</v>
      </c>
      <c r="H745" t="s">
        <v>2657</v>
      </c>
      <c r="I745">
        <v>1145.232</v>
      </c>
      <c r="J745">
        <v>3</v>
      </c>
      <c r="K745">
        <v>0.4</v>
      </c>
      <c r="L745">
        <v>-706.24800000000005</v>
      </c>
      <c r="M745" t="s">
        <v>23</v>
      </c>
    </row>
    <row r="746" spans="1:13">
      <c r="A746" t="s">
        <v>1299</v>
      </c>
      <c r="B746" s="1">
        <v>42094</v>
      </c>
      <c r="C746" s="1">
        <v>42096</v>
      </c>
      <c r="D746" t="s">
        <v>1252</v>
      </c>
      <c r="E746" t="s">
        <v>35</v>
      </c>
      <c r="F746" t="s">
        <v>234</v>
      </c>
      <c r="G746" t="s">
        <v>28</v>
      </c>
      <c r="H746" t="s">
        <v>2663</v>
      </c>
      <c r="I746">
        <v>94.2</v>
      </c>
      <c r="J746">
        <v>5</v>
      </c>
      <c r="K746">
        <v>0</v>
      </c>
      <c r="L746">
        <v>39.564</v>
      </c>
      <c r="M746" t="s">
        <v>17</v>
      </c>
    </row>
    <row r="747" spans="1:13">
      <c r="A747" t="s">
        <v>1300</v>
      </c>
      <c r="B747" s="1">
        <v>41543</v>
      </c>
      <c r="C747" s="1">
        <v>41545</v>
      </c>
      <c r="D747" t="s">
        <v>459</v>
      </c>
      <c r="E747" t="s">
        <v>346</v>
      </c>
      <c r="F747" t="s">
        <v>89</v>
      </c>
      <c r="G747" t="s">
        <v>16</v>
      </c>
      <c r="H747" t="s">
        <v>2656</v>
      </c>
      <c r="I747">
        <v>1902.10816</v>
      </c>
      <c r="J747">
        <v>8</v>
      </c>
      <c r="K747">
        <v>2E-3</v>
      </c>
      <c r="L747">
        <v>872.82816000000003</v>
      </c>
      <c r="M747" t="s">
        <v>17</v>
      </c>
    </row>
    <row r="748" spans="1:13">
      <c r="A748" t="s">
        <v>1301</v>
      </c>
      <c r="B748" s="1">
        <v>42368</v>
      </c>
      <c r="C748" s="1">
        <v>42371</v>
      </c>
      <c r="D748" t="s">
        <v>1302</v>
      </c>
      <c r="E748" t="s">
        <v>891</v>
      </c>
      <c r="F748" t="s">
        <v>63</v>
      </c>
      <c r="G748" t="s">
        <v>16</v>
      </c>
      <c r="H748" t="s">
        <v>2658</v>
      </c>
      <c r="I748">
        <v>1913.3999999999901</v>
      </c>
      <c r="J748">
        <v>10</v>
      </c>
      <c r="K748">
        <v>0</v>
      </c>
      <c r="L748">
        <v>899.099999999999</v>
      </c>
      <c r="M748" t="s">
        <v>23</v>
      </c>
    </row>
    <row r="749" spans="1:13">
      <c r="A749" t="s">
        <v>1303</v>
      </c>
      <c r="B749" s="1">
        <v>42024</v>
      </c>
      <c r="C749" s="1">
        <v>42029</v>
      </c>
      <c r="E749" t="s">
        <v>162</v>
      </c>
      <c r="F749" t="s">
        <v>75</v>
      </c>
      <c r="G749" t="s">
        <v>28</v>
      </c>
      <c r="H749" t="s">
        <v>2657</v>
      </c>
      <c r="I749">
        <v>1854.71999999999</v>
      </c>
      <c r="J749">
        <v>4</v>
      </c>
      <c r="K749">
        <v>0</v>
      </c>
      <c r="L749">
        <v>778.92</v>
      </c>
      <c r="M749" t="s">
        <v>17</v>
      </c>
    </row>
    <row r="750" spans="1:13">
      <c r="A750" t="s">
        <v>1304</v>
      </c>
      <c r="B750" s="1">
        <v>41835</v>
      </c>
      <c r="C750" s="1">
        <v>41838</v>
      </c>
      <c r="E750" t="s">
        <v>62</v>
      </c>
      <c r="F750" t="s">
        <v>63</v>
      </c>
      <c r="G750" t="s">
        <v>28</v>
      </c>
      <c r="H750" t="s">
        <v>2657</v>
      </c>
      <c r="I750">
        <v>2958.9839999999999</v>
      </c>
      <c r="J750">
        <v>7</v>
      </c>
      <c r="K750">
        <v>0.1</v>
      </c>
      <c r="L750">
        <v>953.27399999999898</v>
      </c>
      <c r="M750" t="s">
        <v>17</v>
      </c>
    </row>
    <row r="751" spans="1:13">
      <c r="A751" t="s">
        <v>1305</v>
      </c>
      <c r="B751" s="1">
        <v>40967</v>
      </c>
      <c r="C751" s="1">
        <v>40970</v>
      </c>
      <c r="D751" t="s">
        <v>869</v>
      </c>
      <c r="E751" t="s">
        <v>1306</v>
      </c>
      <c r="F751" t="s">
        <v>81</v>
      </c>
      <c r="G751" t="s">
        <v>39</v>
      </c>
      <c r="H751" t="s">
        <v>2655</v>
      </c>
      <c r="I751">
        <v>810.72</v>
      </c>
      <c r="J751">
        <v>3</v>
      </c>
      <c r="K751">
        <v>0.5</v>
      </c>
      <c r="L751">
        <v>-599.94000000000005</v>
      </c>
      <c r="M751" t="s">
        <v>23</v>
      </c>
    </row>
    <row r="752" spans="1:13">
      <c r="A752" t="s">
        <v>1307</v>
      </c>
      <c r="B752" s="1">
        <v>42094</v>
      </c>
      <c r="C752" s="1">
        <v>42094</v>
      </c>
      <c r="D752" t="s">
        <v>1308</v>
      </c>
      <c r="E752" t="s">
        <v>62</v>
      </c>
      <c r="F752" t="s">
        <v>63</v>
      </c>
      <c r="G752" t="s">
        <v>28</v>
      </c>
      <c r="H752" t="s">
        <v>2655</v>
      </c>
      <c r="I752">
        <v>2953.5839999999998</v>
      </c>
      <c r="J752">
        <v>8</v>
      </c>
      <c r="K752">
        <v>0.1</v>
      </c>
      <c r="L752">
        <v>754.70399999999904</v>
      </c>
      <c r="M752" t="s">
        <v>17</v>
      </c>
    </row>
    <row r="753" spans="1:13">
      <c r="A753" t="s">
        <v>1309</v>
      </c>
      <c r="B753" s="1">
        <v>41793</v>
      </c>
      <c r="C753" s="1">
        <v>41796</v>
      </c>
      <c r="D753" t="s">
        <v>1071</v>
      </c>
      <c r="E753" t="s">
        <v>67</v>
      </c>
      <c r="F753" t="s">
        <v>68</v>
      </c>
      <c r="G753" t="s">
        <v>39</v>
      </c>
      <c r="H753" t="s">
        <v>2661</v>
      </c>
      <c r="I753">
        <v>2593.8000000000002</v>
      </c>
      <c r="J753" t="s">
        <v>1310</v>
      </c>
      <c r="K753">
        <v>0</v>
      </c>
      <c r="L753">
        <v>1141.2</v>
      </c>
      <c r="M753" t="s">
        <v>32</v>
      </c>
    </row>
    <row r="754" spans="1:13">
      <c r="A754" t="s">
        <v>1311</v>
      </c>
      <c r="B754" s="1">
        <v>41703</v>
      </c>
      <c r="C754" s="1">
        <v>41710</v>
      </c>
      <c r="E754" t="s">
        <v>131</v>
      </c>
      <c r="F754" t="s">
        <v>132</v>
      </c>
      <c r="G754" t="s">
        <v>39</v>
      </c>
      <c r="H754" t="s">
        <v>2663</v>
      </c>
      <c r="I754">
        <v>2051.0129999999899</v>
      </c>
      <c r="J754" t="s">
        <v>55</v>
      </c>
      <c r="K754">
        <v>0.17</v>
      </c>
      <c r="L754">
        <v>667.11300000000006</v>
      </c>
      <c r="M754" t="s">
        <v>1312</v>
      </c>
    </row>
    <row r="755" spans="1:13">
      <c r="A755" t="s">
        <v>1313</v>
      </c>
      <c r="B755" s="1">
        <v>41228</v>
      </c>
      <c r="C755" s="1">
        <v>41232</v>
      </c>
      <c r="D755" t="s">
        <v>1252</v>
      </c>
      <c r="E755" t="s">
        <v>35</v>
      </c>
      <c r="F755" t="s">
        <v>36</v>
      </c>
      <c r="G755" t="s">
        <v>28</v>
      </c>
      <c r="H755" t="s">
        <v>2661</v>
      </c>
      <c r="I755">
        <v>37.295999999999999</v>
      </c>
      <c r="K755">
        <v>0.3</v>
      </c>
      <c r="L755">
        <v>-1.0656000000000001</v>
      </c>
      <c r="M755" t="s">
        <v>32</v>
      </c>
    </row>
    <row r="756" spans="1:13">
      <c r="A756" t="s">
        <v>734</v>
      </c>
      <c r="B756" s="1">
        <v>42292</v>
      </c>
      <c r="C756" s="1">
        <v>42294</v>
      </c>
      <c r="D756" t="s">
        <v>735</v>
      </c>
      <c r="E756" t="s">
        <v>245</v>
      </c>
      <c r="F756" t="s">
        <v>63</v>
      </c>
      <c r="G756" t="s">
        <v>16</v>
      </c>
      <c r="H756" t="s">
        <v>2661</v>
      </c>
      <c r="I756" t="s">
        <v>152</v>
      </c>
      <c r="J756">
        <v>5</v>
      </c>
      <c r="K756">
        <v>0</v>
      </c>
      <c r="L756">
        <v>567</v>
      </c>
      <c r="M756" t="s">
        <v>23</v>
      </c>
    </row>
    <row r="757" spans="1:13">
      <c r="A757" t="s">
        <v>1314</v>
      </c>
      <c r="B757" s="1">
        <v>41051</v>
      </c>
      <c r="C757" s="1">
        <v>41051</v>
      </c>
      <c r="D757" t="s">
        <v>832</v>
      </c>
      <c r="E757" t="s">
        <v>677</v>
      </c>
      <c r="F757" t="s">
        <v>132</v>
      </c>
      <c r="G757" t="s">
        <v>16</v>
      </c>
      <c r="H757" t="s">
        <v>2661</v>
      </c>
      <c r="I757">
        <v>1120.77</v>
      </c>
      <c r="J757">
        <v>9</v>
      </c>
      <c r="L757">
        <v>55.889999999999901</v>
      </c>
      <c r="M757" t="s">
        <v>32</v>
      </c>
    </row>
    <row r="758" spans="1:13">
      <c r="A758" t="s">
        <v>1315</v>
      </c>
      <c r="C758" s="1">
        <v>41409</v>
      </c>
      <c r="D758" t="s">
        <v>1252</v>
      </c>
      <c r="E758" t="s">
        <v>322</v>
      </c>
      <c r="F758" t="s">
        <v>38</v>
      </c>
      <c r="G758" t="s">
        <v>612</v>
      </c>
      <c r="H758" t="s">
        <v>2657</v>
      </c>
      <c r="I758">
        <v>46.688000000000002</v>
      </c>
      <c r="J758">
        <v>4</v>
      </c>
      <c r="L758">
        <v>-2.9180000000000001</v>
      </c>
      <c r="M758" t="s">
        <v>17</v>
      </c>
    </row>
    <row r="759" spans="1:13">
      <c r="A759" t="s">
        <v>1316</v>
      </c>
      <c r="B759" s="1">
        <v>42245</v>
      </c>
      <c r="C759" s="1">
        <v>42250</v>
      </c>
      <c r="D759" t="s">
        <v>1317</v>
      </c>
      <c r="E759" t="s">
        <v>52</v>
      </c>
      <c r="F759" t="s">
        <v>53</v>
      </c>
      <c r="G759" t="s">
        <v>39</v>
      </c>
      <c r="H759" t="s">
        <v>2656</v>
      </c>
      <c r="I759">
        <v>3044.8</v>
      </c>
      <c r="J759">
        <v>8</v>
      </c>
      <c r="K759">
        <v>0</v>
      </c>
      <c r="L759">
        <v>91.2</v>
      </c>
      <c r="M759" t="s">
        <v>17</v>
      </c>
    </row>
    <row r="760" spans="1:13">
      <c r="A760" t="s">
        <v>1318</v>
      </c>
      <c r="B760" s="1">
        <v>42176</v>
      </c>
      <c r="C760" s="1">
        <v>42177</v>
      </c>
      <c r="D760" t="s">
        <v>501</v>
      </c>
      <c r="E760" t="s">
        <v>62</v>
      </c>
      <c r="F760" t="s">
        <v>63</v>
      </c>
      <c r="G760" t="s">
        <v>28</v>
      </c>
      <c r="H760" t="s">
        <v>2656</v>
      </c>
      <c r="I760">
        <v>656.85599999999999</v>
      </c>
      <c r="J760">
        <v>2</v>
      </c>
      <c r="K760">
        <v>0.1</v>
      </c>
      <c r="L760">
        <v>94.835999999999899</v>
      </c>
      <c r="M760" t="s">
        <v>23</v>
      </c>
    </row>
    <row r="761" spans="1:13">
      <c r="A761" t="s">
        <v>1319</v>
      </c>
      <c r="B761" s="1">
        <v>42132</v>
      </c>
      <c r="C761" s="1">
        <v>42137</v>
      </c>
      <c r="D761" t="s">
        <v>1193</v>
      </c>
      <c r="E761" t="s">
        <v>84</v>
      </c>
      <c r="F761" t="s">
        <v>754</v>
      </c>
      <c r="G761" t="s">
        <v>16</v>
      </c>
      <c r="H761" t="s">
        <v>2661</v>
      </c>
      <c r="I761">
        <v>2518.9499999999998</v>
      </c>
      <c r="J761">
        <v>7</v>
      </c>
      <c r="K761">
        <v>0</v>
      </c>
      <c r="L761">
        <v>1032.57</v>
      </c>
      <c r="M761" t="s">
        <v>17</v>
      </c>
    </row>
    <row r="762" spans="1:13">
      <c r="A762" t="s">
        <v>1320</v>
      </c>
      <c r="B762" s="1">
        <v>41870</v>
      </c>
      <c r="C762" s="1">
        <v>41871</v>
      </c>
      <c r="D762" t="s">
        <v>501</v>
      </c>
      <c r="E762" t="s">
        <v>1321</v>
      </c>
      <c r="F762" t="s">
        <v>22</v>
      </c>
      <c r="G762" t="s">
        <v>28</v>
      </c>
      <c r="H762" t="s">
        <v>2663</v>
      </c>
      <c r="I762">
        <v>1669.248</v>
      </c>
      <c r="J762">
        <v>12</v>
      </c>
      <c r="K762">
        <v>0.7</v>
      </c>
      <c r="L762">
        <v>-1558.15199999999</v>
      </c>
      <c r="M762" t="s">
        <v>17</v>
      </c>
    </row>
    <row r="763" spans="1:13">
      <c r="A763" t="s">
        <v>1322</v>
      </c>
      <c r="B763" s="1">
        <v>41817</v>
      </c>
      <c r="C763" s="1">
        <v>41817</v>
      </c>
      <c r="D763" t="s">
        <v>1323</v>
      </c>
      <c r="E763" t="s">
        <v>186</v>
      </c>
      <c r="F763" t="s">
        <v>68</v>
      </c>
      <c r="G763" t="s">
        <v>28</v>
      </c>
      <c r="H763" t="s">
        <v>2657</v>
      </c>
      <c r="I763">
        <v>2476.08</v>
      </c>
      <c r="J763">
        <v>6</v>
      </c>
      <c r="K763">
        <v>0</v>
      </c>
      <c r="L763">
        <v>1015.02</v>
      </c>
      <c r="M763" t="s">
        <v>32</v>
      </c>
    </row>
    <row r="764" spans="1:13">
      <c r="A764" t="s">
        <v>1324</v>
      </c>
      <c r="B764" s="1">
        <v>40932</v>
      </c>
      <c r="C764" s="1">
        <v>40932</v>
      </c>
      <c r="D764" t="s">
        <v>77</v>
      </c>
      <c r="E764" t="s">
        <v>1325</v>
      </c>
      <c r="F764" t="s">
        <v>85</v>
      </c>
      <c r="G764" t="s">
        <v>16</v>
      </c>
      <c r="H764" t="s">
        <v>2655</v>
      </c>
      <c r="I764">
        <v>1302.78</v>
      </c>
      <c r="J764">
        <v>2</v>
      </c>
      <c r="K764">
        <v>0</v>
      </c>
      <c r="L764">
        <v>286.56</v>
      </c>
      <c r="M764" t="s">
        <v>17</v>
      </c>
    </row>
    <row r="765" spans="1:13">
      <c r="A765" t="s">
        <v>1257</v>
      </c>
      <c r="B765" s="1">
        <v>41361</v>
      </c>
      <c r="C765" s="1">
        <v>41366</v>
      </c>
      <c r="D765" t="s">
        <v>1252</v>
      </c>
      <c r="E765" t="s">
        <v>35</v>
      </c>
      <c r="F765" t="s">
        <v>38</v>
      </c>
      <c r="G765" t="s">
        <v>39</v>
      </c>
      <c r="H765" t="s">
        <v>2663</v>
      </c>
      <c r="I765">
        <v>33.4</v>
      </c>
      <c r="J765" t="s">
        <v>55</v>
      </c>
      <c r="K765">
        <v>0</v>
      </c>
      <c r="L765">
        <v>16.032</v>
      </c>
      <c r="M765" t="s">
        <v>17</v>
      </c>
    </row>
    <row r="766" spans="1:13">
      <c r="A766" t="s">
        <v>1326</v>
      </c>
      <c r="B766" s="1">
        <v>42342</v>
      </c>
      <c r="C766" s="1">
        <v>42346</v>
      </c>
      <c r="D766" t="s">
        <v>869</v>
      </c>
      <c r="E766" t="s">
        <v>14</v>
      </c>
      <c r="F766" t="s">
        <v>15</v>
      </c>
      <c r="G766" t="s">
        <v>28</v>
      </c>
      <c r="H766" t="s">
        <v>2654</v>
      </c>
      <c r="I766">
        <v>2125.3199999999902</v>
      </c>
      <c r="J766">
        <v>4</v>
      </c>
      <c r="K766">
        <v>0</v>
      </c>
      <c r="L766">
        <v>148.68</v>
      </c>
      <c r="M766" t="s">
        <v>17</v>
      </c>
    </row>
    <row r="767" spans="1:13">
      <c r="A767" t="s">
        <v>1327</v>
      </c>
      <c r="B767" s="1">
        <v>41818</v>
      </c>
      <c r="C767" s="1">
        <v>41824</v>
      </c>
      <c r="D767" t="s">
        <v>1177</v>
      </c>
      <c r="E767" t="s">
        <v>84</v>
      </c>
      <c r="F767" t="s">
        <v>85</v>
      </c>
      <c r="G767" t="s">
        <v>16</v>
      </c>
      <c r="H767" t="s">
        <v>2656</v>
      </c>
      <c r="I767">
        <v>1954.44</v>
      </c>
      <c r="J767">
        <v>3</v>
      </c>
      <c r="K767">
        <v>0</v>
      </c>
      <c r="L767">
        <v>781.74</v>
      </c>
      <c r="M767" t="s">
        <v>65</v>
      </c>
    </row>
    <row r="768" spans="1:13">
      <c r="A768" t="s">
        <v>1328</v>
      </c>
      <c r="B768" s="2">
        <v>41418</v>
      </c>
      <c r="C768" s="1">
        <v>41420</v>
      </c>
      <c r="D768" t="s">
        <v>1226</v>
      </c>
      <c r="E768" t="s">
        <v>52</v>
      </c>
      <c r="F768" t="s">
        <v>1329</v>
      </c>
      <c r="G768" t="s">
        <v>16</v>
      </c>
      <c r="H768" t="s">
        <v>2658</v>
      </c>
      <c r="I768">
        <v>856.92</v>
      </c>
      <c r="J768">
        <v>2</v>
      </c>
      <c r="K768">
        <v>0</v>
      </c>
      <c r="L768">
        <v>222.76</v>
      </c>
      <c r="M768" t="s">
        <v>23</v>
      </c>
    </row>
    <row r="769" spans="1:13">
      <c r="A769" t="s">
        <v>1330</v>
      </c>
      <c r="B769" s="1">
        <v>42346</v>
      </c>
      <c r="C769" t="s">
        <v>1331</v>
      </c>
      <c r="D769" t="s">
        <v>1332</v>
      </c>
      <c r="F769" t="s">
        <v>132</v>
      </c>
      <c r="G769" t="s">
        <v>16</v>
      </c>
      <c r="H769" t="s">
        <v>2656</v>
      </c>
      <c r="I769" t="s">
        <v>1333</v>
      </c>
      <c r="J769">
        <v>7</v>
      </c>
      <c r="L769">
        <v>756.87149999999997</v>
      </c>
      <c r="M769" t="s">
        <v>17</v>
      </c>
    </row>
    <row r="770" spans="1:13">
      <c r="A770" t="s">
        <v>1334</v>
      </c>
      <c r="B770" s="1">
        <v>41619</v>
      </c>
      <c r="C770" s="1">
        <v>41623</v>
      </c>
      <c r="D770" t="s">
        <v>1335</v>
      </c>
      <c r="E770" t="s">
        <v>1336</v>
      </c>
      <c r="F770" t="s">
        <v>106</v>
      </c>
      <c r="G770" t="s">
        <v>16</v>
      </c>
      <c r="H770" t="s">
        <v>2656</v>
      </c>
      <c r="I770">
        <v>1302.96</v>
      </c>
      <c r="J770">
        <v>2</v>
      </c>
      <c r="K770">
        <v>0</v>
      </c>
      <c r="L770">
        <v>182.39999999999901</v>
      </c>
      <c r="M770" t="s">
        <v>32</v>
      </c>
    </row>
    <row r="771" spans="1:13">
      <c r="A771" t="s">
        <v>1337</v>
      </c>
      <c r="B771" s="1">
        <v>42068</v>
      </c>
      <c r="C771" s="1">
        <v>42070</v>
      </c>
      <c r="D771" t="s">
        <v>393</v>
      </c>
      <c r="E771" t="s">
        <v>576</v>
      </c>
      <c r="F771" t="s">
        <v>1338</v>
      </c>
      <c r="G771" t="s">
        <v>28</v>
      </c>
      <c r="H771" t="s">
        <v>2656</v>
      </c>
      <c r="I771">
        <v>1136.66399999999</v>
      </c>
      <c r="J771">
        <v>6</v>
      </c>
      <c r="K771">
        <v>0.6</v>
      </c>
      <c r="L771">
        <v>-880.95599999999899</v>
      </c>
      <c r="M771" t="s">
        <v>32</v>
      </c>
    </row>
    <row r="772" spans="1:13">
      <c r="A772" t="s">
        <v>1339</v>
      </c>
      <c r="B772" s="1">
        <v>41815</v>
      </c>
      <c r="C772" s="1">
        <v>41819</v>
      </c>
      <c r="D772" t="s">
        <v>1069</v>
      </c>
      <c r="E772" t="s">
        <v>14</v>
      </c>
      <c r="F772" t="s">
        <v>15</v>
      </c>
      <c r="G772" t="s">
        <v>16</v>
      </c>
      <c r="H772" t="s">
        <v>2656</v>
      </c>
      <c r="J772">
        <v>6</v>
      </c>
      <c r="K772">
        <v>0.1</v>
      </c>
      <c r="L772">
        <v>382.17599999999999</v>
      </c>
      <c r="M772" t="s">
        <v>32</v>
      </c>
    </row>
    <row r="773" spans="1:13">
      <c r="A773" t="s">
        <v>1340</v>
      </c>
      <c r="B773" s="1">
        <v>42157</v>
      </c>
      <c r="C773" s="1">
        <v>42159</v>
      </c>
      <c r="D773" t="s">
        <v>1341</v>
      </c>
      <c r="E773" t="s">
        <v>131</v>
      </c>
      <c r="F773" t="s">
        <v>132</v>
      </c>
      <c r="G773" t="s">
        <v>16</v>
      </c>
      <c r="H773" t="s">
        <v>2655</v>
      </c>
      <c r="I773">
        <v>1043.9304</v>
      </c>
      <c r="J773">
        <v>8</v>
      </c>
      <c r="K773">
        <v>0.47</v>
      </c>
      <c r="L773">
        <v>-295.50959999999998</v>
      </c>
      <c r="M773" t="s">
        <v>17</v>
      </c>
    </row>
    <row r="774" spans="1:13">
      <c r="A774" t="s">
        <v>1342</v>
      </c>
      <c r="B774" s="1">
        <v>41178</v>
      </c>
      <c r="C774" s="1">
        <v>41184</v>
      </c>
      <c r="D774" t="s">
        <v>914</v>
      </c>
      <c r="F774" t="s">
        <v>22</v>
      </c>
      <c r="G774" t="s">
        <v>16</v>
      </c>
      <c r="H774" t="s">
        <v>2654</v>
      </c>
      <c r="J774">
        <v>4</v>
      </c>
      <c r="K774">
        <v>0</v>
      </c>
      <c r="L774">
        <v>200.52</v>
      </c>
      <c r="M774" t="s">
        <v>65</v>
      </c>
    </row>
    <row r="775" spans="1:13">
      <c r="A775" t="s">
        <v>1343</v>
      </c>
      <c r="B775" s="1">
        <v>41795</v>
      </c>
      <c r="C775" s="1">
        <v>41799</v>
      </c>
      <c r="D775" t="s">
        <v>1344</v>
      </c>
      <c r="E775" t="s">
        <v>1345</v>
      </c>
      <c r="F775" t="s">
        <v>1346</v>
      </c>
      <c r="G775" t="s">
        <v>39</v>
      </c>
      <c r="H775" t="s">
        <v>2657</v>
      </c>
      <c r="I775">
        <v>2180.2439999999901</v>
      </c>
      <c r="J775">
        <v>11</v>
      </c>
      <c r="K775">
        <v>0.4</v>
      </c>
      <c r="L775">
        <v>-690.53599999999904</v>
      </c>
      <c r="M775" t="s">
        <v>216</v>
      </c>
    </row>
    <row r="776" spans="1:13">
      <c r="A776" t="s">
        <v>1347</v>
      </c>
      <c r="B776" s="1">
        <v>41928</v>
      </c>
      <c r="C776" s="1">
        <v>41930</v>
      </c>
      <c r="D776" t="s">
        <v>267</v>
      </c>
      <c r="E776" t="s">
        <v>62</v>
      </c>
      <c r="F776" t="s">
        <v>63</v>
      </c>
      <c r="G776" t="s">
        <v>1008</v>
      </c>
      <c r="H776" t="s">
        <v>2662</v>
      </c>
      <c r="I776">
        <v>1306.4670000000001</v>
      </c>
      <c r="J776">
        <v>6</v>
      </c>
      <c r="K776">
        <v>0.15</v>
      </c>
      <c r="L776">
        <v>107.486999999999</v>
      </c>
      <c r="M776" t="s">
        <v>32</v>
      </c>
    </row>
    <row r="777" spans="1:13">
      <c r="A777" t="s">
        <v>1348</v>
      </c>
      <c r="B777" s="1">
        <v>42344</v>
      </c>
      <c r="C777" s="1">
        <v>42348</v>
      </c>
      <c r="D777" t="s">
        <v>1252</v>
      </c>
      <c r="E777" t="s">
        <v>322</v>
      </c>
      <c r="F777" t="s">
        <v>38</v>
      </c>
      <c r="G777" t="s">
        <v>1095</v>
      </c>
      <c r="H777" t="s">
        <v>2661</v>
      </c>
      <c r="I777">
        <v>24.815999999999999</v>
      </c>
      <c r="J777">
        <v>3</v>
      </c>
      <c r="K777">
        <v>0.2</v>
      </c>
      <c r="L777">
        <v>8.3753999999999902</v>
      </c>
      <c r="M777" t="s">
        <v>17</v>
      </c>
    </row>
    <row r="778" spans="1:13">
      <c r="A778" t="s">
        <v>1261</v>
      </c>
      <c r="B778" s="1">
        <v>41450</v>
      </c>
      <c r="C778" s="1">
        <v>41456</v>
      </c>
      <c r="D778" t="s">
        <v>1252</v>
      </c>
      <c r="E778" t="s">
        <v>35</v>
      </c>
      <c r="F778" t="s">
        <v>38</v>
      </c>
      <c r="G778" t="s">
        <v>39</v>
      </c>
      <c r="H778" t="s">
        <v>2662</v>
      </c>
      <c r="I778">
        <v>20.96</v>
      </c>
      <c r="J778">
        <v>2</v>
      </c>
      <c r="K778">
        <v>0</v>
      </c>
      <c r="L778">
        <v>5.24</v>
      </c>
      <c r="M778" t="s">
        <v>17</v>
      </c>
    </row>
    <row r="779" spans="1:13">
      <c r="A779" t="s">
        <v>1349</v>
      </c>
      <c r="B779" s="1">
        <v>42329</v>
      </c>
      <c r="C779" s="1">
        <v>42330</v>
      </c>
      <c r="D779" t="s">
        <v>278</v>
      </c>
      <c r="E779" t="s">
        <v>88</v>
      </c>
      <c r="F779" t="s">
        <v>89</v>
      </c>
      <c r="G779" t="s">
        <v>28</v>
      </c>
      <c r="H779" t="s">
        <v>2664</v>
      </c>
      <c r="I779">
        <v>775.53599999999994</v>
      </c>
      <c r="J779">
        <v>3</v>
      </c>
      <c r="K779">
        <v>0.2</v>
      </c>
      <c r="L779">
        <v>213.21599999999901</v>
      </c>
      <c r="M779" t="s">
        <v>32</v>
      </c>
    </row>
    <row r="780" spans="1:13">
      <c r="A780" t="s">
        <v>1350</v>
      </c>
      <c r="B780" s="1">
        <v>41588</v>
      </c>
      <c r="C780" s="1">
        <v>41591</v>
      </c>
      <c r="D780" t="s">
        <v>1351</v>
      </c>
      <c r="E780" t="s">
        <v>62</v>
      </c>
      <c r="F780" t="s">
        <v>63</v>
      </c>
      <c r="G780" t="s">
        <v>28</v>
      </c>
      <c r="H780" t="s">
        <v>2664</v>
      </c>
      <c r="I780">
        <v>2012.049</v>
      </c>
      <c r="J780">
        <v>6</v>
      </c>
      <c r="K780">
        <v>0.35</v>
      </c>
      <c r="L780" t="s">
        <v>1352</v>
      </c>
      <c r="M780" t="s">
        <v>17</v>
      </c>
    </row>
    <row r="781" spans="1:13">
      <c r="A781" t="s">
        <v>1353</v>
      </c>
      <c r="B781" t="s">
        <v>1354</v>
      </c>
      <c r="C781" s="1">
        <v>41072</v>
      </c>
      <c r="D781" t="s">
        <v>1355</v>
      </c>
      <c r="E781" t="s">
        <v>131</v>
      </c>
      <c r="F781" t="s">
        <v>132</v>
      </c>
      <c r="G781" t="s">
        <v>16</v>
      </c>
      <c r="H781" t="s">
        <v>2658</v>
      </c>
      <c r="I781">
        <v>2166.8975999999998</v>
      </c>
      <c r="J781">
        <v>4</v>
      </c>
      <c r="K781">
        <v>0.17</v>
      </c>
      <c r="L781">
        <v>391.49759999999901</v>
      </c>
      <c r="M781" t="s">
        <v>17</v>
      </c>
    </row>
    <row r="782" spans="1:13">
      <c r="B782" s="1">
        <v>42101</v>
      </c>
      <c r="C782" s="1">
        <v>42106</v>
      </c>
      <c r="D782" t="s">
        <v>582</v>
      </c>
      <c r="E782" t="s">
        <v>105</v>
      </c>
      <c r="F782" t="s">
        <v>106</v>
      </c>
      <c r="G782" t="s">
        <v>16</v>
      </c>
      <c r="H782" t="s">
        <v>2658</v>
      </c>
      <c r="I782">
        <v>3271.2</v>
      </c>
      <c r="J782">
        <v>5</v>
      </c>
      <c r="K782">
        <v>0</v>
      </c>
      <c r="L782">
        <v>1341.15</v>
      </c>
      <c r="M782" t="s">
        <v>773</v>
      </c>
    </row>
    <row r="783" spans="1:13">
      <c r="A783" t="s">
        <v>1356</v>
      </c>
      <c r="B783" s="1">
        <v>41199</v>
      </c>
      <c r="C783" s="1">
        <v>41202</v>
      </c>
      <c r="D783" t="s">
        <v>1344</v>
      </c>
      <c r="E783" t="s">
        <v>558</v>
      </c>
      <c r="F783" t="s">
        <v>111</v>
      </c>
      <c r="G783" t="s">
        <v>16</v>
      </c>
      <c r="H783" t="s">
        <v>2656</v>
      </c>
      <c r="J783">
        <v>3</v>
      </c>
      <c r="K783">
        <v>2E-3</v>
      </c>
      <c r="L783">
        <v>195.34536</v>
      </c>
      <c r="M783" t="s">
        <v>23</v>
      </c>
    </row>
    <row r="784" spans="1:13">
      <c r="A784" t="s">
        <v>1357</v>
      </c>
      <c r="B784" s="1">
        <v>41389</v>
      </c>
      <c r="C784" s="1">
        <v>41394</v>
      </c>
      <c r="D784" t="s">
        <v>1124</v>
      </c>
      <c r="E784" t="s">
        <v>425</v>
      </c>
      <c r="F784" t="s">
        <v>426</v>
      </c>
      <c r="G784" t="s">
        <v>28</v>
      </c>
      <c r="H784" t="s">
        <v>2656</v>
      </c>
      <c r="I784">
        <v>2182.6799999999998</v>
      </c>
      <c r="J784">
        <v>6</v>
      </c>
      <c r="K784">
        <v>0</v>
      </c>
      <c r="L784">
        <v>327.24</v>
      </c>
      <c r="M784" t="s">
        <v>17</v>
      </c>
    </row>
    <row r="785" spans="1:13">
      <c r="A785" t="s">
        <v>1358</v>
      </c>
      <c r="B785" s="1">
        <v>41517</v>
      </c>
      <c r="C785" s="1">
        <v>41519</v>
      </c>
      <c r="D785" t="s">
        <v>188</v>
      </c>
      <c r="E785" t="s">
        <v>808</v>
      </c>
      <c r="F785" t="s">
        <v>81</v>
      </c>
      <c r="G785" t="s">
        <v>16</v>
      </c>
      <c r="H785" t="s">
        <v>2657</v>
      </c>
      <c r="I785">
        <v>1285.56</v>
      </c>
      <c r="J785">
        <v>2</v>
      </c>
      <c r="K785">
        <v>0</v>
      </c>
      <c r="L785">
        <v>51.42</v>
      </c>
      <c r="M785" t="s">
        <v>23</v>
      </c>
    </row>
    <row r="786" spans="1:13">
      <c r="A786" t="s">
        <v>1359</v>
      </c>
      <c r="B786" s="1">
        <v>41382</v>
      </c>
      <c r="C786" s="1">
        <v>41385</v>
      </c>
      <c r="D786" t="s">
        <v>806</v>
      </c>
      <c r="E786" t="s">
        <v>346</v>
      </c>
      <c r="F786" t="s">
        <v>1360</v>
      </c>
      <c r="G786" t="s">
        <v>16</v>
      </c>
      <c r="H786" t="s">
        <v>2663</v>
      </c>
      <c r="I786">
        <v>1479.36</v>
      </c>
      <c r="J786">
        <v>12</v>
      </c>
      <c r="K786">
        <v>0</v>
      </c>
      <c r="L786">
        <v>103.439999999999</v>
      </c>
      <c r="M786" t="s">
        <v>1361</v>
      </c>
    </row>
    <row r="787" spans="1:13">
      <c r="A787" t="s">
        <v>1362</v>
      </c>
      <c r="B787" s="1">
        <v>41993</v>
      </c>
      <c r="C787" s="1">
        <v>41995</v>
      </c>
      <c r="D787" t="s">
        <v>13</v>
      </c>
      <c r="E787" t="s">
        <v>52</v>
      </c>
      <c r="F787" t="s">
        <v>53</v>
      </c>
      <c r="G787" t="s">
        <v>28</v>
      </c>
      <c r="H787" t="s">
        <v>2656</v>
      </c>
      <c r="I787">
        <v>740.18399999999997</v>
      </c>
      <c r="J787">
        <v>3</v>
      </c>
      <c r="K787">
        <v>0.6</v>
      </c>
      <c r="L787">
        <v>-407.135999999999</v>
      </c>
      <c r="M787" t="s">
        <v>23</v>
      </c>
    </row>
    <row r="788" spans="1:13">
      <c r="A788" t="s">
        <v>1363</v>
      </c>
      <c r="B788" s="1">
        <v>41794</v>
      </c>
      <c r="C788" s="1">
        <v>41798</v>
      </c>
      <c r="D788" t="s">
        <v>1364</v>
      </c>
      <c r="E788" t="s">
        <v>1236</v>
      </c>
      <c r="F788" t="s">
        <v>85</v>
      </c>
      <c r="G788" t="s">
        <v>16</v>
      </c>
      <c r="H788" t="s">
        <v>2656</v>
      </c>
      <c r="J788">
        <v>5</v>
      </c>
      <c r="K788">
        <v>0</v>
      </c>
      <c r="L788">
        <v>505.79999999999899</v>
      </c>
      <c r="M788" t="s">
        <v>32</v>
      </c>
    </row>
    <row r="789" spans="1:13">
      <c r="A789" t="s">
        <v>1365</v>
      </c>
      <c r="B789" s="1">
        <v>41450</v>
      </c>
      <c r="C789" s="1">
        <v>41456</v>
      </c>
      <c r="D789" t="s">
        <v>753</v>
      </c>
      <c r="E789" t="s">
        <v>48</v>
      </c>
      <c r="F789" t="s">
        <v>49</v>
      </c>
      <c r="G789" t="s">
        <v>28</v>
      </c>
      <c r="H789" t="s">
        <v>2658</v>
      </c>
      <c r="I789">
        <v>2563.9199999999901</v>
      </c>
      <c r="J789">
        <v>8</v>
      </c>
      <c r="K789">
        <v>0</v>
      </c>
      <c r="M789" t="s">
        <v>17</v>
      </c>
    </row>
    <row r="790" spans="1:13">
      <c r="A790" t="s">
        <v>1366</v>
      </c>
      <c r="B790" s="1">
        <v>41502</v>
      </c>
      <c r="C790" s="1">
        <v>41506</v>
      </c>
      <c r="D790" t="s">
        <v>1005</v>
      </c>
      <c r="E790" t="s">
        <v>1367</v>
      </c>
      <c r="F790" t="s">
        <v>15</v>
      </c>
      <c r="G790" t="s">
        <v>16</v>
      </c>
      <c r="H790" t="s">
        <v>2662</v>
      </c>
      <c r="I790">
        <v>2897.91</v>
      </c>
      <c r="J790">
        <v>5</v>
      </c>
      <c r="K790">
        <v>0.1</v>
      </c>
      <c r="L790">
        <v>901.56</v>
      </c>
      <c r="M790" t="s">
        <v>17</v>
      </c>
    </row>
    <row r="791" spans="1:13">
      <c r="A791" t="s">
        <v>1368</v>
      </c>
      <c r="B791" s="1">
        <v>42230</v>
      </c>
      <c r="C791" s="1">
        <v>42234</v>
      </c>
      <c r="D791" t="s">
        <v>1369</v>
      </c>
      <c r="E791" t="s">
        <v>701</v>
      </c>
      <c r="F791" t="s">
        <v>1370</v>
      </c>
      <c r="G791" t="s">
        <v>154</v>
      </c>
      <c r="H791" t="s">
        <v>2658</v>
      </c>
      <c r="I791">
        <v>1582.11</v>
      </c>
      <c r="J791">
        <v>6</v>
      </c>
      <c r="K791">
        <v>0.5</v>
      </c>
      <c r="L791">
        <v>-886.05</v>
      </c>
      <c r="M791" t="s">
        <v>32</v>
      </c>
    </row>
    <row r="792" spans="1:13">
      <c r="A792" t="s">
        <v>1285</v>
      </c>
      <c r="B792" s="1">
        <v>42109</v>
      </c>
      <c r="D792" t="s">
        <v>1252</v>
      </c>
      <c r="E792" t="s">
        <v>35</v>
      </c>
      <c r="F792" t="s">
        <v>102</v>
      </c>
      <c r="G792" t="s">
        <v>1371</v>
      </c>
      <c r="H792" t="s">
        <v>2656</v>
      </c>
      <c r="I792">
        <v>14.592000000000001</v>
      </c>
      <c r="K792">
        <v>0.2</v>
      </c>
      <c r="L792">
        <v>2.5535999999999901</v>
      </c>
      <c r="M792" t="s">
        <v>17</v>
      </c>
    </row>
    <row r="793" spans="1:13">
      <c r="A793" t="s">
        <v>1372</v>
      </c>
      <c r="B793" s="1">
        <v>41885</v>
      </c>
      <c r="C793" s="1">
        <v>41891</v>
      </c>
      <c r="D793" t="s">
        <v>1373</v>
      </c>
      <c r="E793" t="s">
        <v>346</v>
      </c>
      <c r="F793" t="s">
        <v>89</v>
      </c>
      <c r="G793" t="s">
        <v>16</v>
      </c>
      <c r="H793" t="s">
        <v>2661</v>
      </c>
      <c r="I793">
        <v>2616.96</v>
      </c>
      <c r="J793">
        <v>6</v>
      </c>
      <c r="K793">
        <v>0</v>
      </c>
      <c r="L793">
        <v>26.16</v>
      </c>
      <c r="M793" t="s">
        <v>17</v>
      </c>
    </row>
    <row r="794" spans="1:13">
      <c r="A794" t="s">
        <v>1374</v>
      </c>
      <c r="B794" s="1">
        <v>42153</v>
      </c>
      <c r="D794" t="s">
        <v>1375</v>
      </c>
      <c r="F794" t="s">
        <v>85</v>
      </c>
      <c r="G794" t="s">
        <v>28</v>
      </c>
      <c r="H794" t="s">
        <v>2663</v>
      </c>
      <c r="I794" t="s">
        <v>152</v>
      </c>
      <c r="J794">
        <v>3</v>
      </c>
      <c r="K794">
        <v>0.1</v>
      </c>
      <c r="L794">
        <v>108.783</v>
      </c>
      <c r="M794" t="s">
        <v>23</v>
      </c>
    </row>
    <row r="795" spans="1:13">
      <c r="A795" t="s">
        <v>1376</v>
      </c>
      <c r="B795" s="1">
        <v>41814</v>
      </c>
      <c r="C795" s="1">
        <v>41821</v>
      </c>
      <c r="D795" t="s">
        <v>1284</v>
      </c>
      <c r="E795" t="s">
        <v>891</v>
      </c>
      <c r="F795" t="s">
        <v>63</v>
      </c>
      <c r="G795" t="s">
        <v>16</v>
      </c>
      <c r="H795" t="s">
        <v>2656</v>
      </c>
      <c r="I795">
        <v>3421.71</v>
      </c>
      <c r="J795">
        <v>9</v>
      </c>
      <c r="K795">
        <v>0</v>
      </c>
      <c r="L795">
        <v>1060.56</v>
      </c>
      <c r="M795" t="s">
        <v>17</v>
      </c>
    </row>
    <row r="796" spans="1:13">
      <c r="A796" t="s">
        <v>1285</v>
      </c>
      <c r="B796" s="1">
        <v>42109</v>
      </c>
      <c r="C796" s="2">
        <v>55261</v>
      </c>
      <c r="D796" t="s">
        <v>1252</v>
      </c>
      <c r="E796" t="s">
        <v>35</v>
      </c>
      <c r="F796" t="s">
        <v>102</v>
      </c>
      <c r="G796" t="s">
        <v>1377</v>
      </c>
      <c r="H796" t="s">
        <v>2658</v>
      </c>
      <c r="I796">
        <v>13.872</v>
      </c>
      <c r="J796">
        <v>3</v>
      </c>
      <c r="K796">
        <v>1.5857943638652301</v>
      </c>
      <c r="L796">
        <v>5.0286</v>
      </c>
      <c r="M796" t="s">
        <v>17</v>
      </c>
    </row>
    <row r="797" spans="1:13">
      <c r="A797" t="s">
        <v>1378</v>
      </c>
      <c r="B797" s="1">
        <v>42132</v>
      </c>
      <c r="C797" s="1">
        <v>42134</v>
      </c>
      <c r="D797" t="s">
        <v>1379</v>
      </c>
      <c r="E797" t="s">
        <v>1380</v>
      </c>
      <c r="F797" t="s">
        <v>53</v>
      </c>
      <c r="G797" t="s">
        <v>16</v>
      </c>
      <c r="H797" t="s">
        <v>2657</v>
      </c>
      <c r="I797">
        <v>820.08</v>
      </c>
      <c r="J797">
        <v>9</v>
      </c>
      <c r="K797">
        <v>0</v>
      </c>
      <c r="L797">
        <v>98.28</v>
      </c>
      <c r="M797" t="s">
        <v>23</v>
      </c>
    </row>
    <row r="798" spans="1:13">
      <c r="A798" t="s">
        <v>1348</v>
      </c>
      <c r="B798" s="1">
        <v>42344</v>
      </c>
      <c r="C798" s="1">
        <v>42348</v>
      </c>
      <c r="D798" t="s">
        <v>1252</v>
      </c>
      <c r="E798" t="s">
        <v>35</v>
      </c>
      <c r="F798" t="s">
        <v>38</v>
      </c>
      <c r="G798" t="s">
        <v>39</v>
      </c>
      <c r="H798" t="s">
        <v>2656</v>
      </c>
      <c r="I798">
        <v>14.976000000000001</v>
      </c>
      <c r="J798">
        <v>6</v>
      </c>
      <c r="K798">
        <v>0.2</v>
      </c>
      <c r="L798">
        <v>5.4287999999999901</v>
      </c>
      <c r="M798" t="s">
        <v>17</v>
      </c>
    </row>
    <row r="799" spans="1:13">
      <c r="A799" t="s">
        <v>1381</v>
      </c>
      <c r="B799" s="1">
        <v>42048</v>
      </c>
      <c r="C799" s="1">
        <v>42049</v>
      </c>
      <c r="D799" t="s">
        <v>1382</v>
      </c>
      <c r="E799" t="s">
        <v>157</v>
      </c>
      <c r="F799" t="s">
        <v>106</v>
      </c>
      <c r="G799" t="s">
        <v>28</v>
      </c>
      <c r="H799" t="s">
        <v>2656</v>
      </c>
      <c r="I799">
        <v>1198.56</v>
      </c>
      <c r="J799">
        <v>8</v>
      </c>
      <c r="K799">
        <v>0</v>
      </c>
      <c r="L799">
        <v>359.52</v>
      </c>
      <c r="M799" t="s">
        <v>32</v>
      </c>
    </row>
    <row r="800" spans="1:13">
      <c r="A800" t="s">
        <v>1383</v>
      </c>
      <c r="C800" s="1">
        <v>42343</v>
      </c>
      <c r="E800" t="s">
        <v>14</v>
      </c>
      <c r="F800" t="s">
        <v>15</v>
      </c>
      <c r="G800" t="s">
        <v>28</v>
      </c>
      <c r="H800" t="s">
        <v>2658</v>
      </c>
      <c r="I800">
        <v>1832.60699999999</v>
      </c>
      <c r="J800">
        <v>3</v>
      </c>
      <c r="K800">
        <v>0.3</v>
      </c>
      <c r="L800">
        <v>-445.113</v>
      </c>
      <c r="M800" t="s">
        <v>65</v>
      </c>
    </row>
    <row r="801" spans="1:13">
      <c r="A801" t="s">
        <v>1384</v>
      </c>
      <c r="C801" s="1">
        <v>41515</v>
      </c>
      <c r="D801" t="s">
        <v>877</v>
      </c>
      <c r="E801" t="s">
        <v>20</v>
      </c>
      <c r="F801" t="s">
        <v>63</v>
      </c>
      <c r="G801" t="s">
        <v>28</v>
      </c>
      <c r="H801" t="s">
        <v>2663</v>
      </c>
      <c r="I801">
        <v>1857.06</v>
      </c>
      <c r="J801">
        <v>5</v>
      </c>
      <c r="L801">
        <v>639.51</v>
      </c>
      <c r="M801" t="s">
        <v>32</v>
      </c>
    </row>
    <row r="802" spans="1:13">
      <c r="A802" t="s">
        <v>1385</v>
      </c>
      <c r="B802" s="1">
        <v>42218</v>
      </c>
      <c r="C802" s="1">
        <v>42224</v>
      </c>
      <c r="D802" t="s">
        <v>1386</v>
      </c>
      <c r="E802" t="s">
        <v>120</v>
      </c>
      <c r="F802" t="s">
        <v>121</v>
      </c>
      <c r="G802" t="s">
        <v>28</v>
      </c>
      <c r="H802" t="s">
        <v>2658</v>
      </c>
      <c r="I802">
        <v>1752.6</v>
      </c>
      <c r="J802">
        <v>4</v>
      </c>
      <c r="K802">
        <v>0</v>
      </c>
      <c r="L802">
        <v>455.64</v>
      </c>
      <c r="M802" t="s">
        <v>65</v>
      </c>
    </row>
    <row r="803" spans="1:13">
      <c r="A803" t="s">
        <v>1387</v>
      </c>
      <c r="B803" s="1">
        <v>41971</v>
      </c>
      <c r="C803" s="1">
        <v>41973</v>
      </c>
      <c r="D803" t="s">
        <v>1388</v>
      </c>
      <c r="E803" t="s">
        <v>105</v>
      </c>
      <c r="F803" t="s">
        <v>106</v>
      </c>
      <c r="G803" t="s">
        <v>28</v>
      </c>
      <c r="H803" t="s">
        <v>2663</v>
      </c>
      <c r="I803">
        <v>1850.45999999999</v>
      </c>
      <c r="J803">
        <v>2</v>
      </c>
      <c r="K803">
        <v>0</v>
      </c>
      <c r="L803">
        <v>259.02</v>
      </c>
      <c r="M803" t="s">
        <v>1389</v>
      </c>
    </row>
    <row r="804" spans="1:13">
      <c r="A804" t="s">
        <v>1390</v>
      </c>
      <c r="B804" s="1">
        <v>41139</v>
      </c>
      <c r="C804" s="1">
        <v>41143</v>
      </c>
      <c r="D804" t="s">
        <v>188</v>
      </c>
      <c r="E804" t="s">
        <v>58</v>
      </c>
      <c r="F804" t="s">
        <v>81</v>
      </c>
      <c r="G804" t="s">
        <v>28</v>
      </c>
      <c r="H804" t="s">
        <v>2663</v>
      </c>
      <c r="I804">
        <v>2337.1499999999901</v>
      </c>
      <c r="J804">
        <v>5</v>
      </c>
      <c r="K804">
        <v>0</v>
      </c>
      <c r="L804">
        <v>1098.45</v>
      </c>
      <c r="M804" t="s">
        <v>17</v>
      </c>
    </row>
    <row r="805" spans="1:13">
      <c r="A805" t="s">
        <v>1391</v>
      </c>
      <c r="B805" s="1">
        <v>42076</v>
      </c>
      <c r="C805" s="1">
        <v>42076</v>
      </c>
      <c r="D805" t="s">
        <v>1392</v>
      </c>
      <c r="E805" t="s">
        <v>84</v>
      </c>
      <c r="F805" t="s">
        <v>85</v>
      </c>
      <c r="G805" t="s">
        <v>28</v>
      </c>
      <c r="H805" t="s">
        <v>2658</v>
      </c>
      <c r="I805">
        <v>788.4</v>
      </c>
      <c r="J805">
        <v>4</v>
      </c>
      <c r="K805">
        <v>0</v>
      </c>
      <c r="L805">
        <v>291.60000000000002</v>
      </c>
      <c r="M805" t="s">
        <v>17</v>
      </c>
    </row>
    <row r="806" spans="1:13">
      <c r="A806" t="s">
        <v>1393</v>
      </c>
      <c r="B806" s="1">
        <v>41733</v>
      </c>
      <c r="C806" s="1">
        <v>41736</v>
      </c>
      <c r="E806" t="s">
        <v>62</v>
      </c>
      <c r="F806" t="s">
        <v>63</v>
      </c>
      <c r="G806" t="s">
        <v>16</v>
      </c>
      <c r="H806" t="s">
        <v>2655</v>
      </c>
      <c r="I806">
        <v>715.53</v>
      </c>
      <c r="J806">
        <v>5</v>
      </c>
      <c r="K806">
        <v>0.15</v>
      </c>
      <c r="L806">
        <v>100.979999999999</v>
      </c>
      <c r="M806" t="s">
        <v>23</v>
      </c>
    </row>
    <row r="807" spans="1:13">
      <c r="A807" t="s">
        <v>1394</v>
      </c>
      <c r="B807" s="1">
        <v>42027</v>
      </c>
      <c r="C807" s="1">
        <v>42032</v>
      </c>
      <c r="D807" t="s">
        <v>361</v>
      </c>
      <c r="E807" t="s">
        <v>35</v>
      </c>
      <c r="F807" t="s">
        <v>1395</v>
      </c>
      <c r="G807" t="s">
        <v>16</v>
      </c>
      <c r="H807" t="s">
        <v>2663</v>
      </c>
      <c r="I807">
        <v>2999.95</v>
      </c>
      <c r="J807">
        <v>5</v>
      </c>
      <c r="K807">
        <v>0</v>
      </c>
      <c r="L807">
        <v>1379.9769999999901</v>
      </c>
      <c r="M807" t="s">
        <v>17</v>
      </c>
    </row>
    <row r="808" spans="1:13">
      <c r="A808" t="s">
        <v>1396</v>
      </c>
      <c r="B808" s="1">
        <v>42141</v>
      </c>
      <c r="C808" s="1">
        <v>42146</v>
      </c>
      <c r="D808" t="s">
        <v>1397</v>
      </c>
      <c r="E808" t="s">
        <v>105</v>
      </c>
      <c r="F808" t="s">
        <v>106</v>
      </c>
      <c r="G808" t="s">
        <v>28</v>
      </c>
      <c r="H808" t="s">
        <v>2662</v>
      </c>
      <c r="I808">
        <v>3094.56</v>
      </c>
      <c r="J808">
        <v>6</v>
      </c>
      <c r="K808">
        <v>0</v>
      </c>
      <c r="L808">
        <v>1423.44</v>
      </c>
      <c r="M808" t="s">
        <v>17</v>
      </c>
    </row>
    <row r="809" spans="1:13">
      <c r="A809" t="s">
        <v>1398</v>
      </c>
      <c r="B809" s="1">
        <v>41752</v>
      </c>
      <c r="C809" s="1">
        <v>41754</v>
      </c>
      <c r="D809" t="s">
        <v>1399</v>
      </c>
      <c r="E809" t="s">
        <v>346</v>
      </c>
      <c r="F809" t="s">
        <v>89</v>
      </c>
      <c r="G809" t="s">
        <v>16</v>
      </c>
      <c r="H809" t="s">
        <v>2658</v>
      </c>
      <c r="I809">
        <v>882.03239999999903</v>
      </c>
      <c r="J809">
        <v>9</v>
      </c>
      <c r="K809">
        <v>2E-3</v>
      </c>
      <c r="L809">
        <v>148.35239999999999</v>
      </c>
      <c r="M809" t="s">
        <v>32</v>
      </c>
    </row>
    <row r="810" spans="1:13">
      <c r="A810" t="s">
        <v>1394</v>
      </c>
      <c r="B810" s="1">
        <v>42027</v>
      </c>
      <c r="C810" s="1">
        <v>42032</v>
      </c>
      <c r="D810" t="s">
        <v>361</v>
      </c>
      <c r="E810" t="s">
        <v>35</v>
      </c>
      <c r="F810" t="s">
        <v>38</v>
      </c>
      <c r="G810" t="s">
        <v>39</v>
      </c>
      <c r="H810" t="s">
        <v>2658</v>
      </c>
      <c r="I810">
        <v>1126.02</v>
      </c>
      <c r="J810">
        <v>3</v>
      </c>
      <c r="L810">
        <v>56.300999999999902</v>
      </c>
      <c r="M810" t="s">
        <v>17</v>
      </c>
    </row>
    <row r="811" spans="1:13">
      <c r="A811" t="s">
        <v>1400</v>
      </c>
      <c r="B811" s="1">
        <v>41531</v>
      </c>
      <c r="C811" s="1">
        <v>41533</v>
      </c>
      <c r="D811" t="s">
        <v>1401</v>
      </c>
      <c r="E811" t="s">
        <v>14</v>
      </c>
      <c r="F811" t="s">
        <v>15</v>
      </c>
      <c r="G811" t="s">
        <v>28</v>
      </c>
      <c r="H811" t="s">
        <v>2657</v>
      </c>
      <c r="J811">
        <v>3</v>
      </c>
      <c r="K811">
        <v>0.3</v>
      </c>
      <c r="L811">
        <v>-81.810000000000102</v>
      </c>
      <c r="M811" t="s">
        <v>32</v>
      </c>
    </row>
    <row r="812" spans="1:13">
      <c r="A812" t="s">
        <v>135</v>
      </c>
      <c r="B812" s="1">
        <v>42273</v>
      </c>
      <c r="C812" s="1">
        <v>42275</v>
      </c>
      <c r="D812" t="s">
        <v>136</v>
      </c>
      <c r="E812" t="s">
        <v>105</v>
      </c>
      <c r="F812" t="s">
        <v>106</v>
      </c>
      <c r="G812" t="s">
        <v>28</v>
      </c>
      <c r="H812" t="s">
        <v>2657</v>
      </c>
      <c r="I812">
        <v>2871.54</v>
      </c>
      <c r="J812">
        <v>7</v>
      </c>
      <c r="K812" t="s">
        <v>215</v>
      </c>
      <c r="L812">
        <v>57.33</v>
      </c>
      <c r="M812" t="s">
        <v>17</v>
      </c>
    </row>
    <row r="813" spans="1:13">
      <c r="A813" t="s">
        <v>1402</v>
      </c>
      <c r="B813" s="1">
        <v>41552</v>
      </c>
      <c r="C813" s="1">
        <v>41556</v>
      </c>
      <c r="D813" t="s">
        <v>1403</v>
      </c>
      <c r="E813" t="s">
        <v>105</v>
      </c>
      <c r="F813" t="s">
        <v>106</v>
      </c>
      <c r="G813" t="s">
        <v>16</v>
      </c>
      <c r="H813" t="s">
        <v>2658</v>
      </c>
      <c r="I813">
        <v>2544.6</v>
      </c>
      <c r="J813">
        <v>4</v>
      </c>
      <c r="K813">
        <v>0</v>
      </c>
      <c r="L813">
        <v>865.08</v>
      </c>
      <c r="M813" t="s">
        <v>17</v>
      </c>
    </row>
    <row r="814" spans="1:13">
      <c r="A814" t="s">
        <v>1404</v>
      </c>
      <c r="B814" s="1">
        <v>42306</v>
      </c>
      <c r="C814" s="1">
        <v>42308</v>
      </c>
      <c r="D814" t="s">
        <v>532</v>
      </c>
      <c r="E814" t="s">
        <v>131</v>
      </c>
      <c r="F814" t="s">
        <v>132</v>
      </c>
      <c r="G814" t="s">
        <v>16</v>
      </c>
      <c r="H814" t="s">
        <v>2663</v>
      </c>
      <c r="I814">
        <v>886.14120000000003</v>
      </c>
      <c r="J814">
        <v>4</v>
      </c>
      <c r="K814">
        <v>0.17</v>
      </c>
      <c r="L814">
        <v>106.741199999999</v>
      </c>
      <c r="M814" t="s">
        <v>32</v>
      </c>
    </row>
    <row r="815" spans="1:13">
      <c r="A815" t="s">
        <v>1405</v>
      </c>
      <c r="B815" s="1">
        <v>41235</v>
      </c>
      <c r="C815" s="1">
        <v>41237</v>
      </c>
      <c r="D815" t="s">
        <v>1406</v>
      </c>
      <c r="E815" t="s">
        <v>131</v>
      </c>
      <c r="F815" t="s">
        <v>132</v>
      </c>
      <c r="G815" t="s">
        <v>212</v>
      </c>
      <c r="H815" t="s">
        <v>2656</v>
      </c>
      <c r="I815">
        <v>473.84699999999998</v>
      </c>
      <c r="J815">
        <v>5</v>
      </c>
      <c r="L815">
        <v>-5.85299999999999</v>
      </c>
      <c r="M815" t="s">
        <v>23</v>
      </c>
    </row>
    <row r="816" spans="1:13">
      <c r="A816" t="s">
        <v>1407</v>
      </c>
      <c r="B816" s="1">
        <v>42348</v>
      </c>
      <c r="C816" s="1">
        <v>42351</v>
      </c>
      <c r="D816" t="s">
        <v>712</v>
      </c>
      <c r="G816" t="s">
        <v>16</v>
      </c>
      <c r="H816" t="s">
        <v>2662</v>
      </c>
      <c r="I816">
        <v>1767.6</v>
      </c>
      <c r="K816">
        <v>0</v>
      </c>
      <c r="L816">
        <v>0</v>
      </c>
      <c r="M816" t="s">
        <v>23</v>
      </c>
    </row>
    <row r="817" spans="1:13">
      <c r="A817" t="s">
        <v>1408</v>
      </c>
      <c r="B817" s="1">
        <v>41251</v>
      </c>
      <c r="C817" s="1">
        <v>41252</v>
      </c>
      <c r="D817" t="s">
        <v>101</v>
      </c>
      <c r="E817" t="s">
        <v>88</v>
      </c>
      <c r="F817" t="s">
        <v>89</v>
      </c>
      <c r="G817" t="s">
        <v>28</v>
      </c>
      <c r="H817" t="s">
        <v>2662</v>
      </c>
      <c r="I817">
        <v>780.60799999999995</v>
      </c>
      <c r="J817">
        <v>4</v>
      </c>
      <c r="K817">
        <v>0.2</v>
      </c>
      <c r="L817">
        <v>-3.20000000000163E-2</v>
      </c>
      <c r="M817" t="s">
        <v>32</v>
      </c>
    </row>
    <row r="818" spans="1:13">
      <c r="B818" s="1">
        <v>41268</v>
      </c>
      <c r="D818" t="s">
        <v>361</v>
      </c>
      <c r="E818" t="s">
        <v>35</v>
      </c>
      <c r="F818" t="s">
        <v>36</v>
      </c>
      <c r="G818" t="s">
        <v>28</v>
      </c>
      <c r="H818" t="s">
        <v>2657</v>
      </c>
      <c r="I818">
        <v>600.55799999999999</v>
      </c>
      <c r="J818">
        <v>3</v>
      </c>
      <c r="K818">
        <v>0.3</v>
      </c>
      <c r="L818">
        <v>-8.5794000000000707</v>
      </c>
      <c r="M818" t="s">
        <v>32</v>
      </c>
    </row>
    <row r="819" spans="1:13">
      <c r="A819" t="s">
        <v>1409</v>
      </c>
      <c r="B819" s="1">
        <v>41990</v>
      </c>
      <c r="C819" s="1">
        <v>41990</v>
      </c>
      <c r="D819" t="s">
        <v>1410</v>
      </c>
      <c r="E819" t="s">
        <v>186</v>
      </c>
      <c r="F819" t="s">
        <v>68</v>
      </c>
      <c r="G819" t="s">
        <v>39</v>
      </c>
      <c r="H819" t="s">
        <v>2663</v>
      </c>
      <c r="I819">
        <v>2711.7</v>
      </c>
      <c r="J819">
        <v>5</v>
      </c>
      <c r="K819">
        <v>0</v>
      </c>
      <c r="L819">
        <v>1220.25</v>
      </c>
      <c r="M819" t="s">
        <v>32</v>
      </c>
    </row>
    <row r="820" spans="1:13">
      <c r="A820" t="s">
        <v>1411</v>
      </c>
      <c r="B820" s="1">
        <v>42108</v>
      </c>
      <c r="C820" s="1">
        <v>42112</v>
      </c>
      <c r="E820" t="s">
        <v>84</v>
      </c>
      <c r="F820" t="s">
        <v>85</v>
      </c>
      <c r="G820" t="s">
        <v>39</v>
      </c>
      <c r="H820" t="s">
        <v>2658</v>
      </c>
      <c r="I820">
        <v>2111.9699999999998</v>
      </c>
      <c r="J820">
        <v>7</v>
      </c>
      <c r="K820">
        <v>0</v>
      </c>
      <c r="M820" t="s">
        <v>17</v>
      </c>
    </row>
    <row r="821" spans="1:13">
      <c r="A821" t="s">
        <v>1412</v>
      </c>
      <c r="B821" s="1">
        <v>42358</v>
      </c>
      <c r="C821" s="1">
        <v>42362</v>
      </c>
      <c r="D821" t="s">
        <v>1089</v>
      </c>
      <c r="E821" t="s">
        <v>239</v>
      </c>
      <c r="F821" t="s">
        <v>132</v>
      </c>
      <c r="G821" t="s">
        <v>28</v>
      </c>
      <c r="H821" t="s">
        <v>2661</v>
      </c>
      <c r="I821">
        <v>1189.28249999999</v>
      </c>
      <c r="K821">
        <v>0.25</v>
      </c>
      <c r="M821" t="s">
        <v>32</v>
      </c>
    </row>
    <row r="822" spans="1:13">
      <c r="A822" t="s">
        <v>1413</v>
      </c>
      <c r="B822" s="1">
        <v>41899</v>
      </c>
      <c r="C822" s="1">
        <v>41902</v>
      </c>
      <c r="D822" t="s">
        <v>1414</v>
      </c>
      <c r="E822" t="s">
        <v>105</v>
      </c>
      <c r="F822" t="s">
        <v>106</v>
      </c>
      <c r="G822" t="s">
        <v>16</v>
      </c>
      <c r="H822" t="s">
        <v>2661</v>
      </c>
      <c r="I822">
        <v>1908.45</v>
      </c>
      <c r="J822">
        <v>3</v>
      </c>
      <c r="K822">
        <v>0</v>
      </c>
      <c r="L822">
        <v>534.32999999999902</v>
      </c>
      <c r="M822" t="s">
        <v>32</v>
      </c>
    </row>
    <row r="823" spans="1:13">
      <c r="B823" s="1">
        <v>42340</v>
      </c>
      <c r="C823" s="1">
        <v>42345</v>
      </c>
      <c r="E823" t="s">
        <v>35</v>
      </c>
      <c r="F823" t="s">
        <v>102</v>
      </c>
      <c r="G823" t="s">
        <v>28</v>
      </c>
      <c r="H823" t="s">
        <v>2655</v>
      </c>
      <c r="I823">
        <v>897.15</v>
      </c>
      <c r="J823">
        <v>3</v>
      </c>
      <c r="K823">
        <v>0</v>
      </c>
      <c r="L823">
        <v>251.202</v>
      </c>
      <c r="M823" t="s">
        <v>17</v>
      </c>
    </row>
    <row r="824" spans="1:13">
      <c r="A824" t="s">
        <v>1415</v>
      </c>
      <c r="B824" s="1">
        <v>42125</v>
      </c>
      <c r="C824" t="s">
        <v>1416</v>
      </c>
      <c r="E824" t="s">
        <v>641</v>
      </c>
      <c r="F824" t="s">
        <v>1417</v>
      </c>
      <c r="G824" t="s">
        <v>154</v>
      </c>
      <c r="H824" t="s">
        <v>2656</v>
      </c>
      <c r="I824" t="s">
        <v>1418</v>
      </c>
      <c r="J824">
        <v>4</v>
      </c>
      <c r="L824">
        <v>80.340400000000002</v>
      </c>
      <c r="M824" t="s">
        <v>17</v>
      </c>
    </row>
    <row r="825" spans="1:13">
      <c r="A825" t="s">
        <v>1419</v>
      </c>
      <c r="C825" s="1">
        <v>41636</v>
      </c>
      <c r="D825" t="s">
        <v>1420</v>
      </c>
      <c r="E825" t="s">
        <v>898</v>
      </c>
      <c r="F825" t="s">
        <v>645</v>
      </c>
      <c r="G825" t="s">
        <v>28</v>
      </c>
      <c r="H825" t="s">
        <v>2659</v>
      </c>
      <c r="I825">
        <v>1854.9296999999999</v>
      </c>
      <c r="J825">
        <v>9</v>
      </c>
      <c r="L825">
        <v>-1294.3503000000001</v>
      </c>
      <c r="M825" t="s">
        <v>32</v>
      </c>
    </row>
    <row r="826" spans="1:13">
      <c r="A826" t="s">
        <v>1421</v>
      </c>
      <c r="B826" s="1">
        <v>41923</v>
      </c>
      <c r="C826" s="1">
        <v>41926</v>
      </c>
      <c r="D826" t="s">
        <v>1292</v>
      </c>
      <c r="E826" t="s">
        <v>58</v>
      </c>
      <c r="F826" t="s">
        <v>81</v>
      </c>
      <c r="G826" t="s">
        <v>16</v>
      </c>
      <c r="H826" t="s">
        <v>2664</v>
      </c>
      <c r="I826">
        <v>924.66</v>
      </c>
      <c r="J826">
        <v>3</v>
      </c>
      <c r="K826">
        <v>0</v>
      </c>
      <c r="L826">
        <v>397.53</v>
      </c>
      <c r="M826" t="s">
        <v>23</v>
      </c>
    </row>
    <row r="827" spans="1:13">
      <c r="A827" t="s">
        <v>1422</v>
      </c>
      <c r="B827" s="1">
        <v>41389</v>
      </c>
      <c r="C827" s="1">
        <v>41391</v>
      </c>
      <c r="D827" t="s">
        <v>1423</v>
      </c>
      <c r="E827" t="s">
        <v>58</v>
      </c>
      <c r="F827" t="s">
        <v>81</v>
      </c>
      <c r="G827" t="s">
        <v>28</v>
      </c>
      <c r="H827" t="s">
        <v>2658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32</v>
      </c>
    </row>
    <row r="828" spans="1:13">
      <c r="A828" t="s">
        <v>1424</v>
      </c>
      <c r="B828" s="1">
        <v>42178</v>
      </c>
      <c r="C828" s="1">
        <v>42178</v>
      </c>
      <c r="D828" t="s">
        <v>1089</v>
      </c>
      <c r="E828" t="s">
        <v>452</v>
      </c>
      <c r="F828" t="s">
        <v>78</v>
      </c>
      <c r="G828" t="s">
        <v>16</v>
      </c>
      <c r="H828" t="s">
        <v>2662</v>
      </c>
      <c r="I828">
        <v>827.28</v>
      </c>
      <c r="J828">
        <v>6</v>
      </c>
      <c r="K828">
        <v>0</v>
      </c>
      <c r="L828">
        <v>397.07999999999902</v>
      </c>
      <c r="M828" t="s">
        <v>32</v>
      </c>
    </row>
    <row r="829" spans="1:13">
      <c r="A829" t="s">
        <v>1425</v>
      </c>
      <c r="B829" s="1">
        <v>41606</v>
      </c>
      <c r="C829" s="1">
        <v>41611</v>
      </c>
      <c r="D829" t="s">
        <v>1426</v>
      </c>
      <c r="E829" t="s">
        <v>110</v>
      </c>
      <c r="F829" t="s">
        <v>111</v>
      </c>
      <c r="G829" t="s">
        <v>39</v>
      </c>
      <c r="H829" t="s">
        <v>2658</v>
      </c>
      <c r="I829">
        <v>1510.96</v>
      </c>
      <c r="J829">
        <v>5</v>
      </c>
      <c r="K829">
        <v>0.2</v>
      </c>
      <c r="L829">
        <v>509.86</v>
      </c>
      <c r="M829" t="s">
        <v>32</v>
      </c>
    </row>
    <row r="830" spans="1:13">
      <c r="A830" t="s">
        <v>1427</v>
      </c>
      <c r="B830" s="1">
        <v>42182</v>
      </c>
      <c r="C830" s="1">
        <v>42187</v>
      </c>
      <c r="D830" t="s">
        <v>442</v>
      </c>
      <c r="E830" t="s">
        <v>105</v>
      </c>
      <c r="F830" t="s">
        <v>1370</v>
      </c>
      <c r="G830" t="s">
        <v>16</v>
      </c>
      <c r="H830" t="s">
        <v>2656</v>
      </c>
      <c r="I830">
        <v>2098.3200000000002</v>
      </c>
      <c r="J830">
        <v>8</v>
      </c>
      <c r="K830">
        <v>0</v>
      </c>
      <c r="L830">
        <v>860.16</v>
      </c>
      <c r="M830" t="s">
        <v>17</v>
      </c>
    </row>
    <row r="831" spans="1:13">
      <c r="A831" t="s">
        <v>1428</v>
      </c>
      <c r="B831" s="1">
        <v>42181</v>
      </c>
      <c r="C831" s="1">
        <v>42183</v>
      </c>
      <c r="D831" t="s">
        <v>1429</v>
      </c>
      <c r="E831" t="s">
        <v>52</v>
      </c>
      <c r="F831" t="s">
        <v>53</v>
      </c>
      <c r="G831" t="s">
        <v>28</v>
      </c>
      <c r="H831" t="s">
        <v>2661</v>
      </c>
      <c r="I831">
        <v>1938.23999999999</v>
      </c>
      <c r="J831">
        <v>4</v>
      </c>
      <c r="K831">
        <v>0.2</v>
      </c>
      <c r="L831">
        <v>-96.959999999999894</v>
      </c>
      <c r="M831" t="s">
        <v>17</v>
      </c>
    </row>
    <row r="832" spans="1:13">
      <c r="A832" t="s">
        <v>1430</v>
      </c>
      <c r="B832" s="1">
        <v>41534</v>
      </c>
      <c r="C832" s="1">
        <v>41536</v>
      </c>
      <c r="D832" t="s">
        <v>1431</v>
      </c>
      <c r="E832" t="s">
        <v>67</v>
      </c>
      <c r="F832" t="s">
        <v>68</v>
      </c>
      <c r="G832" t="s">
        <v>16</v>
      </c>
      <c r="H832" t="s">
        <v>2657</v>
      </c>
      <c r="I832">
        <v>803.52</v>
      </c>
      <c r="J832">
        <v>5</v>
      </c>
      <c r="K832">
        <v>0.4</v>
      </c>
      <c r="L832">
        <v>-495.63</v>
      </c>
      <c r="M832" t="s">
        <v>32</v>
      </c>
    </row>
    <row r="833" spans="1:13">
      <c r="A833" t="s">
        <v>1432</v>
      </c>
      <c r="B833" s="1">
        <v>41971</v>
      </c>
      <c r="C833" s="1">
        <v>41975</v>
      </c>
      <c r="D833" t="s">
        <v>1351</v>
      </c>
      <c r="E833" t="s">
        <v>105</v>
      </c>
      <c r="F833" t="s">
        <v>106</v>
      </c>
      <c r="G833" t="s">
        <v>28</v>
      </c>
      <c r="H833" t="s">
        <v>2658</v>
      </c>
      <c r="I833">
        <v>1391.75999999999</v>
      </c>
      <c r="J833">
        <v>3</v>
      </c>
      <c r="L833">
        <v>97.38</v>
      </c>
      <c r="M833" t="s">
        <v>32</v>
      </c>
    </row>
    <row r="834" spans="1:13">
      <c r="A834" t="s">
        <v>1433</v>
      </c>
      <c r="B834" s="1">
        <v>42322</v>
      </c>
      <c r="C834" s="1">
        <v>42327</v>
      </c>
      <c r="D834" t="s">
        <v>361</v>
      </c>
      <c r="E834" t="s">
        <v>35</v>
      </c>
      <c r="F834" t="s">
        <v>102</v>
      </c>
      <c r="G834" t="s">
        <v>16</v>
      </c>
      <c r="H834" t="s">
        <v>2662</v>
      </c>
      <c r="I834">
        <v>163.96</v>
      </c>
      <c r="J834">
        <v>4</v>
      </c>
      <c r="K834">
        <v>0</v>
      </c>
      <c r="L834">
        <v>70.502799999999993</v>
      </c>
      <c r="M834" t="s">
        <v>17</v>
      </c>
    </row>
    <row r="835" spans="1:13">
      <c r="A835" t="s">
        <v>1434</v>
      </c>
      <c r="B835" s="1">
        <v>42208</v>
      </c>
      <c r="C835" s="1">
        <v>42210</v>
      </c>
      <c r="E835" t="s">
        <v>14</v>
      </c>
      <c r="F835" t="s">
        <v>15</v>
      </c>
      <c r="G835" t="s">
        <v>39</v>
      </c>
      <c r="H835" t="s">
        <v>2655</v>
      </c>
      <c r="J835">
        <v>5</v>
      </c>
      <c r="K835">
        <v>0.1</v>
      </c>
      <c r="L835">
        <v>-53.01</v>
      </c>
    </row>
    <row r="836" spans="1:13">
      <c r="A836" t="s">
        <v>1435</v>
      </c>
      <c r="B836" s="1">
        <v>42251</v>
      </c>
      <c r="C836" s="1">
        <v>42255</v>
      </c>
      <c r="D836" t="s">
        <v>1436</v>
      </c>
      <c r="E836" t="s">
        <v>67</v>
      </c>
      <c r="F836" t="s">
        <v>68</v>
      </c>
      <c r="G836" t="s">
        <v>28</v>
      </c>
      <c r="H836" t="s">
        <v>2661</v>
      </c>
      <c r="I836">
        <v>2927.2799999999902</v>
      </c>
      <c r="J836">
        <v>8</v>
      </c>
      <c r="K836">
        <v>0</v>
      </c>
      <c r="L836">
        <v>146.16</v>
      </c>
      <c r="M836" t="s">
        <v>17</v>
      </c>
    </row>
    <row r="837" spans="1:13">
      <c r="A837" t="s">
        <v>1437</v>
      </c>
      <c r="B837" s="1">
        <v>41439</v>
      </c>
      <c r="C837" t="s">
        <v>1438</v>
      </c>
      <c r="D837" t="s">
        <v>361</v>
      </c>
      <c r="E837" t="s">
        <v>35</v>
      </c>
      <c r="F837" t="s">
        <v>102</v>
      </c>
      <c r="G837" t="s">
        <v>28</v>
      </c>
      <c r="H837" t="s">
        <v>2664</v>
      </c>
      <c r="I837">
        <v>51.072000000000003</v>
      </c>
      <c r="J837">
        <v>6</v>
      </c>
      <c r="K837">
        <v>0.2</v>
      </c>
      <c r="L837">
        <v>5.1071999999999997</v>
      </c>
      <c r="M837" t="s">
        <v>32</v>
      </c>
    </row>
    <row r="838" spans="1:13">
      <c r="A838" t="s">
        <v>1394</v>
      </c>
      <c r="B838" s="1">
        <v>42027</v>
      </c>
      <c r="C838" s="1">
        <v>42032</v>
      </c>
      <c r="D838" t="s">
        <v>361</v>
      </c>
      <c r="E838" t="s">
        <v>35</v>
      </c>
      <c r="F838" t="s">
        <v>38</v>
      </c>
      <c r="G838" t="s">
        <v>39</v>
      </c>
      <c r="H838" t="s">
        <v>2663</v>
      </c>
      <c r="I838">
        <v>51.449999999999903</v>
      </c>
      <c r="J838">
        <v>3</v>
      </c>
      <c r="K838">
        <v>0</v>
      </c>
      <c r="L838">
        <v>13.891499999999899</v>
      </c>
      <c r="M838" t="s">
        <v>17</v>
      </c>
    </row>
    <row r="839" spans="1:13">
      <c r="A839" t="s">
        <v>1439</v>
      </c>
      <c r="B839" s="1">
        <v>42340</v>
      </c>
      <c r="C839" s="1">
        <v>42345</v>
      </c>
      <c r="D839" t="s">
        <v>361</v>
      </c>
      <c r="E839" t="s">
        <v>35</v>
      </c>
      <c r="F839" t="s">
        <v>102</v>
      </c>
      <c r="G839" t="s">
        <v>39</v>
      </c>
      <c r="H839" t="s">
        <v>2654</v>
      </c>
      <c r="I839">
        <v>19.440000000000001</v>
      </c>
      <c r="J839">
        <v>3</v>
      </c>
      <c r="K839">
        <v>0</v>
      </c>
      <c r="L839">
        <v>9.3312000000000008</v>
      </c>
      <c r="M839" t="s">
        <v>17</v>
      </c>
    </row>
    <row r="840" spans="1:13">
      <c r="A840" t="s">
        <v>1440</v>
      </c>
      <c r="B840" s="1">
        <v>42022</v>
      </c>
      <c r="C840" s="1">
        <v>42026</v>
      </c>
      <c r="D840" t="s">
        <v>1441</v>
      </c>
      <c r="E840" t="s">
        <v>701</v>
      </c>
      <c r="F840" t="s">
        <v>106</v>
      </c>
      <c r="G840" t="s">
        <v>39</v>
      </c>
      <c r="H840" t="s">
        <v>2657</v>
      </c>
      <c r="I840">
        <v>2117.2199999999998</v>
      </c>
      <c r="J840">
        <v>14</v>
      </c>
      <c r="K840">
        <v>0.5</v>
      </c>
      <c r="L840">
        <v>-1736.27999999999</v>
      </c>
      <c r="M840" t="s">
        <v>32</v>
      </c>
    </row>
    <row r="841" spans="1:13">
      <c r="A841" t="s">
        <v>1442</v>
      </c>
      <c r="B841" s="1">
        <v>42181</v>
      </c>
      <c r="C841" s="1">
        <v>42186</v>
      </c>
      <c r="D841" t="s">
        <v>47</v>
      </c>
      <c r="E841" t="s">
        <v>677</v>
      </c>
      <c r="F841" t="s">
        <v>132</v>
      </c>
      <c r="G841" t="s">
        <v>28</v>
      </c>
      <c r="H841" t="s">
        <v>2661</v>
      </c>
      <c r="I841">
        <v>2747.7</v>
      </c>
      <c r="J841">
        <v>6</v>
      </c>
      <c r="K841">
        <v>0</v>
      </c>
      <c r="L841">
        <v>82.26</v>
      </c>
      <c r="M841" t="s">
        <v>17</v>
      </c>
    </row>
    <row r="842" spans="1:13">
      <c r="A842" t="s">
        <v>1443</v>
      </c>
      <c r="B842" s="1">
        <v>41299</v>
      </c>
      <c r="C842" s="1">
        <v>41299</v>
      </c>
      <c r="D842" t="s">
        <v>156</v>
      </c>
      <c r="E842" t="s">
        <v>677</v>
      </c>
      <c r="G842" t="s">
        <v>28</v>
      </c>
      <c r="H842" t="s">
        <v>2657</v>
      </c>
      <c r="I842">
        <v>1014.72</v>
      </c>
      <c r="J842">
        <v>7</v>
      </c>
      <c r="K842">
        <v>0</v>
      </c>
      <c r="L842">
        <v>141.96</v>
      </c>
      <c r="M842" t="s">
        <v>32</v>
      </c>
    </row>
    <row r="843" spans="1:13">
      <c r="A843" t="s">
        <v>1444</v>
      </c>
      <c r="B843" s="1">
        <v>41462</v>
      </c>
      <c r="C843" s="1">
        <v>41467</v>
      </c>
      <c r="D843" t="s">
        <v>1445</v>
      </c>
      <c r="E843" t="s">
        <v>1446</v>
      </c>
      <c r="F843" t="s">
        <v>158</v>
      </c>
      <c r="G843" t="s">
        <v>16</v>
      </c>
      <c r="H843" t="s">
        <v>2655</v>
      </c>
      <c r="I843">
        <v>1591.56</v>
      </c>
      <c r="J843">
        <v>12</v>
      </c>
      <c r="K843">
        <v>0</v>
      </c>
      <c r="L843">
        <v>79.56</v>
      </c>
      <c r="M843" t="s">
        <v>17</v>
      </c>
    </row>
    <row r="844" spans="1:13">
      <c r="A844" t="s">
        <v>1447</v>
      </c>
      <c r="B844" s="1">
        <v>41240</v>
      </c>
      <c r="C844" t="s">
        <v>116</v>
      </c>
      <c r="E844" t="s">
        <v>88</v>
      </c>
      <c r="F844" t="s">
        <v>89</v>
      </c>
      <c r="G844" t="s">
        <v>612</v>
      </c>
      <c r="H844" t="s">
        <v>2663</v>
      </c>
      <c r="I844">
        <v>533.22</v>
      </c>
      <c r="J844">
        <v>3</v>
      </c>
      <c r="K844">
        <v>0</v>
      </c>
      <c r="L844">
        <v>69.3</v>
      </c>
      <c r="M844" t="s">
        <v>23</v>
      </c>
    </row>
    <row r="845" spans="1:13">
      <c r="A845" t="s">
        <v>1448</v>
      </c>
      <c r="B845" s="1">
        <v>42335</v>
      </c>
      <c r="C845" s="1">
        <v>42339</v>
      </c>
      <c r="D845" t="s">
        <v>802</v>
      </c>
      <c r="E845" t="s">
        <v>52</v>
      </c>
      <c r="F845" t="s">
        <v>53</v>
      </c>
      <c r="G845" t="s">
        <v>16</v>
      </c>
      <c r="H845" t="s">
        <v>2656</v>
      </c>
      <c r="I845">
        <v>2124.5</v>
      </c>
      <c r="J845">
        <v>5</v>
      </c>
      <c r="K845">
        <v>0</v>
      </c>
      <c r="L845">
        <v>488.6</v>
      </c>
      <c r="M845" t="s">
        <v>32</v>
      </c>
    </row>
    <row r="846" spans="1:13">
      <c r="A846" t="s">
        <v>1449</v>
      </c>
      <c r="B846" s="1">
        <v>41615</v>
      </c>
      <c r="C846" s="1">
        <v>41617</v>
      </c>
      <c r="D846" t="s">
        <v>886</v>
      </c>
      <c r="E846" t="s">
        <v>131</v>
      </c>
      <c r="F846" t="s">
        <v>132</v>
      </c>
      <c r="G846" t="s">
        <v>39</v>
      </c>
      <c r="H846" t="s">
        <v>2662</v>
      </c>
      <c r="I846">
        <v>1053.8676</v>
      </c>
      <c r="J846">
        <v>6</v>
      </c>
      <c r="K846">
        <v>0.17</v>
      </c>
      <c r="L846">
        <v>-152.49239999999901</v>
      </c>
      <c r="M846" t="s">
        <v>32</v>
      </c>
    </row>
    <row r="847" spans="1:13">
      <c r="A847" t="s">
        <v>1450</v>
      </c>
      <c r="B847" s="1">
        <v>41231</v>
      </c>
      <c r="C847" s="1">
        <v>41234</v>
      </c>
      <c r="D847" t="s">
        <v>361</v>
      </c>
      <c r="E847" t="s">
        <v>35</v>
      </c>
      <c r="F847" t="s">
        <v>102</v>
      </c>
      <c r="G847" t="s">
        <v>39</v>
      </c>
      <c r="H847" t="s">
        <v>2656</v>
      </c>
      <c r="I847">
        <v>5.88</v>
      </c>
      <c r="J847">
        <v>1</v>
      </c>
      <c r="K847">
        <v>0.2</v>
      </c>
      <c r="L847">
        <v>1.9844999999999899</v>
      </c>
      <c r="M847" t="s">
        <v>17</v>
      </c>
    </row>
    <row r="848" spans="1:13">
      <c r="A848" t="s">
        <v>1451</v>
      </c>
      <c r="B848" s="1">
        <v>41625</v>
      </c>
      <c r="C848" s="1">
        <v>41629</v>
      </c>
      <c r="D848" t="s">
        <v>1452</v>
      </c>
      <c r="E848" t="s">
        <v>84</v>
      </c>
      <c r="F848" t="s">
        <v>85</v>
      </c>
      <c r="G848" t="s">
        <v>16</v>
      </c>
      <c r="H848" t="s">
        <v>2664</v>
      </c>
      <c r="I848">
        <v>1248.8399999999999</v>
      </c>
      <c r="J848">
        <v>4</v>
      </c>
      <c r="K848">
        <v>0</v>
      </c>
      <c r="L848">
        <v>249.719999999999</v>
      </c>
      <c r="M848" t="s">
        <v>32</v>
      </c>
    </row>
    <row r="849" spans="1:13">
      <c r="A849" t="s">
        <v>1453</v>
      </c>
      <c r="B849" s="1">
        <v>41962</v>
      </c>
      <c r="C849" s="1">
        <v>41968</v>
      </c>
      <c r="D849" t="s">
        <v>685</v>
      </c>
      <c r="E849" t="s">
        <v>346</v>
      </c>
      <c r="F849" t="s">
        <v>89</v>
      </c>
      <c r="G849" t="s">
        <v>28</v>
      </c>
      <c r="H849" t="s">
        <v>2659</v>
      </c>
      <c r="I849">
        <v>2040.92</v>
      </c>
      <c r="J849">
        <v>7</v>
      </c>
      <c r="K849">
        <v>0</v>
      </c>
      <c r="L849">
        <v>959.14</v>
      </c>
      <c r="M849" t="s">
        <v>65</v>
      </c>
    </row>
    <row r="850" spans="1:13">
      <c r="A850" t="s">
        <v>1454</v>
      </c>
      <c r="B850" s="1">
        <v>42249</v>
      </c>
      <c r="C850" s="1">
        <v>42251</v>
      </c>
      <c r="D850" t="s">
        <v>1388</v>
      </c>
      <c r="E850" t="s">
        <v>62</v>
      </c>
      <c r="F850" t="s">
        <v>63</v>
      </c>
      <c r="G850" t="s">
        <v>1455</v>
      </c>
      <c r="H850" t="s">
        <v>2662</v>
      </c>
      <c r="I850">
        <v>1068.7139999999999</v>
      </c>
      <c r="J850">
        <v>6</v>
      </c>
      <c r="K850">
        <v>0.1</v>
      </c>
      <c r="L850">
        <v>-0.126000000000004</v>
      </c>
      <c r="M850" t="s">
        <v>32</v>
      </c>
    </row>
    <row r="851" spans="1:13">
      <c r="A851" t="s">
        <v>1456</v>
      </c>
      <c r="B851" s="1">
        <v>42140</v>
      </c>
      <c r="C851" s="1">
        <v>42140</v>
      </c>
      <c r="D851" t="s">
        <v>780</v>
      </c>
      <c r="E851" t="s">
        <v>52</v>
      </c>
      <c r="F851" t="s">
        <v>53</v>
      </c>
      <c r="G851" t="s">
        <v>28</v>
      </c>
      <c r="H851" t="s">
        <v>2663</v>
      </c>
      <c r="I851">
        <v>875.22</v>
      </c>
      <c r="J851">
        <v>3</v>
      </c>
      <c r="K851">
        <v>0</v>
      </c>
      <c r="L851">
        <v>139.97999999999999</v>
      </c>
      <c r="M851" t="s">
        <v>32</v>
      </c>
    </row>
    <row r="852" spans="1:13">
      <c r="B852" s="1">
        <v>41948</v>
      </c>
      <c r="D852" t="s">
        <v>1457</v>
      </c>
      <c r="E852" t="s">
        <v>14</v>
      </c>
      <c r="F852" t="s">
        <v>15</v>
      </c>
      <c r="G852" t="s">
        <v>16</v>
      </c>
      <c r="H852" t="s">
        <v>2664</v>
      </c>
      <c r="I852">
        <v>1403.0819999999901</v>
      </c>
      <c r="J852" t="s">
        <v>55</v>
      </c>
      <c r="K852" t="s">
        <v>598</v>
      </c>
      <c r="L852">
        <v>296.08199999999999</v>
      </c>
      <c r="M852" t="s">
        <v>32</v>
      </c>
    </row>
    <row r="853" spans="1:13">
      <c r="A853" t="s">
        <v>1458</v>
      </c>
      <c r="B853" s="1">
        <v>41219</v>
      </c>
      <c r="D853" t="s">
        <v>1459</v>
      </c>
      <c r="E853" t="s">
        <v>1460</v>
      </c>
      <c r="F853" t="s">
        <v>78</v>
      </c>
      <c r="G853" t="s">
        <v>28</v>
      </c>
      <c r="H853" t="s">
        <v>2663</v>
      </c>
      <c r="I853">
        <v>1743.96</v>
      </c>
      <c r="J853">
        <v>4</v>
      </c>
      <c r="L853">
        <v>714.96</v>
      </c>
      <c r="M853" t="s">
        <v>17</v>
      </c>
    </row>
    <row r="854" spans="1:13">
      <c r="A854" t="s">
        <v>1461</v>
      </c>
      <c r="C854" s="1">
        <v>41740</v>
      </c>
      <c r="D854" t="s">
        <v>1284</v>
      </c>
      <c r="E854" t="s">
        <v>840</v>
      </c>
      <c r="F854" t="s">
        <v>49</v>
      </c>
      <c r="G854" t="s">
        <v>16</v>
      </c>
      <c r="H854" t="s">
        <v>2654</v>
      </c>
      <c r="I854">
        <v>1071.8399999999999</v>
      </c>
      <c r="J854">
        <v>4</v>
      </c>
      <c r="K854">
        <v>0</v>
      </c>
      <c r="M854" t="s">
        <v>32</v>
      </c>
    </row>
    <row r="855" spans="1:13">
      <c r="B855" s="1">
        <v>42167</v>
      </c>
      <c r="C855" s="1">
        <v>42168</v>
      </c>
      <c r="D855" t="s">
        <v>1462</v>
      </c>
      <c r="E855" t="s">
        <v>67</v>
      </c>
      <c r="F855" t="s">
        <v>68</v>
      </c>
      <c r="G855" t="s">
        <v>16</v>
      </c>
      <c r="H855" t="s">
        <v>2663</v>
      </c>
      <c r="I855">
        <v>925.02</v>
      </c>
      <c r="J855">
        <v>5</v>
      </c>
      <c r="K855">
        <v>0.4</v>
      </c>
      <c r="L855">
        <v>-447.18</v>
      </c>
      <c r="M855" t="s">
        <v>32</v>
      </c>
    </row>
    <row r="856" spans="1:13">
      <c r="A856" t="s">
        <v>1463</v>
      </c>
      <c r="B856" s="1">
        <v>41800</v>
      </c>
      <c r="C856" s="1">
        <v>41805</v>
      </c>
      <c r="D856" t="s">
        <v>1464</v>
      </c>
      <c r="E856" t="s">
        <v>499</v>
      </c>
      <c r="F856" t="s">
        <v>53</v>
      </c>
      <c r="G856" t="s">
        <v>28</v>
      </c>
      <c r="H856" t="s">
        <v>2662</v>
      </c>
      <c r="I856">
        <v>1682.74799999999</v>
      </c>
      <c r="J856">
        <v>9</v>
      </c>
      <c r="K856">
        <v>0.4</v>
      </c>
      <c r="L856">
        <v>-813.49199999999905</v>
      </c>
      <c r="M856" t="s">
        <v>32</v>
      </c>
    </row>
    <row r="857" spans="1:13">
      <c r="A857" t="s">
        <v>1465</v>
      </c>
      <c r="B857" s="1">
        <v>42190</v>
      </c>
      <c r="C857" s="1">
        <v>42194</v>
      </c>
      <c r="D857" t="s">
        <v>1185</v>
      </c>
      <c r="F857" t="s">
        <v>81</v>
      </c>
      <c r="G857" t="s">
        <v>28</v>
      </c>
      <c r="H857" t="s">
        <v>2662</v>
      </c>
      <c r="J857">
        <v>5</v>
      </c>
      <c r="K857">
        <v>0</v>
      </c>
      <c r="L857">
        <v>291.60000000000002</v>
      </c>
      <c r="M857" t="s">
        <v>17</v>
      </c>
    </row>
    <row r="858" spans="1:13">
      <c r="A858" t="s">
        <v>1466</v>
      </c>
      <c r="B858" t="s">
        <v>1467</v>
      </c>
      <c r="C858" s="1">
        <v>41764</v>
      </c>
      <c r="E858" t="s">
        <v>105</v>
      </c>
      <c r="F858" t="s">
        <v>106</v>
      </c>
      <c r="G858" t="s">
        <v>16</v>
      </c>
      <c r="H858" t="s">
        <v>2655</v>
      </c>
      <c r="I858">
        <v>3040.8</v>
      </c>
      <c r="K858">
        <v>0</v>
      </c>
      <c r="L858">
        <v>1155.3599999999999</v>
      </c>
      <c r="M858" t="s">
        <v>17</v>
      </c>
    </row>
    <row r="859" spans="1:13">
      <c r="A859" t="s">
        <v>1468</v>
      </c>
      <c r="B859" s="1">
        <v>41459</v>
      </c>
      <c r="C859" s="1">
        <v>41463</v>
      </c>
      <c r="D859" t="s">
        <v>361</v>
      </c>
      <c r="E859" t="s">
        <v>35</v>
      </c>
      <c r="F859" t="s">
        <v>102</v>
      </c>
      <c r="G859" t="s">
        <v>39</v>
      </c>
      <c r="H859" t="s">
        <v>2663</v>
      </c>
      <c r="I859">
        <v>15.48</v>
      </c>
      <c r="J859">
        <v>3</v>
      </c>
      <c r="K859">
        <v>0</v>
      </c>
      <c r="L859">
        <v>4.4891999999999896</v>
      </c>
      <c r="M859" t="s">
        <v>17</v>
      </c>
    </row>
    <row r="860" spans="1:13">
      <c r="A860" t="s">
        <v>1469</v>
      </c>
      <c r="B860" s="1">
        <v>41584</v>
      </c>
      <c r="C860" s="1">
        <v>41586</v>
      </c>
      <c r="D860" t="s">
        <v>1470</v>
      </c>
      <c r="E860" t="s">
        <v>88</v>
      </c>
      <c r="F860" t="s">
        <v>89</v>
      </c>
      <c r="G860" t="s">
        <v>16</v>
      </c>
      <c r="H860" t="s">
        <v>2657</v>
      </c>
      <c r="I860">
        <v>1003.34928</v>
      </c>
      <c r="J860">
        <v>4</v>
      </c>
      <c r="K860">
        <v>2E-3</v>
      </c>
      <c r="L860">
        <v>178.94927999999999</v>
      </c>
      <c r="M860" t="s">
        <v>209</v>
      </c>
    </row>
    <row r="861" spans="1:13">
      <c r="A861" t="s">
        <v>1394</v>
      </c>
      <c r="B861" s="1">
        <v>42027</v>
      </c>
      <c r="C861" s="1">
        <v>42032</v>
      </c>
      <c r="D861" t="s">
        <v>361</v>
      </c>
      <c r="E861" t="s">
        <v>35</v>
      </c>
      <c r="F861" t="s">
        <v>38</v>
      </c>
      <c r="G861" t="s">
        <v>39</v>
      </c>
      <c r="H861" t="s">
        <v>2662</v>
      </c>
      <c r="I861">
        <v>11.96</v>
      </c>
      <c r="J861">
        <v>2</v>
      </c>
      <c r="L861">
        <v>5.3819999999999997</v>
      </c>
      <c r="M861" t="s">
        <v>17</v>
      </c>
    </row>
    <row r="862" spans="1:13">
      <c r="A862" t="s">
        <v>1471</v>
      </c>
      <c r="B862" s="1">
        <v>41166</v>
      </c>
      <c r="C862" s="1">
        <v>41169</v>
      </c>
      <c r="D862" t="s">
        <v>1472</v>
      </c>
      <c r="F862" t="s">
        <v>15</v>
      </c>
      <c r="G862" t="s">
        <v>39</v>
      </c>
      <c r="H862" t="s">
        <v>2657</v>
      </c>
      <c r="I862">
        <v>808.73099999999999</v>
      </c>
      <c r="J862">
        <v>7</v>
      </c>
      <c r="K862">
        <v>0.1</v>
      </c>
      <c r="L862">
        <v>-0.18900000000002101</v>
      </c>
      <c r="M862" t="s">
        <v>23</v>
      </c>
    </row>
    <row r="863" spans="1:13">
      <c r="A863" t="s">
        <v>1473</v>
      </c>
      <c r="B863" s="1">
        <v>41999</v>
      </c>
      <c r="C863" s="1">
        <v>42005</v>
      </c>
      <c r="D863" t="s">
        <v>1474</v>
      </c>
      <c r="E863" t="s">
        <v>62</v>
      </c>
      <c r="F863" t="s">
        <v>63</v>
      </c>
      <c r="G863" t="s">
        <v>16</v>
      </c>
      <c r="H863" t="s">
        <v>2663</v>
      </c>
      <c r="I863">
        <v>2764.3274999999999</v>
      </c>
      <c r="J863">
        <v>11</v>
      </c>
      <c r="K863">
        <v>0.15</v>
      </c>
      <c r="L863">
        <v>-195.4425</v>
      </c>
      <c r="M863" t="s">
        <v>17</v>
      </c>
    </row>
    <row r="864" spans="1:13">
      <c r="A864" t="s">
        <v>1475</v>
      </c>
      <c r="B864" s="1">
        <v>41992</v>
      </c>
      <c r="C864" s="1">
        <v>41994</v>
      </c>
      <c r="D864" t="s">
        <v>1476</v>
      </c>
      <c r="E864" t="s">
        <v>35</v>
      </c>
      <c r="F864" t="s">
        <v>142</v>
      </c>
      <c r="G864" t="s">
        <v>39</v>
      </c>
      <c r="H864" t="s">
        <v>2664</v>
      </c>
      <c r="I864">
        <v>961.48</v>
      </c>
      <c r="J864">
        <v>5</v>
      </c>
      <c r="K864">
        <v>0.2</v>
      </c>
      <c r="L864">
        <v>-204.31449999999899</v>
      </c>
      <c r="M864" t="s">
        <v>17</v>
      </c>
    </row>
    <row r="865" spans="1:13">
      <c r="A865" t="s">
        <v>1477</v>
      </c>
      <c r="B865" s="1">
        <v>42249</v>
      </c>
      <c r="C865" s="1">
        <v>42251</v>
      </c>
      <c r="D865" t="s">
        <v>1478</v>
      </c>
      <c r="E865" t="s">
        <v>1479</v>
      </c>
      <c r="F865" t="s">
        <v>78</v>
      </c>
      <c r="G865" t="s">
        <v>28</v>
      </c>
      <c r="H865" t="s">
        <v>2657</v>
      </c>
      <c r="I865">
        <v>457.13999999999902</v>
      </c>
      <c r="J865">
        <v>1</v>
      </c>
      <c r="K865">
        <v>0</v>
      </c>
      <c r="L865">
        <v>169.14</v>
      </c>
      <c r="M865" t="s">
        <v>23</v>
      </c>
    </row>
    <row r="866" spans="1:13">
      <c r="A866" t="s">
        <v>1480</v>
      </c>
      <c r="B866" s="1">
        <v>41992</v>
      </c>
      <c r="C866" s="1">
        <v>41994</v>
      </c>
      <c r="D866" t="s">
        <v>1476</v>
      </c>
      <c r="E866" t="s">
        <v>35</v>
      </c>
      <c r="F866" t="s">
        <v>142</v>
      </c>
      <c r="G866" t="s">
        <v>39</v>
      </c>
      <c r="H866" t="s">
        <v>2655</v>
      </c>
      <c r="I866">
        <v>254.05799999999999</v>
      </c>
      <c r="J866">
        <v>7</v>
      </c>
      <c r="K866">
        <v>0.7</v>
      </c>
      <c r="L866">
        <v>-169.37199999999899</v>
      </c>
      <c r="M866" t="s">
        <v>17</v>
      </c>
    </row>
    <row r="867" spans="1:13">
      <c r="A867" t="s">
        <v>1339</v>
      </c>
      <c r="C867" s="1">
        <v>41819</v>
      </c>
      <c r="D867" t="s">
        <v>1069</v>
      </c>
      <c r="E867" t="s">
        <v>14</v>
      </c>
      <c r="F867" t="s">
        <v>1481</v>
      </c>
      <c r="G867" t="s">
        <v>16</v>
      </c>
      <c r="H867" t="s">
        <v>2655</v>
      </c>
      <c r="I867">
        <v>1933.2</v>
      </c>
      <c r="J867" t="s">
        <v>55</v>
      </c>
      <c r="K867">
        <v>0.1</v>
      </c>
      <c r="L867">
        <v>-128.88</v>
      </c>
      <c r="M867" t="s">
        <v>32</v>
      </c>
    </row>
    <row r="868" spans="1:13">
      <c r="A868" t="s">
        <v>1482</v>
      </c>
      <c r="B868" s="1">
        <v>41085</v>
      </c>
      <c r="C868" s="1">
        <v>41087</v>
      </c>
      <c r="E868" t="s">
        <v>62</v>
      </c>
      <c r="F868" t="s">
        <v>63</v>
      </c>
      <c r="G868" t="s">
        <v>28</v>
      </c>
      <c r="H868" t="s">
        <v>2657</v>
      </c>
      <c r="I868">
        <v>704.05200000000002</v>
      </c>
      <c r="J868">
        <v>2</v>
      </c>
      <c r="K868">
        <v>0.1</v>
      </c>
      <c r="M868" t="s">
        <v>23</v>
      </c>
    </row>
    <row r="869" spans="1:13">
      <c r="A869" t="s">
        <v>1483</v>
      </c>
      <c r="B869" s="1">
        <v>42271</v>
      </c>
      <c r="C869" s="1">
        <v>42273</v>
      </c>
      <c r="D869" t="s">
        <v>618</v>
      </c>
      <c r="E869" t="s">
        <v>1484</v>
      </c>
      <c r="F869" t="s">
        <v>63</v>
      </c>
      <c r="G869" t="s">
        <v>39</v>
      </c>
      <c r="H869" t="s">
        <v>2662</v>
      </c>
      <c r="I869">
        <v>1355.13</v>
      </c>
      <c r="J869">
        <v>5</v>
      </c>
      <c r="K869">
        <v>0.1</v>
      </c>
      <c r="L869" t="s">
        <v>1485</v>
      </c>
      <c r="M869" t="s">
        <v>32</v>
      </c>
    </row>
    <row r="870" spans="1:13">
      <c r="A870" t="s">
        <v>1486</v>
      </c>
      <c r="B870" s="1">
        <v>41338</v>
      </c>
      <c r="C870" s="1">
        <v>41340</v>
      </c>
      <c r="E870" t="s">
        <v>35</v>
      </c>
      <c r="F870" t="s">
        <v>102</v>
      </c>
      <c r="G870" t="s">
        <v>28</v>
      </c>
      <c r="H870" t="s">
        <v>2663</v>
      </c>
      <c r="I870">
        <v>99.372</v>
      </c>
      <c r="J870">
        <v>2</v>
      </c>
      <c r="L870">
        <v>-7.0979999999999901</v>
      </c>
      <c r="M870" t="s">
        <v>32</v>
      </c>
    </row>
    <row r="871" spans="1:13">
      <c r="A871" t="s">
        <v>1475</v>
      </c>
      <c r="B871" s="1">
        <v>41992</v>
      </c>
      <c r="C871" s="1">
        <v>41994</v>
      </c>
      <c r="D871" t="s">
        <v>1476</v>
      </c>
      <c r="E871" t="s">
        <v>35</v>
      </c>
      <c r="F871" t="s">
        <v>142</v>
      </c>
      <c r="G871" t="s">
        <v>39</v>
      </c>
      <c r="H871" t="s">
        <v>2661</v>
      </c>
      <c r="I871">
        <v>194.52799999999999</v>
      </c>
      <c r="J871">
        <v>2</v>
      </c>
      <c r="K871">
        <v>0.2</v>
      </c>
      <c r="L871">
        <v>24.315999999999899</v>
      </c>
      <c r="M871" t="s">
        <v>17</v>
      </c>
    </row>
    <row r="872" spans="1:13">
      <c r="A872" t="s">
        <v>1487</v>
      </c>
      <c r="B872" s="1">
        <v>41916</v>
      </c>
      <c r="C872" s="1">
        <v>41920</v>
      </c>
      <c r="D872" t="s">
        <v>57</v>
      </c>
      <c r="E872" t="s">
        <v>58</v>
      </c>
      <c r="F872" t="s">
        <v>81</v>
      </c>
      <c r="G872" t="s">
        <v>28</v>
      </c>
      <c r="H872" t="s">
        <v>2663</v>
      </c>
      <c r="I872">
        <v>2819.51999999999</v>
      </c>
      <c r="J872">
        <v>6</v>
      </c>
      <c r="K872">
        <v>0</v>
      </c>
      <c r="L872">
        <v>338.219999999999</v>
      </c>
      <c r="M872" t="s">
        <v>17</v>
      </c>
    </row>
    <row r="873" spans="1:13">
      <c r="A873" t="s">
        <v>1488</v>
      </c>
      <c r="B873" t="s">
        <v>116</v>
      </c>
      <c r="C873" s="1">
        <v>41593</v>
      </c>
      <c r="D873" t="s">
        <v>625</v>
      </c>
      <c r="E873" t="s">
        <v>58</v>
      </c>
      <c r="F873" t="s">
        <v>81</v>
      </c>
      <c r="G873" t="s">
        <v>16</v>
      </c>
      <c r="H873" t="s">
        <v>2656</v>
      </c>
      <c r="I873">
        <v>2571.12</v>
      </c>
      <c r="J873">
        <v>4</v>
      </c>
      <c r="K873">
        <v>0</v>
      </c>
      <c r="L873">
        <v>102.84</v>
      </c>
      <c r="M873" t="s">
        <v>65</v>
      </c>
    </row>
    <row r="874" spans="1:13">
      <c r="A874" t="s">
        <v>1489</v>
      </c>
      <c r="C874" s="1">
        <v>41303</v>
      </c>
      <c r="D874" t="s">
        <v>1490</v>
      </c>
      <c r="E874" t="s">
        <v>1491</v>
      </c>
      <c r="F874" t="s">
        <v>121</v>
      </c>
      <c r="G874" t="s">
        <v>16</v>
      </c>
      <c r="H874" t="s">
        <v>2655</v>
      </c>
      <c r="I874">
        <v>976.08</v>
      </c>
      <c r="J874">
        <v>4</v>
      </c>
      <c r="K874">
        <v>0</v>
      </c>
      <c r="L874">
        <v>292.79999999999899</v>
      </c>
      <c r="M874" t="s">
        <v>23</v>
      </c>
    </row>
    <row r="875" spans="1:13">
      <c r="A875" t="s">
        <v>1492</v>
      </c>
      <c r="B875" s="1">
        <v>41627</v>
      </c>
      <c r="C875" s="1">
        <v>41630</v>
      </c>
      <c r="D875" t="s">
        <v>1164</v>
      </c>
      <c r="E875" t="s">
        <v>814</v>
      </c>
      <c r="F875" t="s">
        <v>15</v>
      </c>
      <c r="G875" t="s">
        <v>16</v>
      </c>
      <c r="H875" t="s">
        <v>2656</v>
      </c>
      <c r="K875">
        <v>0</v>
      </c>
      <c r="L875">
        <v>115.32</v>
      </c>
      <c r="M875" t="s">
        <v>23</v>
      </c>
    </row>
    <row r="876" spans="1:13">
      <c r="A876" t="s">
        <v>1493</v>
      </c>
      <c r="B876" s="1">
        <v>41129</v>
      </c>
      <c r="C876" s="1">
        <v>41133</v>
      </c>
      <c r="D876" t="s">
        <v>1476</v>
      </c>
      <c r="E876" t="s">
        <v>438</v>
      </c>
      <c r="F876" t="s">
        <v>438</v>
      </c>
      <c r="G876" t="s">
        <v>39</v>
      </c>
      <c r="H876" t="s">
        <v>2654</v>
      </c>
      <c r="I876">
        <v>87.84</v>
      </c>
      <c r="J876">
        <v>6</v>
      </c>
      <c r="K876">
        <v>0</v>
      </c>
      <c r="L876">
        <v>29.6999999999999</v>
      </c>
      <c r="M876" t="s">
        <v>17</v>
      </c>
    </row>
    <row r="877" spans="1:13">
      <c r="A877" t="s">
        <v>1486</v>
      </c>
      <c r="B877" s="1">
        <v>41338</v>
      </c>
      <c r="C877" s="1">
        <v>41340</v>
      </c>
      <c r="D877" t="s">
        <v>1476</v>
      </c>
      <c r="E877" t="s">
        <v>35</v>
      </c>
      <c r="F877" t="s">
        <v>102</v>
      </c>
      <c r="G877" t="s">
        <v>28</v>
      </c>
      <c r="H877" t="s">
        <v>2656</v>
      </c>
      <c r="I877">
        <v>33.567999999999998</v>
      </c>
      <c r="J877">
        <v>2</v>
      </c>
      <c r="K877">
        <v>0.2</v>
      </c>
      <c r="L877">
        <v>-5.4547999999999996</v>
      </c>
      <c r="M877" t="s">
        <v>32</v>
      </c>
    </row>
    <row r="878" spans="1:13">
      <c r="A878" t="s">
        <v>1494</v>
      </c>
      <c r="B878" s="1">
        <v>42355</v>
      </c>
      <c r="C878" s="1">
        <v>42359</v>
      </c>
      <c r="D878" t="s">
        <v>1274</v>
      </c>
      <c r="E878" t="s">
        <v>88</v>
      </c>
      <c r="F878" t="s">
        <v>89</v>
      </c>
      <c r="G878" t="s">
        <v>28</v>
      </c>
      <c r="H878" t="s">
        <v>2655</v>
      </c>
      <c r="I878">
        <v>1697.5839999999901</v>
      </c>
      <c r="J878">
        <v>7</v>
      </c>
      <c r="K878">
        <v>0.2</v>
      </c>
      <c r="L878">
        <v>-63.755999999999801</v>
      </c>
      <c r="M878" t="s">
        <v>32</v>
      </c>
    </row>
    <row r="879" spans="1:13">
      <c r="A879" t="s">
        <v>1495</v>
      </c>
      <c r="B879" s="1">
        <v>41228</v>
      </c>
      <c r="C879" s="1">
        <v>41234</v>
      </c>
      <c r="D879" t="s">
        <v>1086</v>
      </c>
      <c r="E879" t="s">
        <v>58</v>
      </c>
      <c r="F879" t="s">
        <v>81</v>
      </c>
      <c r="G879" t="s">
        <v>28</v>
      </c>
      <c r="H879" t="s">
        <v>2654</v>
      </c>
      <c r="I879">
        <v>2063.4</v>
      </c>
      <c r="J879" t="s">
        <v>55</v>
      </c>
      <c r="L879">
        <v>123.75</v>
      </c>
      <c r="M879" t="s">
        <v>65</v>
      </c>
    </row>
    <row r="880" spans="1:13">
      <c r="A880" t="s">
        <v>1496</v>
      </c>
      <c r="B880" s="1">
        <v>41930</v>
      </c>
      <c r="C880" s="1">
        <v>41932</v>
      </c>
      <c r="D880" t="s">
        <v>34</v>
      </c>
      <c r="E880" t="s">
        <v>62</v>
      </c>
      <c r="F880" t="s">
        <v>63</v>
      </c>
      <c r="G880" t="s">
        <v>16</v>
      </c>
      <c r="H880" t="s">
        <v>2655</v>
      </c>
      <c r="I880">
        <v>632.04300000000001</v>
      </c>
      <c r="J880">
        <v>6</v>
      </c>
      <c r="K880">
        <v>0.15</v>
      </c>
      <c r="L880">
        <v>7.2629999999999697</v>
      </c>
      <c r="M880" t="s">
        <v>23</v>
      </c>
    </row>
    <row r="881" spans="1:13">
      <c r="C881" s="1">
        <v>42290</v>
      </c>
      <c r="D881" t="s">
        <v>992</v>
      </c>
      <c r="E881" t="s">
        <v>58</v>
      </c>
      <c r="F881" t="s">
        <v>81</v>
      </c>
      <c r="G881" t="s">
        <v>28</v>
      </c>
      <c r="H881" t="s">
        <v>2663</v>
      </c>
      <c r="I881">
        <v>2906.3999999999901</v>
      </c>
      <c r="J881">
        <v>7</v>
      </c>
      <c r="K881">
        <v>0</v>
      </c>
      <c r="L881">
        <v>1220.52</v>
      </c>
      <c r="M881" t="s">
        <v>32</v>
      </c>
    </row>
    <row r="882" spans="1:13">
      <c r="A882" t="s">
        <v>1497</v>
      </c>
      <c r="B882" s="1">
        <v>42087</v>
      </c>
      <c r="C882" t="s">
        <v>1498</v>
      </c>
      <c r="D882" t="s">
        <v>818</v>
      </c>
      <c r="E882" t="s">
        <v>105</v>
      </c>
      <c r="F882" t="s">
        <v>158</v>
      </c>
      <c r="G882" t="s">
        <v>28</v>
      </c>
      <c r="H882" t="s">
        <v>2657</v>
      </c>
      <c r="I882">
        <v>2572.7399999999998</v>
      </c>
      <c r="J882">
        <v>3</v>
      </c>
      <c r="K882" t="s">
        <v>215</v>
      </c>
      <c r="M882" t="s">
        <v>17</v>
      </c>
    </row>
    <row r="883" spans="1:13">
      <c r="A883" t="s">
        <v>1499</v>
      </c>
      <c r="B883" s="1">
        <v>42314</v>
      </c>
      <c r="C883" s="1">
        <v>42316</v>
      </c>
      <c r="D883" t="s">
        <v>1476</v>
      </c>
      <c r="E883" t="s">
        <v>35</v>
      </c>
      <c r="F883" t="s">
        <v>36</v>
      </c>
      <c r="G883" t="s">
        <v>39</v>
      </c>
      <c r="H883" t="s">
        <v>2663</v>
      </c>
      <c r="I883">
        <v>16.029999999999902</v>
      </c>
      <c r="J883">
        <v>5</v>
      </c>
      <c r="K883">
        <v>0.8</v>
      </c>
      <c r="L883">
        <v>-25.648</v>
      </c>
      <c r="M883" t="s">
        <v>23</v>
      </c>
    </row>
    <row r="884" spans="1:13">
      <c r="A884" t="s">
        <v>1500</v>
      </c>
      <c r="B884" s="1">
        <v>41639</v>
      </c>
      <c r="C884" s="1">
        <v>41642</v>
      </c>
      <c r="D884" t="s">
        <v>1048</v>
      </c>
      <c r="E884" t="s">
        <v>695</v>
      </c>
      <c r="F884" t="s">
        <v>63</v>
      </c>
      <c r="G884" t="s">
        <v>39</v>
      </c>
      <c r="H884" t="s">
        <v>2658</v>
      </c>
      <c r="I884">
        <v>1583.8199999999899</v>
      </c>
      <c r="J884" t="s">
        <v>55</v>
      </c>
      <c r="K884">
        <v>0</v>
      </c>
      <c r="M884" t="s">
        <v>17</v>
      </c>
    </row>
    <row r="885" spans="1:13">
      <c r="A885" t="s">
        <v>1501</v>
      </c>
      <c r="B885" s="1">
        <v>42241</v>
      </c>
      <c r="C885" s="1">
        <v>42246</v>
      </c>
      <c r="E885" t="s">
        <v>35</v>
      </c>
      <c r="F885" t="s">
        <v>102</v>
      </c>
      <c r="G885" t="s">
        <v>39</v>
      </c>
      <c r="H885" t="s">
        <v>2659</v>
      </c>
      <c r="I885">
        <v>24.672000000000001</v>
      </c>
      <c r="J885">
        <v>4</v>
      </c>
      <c r="K885">
        <v>0.2</v>
      </c>
      <c r="M885" t="s">
        <v>17</v>
      </c>
    </row>
    <row r="886" spans="1:13">
      <c r="B886" s="1">
        <v>42241</v>
      </c>
      <c r="C886" t="s">
        <v>1502</v>
      </c>
      <c r="D886" t="s">
        <v>1476</v>
      </c>
      <c r="E886" t="s">
        <v>35</v>
      </c>
      <c r="F886" t="s">
        <v>102</v>
      </c>
      <c r="G886" t="s">
        <v>1095</v>
      </c>
      <c r="H886" t="s">
        <v>2661</v>
      </c>
      <c r="I886">
        <v>3.74399999999999</v>
      </c>
      <c r="K886" t="s">
        <v>472</v>
      </c>
      <c r="L886">
        <v>1.3104</v>
      </c>
      <c r="M886" t="s">
        <v>17</v>
      </c>
    </row>
    <row r="887" spans="1:13">
      <c r="A887" t="s">
        <v>1503</v>
      </c>
      <c r="B887" s="1">
        <v>42251</v>
      </c>
      <c r="C887" s="1">
        <v>42107</v>
      </c>
      <c r="D887" t="s">
        <v>1504</v>
      </c>
      <c r="E887" t="s">
        <v>14</v>
      </c>
      <c r="F887" t="s">
        <v>15</v>
      </c>
      <c r="G887" t="s">
        <v>28</v>
      </c>
      <c r="H887" t="s">
        <v>2655</v>
      </c>
      <c r="I887">
        <v>1656.71999999999</v>
      </c>
      <c r="J887">
        <v>4</v>
      </c>
      <c r="K887">
        <v>0.1</v>
      </c>
      <c r="L887" t="s">
        <v>1505</v>
      </c>
      <c r="M887" t="s">
        <v>32</v>
      </c>
    </row>
    <row r="888" spans="1:13">
      <c r="A888" t="s">
        <v>1506</v>
      </c>
      <c r="B888" s="1">
        <v>42281</v>
      </c>
      <c r="C888" s="1">
        <v>42282</v>
      </c>
      <c r="E888" t="s">
        <v>14</v>
      </c>
      <c r="F888" t="s">
        <v>15</v>
      </c>
      <c r="G888" t="s">
        <v>16</v>
      </c>
      <c r="H888" t="s">
        <v>2661</v>
      </c>
      <c r="I888">
        <v>2015.4960000000001</v>
      </c>
      <c r="J888">
        <v>7</v>
      </c>
      <c r="K888">
        <v>0.1</v>
      </c>
      <c r="L888">
        <v>850.83600000000001</v>
      </c>
      <c r="M888" t="s">
        <v>17</v>
      </c>
    </row>
    <row r="889" spans="1:13">
      <c r="A889" t="s">
        <v>1507</v>
      </c>
      <c r="B889" s="1">
        <v>41588</v>
      </c>
      <c r="C889" s="1">
        <v>41595</v>
      </c>
      <c r="D889" t="s">
        <v>207</v>
      </c>
      <c r="E889" t="s">
        <v>186</v>
      </c>
      <c r="F889" t="s">
        <v>1508</v>
      </c>
      <c r="G889" t="s">
        <v>16</v>
      </c>
      <c r="H889" t="s">
        <v>2655</v>
      </c>
      <c r="I889">
        <v>2219.1840000000002</v>
      </c>
      <c r="J889">
        <v>8</v>
      </c>
      <c r="L889">
        <v>24.623999999999999</v>
      </c>
      <c r="M889" t="s">
        <v>17</v>
      </c>
    </row>
    <row r="890" spans="1:13">
      <c r="A890" t="s">
        <v>1509</v>
      </c>
      <c r="B890" s="1">
        <v>42294</v>
      </c>
      <c r="C890" t="s">
        <v>1510</v>
      </c>
      <c r="D890" t="s">
        <v>1511</v>
      </c>
      <c r="E890" t="s">
        <v>27</v>
      </c>
      <c r="F890" t="s">
        <v>15</v>
      </c>
      <c r="G890" t="s">
        <v>16</v>
      </c>
      <c r="H890" t="s">
        <v>2657</v>
      </c>
      <c r="J890">
        <v>8</v>
      </c>
      <c r="K890">
        <v>0</v>
      </c>
      <c r="M890" t="s">
        <v>17</v>
      </c>
    </row>
    <row r="891" spans="1:13">
      <c r="A891" t="s">
        <v>1512</v>
      </c>
      <c r="B891" s="1">
        <v>42342</v>
      </c>
      <c r="C891" s="1">
        <v>42345</v>
      </c>
      <c r="D891" t="s">
        <v>1513</v>
      </c>
      <c r="E891" t="s">
        <v>88</v>
      </c>
      <c r="F891" t="s">
        <v>89</v>
      </c>
      <c r="G891" t="s">
        <v>28</v>
      </c>
      <c r="H891" t="s">
        <v>2662</v>
      </c>
      <c r="I891">
        <v>1410.3999999999901</v>
      </c>
      <c r="J891">
        <v>5</v>
      </c>
      <c r="K891">
        <v>0.2</v>
      </c>
      <c r="L891">
        <v>-88.199999999999903</v>
      </c>
      <c r="M891" t="s">
        <v>23</v>
      </c>
    </row>
    <row r="892" spans="1:13">
      <c r="B892" s="1">
        <v>41572</v>
      </c>
      <c r="C892" s="1">
        <v>41572</v>
      </c>
      <c r="D892" t="s">
        <v>847</v>
      </c>
      <c r="E892" t="s">
        <v>542</v>
      </c>
      <c r="F892" t="s">
        <v>81</v>
      </c>
      <c r="G892" t="s">
        <v>28</v>
      </c>
      <c r="H892" t="s">
        <v>2657</v>
      </c>
      <c r="I892">
        <v>1773.72</v>
      </c>
      <c r="J892">
        <v>5</v>
      </c>
      <c r="K892">
        <v>0.2</v>
      </c>
      <c r="L892">
        <v>44.219999999999899</v>
      </c>
      <c r="M892" t="s">
        <v>32</v>
      </c>
    </row>
    <row r="893" spans="1:13">
      <c r="A893" t="s">
        <v>1514</v>
      </c>
      <c r="B893" s="1">
        <v>41172</v>
      </c>
      <c r="C893" s="1">
        <v>41177</v>
      </c>
      <c r="D893" t="s">
        <v>1397</v>
      </c>
      <c r="E893" t="s">
        <v>1515</v>
      </c>
      <c r="F893" t="s">
        <v>22</v>
      </c>
      <c r="G893" t="s">
        <v>16</v>
      </c>
      <c r="H893" t="s">
        <v>2658</v>
      </c>
      <c r="I893">
        <v>1377.8999999999901</v>
      </c>
      <c r="J893">
        <v>10</v>
      </c>
      <c r="K893">
        <v>0</v>
      </c>
      <c r="L893">
        <v>289.2</v>
      </c>
      <c r="M893" t="s">
        <v>32</v>
      </c>
    </row>
    <row r="894" spans="1:13">
      <c r="A894" t="s">
        <v>1516</v>
      </c>
      <c r="B894" s="1">
        <v>41223</v>
      </c>
      <c r="C894" s="1">
        <v>41230</v>
      </c>
      <c r="D894" t="s">
        <v>721</v>
      </c>
      <c r="E894" t="s">
        <v>88</v>
      </c>
      <c r="F894" t="s">
        <v>89</v>
      </c>
      <c r="G894" t="s">
        <v>16</v>
      </c>
      <c r="H894" t="s">
        <v>2658</v>
      </c>
      <c r="I894">
        <v>2582.16</v>
      </c>
      <c r="J894">
        <v>6</v>
      </c>
      <c r="K894">
        <v>0</v>
      </c>
      <c r="L894">
        <v>516.36</v>
      </c>
      <c r="M894" t="s">
        <v>17</v>
      </c>
    </row>
    <row r="895" spans="1:13">
      <c r="A895" t="s">
        <v>1517</v>
      </c>
      <c r="B895" s="1">
        <v>41615</v>
      </c>
      <c r="C895" s="1">
        <v>41617</v>
      </c>
      <c r="E895" t="s">
        <v>35</v>
      </c>
      <c r="F895" t="s">
        <v>102</v>
      </c>
      <c r="G895" t="s">
        <v>16</v>
      </c>
      <c r="H895" t="s">
        <v>2656</v>
      </c>
      <c r="I895">
        <v>773.94</v>
      </c>
      <c r="J895">
        <v>6</v>
      </c>
      <c r="K895">
        <v>0</v>
      </c>
      <c r="L895">
        <v>224.4426</v>
      </c>
      <c r="M895" t="s">
        <v>17</v>
      </c>
    </row>
    <row r="896" spans="1:13">
      <c r="A896" t="s">
        <v>1518</v>
      </c>
      <c r="B896" s="1">
        <v>41346</v>
      </c>
      <c r="C896" s="1">
        <v>41348</v>
      </c>
      <c r="D896" t="s">
        <v>919</v>
      </c>
      <c r="E896" t="s">
        <v>62</v>
      </c>
      <c r="F896" t="s">
        <v>63</v>
      </c>
      <c r="G896" t="s">
        <v>16</v>
      </c>
      <c r="H896" t="s">
        <v>2656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32</v>
      </c>
    </row>
    <row r="897" spans="1:13">
      <c r="A897" t="s">
        <v>1519</v>
      </c>
      <c r="B897" s="1">
        <v>42363</v>
      </c>
      <c r="C897" s="1">
        <v>42370</v>
      </c>
      <c r="D897" t="s">
        <v>1195</v>
      </c>
      <c r="E897" t="s">
        <v>35</v>
      </c>
      <c r="F897" t="s">
        <v>38</v>
      </c>
      <c r="G897" t="s">
        <v>39</v>
      </c>
      <c r="H897" t="s">
        <v>2655</v>
      </c>
      <c r="I897">
        <v>1003.62</v>
      </c>
      <c r="J897">
        <v>6</v>
      </c>
      <c r="K897">
        <v>0</v>
      </c>
      <c r="L897">
        <v>0</v>
      </c>
      <c r="M897" t="s">
        <v>65</v>
      </c>
    </row>
    <row r="898" spans="1:13">
      <c r="A898" t="s">
        <v>1520</v>
      </c>
      <c r="B898" s="1">
        <v>41271</v>
      </c>
      <c r="C898" s="1">
        <v>41273</v>
      </c>
      <c r="D898" t="s">
        <v>1521</v>
      </c>
      <c r="E898" t="s">
        <v>200</v>
      </c>
      <c r="F898" t="s">
        <v>89</v>
      </c>
      <c r="G898" t="s">
        <v>28</v>
      </c>
      <c r="H898" t="s">
        <v>2656</v>
      </c>
      <c r="I898">
        <v>2429.4399999999901</v>
      </c>
      <c r="J898">
        <v>8</v>
      </c>
      <c r="K898">
        <v>0</v>
      </c>
      <c r="L898">
        <v>534.4</v>
      </c>
      <c r="M898" t="s">
        <v>17</v>
      </c>
    </row>
    <row r="899" spans="1:13">
      <c r="A899" t="s">
        <v>1522</v>
      </c>
      <c r="B899" s="1">
        <v>42291</v>
      </c>
      <c r="C899" s="1">
        <v>42293</v>
      </c>
      <c r="D899" t="s">
        <v>1195</v>
      </c>
      <c r="E899" t="s">
        <v>35</v>
      </c>
      <c r="F899" t="s">
        <v>142</v>
      </c>
      <c r="G899" t="s">
        <v>39</v>
      </c>
      <c r="H899" t="s">
        <v>2656</v>
      </c>
      <c r="I899">
        <v>348.56</v>
      </c>
      <c r="J899">
        <v>8</v>
      </c>
      <c r="K899">
        <v>0</v>
      </c>
      <c r="L899">
        <v>104.567999999999</v>
      </c>
      <c r="M899" t="s">
        <v>32</v>
      </c>
    </row>
    <row r="900" spans="1:13">
      <c r="A900" t="s">
        <v>1523</v>
      </c>
      <c r="B900" s="1">
        <v>42032</v>
      </c>
      <c r="D900" t="s">
        <v>1524</v>
      </c>
      <c r="E900" t="s">
        <v>62</v>
      </c>
      <c r="F900" t="s">
        <v>283</v>
      </c>
      <c r="G900" t="s">
        <v>28</v>
      </c>
      <c r="H900" t="s">
        <v>2655</v>
      </c>
      <c r="I900">
        <v>977.02200000000005</v>
      </c>
      <c r="J900">
        <v>3</v>
      </c>
      <c r="K900">
        <v>0.1</v>
      </c>
      <c r="L900">
        <v>271.33199999999999</v>
      </c>
      <c r="M900" t="s">
        <v>65</v>
      </c>
    </row>
    <row r="901" spans="1:13">
      <c r="A901" t="s">
        <v>1525</v>
      </c>
      <c r="B901" s="1">
        <v>41956</v>
      </c>
      <c r="C901" s="1">
        <v>41961</v>
      </c>
      <c r="D901" t="s">
        <v>1526</v>
      </c>
      <c r="E901" t="s">
        <v>62</v>
      </c>
      <c r="F901" t="s">
        <v>63</v>
      </c>
      <c r="G901" t="s">
        <v>28</v>
      </c>
      <c r="H901" t="s">
        <v>2656</v>
      </c>
      <c r="I901">
        <v>2891.6999999999898</v>
      </c>
      <c r="J901">
        <v>7</v>
      </c>
      <c r="K901">
        <v>0.1</v>
      </c>
      <c r="L901">
        <v>1188.81</v>
      </c>
      <c r="M901" t="s">
        <v>17</v>
      </c>
    </row>
    <row r="902" spans="1:13">
      <c r="A902" t="s">
        <v>1527</v>
      </c>
      <c r="B902" s="1">
        <v>42250</v>
      </c>
      <c r="C902" s="1">
        <v>42254</v>
      </c>
      <c r="D902" t="s">
        <v>1195</v>
      </c>
      <c r="E902" t="s">
        <v>35</v>
      </c>
      <c r="F902" t="s">
        <v>142</v>
      </c>
      <c r="G902" t="s">
        <v>39</v>
      </c>
      <c r="H902" t="s">
        <v>2663</v>
      </c>
      <c r="I902">
        <v>1577.94</v>
      </c>
      <c r="J902">
        <v>3</v>
      </c>
      <c r="K902">
        <v>0</v>
      </c>
      <c r="L902">
        <v>757.41120000000001</v>
      </c>
      <c r="M902" t="s">
        <v>17</v>
      </c>
    </row>
    <row r="903" spans="1:13">
      <c r="A903" t="s">
        <v>1528</v>
      </c>
      <c r="B903" s="1">
        <v>41501</v>
      </c>
      <c r="C903" s="1">
        <v>41505</v>
      </c>
      <c r="D903" t="s">
        <v>1529</v>
      </c>
      <c r="E903" t="s">
        <v>14</v>
      </c>
      <c r="F903" t="s">
        <v>15</v>
      </c>
      <c r="G903" t="s">
        <v>16</v>
      </c>
      <c r="H903" t="s">
        <v>2655</v>
      </c>
      <c r="I903">
        <v>2042.82</v>
      </c>
      <c r="J903">
        <v>6</v>
      </c>
      <c r="K903">
        <v>0.1</v>
      </c>
      <c r="L903">
        <v>-136.26</v>
      </c>
      <c r="M903" t="s">
        <v>32</v>
      </c>
    </row>
    <row r="904" spans="1:13">
      <c r="A904" t="s">
        <v>1530</v>
      </c>
      <c r="B904" s="1">
        <v>42199</v>
      </c>
      <c r="C904" s="1">
        <v>42201</v>
      </c>
      <c r="D904" t="s">
        <v>113</v>
      </c>
      <c r="E904" t="s">
        <v>52</v>
      </c>
      <c r="F904" t="s">
        <v>53</v>
      </c>
      <c r="G904" t="s">
        <v>16</v>
      </c>
      <c r="H904" t="s">
        <v>2661</v>
      </c>
      <c r="I904">
        <v>997.80039999999894</v>
      </c>
      <c r="J904">
        <v>5</v>
      </c>
      <c r="K904">
        <v>2E-3</v>
      </c>
      <c r="L904">
        <v>327.90039999999999</v>
      </c>
      <c r="M904" t="s">
        <v>32</v>
      </c>
    </row>
    <row r="905" spans="1:13">
      <c r="A905" t="s">
        <v>1531</v>
      </c>
      <c r="B905" s="1">
        <v>41286</v>
      </c>
      <c r="C905" s="1">
        <v>41291</v>
      </c>
      <c r="D905" t="s">
        <v>1089</v>
      </c>
      <c r="E905" t="s">
        <v>14</v>
      </c>
      <c r="F905" t="s">
        <v>15</v>
      </c>
      <c r="G905" t="s">
        <v>16</v>
      </c>
      <c r="H905" t="s">
        <v>2657</v>
      </c>
      <c r="I905">
        <v>1411.3440000000001</v>
      </c>
      <c r="K905">
        <v>0.1</v>
      </c>
      <c r="L905">
        <v>486.05399999999901</v>
      </c>
      <c r="M905" t="s">
        <v>32</v>
      </c>
    </row>
    <row r="906" spans="1:13">
      <c r="A906" t="s">
        <v>1532</v>
      </c>
      <c r="B906" s="1">
        <v>41389</v>
      </c>
      <c r="C906" s="1">
        <v>41389</v>
      </c>
      <c r="D906" t="s">
        <v>832</v>
      </c>
      <c r="E906" t="s">
        <v>157</v>
      </c>
      <c r="F906" t="s">
        <v>106</v>
      </c>
      <c r="G906" t="s">
        <v>28</v>
      </c>
      <c r="H906" t="s">
        <v>2657</v>
      </c>
      <c r="I906">
        <v>1647</v>
      </c>
      <c r="J906">
        <v>4</v>
      </c>
      <c r="K906">
        <v>0</v>
      </c>
      <c r="L906">
        <v>625.79999999999995</v>
      </c>
      <c r="M906" t="s">
        <v>32</v>
      </c>
    </row>
    <row r="907" spans="1:13">
      <c r="A907" t="s">
        <v>1533</v>
      </c>
      <c r="B907" s="2">
        <v>41653</v>
      </c>
      <c r="C907" s="1">
        <v>41929</v>
      </c>
      <c r="D907" t="s">
        <v>1268</v>
      </c>
      <c r="E907" t="s">
        <v>14</v>
      </c>
      <c r="F907" t="s">
        <v>15</v>
      </c>
      <c r="G907" t="s">
        <v>28</v>
      </c>
      <c r="H907" t="s">
        <v>2662</v>
      </c>
      <c r="I907">
        <v>1313.712</v>
      </c>
      <c r="J907">
        <v>4</v>
      </c>
      <c r="L907">
        <v>102.072</v>
      </c>
      <c r="M907" t="s">
        <v>17</v>
      </c>
    </row>
    <row r="908" spans="1:13">
      <c r="A908" t="s">
        <v>1534</v>
      </c>
      <c r="B908" s="1">
        <v>41460</v>
      </c>
      <c r="C908" s="1">
        <v>41404</v>
      </c>
      <c r="D908" t="s">
        <v>302</v>
      </c>
      <c r="E908" t="s">
        <v>14</v>
      </c>
      <c r="F908" t="s">
        <v>15</v>
      </c>
      <c r="G908" t="s">
        <v>16</v>
      </c>
      <c r="H908" t="s">
        <v>2663</v>
      </c>
      <c r="I908">
        <v>972.56700000000001</v>
      </c>
      <c r="J908">
        <v>3</v>
      </c>
      <c r="L908">
        <v>194.42699999999999</v>
      </c>
      <c r="M908" t="s">
        <v>32</v>
      </c>
    </row>
    <row r="909" spans="1:13">
      <c r="A909" t="s">
        <v>1535</v>
      </c>
      <c r="B909" s="1">
        <v>41128</v>
      </c>
      <c r="C909" s="1">
        <v>41128</v>
      </c>
      <c r="D909" t="s">
        <v>852</v>
      </c>
      <c r="E909" t="s">
        <v>58</v>
      </c>
      <c r="F909" t="s">
        <v>81</v>
      </c>
      <c r="G909" t="s">
        <v>16</v>
      </c>
      <c r="H909" t="s">
        <v>2657</v>
      </c>
      <c r="I909">
        <v>1273.56</v>
      </c>
      <c r="J909">
        <v>4</v>
      </c>
      <c r="K909">
        <v>0</v>
      </c>
      <c r="L909">
        <v>573</v>
      </c>
      <c r="M909" t="s">
        <v>17</v>
      </c>
    </row>
    <row r="910" spans="1:13">
      <c r="A910" t="s">
        <v>1536</v>
      </c>
      <c r="B910" s="1">
        <v>41259</v>
      </c>
      <c r="C910" s="1">
        <v>41263</v>
      </c>
      <c r="D910" t="s">
        <v>1537</v>
      </c>
      <c r="E910" t="s">
        <v>20</v>
      </c>
      <c r="F910" t="s">
        <v>63</v>
      </c>
      <c r="G910" t="s">
        <v>16</v>
      </c>
      <c r="H910" t="s">
        <v>2663</v>
      </c>
      <c r="I910">
        <v>1908.18</v>
      </c>
      <c r="J910">
        <v>3</v>
      </c>
      <c r="K910">
        <v>0</v>
      </c>
      <c r="L910">
        <v>820.44</v>
      </c>
      <c r="M910" t="s">
        <v>17</v>
      </c>
    </row>
    <row r="911" spans="1:13">
      <c r="A911" t="s">
        <v>1538</v>
      </c>
      <c r="C911" s="1">
        <v>42336</v>
      </c>
      <c r="D911" t="s">
        <v>1195</v>
      </c>
      <c r="E911" t="s">
        <v>35</v>
      </c>
      <c r="F911" t="s">
        <v>36</v>
      </c>
      <c r="G911" t="s">
        <v>16</v>
      </c>
      <c r="H911" t="s">
        <v>2657</v>
      </c>
      <c r="I911">
        <v>195.96</v>
      </c>
      <c r="J911">
        <v>5</v>
      </c>
      <c r="K911">
        <v>0.2</v>
      </c>
      <c r="L911">
        <v>19.596</v>
      </c>
      <c r="M911" t="s">
        <v>32</v>
      </c>
    </row>
    <row r="912" spans="1:13">
      <c r="A912" t="s">
        <v>1539</v>
      </c>
      <c r="B912" s="1">
        <v>41227</v>
      </c>
      <c r="C912" s="1">
        <v>41231</v>
      </c>
      <c r="D912" t="s">
        <v>1540</v>
      </c>
      <c r="E912" t="s">
        <v>14</v>
      </c>
      <c r="F912" t="s">
        <v>15</v>
      </c>
      <c r="G912" t="s">
        <v>28</v>
      </c>
      <c r="H912" t="s">
        <v>2656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1541</v>
      </c>
      <c r="B913" s="1">
        <v>41583</v>
      </c>
      <c r="C913" s="1">
        <v>41586</v>
      </c>
      <c r="D913" t="s">
        <v>1542</v>
      </c>
      <c r="E913" t="s">
        <v>193</v>
      </c>
      <c r="F913" t="s">
        <v>78</v>
      </c>
      <c r="G913" t="s">
        <v>612</v>
      </c>
      <c r="H913" t="s">
        <v>2658</v>
      </c>
      <c r="I913">
        <v>680.28</v>
      </c>
      <c r="J913">
        <v>4</v>
      </c>
      <c r="K913">
        <v>0</v>
      </c>
      <c r="L913">
        <v>231.24</v>
      </c>
      <c r="M913" t="s">
        <v>23</v>
      </c>
    </row>
    <row r="914" spans="1:13">
      <c r="A914" t="s">
        <v>1543</v>
      </c>
      <c r="B914" s="1">
        <v>41280</v>
      </c>
      <c r="C914" s="1">
        <v>41283</v>
      </c>
      <c r="D914" t="s">
        <v>545</v>
      </c>
      <c r="E914" t="s">
        <v>1236</v>
      </c>
      <c r="F914" t="s">
        <v>85</v>
      </c>
      <c r="G914" t="s">
        <v>16</v>
      </c>
      <c r="H914" t="s">
        <v>2663</v>
      </c>
      <c r="I914">
        <v>964.07999999999902</v>
      </c>
      <c r="J914">
        <v>3</v>
      </c>
      <c r="K914">
        <v>0</v>
      </c>
      <c r="L914">
        <v>337.409999999999</v>
      </c>
      <c r="M914" t="s">
        <v>17</v>
      </c>
    </row>
    <row r="915" spans="1:13">
      <c r="A915" t="s">
        <v>1544</v>
      </c>
      <c r="B915" s="1">
        <v>41241</v>
      </c>
      <c r="C915" s="1">
        <v>41248</v>
      </c>
      <c r="D915" t="s">
        <v>1195</v>
      </c>
      <c r="E915" t="s">
        <v>35</v>
      </c>
      <c r="F915" t="s">
        <v>38</v>
      </c>
      <c r="G915" t="s">
        <v>16</v>
      </c>
      <c r="H915" t="s">
        <v>2662</v>
      </c>
      <c r="I915">
        <v>575.91999999999996</v>
      </c>
      <c r="J915" t="s">
        <v>55</v>
      </c>
      <c r="K915">
        <v>0.2</v>
      </c>
      <c r="L915">
        <v>71.989999999999895</v>
      </c>
      <c r="M915" t="s">
        <v>17</v>
      </c>
    </row>
    <row r="916" spans="1:13">
      <c r="A916" t="s">
        <v>1545</v>
      </c>
      <c r="B916" s="1">
        <v>41174</v>
      </c>
      <c r="C916" s="1">
        <v>41178</v>
      </c>
      <c r="D916" t="s">
        <v>1546</v>
      </c>
      <c r="E916" t="s">
        <v>14</v>
      </c>
      <c r="F916" t="s">
        <v>1547</v>
      </c>
      <c r="G916" t="s">
        <v>16</v>
      </c>
      <c r="H916" t="s">
        <v>2657</v>
      </c>
      <c r="J916">
        <v>5</v>
      </c>
      <c r="K916">
        <v>0.1</v>
      </c>
      <c r="L916">
        <v>588.73500000000001</v>
      </c>
      <c r="M916" t="s">
        <v>32</v>
      </c>
    </row>
    <row r="917" spans="1:13">
      <c r="A917" t="s">
        <v>1548</v>
      </c>
      <c r="B917" s="1">
        <v>41514</v>
      </c>
      <c r="C917" s="1">
        <v>41516</v>
      </c>
      <c r="D917" t="s">
        <v>947</v>
      </c>
      <c r="E917" t="s">
        <v>840</v>
      </c>
      <c r="F917" t="s">
        <v>49</v>
      </c>
      <c r="G917" t="s">
        <v>28</v>
      </c>
      <c r="H917" t="s">
        <v>2662</v>
      </c>
      <c r="I917">
        <v>929.34</v>
      </c>
      <c r="K917">
        <v>0</v>
      </c>
      <c r="L917">
        <v>65.039999999999907</v>
      </c>
      <c r="M917" t="s">
        <v>17</v>
      </c>
    </row>
    <row r="918" spans="1:13">
      <c r="A918" t="s">
        <v>1549</v>
      </c>
      <c r="B918" s="1">
        <v>42072</v>
      </c>
      <c r="C918" s="1">
        <v>42079</v>
      </c>
      <c r="D918" t="s">
        <v>1195</v>
      </c>
      <c r="E918" t="s">
        <v>35</v>
      </c>
      <c r="F918" t="s">
        <v>38</v>
      </c>
      <c r="G918" t="s">
        <v>39</v>
      </c>
      <c r="H918" t="s">
        <v>2657</v>
      </c>
      <c r="I918">
        <v>171.2</v>
      </c>
      <c r="J918">
        <v>5</v>
      </c>
      <c r="K918">
        <v>0.2</v>
      </c>
      <c r="L918">
        <v>64.199999999999903</v>
      </c>
      <c r="M918" t="s">
        <v>17</v>
      </c>
    </row>
    <row r="919" spans="1:13">
      <c r="A919" t="s">
        <v>1550</v>
      </c>
      <c r="B919" s="1">
        <v>41588</v>
      </c>
      <c r="C919" s="1">
        <v>41593</v>
      </c>
      <c r="D919" t="s">
        <v>1195</v>
      </c>
      <c r="E919" t="s">
        <v>35</v>
      </c>
      <c r="F919" t="s">
        <v>38</v>
      </c>
      <c r="G919" t="s">
        <v>16</v>
      </c>
      <c r="H919" t="s">
        <v>2658</v>
      </c>
      <c r="I919">
        <v>79.900000000000006</v>
      </c>
      <c r="J919">
        <v>2</v>
      </c>
      <c r="K919">
        <v>0</v>
      </c>
      <c r="L919">
        <v>35.155999999999999</v>
      </c>
      <c r="M919" t="s">
        <v>17</v>
      </c>
    </row>
    <row r="920" spans="1:13">
      <c r="A920" t="s">
        <v>1551</v>
      </c>
      <c r="C920" s="1">
        <v>42176</v>
      </c>
      <c r="D920" t="s">
        <v>1552</v>
      </c>
      <c r="E920" t="s">
        <v>14</v>
      </c>
      <c r="F920" t="s">
        <v>15</v>
      </c>
      <c r="G920" t="s">
        <v>16</v>
      </c>
      <c r="H920" t="s">
        <v>2654</v>
      </c>
      <c r="I920">
        <v>2383.857</v>
      </c>
      <c r="J920">
        <v>7</v>
      </c>
      <c r="L920">
        <v>794.577</v>
      </c>
      <c r="M920" t="s">
        <v>32</v>
      </c>
    </row>
    <row r="921" spans="1:13">
      <c r="A921" t="s">
        <v>1553</v>
      </c>
      <c r="B921" s="1">
        <v>41430</v>
      </c>
      <c r="C921" s="1">
        <v>41436</v>
      </c>
      <c r="D921" t="s">
        <v>1554</v>
      </c>
      <c r="E921" t="s">
        <v>84</v>
      </c>
      <c r="F921" t="s">
        <v>85</v>
      </c>
      <c r="G921" t="s">
        <v>16</v>
      </c>
      <c r="H921" t="s">
        <v>2657</v>
      </c>
      <c r="I921">
        <v>1891.5</v>
      </c>
      <c r="J921">
        <v>5</v>
      </c>
      <c r="K921">
        <v>0</v>
      </c>
      <c r="L921">
        <v>832.2</v>
      </c>
      <c r="M921" t="s">
        <v>17</v>
      </c>
    </row>
    <row r="922" spans="1:13">
      <c r="A922" t="s">
        <v>1555</v>
      </c>
      <c r="B922" s="1">
        <v>41762</v>
      </c>
      <c r="C922" s="1">
        <v>41763</v>
      </c>
      <c r="D922" t="s">
        <v>391</v>
      </c>
      <c r="E922" t="s">
        <v>110</v>
      </c>
      <c r="F922" t="s">
        <v>111</v>
      </c>
      <c r="G922" t="s">
        <v>39</v>
      </c>
      <c r="H922" t="s">
        <v>2657</v>
      </c>
      <c r="I922">
        <v>912.24</v>
      </c>
      <c r="J922">
        <v>3</v>
      </c>
      <c r="K922">
        <v>0.2</v>
      </c>
      <c r="L922">
        <v>68.400000000000006</v>
      </c>
      <c r="M922" t="s">
        <v>32</v>
      </c>
    </row>
    <row r="923" spans="1:13">
      <c r="A923" t="s">
        <v>1556</v>
      </c>
      <c r="B923" s="1">
        <v>41914</v>
      </c>
      <c r="C923" s="1">
        <v>41917</v>
      </c>
      <c r="D923" t="s">
        <v>1557</v>
      </c>
      <c r="E923" t="s">
        <v>200</v>
      </c>
      <c r="F923" t="s">
        <v>89</v>
      </c>
      <c r="G923" t="s">
        <v>16</v>
      </c>
      <c r="H923" t="s">
        <v>2657</v>
      </c>
      <c r="I923">
        <v>947.22176000000002</v>
      </c>
      <c r="J923">
        <v>4</v>
      </c>
      <c r="K923">
        <v>2E-3</v>
      </c>
      <c r="L923">
        <v>377.70175999999998</v>
      </c>
      <c r="M923" t="s">
        <v>32</v>
      </c>
    </row>
    <row r="924" spans="1:13">
      <c r="A924" t="s">
        <v>1558</v>
      </c>
      <c r="B924" t="s">
        <v>116</v>
      </c>
      <c r="C924" s="1">
        <v>41261</v>
      </c>
      <c r="D924" t="s">
        <v>1559</v>
      </c>
      <c r="E924" t="s">
        <v>84</v>
      </c>
      <c r="F924" t="s">
        <v>85</v>
      </c>
      <c r="G924" t="s">
        <v>28</v>
      </c>
      <c r="H924" t="s">
        <v>2661</v>
      </c>
      <c r="I924">
        <v>1983.0149999999901</v>
      </c>
      <c r="J924">
        <v>5</v>
      </c>
      <c r="K924">
        <v>0.1</v>
      </c>
      <c r="L924">
        <v>616.81500000000005</v>
      </c>
      <c r="M924" t="s">
        <v>32</v>
      </c>
    </row>
    <row r="925" spans="1:13">
      <c r="A925" t="s">
        <v>1560</v>
      </c>
      <c r="B925" s="1">
        <v>41572</v>
      </c>
      <c r="C925" s="1">
        <v>41576</v>
      </c>
      <c r="D925" t="s">
        <v>1542</v>
      </c>
      <c r="E925" t="s">
        <v>200</v>
      </c>
      <c r="F925" t="s">
        <v>89</v>
      </c>
      <c r="G925" t="s">
        <v>16</v>
      </c>
      <c r="H925" t="s">
        <v>2657</v>
      </c>
      <c r="I925">
        <v>2146.6</v>
      </c>
      <c r="J925">
        <v>5</v>
      </c>
      <c r="K925">
        <v>0</v>
      </c>
      <c r="L925">
        <v>429.3</v>
      </c>
      <c r="M925" t="s">
        <v>17</v>
      </c>
    </row>
    <row r="926" spans="1:13">
      <c r="A926" t="s">
        <v>1561</v>
      </c>
      <c r="B926" s="1">
        <v>41688</v>
      </c>
      <c r="C926" s="1">
        <v>41695</v>
      </c>
      <c r="D926" t="s">
        <v>1562</v>
      </c>
      <c r="E926" t="s">
        <v>186</v>
      </c>
      <c r="F926" t="s">
        <v>68</v>
      </c>
      <c r="G926" t="s">
        <v>16</v>
      </c>
      <c r="H926" t="s">
        <v>2663</v>
      </c>
      <c r="I926">
        <v>2879.82</v>
      </c>
      <c r="J926">
        <v>9</v>
      </c>
      <c r="K926">
        <v>0</v>
      </c>
      <c r="L926">
        <v>1295.73</v>
      </c>
      <c r="M926" t="s">
        <v>17</v>
      </c>
    </row>
    <row r="927" spans="1:13">
      <c r="A927" t="s">
        <v>1563</v>
      </c>
      <c r="B927" s="1">
        <v>42258</v>
      </c>
      <c r="C927" s="1">
        <v>42259</v>
      </c>
      <c r="D927" t="s">
        <v>1046</v>
      </c>
      <c r="E927" t="s">
        <v>62</v>
      </c>
      <c r="F927" t="s">
        <v>63</v>
      </c>
      <c r="G927" t="s">
        <v>28</v>
      </c>
      <c r="H927" t="s">
        <v>2656</v>
      </c>
      <c r="I927">
        <v>1622.01</v>
      </c>
      <c r="J927">
        <v>5</v>
      </c>
      <c r="K927">
        <v>0.35</v>
      </c>
      <c r="L927">
        <v>-623.94000000000005</v>
      </c>
      <c r="M927" t="s">
        <v>32</v>
      </c>
    </row>
    <row r="928" spans="1:13">
      <c r="A928" t="s">
        <v>1564</v>
      </c>
      <c r="B928" s="1">
        <v>41927</v>
      </c>
      <c r="C928" s="1">
        <v>41931</v>
      </c>
      <c r="D928" t="s">
        <v>828</v>
      </c>
      <c r="F928" t="s">
        <v>63</v>
      </c>
      <c r="G928" t="s">
        <v>39</v>
      </c>
      <c r="H928" t="s">
        <v>2657</v>
      </c>
      <c r="I928">
        <v>1503.68399999999</v>
      </c>
      <c r="J928">
        <v>6</v>
      </c>
      <c r="K928">
        <v>0.1</v>
      </c>
      <c r="L928">
        <v>284.003999999999</v>
      </c>
      <c r="M928" t="s">
        <v>32</v>
      </c>
    </row>
    <row r="929" spans="1:13">
      <c r="A929" t="s">
        <v>1517</v>
      </c>
      <c r="B929" s="1">
        <v>41615</v>
      </c>
      <c r="C929" s="1">
        <v>41617</v>
      </c>
      <c r="D929" t="s">
        <v>1195</v>
      </c>
      <c r="E929" t="s">
        <v>35</v>
      </c>
      <c r="F929" t="s">
        <v>102</v>
      </c>
      <c r="G929" t="s">
        <v>39</v>
      </c>
      <c r="H929" t="s">
        <v>2658</v>
      </c>
      <c r="I929">
        <v>21.36</v>
      </c>
      <c r="J929">
        <v>5</v>
      </c>
      <c r="K929">
        <v>0.2</v>
      </c>
      <c r="L929">
        <v>7.2089999999999996</v>
      </c>
      <c r="M929" t="s">
        <v>17</v>
      </c>
    </row>
    <row r="930" spans="1:13">
      <c r="A930" t="s">
        <v>1565</v>
      </c>
      <c r="B930" s="1">
        <v>41928</v>
      </c>
      <c r="C930" s="1">
        <v>41930</v>
      </c>
      <c r="E930" t="s">
        <v>131</v>
      </c>
      <c r="F930" t="s">
        <v>132</v>
      </c>
      <c r="G930" t="s">
        <v>39</v>
      </c>
      <c r="H930" t="s">
        <v>2661</v>
      </c>
      <c r="I930">
        <v>893.56139999999903</v>
      </c>
      <c r="J930">
        <v>2</v>
      </c>
      <c r="L930">
        <v>247.60140000000001</v>
      </c>
      <c r="M930" t="s">
        <v>23</v>
      </c>
    </row>
    <row r="931" spans="1:13">
      <c r="B931" s="1">
        <v>42074</v>
      </c>
      <c r="C931" s="1">
        <v>42077</v>
      </c>
      <c r="D931" t="s">
        <v>875</v>
      </c>
      <c r="E931" t="s">
        <v>558</v>
      </c>
      <c r="F931" t="s">
        <v>111</v>
      </c>
      <c r="G931" t="s">
        <v>28</v>
      </c>
      <c r="H931" t="s">
        <v>2655</v>
      </c>
      <c r="I931">
        <v>1143.44</v>
      </c>
      <c r="J931">
        <v>2</v>
      </c>
      <c r="K931">
        <v>0</v>
      </c>
      <c r="L931">
        <v>320.16000000000003</v>
      </c>
      <c r="M931" t="s">
        <v>23</v>
      </c>
    </row>
    <row r="932" spans="1:13">
      <c r="A932" t="s">
        <v>1566</v>
      </c>
      <c r="B932" s="1">
        <v>42264</v>
      </c>
      <c r="C932" s="1">
        <v>42268</v>
      </c>
      <c r="D932" t="s">
        <v>551</v>
      </c>
      <c r="E932" t="s">
        <v>221</v>
      </c>
      <c r="F932" t="s">
        <v>222</v>
      </c>
      <c r="G932" t="s">
        <v>16</v>
      </c>
      <c r="H932" t="s">
        <v>2661</v>
      </c>
      <c r="J932">
        <v>6</v>
      </c>
      <c r="K932">
        <v>0</v>
      </c>
      <c r="M932" t="s">
        <v>17</v>
      </c>
    </row>
    <row r="933" spans="1:13">
      <c r="A933" t="s">
        <v>1567</v>
      </c>
      <c r="B933" s="1">
        <v>41216</v>
      </c>
      <c r="C933" s="1">
        <v>41218</v>
      </c>
      <c r="D933" t="s">
        <v>188</v>
      </c>
      <c r="E933" t="s">
        <v>1568</v>
      </c>
      <c r="F933" t="s">
        <v>53</v>
      </c>
      <c r="G933" t="s">
        <v>39</v>
      </c>
      <c r="H933" t="s">
        <v>2658</v>
      </c>
      <c r="I933">
        <v>1401.84</v>
      </c>
      <c r="J933">
        <v>4</v>
      </c>
      <c r="K933">
        <v>0</v>
      </c>
      <c r="L933">
        <v>126.16</v>
      </c>
      <c r="M933" t="s">
        <v>32</v>
      </c>
    </row>
    <row r="934" spans="1:13">
      <c r="A934" t="s">
        <v>1569</v>
      </c>
      <c r="B934" s="1">
        <v>42276</v>
      </c>
      <c r="C934" s="1">
        <v>42283</v>
      </c>
      <c r="D934" t="s">
        <v>435</v>
      </c>
      <c r="E934" t="s">
        <v>20</v>
      </c>
      <c r="F934" t="s">
        <v>63</v>
      </c>
      <c r="G934" t="s">
        <v>16</v>
      </c>
      <c r="H934" t="s">
        <v>2657</v>
      </c>
      <c r="I934">
        <v>2088.2399999999998</v>
      </c>
      <c r="J934">
        <v>8</v>
      </c>
      <c r="K934">
        <v>0</v>
      </c>
      <c r="L934">
        <v>83.52</v>
      </c>
      <c r="M934" t="s">
        <v>65</v>
      </c>
    </row>
    <row r="935" spans="1:13">
      <c r="A935" t="s">
        <v>1570</v>
      </c>
      <c r="B935" s="1">
        <v>42194</v>
      </c>
      <c r="C935" s="1">
        <v>42198</v>
      </c>
      <c r="D935" t="s">
        <v>1571</v>
      </c>
      <c r="E935" t="s">
        <v>105</v>
      </c>
      <c r="F935" t="s">
        <v>158</v>
      </c>
      <c r="G935" t="s">
        <v>28</v>
      </c>
      <c r="H935" t="s">
        <v>2661</v>
      </c>
      <c r="I935">
        <v>2194.5300000000002</v>
      </c>
      <c r="J935">
        <v>13</v>
      </c>
      <c r="K935">
        <v>0</v>
      </c>
      <c r="L935">
        <v>438.75</v>
      </c>
      <c r="M935" t="s">
        <v>32</v>
      </c>
    </row>
    <row r="936" spans="1:13">
      <c r="A936" t="s">
        <v>1572</v>
      </c>
      <c r="B936" s="1">
        <v>41352</v>
      </c>
      <c r="C936" s="1">
        <v>41352</v>
      </c>
      <c r="D936" t="s">
        <v>949</v>
      </c>
      <c r="E936" t="s">
        <v>20</v>
      </c>
      <c r="F936" t="s">
        <v>63</v>
      </c>
      <c r="G936" t="s">
        <v>39</v>
      </c>
      <c r="H936" t="s">
        <v>2662</v>
      </c>
      <c r="I936">
        <v>1527.12</v>
      </c>
      <c r="J936">
        <v>8</v>
      </c>
      <c r="K936">
        <v>0.1</v>
      </c>
      <c r="M936" t="s">
        <v>32</v>
      </c>
    </row>
    <row r="937" spans="1:13">
      <c r="A937" t="s">
        <v>1573</v>
      </c>
      <c r="B937" s="1">
        <v>41803</v>
      </c>
      <c r="C937" s="1">
        <v>41805</v>
      </c>
      <c r="D937" t="s">
        <v>859</v>
      </c>
      <c r="E937" t="s">
        <v>542</v>
      </c>
      <c r="F937" t="s">
        <v>81</v>
      </c>
      <c r="G937" t="s">
        <v>39</v>
      </c>
      <c r="H937" t="s">
        <v>2663</v>
      </c>
      <c r="J937">
        <v>7</v>
      </c>
      <c r="K937">
        <v>0.5</v>
      </c>
      <c r="L937">
        <v>-486.46499999999997</v>
      </c>
      <c r="M937" t="s">
        <v>23</v>
      </c>
    </row>
    <row r="938" spans="1:13">
      <c r="A938" t="s">
        <v>178</v>
      </c>
      <c r="B938" s="1">
        <v>41882</v>
      </c>
      <c r="C938" s="1">
        <v>41885</v>
      </c>
      <c r="D938" t="s">
        <v>179</v>
      </c>
      <c r="E938" t="s">
        <v>20</v>
      </c>
      <c r="F938" t="s">
        <v>63</v>
      </c>
      <c r="G938" t="s">
        <v>16</v>
      </c>
      <c r="H938" t="s">
        <v>2664</v>
      </c>
      <c r="I938">
        <v>794.7</v>
      </c>
      <c r="J938">
        <v>3</v>
      </c>
      <c r="K938">
        <v>0</v>
      </c>
      <c r="L938">
        <v>174.78</v>
      </c>
      <c r="M938" t="s">
        <v>23</v>
      </c>
    </row>
    <row r="939" spans="1:13">
      <c r="A939" t="s">
        <v>1574</v>
      </c>
      <c r="B939" s="1">
        <v>41783</v>
      </c>
      <c r="C939" s="1">
        <v>41787</v>
      </c>
      <c r="D939" t="s">
        <v>289</v>
      </c>
      <c r="E939" t="s">
        <v>677</v>
      </c>
      <c r="F939" t="s">
        <v>132</v>
      </c>
      <c r="G939" t="s">
        <v>28</v>
      </c>
      <c r="H939" t="s">
        <v>2661</v>
      </c>
      <c r="I939">
        <v>2761.2</v>
      </c>
      <c r="J939">
        <v>6</v>
      </c>
      <c r="K939">
        <v>0</v>
      </c>
      <c r="L939">
        <v>110.34</v>
      </c>
      <c r="M939" t="s">
        <v>17</v>
      </c>
    </row>
    <row r="940" spans="1:13">
      <c r="A940" t="s">
        <v>1575</v>
      </c>
      <c r="B940" s="1">
        <v>41088</v>
      </c>
      <c r="C940" s="1">
        <v>41093</v>
      </c>
      <c r="D940" t="s">
        <v>1576</v>
      </c>
      <c r="E940" t="s">
        <v>452</v>
      </c>
      <c r="F940" t="s">
        <v>78</v>
      </c>
      <c r="G940" t="s">
        <v>28</v>
      </c>
      <c r="H940" t="s">
        <v>2662</v>
      </c>
      <c r="J940">
        <v>8</v>
      </c>
      <c r="K940">
        <v>0</v>
      </c>
      <c r="L940">
        <v>1622.88</v>
      </c>
      <c r="M940" t="s">
        <v>17</v>
      </c>
    </row>
    <row r="941" spans="1:13">
      <c r="A941" t="s">
        <v>1577</v>
      </c>
      <c r="B941" s="1">
        <v>41256</v>
      </c>
      <c r="E941" t="s">
        <v>88</v>
      </c>
      <c r="F941" t="s">
        <v>89</v>
      </c>
      <c r="G941" t="s">
        <v>28</v>
      </c>
      <c r="H941" t="s">
        <v>2655</v>
      </c>
      <c r="I941">
        <v>825.79200000000003</v>
      </c>
      <c r="J941">
        <v>4</v>
      </c>
      <c r="K941">
        <v>0.2</v>
      </c>
      <c r="L941">
        <v>41.231999999999999</v>
      </c>
      <c r="M941" t="s">
        <v>23</v>
      </c>
    </row>
    <row r="942" spans="1:13">
      <c r="A942" t="s">
        <v>1544</v>
      </c>
      <c r="B942" s="1">
        <v>41241</v>
      </c>
      <c r="C942" s="1">
        <v>41248</v>
      </c>
      <c r="D942" t="s">
        <v>1195</v>
      </c>
      <c r="E942" t="s">
        <v>35</v>
      </c>
      <c r="F942" t="s">
        <v>38</v>
      </c>
      <c r="G942" t="s">
        <v>39</v>
      </c>
      <c r="H942" t="s">
        <v>2663</v>
      </c>
      <c r="I942">
        <v>30.4</v>
      </c>
      <c r="J942">
        <v>5</v>
      </c>
      <c r="K942" t="s">
        <v>215</v>
      </c>
      <c r="L942">
        <v>15.2</v>
      </c>
      <c r="M942" t="s">
        <v>17</v>
      </c>
    </row>
    <row r="943" spans="1:13">
      <c r="B943" s="1">
        <v>41863</v>
      </c>
      <c r="C943" s="1">
        <v>41868</v>
      </c>
      <c r="D943" t="s">
        <v>1234</v>
      </c>
      <c r="E943" t="s">
        <v>105</v>
      </c>
      <c r="F943" t="s">
        <v>106</v>
      </c>
      <c r="G943" t="s">
        <v>16</v>
      </c>
      <c r="H943" t="s">
        <v>2663</v>
      </c>
      <c r="I943">
        <v>3180.3</v>
      </c>
      <c r="J943">
        <v>5</v>
      </c>
      <c r="K943">
        <v>0</v>
      </c>
      <c r="L943">
        <v>381.6</v>
      </c>
      <c r="M943" t="s">
        <v>17</v>
      </c>
    </row>
    <row r="944" spans="1:13">
      <c r="A944" t="s">
        <v>1578</v>
      </c>
      <c r="B944" s="1">
        <v>41527</v>
      </c>
      <c r="C944" s="1">
        <v>41529</v>
      </c>
      <c r="D944" t="s">
        <v>1579</v>
      </c>
      <c r="E944" t="s">
        <v>58</v>
      </c>
      <c r="F944" t="s">
        <v>81</v>
      </c>
      <c r="G944" t="s">
        <v>28</v>
      </c>
      <c r="H944" t="s">
        <v>2659</v>
      </c>
      <c r="I944">
        <v>1859.99999999999</v>
      </c>
      <c r="J944">
        <v>4</v>
      </c>
      <c r="K944">
        <v>0</v>
      </c>
      <c r="L944">
        <v>316.2</v>
      </c>
      <c r="M944" t="s">
        <v>32</v>
      </c>
    </row>
    <row r="945" spans="1:13">
      <c r="A945" t="s">
        <v>1580</v>
      </c>
      <c r="B945" s="1">
        <v>41801</v>
      </c>
      <c r="C945" s="1">
        <v>41807</v>
      </c>
      <c r="D945" t="s">
        <v>177</v>
      </c>
      <c r="F945" t="s">
        <v>106</v>
      </c>
      <c r="G945" t="s">
        <v>16</v>
      </c>
      <c r="H945" t="s">
        <v>2656</v>
      </c>
      <c r="I945">
        <v>2582.16</v>
      </c>
      <c r="J945">
        <v>4</v>
      </c>
      <c r="L945">
        <v>361.44</v>
      </c>
      <c r="M945" t="s">
        <v>17</v>
      </c>
    </row>
    <row r="946" spans="1:13">
      <c r="A946" t="s">
        <v>1581</v>
      </c>
      <c r="B946" s="1">
        <v>41936</v>
      </c>
      <c r="C946" s="1">
        <v>41936</v>
      </c>
      <c r="D946" t="s">
        <v>393</v>
      </c>
      <c r="E946" t="s">
        <v>677</v>
      </c>
      <c r="F946" t="s">
        <v>132</v>
      </c>
      <c r="G946" t="s">
        <v>16</v>
      </c>
      <c r="H946" t="s">
        <v>2655</v>
      </c>
      <c r="I946">
        <v>881.1</v>
      </c>
      <c r="J946">
        <v>5</v>
      </c>
      <c r="K946">
        <v>0</v>
      </c>
      <c r="L946">
        <v>184.95</v>
      </c>
      <c r="M946" t="s">
        <v>32</v>
      </c>
    </row>
    <row r="947" spans="1:13">
      <c r="A947" t="s">
        <v>1582</v>
      </c>
      <c r="B947" s="1">
        <v>41801</v>
      </c>
      <c r="C947" s="1">
        <v>41805</v>
      </c>
      <c r="D947" t="s">
        <v>1011</v>
      </c>
      <c r="E947" t="s">
        <v>62</v>
      </c>
      <c r="F947" t="s">
        <v>98</v>
      </c>
      <c r="G947" t="s">
        <v>16</v>
      </c>
      <c r="H947" t="s">
        <v>2656</v>
      </c>
      <c r="I947" t="s">
        <v>1583</v>
      </c>
      <c r="J947">
        <v>3</v>
      </c>
      <c r="K947">
        <v>0.15</v>
      </c>
      <c r="L947">
        <v>324.38249999999903</v>
      </c>
      <c r="M947" t="s">
        <v>32</v>
      </c>
    </row>
    <row r="948" spans="1:13">
      <c r="A948" t="s">
        <v>206</v>
      </c>
      <c r="B948" s="1">
        <v>41537</v>
      </c>
      <c r="C948" s="1">
        <v>41539</v>
      </c>
      <c r="D948" t="s">
        <v>207</v>
      </c>
      <c r="E948" t="s">
        <v>84</v>
      </c>
      <c r="F948" t="s">
        <v>85</v>
      </c>
      <c r="G948" t="s">
        <v>16</v>
      </c>
      <c r="H948" t="s">
        <v>2656</v>
      </c>
      <c r="I948">
        <v>1677.1859999999999</v>
      </c>
      <c r="J948">
        <v>6</v>
      </c>
      <c r="K948">
        <v>0.1</v>
      </c>
      <c r="L948">
        <v>521.76599999999996</v>
      </c>
      <c r="M948" t="s">
        <v>32</v>
      </c>
    </row>
    <row r="949" spans="1:13">
      <c r="A949" t="s">
        <v>1584</v>
      </c>
      <c r="B949" s="1">
        <v>42139</v>
      </c>
      <c r="C949" s="1">
        <v>42141</v>
      </c>
      <c r="D949" t="s">
        <v>1585</v>
      </c>
      <c r="E949" t="s">
        <v>542</v>
      </c>
      <c r="F949" t="s">
        <v>81</v>
      </c>
      <c r="G949" t="s">
        <v>16</v>
      </c>
      <c r="H949" t="s">
        <v>2656</v>
      </c>
      <c r="I949">
        <v>1001.88</v>
      </c>
      <c r="K949">
        <v>0</v>
      </c>
      <c r="L949">
        <v>230.4</v>
      </c>
      <c r="M949" t="s">
        <v>23</v>
      </c>
    </row>
    <row r="950" spans="1:13">
      <c r="A950" t="s">
        <v>1586</v>
      </c>
      <c r="B950" s="1">
        <v>41690</v>
      </c>
      <c r="C950" s="1">
        <v>41697</v>
      </c>
      <c r="D950" t="s">
        <v>1195</v>
      </c>
      <c r="E950" t="s">
        <v>35</v>
      </c>
      <c r="F950" t="s">
        <v>142</v>
      </c>
      <c r="G950" t="s">
        <v>39</v>
      </c>
      <c r="H950" t="s">
        <v>2662</v>
      </c>
      <c r="I950">
        <v>16.495999999999999</v>
      </c>
      <c r="J950">
        <v>2</v>
      </c>
      <c r="K950">
        <v>0.2</v>
      </c>
      <c r="L950">
        <v>5.5673999999999904</v>
      </c>
      <c r="M950" t="s">
        <v>17</v>
      </c>
    </row>
    <row r="951" spans="1:13">
      <c r="A951" t="s">
        <v>1587</v>
      </c>
      <c r="B951" s="1">
        <v>41252</v>
      </c>
      <c r="C951" s="1">
        <v>41255</v>
      </c>
      <c r="E951" t="s">
        <v>84</v>
      </c>
      <c r="F951" t="s">
        <v>85</v>
      </c>
      <c r="G951" t="s">
        <v>39</v>
      </c>
      <c r="H951" t="s">
        <v>2656</v>
      </c>
      <c r="J951">
        <v>2</v>
      </c>
      <c r="K951">
        <v>0.1</v>
      </c>
      <c r="L951">
        <v>-5.4000000000001998E-2</v>
      </c>
      <c r="M951" t="s">
        <v>396</v>
      </c>
    </row>
    <row r="952" spans="1:13">
      <c r="A952" t="s">
        <v>1588</v>
      </c>
      <c r="B952" s="1">
        <v>41930</v>
      </c>
      <c r="C952" s="1">
        <v>41934</v>
      </c>
      <c r="D952" t="s">
        <v>527</v>
      </c>
      <c r="E952" t="s">
        <v>92</v>
      </c>
      <c r="F952" t="s">
        <v>89</v>
      </c>
      <c r="G952" t="s">
        <v>16</v>
      </c>
      <c r="H952" t="s">
        <v>2662</v>
      </c>
      <c r="I952">
        <v>2120.8000000000002</v>
      </c>
      <c r="J952">
        <v>5</v>
      </c>
      <c r="K952">
        <v>0</v>
      </c>
      <c r="L952">
        <v>275.7</v>
      </c>
      <c r="M952" t="s">
        <v>32</v>
      </c>
    </row>
    <row r="953" spans="1:13">
      <c r="A953" t="s">
        <v>1589</v>
      </c>
      <c r="B953" s="1">
        <v>41972</v>
      </c>
      <c r="C953" s="1">
        <v>41977</v>
      </c>
      <c r="D953" t="s">
        <v>716</v>
      </c>
      <c r="E953" t="s">
        <v>157</v>
      </c>
      <c r="F953" t="s">
        <v>1590</v>
      </c>
      <c r="G953" t="s">
        <v>16</v>
      </c>
      <c r="H953" t="s">
        <v>2661</v>
      </c>
      <c r="I953">
        <v>1531.2</v>
      </c>
      <c r="J953">
        <v>10</v>
      </c>
      <c r="K953">
        <v>0</v>
      </c>
      <c r="L953">
        <v>45.9</v>
      </c>
      <c r="M953" t="s">
        <v>32</v>
      </c>
    </row>
    <row r="954" spans="1:13">
      <c r="A954" t="s">
        <v>1142</v>
      </c>
      <c r="C954" s="1">
        <v>42366</v>
      </c>
      <c r="D954" t="s">
        <v>1143</v>
      </c>
      <c r="E954" t="s">
        <v>1591</v>
      </c>
      <c r="F954" t="s">
        <v>49</v>
      </c>
      <c r="G954" t="s">
        <v>16</v>
      </c>
      <c r="H954" t="s">
        <v>2656</v>
      </c>
      <c r="I954">
        <v>1572.84</v>
      </c>
      <c r="J954">
        <v>6</v>
      </c>
      <c r="K954">
        <v>0</v>
      </c>
      <c r="L954">
        <v>141.47999999999999</v>
      </c>
      <c r="M954" t="s">
        <v>32</v>
      </c>
    </row>
    <row r="955" spans="1:13">
      <c r="A955" t="s">
        <v>1592</v>
      </c>
      <c r="B955" s="1">
        <v>41310</v>
      </c>
      <c r="C955" s="1">
        <v>41315</v>
      </c>
      <c r="D955" t="s">
        <v>1593</v>
      </c>
      <c r="E955" t="s">
        <v>105</v>
      </c>
      <c r="F955" t="s">
        <v>106</v>
      </c>
      <c r="G955" t="s">
        <v>28</v>
      </c>
      <c r="H955" t="s">
        <v>2656</v>
      </c>
      <c r="I955">
        <v>1236.33</v>
      </c>
      <c r="J955">
        <v>3</v>
      </c>
      <c r="K955" t="s">
        <v>215</v>
      </c>
      <c r="L955">
        <v>519.21</v>
      </c>
      <c r="M955" t="s">
        <v>32</v>
      </c>
    </row>
    <row r="956" spans="1:13">
      <c r="A956" t="s">
        <v>1517</v>
      </c>
      <c r="B956" s="1">
        <v>41615</v>
      </c>
      <c r="C956" s="1">
        <v>41617</v>
      </c>
      <c r="D956" t="s">
        <v>1195</v>
      </c>
      <c r="E956" t="s">
        <v>35</v>
      </c>
      <c r="F956" t="s">
        <v>102</v>
      </c>
      <c r="G956" t="s">
        <v>39</v>
      </c>
      <c r="H956" t="s">
        <v>2657</v>
      </c>
      <c r="I956">
        <v>6.6879999999999997</v>
      </c>
      <c r="J956">
        <v>2</v>
      </c>
      <c r="K956">
        <v>0.2</v>
      </c>
      <c r="L956">
        <v>2.34079999999999</v>
      </c>
      <c r="M956" t="s">
        <v>17</v>
      </c>
    </row>
    <row r="957" spans="1:13">
      <c r="A957" t="s">
        <v>145</v>
      </c>
      <c r="B957" s="1">
        <v>42244</v>
      </c>
      <c r="C957" s="1">
        <v>42245</v>
      </c>
      <c r="D957" t="s">
        <v>146</v>
      </c>
      <c r="E957" t="s">
        <v>58</v>
      </c>
      <c r="F957" t="s">
        <v>59</v>
      </c>
      <c r="G957" t="s">
        <v>16</v>
      </c>
      <c r="H957" t="s">
        <v>2663</v>
      </c>
      <c r="I957">
        <v>759.66</v>
      </c>
      <c r="J957">
        <v>2</v>
      </c>
      <c r="K957">
        <v>0</v>
      </c>
      <c r="L957">
        <v>311.45999999999998</v>
      </c>
      <c r="M957" t="s">
        <v>32</v>
      </c>
    </row>
    <row r="958" spans="1:13">
      <c r="A958" t="s">
        <v>1594</v>
      </c>
      <c r="B958" s="1">
        <v>41679</v>
      </c>
      <c r="C958" s="1">
        <v>41685</v>
      </c>
      <c r="D958" t="s">
        <v>305</v>
      </c>
      <c r="E958" t="s">
        <v>14</v>
      </c>
      <c r="F958" t="s">
        <v>15</v>
      </c>
      <c r="G958" t="s">
        <v>28</v>
      </c>
      <c r="H958" t="s">
        <v>2656</v>
      </c>
      <c r="I958">
        <v>2951.991</v>
      </c>
      <c r="J958">
        <v>9</v>
      </c>
      <c r="K958">
        <v>0.3</v>
      </c>
      <c r="L958">
        <v>-632.79899999999895</v>
      </c>
      <c r="M958" t="s">
        <v>17</v>
      </c>
    </row>
    <row r="959" spans="1:13">
      <c r="A959" t="s">
        <v>1549</v>
      </c>
      <c r="B959" s="1">
        <v>42072</v>
      </c>
      <c r="C959" s="1">
        <v>42079</v>
      </c>
      <c r="D959" t="s">
        <v>1195</v>
      </c>
      <c r="E959" t="s">
        <v>35</v>
      </c>
      <c r="F959" t="s">
        <v>38</v>
      </c>
      <c r="G959" t="s">
        <v>39</v>
      </c>
      <c r="H959" t="s">
        <v>2657</v>
      </c>
      <c r="I959">
        <v>3.36</v>
      </c>
      <c r="J959">
        <v>2</v>
      </c>
      <c r="K959">
        <v>0</v>
      </c>
      <c r="L959">
        <v>0.87360000000000004</v>
      </c>
      <c r="M959" t="s">
        <v>17</v>
      </c>
    </row>
    <row r="960" spans="1:13">
      <c r="A960" t="s">
        <v>1595</v>
      </c>
      <c r="B960" s="1">
        <v>41040</v>
      </c>
      <c r="C960" s="1">
        <v>41042</v>
      </c>
      <c r="D960" t="s">
        <v>326</v>
      </c>
      <c r="E960" t="s">
        <v>62</v>
      </c>
      <c r="F960" t="s">
        <v>63</v>
      </c>
      <c r="G960" t="s">
        <v>28</v>
      </c>
      <c r="H960" t="s">
        <v>2658</v>
      </c>
      <c r="I960">
        <v>627.27599999999995</v>
      </c>
      <c r="J960">
        <v>2</v>
      </c>
      <c r="K960">
        <v>0.35</v>
      </c>
      <c r="L960">
        <v>-135.14399999999901</v>
      </c>
      <c r="M960" t="s">
        <v>23</v>
      </c>
    </row>
    <row r="961" spans="1:13">
      <c r="A961" t="s">
        <v>1596</v>
      </c>
      <c r="B961" s="1">
        <v>41199</v>
      </c>
      <c r="C961" s="1">
        <v>41201</v>
      </c>
      <c r="D961" t="s">
        <v>1597</v>
      </c>
      <c r="E961" t="s">
        <v>322</v>
      </c>
      <c r="F961" t="s">
        <v>142</v>
      </c>
      <c r="G961" t="s">
        <v>16</v>
      </c>
      <c r="H961" t="s">
        <v>2655</v>
      </c>
      <c r="I961">
        <v>1394.95</v>
      </c>
      <c r="J961">
        <v>5</v>
      </c>
      <c r="K961">
        <v>0</v>
      </c>
      <c r="M961" t="s">
        <v>17</v>
      </c>
    </row>
    <row r="962" spans="1:13">
      <c r="A962" t="s">
        <v>1598</v>
      </c>
      <c r="B962" s="1">
        <v>41863</v>
      </c>
      <c r="C962" s="1">
        <v>41865</v>
      </c>
      <c r="D962" t="s">
        <v>1599</v>
      </c>
      <c r="E962" t="s">
        <v>893</v>
      </c>
      <c r="F962" t="s">
        <v>68</v>
      </c>
      <c r="G962" t="s">
        <v>16</v>
      </c>
      <c r="H962" t="s">
        <v>2658</v>
      </c>
      <c r="I962">
        <v>553.91999999999996</v>
      </c>
      <c r="J962">
        <v>4</v>
      </c>
      <c r="K962" t="s">
        <v>215</v>
      </c>
      <c r="L962">
        <v>22.08</v>
      </c>
      <c r="M962" t="s">
        <v>23</v>
      </c>
    </row>
    <row r="963" spans="1:13">
      <c r="A963" t="s">
        <v>1600</v>
      </c>
      <c r="B963" s="1">
        <v>42179</v>
      </c>
      <c r="C963" s="1">
        <v>42185</v>
      </c>
      <c r="D963" t="s">
        <v>616</v>
      </c>
      <c r="E963" t="s">
        <v>20</v>
      </c>
      <c r="F963" t="s">
        <v>63</v>
      </c>
      <c r="G963" t="s">
        <v>16</v>
      </c>
      <c r="H963" t="s">
        <v>2665</v>
      </c>
      <c r="I963">
        <v>3873.24</v>
      </c>
      <c r="J963">
        <v>6</v>
      </c>
      <c r="K963">
        <v>0</v>
      </c>
      <c r="L963">
        <v>890.81999999999903</v>
      </c>
      <c r="M963" t="s">
        <v>17</v>
      </c>
    </row>
    <row r="964" spans="1:13">
      <c r="A964" t="s">
        <v>1601</v>
      </c>
      <c r="B964" s="1">
        <v>42035</v>
      </c>
      <c r="C964" s="1">
        <v>42036</v>
      </c>
      <c r="D964" t="s">
        <v>109</v>
      </c>
      <c r="E964" t="s">
        <v>58</v>
      </c>
      <c r="F964" t="s">
        <v>81</v>
      </c>
      <c r="G964" t="s">
        <v>16</v>
      </c>
      <c r="H964" t="s">
        <v>2656</v>
      </c>
      <c r="I964">
        <v>791.19</v>
      </c>
      <c r="J964">
        <v>3</v>
      </c>
      <c r="K964">
        <v>0</v>
      </c>
      <c r="L964">
        <v>126.539999999999</v>
      </c>
      <c r="M964" t="s">
        <v>23</v>
      </c>
    </row>
    <row r="965" spans="1:13">
      <c r="A965" t="s">
        <v>1602</v>
      </c>
      <c r="B965" s="1">
        <v>42150</v>
      </c>
      <c r="C965" s="1">
        <v>42154</v>
      </c>
      <c r="E965" t="s">
        <v>58</v>
      </c>
      <c r="F965" t="s">
        <v>81</v>
      </c>
      <c r="G965" t="s">
        <v>28</v>
      </c>
      <c r="H965" t="s">
        <v>2656</v>
      </c>
      <c r="I965">
        <v>2470.5</v>
      </c>
      <c r="J965">
        <v>6</v>
      </c>
      <c r="K965">
        <v>0</v>
      </c>
      <c r="L965">
        <v>518.76</v>
      </c>
      <c r="M965" t="s">
        <v>17</v>
      </c>
    </row>
    <row r="966" spans="1:13">
      <c r="A966" t="s">
        <v>1603</v>
      </c>
      <c r="B966" s="1">
        <v>41207</v>
      </c>
      <c r="C966" s="1">
        <v>41209</v>
      </c>
      <c r="D966" t="s">
        <v>1423</v>
      </c>
      <c r="E966" t="s">
        <v>88</v>
      </c>
      <c r="F966" t="s">
        <v>89</v>
      </c>
      <c r="G966" t="s">
        <v>16</v>
      </c>
      <c r="H966" t="s">
        <v>2657</v>
      </c>
      <c r="I966">
        <v>2120.6999999999998</v>
      </c>
      <c r="K966">
        <v>0</v>
      </c>
      <c r="L966">
        <v>63.6</v>
      </c>
      <c r="M966" t="s">
        <v>32</v>
      </c>
    </row>
    <row r="967" spans="1:13">
      <c r="A967" t="s">
        <v>1604</v>
      </c>
      <c r="B967" s="1">
        <v>42032</v>
      </c>
      <c r="C967" s="1">
        <v>42034</v>
      </c>
      <c r="D967" t="s">
        <v>1605</v>
      </c>
      <c r="E967" t="s">
        <v>589</v>
      </c>
      <c r="F967" t="s">
        <v>15</v>
      </c>
      <c r="G967" t="s">
        <v>28</v>
      </c>
      <c r="H967" t="s">
        <v>2663</v>
      </c>
      <c r="I967" t="s">
        <v>1606</v>
      </c>
      <c r="J967">
        <v>6</v>
      </c>
      <c r="K967">
        <v>0</v>
      </c>
      <c r="L967">
        <v>15.12</v>
      </c>
      <c r="M967" t="s">
        <v>23</v>
      </c>
    </row>
    <row r="968" spans="1:13">
      <c r="A968" t="s">
        <v>1607</v>
      </c>
      <c r="B968" s="1">
        <v>41781</v>
      </c>
      <c r="C968" s="1">
        <v>41783</v>
      </c>
      <c r="E968" t="s">
        <v>58</v>
      </c>
      <c r="F968" t="s">
        <v>81</v>
      </c>
      <c r="G968" t="s">
        <v>39</v>
      </c>
      <c r="H968" t="s">
        <v>2656</v>
      </c>
      <c r="I968">
        <v>1581.03</v>
      </c>
      <c r="J968">
        <v>3</v>
      </c>
      <c r="K968">
        <v>0</v>
      </c>
      <c r="L968">
        <v>790.47</v>
      </c>
      <c r="M968" t="s">
        <v>23</v>
      </c>
    </row>
    <row r="969" spans="1:13">
      <c r="A969" t="s">
        <v>1608</v>
      </c>
      <c r="B969" s="1">
        <v>41132</v>
      </c>
      <c r="C969" s="1">
        <v>41135</v>
      </c>
      <c r="D969" t="s">
        <v>1609</v>
      </c>
      <c r="E969" t="s">
        <v>730</v>
      </c>
      <c r="F969" t="s">
        <v>132</v>
      </c>
      <c r="G969" t="s">
        <v>16</v>
      </c>
      <c r="H969" t="s">
        <v>2663</v>
      </c>
      <c r="I969">
        <v>1161.1971000000001</v>
      </c>
      <c r="J969">
        <v>7</v>
      </c>
      <c r="K969">
        <v>0.37</v>
      </c>
      <c r="L969">
        <v>-147.52289999999999</v>
      </c>
      <c r="M969" t="s">
        <v>32</v>
      </c>
    </row>
    <row r="970" spans="1:13">
      <c r="A970" t="s">
        <v>1610</v>
      </c>
      <c r="B970" s="1">
        <v>41031</v>
      </c>
      <c r="C970" s="1">
        <v>41033</v>
      </c>
      <c r="D970" t="s">
        <v>1611</v>
      </c>
      <c r="E970" t="s">
        <v>74</v>
      </c>
      <c r="F970" t="s">
        <v>75</v>
      </c>
      <c r="G970" t="s">
        <v>16</v>
      </c>
      <c r="H970" t="s">
        <v>2661</v>
      </c>
      <c r="I970">
        <v>642.719999999999</v>
      </c>
      <c r="J970">
        <v>2</v>
      </c>
      <c r="K970">
        <v>0</v>
      </c>
      <c r="L970">
        <v>224.94</v>
      </c>
      <c r="M970" t="s">
        <v>23</v>
      </c>
    </row>
    <row r="971" spans="1:13">
      <c r="A971" t="s">
        <v>1612</v>
      </c>
      <c r="B971" s="1">
        <v>41877</v>
      </c>
      <c r="C971" s="1">
        <v>41878</v>
      </c>
      <c r="D971" t="s">
        <v>1613</v>
      </c>
      <c r="E971" t="s">
        <v>88</v>
      </c>
      <c r="F971" t="s">
        <v>89</v>
      </c>
      <c r="G971" t="s">
        <v>16</v>
      </c>
      <c r="H971" t="s">
        <v>2657</v>
      </c>
      <c r="I971">
        <v>1308.48</v>
      </c>
      <c r="J971">
        <v>3</v>
      </c>
      <c r="K971">
        <v>0</v>
      </c>
      <c r="L971">
        <v>13.08</v>
      </c>
      <c r="M971" t="s">
        <v>773</v>
      </c>
    </row>
    <row r="972" spans="1:13">
      <c r="A972" t="s">
        <v>1614</v>
      </c>
      <c r="B972" s="1">
        <v>41284</v>
      </c>
      <c r="C972" s="1">
        <v>41554</v>
      </c>
      <c r="D972" t="s">
        <v>620</v>
      </c>
      <c r="E972" t="s">
        <v>105</v>
      </c>
      <c r="F972" t="s">
        <v>106</v>
      </c>
      <c r="G972" t="s">
        <v>28</v>
      </c>
      <c r="H972" t="s">
        <v>2657</v>
      </c>
      <c r="I972">
        <v>3547.44</v>
      </c>
      <c r="J972">
        <v>8</v>
      </c>
      <c r="K972">
        <v>0</v>
      </c>
      <c r="L972">
        <v>780.24</v>
      </c>
      <c r="M972" t="s">
        <v>17</v>
      </c>
    </row>
    <row r="973" spans="1:13">
      <c r="A973" t="s">
        <v>1615</v>
      </c>
      <c r="B973" s="1">
        <v>41815</v>
      </c>
      <c r="C973" s="1">
        <v>41816</v>
      </c>
      <c r="D973" t="s">
        <v>1052</v>
      </c>
      <c r="E973" t="s">
        <v>58</v>
      </c>
      <c r="F973" t="s">
        <v>81</v>
      </c>
      <c r="G973" t="s">
        <v>28</v>
      </c>
      <c r="H973" t="s">
        <v>2656</v>
      </c>
      <c r="I973">
        <v>724.8</v>
      </c>
      <c r="K973">
        <v>0</v>
      </c>
      <c r="L973" t="s">
        <v>1616</v>
      </c>
      <c r="M973" t="s">
        <v>32</v>
      </c>
    </row>
    <row r="974" spans="1:13">
      <c r="A974" t="s">
        <v>1617</v>
      </c>
      <c r="B974" s="1">
        <v>42265</v>
      </c>
      <c r="C974" s="1">
        <v>42269</v>
      </c>
      <c r="D974" t="s">
        <v>196</v>
      </c>
      <c r="F974" t="s">
        <v>234</v>
      </c>
      <c r="G974" t="s">
        <v>28</v>
      </c>
      <c r="H974" t="s">
        <v>2658</v>
      </c>
      <c r="I974">
        <v>1292.94</v>
      </c>
      <c r="J974">
        <v>3</v>
      </c>
      <c r="K974">
        <v>0</v>
      </c>
      <c r="L974">
        <v>77.576399999999893</v>
      </c>
      <c r="M974" t="s">
        <v>17</v>
      </c>
    </row>
    <row r="975" spans="1:13">
      <c r="A975" t="s">
        <v>1618</v>
      </c>
      <c r="B975" s="1">
        <v>42115</v>
      </c>
      <c r="C975" s="1">
        <v>42118</v>
      </c>
      <c r="E975" t="s">
        <v>1619</v>
      </c>
      <c r="F975" t="s">
        <v>53</v>
      </c>
      <c r="G975" t="s">
        <v>28</v>
      </c>
      <c r="H975" t="s">
        <v>2663</v>
      </c>
      <c r="I975">
        <v>803.52</v>
      </c>
      <c r="J975">
        <v>9</v>
      </c>
      <c r="K975">
        <v>0</v>
      </c>
      <c r="L975">
        <v>80.28</v>
      </c>
      <c r="M975" t="s">
        <v>32</v>
      </c>
    </row>
    <row r="976" spans="1:13">
      <c r="A976" t="s">
        <v>1596</v>
      </c>
      <c r="B976" s="1">
        <v>41199</v>
      </c>
      <c r="C976" s="1">
        <v>41201</v>
      </c>
      <c r="E976" t="s">
        <v>35</v>
      </c>
      <c r="F976" t="s">
        <v>142</v>
      </c>
      <c r="G976" t="s">
        <v>39</v>
      </c>
      <c r="H976" t="s">
        <v>2655</v>
      </c>
      <c r="I976">
        <v>275.969999999999</v>
      </c>
      <c r="J976">
        <v>3</v>
      </c>
      <c r="K976">
        <v>0</v>
      </c>
      <c r="L976">
        <v>11.038799999999901</v>
      </c>
      <c r="M976" t="s">
        <v>17</v>
      </c>
    </row>
    <row r="977" spans="1:13">
      <c r="A977" t="s">
        <v>1620</v>
      </c>
      <c r="B977" s="1">
        <v>42091</v>
      </c>
      <c r="C977" s="1">
        <v>42093</v>
      </c>
      <c r="D977" t="s">
        <v>1373</v>
      </c>
      <c r="E977" t="s">
        <v>88</v>
      </c>
      <c r="F977" t="s">
        <v>89</v>
      </c>
      <c r="G977" t="s">
        <v>28</v>
      </c>
      <c r="H977" t="s">
        <v>2655</v>
      </c>
      <c r="I977">
        <v>1011.69599999999</v>
      </c>
      <c r="J977">
        <v>7</v>
      </c>
      <c r="K977" t="s">
        <v>472</v>
      </c>
      <c r="L977">
        <v>126.335999999999</v>
      </c>
      <c r="M977" t="s">
        <v>32</v>
      </c>
    </row>
    <row r="978" spans="1:13">
      <c r="A978" t="s">
        <v>1621</v>
      </c>
      <c r="B978" s="1">
        <v>42255</v>
      </c>
      <c r="C978" s="1">
        <v>42259</v>
      </c>
      <c r="D978" t="s">
        <v>1622</v>
      </c>
      <c r="E978" t="s">
        <v>558</v>
      </c>
      <c r="F978" t="s">
        <v>1067</v>
      </c>
      <c r="G978" t="s">
        <v>28</v>
      </c>
      <c r="H978" t="s">
        <v>2657</v>
      </c>
      <c r="I978">
        <v>2419.1999999999998</v>
      </c>
      <c r="J978">
        <v>7</v>
      </c>
      <c r="K978">
        <v>0</v>
      </c>
      <c r="L978">
        <v>411.18</v>
      </c>
      <c r="M978" t="s">
        <v>32</v>
      </c>
    </row>
    <row r="979" spans="1:13">
      <c r="A979" t="s">
        <v>1623</v>
      </c>
      <c r="B979" t="s">
        <v>1624</v>
      </c>
      <c r="C979" s="1">
        <v>41963</v>
      </c>
      <c r="D979" t="s">
        <v>733</v>
      </c>
      <c r="E979" t="s">
        <v>110</v>
      </c>
      <c r="F979" t="s">
        <v>111</v>
      </c>
      <c r="G979" t="s">
        <v>39</v>
      </c>
      <c r="H979" t="s">
        <v>2658</v>
      </c>
      <c r="I979">
        <v>803.04</v>
      </c>
      <c r="J979">
        <v>5</v>
      </c>
      <c r="L979">
        <v>180.64</v>
      </c>
      <c r="M979" t="s">
        <v>32</v>
      </c>
    </row>
    <row r="980" spans="1:13">
      <c r="A980" t="s">
        <v>1625</v>
      </c>
      <c r="B980" s="1">
        <v>42294</v>
      </c>
      <c r="C980" s="1">
        <v>42297</v>
      </c>
      <c r="D980" t="s">
        <v>956</v>
      </c>
      <c r="E980" t="s">
        <v>1626</v>
      </c>
      <c r="F980" t="s">
        <v>111</v>
      </c>
      <c r="G980" t="s">
        <v>28</v>
      </c>
      <c r="H980" t="s">
        <v>2658</v>
      </c>
      <c r="I980">
        <v>1773.71999999999</v>
      </c>
      <c r="J980">
        <v>6</v>
      </c>
      <c r="K980">
        <v>0</v>
      </c>
      <c r="L980">
        <v>212.76</v>
      </c>
      <c r="M980" t="s">
        <v>32</v>
      </c>
    </row>
    <row r="981" spans="1:13">
      <c r="A981" t="s">
        <v>1627</v>
      </c>
      <c r="B981" s="1">
        <v>41340</v>
      </c>
      <c r="C981" s="1">
        <v>41345</v>
      </c>
      <c r="D981" t="s">
        <v>349</v>
      </c>
      <c r="E981" t="s">
        <v>84</v>
      </c>
      <c r="F981" t="s">
        <v>85</v>
      </c>
      <c r="G981" t="s">
        <v>16</v>
      </c>
      <c r="H981" t="s">
        <v>2661</v>
      </c>
      <c r="I981">
        <v>1893.3</v>
      </c>
      <c r="J981">
        <v>5</v>
      </c>
      <c r="K981">
        <v>0</v>
      </c>
      <c r="L981">
        <v>927.6</v>
      </c>
      <c r="M981" t="s">
        <v>17</v>
      </c>
    </row>
    <row r="982" spans="1:13">
      <c r="A982" t="s">
        <v>1000</v>
      </c>
      <c r="B982" s="1">
        <v>42110</v>
      </c>
      <c r="F982" t="s">
        <v>85</v>
      </c>
      <c r="G982" t="s">
        <v>16</v>
      </c>
      <c r="H982" t="s">
        <v>2658</v>
      </c>
      <c r="I982">
        <v>777.24</v>
      </c>
      <c r="J982" t="s">
        <v>1044</v>
      </c>
      <c r="K982">
        <v>0</v>
      </c>
      <c r="L982">
        <v>170.88</v>
      </c>
      <c r="M982" t="s">
        <v>396</v>
      </c>
    </row>
    <row r="983" spans="1:13">
      <c r="A983" t="s">
        <v>1628</v>
      </c>
      <c r="C983" s="1">
        <v>41445</v>
      </c>
      <c r="D983" t="s">
        <v>1629</v>
      </c>
      <c r="E983" t="s">
        <v>14</v>
      </c>
      <c r="F983" t="s">
        <v>768</v>
      </c>
      <c r="G983" t="s">
        <v>39</v>
      </c>
      <c r="H983" t="s">
        <v>2657</v>
      </c>
      <c r="I983">
        <v>689.09399999999903</v>
      </c>
      <c r="J983">
        <v>14</v>
      </c>
      <c r="K983">
        <v>0.1</v>
      </c>
      <c r="L983">
        <v>-53.885999999999903</v>
      </c>
      <c r="M983" t="s">
        <v>23</v>
      </c>
    </row>
    <row r="984" spans="1:13">
      <c r="A984" t="s">
        <v>752</v>
      </c>
      <c r="B984" s="1">
        <v>41103</v>
      </c>
      <c r="C984" s="1">
        <v>41104</v>
      </c>
      <c r="D984" t="s">
        <v>753</v>
      </c>
      <c r="E984" t="s">
        <v>84</v>
      </c>
      <c r="F984" t="s">
        <v>85</v>
      </c>
      <c r="G984" t="s">
        <v>16</v>
      </c>
      <c r="H984" t="s">
        <v>2657</v>
      </c>
      <c r="I984">
        <v>737.91</v>
      </c>
      <c r="J984">
        <v>6</v>
      </c>
      <c r="K984">
        <v>0.1</v>
      </c>
      <c r="L984">
        <v>-8.3699999999999992</v>
      </c>
      <c r="M984" t="s">
        <v>23</v>
      </c>
    </row>
    <row r="985" spans="1:13">
      <c r="A985" t="s">
        <v>1630</v>
      </c>
      <c r="B985" s="1">
        <v>41789</v>
      </c>
      <c r="C985" s="1">
        <v>41794</v>
      </c>
      <c r="D985" t="s">
        <v>1631</v>
      </c>
      <c r="E985" t="s">
        <v>20</v>
      </c>
      <c r="F985" t="s">
        <v>63</v>
      </c>
      <c r="G985" t="s">
        <v>16</v>
      </c>
      <c r="H985" t="s">
        <v>2664</v>
      </c>
      <c r="I985">
        <v>2570.7599999999902</v>
      </c>
      <c r="J985">
        <v>4</v>
      </c>
      <c r="K985">
        <v>0</v>
      </c>
      <c r="L985">
        <v>976.8</v>
      </c>
      <c r="M985" t="s">
        <v>17</v>
      </c>
    </row>
    <row r="986" spans="1:13">
      <c r="A986" t="s">
        <v>1632</v>
      </c>
      <c r="B986" s="1">
        <v>41807</v>
      </c>
      <c r="C986" s="1">
        <v>41810</v>
      </c>
      <c r="D986" t="s">
        <v>465</v>
      </c>
      <c r="E986" t="s">
        <v>84</v>
      </c>
      <c r="F986" t="s">
        <v>85</v>
      </c>
      <c r="G986" t="s">
        <v>16</v>
      </c>
      <c r="H986" t="s">
        <v>2656</v>
      </c>
      <c r="I986">
        <v>1199.76</v>
      </c>
      <c r="J986">
        <v>4</v>
      </c>
      <c r="K986">
        <v>0</v>
      </c>
      <c r="L986">
        <v>479.88</v>
      </c>
      <c r="M986" t="s">
        <v>17</v>
      </c>
    </row>
    <row r="987" spans="1:13">
      <c r="C987" s="1">
        <v>42092</v>
      </c>
      <c r="D987" t="s">
        <v>1633</v>
      </c>
      <c r="E987" t="s">
        <v>58</v>
      </c>
      <c r="F987" t="s">
        <v>81</v>
      </c>
      <c r="G987" t="s">
        <v>16</v>
      </c>
      <c r="H987" t="s">
        <v>2656</v>
      </c>
      <c r="I987">
        <v>3216.24</v>
      </c>
      <c r="J987">
        <v>9</v>
      </c>
      <c r="K987">
        <v>0</v>
      </c>
      <c r="L987">
        <v>96.389999999999901</v>
      </c>
      <c r="M987" t="s">
        <v>32</v>
      </c>
    </row>
    <row r="988" spans="1:13">
      <c r="A988" t="s">
        <v>1634</v>
      </c>
      <c r="B988" s="1">
        <v>41166</v>
      </c>
      <c r="C988" s="1">
        <v>41168</v>
      </c>
      <c r="D988" t="s">
        <v>1490</v>
      </c>
      <c r="E988" t="s">
        <v>52</v>
      </c>
      <c r="F988" t="s">
        <v>53</v>
      </c>
      <c r="G988" t="s">
        <v>28</v>
      </c>
      <c r="H988" t="s">
        <v>2657</v>
      </c>
      <c r="I988">
        <v>1274.24</v>
      </c>
      <c r="J988" t="s">
        <v>55</v>
      </c>
      <c r="L988">
        <v>-127.46</v>
      </c>
      <c r="M988" t="s">
        <v>32</v>
      </c>
    </row>
    <row r="989" spans="1:13">
      <c r="A989" t="s">
        <v>1635</v>
      </c>
      <c r="B989" s="1">
        <v>41537</v>
      </c>
      <c r="C989" s="1">
        <v>41542</v>
      </c>
      <c r="D989" t="s">
        <v>1414</v>
      </c>
      <c r="E989" t="s">
        <v>707</v>
      </c>
      <c r="F989" t="s">
        <v>404</v>
      </c>
      <c r="G989" t="s">
        <v>39</v>
      </c>
      <c r="H989" t="s">
        <v>2657</v>
      </c>
      <c r="I989">
        <v>2145.7199999999998</v>
      </c>
      <c r="J989">
        <v>4</v>
      </c>
      <c r="K989">
        <v>0</v>
      </c>
      <c r="L989">
        <v>364.68</v>
      </c>
      <c r="M989" t="s">
        <v>17</v>
      </c>
    </row>
    <row r="990" spans="1:13">
      <c r="A990" t="s">
        <v>1596</v>
      </c>
      <c r="B990" s="1">
        <v>41199</v>
      </c>
      <c r="C990" s="1">
        <v>41201</v>
      </c>
      <c r="D990" t="s">
        <v>196</v>
      </c>
      <c r="E990" t="s">
        <v>35</v>
      </c>
      <c r="F990" t="s">
        <v>142</v>
      </c>
      <c r="G990" t="s">
        <v>28</v>
      </c>
      <c r="H990" t="s">
        <v>2658</v>
      </c>
      <c r="J990">
        <v>6</v>
      </c>
      <c r="K990">
        <v>0</v>
      </c>
      <c r="L990">
        <v>70.964399999999898</v>
      </c>
      <c r="M990" t="s">
        <v>17</v>
      </c>
    </row>
    <row r="991" spans="1:13">
      <c r="A991" t="s">
        <v>93</v>
      </c>
      <c r="B991" s="1">
        <v>41259</v>
      </c>
      <c r="C991" s="1">
        <v>41262</v>
      </c>
      <c r="D991" t="s">
        <v>94</v>
      </c>
      <c r="E991" t="s">
        <v>1636</v>
      </c>
      <c r="F991" t="s">
        <v>81</v>
      </c>
      <c r="G991" t="s">
        <v>28</v>
      </c>
      <c r="H991" t="s">
        <v>2661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1617</v>
      </c>
      <c r="B992" s="1">
        <v>42265</v>
      </c>
      <c r="C992" s="1">
        <v>42269</v>
      </c>
      <c r="D992" t="s">
        <v>196</v>
      </c>
      <c r="E992" t="s">
        <v>35</v>
      </c>
      <c r="F992" t="s">
        <v>38</v>
      </c>
      <c r="G992" t="s">
        <v>39</v>
      </c>
      <c r="H992" t="s">
        <v>2659</v>
      </c>
      <c r="I992">
        <v>164.88</v>
      </c>
      <c r="J992">
        <v>3</v>
      </c>
      <c r="K992">
        <v>0</v>
      </c>
      <c r="L992">
        <v>446.49793718379902</v>
      </c>
      <c r="M992" t="s">
        <v>17</v>
      </c>
    </row>
    <row r="993" spans="1:13">
      <c r="A993" t="s">
        <v>1637</v>
      </c>
      <c r="B993" s="1">
        <v>41141</v>
      </c>
      <c r="C993" s="1">
        <v>41141</v>
      </c>
      <c r="D993" t="s">
        <v>1638</v>
      </c>
      <c r="E993" t="s">
        <v>62</v>
      </c>
      <c r="F993" t="s">
        <v>63</v>
      </c>
      <c r="G993" t="s">
        <v>39</v>
      </c>
      <c r="H993" t="s">
        <v>2655</v>
      </c>
      <c r="I993">
        <v>895.05</v>
      </c>
      <c r="J993">
        <v>5</v>
      </c>
      <c r="K993">
        <v>0.1</v>
      </c>
      <c r="L993">
        <v>178.95</v>
      </c>
      <c r="M993" t="s">
        <v>32</v>
      </c>
    </row>
    <row r="994" spans="1:13">
      <c r="A994" t="s">
        <v>1639</v>
      </c>
      <c r="B994" s="1">
        <v>41541</v>
      </c>
      <c r="C994" s="2">
        <v>41545</v>
      </c>
      <c r="D994" t="s">
        <v>305</v>
      </c>
      <c r="E994" t="s">
        <v>1640</v>
      </c>
      <c r="F994" t="s">
        <v>1641</v>
      </c>
      <c r="G994" t="s">
        <v>16</v>
      </c>
      <c r="H994" t="s">
        <v>2659</v>
      </c>
      <c r="I994">
        <v>1570.1759999999999</v>
      </c>
      <c r="J994">
        <v>4</v>
      </c>
      <c r="K994">
        <v>0.4</v>
      </c>
      <c r="M994" t="s">
        <v>32</v>
      </c>
    </row>
    <row r="995" spans="1:13">
      <c r="A995" t="s">
        <v>1642</v>
      </c>
      <c r="B995" s="1">
        <v>42095</v>
      </c>
      <c r="C995" s="1">
        <v>42099</v>
      </c>
      <c r="D995" t="s">
        <v>1193</v>
      </c>
      <c r="E995" t="s">
        <v>58</v>
      </c>
      <c r="F995" t="s">
        <v>81</v>
      </c>
      <c r="G995" t="s">
        <v>28</v>
      </c>
      <c r="H995" t="s">
        <v>2664</v>
      </c>
      <c r="I995">
        <v>2614.6889999999898</v>
      </c>
      <c r="J995">
        <v>7</v>
      </c>
      <c r="K995">
        <v>0.3</v>
      </c>
      <c r="L995">
        <v>-821.96099999999899</v>
      </c>
      <c r="M995" t="s">
        <v>17</v>
      </c>
    </row>
    <row r="996" spans="1:13">
      <c r="A996" t="s">
        <v>1643</v>
      </c>
      <c r="B996" s="1">
        <v>42347</v>
      </c>
      <c r="C996" s="1">
        <v>42351</v>
      </c>
      <c r="D996" t="s">
        <v>196</v>
      </c>
      <c r="F996" t="s">
        <v>38</v>
      </c>
      <c r="H996" t="s">
        <v>2656</v>
      </c>
      <c r="I996">
        <v>69.48</v>
      </c>
      <c r="J996">
        <v>1</v>
      </c>
      <c r="K996">
        <v>0</v>
      </c>
      <c r="L996">
        <v>20.843999999999902</v>
      </c>
      <c r="M996" t="s">
        <v>32</v>
      </c>
    </row>
    <row r="997" spans="1:13">
      <c r="A997" t="s">
        <v>1118</v>
      </c>
      <c r="B997" s="1">
        <v>41929</v>
      </c>
      <c r="C997" s="1">
        <v>41931</v>
      </c>
      <c r="D997" t="s">
        <v>1119</v>
      </c>
      <c r="E997" t="s">
        <v>27</v>
      </c>
      <c r="F997" t="s">
        <v>15</v>
      </c>
      <c r="G997" t="s">
        <v>16</v>
      </c>
      <c r="H997" t="s">
        <v>2658</v>
      </c>
      <c r="I997">
        <v>636.78</v>
      </c>
      <c r="J997">
        <v>2</v>
      </c>
      <c r="K997">
        <v>0</v>
      </c>
      <c r="L997">
        <v>286.5</v>
      </c>
      <c r="M997" t="s">
        <v>23</v>
      </c>
    </row>
    <row r="998" spans="1:13">
      <c r="A998" t="s">
        <v>1644</v>
      </c>
      <c r="B998" t="s">
        <v>1645</v>
      </c>
      <c r="C998" s="1">
        <v>41665</v>
      </c>
      <c r="D998" t="s">
        <v>962</v>
      </c>
      <c r="E998" t="s">
        <v>52</v>
      </c>
      <c r="F998" t="s">
        <v>1646</v>
      </c>
      <c r="G998" t="s">
        <v>28</v>
      </c>
      <c r="H998" t="s">
        <v>2661</v>
      </c>
      <c r="I998" t="s">
        <v>1647</v>
      </c>
      <c r="J998">
        <v>10</v>
      </c>
      <c r="L998">
        <v>110</v>
      </c>
      <c r="M998" t="s">
        <v>17</v>
      </c>
    </row>
    <row r="999" spans="1:13">
      <c r="A999" t="s">
        <v>1648</v>
      </c>
      <c r="B999" s="1">
        <v>42348</v>
      </c>
      <c r="C999" s="1">
        <v>42352</v>
      </c>
      <c r="D999" t="s">
        <v>1218</v>
      </c>
      <c r="E999" t="s">
        <v>310</v>
      </c>
      <c r="F999" t="s">
        <v>132</v>
      </c>
      <c r="G999" t="s">
        <v>16</v>
      </c>
      <c r="H999" t="s">
        <v>2657</v>
      </c>
      <c r="I999">
        <v>1587.0014999999901</v>
      </c>
      <c r="J999">
        <v>3</v>
      </c>
      <c r="K999">
        <v>0.17</v>
      </c>
      <c r="L999">
        <v>-76.558499999999896</v>
      </c>
      <c r="M999" t="s">
        <v>17</v>
      </c>
    </row>
    <row r="1000" spans="1:13">
      <c r="B1000" s="2">
        <v>41060</v>
      </c>
      <c r="C1000" s="1">
        <v>41062</v>
      </c>
      <c r="D1000" t="s">
        <v>264</v>
      </c>
      <c r="E1000" t="s">
        <v>131</v>
      </c>
      <c r="F1000" t="s">
        <v>132</v>
      </c>
      <c r="G1000" t="s">
        <v>28</v>
      </c>
      <c r="H1000" t="s">
        <v>2663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17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2182</v>
      </c>
      <c r="B49999" s="1">
        <v>40943</v>
      </c>
      <c r="C49999" s="1"/>
    </row>
    <row r="50000" spans="1:3">
      <c r="A50000" t="s">
        <v>1771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2132</v>
      </c>
      <c r="B50002" s="1">
        <v>42249</v>
      </c>
      <c r="C50002" s="1"/>
    </row>
    <row r="50003" spans="1:3">
      <c r="A50003" t="s">
        <v>2181</v>
      </c>
      <c r="B50003" s="1">
        <v>42167</v>
      </c>
      <c r="C50003" s="1"/>
    </row>
    <row r="50004" spans="1:3">
      <c r="A50004" t="s">
        <v>2131</v>
      </c>
      <c r="B50004" s="1">
        <v>41230</v>
      </c>
      <c r="C50004" s="1"/>
    </row>
    <row r="50005" spans="1:3">
      <c r="A50005" t="s">
        <v>2073</v>
      </c>
      <c r="B50005" s="1">
        <v>41712</v>
      </c>
      <c r="C50005" s="1"/>
    </row>
    <row r="50006" spans="1:3">
      <c r="A50006" t="s">
        <v>1932</v>
      </c>
      <c r="B50006" s="1">
        <v>41979</v>
      </c>
      <c r="C50006" s="1"/>
    </row>
    <row r="50007" spans="1:3">
      <c r="A50007" t="s">
        <v>1846</v>
      </c>
      <c r="B50007" s="1">
        <v>41233</v>
      </c>
      <c r="C50007" s="1"/>
    </row>
    <row r="50008" spans="1:3">
      <c r="A50008" t="s">
        <v>2183</v>
      </c>
      <c r="B50008" s="1">
        <v>42094</v>
      </c>
      <c r="C50008" s="1"/>
    </row>
    <row r="50009" spans="1:3">
      <c r="A50009" t="s">
        <v>2037</v>
      </c>
      <c r="B50009" s="1">
        <v>41431</v>
      </c>
      <c r="C50009" s="1"/>
    </row>
    <row r="50010" spans="1:3">
      <c r="A50010" t="s">
        <v>2184</v>
      </c>
      <c r="C50010" s="1"/>
    </row>
    <row r="50011" spans="1:3">
      <c r="A50011" t="s">
        <v>2185</v>
      </c>
      <c r="B50011" s="1">
        <v>40968</v>
      </c>
      <c r="C50011" s="1"/>
    </row>
    <row r="50012" spans="1:3">
      <c r="A50012" t="s">
        <v>2186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2185</v>
      </c>
      <c r="B50014" s="1">
        <v>40968</v>
      </c>
      <c r="C50014" s="1"/>
    </row>
    <row r="50015" spans="1:3">
      <c r="A50015" t="s">
        <v>2187</v>
      </c>
      <c r="B50015" s="1">
        <v>41606</v>
      </c>
      <c r="C50015" s="1"/>
    </row>
    <row r="50016" spans="1:3">
      <c r="A50016" t="s">
        <v>1206</v>
      </c>
      <c r="B50016" s="1">
        <v>41643</v>
      </c>
      <c r="C50016" s="1"/>
    </row>
    <row r="50017" spans="1:3">
      <c r="A50017" t="s">
        <v>2084</v>
      </c>
      <c r="B50017" s="1">
        <v>42369</v>
      </c>
      <c r="C50017" s="1"/>
    </row>
    <row r="50018" spans="1:3">
      <c r="A50018" t="s">
        <v>2099</v>
      </c>
      <c r="B50018" s="1">
        <v>42285</v>
      </c>
      <c r="C50018" s="1"/>
    </row>
    <row r="50019" spans="1:3">
      <c r="A50019" t="s">
        <v>2014</v>
      </c>
      <c r="B50019" s="1">
        <v>41986</v>
      </c>
      <c r="C50019" s="1"/>
    </row>
    <row r="50020" spans="1:3">
      <c r="A50020" t="s">
        <v>1699</v>
      </c>
      <c r="B50020" s="1">
        <v>41748</v>
      </c>
      <c r="C50020" s="1"/>
    </row>
    <row r="50021" spans="1:3">
      <c r="A50021" t="s">
        <v>2109</v>
      </c>
      <c r="B50021" s="1">
        <v>41815</v>
      </c>
      <c r="C50021" s="1"/>
    </row>
    <row r="50022" spans="1:3">
      <c r="A50022" t="s">
        <v>1984</v>
      </c>
      <c r="B50022" s="1">
        <v>41852</v>
      </c>
      <c r="C50022" s="1"/>
    </row>
    <row r="50023" spans="1:3">
      <c r="A50023" t="s">
        <v>2075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1701</v>
      </c>
      <c r="B50025" s="1">
        <v>42276</v>
      </c>
      <c r="C50025" s="1"/>
    </row>
    <row r="50026" spans="1:3">
      <c r="A50026" t="s">
        <v>2027</v>
      </c>
      <c r="B50026" s="1">
        <v>40999</v>
      </c>
      <c r="C50026" s="1"/>
    </row>
    <row r="50027" spans="1:3">
      <c r="A50027" t="s">
        <v>1767</v>
      </c>
      <c r="B50027" s="1">
        <v>41574</v>
      </c>
      <c r="C50027" s="1"/>
    </row>
    <row r="50028" spans="1:3">
      <c r="A50028" t="s">
        <v>2188</v>
      </c>
      <c r="B50028" s="1">
        <v>41588</v>
      </c>
      <c r="C50028" s="1"/>
    </row>
    <row r="50029" spans="1:3">
      <c r="A50029" t="s">
        <v>2189</v>
      </c>
      <c r="B50029" s="1">
        <v>42154</v>
      </c>
      <c r="C50029" s="1"/>
    </row>
    <row r="50030" spans="1:3">
      <c r="A50030" t="s">
        <v>1880</v>
      </c>
      <c r="B50030" s="1">
        <v>41670</v>
      </c>
      <c r="C50030" s="1"/>
    </row>
    <row r="50031" spans="1:3">
      <c r="A50031" t="s">
        <v>2054</v>
      </c>
      <c r="B50031" s="1">
        <v>41597</v>
      </c>
      <c r="C50031" s="1"/>
    </row>
    <row r="50032" spans="1:3">
      <c r="A50032" t="s">
        <v>1669</v>
      </c>
      <c r="B50032" s="1">
        <v>41384</v>
      </c>
      <c r="C50032" s="1"/>
    </row>
    <row r="50033" spans="1:3">
      <c r="A50033" t="s">
        <v>2049</v>
      </c>
      <c r="B50033" s="1">
        <v>42311</v>
      </c>
      <c r="C50033" s="1"/>
    </row>
    <row r="50034" spans="1:3">
      <c r="A50034" t="s">
        <v>2022</v>
      </c>
      <c r="B50034" s="1">
        <v>41684</v>
      </c>
      <c r="C50034" s="1"/>
    </row>
    <row r="50035" spans="1:3">
      <c r="A50035" t="s">
        <v>2190</v>
      </c>
      <c r="B50035" s="1">
        <v>42332</v>
      </c>
      <c r="C50035" s="1"/>
    </row>
    <row r="50036" spans="1:3">
      <c r="A50036" t="s">
        <v>1945</v>
      </c>
      <c r="B50036" s="1">
        <v>41849</v>
      </c>
      <c r="C50036" s="1"/>
    </row>
    <row r="50037" spans="1:3">
      <c r="A50037" t="s">
        <v>2191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2192</v>
      </c>
      <c r="B50039" s="1">
        <v>42045</v>
      </c>
      <c r="C50039" s="1"/>
    </row>
    <row r="50040" spans="1:3">
      <c r="A50040" t="s">
        <v>642</v>
      </c>
      <c r="B50040" s="1">
        <v>42269</v>
      </c>
      <c r="C50040" s="1"/>
    </row>
    <row r="50041" spans="1:3">
      <c r="A50041" t="s">
        <v>1687</v>
      </c>
      <c r="B50041" s="1">
        <v>41755</v>
      </c>
      <c r="C50041" s="1"/>
    </row>
    <row r="50042" spans="1:3">
      <c r="A50042" t="s">
        <v>2193</v>
      </c>
      <c r="B50042" s="1">
        <v>41880</v>
      </c>
      <c r="C50042" s="1"/>
    </row>
    <row r="50043" spans="1:3">
      <c r="A50043" t="s">
        <v>2185</v>
      </c>
      <c r="B50043" s="1">
        <v>40968</v>
      </c>
      <c r="C50043" s="1"/>
    </row>
    <row r="50044" spans="1:3">
      <c r="A50044" t="s">
        <v>2192</v>
      </c>
      <c r="B50044" s="1">
        <v>42045</v>
      </c>
      <c r="C50044" s="1"/>
    </row>
    <row r="50045" spans="1:3">
      <c r="A50045" t="s">
        <v>1866</v>
      </c>
      <c r="B50045" s="1">
        <v>41539</v>
      </c>
      <c r="C50045" s="1"/>
    </row>
    <row r="50046" spans="1:3">
      <c r="A50046" t="s">
        <v>2194</v>
      </c>
      <c r="B50046" s="1">
        <v>41227</v>
      </c>
      <c r="C50046" s="1"/>
    </row>
    <row r="50047" spans="1:3">
      <c r="A50047" t="s">
        <v>2193</v>
      </c>
      <c r="B50047" s="1">
        <v>41880</v>
      </c>
      <c r="C50047" s="1"/>
    </row>
    <row r="50048" spans="1:3">
      <c r="A50048" t="s">
        <v>2185</v>
      </c>
      <c r="B50048" s="1">
        <v>40968</v>
      </c>
      <c r="C50048" s="1"/>
    </row>
    <row r="50049" spans="1:3">
      <c r="A50049" t="s">
        <v>2185</v>
      </c>
      <c r="B50049" t="s">
        <v>116</v>
      </c>
      <c r="C50049" s="1"/>
    </row>
    <row r="50050" spans="1:3">
      <c r="A50050" t="s">
        <v>2192</v>
      </c>
      <c r="B50050" s="1">
        <v>42045</v>
      </c>
      <c r="C50050" s="1"/>
    </row>
    <row r="50051" spans="1:3">
      <c r="A50051" t="s">
        <v>2193</v>
      </c>
      <c r="C50051" s="1"/>
    </row>
    <row r="50052" spans="1:3">
      <c r="A50052" t="s">
        <v>2195</v>
      </c>
      <c r="B50052" s="1">
        <v>42265</v>
      </c>
      <c r="C50052" s="1"/>
    </row>
    <row r="50053" spans="1:3">
      <c r="A50053" t="s">
        <v>1851</v>
      </c>
      <c r="B50053" s="1">
        <v>42069</v>
      </c>
      <c r="C50053" s="1"/>
    </row>
    <row r="50054" spans="1:3">
      <c r="A50054" t="s">
        <v>2096</v>
      </c>
      <c r="B50054" s="1">
        <v>41794</v>
      </c>
      <c r="C50054" s="1"/>
    </row>
    <row r="50055" spans="1:3">
      <c r="A50055" t="s">
        <v>1758</v>
      </c>
      <c r="B50055" s="1">
        <v>42317</v>
      </c>
      <c r="C50055" s="1"/>
    </row>
    <row r="50056" spans="1:3">
      <c r="A50056" t="s">
        <v>2093</v>
      </c>
      <c r="B50056" s="1">
        <v>42307</v>
      </c>
      <c r="C50056" s="1"/>
    </row>
    <row r="50057" spans="1:3">
      <c r="A50057" t="s">
        <v>2192</v>
      </c>
      <c r="B50057" s="1">
        <v>42045</v>
      </c>
    </row>
    <row r="50058" spans="1:3">
      <c r="A50058" t="s">
        <v>2196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1899</v>
      </c>
      <c r="B50060" s="1">
        <v>40997</v>
      </c>
      <c r="C50060" s="1"/>
    </row>
    <row r="50061" spans="1:3">
      <c r="A50061" t="s">
        <v>2197</v>
      </c>
      <c r="B50061" s="1">
        <v>42237</v>
      </c>
      <c r="C50061" s="1"/>
    </row>
    <row r="50062" spans="1:3">
      <c r="A50062" t="s">
        <v>1832</v>
      </c>
      <c r="B50062" s="1">
        <v>42364</v>
      </c>
      <c r="C50062" s="1"/>
    </row>
    <row r="50063" spans="1:3">
      <c r="A50063" t="s">
        <v>1764</v>
      </c>
      <c r="B50063" s="1">
        <v>42184</v>
      </c>
      <c r="C50063" s="1"/>
    </row>
    <row r="50064" spans="1:3">
      <c r="A50064" t="s">
        <v>2137</v>
      </c>
      <c r="B50064" s="1">
        <v>41908</v>
      </c>
      <c r="C50064" s="1"/>
    </row>
    <row r="50065" spans="1:3">
      <c r="A50065" t="s">
        <v>2198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1895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1768</v>
      </c>
      <c r="B50069" s="1">
        <v>41233</v>
      </c>
      <c r="C50069" s="1"/>
    </row>
    <row r="50070" spans="1:3">
      <c r="A50070" t="s">
        <v>1961</v>
      </c>
      <c r="B50070" s="1">
        <v>41352</v>
      </c>
      <c r="C50070" s="1"/>
    </row>
    <row r="50071" spans="1:3">
      <c r="A50071" t="s">
        <v>2114</v>
      </c>
      <c r="B50071" s="1">
        <v>41417</v>
      </c>
      <c r="C50071" s="1"/>
    </row>
    <row r="50072" spans="1:3">
      <c r="A50072" t="s">
        <v>2199</v>
      </c>
      <c r="B50072" s="1">
        <v>41878</v>
      </c>
      <c r="C50072" s="1"/>
    </row>
    <row r="50073" spans="1:3">
      <c r="A50073" t="s">
        <v>2200</v>
      </c>
      <c r="B50073" t="s">
        <v>116</v>
      </c>
      <c r="C50073" s="1"/>
    </row>
    <row r="50074" spans="1:3">
      <c r="A50074" t="s">
        <v>2198</v>
      </c>
      <c r="B50074" s="1">
        <v>41223</v>
      </c>
      <c r="C50074" s="1"/>
    </row>
    <row r="50075" spans="1:3">
      <c r="A50075" t="s">
        <v>2201</v>
      </c>
      <c r="B50075" s="1">
        <v>42197</v>
      </c>
      <c r="C50075" s="1"/>
    </row>
    <row r="50076" spans="1:3">
      <c r="A50076" t="s">
        <v>2009</v>
      </c>
      <c r="B50076" s="1">
        <v>42263</v>
      </c>
      <c r="C50076" s="1"/>
    </row>
    <row r="50077" spans="1:3">
      <c r="A50077" t="s">
        <v>2202</v>
      </c>
      <c r="B50077" s="1">
        <v>41985</v>
      </c>
      <c r="C50077" s="1"/>
    </row>
    <row r="50078" spans="1:3">
      <c r="A50078" t="s">
        <v>2048</v>
      </c>
      <c r="B50078" s="1">
        <v>41686</v>
      </c>
      <c r="C50078" s="1"/>
    </row>
    <row r="50079" spans="1:3">
      <c r="A50079" t="s">
        <v>2203</v>
      </c>
      <c r="B50079" s="1">
        <v>41502</v>
      </c>
      <c r="C50079" s="1"/>
    </row>
    <row r="50080" spans="1:3">
      <c r="A50080" t="s">
        <v>1688</v>
      </c>
      <c r="B50080" s="1">
        <v>41845</v>
      </c>
      <c r="C50080" s="1"/>
    </row>
    <row r="50081" spans="1:3">
      <c r="A50081" t="s">
        <v>1810</v>
      </c>
      <c r="B50081" s="1">
        <v>42181</v>
      </c>
      <c r="C50081" s="1"/>
    </row>
    <row r="50082" spans="1:3">
      <c r="A50082" t="s">
        <v>1745</v>
      </c>
      <c r="B50082" s="1">
        <v>41726</v>
      </c>
      <c r="C50082" s="1"/>
    </row>
    <row r="50083" spans="1:3">
      <c r="A50083" t="s">
        <v>2204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2205</v>
      </c>
      <c r="B50085" s="1">
        <v>42335</v>
      </c>
      <c r="C50085" s="1"/>
    </row>
    <row r="50086" spans="1:3">
      <c r="A50086" t="s">
        <v>2205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2206</v>
      </c>
      <c r="B50088" s="1">
        <v>41334</v>
      </c>
      <c r="C50088" s="1"/>
    </row>
    <row r="50089" spans="1:3">
      <c r="A50089" t="s">
        <v>2207</v>
      </c>
      <c r="B50089" s="1">
        <v>41179</v>
      </c>
      <c r="C50089" s="1"/>
    </row>
    <row r="50090" spans="1:3">
      <c r="A50090" t="s">
        <v>2205</v>
      </c>
      <c r="B50090" s="1">
        <v>42335</v>
      </c>
      <c r="C50090" s="1"/>
    </row>
    <row r="50091" spans="1:3">
      <c r="A50091" t="s">
        <v>2208</v>
      </c>
      <c r="B50091" s="1">
        <v>42157</v>
      </c>
      <c r="C50091" s="1"/>
    </row>
    <row r="50092" spans="1:3">
      <c r="A50092" t="s">
        <v>2209</v>
      </c>
      <c r="B50092" s="1">
        <v>41934</v>
      </c>
      <c r="C50092" s="1"/>
    </row>
    <row r="50093" spans="1:3">
      <c r="A50093" t="s">
        <v>2210</v>
      </c>
      <c r="B50093" s="1">
        <v>42208</v>
      </c>
      <c r="C50093" s="1"/>
    </row>
    <row r="50094" spans="1:3">
      <c r="A50094" t="s">
        <v>2015</v>
      </c>
      <c r="B50094" s="1">
        <v>41144</v>
      </c>
      <c r="C50094" s="1"/>
    </row>
    <row r="50095" spans="1:3">
      <c r="A50095" t="s">
        <v>2211</v>
      </c>
      <c r="B50095" s="1">
        <v>41772</v>
      </c>
      <c r="C50095" s="1"/>
    </row>
    <row r="50096" spans="1:3">
      <c r="A50096" t="s">
        <v>2212</v>
      </c>
      <c r="B50096" s="1">
        <v>42068</v>
      </c>
      <c r="C50096" s="1"/>
    </row>
    <row r="50097" spans="1:3">
      <c r="A50097" t="s">
        <v>2205</v>
      </c>
      <c r="B50097" s="1">
        <v>42335</v>
      </c>
      <c r="C50097" s="1"/>
    </row>
    <row r="50098" spans="1:3">
      <c r="A50098" t="s">
        <v>1960</v>
      </c>
      <c r="B50098" s="1">
        <v>42339</v>
      </c>
      <c r="C50098" s="1"/>
    </row>
    <row r="50099" spans="1:3">
      <c r="A50099" t="s">
        <v>1676</v>
      </c>
      <c r="B50099" s="1">
        <v>41864</v>
      </c>
      <c r="C50099" s="1"/>
    </row>
    <row r="50100" spans="1:3">
      <c r="A50100" t="s">
        <v>2213</v>
      </c>
      <c r="B50100" s="1">
        <v>41093</v>
      </c>
    </row>
    <row r="50101" spans="1:3">
      <c r="A50101" t="s">
        <v>2214</v>
      </c>
      <c r="C50101" s="1"/>
    </row>
    <row r="50102" spans="1:3">
      <c r="A50102" t="s">
        <v>1943</v>
      </c>
      <c r="B50102" s="1">
        <v>41090</v>
      </c>
    </row>
    <row r="50103" spans="1:3">
      <c r="A50103" t="s">
        <v>2215</v>
      </c>
      <c r="B50103" s="1">
        <v>41752</v>
      </c>
      <c r="C50103" s="1"/>
    </row>
    <row r="50104" spans="1:3">
      <c r="A50104" t="s">
        <v>1931</v>
      </c>
      <c r="B50104" t="s">
        <v>2216</v>
      </c>
      <c r="C50104" s="1"/>
    </row>
    <row r="50105" spans="1:3">
      <c r="A50105" t="s">
        <v>2217</v>
      </c>
      <c r="B50105" s="1">
        <v>42020</v>
      </c>
      <c r="C50105" s="1"/>
    </row>
    <row r="50106" spans="1:3">
      <c r="A50106" t="s">
        <v>2218</v>
      </c>
      <c r="B50106" s="1">
        <v>41871</v>
      </c>
      <c r="C50106" s="1"/>
    </row>
    <row r="50107" spans="1:3">
      <c r="A50107" t="s">
        <v>2219</v>
      </c>
      <c r="B50107" s="1">
        <v>41840</v>
      </c>
    </row>
    <row r="50108" spans="1:3">
      <c r="A50108" t="s">
        <v>2220</v>
      </c>
      <c r="B50108" s="1">
        <v>40943</v>
      </c>
      <c r="C50108" s="1"/>
    </row>
    <row r="50109" spans="1:3">
      <c r="A50109" t="s">
        <v>2221</v>
      </c>
      <c r="B50109" s="1">
        <v>42251</v>
      </c>
      <c r="C50109" s="1"/>
    </row>
    <row r="50110" spans="1:3">
      <c r="A50110" t="s">
        <v>2222</v>
      </c>
      <c r="B50110" s="1">
        <v>42132</v>
      </c>
      <c r="C50110" s="1"/>
    </row>
    <row r="50111" spans="1:3">
      <c r="A50111" t="s">
        <v>1992</v>
      </c>
      <c r="B50111" s="1">
        <v>41709</v>
      </c>
      <c r="C50111" s="1"/>
    </row>
    <row r="50112" spans="1:3">
      <c r="A50112" t="s">
        <v>2212</v>
      </c>
      <c r="B50112" s="1">
        <v>42068</v>
      </c>
      <c r="C50112" s="1"/>
    </row>
    <row r="50113" spans="1:3">
      <c r="A50113" t="s">
        <v>2223</v>
      </c>
      <c r="B50113" s="1">
        <v>42209</v>
      </c>
      <c r="C50113" s="1"/>
    </row>
    <row r="50114" spans="1:3">
      <c r="A50114" t="s">
        <v>2224</v>
      </c>
      <c r="B50114" s="1">
        <v>41138</v>
      </c>
      <c r="C50114" s="1"/>
    </row>
    <row r="50115" spans="1:3">
      <c r="A50115" t="s">
        <v>2225</v>
      </c>
      <c r="B50115" s="1">
        <v>42237</v>
      </c>
      <c r="C50115" s="1"/>
    </row>
    <row r="50116" spans="1:3">
      <c r="A50116" t="s">
        <v>2226</v>
      </c>
      <c r="C50116" s="1"/>
    </row>
    <row r="50117" spans="1:3">
      <c r="A50117" t="s">
        <v>1791</v>
      </c>
      <c r="B50117" s="1">
        <v>41486</v>
      </c>
      <c r="C50117" s="1"/>
    </row>
    <row r="50118" spans="1:3">
      <c r="A50118" t="s">
        <v>2227</v>
      </c>
      <c r="B50118" s="1">
        <v>42157</v>
      </c>
      <c r="C50118" s="1"/>
    </row>
    <row r="50119" spans="1:3">
      <c r="A50119" t="s">
        <v>1689</v>
      </c>
      <c r="B50119" s="1">
        <v>41801</v>
      </c>
      <c r="C50119" s="1"/>
    </row>
    <row r="50120" spans="1:3">
      <c r="A50120" t="s">
        <v>1790</v>
      </c>
      <c r="B50120" s="1">
        <v>41828</v>
      </c>
      <c r="C50120" s="1"/>
    </row>
    <row r="50121" spans="1:3">
      <c r="A50121" t="s">
        <v>1941</v>
      </c>
      <c r="B50121" s="1">
        <v>41747</v>
      </c>
      <c r="C50121" s="1"/>
    </row>
    <row r="50122" spans="1:3">
      <c r="A50122" t="s">
        <v>2033</v>
      </c>
      <c r="B50122" t="s">
        <v>1929</v>
      </c>
      <c r="C50122" s="1"/>
    </row>
    <row r="50123" spans="1:3">
      <c r="A50123" t="s">
        <v>1890</v>
      </c>
      <c r="B50123" s="1">
        <v>41969</v>
      </c>
      <c r="C50123" s="1"/>
    </row>
    <row r="50124" spans="1:3">
      <c r="A50124" t="s">
        <v>2140</v>
      </c>
      <c r="B50124" s="1">
        <v>41427</v>
      </c>
      <c r="C50124" s="1"/>
    </row>
    <row r="50125" spans="1:3">
      <c r="A50125" t="s">
        <v>1859</v>
      </c>
      <c r="B50125" s="1">
        <v>42224</v>
      </c>
      <c r="C50125" s="1"/>
    </row>
    <row r="50126" spans="1:3">
      <c r="A50126" t="s">
        <v>1889</v>
      </c>
      <c r="B50126" s="1">
        <v>42082</v>
      </c>
      <c r="C50126" s="1"/>
    </row>
    <row r="50127" spans="1:3">
      <c r="A50127" t="s">
        <v>2228</v>
      </c>
    </row>
    <row r="50128" spans="1:3">
      <c r="A50128" t="s">
        <v>2229</v>
      </c>
      <c r="B50128" s="1">
        <v>41747</v>
      </c>
      <c r="C50128" s="1"/>
    </row>
    <row r="50129" spans="1:3">
      <c r="A50129" t="s">
        <v>1700</v>
      </c>
      <c r="B50129" s="1">
        <v>41415</v>
      </c>
      <c r="C50129" s="1"/>
    </row>
    <row r="50130" spans="1:3">
      <c r="A50130" t="s">
        <v>1923</v>
      </c>
      <c r="B50130" s="1">
        <v>41797</v>
      </c>
      <c r="C50130" s="1"/>
    </row>
    <row r="50131" spans="1:3">
      <c r="A50131" t="s">
        <v>2230</v>
      </c>
      <c r="B50131" s="1">
        <v>42348</v>
      </c>
      <c r="C50131" s="1"/>
    </row>
    <row r="50132" spans="1:3">
      <c r="A50132" t="s">
        <v>2231</v>
      </c>
      <c r="B50132" s="1">
        <v>42357</v>
      </c>
      <c r="C50132" s="1"/>
    </row>
    <row r="50133" spans="1:3">
      <c r="A50133" t="s">
        <v>227</v>
      </c>
      <c r="B50133" s="1">
        <v>41966</v>
      </c>
      <c r="C50133" s="1"/>
    </row>
    <row r="50134" spans="1:3">
      <c r="A50134" t="s">
        <v>2232</v>
      </c>
      <c r="B50134" s="1">
        <v>41542</v>
      </c>
      <c r="C50134" s="1"/>
    </row>
    <row r="50135" spans="1:3">
      <c r="A50135" t="s">
        <v>2233</v>
      </c>
      <c r="B50135" s="1">
        <v>42010</v>
      </c>
      <c r="C50135" s="1"/>
    </row>
    <row r="50136" spans="1:3">
      <c r="A50136" t="s">
        <v>2212</v>
      </c>
      <c r="C50136" s="1"/>
    </row>
    <row r="50137" spans="1:3">
      <c r="A50137" t="s">
        <v>1739</v>
      </c>
      <c r="B50137" s="1">
        <v>41237</v>
      </c>
      <c r="C50137" s="1"/>
    </row>
    <row r="50138" spans="1:3">
      <c r="A50138" t="s">
        <v>2205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2234</v>
      </c>
      <c r="B50140" s="1">
        <v>42097</v>
      </c>
      <c r="C50140" s="1"/>
    </row>
    <row r="50141" spans="1:3">
      <c r="A50141" t="s">
        <v>2235</v>
      </c>
      <c r="B50141" s="1">
        <v>41642</v>
      </c>
      <c r="C50141" s="1"/>
    </row>
    <row r="50142" spans="1:3">
      <c r="A50142" t="s">
        <v>2076</v>
      </c>
      <c r="B50142" s="1">
        <v>42238</v>
      </c>
      <c r="C50142" s="1"/>
    </row>
    <row r="50143" spans="1:3">
      <c r="A50143" t="s">
        <v>2236</v>
      </c>
      <c r="B50143" s="1">
        <v>42340</v>
      </c>
      <c r="C50143" s="1"/>
    </row>
    <row r="50144" spans="1:3">
      <c r="A50144" t="s">
        <v>1690</v>
      </c>
      <c r="B50144" s="1">
        <v>41122</v>
      </c>
      <c r="C50144" s="1"/>
    </row>
    <row r="50145" spans="1:3">
      <c r="A50145" t="s">
        <v>2237</v>
      </c>
      <c r="B50145" s="1">
        <v>42197</v>
      </c>
      <c r="C50145" s="1"/>
    </row>
    <row r="50146" spans="1:3">
      <c r="A50146" t="s">
        <v>2168</v>
      </c>
      <c r="B50146" s="1">
        <v>42211</v>
      </c>
      <c r="C50146" s="1"/>
    </row>
    <row r="50147" spans="1:3">
      <c r="A50147" t="s">
        <v>2235</v>
      </c>
      <c r="B50147" s="1">
        <v>41642</v>
      </c>
      <c r="C50147" s="1"/>
    </row>
    <row r="50148" spans="1:3">
      <c r="A50148" t="s">
        <v>2238</v>
      </c>
      <c r="B50148" s="1">
        <v>41874</v>
      </c>
    </row>
    <row r="50149" spans="1:3">
      <c r="A50149" t="s">
        <v>2235</v>
      </c>
      <c r="B50149" t="s">
        <v>2239</v>
      </c>
      <c r="C50149" s="1"/>
    </row>
    <row r="50150" spans="1:3">
      <c r="A50150" t="s">
        <v>2240</v>
      </c>
      <c r="B50150" s="1">
        <v>41597</v>
      </c>
      <c r="C50150" s="1"/>
    </row>
    <row r="50151" spans="1:3">
      <c r="A50151" t="s">
        <v>2241</v>
      </c>
      <c r="C50151" s="1"/>
    </row>
    <row r="50152" spans="1:3">
      <c r="A50152" t="s">
        <v>2242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2243</v>
      </c>
      <c r="B50154" s="1">
        <v>42125</v>
      </c>
      <c r="C50154" s="1"/>
    </row>
    <row r="50155" spans="1:3">
      <c r="A50155" t="s">
        <v>2244</v>
      </c>
      <c r="B50155" s="1">
        <v>41979</v>
      </c>
    </row>
    <row r="50156" spans="1:3">
      <c r="A50156" t="s">
        <v>2245</v>
      </c>
      <c r="B50156" s="1">
        <v>41234</v>
      </c>
      <c r="C50156" s="1"/>
    </row>
    <row r="50157" spans="1:3">
      <c r="A50157" t="s">
        <v>2145</v>
      </c>
      <c r="B50157" s="1">
        <v>41107</v>
      </c>
      <c r="C50157" s="1"/>
    </row>
    <row r="50158" spans="1:3">
      <c r="A50158" t="s">
        <v>2235</v>
      </c>
      <c r="B50158" s="1">
        <v>41642</v>
      </c>
      <c r="C50158" s="1"/>
    </row>
    <row r="50159" spans="1:3">
      <c r="A50159" t="s">
        <v>2246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2247</v>
      </c>
      <c r="B50162" s="1">
        <v>42185</v>
      </c>
      <c r="C50162" s="1"/>
    </row>
    <row r="50163" spans="1:3">
      <c r="A50163" t="s">
        <v>1833</v>
      </c>
      <c r="B50163" s="1">
        <v>42357</v>
      </c>
      <c r="C50163" s="1"/>
    </row>
    <row r="50164" spans="1:3">
      <c r="A50164" t="s">
        <v>2248</v>
      </c>
      <c r="B50164" s="1">
        <v>41989</v>
      </c>
      <c r="C50164" s="1"/>
    </row>
    <row r="50165" spans="1:3">
      <c r="B50165" t="s">
        <v>2249</v>
      </c>
      <c r="C50165" s="1"/>
    </row>
    <row r="50166" spans="1:3">
      <c r="A50166" t="s">
        <v>1750</v>
      </c>
      <c r="B50166" s="1">
        <v>41797</v>
      </c>
      <c r="C50166" s="1"/>
    </row>
    <row r="50167" spans="1:3">
      <c r="A50167" t="s">
        <v>1685</v>
      </c>
      <c r="B50167" s="1">
        <v>41012</v>
      </c>
      <c r="C50167" s="1"/>
    </row>
    <row r="50168" spans="1:3">
      <c r="A50168" t="s">
        <v>1835</v>
      </c>
      <c r="B50168" s="1">
        <v>42132</v>
      </c>
      <c r="C50168" s="1"/>
    </row>
    <row r="50169" spans="1:3">
      <c r="A50169" t="s">
        <v>2250</v>
      </c>
      <c r="B50169" s="1">
        <v>41433</v>
      </c>
      <c r="C50169" s="1"/>
    </row>
    <row r="50170" spans="1:3">
      <c r="A50170" t="s">
        <v>1755</v>
      </c>
      <c r="B50170" s="1">
        <v>42006</v>
      </c>
    </row>
    <row r="50171" spans="1:3">
      <c r="A50171" t="s">
        <v>1818</v>
      </c>
      <c r="B50171" s="1">
        <v>41957</v>
      </c>
      <c r="C50171" s="1"/>
    </row>
    <row r="50172" spans="1:3">
      <c r="A50172" t="s">
        <v>2251</v>
      </c>
      <c r="B50172" s="1">
        <v>42239</v>
      </c>
    </row>
    <row r="50173" spans="1:3">
      <c r="A50173" t="s">
        <v>2252</v>
      </c>
      <c r="B50173" s="1">
        <v>42172</v>
      </c>
      <c r="C50173" s="1"/>
    </row>
    <row r="50174" spans="1:3">
      <c r="A50174" t="s">
        <v>1667</v>
      </c>
      <c r="B50174" s="1">
        <v>41439</v>
      </c>
      <c r="C50174" s="1"/>
    </row>
    <row r="50175" spans="1:3">
      <c r="A50175" t="s">
        <v>2253</v>
      </c>
      <c r="B50175" s="1">
        <v>42213</v>
      </c>
      <c r="C50175" s="1"/>
    </row>
    <row r="50176" spans="1:3">
      <c r="A50176" t="s">
        <v>2253</v>
      </c>
      <c r="B50176" s="1">
        <v>42213</v>
      </c>
      <c r="C50176" s="1"/>
    </row>
    <row r="50177" spans="1:3">
      <c r="A50177" t="s">
        <v>1732</v>
      </c>
      <c r="B50177" s="1">
        <v>41783</v>
      </c>
      <c r="C50177" s="1"/>
    </row>
    <row r="50178" spans="1:3">
      <c r="A50178" t="s">
        <v>2254</v>
      </c>
      <c r="B50178" s="1">
        <v>41908</v>
      </c>
      <c r="C50178" s="1"/>
    </row>
    <row r="50179" spans="1:3">
      <c r="A50179" t="s">
        <v>2255</v>
      </c>
      <c r="B50179" s="1">
        <v>42316</v>
      </c>
    </row>
    <row r="50180" spans="1:3">
      <c r="A50180" t="s">
        <v>2256</v>
      </c>
      <c r="B50180" s="1">
        <v>42189</v>
      </c>
      <c r="C50180" s="1"/>
    </row>
    <row r="50181" spans="1:3">
      <c r="A50181" t="s">
        <v>1816</v>
      </c>
      <c r="B50181" s="1">
        <v>41660</v>
      </c>
      <c r="C50181" s="1"/>
    </row>
    <row r="50182" spans="1:3">
      <c r="A50182" t="s">
        <v>2257</v>
      </c>
      <c r="B50182" s="1">
        <v>41138</v>
      </c>
    </row>
    <row r="50183" spans="1:3">
      <c r="A50183" t="s">
        <v>2258</v>
      </c>
      <c r="B50183" s="1">
        <v>42266</v>
      </c>
      <c r="C50183" s="1"/>
    </row>
    <row r="50184" spans="1:3">
      <c r="A50184" t="s">
        <v>2259</v>
      </c>
      <c r="B50184" s="1">
        <v>42358</v>
      </c>
      <c r="C50184" s="1"/>
    </row>
    <row r="50185" spans="1:3">
      <c r="A50185" t="s">
        <v>2001</v>
      </c>
      <c r="B50185" s="1">
        <v>42060</v>
      </c>
      <c r="C50185" s="1"/>
    </row>
    <row r="50186" spans="1:3">
      <c r="A50186" t="s">
        <v>2260</v>
      </c>
      <c r="B50186" s="1">
        <v>41262</v>
      </c>
      <c r="C50186" s="1"/>
    </row>
    <row r="50187" spans="1:3">
      <c r="A50187" t="s">
        <v>2260</v>
      </c>
      <c r="B50187" s="1">
        <v>41262</v>
      </c>
      <c r="C50187" s="1"/>
    </row>
    <row r="50188" spans="1:3">
      <c r="A50188" t="s">
        <v>1919</v>
      </c>
      <c r="B50188" s="1">
        <v>41873</v>
      </c>
      <c r="C50188" s="1"/>
    </row>
    <row r="50189" spans="1:3">
      <c r="A50189" t="s">
        <v>2261</v>
      </c>
      <c r="B50189" s="1">
        <v>41454</v>
      </c>
      <c r="C50189" s="1"/>
    </row>
    <row r="50190" spans="1:3">
      <c r="A50190" t="s">
        <v>1925</v>
      </c>
      <c r="B50190" s="1">
        <v>42343</v>
      </c>
      <c r="C50190" s="1"/>
    </row>
    <row r="50191" spans="1:3">
      <c r="A50191" t="s">
        <v>2262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2263</v>
      </c>
      <c r="B50193" s="1">
        <v>41971</v>
      </c>
      <c r="C50193" s="1"/>
    </row>
    <row r="50194" spans="1:3">
      <c r="A50194" t="s">
        <v>1969</v>
      </c>
      <c r="B50194" s="1">
        <v>41410</v>
      </c>
      <c r="C50194" s="1"/>
    </row>
    <row r="50195" spans="1:3">
      <c r="A50195" t="s">
        <v>2254</v>
      </c>
      <c r="B50195" t="s">
        <v>1774</v>
      </c>
      <c r="C50195" s="1"/>
    </row>
    <row r="50196" spans="1:3">
      <c r="A50196" t="s">
        <v>2259</v>
      </c>
      <c r="B50196" s="1">
        <v>42358</v>
      </c>
      <c r="C50196" s="1"/>
    </row>
    <row r="50197" spans="1:3">
      <c r="A50197" t="s">
        <v>2051</v>
      </c>
      <c r="B50197" s="1">
        <v>42052</v>
      </c>
      <c r="C50197" s="1"/>
    </row>
    <row r="50198" spans="1:3">
      <c r="A50198" t="s">
        <v>2258</v>
      </c>
      <c r="B50198" s="1">
        <v>42266</v>
      </c>
    </row>
    <row r="50199" spans="1:3">
      <c r="A50199" t="s">
        <v>1765</v>
      </c>
      <c r="B50199" s="1">
        <v>41403</v>
      </c>
      <c r="C50199" s="1"/>
    </row>
    <row r="50200" spans="1:3">
      <c r="A50200" t="s">
        <v>2094</v>
      </c>
      <c r="B50200" s="2">
        <v>41868</v>
      </c>
      <c r="C50200" s="1"/>
    </row>
    <row r="50201" spans="1:3">
      <c r="A50201" t="s">
        <v>2259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2254</v>
      </c>
      <c r="B50204" s="1">
        <v>41908</v>
      </c>
      <c r="C50204" s="1"/>
    </row>
    <row r="50205" spans="1:3">
      <c r="A50205" t="s">
        <v>1940</v>
      </c>
      <c r="B50205" s="1">
        <v>41206</v>
      </c>
      <c r="C50205" s="1"/>
    </row>
    <row r="50206" spans="1:3">
      <c r="A50206" t="s">
        <v>1783</v>
      </c>
      <c r="B50206" s="1">
        <v>41502</v>
      </c>
      <c r="C50206" s="1"/>
    </row>
    <row r="50207" spans="1:3">
      <c r="A50207" t="s">
        <v>2135</v>
      </c>
      <c r="B50207" s="1">
        <v>40992</v>
      </c>
      <c r="C50207" s="1"/>
    </row>
    <row r="50208" spans="1:3">
      <c r="A50208" t="s">
        <v>1827</v>
      </c>
      <c r="B50208" s="1">
        <v>42223</v>
      </c>
      <c r="C50208" s="1"/>
    </row>
    <row r="50209" spans="1:3">
      <c r="A50209" t="s">
        <v>1752</v>
      </c>
      <c r="B50209" s="1">
        <v>40990</v>
      </c>
      <c r="C50209" s="1"/>
    </row>
    <row r="50210" spans="1:3">
      <c r="A50210" t="s">
        <v>2264</v>
      </c>
      <c r="B50210" s="1">
        <v>41534</v>
      </c>
      <c r="C50210" s="1"/>
    </row>
    <row r="50211" spans="1:3">
      <c r="A50211" t="s">
        <v>2265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2080</v>
      </c>
      <c r="B50213" s="1">
        <v>41487</v>
      </c>
      <c r="C50213" s="1"/>
    </row>
    <row r="50214" spans="1:3">
      <c r="A50214" t="s">
        <v>1785</v>
      </c>
      <c r="B50214" s="1">
        <v>41804</v>
      </c>
      <c r="C50214" s="1"/>
    </row>
    <row r="50215" spans="1:3">
      <c r="A50215" t="s">
        <v>2060</v>
      </c>
      <c r="B50215" s="1">
        <v>42304</v>
      </c>
      <c r="C50215" s="1"/>
    </row>
    <row r="50216" spans="1:3">
      <c r="A50216" t="s">
        <v>1865</v>
      </c>
      <c r="B50216" s="1">
        <v>41520</v>
      </c>
      <c r="C50216" s="1"/>
    </row>
    <row r="50217" spans="1:3">
      <c r="A50217" t="s">
        <v>2136</v>
      </c>
      <c r="B50217" s="1">
        <v>42276</v>
      </c>
      <c r="C50217" s="1"/>
    </row>
    <row r="50218" spans="1:3">
      <c r="A50218" t="s">
        <v>2266</v>
      </c>
      <c r="B50218" s="1">
        <v>41578</v>
      </c>
      <c r="C50218" s="1"/>
    </row>
    <row r="50219" spans="1:3">
      <c r="A50219" t="s">
        <v>1903</v>
      </c>
      <c r="B50219" s="1">
        <v>41783</v>
      </c>
      <c r="C50219" s="1"/>
    </row>
    <row r="50220" spans="1:3">
      <c r="A50220" t="s">
        <v>1726</v>
      </c>
      <c r="B50220" s="1">
        <v>41681</v>
      </c>
      <c r="C50220" s="1"/>
    </row>
    <row r="50221" spans="1:3">
      <c r="A50221" t="s">
        <v>1689</v>
      </c>
      <c r="B50221" s="1">
        <v>41949</v>
      </c>
      <c r="C50221" s="1"/>
    </row>
    <row r="50222" spans="1:3">
      <c r="A50222" t="s">
        <v>2267</v>
      </c>
      <c r="B50222" s="1">
        <v>42163</v>
      </c>
      <c r="C50222" s="1"/>
    </row>
    <row r="50223" spans="1:3">
      <c r="A50223" t="s">
        <v>2039</v>
      </c>
      <c r="B50223" s="1">
        <v>41227</v>
      </c>
      <c r="C50223" s="1"/>
    </row>
    <row r="50224" spans="1:3">
      <c r="A50224" t="s">
        <v>1841</v>
      </c>
      <c r="B50224" s="1">
        <v>41419</v>
      </c>
      <c r="C50224" s="1"/>
    </row>
    <row r="50225" spans="1:3">
      <c r="A50225" t="s">
        <v>2268</v>
      </c>
      <c r="B50225" s="1">
        <v>42358</v>
      </c>
      <c r="C50225" s="1"/>
    </row>
    <row r="50226" spans="1:3">
      <c r="A50226" t="s">
        <v>1713</v>
      </c>
      <c r="B50226" s="1">
        <v>41860</v>
      </c>
      <c r="C50226" s="1"/>
    </row>
    <row r="50227" spans="1:3">
      <c r="A50227" t="s">
        <v>1966</v>
      </c>
      <c r="B50227" s="1">
        <v>41636</v>
      </c>
      <c r="C50227" s="1"/>
    </row>
    <row r="50228" spans="1:3">
      <c r="A50228" t="s">
        <v>1864</v>
      </c>
      <c r="B50228" s="1">
        <v>41112</v>
      </c>
      <c r="C50228" s="1"/>
    </row>
    <row r="50229" spans="1:3">
      <c r="A50229" t="s">
        <v>1655</v>
      </c>
      <c r="B50229" s="1">
        <v>41866</v>
      </c>
    </row>
    <row r="50230" spans="1:3">
      <c r="A50230" t="s">
        <v>1952</v>
      </c>
      <c r="B50230" s="1">
        <v>41720</v>
      </c>
      <c r="C50230" s="1"/>
    </row>
    <row r="50231" spans="1:3">
      <c r="A50231" t="s">
        <v>2013</v>
      </c>
      <c r="B50231" s="1">
        <v>41431</v>
      </c>
      <c r="C50231" s="1"/>
    </row>
    <row r="50232" spans="1:3">
      <c r="A50232" t="s">
        <v>2106</v>
      </c>
      <c r="B50232" s="1">
        <v>41457</v>
      </c>
      <c r="C50232" s="1"/>
    </row>
    <row r="50233" spans="1:3">
      <c r="A50233" t="s">
        <v>1901</v>
      </c>
      <c r="B50233" s="1">
        <v>41413</v>
      </c>
      <c r="C50233" s="1"/>
    </row>
    <row r="50234" spans="1:3">
      <c r="A50234" t="s">
        <v>2269</v>
      </c>
      <c r="B50234" s="1">
        <v>42259</v>
      </c>
      <c r="C50234" s="1"/>
    </row>
    <row r="50235" spans="1:3">
      <c r="A50235" t="s">
        <v>2270</v>
      </c>
      <c r="B50235" s="1">
        <v>41207</v>
      </c>
      <c r="C50235" s="1"/>
    </row>
    <row r="50236" spans="1:3">
      <c r="A50236" t="s">
        <v>2265</v>
      </c>
      <c r="B50236" s="1">
        <v>41202</v>
      </c>
      <c r="C50236" s="1"/>
    </row>
    <row r="50237" spans="1:3">
      <c r="A50237" t="s">
        <v>2271</v>
      </c>
      <c r="B50237" s="1">
        <v>42349</v>
      </c>
      <c r="C50237" s="1"/>
    </row>
    <row r="50238" spans="1:3">
      <c r="A50238" t="s">
        <v>2178</v>
      </c>
      <c r="C50238" s="1"/>
    </row>
    <row r="50239" spans="1:3">
      <c r="A50239" t="s">
        <v>2097</v>
      </c>
      <c r="B50239" s="1">
        <v>41793</v>
      </c>
      <c r="C50239" s="1"/>
    </row>
    <row r="50240" spans="1:3">
      <c r="A50240" t="s">
        <v>2272</v>
      </c>
      <c r="B50240" s="1">
        <v>41268</v>
      </c>
      <c r="C50240" s="1"/>
    </row>
    <row r="50241" spans="1:3">
      <c r="A50241" t="s">
        <v>2273</v>
      </c>
      <c r="B50241" s="1">
        <v>42349</v>
      </c>
      <c r="C50241" s="1"/>
    </row>
    <row r="50242" spans="1:3">
      <c r="A50242" t="s">
        <v>2274</v>
      </c>
      <c r="B50242" t="s">
        <v>116</v>
      </c>
      <c r="C50242" s="1"/>
    </row>
    <row r="50243" spans="1:3">
      <c r="A50243" t="s">
        <v>2275</v>
      </c>
      <c r="B50243" s="1">
        <v>42318</v>
      </c>
      <c r="C50243" s="1"/>
    </row>
    <row r="50244" spans="1:3">
      <c r="A50244" t="s">
        <v>2276</v>
      </c>
      <c r="B50244" s="1">
        <v>41543</v>
      </c>
      <c r="C50244" s="1"/>
    </row>
    <row r="50245" spans="1:3">
      <c r="A50245" t="s">
        <v>2116</v>
      </c>
      <c r="B50245" t="s">
        <v>2052</v>
      </c>
      <c r="C50245" s="1"/>
    </row>
    <row r="50246" spans="1:3">
      <c r="A50246" t="s">
        <v>2120</v>
      </c>
      <c r="B50246" s="1">
        <v>42327</v>
      </c>
      <c r="C50246" s="1"/>
    </row>
    <row r="50247" spans="1:3">
      <c r="A50247" t="s">
        <v>2277</v>
      </c>
      <c r="B50247" s="1">
        <v>41198</v>
      </c>
      <c r="C50247" s="1"/>
    </row>
    <row r="50248" spans="1:3">
      <c r="A50248" t="s">
        <v>2034</v>
      </c>
      <c r="B50248" s="1">
        <v>41653</v>
      </c>
      <c r="C50248" s="1"/>
    </row>
    <row r="50249" spans="1:3">
      <c r="A50249" t="s">
        <v>2278</v>
      </c>
      <c r="B50249" s="1">
        <v>41306</v>
      </c>
      <c r="C50249" s="1"/>
    </row>
    <row r="50250" spans="1:3">
      <c r="A50250" t="s">
        <v>1691</v>
      </c>
      <c r="B50250" s="1">
        <v>42336</v>
      </c>
      <c r="C50250" s="1"/>
    </row>
    <row r="50251" spans="1:3">
      <c r="A50251" t="s">
        <v>2264</v>
      </c>
      <c r="B50251" s="1">
        <v>41534</v>
      </c>
      <c r="C50251" s="1"/>
    </row>
    <row r="50252" spans="1:3">
      <c r="A50252" t="s">
        <v>1673</v>
      </c>
      <c r="B50252" s="1">
        <v>41002</v>
      </c>
    </row>
    <row r="50253" spans="1:3">
      <c r="A50253" t="s">
        <v>2279</v>
      </c>
      <c r="B50253" s="1">
        <v>42209</v>
      </c>
      <c r="C50253" s="1"/>
    </row>
    <row r="50254" spans="1:3">
      <c r="A50254" t="s">
        <v>2125</v>
      </c>
      <c r="B50254" s="1">
        <v>42315</v>
      </c>
      <c r="C50254" s="1"/>
    </row>
    <row r="50255" spans="1:3">
      <c r="A50255" t="s">
        <v>1968</v>
      </c>
      <c r="B50255" s="1">
        <v>42364</v>
      </c>
      <c r="C50255" s="1"/>
    </row>
    <row r="50256" spans="1:3">
      <c r="A50256" t="s">
        <v>2264</v>
      </c>
      <c r="B50256" s="1">
        <v>41534</v>
      </c>
      <c r="C50256" s="1"/>
    </row>
    <row r="50257" spans="1:3">
      <c r="A50257" t="s">
        <v>2280</v>
      </c>
      <c r="B50257" s="1">
        <v>41725</v>
      </c>
      <c r="C50257" s="1"/>
    </row>
    <row r="50258" spans="1:3">
      <c r="A50258" t="s">
        <v>2276</v>
      </c>
      <c r="B50258" s="1">
        <v>41543</v>
      </c>
      <c r="C50258" s="1"/>
    </row>
    <row r="50259" spans="1:3">
      <c r="A50259" t="s">
        <v>2026</v>
      </c>
      <c r="B50259" s="1">
        <v>41950</v>
      </c>
      <c r="C50259" s="1"/>
    </row>
    <row r="50260" spans="1:3">
      <c r="A50260" t="s">
        <v>2281</v>
      </c>
      <c r="B50260" s="1">
        <v>41534</v>
      </c>
      <c r="C50260" s="1"/>
    </row>
    <row r="50261" spans="1:3">
      <c r="A50261" t="s">
        <v>1972</v>
      </c>
      <c r="B50261" s="1">
        <v>42276</v>
      </c>
      <c r="C50261" s="1"/>
    </row>
    <row r="50262" spans="1:3">
      <c r="A50262" t="s">
        <v>2279</v>
      </c>
      <c r="B50262" s="1">
        <v>42209</v>
      </c>
      <c r="C50262" s="1"/>
    </row>
    <row r="50263" spans="1:3">
      <c r="A50263" t="s">
        <v>2056</v>
      </c>
      <c r="B50263" s="1">
        <v>41996</v>
      </c>
      <c r="C50263" s="1"/>
    </row>
    <row r="50264" spans="1:3">
      <c r="A50264" t="s">
        <v>2282</v>
      </c>
      <c r="B50264" s="1">
        <v>41566</v>
      </c>
      <c r="C50264" s="1"/>
    </row>
    <row r="50265" spans="1:3">
      <c r="A50265" t="s">
        <v>2283</v>
      </c>
      <c r="B50265" t="s">
        <v>1829</v>
      </c>
      <c r="C50265" s="1"/>
    </row>
    <row r="50266" spans="1:3">
      <c r="A50266" t="s">
        <v>2172</v>
      </c>
      <c r="B50266" s="1">
        <v>41482</v>
      </c>
      <c r="C50266" s="1"/>
    </row>
    <row r="50267" spans="1:3">
      <c r="A50267" t="s">
        <v>2276</v>
      </c>
      <c r="B50267" s="1">
        <v>41543</v>
      </c>
      <c r="C50267" s="1"/>
    </row>
    <row r="50269" spans="1:3">
      <c r="A50269" t="s">
        <v>2028</v>
      </c>
      <c r="B50269" s="1">
        <v>42363</v>
      </c>
      <c r="C50269" s="1"/>
    </row>
    <row r="50270" spans="1:3">
      <c r="A50270" t="s">
        <v>2284</v>
      </c>
      <c r="C50270" s="1"/>
    </row>
    <row r="50271" spans="1:3">
      <c r="A50271" t="s">
        <v>2285</v>
      </c>
      <c r="B50271" s="1">
        <v>41917</v>
      </c>
    </row>
    <row r="50272" spans="1:3">
      <c r="A50272" t="s">
        <v>2277</v>
      </c>
      <c r="B50272" s="1">
        <v>41198</v>
      </c>
      <c r="C50272" s="1"/>
    </row>
    <row r="50273" spans="1:3">
      <c r="A50273" t="s">
        <v>2264</v>
      </c>
      <c r="B50273" s="1">
        <v>41534</v>
      </c>
      <c r="C50273" s="1"/>
    </row>
    <row r="50274" spans="1:3">
      <c r="A50274" t="s">
        <v>2264</v>
      </c>
      <c r="B50274" s="1">
        <v>41534</v>
      </c>
      <c r="C50274" s="1"/>
    </row>
    <row r="50275" spans="1:3">
      <c r="A50275" t="s">
        <v>1744</v>
      </c>
      <c r="B50275" s="1">
        <v>41878</v>
      </c>
      <c r="C50275" s="1"/>
    </row>
    <row r="50276" spans="1:3">
      <c r="A50276" t="s">
        <v>2264</v>
      </c>
      <c r="B50276" s="1">
        <v>41534</v>
      </c>
      <c r="C50276" s="1"/>
    </row>
    <row r="50277" spans="1:3">
      <c r="A50277" t="s">
        <v>2264</v>
      </c>
      <c r="B50277" s="1">
        <v>41534</v>
      </c>
      <c r="C50277" s="1"/>
    </row>
    <row r="50278" spans="1:3">
      <c r="A50278" t="s">
        <v>1907</v>
      </c>
      <c r="B50278" s="1">
        <v>41530</v>
      </c>
      <c r="C50278" s="1"/>
    </row>
    <row r="50279" spans="1:3">
      <c r="A50279" t="s">
        <v>2111</v>
      </c>
      <c r="B50279" s="1">
        <v>41026</v>
      </c>
      <c r="C50279" s="1"/>
    </row>
    <row r="50280" spans="1:3">
      <c r="A50280" t="s">
        <v>1978</v>
      </c>
      <c r="B50280" s="1">
        <v>41437</v>
      </c>
      <c r="C50280" s="1"/>
    </row>
    <row r="50281" spans="1:3">
      <c r="A50281" t="s">
        <v>1906</v>
      </c>
      <c r="B50281" s="1">
        <v>41797</v>
      </c>
      <c r="C50281" s="1"/>
    </row>
    <row r="50282" spans="1:3">
      <c r="B50282" t="s">
        <v>2286</v>
      </c>
      <c r="C50282" s="1"/>
    </row>
    <row r="50283" spans="1:3">
      <c r="A50283" t="s">
        <v>2287</v>
      </c>
      <c r="B50283" s="1">
        <v>41840</v>
      </c>
      <c r="C50283" s="1"/>
    </row>
    <row r="50284" spans="1:3">
      <c r="A50284" t="s">
        <v>2288</v>
      </c>
      <c r="C50284" s="1"/>
    </row>
    <row r="50285" spans="1:3">
      <c r="A50285" t="s">
        <v>2288</v>
      </c>
      <c r="B50285" s="1">
        <v>41962</v>
      </c>
      <c r="C50285" s="1"/>
    </row>
    <row r="50286" spans="1:3">
      <c r="A50286" t="s">
        <v>1679</v>
      </c>
      <c r="B50286" s="1">
        <v>42149</v>
      </c>
      <c r="C50286" s="1"/>
    </row>
    <row r="50287" spans="1:3">
      <c r="A50287" t="s">
        <v>2289</v>
      </c>
      <c r="B50287" s="1">
        <v>42271</v>
      </c>
      <c r="C50287" s="1"/>
    </row>
    <row r="50288" spans="1:3">
      <c r="A50288" t="s">
        <v>2112</v>
      </c>
      <c r="B50288" s="1">
        <v>42354</v>
      </c>
    </row>
    <row r="50289" spans="1:3">
      <c r="A50289" t="s">
        <v>2290</v>
      </c>
      <c r="B50289" t="s">
        <v>2291</v>
      </c>
      <c r="C50289" s="1"/>
    </row>
    <row r="50290" spans="1:3">
      <c r="A50290" t="s">
        <v>2292</v>
      </c>
      <c r="B50290" s="1">
        <v>41536</v>
      </c>
      <c r="C50290" s="1"/>
    </row>
    <row r="50291" spans="1:3">
      <c r="A50291" t="s">
        <v>2293</v>
      </c>
      <c r="B50291" s="1">
        <v>42346</v>
      </c>
      <c r="C50291" s="1"/>
    </row>
    <row r="50292" spans="1:3">
      <c r="A50292" t="s">
        <v>2287</v>
      </c>
      <c r="B50292" s="1">
        <v>41840</v>
      </c>
      <c r="C50292" s="1"/>
    </row>
    <row r="50293" spans="1:3">
      <c r="A50293" t="s">
        <v>2165</v>
      </c>
      <c r="B50293" s="1">
        <v>41730</v>
      </c>
      <c r="C50293" s="1"/>
    </row>
    <row r="50294" spans="1:3">
      <c r="A50294" t="s">
        <v>2294</v>
      </c>
      <c r="B50294" s="1">
        <v>41429</v>
      </c>
      <c r="C50294" s="1"/>
    </row>
    <row r="50295" spans="1:3">
      <c r="A50295" t="s">
        <v>2295</v>
      </c>
      <c r="B50295" s="1">
        <v>41215</v>
      </c>
      <c r="C50295" s="1"/>
    </row>
    <row r="50296" spans="1:3">
      <c r="A50296" t="s">
        <v>1876</v>
      </c>
      <c r="B50296" s="1">
        <v>41839</v>
      </c>
      <c r="C50296" s="1"/>
    </row>
    <row r="50297" spans="1:3">
      <c r="A50297" t="s">
        <v>1937</v>
      </c>
      <c r="B50297" s="1">
        <v>41649</v>
      </c>
      <c r="C50297" s="1"/>
    </row>
    <row r="50298" spans="1:3">
      <c r="A50298" t="s">
        <v>2079</v>
      </c>
      <c r="B50298" s="1">
        <v>42316</v>
      </c>
    </row>
    <row r="50299" spans="1:3">
      <c r="A50299" t="s">
        <v>2061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2296</v>
      </c>
      <c r="B50301" s="1">
        <v>42365</v>
      </c>
      <c r="C50301" s="1"/>
    </row>
    <row r="50302" spans="1:3">
      <c r="A50302" t="s">
        <v>2294</v>
      </c>
      <c r="B50302" s="1">
        <v>41429</v>
      </c>
      <c r="C50302" s="1"/>
    </row>
    <row r="50303" spans="1:3">
      <c r="A50303" t="s">
        <v>2297</v>
      </c>
      <c r="B50303" s="1">
        <v>42182</v>
      </c>
      <c r="C50303" s="1"/>
    </row>
    <row r="50304" spans="1:3">
      <c r="A50304" t="s">
        <v>2298</v>
      </c>
      <c r="B50304" s="1">
        <v>42297</v>
      </c>
      <c r="C50304" s="1"/>
    </row>
    <row r="50305" spans="1:3">
      <c r="A50305" t="s">
        <v>2299</v>
      </c>
      <c r="B50305" s="1">
        <v>41538</v>
      </c>
      <c r="C50305" s="1"/>
    </row>
    <row r="50306" spans="1:3">
      <c r="A50306" t="s">
        <v>2300</v>
      </c>
      <c r="B50306" s="1">
        <v>41314</v>
      </c>
      <c r="C50306" s="1"/>
    </row>
    <row r="50307" spans="1:3">
      <c r="A50307" t="s">
        <v>2133</v>
      </c>
      <c r="B50307" s="1">
        <v>41868</v>
      </c>
      <c r="C50307" s="1"/>
    </row>
    <row r="50308" spans="1:3">
      <c r="A50308" t="s">
        <v>1877</v>
      </c>
      <c r="B50308" s="1">
        <v>42305</v>
      </c>
      <c r="C50308" s="1"/>
    </row>
    <row r="50309" spans="1:3">
      <c r="A50309" t="s">
        <v>2169</v>
      </c>
      <c r="B50309" s="1">
        <v>41651</v>
      </c>
      <c r="C50309" s="1"/>
    </row>
    <row r="50310" spans="1:3">
      <c r="A50310" t="s">
        <v>1915</v>
      </c>
      <c r="B50310" s="1">
        <v>41901</v>
      </c>
      <c r="C50310" s="1"/>
    </row>
    <row r="50311" spans="1:3">
      <c r="A50311" t="s">
        <v>1782</v>
      </c>
      <c r="B50311" s="1">
        <v>41201</v>
      </c>
      <c r="C50311" s="1"/>
    </row>
    <row r="50312" spans="1:3">
      <c r="A50312" t="s">
        <v>2301</v>
      </c>
      <c r="B50312" s="1">
        <v>41879</v>
      </c>
      <c r="C50312" s="1"/>
    </row>
    <row r="50313" spans="1:3">
      <c r="A50313" t="s">
        <v>2302</v>
      </c>
      <c r="B50313" s="1">
        <v>41410</v>
      </c>
      <c r="C50313" s="1"/>
    </row>
    <row r="50314" spans="1:3">
      <c r="A50314" t="s">
        <v>1844</v>
      </c>
      <c r="B50314" s="1">
        <v>41504</v>
      </c>
      <c r="C50314" s="1"/>
    </row>
    <row r="50315" spans="1:3">
      <c r="A50315" t="s">
        <v>1886</v>
      </c>
      <c r="B50315" s="1">
        <v>42256</v>
      </c>
      <c r="C50315" s="1"/>
    </row>
    <row r="50316" spans="1:3">
      <c r="A50316" t="s">
        <v>2303</v>
      </c>
      <c r="B50316" s="1">
        <v>41691</v>
      </c>
      <c r="C50316" s="1"/>
    </row>
    <row r="50317" spans="1:3">
      <c r="A50317" t="s">
        <v>2044</v>
      </c>
      <c r="B50317" s="1">
        <v>41065</v>
      </c>
      <c r="C50317" s="1"/>
    </row>
    <row r="50318" spans="1:3">
      <c r="A50318" t="s">
        <v>1747</v>
      </c>
      <c r="B50318" s="1">
        <v>41782</v>
      </c>
      <c r="C50318" s="1"/>
    </row>
    <row r="50319" spans="1:3">
      <c r="A50319" t="s">
        <v>2299</v>
      </c>
      <c r="C50319" s="1"/>
    </row>
    <row r="50320" spans="1:3">
      <c r="A50320" t="s">
        <v>2304</v>
      </c>
      <c r="B50320" s="1">
        <v>41790</v>
      </c>
      <c r="C50320" s="1"/>
    </row>
    <row r="50321" spans="1:3">
      <c r="A50321" t="s">
        <v>2305</v>
      </c>
      <c r="B50321" s="1">
        <v>41187</v>
      </c>
      <c r="C50321" s="1"/>
    </row>
    <row r="50322" spans="1:3">
      <c r="A50322" t="s">
        <v>1811</v>
      </c>
      <c r="B50322" s="1">
        <v>42314</v>
      </c>
      <c r="C50322" s="1"/>
    </row>
    <row r="50323" spans="1:3">
      <c r="A50323" t="s">
        <v>1836</v>
      </c>
      <c r="B50323" s="1">
        <v>41892</v>
      </c>
      <c r="C50323" s="1"/>
    </row>
    <row r="50324" spans="1:3">
      <c r="A50324" t="s">
        <v>1761</v>
      </c>
      <c r="B50324" s="1">
        <v>42219</v>
      </c>
      <c r="C50324" s="1"/>
    </row>
    <row r="50325" spans="1:3">
      <c r="A50325" t="s">
        <v>1848</v>
      </c>
      <c r="B50325" s="1">
        <v>42179</v>
      </c>
      <c r="C50325" s="1"/>
    </row>
    <row r="50326" spans="1:3">
      <c r="A50326" t="s">
        <v>1959</v>
      </c>
      <c r="B50326" s="1">
        <v>42250</v>
      </c>
      <c r="C50326" s="1"/>
    </row>
    <row r="50327" spans="1:3">
      <c r="A50327" t="s">
        <v>1812</v>
      </c>
      <c r="B50327" s="1">
        <v>42069</v>
      </c>
      <c r="C50327" s="1"/>
    </row>
    <row r="50328" spans="1:3">
      <c r="A50328" t="s">
        <v>1825</v>
      </c>
      <c r="B50328" s="1">
        <v>42204</v>
      </c>
      <c r="C50328" s="1"/>
    </row>
    <row r="50329" spans="1:3">
      <c r="B50329" t="s">
        <v>2176</v>
      </c>
      <c r="C50329" s="1"/>
    </row>
    <row r="50330" spans="1:3">
      <c r="A50330" t="s">
        <v>1653</v>
      </c>
      <c r="B50330" s="1">
        <v>41842</v>
      </c>
      <c r="C50330" s="1"/>
    </row>
    <row r="50331" spans="1:3">
      <c r="A50331" t="s">
        <v>1777</v>
      </c>
      <c r="B50331" s="2">
        <v>44451</v>
      </c>
      <c r="C50331" s="1"/>
    </row>
    <row r="50332" spans="1:3">
      <c r="A50332" t="s">
        <v>1856</v>
      </c>
      <c r="B50332" s="1">
        <v>41535</v>
      </c>
      <c r="C50332" s="1"/>
    </row>
    <row r="50333" spans="1:3">
      <c r="A50333" t="s">
        <v>1717</v>
      </c>
      <c r="B50333" s="1">
        <v>42136</v>
      </c>
      <c r="C50333" s="1"/>
    </row>
    <row r="50334" spans="1:3">
      <c r="A50334" t="s">
        <v>1738</v>
      </c>
      <c r="B50334" s="1">
        <v>41751</v>
      </c>
      <c r="C50334" s="1"/>
    </row>
    <row r="50335" spans="1:3">
      <c r="A50335" t="s">
        <v>2306</v>
      </c>
      <c r="B50335" s="1">
        <v>41935</v>
      </c>
      <c r="C50335" s="1"/>
    </row>
    <row r="50336" spans="1:3">
      <c r="A50336" t="s">
        <v>1697</v>
      </c>
      <c r="B50336" s="1">
        <v>41787</v>
      </c>
      <c r="C50336" s="1"/>
    </row>
    <row r="50337" spans="1:3">
      <c r="A50337" t="s">
        <v>1970</v>
      </c>
      <c r="B50337" s="1">
        <v>42322</v>
      </c>
      <c r="C50337" s="1"/>
    </row>
    <row r="50338" spans="1:3">
      <c r="A50338" t="s">
        <v>1675</v>
      </c>
      <c r="B50338" s="1">
        <v>41814</v>
      </c>
      <c r="C50338" s="1"/>
    </row>
    <row r="50339" spans="1:3">
      <c r="A50339" t="s">
        <v>2307</v>
      </c>
      <c r="B50339" s="1">
        <v>41578</v>
      </c>
      <c r="C50339" s="1"/>
    </row>
    <row r="50340" spans="1:3">
      <c r="A50340" t="s">
        <v>2308</v>
      </c>
      <c r="B50340" s="1">
        <v>41509</v>
      </c>
      <c r="C50340" s="1"/>
    </row>
    <row r="50341" spans="1:3">
      <c r="A50341" t="s">
        <v>2309</v>
      </c>
      <c r="B50341" s="1">
        <v>42238</v>
      </c>
      <c r="C50341" s="1"/>
    </row>
    <row r="50342" spans="1:3">
      <c r="A50342" t="s">
        <v>2310</v>
      </c>
      <c r="B50342" s="1">
        <v>42297</v>
      </c>
      <c r="C50342" s="1"/>
    </row>
    <row r="50343" spans="1:3">
      <c r="A50343" t="s">
        <v>2118</v>
      </c>
      <c r="B50343" s="1">
        <v>41978</v>
      </c>
      <c r="C50343" s="1"/>
    </row>
    <row r="50344" spans="1:3">
      <c r="A50344" t="s">
        <v>1897</v>
      </c>
      <c r="B50344" s="1">
        <v>41187</v>
      </c>
      <c r="C50344" s="1"/>
    </row>
    <row r="50345" spans="1:3">
      <c r="A50345" t="s">
        <v>2311</v>
      </c>
      <c r="B50345" s="1">
        <v>41003</v>
      </c>
      <c r="C50345" s="1"/>
    </row>
    <row r="50346" spans="1:3">
      <c r="A50346" t="s">
        <v>2312</v>
      </c>
      <c r="B50346" s="1">
        <v>41478</v>
      </c>
      <c r="C50346" s="1"/>
    </row>
    <row r="50347" spans="1:3">
      <c r="A50347" t="s">
        <v>2312</v>
      </c>
      <c r="B50347" s="1">
        <v>41478</v>
      </c>
      <c r="C50347" s="1"/>
    </row>
    <row r="50348" spans="1:3">
      <c r="A50348" t="s">
        <v>2025</v>
      </c>
      <c r="B50348" s="1">
        <v>41823</v>
      </c>
      <c r="C50348" s="1"/>
    </row>
    <row r="50349" spans="1:3">
      <c r="A50349" t="s">
        <v>963</v>
      </c>
      <c r="B50349" s="1">
        <v>41404</v>
      </c>
      <c r="C50349" s="1"/>
    </row>
    <row r="50350" spans="1:3">
      <c r="A50350" t="s">
        <v>2309</v>
      </c>
      <c r="B50350" s="1">
        <v>42238</v>
      </c>
      <c r="C50350" s="1"/>
    </row>
    <row r="50351" spans="1:3">
      <c r="A50351" t="s">
        <v>2313</v>
      </c>
      <c r="B50351" s="1">
        <v>42276</v>
      </c>
      <c r="C50351" s="1"/>
    </row>
    <row r="50352" spans="1:3">
      <c r="A50352" t="s">
        <v>1936</v>
      </c>
      <c r="B50352" s="1">
        <v>42325</v>
      </c>
      <c r="C50352" s="1"/>
    </row>
    <row r="50353" spans="1:3">
      <c r="A50353" t="s">
        <v>1677</v>
      </c>
      <c r="B50353" s="1">
        <v>41020</v>
      </c>
      <c r="C50353" s="1"/>
    </row>
    <row r="50354" spans="1:3">
      <c r="A50354" t="s">
        <v>2314</v>
      </c>
      <c r="B50354" s="1">
        <v>41907</v>
      </c>
      <c r="C50354" s="1"/>
    </row>
    <row r="50355" spans="1:3">
      <c r="A50355" t="s">
        <v>1842</v>
      </c>
      <c r="B50355" s="1">
        <v>41521</v>
      </c>
      <c r="C50355" s="1"/>
    </row>
    <row r="50356" spans="1:3">
      <c r="A50356" t="s">
        <v>1913</v>
      </c>
      <c r="B50356" s="1">
        <v>41864</v>
      </c>
      <c r="C50356" s="1"/>
    </row>
    <row r="50357" spans="1:3">
      <c r="A50357" t="s">
        <v>2315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1743</v>
      </c>
      <c r="B50359" s="1">
        <v>42173</v>
      </c>
      <c r="C50359" s="1"/>
    </row>
    <row r="50360" spans="1:3">
      <c r="A50360" t="s">
        <v>2315</v>
      </c>
      <c r="B50360" s="1">
        <v>42182</v>
      </c>
      <c r="C50360" s="1"/>
    </row>
    <row r="50361" spans="1:3">
      <c r="A50361" t="s">
        <v>1706</v>
      </c>
      <c r="B50361" s="1">
        <v>41867</v>
      </c>
      <c r="C50361" s="1"/>
    </row>
    <row r="50362" spans="1:3">
      <c r="A50362" t="s">
        <v>2316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2317</v>
      </c>
      <c r="B50364" s="1">
        <v>41219</v>
      </c>
      <c r="C50364" s="1"/>
    </row>
    <row r="50365" spans="1:3">
      <c r="A50365" t="s">
        <v>2032</v>
      </c>
      <c r="B50365" s="1">
        <v>41444</v>
      </c>
      <c r="C50365" s="1"/>
    </row>
    <row r="50366" spans="1:3">
      <c r="A50366" t="s">
        <v>2045</v>
      </c>
      <c r="B50366" s="1">
        <v>42024</v>
      </c>
      <c r="C50366" s="1"/>
    </row>
    <row r="50367" spans="1:3">
      <c r="A50367" t="s">
        <v>1691</v>
      </c>
      <c r="B50367" s="1">
        <v>42336</v>
      </c>
      <c r="C50367" s="1"/>
    </row>
    <row r="50368" spans="1:3">
      <c r="A50368" t="s">
        <v>2318</v>
      </c>
      <c r="B50368" s="1">
        <v>41948</v>
      </c>
      <c r="C50368" s="1"/>
    </row>
    <row r="50369" spans="1:3">
      <c r="A50369" t="s">
        <v>1885</v>
      </c>
      <c r="B50369" t="s">
        <v>918</v>
      </c>
      <c r="C50369" s="1"/>
    </row>
    <row r="50370" spans="1:3">
      <c r="A50370" t="s">
        <v>1786</v>
      </c>
      <c r="B50370" s="1">
        <v>42178</v>
      </c>
      <c r="C50370" s="1"/>
    </row>
    <row r="50371" spans="1:3">
      <c r="A50371" t="s">
        <v>1678</v>
      </c>
      <c r="B50371" s="1">
        <v>42220</v>
      </c>
      <c r="C50371" s="1"/>
    </row>
    <row r="50372" spans="1:3">
      <c r="A50372" t="s">
        <v>2038</v>
      </c>
      <c r="B50372" s="1">
        <v>42299</v>
      </c>
      <c r="C50372" s="1"/>
    </row>
    <row r="50373" spans="1:3">
      <c r="A50373" t="s">
        <v>2146</v>
      </c>
      <c r="B50373" s="1">
        <v>41863</v>
      </c>
      <c r="C50373" s="1"/>
    </row>
    <row r="50374" spans="1:3">
      <c r="A50374" t="s">
        <v>2055</v>
      </c>
      <c r="B50374" s="1">
        <v>41118</v>
      </c>
      <c r="C50374" s="1"/>
    </row>
    <row r="50375" spans="1:3">
      <c r="A50375" t="s">
        <v>2319</v>
      </c>
      <c r="B50375" s="1">
        <v>42019</v>
      </c>
      <c r="C50375" s="1"/>
    </row>
    <row r="50376" spans="1:3">
      <c r="A50376" t="s">
        <v>2175</v>
      </c>
      <c r="B50376" s="1">
        <v>41023</v>
      </c>
      <c r="C50376" s="1"/>
    </row>
    <row r="50377" spans="1:3">
      <c r="A50377" t="s">
        <v>2320</v>
      </c>
      <c r="B50377" s="1">
        <v>41334</v>
      </c>
      <c r="C50377" s="1"/>
    </row>
    <row r="50378" spans="1:3">
      <c r="A50378" t="s">
        <v>2068</v>
      </c>
      <c r="B50378" s="1">
        <v>41572</v>
      </c>
    </row>
    <row r="50379" spans="1:3">
      <c r="A50379" t="s">
        <v>2321</v>
      </c>
      <c r="B50379" s="1">
        <v>42287</v>
      </c>
      <c r="C50379" s="1"/>
    </row>
    <row r="50380" spans="1:3">
      <c r="A50380" t="s">
        <v>2322</v>
      </c>
      <c r="B50380" s="1">
        <v>41916</v>
      </c>
      <c r="C50380" s="1"/>
    </row>
    <row r="50381" spans="1:3">
      <c r="A50381" t="s">
        <v>2319</v>
      </c>
      <c r="B50381" s="1">
        <v>42019</v>
      </c>
      <c r="C50381" s="1"/>
    </row>
    <row r="50382" spans="1:3">
      <c r="A50382" t="s">
        <v>2058</v>
      </c>
      <c r="B50382" s="1">
        <v>41969</v>
      </c>
      <c r="C50382" s="1"/>
    </row>
    <row r="50383" spans="1:3">
      <c r="A50383" t="s">
        <v>2126</v>
      </c>
      <c r="B50383" s="1">
        <v>42217</v>
      </c>
      <c r="C50383" s="1"/>
    </row>
    <row r="50384" spans="1:3">
      <c r="A50384" t="s">
        <v>1681</v>
      </c>
      <c r="B50384" s="1">
        <v>41285</v>
      </c>
      <c r="C50384" s="1"/>
    </row>
    <row r="50385" spans="1:3">
      <c r="A50385" t="s">
        <v>2066</v>
      </c>
      <c r="B50385" s="1">
        <v>40947</v>
      </c>
      <c r="C50385" s="1"/>
    </row>
    <row r="50386" spans="1:3">
      <c r="A50386" t="s">
        <v>1668</v>
      </c>
      <c r="B50386" s="1">
        <v>42218</v>
      </c>
      <c r="C50386" s="1"/>
    </row>
    <row r="50387" spans="1:3">
      <c r="A50387" t="s">
        <v>2316</v>
      </c>
      <c r="B50387" s="1">
        <v>41948</v>
      </c>
      <c r="C50387" s="1"/>
    </row>
    <row r="50388" spans="1:3">
      <c r="A50388" t="s">
        <v>2316</v>
      </c>
      <c r="B50388" s="2">
        <v>41948</v>
      </c>
      <c r="C50388" s="1"/>
    </row>
    <row r="50389" spans="1:3">
      <c r="A50389" t="s">
        <v>2316</v>
      </c>
      <c r="C50389" s="1"/>
    </row>
    <row r="50390" spans="1:3">
      <c r="A50390" t="s">
        <v>2323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2324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2324</v>
      </c>
      <c r="B50394" s="1">
        <v>41223</v>
      </c>
      <c r="C50394" s="1"/>
    </row>
    <row r="50395" spans="1:3">
      <c r="A50395" t="s">
        <v>2325</v>
      </c>
      <c r="B50395" s="1">
        <v>41692</v>
      </c>
      <c r="C50395" s="1"/>
    </row>
    <row r="50396" spans="1:3">
      <c r="A50396" t="s">
        <v>2177</v>
      </c>
      <c r="B50396" s="1">
        <v>42088</v>
      </c>
      <c r="C50396" s="1"/>
    </row>
    <row r="50397" spans="1:3">
      <c r="A50397" t="s">
        <v>2325</v>
      </c>
      <c r="B50397" s="1">
        <v>41692</v>
      </c>
    </row>
    <row r="50398" spans="1:3">
      <c r="A50398" t="s">
        <v>1721</v>
      </c>
      <c r="B50398" s="1">
        <v>41623</v>
      </c>
      <c r="C50398" s="2"/>
    </row>
    <row r="50399" spans="1:3">
      <c r="A50399" t="s">
        <v>2326</v>
      </c>
      <c r="B50399" s="1">
        <v>42167</v>
      </c>
      <c r="C50399" s="1"/>
    </row>
    <row r="50400" spans="1:3">
      <c r="A50400" t="s">
        <v>2327</v>
      </c>
      <c r="B50400" s="1">
        <v>42312</v>
      </c>
      <c r="C50400" s="1"/>
    </row>
    <row r="50401" spans="1:3">
      <c r="A50401" t="s">
        <v>2328</v>
      </c>
      <c r="C50401" s="1"/>
    </row>
    <row r="50402" spans="1:3">
      <c r="A50402" t="s">
        <v>2329</v>
      </c>
      <c r="B50402" s="1">
        <v>41612</v>
      </c>
      <c r="C50402" s="1"/>
    </row>
    <row r="50403" spans="1:3">
      <c r="A50403" t="s">
        <v>1748</v>
      </c>
      <c r="B50403" s="1">
        <v>41271</v>
      </c>
      <c r="C50403" s="1"/>
    </row>
    <row r="50404" spans="1:3">
      <c r="A50404" t="s">
        <v>1803</v>
      </c>
      <c r="B50404" s="1">
        <v>42188</v>
      </c>
      <c r="C50404" s="1"/>
    </row>
    <row r="50405" spans="1:3">
      <c r="A50405" t="s">
        <v>1715</v>
      </c>
      <c r="B50405" s="1">
        <v>41608</v>
      </c>
      <c r="C50405" s="1"/>
    </row>
    <row r="50406" spans="1:3">
      <c r="A50406" t="s">
        <v>2144</v>
      </c>
      <c r="B50406" s="1">
        <v>41732</v>
      </c>
      <c r="C50406" s="1"/>
    </row>
    <row r="50407" spans="1:3">
      <c r="A50407" t="s">
        <v>2330</v>
      </c>
      <c r="B50407" s="1">
        <v>42334</v>
      </c>
      <c r="C50407" s="1"/>
    </row>
    <row r="50408" spans="1:3">
      <c r="A50408" t="s">
        <v>1663</v>
      </c>
      <c r="B50408" s="1">
        <v>41087</v>
      </c>
      <c r="C50408" s="1"/>
    </row>
    <row r="50409" spans="1:3">
      <c r="A50409" t="s">
        <v>2331</v>
      </c>
      <c r="B50409" s="1">
        <v>42293</v>
      </c>
      <c r="C50409" s="1"/>
    </row>
    <row r="50410" spans="1:3">
      <c r="A50410" t="s">
        <v>2332</v>
      </c>
      <c r="B50410" s="1">
        <v>42274</v>
      </c>
      <c r="C50410" s="1"/>
    </row>
    <row r="50411" spans="1:3">
      <c r="A50411" t="s">
        <v>2333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2325</v>
      </c>
      <c r="B50413" s="1">
        <v>41692</v>
      </c>
      <c r="C50413" s="1"/>
    </row>
    <row r="50414" spans="1:3">
      <c r="A50414" t="s">
        <v>2329</v>
      </c>
      <c r="B50414" s="1">
        <v>41612</v>
      </c>
      <c r="C50414" s="1"/>
    </row>
    <row r="50415" spans="1:3">
      <c r="A50415" t="s">
        <v>2334</v>
      </c>
      <c r="B50415" s="1">
        <v>42003</v>
      </c>
      <c r="C50415" s="1"/>
    </row>
    <row r="50416" spans="1:3">
      <c r="A50416" t="s">
        <v>2335</v>
      </c>
      <c r="B50416" s="1">
        <v>41728</v>
      </c>
      <c r="C50416" s="1"/>
    </row>
    <row r="50417" spans="1:3">
      <c r="A50417" t="s">
        <v>2335</v>
      </c>
      <c r="B50417" s="1">
        <v>41728</v>
      </c>
      <c r="C50417" s="1"/>
    </row>
    <row r="50418" spans="1:3">
      <c r="A50418" t="s">
        <v>2336</v>
      </c>
      <c r="B50418" s="1">
        <v>41219</v>
      </c>
      <c r="C50418" s="1"/>
    </row>
    <row r="50419" spans="1:3">
      <c r="A50419" t="s">
        <v>2337</v>
      </c>
      <c r="B50419" s="1">
        <v>42052</v>
      </c>
      <c r="C50419" s="1"/>
    </row>
    <row r="50420" spans="1:3">
      <c r="A50420" t="s">
        <v>1662</v>
      </c>
      <c r="C50420" s="1"/>
    </row>
    <row r="50421" spans="1:3">
      <c r="A50421" t="s">
        <v>2338</v>
      </c>
      <c r="B50421" s="1">
        <v>42173</v>
      </c>
      <c r="C50421" s="1"/>
    </row>
    <row r="50422" spans="1:3">
      <c r="A50422" t="s">
        <v>1996</v>
      </c>
      <c r="B50422" s="1">
        <v>42250</v>
      </c>
      <c r="C50422" s="1"/>
    </row>
    <row r="50423" spans="1:3">
      <c r="A50423" t="s">
        <v>2339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1922</v>
      </c>
      <c r="B50425" s="1">
        <v>42343</v>
      </c>
      <c r="C50425" s="1"/>
    </row>
    <row r="50426" spans="1:3">
      <c r="A50426" t="s">
        <v>1807</v>
      </c>
      <c r="B50426" s="1">
        <v>41969</v>
      </c>
    </row>
    <row r="50427" spans="1:3">
      <c r="A50427" t="s">
        <v>2340</v>
      </c>
      <c r="B50427" s="1">
        <v>40978</v>
      </c>
      <c r="C50427" s="1"/>
    </row>
    <row r="50428" spans="1:3">
      <c r="A50428" t="s">
        <v>2341</v>
      </c>
      <c r="B50428" s="1">
        <v>41909</v>
      </c>
      <c r="C50428" s="1"/>
    </row>
    <row r="50429" spans="1:3">
      <c r="A50429" t="s">
        <v>1942</v>
      </c>
      <c r="B50429" s="1">
        <v>41112</v>
      </c>
      <c r="C50429" s="1"/>
    </row>
    <row r="50430" spans="1:3">
      <c r="A50430" t="s">
        <v>2336</v>
      </c>
      <c r="B50430" s="1">
        <v>41219</v>
      </c>
      <c r="C50430" s="1"/>
    </row>
    <row r="50431" spans="1:3">
      <c r="A50431" t="s">
        <v>2342</v>
      </c>
      <c r="B50431" s="1">
        <v>40958</v>
      </c>
      <c r="C50431" s="1"/>
    </row>
    <row r="50432" spans="1:3">
      <c r="A50432" t="s">
        <v>2343</v>
      </c>
      <c r="B50432" s="1">
        <v>42013</v>
      </c>
      <c r="C50432" s="1"/>
    </row>
    <row r="50433" spans="1:3">
      <c r="A50433" t="s">
        <v>2042</v>
      </c>
      <c r="B50433" s="1">
        <v>41629</v>
      </c>
      <c r="C50433" s="1"/>
    </row>
    <row r="50434" spans="1:3">
      <c r="A50434" t="s">
        <v>1720</v>
      </c>
      <c r="B50434" s="1">
        <v>41240</v>
      </c>
      <c r="C50434" s="1"/>
    </row>
    <row r="50435" spans="1:3">
      <c r="A50435" t="s">
        <v>2139</v>
      </c>
      <c r="B50435" s="1">
        <v>42116</v>
      </c>
      <c r="C50435" s="1"/>
    </row>
    <row r="50436" spans="1:3">
      <c r="A50436" t="s">
        <v>1725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2344</v>
      </c>
      <c r="B50438" s="1">
        <v>42084</v>
      </c>
      <c r="C50438" s="1"/>
    </row>
    <row r="50439" spans="1:3">
      <c r="A50439" t="s">
        <v>2345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2346</v>
      </c>
      <c r="B50441" s="1">
        <v>41900</v>
      </c>
      <c r="C50441" s="1"/>
    </row>
    <row r="50442" spans="1:3">
      <c r="A50442" t="s">
        <v>1979</v>
      </c>
      <c r="B50442" s="1">
        <v>41258</v>
      </c>
      <c r="C50442" s="1"/>
    </row>
    <row r="50443" spans="1:3">
      <c r="A50443" t="s">
        <v>2347</v>
      </c>
      <c r="B50443" s="1">
        <v>41136</v>
      </c>
      <c r="C50443" s="1"/>
    </row>
    <row r="50444" spans="1:3">
      <c r="A50444" t="s">
        <v>2348</v>
      </c>
      <c r="B50444" s="1">
        <v>42314</v>
      </c>
      <c r="C50444" s="1"/>
    </row>
    <row r="50445" spans="1:3">
      <c r="A50445" t="s">
        <v>2349</v>
      </c>
      <c r="B50445" s="1">
        <v>42291</v>
      </c>
    </row>
    <row r="50446" spans="1:3">
      <c r="A50446" t="s">
        <v>2059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2019</v>
      </c>
      <c r="B50448" s="1">
        <v>41270</v>
      </c>
    </row>
    <row r="50449" spans="1:3">
      <c r="A50449" t="s">
        <v>1843</v>
      </c>
      <c r="B50449" s="1">
        <v>41616</v>
      </c>
      <c r="C50449" s="1"/>
    </row>
    <row r="50450" spans="1:3">
      <c r="A50450" t="s">
        <v>2349</v>
      </c>
      <c r="B50450" s="1">
        <v>42291</v>
      </c>
      <c r="C50450" s="1"/>
    </row>
    <row r="50451" spans="1:3">
      <c r="A50451" t="s">
        <v>2103</v>
      </c>
      <c r="B50451" s="1">
        <v>42173</v>
      </c>
      <c r="C50451" s="1"/>
    </row>
    <row r="50452" spans="1:3">
      <c r="A50452" t="s">
        <v>2246</v>
      </c>
      <c r="B50452" s="1">
        <v>41335</v>
      </c>
      <c r="C50452" s="1"/>
    </row>
    <row r="50453" spans="1:3">
      <c r="A50453" t="s">
        <v>2350</v>
      </c>
      <c r="B50453" s="1">
        <v>42279</v>
      </c>
      <c r="C50453" s="1"/>
    </row>
    <row r="50454" spans="1:3">
      <c r="A50454" t="s">
        <v>1805</v>
      </c>
      <c r="B50454" s="1">
        <v>42024</v>
      </c>
      <c r="C50454" s="1"/>
    </row>
    <row r="50455" spans="1:3">
      <c r="A50455" t="s">
        <v>1746</v>
      </c>
      <c r="B50455" s="1">
        <v>41990</v>
      </c>
    </row>
    <row r="50456" spans="1:3">
      <c r="A50456" t="s">
        <v>2351</v>
      </c>
      <c r="B50456" s="1">
        <v>41174</v>
      </c>
      <c r="C50456" s="1"/>
    </row>
    <row r="50457" spans="1:3">
      <c r="A50457" t="s">
        <v>2349</v>
      </c>
      <c r="B50457" s="1">
        <v>42291</v>
      </c>
      <c r="C50457" s="1"/>
    </row>
    <row r="50458" spans="1:3">
      <c r="A50458" t="s">
        <v>1964</v>
      </c>
      <c r="B50458" s="1">
        <v>40933</v>
      </c>
      <c r="C50458" s="1"/>
    </row>
    <row r="50459" spans="1:3">
      <c r="A50459" t="s">
        <v>1660</v>
      </c>
      <c r="B50459" s="1">
        <v>41836</v>
      </c>
      <c r="C50459" s="1"/>
    </row>
    <row r="50460" spans="1:3">
      <c r="A50460" t="s">
        <v>1693</v>
      </c>
      <c r="B50460" s="1">
        <v>42025</v>
      </c>
      <c r="C50460" s="1"/>
    </row>
    <row r="50461" spans="1:3">
      <c r="A50461" t="s">
        <v>1684</v>
      </c>
      <c r="B50461" t="s">
        <v>2159</v>
      </c>
      <c r="C50461" s="1"/>
    </row>
    <row r="50462" spans="1:3">
      <c r="A50462" t="s">
        <v>2352</v>
      </c>
      <c r="B50462" s="1">
        <v>41892</v>
      </c>
      <c r="C50462" s="1"/>
    </row>
    <row r="50463" spans="1:3">
      <c r="A50463" t="s">
        <v>2353</v>
      </c>
      <c r="B50463" s="1">
        <v>40936</v>
      </c>
      <c r="C50463" s="1"/>
    </row>
    <row r="50464" spans="1:3">
      <c r="A50464" t="s">
        <v>2174</v>
      </c>
      <c r="B50464" s="1">
        <v>41440</v>
      </c>
      <c r="C50464" s="1"/>
    </row>
    <row r="50465" spans="1:3">
      <c r="A50465" t="s">
        <v>2354</v>
      </c>
      <c r="B50465" s="1">
        <v>42168</v>
      </c>
    </row>
    <row r="50466" spans="1:3">
      <c r="A50466" t="s">
        <v>1796</v>
      </c>
      <c r="B50466" s="1">
        <v>42154</v>
      </c>
      <c r="C50466" s="1"/>
    </row>
    <row r="50467" spans="1:3">
      <c r="A50467" t="s">
        <v>2348</v>
      </c>
      <c r="B50467" s="1">
        <v>42166</v>
      </c>
      <c r="C50467" s="1"/>
    </row>
    <row r="50468" spans="1:3">
      <c r="A50468" t="s">
        <v>2069</v>
      </c>
      <c r="B50468" s="1">
        <v>41607</v>
      </c>
      <c r="C50468" s="1"/>
    </row>
    <row r="50469" spans="1:3">
      <c r="A50469" t="s">
        <v>2355</v>
      </c>
      <c r="B50469" s="1">
        <v>41660</v>
      </c>
      <c r="C50469" s="1"/>
    </row>
    <row r="50470" spans="1:3">
      <c r="A50470" t="s">
        <v>2356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2357</v>
      </c>
      <c r="B50472" s="1">
        <v>42339</v>
      </c>
      <c r="C50472" s="1"/>
    </row>
    <row r="50473" spans="1:3">
      <c r="A50473" t="s">
        <v>2358</v>
      </c>
      <c r="B50473" s="1">
        <v>42150</v>
      </c>
      <c r="C50473" s="1"/>
    </row>
    <row r="50474" spans="1:3">
      <c r="A50474" t="s">
        <v>2359</v>
      </c>
      <c r="B50474" t="s">
        <v>2360</v>
      </c>
      <c r="C50474" s="1"/>
    </row>
    <row r="50475" spans="1:3">
      <c r="A50475" t="s">
        <v>1749</v>
      </c>
      <c r="B50475" s="1">
        <v>41214</v>
      </c>
      <c r="C50475" s="1"/>
    </row>
    <row r="50476" spans="1:3">
      <c r="A50476" t="s">
        <v>1801</v>
      </c>
      <c r="B50476" s="1">
        <v>41577</v>
      </c>
      <c r="C50476" s="1"/>
    </row>
    <row r="50477" spans="1:3">
      <c r="A50477" t="s">
        <v>1656</v>
      </c>
      <c r="B50477" s="1">
        <v>41675</v>
      </c>
      <c r="C50477" s="1"/>
    </row>
    <row r="50478" spans="1:3">
      <c r="A50478" t="s">
        <v>1879</v>
      </c>
      <c r="B50478" s="1">
        <v>41234</v>
      </c>
      <c r="C50478" s="1"/>
    </row>
    <row r="50479" spans="1:3">
      <c r="A50479" t="s">
        <v>2361</v>
      </c>
      <c r="B50479" s="1">
        <v>41572</v>
      </c>
      <c r="C50479" s="1"/>
    </row>
    <row r="50480" spans="1:3">
      <c r="A50480" t="s">
        <v>2362</v>
      </c>
      <c r="B50480" s="1">
        <v>41126</v>
      </c>
      <c r="C50480" s="1"/>
    </row>
    <row r="50481" spans="1:3">
      <c r="A50481" t="s">
        <v>2363</v>
      </c>
      <c r="B50481" s="1">
        <v>41422</v>
      </c>
      <c r="C50481" s="1"/>
    </row>
    <row r="50482" spans="1:3">
      <c r="A50482" t="s">
        <v>2110</v>
      </c>
      <c r="B50482" s="1">
        <v>42088</v>
      </c>
      <c r="C50482" s="1"/>
    </row>
    <row r="50483" spans="1:3">
      <c r="A50483" t="s">
        <v>2364</v>
      </c>
      <c r="B50483" s="1">
        <v>41510</v>
      </c>
      <c r="C50483" s="1"/>
    </row>
    <row r="50484" spans="1:3">
      <c r="A50484" t="s">
        <v>1788</v>
      </c>
      <c r="B50484" s="1">
        <v>42349</v>
      </c>
      <c r="C50484" s="1"/>
    </row>
    <row r="50485" spans="1:3">
      <c r="A50485" t="s">
        <v>2358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1714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2365</v>
      </c>
      <c r="B50491" s="1">
        <v>41768</v>
      </c>
      <c r="C50491" s="1"/>
    </row>
    <row r="50492" spans="1:3">
      <c r="A50492" t="s">
        <v>2089</v>
      </c>
      <c r="B50492" s="1">
        <v>42118</v>
      </c>
      <c r="C50492" s="1"/>
    </row>
    <row r="50493" spans="1:3">
      <c r="A50493" t="s">
        <v>1880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2366</v>
      </c>
      <c r="B50495" s="1">
        <v>41639</v>
      </c>
      <c r="C50495" s="1"/>
    </row>
    <row r="50496" spans="1:3">
      <c r="A50496" t="s">
        <v>2363</v>
      </c>
      <c r="B50496" s="1">
        <v>41422</v>
      </c>
      <c r="C50496" s="1"/>
    </row>
    <row r="50497" spans="1:3">
      <c r="A50497" t="s">
        <v>2046</v>
      </c>
      <c r="B50497" s="1">
        <v>41866</v>
      </c>
      <c r="C50497" s="1"/>
    </row>
    <row r="50498" spans="1:3">
      <c r="A50498" t="s">
        <v>2358</v>
      </c>
      <c r="B50498" s="1">
        <v>42150</v>
      </c>
      <c r="C50498" s="1"/>
    </row>
    <row r="50499" spans="1:3">
      <c r="A50499" t="s">
        <v>1781</v>
      </c>
      <c r="B50499" s="1">
        <v>42201</v>
      </c>
      <c r="C50499" s="1"/>
    </row>
    <row r="50500" spans="1:3">
      <c r="A50500" t="s">
        <v>2367</v>
      </c>
      <c r="B50500" s="1">
        <v>41639</v>
      </c>
      <c r="C50500" s="1"/>
    </row>
    <row r="50501" spans="1:3">
      <c r="A50501" t="s">
        <v>2368</v>
      </c>
      <c r="B50501" s="1">
        <v>41992</v>
      </c>
      <c r="C50501" s="1"/>
    </row>
    <row r="50502" spans="1:3">
      <c r="A50502" t="s">
        <v>2369</v>
      </c>
      <c r="B50502" s="1">
        <v>40998</v>
      </c>
    </row>
    <row r="50503" spans="1:3">
      <c r="A50503" t="s">
        <v>2370</v>
      </c>
      <c r="B50503" s="1">
        <v>41434</v>
      </c>
      <c r="C50503" s="1"/>
    </row>
    <row r="50504" spans="1:3">
      <c r="A50504" t="s">
        <v>2371</v>
      </c>
      <c r="B50504" s="1">
        <v>42339</v>
      </c>
      <c r="C50504" s="1"/>
    </row>
    <row r="50505" spans="1:3">
      <c r="A50505" t="s">
        <v>2370</v>
      </c>
      <c r="B50505" s="1">
        <v>41434</v>
      </c>
    </row>
    <row r="50506" spans="1:3">
      <c r="A50506" t="s">
        <v>2372</v>
      </c>
      <c r="B50506" s="1">
        <v>42105</v>
      </c>
      <c r="C50506" s="1"/>
    </row>
    <row r="50507" spans="1:3">
      <c r="A50507" t="s">
        <v>2373</v>
      </c>
      <c r="B50507" s="1">
        <v>41611</v>
      </c>
      <c r="C50507" s="1"/>
    </row>
    <row r="50508" spans="1:3">
      <c r="A50508" t="s">
        <v>2374</v>
      </c>
      <c r="B50508" s="1">
        <v>41241</v>
      </c>
      <c r="C50508" s="1"/>
    </row>
    <row r="50509" spans="1:3">
      <c r="A50509" t="s">
        <v>1760</v>
      </c>
      <c r="B50509" s="1">
        <v>41901</v>
      </c>
      <c r="C50509" s="1"/>
    </row>
    <row r="50510" spans="1:3">
      <c r="A50510" t="s">
        <v>2375</v>
      </c>
      <c r="B50510" s="1">
        <v>41079</v>
      </c>
      <c r="C50510" s="1"/>
    </row>
    <row r="50511" spans="1:3">
      <c r="A50511" t="s">
        <v>2376</v>
      </c>
      <c r="B50511" s="1">
        <v>42132</v>
      </c>
      <c r="C50511" s="1"/>
    </row>
    <row r="50512" spans="1:3">
      <c r="A50512" t="s">
        <v>2377</v>
      </c>
      <c r="B50512" t="s">
        <v>2378</v>
      </c>
      <c r="C50512" s="1"/>
    </row>
    <row r="50513" spans="1:3">
      <c r="A50513" t="s">
        <v>2036</v>
      </c>
      <c r="B50513" s="1">
        <v>41321</v>
      </c>
      <c r="C50513" s="1"/>
    </row>
    <row r="50514" spans="1:3">
      <c r="A50514" t="s">
        <v>2147</v>
      </c>
      <c r="B50514" s="1">
        <v>42120</v>
      </c>
      <c r="C50514" s="2"/>
    </row>
    <row r="50515" spans="1:3">
      <c r="A50515" t="s">
        <v>2152</v>
      </c>
      <c r="B50515" s="1">
        <v>41702</v>
      </c>
      <c r="C50515" s="1"/>
    </row>
    <row r="50516" spans="1:3">
      <c r="A50516" t="s">
        <v>2371</v>
      </c>
      <c r="B50516" s="1">
        <v>42339</v>
      </c>
      <c r="C50516" s="1"/>
    </row>
    <row r="50517" spans="1:3">
      <c r="A50517" t="s">
        <v>2379</v>
      </c>
      <c r="B50517" s="1">
        <v>42339</v>
      </c>
      <c r="C50517" s="1"/>
    </row>
    <row r="50518" spans="1:3">
      <c r="A50518" t="s">
        <v>1873</v>
      </c>
      <c r="B50518" s="1">
        <v>41906</v>
      </c>
      <c r="C50518" s="1"/>
    </row>
    <row r="50519" spans="1:3">
      <c r="A50519" t="s">
        <v>2380</v>
      </c>
      <c r="B50519" s="1">
        <v>41247</v>
      </c>
      <c r="C50519" s="1"/>
    </row>
    <row r="50520" spans="1:3">
      <c r="A50520" t="s">
        <v>2381</v>
      </c>
      <c r="B50520" s="1">
        <v>42255</v>
      </c>
      <c r="C50520" s="1"/>
    </row>
    <row r="50521" spans="1:3">
      <c r="A50521" t="s">
        <v>2371</v>
      </c>
      <c r="C50521" s="1"/>
    </row>
    <row r="50522" spans="1:3">
      <c r="A50522" t="s">
        <v>2005</v>
      </c>
      <c r="B50522" s="1">
        <v>41194</v>
      </c>
      <c r="C50522" s="1"/>
    </row>
    <row r="50523" spans="1:3">
      <c r="A50523" t="s">
        <v>1690</v>
      </c>
      <c r="B50523" s="1">
        <v>41122</v>
      </c>
      <c r="C50523" s="1"/>
    </row>
    <row r="50524" spans="1:3">
      <c r="A50524" t="s">
        <v>1733</v>
      </c>
      <c r="B50524" s="1">
        <v>41852</v>
      </c>
      <c r="C50524" s="1"/>
    </row>
    <row r="50525" spans="1:3">
      <c r="A50525" t="s">
        <v>2382</v>
      </c>
      <c r="B50525" s="1">
        <v>41535</v>
      </c>
      <c r="C50525" s="1"/>
    </row>
    <row r="50526" spans="1:3">
      <c r="A50526" t="s">
        <v>2371</v>
      </c>
      <c r="B50526" s="1">
        <v>42339</v>
      </c>
      <c r="C50526" s="1"/>
    </row>
    <row r="50527" spans="1:3">
      <c r="A50527" t="s">
        <v>2383</v>
      </c>
      <c r="B50527" s="1">
        <v>41250</v>
      </c>
      <c r="C50527" s="1"/>
    </row>
    <row r="50528" spans="1:3">
      <c r="A50528" t="s">
        <v>1862</v>
      </c>
      <c r="B50528" s="1">
        <v>41077</v>
      </c>
    </row>
    <row r="50529" spans="1:3">
      <c r="A50529" t="s">
        <v>2160</v>
      </c>
      <c r="B50529" s="1">
        <v>41324</v>
      </c>
      <c r="C50529" s="1"/>
    </row>
    <row r="50530" spans="1:3">
      <c r="A50530" t="s">
        <v>2004</v>
      </c>
      <c r="B50530" s="1">
        <v>41877</v>
      </c>
      <c r="C50530" s="1"/>
    </row>
    <row r="50531" spans="1:3">
      <c r="A50531" t="s">
        <v>2384</v>
      </c>
      <c r="B50531" s="1">
        <v>42004</v>
      </c>
      <c r="C50531" s="2"/>
    </row>
    <row r="50532" spans="1:3">
      <c r="A50532" t="s">
        <v>771</v>
      </c>
      <c r="B50532" s="1">
        <v>42304</v>
      </c>
      <c r="C50532" s="1"/>
    </row>
    <row r="50533" spans="1:3">
      <c r="A50533" t="s">
        <v>2381</v>
      </c>
      <c r="B50533" s="1">
        <v>42225</v>
      </c>
      <c r="C50533" s="1"/>
    </row>
    <row r="50534" spans="1:3">
      <c r="A50534" t="s">
        <v>2151</v>
      </c>
      <c r="B50534" s="1">
        <v>41891</v>
      </c>
    </row>
    <row r="50535" spans="1:3">
      <c r="A50535" t="s">
        <v>2369</v>
      </c>
      <c r="B50535" s="1">
        <v>40998</v>
      </c>
      <c r="C50535" s="1"/>
    </row>
    <row r="50536" spans="1:3">
      <c r="A50536" t="s">
        <v>2382</v>
      </c>
      <c r="B50536" s="1">
        <v>41535</v>
      </c>
      <c r="C50536" s="1"/>
    </row>
    <row r="50537" spans="1:3">
      <c r="A50537" t="s">
        <v>2371</v>
      </c>
      <c r="B50537" s="1">
        <v>42339</v>
      </c>
      <c r="C50537" s="1"/>
    </row>
    <row r="50538" spans="1:3">
      <c r="A50538" t="s">
        <v>2385</v>
      </c>
      <c r="B50538" s="1">
        <v>41854</v>
      </c>
      <c r="C50538" s="1"/>
    </row>
    <row r="50539" spans="1:3">
      <c r="A50539" t="s">
        <v>2386</v>
      </c>
      <c r="B50539" s="1">
        <v>42175</v>
      </c>
      <c r="C50539" s="1"/>
    </row>
    <row r="50540" spans="1:3">
      <c r="A50540" t="s">
        <v>2369</v>
      </c>
      <c r="C50540" s="1"/>
    </row>
    <row r="50541" spans="1:3">
      <c r="A50541" t="s">
        <v>2382</v>
      </c>
    </row>
    <row r="50542" spans="1:3">
      <c r="A50542" t="s">
        <v>1852</v>
      </c>
      <c r="B50542" s="1">
        <v>42145</v>
      </c>
      <c r="C50542" s="1"/>
    </row>
    <row r="50543" spans="1:3">
      <c r="A50543" t="s">
        <v>2387</v>
      </c>
      <c r="B50543" s="1">
        <v>42007</v>
      </c>
      <c r="C50543" s="1"/>
    </row>
    <row r="50544" spans="1:3">
      <c r="A50544" t="s">
        <v>2388</v>
      </c>
      <c r="B50544" s="1">
        <v>41310</v>
      </c>
      <c r="C50544" s="1"/>
    </row>
    <row r="50545" spans="1:3">
      <c r="A50545" t="s">
        <v>1808</v>
      </c>
      <c r="B50545" s="1">
        <v>42299</v>
      </c>
      <c r="C50545" s="1"/>
    </row>
    <row r="50546" spans="1:3">
      <c r="A50546" t="s">
        <v>2389</v>
      </c>
      <c r="B50546" s="1">
        <v>41999</v>
      </c>
      <c r="C50546" s="1"/>
    </row>
    <row r="50547" spans="1:3">
      <c r="A50547" t="s">
        <v>2390</v>
      </c>
      <c r="B50547" s="1">
        <v>42131</v>
      </c>
      <c r="C50547" s="1"/>
    </row>
    <row r="50548" spans="1:3">
      <c r="A50548" t="s">
        <v>2391</v>
      </c>
      <c r="B50548" s="1">
        <v>41389</v>
      </c>
      <c r="C50548" s="1"/>
    </row>
    <row r="50549" spans="1:3">
      <c r="A50549" t="s">
        <v>1820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2107</v>
      </c>
      <c r="B50551" s="1">
        <v>41808</v>
      </c>
      <c r="C50551" s="1"/>
    </row>
    <row r="50552" spans="1:3">
      <c r="A50552" t="s">
        <v>1991</v>
      </c>
      <c r="B50552" s="1">
        <v>42263</v>
      </c>
      <c r="C50552" s="1"/>
    </row>
    <row r="50553" spans="1:3">
      <c r="A50553" t="s">
        <v>2389</v>
      </c>
      <c r="B50553" s="1">
        <v>41999</v>
      </c>
      <c r="C50553" s="1"/>
    </row>
    <row r="50554" spans="1:3">
      <c r="A50554" t="s">
        <v>1883</v>
      </c>
      <c r="B50554" s="1">
        <v>42341</v>
      </c>
      <c r="C50554" s="1"/>
    </row>
    <row r="50555" spans="1:3">
      <c r="A50555" t="s">
        <v>2064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2392</v>
      </c>
      <c r="B50557" s="1">
        <v>41389</v>
      </c>
      <c r="C50557" s="1"/>
    </row>
    <row r="50558" spans="1:3">
      <c r="A50558" t="s">
        <v>2393</v>
      </c>
      <c r="B50558" s="1">
        <v>41142</v>
      </c>
      <c r="C50558" s="1"/>
    </row>
    <row r="50559" spans="1:3">
      <c r="A50559" t="s">
        <v>2389</v>
      </c>
      <c r="B50559" s="1">
        <v>41999</v>
      </c>
    </row>
    <row r="50560" spans="1:3">
      <c r="A50560" t="s">
        <v>2104</v>
      </c>
      <c r="B50560" s="1">
        <v>42259</v>
      </c>
      <c r="C50560" s="1"/>
    </row>
    <row r="50561" spans="1:3">
      <c r="A50561" t="s">
        <v>2394</v>
      </c>
      <c r="B50561" s="1">
        <v>42207</v>
      </c>
      <c r="C50561" s="1"/>
    </row>
    <row r="50562" spans="1:3">
      <c r="A50562" t="s">
        <v>1934</v>
      </c>
      <c r="B50562" s="1">
        <v>41121</v>
      </c>
      <c r="C50562" s="1"/>
    </row>
    <row r="50563" spans="1:3">
      <c r="A50563" t="s">
        <v>1955</v>
      </c>
      <c r="B50563" s="1">
        <v>42321</v>
      </c>
      <c r="C50563" s="1"/>
    </row>
    <row r="50564" spans="1:3">
      <c r="A50564" t="s">
        <v>1652</v>
      </c>
      <c r="B50564" s="1">
        <v>41159</v>
      </c>
      <c r="C50564" s="1"/>
    </row>
    <row r="50565" spans="1:3">
      <c r="A50565" t="s">
        <v>2395</v>
      </c>
      <c r="B50565" s="1">
        <v>42062</v>
      </c>
      <c r="C50565" s="1"/>
    </row>
    <row r="50566" spans="1:3">
      <c r="A50566" t="s">
        <v>2396</v>
      </c>
      <c r="B50566" s="1">
        <v>42312</v>
      </c>
      <c r="C50566" s="1"/>
    </row>
    <row r="50567" spans="1:3">
      <c r="A50567" t="s">
        <v>2387</v>
      </c>
      <c r="B50567" s="1">
        <v>42007</v>
      </c>
      <c r="C50567" s="1"/>
    </row>
    <row r="50568" spans="1:3">
      <c r="A50568" t="s">
        <v>1908</v>
      </c>
      <c r="B50568" t="s">
        <v>2128</v>
      </c>
      <c r="C50568" s="1"/>
    </row>
    <row r="50569" spans="1:3">
      <c r="A50569" t="s">
        <v>1831</v>
      </c>
      <c r="B50569" s="1">
        <v>41949</v>
      </c>
      <c r="C50569" s="1"/>
    </row>
    <row r="50570" spans="1:3">
      <c r="A50570" t="s">
        <v>2389</v>
      </c>
      <c r="B50570" s="1">
        <v>41999</v>
      </c>
      <c r="C50570" s="1"/>
    </row>
    <row r="50571" spans="1:3">
      <c r="A50571" t="s">
        <v>1731</v>
      </c>
      <c r="B50571" s="1">
        <v>41741</v>
      </c>
      <c r="C50571" s="1"/>
    </row>
    <row r="50572" spans="1:3">
      <c r="A50572" t="s">
        <v>2388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2397</v>
      </c>
      <c r="B50574" s="1">
        <v>41730</v>
      </c>
    </row>
    <row r="50575" spans="1:3">
      <c r="A50575" t="s">
        <v>1953</v>
      </c>
      <c r="B50575" s="1">
        <v>42261</v>
      </c>
    </row>
    <row r="50576" spans="1:3">
      <c r="A50576" t="s">
        <v>2387</v>
      </c>
      <c r="B50576" s="1">
        <v>42007</v>
      </c>
      <c r="C50576" s="1"/>
    </row>
    <row r="50577" spans="1:3">
      <c r="A50577" t="s">
        <v>2388</v>
      </c>
      <c r="B50577" s="1">
        <v>41310</v>
      </c>
    </row>
    <row r="50578" spans="1:3">
      <c r="A50578" t="s">
        <v>1787</v>
      </c>
      <c r="B50578" s="1">
        <v>42325</v>
      </c>
      <c r="C50578" s="1"/>
    </row>
    <row r="50579" spans="1:3">
      <c r="A50579" t="s">
        <v>2398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2399</v>
      </c>
      <c r="B50581" s="1">
        <v>41579</v>
      </c>
      <c r="C50581" s="1"/>
    </row>
    <row r="50582" spans="1:3">
      <c r="A50582" t="s">
        <v>1938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2400</v>
      </c>
      <c r="B50584" t="s">
        <v>2401</v>
      </c>
      <c r="C50584" s="1"/>
    </row>
    <row r="50585" spans="1:3">
      <c r="A50585" t="s">
        <v>2402</v>
      </c>
      <c r="B50585" s="1">
        <v>41583</v>
      </c>
      <c r="C50585" s="1"/>
    </row>
    <row r="50586" spans="1:3">
      <c r="A50586" t="s">
        <v>2403</v>
      </c>
      <c r="B50586" s="1">
        <v>42104</v>
      </c>
      <c r="C50586" s="1"/>
    </row>
    <row r="50587" spans="1:3">
      <c r="A50587" t="s">
        <v>2154</v>
      </c>
      <c r="B50587" s="1">
        <v>41364</v>
      </c>
      <c r="C50587" s="1"/>
    </row>
    <row r="50588" spans="1:3">
      <c r="A50588" t="s">
        <v>1664</v>
      </c>
      <c r="B50588" s="1">
        <v>40968</v>
      </c>
      <c r="C50588" s="1"/>
    </row>
    <row r="50589" spans="1:3">
      <c r="A50589" t="s">
        <v>2053</v>
      </c>
      <c r="B50589" s="1">
        <v>41773</v>
      </c>
      <c r="C50589" s="1"/>
    </row>
    <row r="50590" spans="1:3">
      <c r="A50590" t="s">
        <v>2398</v>
      </c>
      <c r="B50590" s="1">
        <v>41124</v>
      </c>
      <c r="C50590" s="1"/>
    </row>
    <row r="50591" spans="1:3">
      <c r="A50591" t="s">
        <v>2083</v>
      </c>
      <c r="B50591" s="1">
        <v>41391</v>
      </c>
      <c r="C50591" s="1"/>
    </row>
    <row r="50592" spans="1:3">
      <c r="A50592" t="s">
        <v>1990</v>
      </c>
      <c r="B50592" s="1">
        <v>41629</v>
      </c>
      <c r="C50592" s="1"/>
    </row>
    <row r="50593" spans="1:3">
      <c r="A50593" t="s">
        <v>1983</v>
      </c>
      <c r="B50593" s="1">
        <v>41392</v>
      </c>
      <c r="C50593" s="1"/>
    </row>
    <row r="50594" spans="1:3">
      <c r="A50594" t="s">
        <v>1737</v>
      </c>
      <c r="B50594" s="1">
        <v>41003</v>
      </c>
      <c r="C50594" s="1"/>
    </row>
    <row r="50595" spans="1:3">
      <c r="A50595" t="s">
        <v>2100</v>
      </c>
      <c r="B50595" s="1">
        <v>42077</v>
      </c>
      <c r="C50595" s="1"/>
    </row>
    <row r="50596" spans="1:3">
      <c r="A50596" t="s">
        <v>2399</v>
      </c>
      <c r="B50596" s="1">
        <v>41579</v>
      </c>
      <c r="C50596" s="1"/>
    </row>
    <row r="50597" spans="1:3">
      <c r="A50597" t="s">
        <v>1698</v>
      </c>
      <c r="B50597" s="1">
        <v>41866</v>
      </c>
      <c r="C50597" s="1"/>
    </row>
    <row r="50598" spans="1:3">
      <c r="A50598" t="s">
        <v>2404</v>
      </c>
      <c r="B50598" s="1">
        <v>42263</v>
      </c>
      <c r="C50598" s="1"/>
    </row>
    <row r="50599" spans="1:3">
      <c r="A50599" t="s">
        <v>2405</v>
      </c>
      <c r="B50599" s="1">
        <v>41332</v>
      </c>
      <c r="C50599" s="1"/>
    </row>
    <row r="50600" spans="1:3">
      <c r="A50600" t="s">
        <v>2399</v>
      </c>
      <c r="B50600" s="1">
        <v>41579</v>
      </c>
      <c r="C50600" s="1"/>
    </row>
    <row r="50601" spans="1:3">
      <c r="A50601" t="s">
        <v>2406</v>
      </c>
      <c r="B50601" t="s">
        <v>116</v>
      </c>
      <c r="C50601" s="1"/>
    </row>
    <row r="50602" spans="1:3">
      <c r="A50602" t="s">
        <v>2077</v>
      </c>
      <c r="B50602" s="1">
        <v>42273</v>
      </c>
    </row>
    <row r="50603" spans="1:3">
      <c r="A50603" t="s">
        <v>2407</v>
      </c>
      <c r="B50603" s="1">
        <v>42109</v>
      </c>
      <c r="C50603" s="1"/>
    </row>
    <row r="50604" spans="1:3">
      <c r="A50604" t="s">
        <v>1822</v>
      </c>
      <c r="B50604" s="1">
        <v>41672</v>
      </c>
      <c r="C50604" s="1"/>
    </row>
    <row r="50605" spans="1:3">
      <c r="A50605" t="s">
        <v>1954</v>
      </c>
      <c r="B50605" s="1">
        <v>41285</v>
      </c>
      <c r="C50605" s="1"/>
    </row>
    <row r="50606" spans="1:3">
      <c r="A50606" t="s">
        <v>1996</v>
      </c>
      <c r="B50606" s="1">
        <v>42250</v>
      </c>
      <c r="C50606" s="1"/>
    </row>
    <row r="50607" spans="1:3">
      <c r="A50607" t="s">
        <v>2408</v>
      </c>
      <c r="B50607" s="1">
        <v>41976</v>
      </c>
      <c r="C50607" s="1"/>
    </row>
    <row r="50608" spans="1:3">
      <c r="A50608" t="s">
        <v>1914</v>
      </c>
      <c r="B50608" s="1">
        <v>41783</v>
      </c>
      <c r="C50608" s="1"/>
    </row>
    <row r="50609" spans="1:3">
      <c r="A50609" t="s">
        <v>2101</v>
      </c>
      <c r="B50609" s="1">
        <v>41010</v>
      </c>
      <c r="C50609" s="1"/>
    </row>
    <row r="50610" spans="1:3">
      <c r="A50610" t="s">
        <v>1823</v>
      </c>
      <c r="C50610" s="1"/>
    </row>
    <row r="50611" spans="1:3">
      <c r="A50611" t="s">
        <v>1867</v>
      </c>
      <c r="B50611" s="1">
        <v>41909</v>
      </c>
      <c r="C50611" s="1"/>
    </row>
    <row r="50612" spans="1:3">
      <c r="A50612" t="s">
        <v>1712</v>
      </c>
      <c r="B50612" s="1">
        <v>41116</v>
      </c>
      <c r="C50612" s="1"/>
    </row>
    <row r="50613" spans="1:3">
      <c r="A50613" t="s">
        <v>1946</v>
      </c>
      <c r="B50613" s="1">
        <v>41746</v>
      </c>
      <c r="C50613" s="1"/>
    </row>
    <row r="50614" spans="1:3">
      <c r="A50614" t="s">
        <v>1703</v>
      </c>
      <c r="C50614" s="1"/>
    </row>
    <row r="50615" spans="1:3">
      <c r="A50615" t="s">
        <v>1753</v>
      </c>
      <c r="B50615" s="1">
        <v>41386</v>
      </c>
      <c r="C50615" s="1"/>
    </row>
    <row r="50616" spans="1:3">
      <c r="A50616" t="s">
        <v>1780</v>
      </c>
      <c r="B50616" s="2">
        <v>41949</v>
      </c>
      <c r="C50616" s="1"/>
    </row>
    <row r="50617" spans="1:3">
      <c r="A50617" t="s">
        <v>1797</v>
      </c>
      <c r="B50617" s="1">
        <v>41208</v>
      </c>
      <c r="C50617" s="1"/>
    </row>
    <row r="50618" spans="1:3">
      <c r="A50618" t="s">
        <v>2409</v>
      </c>
      <c r="B50618" s="1">
        <v>41935</v>
      </c>
      <c r="C50618" s="1"/>
    </row>
    <row r="50619" spans="1:3">
      <c r="A50619" t="s">
        <v>1998</v>
      </c>
      <c r="B50619" s="1">
        <v>41744</v>
      </c>
      <c r="C50619" s="1"/>
    </row>
    <row r="50620" spans="1:3">
      <c r="A50620" t="s">
        <v>1870</v>
      </c>
      <c r="B50620" s="1">
        <v>41912</v>
      </c>
      <c r="C50620" s="1"/>
    </row>
    <row r="50621" spans="1:3">
      <c r="A50621" t="s">
        <v>2398</v>
      </c>
      <c r="B50621" s="1">
        <v>41124</v>
      </c>
      <c r="C50621" s="1"/>
    </row>
    <row r="50622" spans="1:3">
      <c r="A50622" t="s">
        <v>2410</v>
      </c>
      <c r="B50622" s="1">
        <v>42236</v>
      </c>
    </row>
    <row r="50623" spans="1:3">
      <c r="A50623" t="s">
        <v>1806</v>
      </c>
      <c r="B50623" s="1">
        <v>42364</v>
      </c>
      <c r="C50623" s="1"/>
    </row>
    <row r="50624" spans="1:3">
      <c r="A50624" t="s">
        <v>2179</v>
      </c>
      <c r="B50624" s="1">
        <v>41663</v>
      </c>
      <c r="C50624" s="1"/>
    </row>
    <row r="50625" spans="1:3">
      <c r="A50625" t="s">
        <v>2411</v>
      </c>
      <c r="B50625" s="1">
        <v>42073</v>
      </c>
      <c r="C50625" s="1"/>
    </row>
    <row r="50626" spans="1:3">
      <c r="A50626" t="s">
        <v>2098</v>
      </c>
      <c r="B50626" s="1">
        <v>42182</v>
      </c>
      <c r="C50626" s="1"/>
    </row>
    <row r="50627" spans="1:3">
      <c r="A50627" t="s">
        <v>2405</v>
      </c>
      <c r="B50627" s="1">
        <v>41332</v>
      </c>
      <c r="C50627" s="1"/>
    </row>
    <row r="50628" spans="1:3">
      <c r="A50628" t="s">
        <v>2105</v>
      </c>
      <c r="B50628" s="1">
        <v>41471</v>
      </c>
      <c r="C50628" s="1"/>
    </row>
    <row r="50629" spans="1:3">
      <c r="A50629" t="s">
        <v>2399</v>
      </c>
      <c r="B50629" s="1">
        <v>41579</v>
      </c>
      <c r="C50629" s="1"/>
    </row>
    <row r="50630" spans="1:3">
      <c r="A50630" t="s">
        <v>2399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2127</v>
      </c>
      <c r="B50632" s="1">
        <v>42019</v>
      </c>
      <c r="C50632" s="1"/>
    </row>
    <row r="50633" spans="1:3">
      <c r="A50633" t="s">
        <v>1871</v>
      </c>
      <c r="B50633" s="1">
        <v>41594</v>
      </c>
      <c r="C50633" s="1"/>
    </row>
    <row r="50634" spans="1:3">
      <c r="A50634" t="s">
        <v>2398</v>
      </c>
      <c r="B50634" s="1">
        <v>41124</v>
      </c>
      <c r="C50634" s="1"/>
    </row>
    <row r="50635" spans="1:3">
      <c r="A50635" t="s">
        <v>2117</v>
      </c>
      <c r="B50635" s="1">
        <v>42129</v>
      </c>
      <c r="C50635" s="1"/>
    </row>
    <row r="50636" spans="1:3">
      <c r="A50636" t="s">
        <v>1930</v>
      </c>
      <c r="B50636" s="1">
        <v>41181</v>
      </c>
      <c r="C50636" s="1"/>
    </row>
    <row r="50637" spans="1:3">
      <c r="A50637" t="s">
        <v>2086</v>
      </c>
      <c r="B50637" s="1">
        <v>41513</v>
      </c>
    </row>
    <row r="50638" spans="1:3">
      <c r="A50638" t="s">
        <v>2412</v>
      </c>
      <c r="B50638" s="1">
        <v>41736</v>
      </c>
      <c r="C50638" s="1"/>
    </row>
    <row r="50639" spans="1:3">
      <c r="A50639" t="s">
        <v>1850</v>
      </c>
      <c r="B50639" s="1">
        <v>41989</v>
      </c>
      <c r="C50639" s="1"/>
    </row>
    <row r="50640" spans="1:3">
      <c r="A50640" t="s">
        <v>2413</v>
      </c>
      <c r="B50640" s="1">
        <v>42080</v>
      </c>
      <c r="C50640" s="1"/>
    </row>
    <row r="50641" spans="1:3">
      <c r="A50641" t="s">
        <v>2414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2415</v>
      </c>
      <c r="B50643" s="1">
        <v>42308</v>
      </c>
      <c r="C50643" s="1"/>
    </row>
    <row r="50644" spans="1:3">
      <c r="A50644" t="s">
        <v>2416</v>
      </c>
      <c r="B50644" s="1">
        <v>41579</v>
      </c>
      <c r="C50644" s="1"/>
    </row>
    <row r="50645" spans="1:3">
      <c r="A50645" t="s">
        <v>2047</v>
      </c>
      <c r="B50645" t="s">
        <v>116</v>
      </c>
      <c r="C50645" s="1"/>
    </row>
    <row r="50646" spans="1:3">
      <c r="A50646" t="s">
        <v>2413</v>
      </c>
      <c r="B50646" s="1">
        <v>42080</v>
      </c>
      <c r="C50646" s="1"/>
    </row>
    <row r="50647" spans="1:3">
      <c r="A50647" t="s">
        <v>2417</v>
      </c>
      <c r="B50647" s="1">
        <v>41005</v>
      </c>
      <c r="C50647" s="1"/>
    </row>
    <row r="50648" spans="1:3">
      <c r="A50648" t="s">
        <v>2417</v>
      </c>
      <c r="B50648" s="1">
        <v>41005</v>
      </c>
      <c r="C50648" s="1"/>
    </row>
    <row r="50649" spans="1:3">
      <c r="A50649" t="s">
        <v>1692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2416</v>
      </c>
      <c r="B50651" s="1">
        <v>41579</v>
      </c>
      <c r="C50651" s="1"/>
    </row>
    <row r="50652" spans="1:3">
      <c r="A50652" t="s">
        <v>2082</v>
      </c>
      <c r="B50652" s="1">
        <v>41962</v>
      </c>
      <c r="C50652" s="1"/>
    </row>
    <row r="50653" spans="1:3">
      <c r="A50653" t="s">
        <v>2418</v>
      </c>
      <c r="B50653" s="1">
        <v>41412</v>
      </c>
      <c r="C50653" s="1"/>
    </row>
    <row r="50654" spans="1:3">
      <c r="A50654" t="s">
        <v>2413</v>
      </c>
      <c r="B50654" s="1">
        <v>42080</v>
      </c>
      <c r="C50654" s="1"/>
    </row>
    <row r="50655" spans="1:3">
      <c r="A50655" t="s">
        <v>2419</v>
      </c>
      <c r="B50655" s="1">
        <v>42202</v>
      </c>
      <c r="C50655" s="1"/>
    </row>
    <row r="50656" spans="1:3">
      <c r="A50656" t="s">
        <v>2420</v>
      </c>
      <c r="B50656" s="1">
        <v>41369</v>
      </c>
      <c r="C50656" s="1"/>
    </row>
    <row r="50657" spans="1:3">
      <c r="A50657" t="s">
        <v>1800</v>
      </c>
      <c r="B50657" s="1">
        <v>42264</v>
      </c>
      <c r="C50657" s="1"/>
    </row>
    <row r="50658" spans="1:3">
      <c r="A50658" t="s">
        <v>1994</v>
      </c>
      <c r="B50658" t="s">
        <v>1912</v>
      </c>
      <c r="C50658" s="1"/>
    </row>
    <row r="50659" spans="1:3">
      <c r="A50659" t="s">
        <v>2420</v>
      </c>
      <c r="B50659" s="1">
        <v>41369</v>
      </c>
      <c r="C50659" s="1"/>
    </row>
    <row r="50660" spans="1:3">
      <c r="A50660" t="s">
        <v>1651</v>
      </c>
      <c r="B50660" s="1">
        <v>42334</v>
      </c>
      <c r="C50660" s="1"/>
    </row>
    <row r="50661" spans="1:3">
      <c r="A50661" t="s">
        <v>2420</v>
      </c>
      <c r="B50661" s="1">
        <v>41369</v>
      </c>
      <c r="C50661" s="1"/>
    </row>
    <row r="50662" spans="1:3">
      <c r="A50662" t="s">
        <v>2421</v>
      </c>
      <c r="B50662" t="s">
        <v>116</v>
      </c>
      <c r="C50662" s="1"/>
    </row>
    <row r="50663" spans="1:3">
      <c r="A50663" t="s">
        <v>2043</v>
      </c>
      <c r="B50663" s="1">
        <v>42091</v>
      </c>
      <c r="C50663" s="1"/>
    </row>
    <row r="50664" spans="1:3">
      <c r="A50664" t="s">
        <v>1671</v>
      </c>
      <c r="B50664" s="1">
        <v>42252</v>
      </c>
      <c r="C50664" s="1"/>
    </row>
    <row r="50665" spans="1:3">
      <c r="A50665" t="s">
        <v>1716</v>
      </c>
      <c r="B50665" s="1">
        <v>42173</v>
      </c>
      <c r="C50665" s="1"/>
    </row>
    <row r="50666" spans="1:3">
      <c r="A50666" t="s">
        <v>2422</v>
      </c>
      <c r="B50666" s="1">
        <v>41535</v>
      </c>
      <c r="C50666" s="1"/>
    </row>
    <row r="50667" spans="1:3">
      <c r="A50667" t="s">
        <v>2423</v>
      </c>
      <c r="B50667" s="1">
        <v>41991</v>
      </c>
      <c r="C50667" s="1"/>
    </row>
    <row r="50668" spans="1:3">
      <c r="A50668" t="s">
        <v>1661</v>
      </c>
      <c r="B50668" s="1">
        <v>42168</v>
      </c>
      <c r="C50668" s="1"/>
    </row>
    <row r="50669" spans="1:3">
      <c r="A50669" t="s">
        <v>2424</v>
      </c>
      <c r="B50669" s="1">
        <v>41944</v>
      </c>
      <c r="C50669" s="1"/>
    </row>
    <row r="50670" spans="1:3">
      <c r="A50670" t="s">
        <v>2420</v>
      </c>
      <c r="B50670" s="1">
        <v>41369</v>
      </c>
      <c r="C50670" s="1"/>
    </row>
    <row r="50671" spans="1:3">
      <c r="A50671" t="s">
        <v>2046</v>
      </c>
      <c r="B50671" s="1">
        <v>41866</v>
      </c>
      <c r="C50671" s="1"/>
    </row>
    <row r="50672" spans="1:3">
      <c r="A50672" t="s">
        <v>2420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2420</v>
      </c>
      <c r="B50674" s="1">
        <v>41369</v>
      </c>
      <c r="C50674" s="1"/>
    </row>
    <row r="50675" spans="1:3">
      <c r="A50675" t="s">
        <v>2031</v>
      </c>
      <c r="B50675" s="1">
        <v>41430</v>
      </c>
      <c r="C50675" s="1"/>
    </row>
    <row r="50676" spans="1:3">
      <c r="A50676" t="s">
        <v>2420</v>
      </c>
      <c r="B50676" s="1">
        <v>41369</v>
      </c>
    </row>
    <row r="50677" spans="1:3">
      <c r="A50677" t="s">
        <v>2425</v>
      </c>
      <c r="B50677" s="1">
        <v>40968</v>
      </c>
      <c r="C50677" s="1"/>
    </row>
    <row r="50678" spans="1:3">
      <c r="A50678" t="s">
        <v>1795</v>
      </c>
      <c r="B50678" s="1">
        <v>42221</v>
      </c>
      <c r="C50678" s="1"/>
    </row>
    <row r="50679" spans="1:3">
      <c r="A50679" t="s">
        <v>1722</v>
      </c>
      <c r="B50679" s="1">
        <v>42153</v>
      </c>
      <c r="C50679" s="1"/>
    </row>
    <row r="50680" spans="1:3">
      <c r="A50680" t="s">
        <v>2426</v>
      </c>
      <c r="B50680" s="1">
        <v>42194</v>
      </c>
      <c r="C50680" s="1"/>
    </row>
    <row r="50681" spans="1:3">
      <c r="A50681" t="s">
        <v>2161</v>
      </c>
      <c r="B50681" s="1">
        <v>42256</v>
      </c>
      <c r="C50681" s="1"/>
    </row>
    <row r="50682" spans="1:3">
      <c r="A50682" t="s">
        <v>2008</v>
      </c>
      <c r="B50682" s="1">
        <v>41552</v>
      </c>
      <c r="C50682" s="1"/>
    </row>
    <row r="50683" spans="1:3">
      <c r="A50683" t="s">
        <v>1854</v>
      </c>
      <c r="B50683" s="1">
        <v>40964</v>
      </c>
    </row>
    <row r="50684" spans="1:3">
      <c r="A50684" t="s">
        <v>2425</v>
      </c>
      <c r="B50684" s="1">
        <v>40968</v>
      </c>
      <c r="C50684" s="1"/>
    </row>
    <row r="50685" spans="1:3">
      <c r="A50685" t="s">
        <v>1999</v>
      </c>
      <c r="B50685" s="1">
        <v>41898</v>
      </c>
      <c r="C50685" s="1"/>
    </row>
    <row r="50686" spans="1:3">
      <c r="A50686" t="s">
        <v>2164</v>
      </c>
      <c r="B50686" s="1">
        <v>42145</v>
      </c>
      <c r="C50686" s="1"/>
    </row>
    <row r="50687" spans="1:3">
      <c r="A50687" t="s">
        <v>2427</v>
      </c>
      <c r="B50687" s="1">
        <v>42337</v>
      </c>
      <c r="C50687" s="1"/>
    </row>
    <row r="50688" spans="1:3">
      <c r="A50688" t="s">
        <v>786</v>
      </c>
      <c r="B50688" s="1">
        <v>42179</v>
      </c>
      <c r="C50688" s="1"/>
    </row>
    <row r="50689" spans="1:3">
      <c r="A50689" t="s">
        <v>1905</v>
      </c>
      <c r="B50689" s="1">
        <v>41803</v>
      </c>
      <c r="C50689" s="1"/>
    </row>
    <row r="50690" spans="1:3">
      <c r="A50690" t="s">
        <v>1763</v>
      </c>
      <c r="B50690" s="1">
        <v>41442</v>
      </c>
      <c r="C50690" s="1"/>
    </row>
    <row r="50691" spans="1:3">
      <c r="A50691" t="s">
        <v>1728</v>
      </c>
      <c r="B50691" s="1">
        <v>42231</v>
      </c>
      <c r="C50691" s="1"/>
    </row>
    <row r="50692" spans="1:3">
      <c r="A50692" t="s">
        <v>2428</v>
      </c>
      <c r="B50692" s="1">
        <v>41367</v>
      </c>
      <c r="C50692" s="1"/>
    </row>
    <row r="50693" spans="1:3">
      <c r="A50693" t="s">
        <v>1863</v>
      </c>
      <c r="B50693" s="1">
        <v>42318</v>
      </c>
      <c r="C50693" s="1"/>
    </row>
    <row r="50694" spans="1:3">
      <c r="A50694" t="s">
        <v>1952</v>
      </c>
      <c r="B50694" t="s">
        <v>1794</v>
      </c>
      <c r="C50694" s="1"/>
    </row>
    <row r="50695" spans="1:3">
      <c r="A50695" t="s">
        <v>2087</v>
      </c>
      <c r="B50695" s="1">
        <v>41459</v>
      </c>
      <c r="C50695" s="1"/>
    </row>
    <row r="50696" spans="1:3">
      <c r="A50696" t="s">
        <v>1428</v>
      </c>
      <c r="B50696" s="1">
        <v>42181</v>
      </c>
      <c r="C50696" s="1"/>
    </row>
    <row r="50697" spans="1:3">
      <c r="A50697" t="s">
        <v>2429</v>
      </c>
      <c r="B50697" s="1">
        <v>41368</v>
      </c>
    </row>
    <row r="50698" spans="1:3">
      <c r="A50698" t="s">
        <v>2430</v>
      </c>
      <c r="B50698" s="1">
        <v>41942</v>
      </c>
      <c r="C50698" s="1"/>
    </row>
    <row r="50699" spans="1:3">
      <c r="A50699" t="s">
        <v>2431</v>
      </c>
      <c r="B50699" s="1">
        <v>42356</v>
      </c>
      <c r="C50699" s="1"/>
    </row>
    <row r="50700" spans="1:3">
      <c r="A50700" t="s">
        <v>2432</v>
      </c>
      <c r="B50700" s="1">
        <v>42264</v>
      </c>
      <c r="C50700" s="1"/>
    </row>
    <row r="50701" spans="1:3">
      <c r="A50701" t="s">
        <v>2180</v>
      </c>
      <c r="B50701" s="1">
        <v>42179</v>
      </c>
      <c r="C50701" s="1"/>
    </row>
    <row r="50702" spans="1:3">
      <c r="A50702" t="s">
        <v>1901</v>
      </c>
      <c r="B50702" s="1">
        <v>41413</v>
      </c>
      <c r="C50702" s="1"/>
    </row>
    <row r="50703" spans="1:3">
      <c r="A50703" t="s">
        <v>1821</v>
      </c>
      <c r="B50703" s="1">
        <v>41774</v>
      </c>
    </row>
    <row r="50704" spans="1:3">
      <c r="A50704" t="s">
        <v>1981</v>
      </c>
      <c r="B50704" s="1">
        <v>41870</v>
      </c>
      <c r="C50704" s="1"/>
    </row>
    <row r="50705" spans="1:3">
      <c r="A50705" t="s">
        <v>2433</v>
      </c>
      <c r="B50705" s="1">
        <v>41114</v>
      </c>
      <c r="C50705" s="1"/>
    </row>
    <row r="50706" spans="1:3">
      <c r="A50706" t="s">
        <v>2434</v>
      </c>
      <c r="B50706" s="1">
        <v>42216</v>
      </c>
      <c r="C50706" s="1"/>
    </row>
    <row r="50707" spans="1:3">
      <c r="A50707" t="s">
        <v>2426</v>
      </c>
      <c r="B50707" s="1">
        <v>42194</v>
      </c>
      <c r="C50707" s="1"/>
    </row>
    <row r="50708" spans="1:3">
      <c r="A50708" t="s">
        <v>2433</v>
      </c>
      <c r="B50708" s="1">
        <v>41114</v>
      </c>
      <c r="C50708" s="1"/>
    </row>
    <row r="50709" spans="1:3">
      <c r="A50709" t="s">
        <v>2426</v>
      </c>
      <c r="B50709" s="1">
        <v>42254</v>
      </c>
    </row>
    <row r="50710" spans="1:3">
      <c r="A50710" t="s">
        <v>2435</v>
      </c>
      <c r="B50710" s="1">
        <v>42147</v>
      </c>
      <c r="C50710" s="1"/>
    </row>
    <row r="50711" spans="1:3">
      <c r="A50711" t="s">
        <v>1680</v>
      </c>
      <c r="B50711" s="1">
        <v>41833</v>
      </c>
      <c r="C50711" s="1"/>
    </row>
    <row r="50712" spans="1:3">
      <c r="A50712" t="s">
        <v>2426</v>
      </c>
      <c r="B50712" s="1">
        <v>42194</v>
      </c>
      <c r="C50712" s="1"/>
    </row>
    <row r="50713" spans="1:3">
      <c r="A50713" t="s">
        <v>2163</v>
      </c>
      <c r="B50713" s="1">
        <v>41739</v>
      </c>
      <c r="C50713" s="1"/>
    </row>
    <row r="50714" spans="1:3">
      <c r="A50714" t="s">
        <v>1658</v>
      </c>
      <c r="B50714" s="1">
        <v>42089</v>
      </c>
    </row>
    <row r="50715" spans="1:3">
      <c r="A50715" t="s">
        <v>1853</v>
      </c>
      <c r="B50715" s="1">
        <v>40938</v>
      </c>
      <c r="C50715" s="1"/>
    </row>
    <row r="50716" spans="1:3">
      <c r="A50716" t="s">
        <v>2435</v>
      </c>
      <c r="B50716" s="1">
        <v>42147</v>
      </c>
      <c r="C50716" s="1"/>
    </row>
    <row r="50717" spans="1:3">
      <c r="A50717" t="s">
        <v>2436</v>
      </c>
      <c r="B50717" s="1">
        <v>42333</v>
      </c>
      <c r="C50717" s="1"/>
    </row>
    <row r="50718" spans="1:3">
      <c r="A50718" t="s">
        <v>1878</v>
      </c>
      <c r="B50718" s="1">
        <v>42026</v>
      </c>
      <c r="C50718" s="1"/>
    </row>
    <row r="50719" spans="1:3">
      <c r="A50719" t="s">
        <v>2173</v>
      </c>
      <c r="B50719" s="1">
        <v>41426</v>
      </c>
      <c r="C50719" s="1"/>
    </row>
    <row r="50720" spans="1:3">
      <c r="A50720" t="s">
        <v>2437</v>
      </c>
      <c r="B50720" s="1">
        <v>42339</v>
      </c>
    </row>
    <row r="50721" spans="1:3">
      <c r="A50721" t="s">
        <v>2437</v>
      </c>
      <c r="B50721" s="1">
        <v>42339</v>
      </c>
      <c r="C50721" s="1"/>
    </row>
    <row r="50722" spans="1:3">
      <c r="A50722" t="s">
        <v>2438</v>
      </c>
      <c r="B50722" s="1">
        <v>42186</v>
      </c>
      <c r="C50722" s="1"/>
    </row>
    <row r="50723" spans="1:3">
      <c r="A50723" t="s">
        <v>1944</v>
      </c>
      <c r="B50723" s="1">
        <v>42306</v>
      </c>
      <c r="C50723" s="2"/>
    </row>
    <row r="50724" spans="1:3">
      <c r="A50724" t="s">
        <v>2057</v>
      </c>
      <c r="B50724" s="1">
        <v>42293</v>
      </c>
      <c r="C50724" s="1"/>
    </row>
    <row r="50725" spans="1:3">
      <c r="A50725" t="s">
        <v>2141</v>
      </c>
      <c r="B50725" s="1">
        <v>41270</v>
      </c>
      <c r="C50725" s="1"/>
    </row>
    <row r="50726" spans="1:3">
      <c r="A50726" t="s">
        <v>2437</v>
      </c>
      <c r="B50726" s="1">
        <v>42339</v>
      </c>
      <c r="C50726" s="1"/>
    </row>
    <row r="50727" spans="1:3">
      <c r="A50727" t="s">
        <v>2439</v>
      </c>
      <c r="B50727" s="1">
        <v>41460</v>
      </c>
      <c r="C50727" s="2"/>
    </row>
    <row r="50728" spans="1:3">
      <c r="A50728" t="s">
        <v>2440</v>
      </c>
      <c r="B50728" s="1">
        <v>41941</v>
      </c>
      <c r="C50728" s="1"/>
    </row>
    <row r="50729" spans="1:3">
      <c r="A50729" t="s">
        <v>2129</v>
      </c>
      <c r="B50729" t="s">
        <v>116</v>
      </c>
      <c r="C50729" s="1"/>
    </row>
    <row r="50730" spans="1:3">
      <c r="A50730" t="s">
        <v>2441</v>
      </c>
      <c r="B50730" s="1">
        <v>42072</v>
      </c>
      <c r="C50730" s="1"/>
    </row>
    <row r="50731" spans="1:3">
      <c r="A50731" t="s">
        <v>2442</v>
      </c>
      <c r="B50731" s="1">
        <v>41601</v>
      </c>
      <c r="C50731" s="1"/>
    </row>
    <row r="50732" spans="1:3">
      <c r="A50732" t="s">
        <v>1918</v>
      </c>
      <c r="B50732" s="1">
        <v>42171</v>
      </c>
      <c r="C50732" s="1"/>
    </row>
    <row r="50733" spans="1:3">
      <c r="A50733" t="s">
        <v>1817</v>
      </c>
      <c r="B50733" s="1">
        <v>41109</v>
      </c>
      <c r="C50733" s="1"/>
    </row>
    <row r="50734" spans="1:3">
      <c r="A50734" t="s">
        <v>2165</v>
      </c>
      <c r="B50734" s="1">
        <v>41730</v>
      </c>
      <c r="C50734" s="1"/>
    </row>
    <row r="50735" spans="1:3">
      <c r="A50735" t="s">
        <v>2443</v>
      </c>
      <c r="B50735" s="1">
        <v>41276</v>
      </c>
      <c r="C50735" s="1"/>
    </row>
    <row r="50736" spans="1:3">
      <c r="A50736" t="s">
        <v>1909</v>
      </c>
      <c r="B50736" s="1">
        <v>41872</v>
      </c>
      <c r="C50736" s="1"/>
    </row>
    <row r="50737" spans="1:3">
      <c r="A50737" t="s">
        <v>1705</v>
      </c>
      <c r="B50737" s="1">
        <v>42211</v>
      </c>
      <c r="C50737" s="1"/>
    </row>
    <row r="50738" spans="1:3">
      <c r="A50738" t="s">
        <v>2444</v>
      </c>
      <c r="B50738" s="1">
        <v>42318</v>
      </c>
      <c r="C50738" s="1"/>
    </row>
    <row r="50739" spans="1:3">
      <c r="A50739" t="s">
        <v>2445</v>
      </c>
      <c r="B50739" s="1">
        <v>41971</v>
      </c>
      <c r="C50739" s="1"/>
    </row>
    <row r="50740" spans="1:3">
      <c r="A50740" t="s">
        <v>2441</v>
      </c>
      <c r="B50740" s="1">
        <v>42072</v>
      </c>
      <c r="C50740" s="1"/>
    </row>
    <row r="50741" spans="1:3">
      <c r="A50741" t="s">
        <v>1819</v>
      </c>
      <c r="B50741" s="1">
        <v>41240</v>
      </c>
      <c r="C50741" s="1"/>
    </row>
    <row r="50742" spans="1:3">
      <c r="A50742" t="s">
        <v>2446</v>
      </c>
      <c r="B50742" s="1">
        <v>41472</v>
      </c>
      <c r="C50742" s="1"/>
    </row>
    <row r="50743" spans="1:3">
      <c r="A50743" t="s">
        <v>2446</v>
      </c>
      <c r="B50743" s="1">
        <v>41472</v>
      </c>
      <c r="C50743" s="1"/>
    </row>
    <row r="50744" spans="1:3">
      <c r="A50744" t="s">
        <v>2447</v>
      </c>
      <c r="B50744" s="1">
        <v>42283</v>
      </c>
      <c r="C50744" s="1"/>
    </row>
    <row r="50745" spans="1:3">
      <c r="A50745" t="s">
        <v>2448</v>
      </c>
      <c r="B50745" s="1">
        <v>41129</v>
      </c>
      <c r="C50745" s="1"/>
    </row>
    <row r="50746" spans="1:3">
      <c r="A50746" t="s">
        <v>2449</v>
      </c>
      <c r="B50746" s="1">
        <v>42230</v>
      </c>
      <c r="C50746" s="1"/>
    </row>
    <row r="50747" spans="1:3">
      <c r="A50747" t="s">
        <v>1727</v>
      </c>
      <c r="B50747" s="1">
        <v>41454</v>
      </c>
      <c r="C50747" s="1"/>
    </row>
    <row r="50748" spans="1:3">
      <c r="A50748" t="s">
        <v>2450</v>
      </c>
      <c r="B50748" s="2">
        <v>42315</v>
      </c>
      <c r="C50748" s="1"/>
    </row>
    <row r="50749" spans="1:3">
      <c r="A50749" t="s">
        <v>2442</v>
      </c>
      <c r="B50749" s="1">
        <v>41601</v>
      </c>
      <c r="C50749" s="1"/>
    </row>
    <row r="50750" spans="1:3">
      <c r="A50750" t="s">
        <v>2451</v>
      </c>
      <c r="B50750" s="1">
        <v>41601</v>
      </c>
      <c r="C50750" s="1"/>
    </row>
    <row r="50751" spans="1:3">
      <c r="A50751" t="s">
        <v>1799</v>
      </c>
      <c r="B50751" s="1">
        <v>42033</v>
      </c>
    </row>
    <row r="50752" spans="1:3">
      <c r="A50752" t="s">
        <v>2452</v>
      </c>
      <c r="B50752" s="1">
        <v>41423</v>
      </c>
      <c r="C50752" s="1"/>
    </row>
    <row r="50753" spans="1:3">
      <c r="A50753" t="s">
        <v>2134</v>
      </c>
      <c r="B50753" s="1">
        <v>41331</v>
      </c>
      <c r="C50753" s="1"/>
    </row>
    <row r="50754" spans="1:3">
      <c r="A50754" t="s">
        <v>2029</v>
      </c>
      <c r="B50754" s="1">
        <v>41383</v>
      </c>
      <c r="C50754" s="1"/>
    </row>
    <row r="50755" spans="1:3">
      <c r="A50755" t="s">
        <v>2453</v>
      </c>
      <c r="B50755" s="1">
        <v>41202</v>
      </c>
      <c r="C50755" s="1"/>
    </row>
    <row r="50756" spans="1:3">
      <c r="A50756" t="s">
        <v>1869</v>
      </c>
      <c r="B50756" s="1">
        <v>42228</v>
      </c>
      <c r="C50756" s="1"/>
    </row>
    <row r="50757" spans="1:3">
      <c r="A50757" t="s">
        <v>2074</v>
      </c>
      <c r="B50757" s="1">
        <v>41571</v>
      </c>
      <c r="C50757" s="1"/>
    </row>
    <row r="50758" spans="1:3">
      <c r="A50758" t="s">
        <v>2006</v>
      </c>
      <c r="B50758" s="1">
        <v>42248</v>
      </c>
      <c r="C50758" s="1"/>
    </row>
    <row r="50759" spans="1:3">
      <c r="A50759" t="s">
        <v>2143</v>
      </c>
      <c r="B50759" s="1">
        <v>42272</v>
      </c>
      <c r="C50759" s="1"/>
    </row>
    <row r="50760" spans="1:3">
      <c r="A50760" t="s">
        <v>1135</v>
      </c>
      <c r="B50760" s="1">
        <v>42012</v>
      </c>
      <c r="C50760" s="1"/>
    </row>
    <row r="50761" spans="1:3">
      <c r="A50761" t="s">
        <v>1989</v>
      </c>
      <c r="B50761" s="1">
        <v>41565</v>
      </c>
      <c r="C50761" s="1"/>
    </row>
    <row r="50762" spans="1:3">
      <c r="A50762" t="s">
        <v>1860</v>
      </c>
      <c r="B50762" s="1">
        <v>41902</v>
      </c>
      <c r="C50762" s="1"/>
    </row>
    <row r="50763" spans="1:3">
      <c r="A50763" t="s">
        <v>1898</v>
      </c>
      <c r="B50763" s="1">
        <v>41062</v>
      </c>
      <c r="C50763" s="1"/>
    </row>
    <row r="50764" spans="1:3">
      <c r="A50764" t="s">
        <v>2091</v>
      </c>
      <c r="B50764" s="1">
        <v>41559</v>
      </c>
      <c r="C50764" s="1"/>
    </row>
    <row r="50765" spans="1:3">
      <c r="A50765" t="s">
        <v>2085</v>
      </c>
      <c r="B50765" s="1">
        <v>41089</v>
      </c>
      <c r="C50765" s="1"/>
    </row>
    <row r="50766" spans="1:3">
      <c r="A50766" t="s">
        <v>1924</v>
      </c>
      <c r="B50766" s="1">
        <v>42180</v>
      </c>
      <c r="C50766" s="1"/>
    </row>
    <row r="50767" spans="1:3">
      <c r="A50767" t="s">
        <v>2454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2138</v>
      </c>
      <c r="B50769" s="1">
        <v>41636</v>
      </c>
      <c r="C50769" s="1"/>
    </row>
    <row r="50770" spans="1:3">
      <c r="A50770" t="s">
        <v>1759</v>
      </c>
      <c r="B50770" s="1">
        <v>41185</v>
      </c>
      <c r="C50770" s="1"/>
    </row>
    <row r="50771" spans="1:3">
      <c r="A50771" t="s">
        <v>1840</v>
      </c>
      <c r="B50771" s="1">
        <v>41426</v>
      </c>
      <c r="C50771" s="2"/>
    </row>
    <row r="50772" spans="1:3">
      <c r="A50772" t="s">
        <v>2455</v>
      </c>
      <c r="B50772" s="1">
        <v>42294</v>
      </c>
      <c r="C50772" s="1"/>
    </row>
    <row r="50773" spans="1:3">
      <c r="A50773" t="s">
        <v>2456</v>
      </c>
      <c r="B50773" s="1">
        <v>41593</v>
      </c>
      <c r="C50773" s="1"/>
    </row>
    <row r="50774" spans="1:3">
      <c r="A50774" t="s">
        <v>2457</v>
      </c>
      <c r="B50774" s="1">
        <v>42228</v>
      </c>
      <c r="C50774" s="1"/>
    </row>
    <row r="50775" spans="1:3">
      <c r="A50775" t="s">
        <v>744</v>
      </c>
      <c r="B50775" s="1">
        <v>42311</v>
      </c>
      <c r="C50775" s="1"/>
    </row>
    <row r="50776" spans="1:3">
      <c r="A50776" t="s">
        <v>1874</v>
      </c>
      <c r="B50776" s="1">
        <v>42132</v>
      </c>
      <c r="C50776" s="1"/>
    </row>
    <row r="50777" spans="1:3">
      <c r="A50777" t="s">
        <v>2458</v>
      </c>
      <c r="B50777" s="1">
        <v>41817</v>
      </c>
      <c r="C50777" s="1"/>
    </row>
    <row r="50778" spans="1:3">
      <c r="A50778" t="s">
        <v>2459</v>
      </c>
      <c r="B50778" s="1">
        <v>41187</v>
      </c>
      <c r="C50778" s="1"/>
    </row>
    <row r="50779" spans="1:3">
      <c r="A50779" t="s">
        <v>2460</v>
      </c>
      <c r="B50779" s="1">
        <v>42263</v>
      </c>
      <c r="C50779" s="1"/>
    </row>
    <row r="50780" spans="1:3">
      <c r="A50780" t="s">
        <v>2461</v>
      </c>
      <c r="B50780" s="1">
        <v>41157</v>
      </c>
      <c r="C50780" s="1"/>
    </row>
    <row r="50781" spans="1:3">
      <c r="A50781" t="s">
        <v>2462</v>
      </c>
      <c r="B50781" s="1">
        <v>41850</v>
      </c>
      <c r="C50781" s="1"/>
    </row>
    <row r="50782" spans="1:3">
      <c r="A50782" t="s">
        <v>2452</v>
      </c>
      <c r="B50782" s="1">
        <v>41423</v>
      </c>
      <c r="C50782" s="1"/>
    </row>
    <row r="50783" spans="1:3">
      <c r="A50783" t="s">
        <v>2461</v>
      </c>
      <c r="B50783" s="1">
        <v>41157</v>
      </c>
      <c r="C50783" s="1"/>
    </row>
    <row r="50784" spans="1:3">
      <c r="A50784" t="s">
        <v>2458</v>
      </c>
      <c r="B50784" s="1">
        <v>41817</v>
      </c>
      <c r="C50784" s="1"/>
    </row>
    <row r="50785" spans="1:3">
      <c r="A50785" t="s">
        <v>2458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2018</v>
      </c>
      <c r="B50787" s="1">
        <v>42319</v>
      </c>
      <c r="C50787" s="1"/>
    </row>
    <row r="50788" spans="1:3">
      <c r="A50788" t="s">
        <v>2119</v>
      </c>
      <c r="B50788" s="1">
        <v>42112</v>
      </c>
      <c r="C50788" s="1"/>
    </row>
    <row r="50789" spans="1:3">
      <c r="A50789" t="s">
        <v>2071</v>
      </c>
      <c r="B50789" s="1">
        <v>41228</v>
      </c>
    </row>
    <row r="50790" spans="1:3">
      <c r="A50790" t="s">
        <v>1828</v>
      </c>
      <c r="B50790" s="1">
        <v>41429</v>
      </c>
      <c r="C50790" s="1"/>
    </row>
    <row r="50791" spans="1:3">
      <c r="A50791" t="s">
        <v>2463</v>
      </c>
      <c r="B50791" s="1">
        <v>41251</v>
      </c>
      <c r="C50791" s="1"/>
    </row>
    <row r="50792" spans="1:3">
      <c r="A50792" t="s">
        <v>2102</v>
      </c>
      <c r="B50792" s="1">
        <v>41147</v>
      </c>
      <c r="C50792" s="1"/>
    </row>
    <row r="50793" spans="1:3">
      <c r="A50793" t="s">
        <v>2452</v>
      </c>
      <c r="B50793" s="1">
        <v>41423</v>
      </c>
      <c r="C50793" s="1"/>
    </row>
    <row r="50794" spans="1:3">
      <c r="A50794" t="s">
        <v>1958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2158</v>
      </c>
      <c r="B50796" s="1">
        <v>42364</v>
      </c>
      <c r="C50796" s="1"/>
    </row>
    <row r="50797" spans="1:3">
      <c r="A50797" t="s">
        <v>2463</v>
      </c>
      <c r="B50797" s="1">
        <v>41251</v>
      </c>
      <c r="C50797" s="1"/>
    </row>
    <row r="50798" spans="1:3">
      <c r="A50798" t="s">
        <v>2464</v>
      </c>
      <c r="B50798" s="1">
        <v>42284</v>
      </c>
      <c r="C50798" s="1"/>
    </row>
    <row r="50799" spans="1:3">
      <c r="A50799" t="s">
        <v>2465</v>
      </c>
      <c r="B50799" s="1">
        <v>42341</v>
      </c>
      <c r="C50799" s="1"/>
    </row>
    <row r="50800" spans="1:3">
      <c r="A50800" t="s">
        <v>2466</v>
      </c>
      <c r="B50800" s="1">
        <v>41986</v>
      </c>
      <c r="C50800" s="1"/>
    </row>
    <row r="50801" spans="1:3">
      <c r="A50801" t="s">
        <v>2467</v>
      </c>
      <c r="B50801" s="1">
        <v>42252</v>
      </c>
      <c r="C50801" s="1"/>
    </row>
    <row r="50802" spans="1:3">
      <c r="A50802" t="s">
        <v>1875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2468</v>
      </c>
      <c r="B50804" s="1">
        <v>41934</v>
      </c>
      <c r="C50804" s="1"/>
    </row>
    <row r="50805" spans="1:3">
      <c r="A50805" t="s">
        <v>2469</v>
      </c>
      <c r="B50805" s="1">
        <v>41275</v>
      </c>
      <c r="C50805" s="1"/>
    </row>
    <row r="50806" spans="1:3">
      <c r="A50806" t="s">
        <v>1980</v>
      </c>
      <c r="B50806" s="1">
        <v>41801</v>
      </c>
      <c r="C50806" s="1"/>
    </row>
    <row r="50807" spans="1:3">
      <c r="A50807" t="s">
        <v>1948</v>
      </c>
      <c r="B50807" s="1">
        <v>41121</v>
      </c>
      <c r="C50807" s="1"/>
    </row>
    <row r="50808" spans="1:3">
      <c r="A50808" t="s">
        <v>2470</v>
      </c>
      <c r="B50808" s="1">
        <v>42326</v>
      </c>
      <c r="C50808" s="1"/>
    </row>
    <row r="50809" spans="1:3">
      <c r="A50809" t="s">
        <v>1142</v>
      </c>
      <c r="B50809" s="1">
        <v>42362</v>
      </c>
      <c r="C50809" s="1"/>
    </row>
    <row r="50810" spans="1:3">
      <c r="A50810" t="s">
        <v>1757</v>
      </c>
      <c r="B50810" s="1">
        <v>41803</v>
      </c>
      <c r="C50810" s="1"/>
    </row>
    <row r="50811" spans="1:3">
      <c r="A50811" t="s">
        <v>1882</v>
      </c>
      <c r="C50811" s="1"/>
    </row>
    <row r="50812" spans="1:3">
      <c r="A50812" t="s">
        <v>1839</v>
      </c>
      <c r="C50812" s="1"/>
    </row>
    <row r="50813" spans="1:3">
      <c r="A50813" t="s">
        <v>2469</v>
      </c>
      <c r="B50813" s="1">
        <v>41275</v>
      </c>
      <c r="C50813" s="1"/>
    </row>
    <row r="50814" spans="1:3">
      <c r="A50814" t="s">
        <v>2465</v>
      </c>
      <c r="B50814" s="1">
        <v>42341</v>
      </c>
      <c r="C50814" s="1"/>
    </row>
    <row r="50815" spans="1:3">
      <c r="A50815" t="s">
        <v>2471</v>
      </c>
      <c r="B50815" s="1">
        <v>41937</v>
      </c>
      <c r="C50815" s="1"/>
    </row>
    <row r="50816" spans="1:3">
      <c r="A50816" t="s">
        <v>1536</v>
      </c>
      <c r="B50816" t="s">
        <v>2472</v>
      </c>
      <c r="C50816" s="1"/>
    </row>
    <row r="50817" spans="1:3">
      <c r="A50817" t="s">
        <v>2471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1893</v>
      </c>
      <c r="B50819" s="1">
        <v>41559</v>
      </c>
      <c r="C50819" s="1"/>
    </row>
    <row r="50820" spans="1:3">
      <c r="A50820" t="s">
        <v>2473</v>
      </c>
      <c r="B50820" s="1">
        <v>41129</v>
      </c>
      <c r="C50820" s="1"/>
    </row>
    <row r="50821" spans="1:3">
      <c r="A50821" t="s">
        <v>2469</v>
      </c>
      <c r="B50821" s="1">
        <v>41275</v>
      </c>
      <c r="C50821" s="1"/>
    </row>
    <row r="50822" spans="1:3">
      <c r="A50822" t="s">
        <v>2170</v>
      </c>
      <c r="B50822" s="2">
        <v>42007</v>
      </c>
      <c r="C50822" s="1"/>
    </row>
    <row r="50823" spans="1:3">
      <c r="A50823" t="s">
        <v>2474</v>
      </c>
      <c r="B50823" s="1">
        <v>42052</v>
      </c>
      <c r="C50823" s="1"/>
    </row>
    <row r="50824" spans="1:3">
      <c r="A50824" t="s">
        <v>2469</v>
      </c>
      <c r="B50824" s="1">
        <v>41275</v>
      </c>
      <c r="C50824" s="2"/>
    </row>
    <row r="50825" spans="1:3">
      <c r="A50825" t="s">
        <v>2475</v>
      </c>
      <c r="B50825" t="s">
        <v>2476</v>
      </c>
      <c r="C50825" s="1"/>
    </row>
    <row r="50826" spans="1:3">
      <c r="A50826" t="s">
        <v>2477</v>
      </c>
      <c r="B50826" s="1">
        <v>41525</v>
      </c>
      <c r="C50826" s="1"/>
    </row>
    <row r="50827" spans="1:3">
      <c r="A50827" t="s">
        <v>2478</v>
      </c>
      <c r="B50827" s="1">
        <v>41104</v>
      </c>
      <c r="C50827" s="1"/>
    </row>
    <row r="50828" spans="1:3">
      <c r="A50828" t="s">
        <v>2156</v>
      </c>
      <c r="B50828" s="1">
        <v>41193</v>
      </c>
      <c r="C50828" s="1"/>
    </row>
    <row r="50829" spans="1:3">
      <c r="A50829" t="s">
        <v>2122</v>
      </c>
      <c r="B50829" s="1">
        <v>42274</v>
      </c>
      <c r="C50829" s="1"/>
    </row>
    <row r="50830" spans="1:3">
      <c r="C50830" s="1"/>
    </row>
    <row r="50831" spans="1:3">
      <c r="A50831" t="s">
        <v>2465</v>
      </c>
      <c r="B50831" s="1">
        <v>42341</v>
      </c>
      <c r="C50831" s="2"/>
    </row>
    <row r="50832" spans="1:3">
      <c r="A50832" t="s">
        <v>2207</v>
      </c>
      <c r="B50832" s="1">
        <v>41179</v>
      </c>
      <c r="C50832" s="1"/>
    </row>
    <row r="50833" spans="1:3">
      <c r="A50833" t="s">
        <v>2479</v>
      </c>
      <c r="B50833" s="1">
        <v>41496</v>
      </c>
      <c r="C50833" s="1"/>
    </row>
    <row r="50834" spans="1:3">
      <c r="A50834" t="s">
        <v>2469</v>
      </c>
      <c r="B50834" s="1">
        <v>41275</v>
      </c>
      <c r="C50834" s="1"/>
    </row>
    <row r="50835" spans="1:3">
      <c r="A50835" t="s">
        <v>2480</v>
      </c>
      <c r="B50835" s="1">
        <v>41310</v>
      </c>
      <c r="C50835" s="1"/>
    </row>
    <row r="50836" spans="1:3">
      <c r="A50836" t="s">
        <v>2481</v>
      </c>
      <c r="B50836" s="1">
        <v>42047</v>
      </c>
      <c r="C50836" s="1"/>
    </row>
    <row r="50837" spans="1:3">
      <c r="A50837" t="s">
        <v>2478</v>
      </c>
      <c r="B50837" s="1">
        <v>41104</v>
      </c>
      <c r="C50837" s="1"/>
    </row>
    <row r="50838" spans="1:3">
      <c r="A50838" t="s">
        <v>2482</v>
      </c>
      <c r="B50838" s="1">
        <v>42039</v>
      </c>
      <c r="C50838" s="1"/>
    </row>
    <row r="50839" spans="1:3">
      <c r="A50839" t="s">
        <v>2483</v>
      </c>
      <c r="B50839" s="1">
        <v>41236</v>
      </c>
      <c r="C50839" s="1"/>
    </row>
    <row r="50840" spans="1:3">
      <c r="A50840" t="s">
        <v>2484</v>
      </c>
      <c r="B50840" s="1">
        <v>41528</v>
      </c>
    </row>
    <row r="50841" spans="1:3">
      <c r="A50841" t="s">
        <v>1666</v>
      </c>
      <c r="B50841" s="1">
        <v>41066</v>
      </c>
      <c r="C50841" s="1"/>
    </row>
    <row r="50842" spans="1:3">
      <c r="A50842" t="s">
        <v>2485</v>
      </c>
      <c r="B50842" s="1">
        <v>41858</v>
      </c>
      <c r="C50842" s="1"/>
    </row>
    <row r="50843" spans="1:3">
      <c r="A50843" t="s">
        <v>2486</v>
      </c>
      <c r="B50843" s="1">
        <v>41409</v>
      </c>
      <c r="C50843" s="1"/>
    </row>
    <row r="50844" spans="1:3">
      <c r="A50844" t="s">
        <v>2487</v>
      </c>
      <c r="B50844" s="1">
        <v>41908</v>
      </c>
      <c r="C50844" s="1"/>
    </row>
    <row r="50845" spans="1:3">
      <c r="A50845" t="s">
        <v>2065</v>
      </c>
      <c r="B50845" s="1">
        <v>41489</v>
      </c>
      <c r="C50845" s="1"/>
    </row>
    <row r="50846" spans="1:3">
      <c r="A50846" t="s">
        <v>2488</v>
      </c>
      <c r="B50846" t="s">
        <v>116</v>
      </c>
      <c r="C50846" s="1"/>
    </row>
    <row r="50847" spans="1:3">
      <c r="A50847" t="s">
        <v>2489</v>
      </c>
      <c r="B50847" s="1">
        <v>42159</v>
      </c>
      <c r="C50847" s="1"/>
    </row>
    <row r="50848" spans="1:3">
      <c r="A50848" t="s">
        <v>2157</v>
      </c>
      <c r="B50848" s="1">
        <v>42276</v>
      </c>
      <c r="C50848" s="1"/>
    </row>
    <row r="50849" spans="1:3">
      <c r="A50849" t="s">
        <v>1965</v>
      </c>
      <c r="B50849" s="1">
        <v>41919</v>
      </c>
      <c r="C50849" s="1"/>
    </row>
    <row r="50850" spans="1:3">
      <c r="A50850" t="s">
        <v>2490</v>
      </c>
      <c r="B50850" s="1">
        <v>42215</v>
      </c>
      <c r="C50850" s="1"/>
    </row>
    <row r="50851" spans="1:3">
      <c r="A50851" t="s">
        <v>2162</v>
      </c>
      <c r="B50851" s="1">
        <v>42301</v>
      </c>
      <c r="C50851" s="1"/>
    </row>
    <row r="50852" spans="1:3">
      <c r="A50852" t="s">
        <v>1802</v>
      </c>
      <c r="B50852" s="1">
        <v>42306</v>
      </c>
      <c r="C50852" s="1"/>
    </row>
    <row r="50853" spans="1:3">
      <c r="A50853" t="s">
        <v>1987</v>
      </c>
      <c r="B50853" s="1">
        <v>41935</v>
      </c>
      <c r="C50853" s="1"/>
    </row>
    <row r="50854" spans="1:3">
      <c r="A50854" t="s">
        <v>1952</v>
      </c>
      <c r="B50854" s="1">
        <v>41720</v>
      </c>
      <c r="C50854" s="1"/>
    </row>
    <row r="50855" spans="1:3">
      <c r="A50855" t="s">
        <v>1838</v>
      </c>
      <c r="B50855" s="1">
        <v>41544</v>
      </c>
    </row>
    <row r="50856" spans="1:3">
      <c r="A50856" t="s">
        <v>1939</v>
      </c>
      <c r="B50856" s="1">
        <v>42311</v>
      </c>
      <c r="C50856" s="1"/>
    </row>
    <row r="50857" spans="1:3">
      <c r="A50857" t="s">
        <v>1740</v>
      </c>
      <c r="B50857" s="1">
        <v>41929</v>
      </c>
      <c r="C50857" s="1"/>
    </row>
    <row r="50858" spans="1:3">
      <c r="A50858" t="s">
        <v>2123</v>
      </c>
      <c r="C50858" s="1"/>
    </row>
    <row r="50859" spans="1:3">
      <c r="A50859" t="s">
        <v>1784</v>
      </c>
      <c r="B50859" s="1">
        <v>41632</v>
      </c>
      <c r="C50859" s="1"/>
    </row>
    <row r="50860" spans="1:3">
      <c r="A50860" t="s">
        <v>2491</v>
      </c>
      <c r="B50860" s="1">
        <v>42357</v>
      </c>
      <c r="C50860" s="1"/>
    </row>
    <row r="50861" spans="1:3">
      <c r="A50861" t="s">
        <v>2492</v>
      </c>
      <c r="B50861" s="1">
        <v>42351</v>
      </c>
      <c r="C50861" s="1"/>
    </row>
    <row r="50862" spans="1:3">
      <c r="A50862" t="s">
        <v>2493</v>
      </c>
      <c r="B50862" s="1">
        <v>42194</v>
      </c>
      <c r="C50862" s="1"/>
    </row>
    <row r="50863" spans="1:3">
      <c r="A50863" t="s">
        <v>2494</v>
      </c>
      <c r="B50863" s="1">
        <v>41128</v>
      </c>
      <c r="C50863" s="1"/>
    </row>
    <row r="50864" spans="1:3">
      <c r="A50864" t="s">
        <v>2050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1847</v>
      </c>
      <c r="B50866" s="1">
        <v>41616</v>
      </c>
      <c r="C50866" s="1"/>
    </row>
    <row r="50867" spans="1:3">
      <c r="A50867" t="s">
        <v>2495</v>
      </c>
      <c r="B50867" s="1">
        <v>42215</v>
      </c>
      <c r="C50867" s="1"/>
    </row>
    <row r="50868" spans="1:3">
      <c r="A50868" t="s">
        <v>2496</v>
      </c>
      <c r="B50868" s="1">
        <v>42034</v>
      </c>
      <c r="C50868" s="1"/>
    </row>
    <row r="50869" spans="1:3">
      <c r="A50869" t="s">
        <v>2496</v>
      </c>
      <c r="B50869" s="1">
        <v>42034</v>
      </c>
      <c r="C50869" s="1"/>
    </row>
    <row r="50870" spans="1:3">
      <c r="A50870" t="s">
        <v>2497</v>
      </c>
      <c r="B50870" s="1">
        <v>41173</v>
      </c>
      <c r="C50870" s="1"/>
    </row>
    <row r="50871" spans="1:3">
      <c r="A50871" t="s">
        <v>2498</v>
      </c>
      <c r="B50871" s="1">
        <v>41878</v>
      </c>
      <c r="C50871" s="1"/>
    </row>
    <row r="50872" spans="1:3">
      <c r="A50872" t="s">
        <v>2499</v>
      </c>
      <c r="B50872" s="1">
        <v>41723</v>
      </c>
      <c r="C50872" s="1"/>
    </row>
    <row r="50873" spans="1:3">
      <c r="A50873" t="s">
        <v>2500</v>
      </c>
      <c r="B50873" s="1">
        <v>42083</v>
      </c>
      <c r="C50873" s="1"/>
    </row>
    <row r="50874" spans="1:3">
      <c r="A50874" t="s">
        <v>2501</v>
      </c>
      <c r="B50874" s="1">
        <v>41772</v>
      </c>
      <c r="C50874" s="1"/>
    </row>
    <row r="50875" spans="1:3">
      <c r="A50875" t="s">
        <v>2502</v>
      </c>
      <c r="B50875" s="1">
        <v>41541</v>
      </c>
      <c r="C50875" s="1"/>
    </row>
    <row r="50876" spans="1:3">
      <c r="A50876" t="s">
        <v>2498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1902</v>
      </c>
      <c r="B50878" s="1">
        <v>42111</v>
      </c>
      <c r="C50878" s="1"/>
    </row>
    <row r="50879" spans="1:3">
      <c r="A50879" t="s">
        <v>2503</v>
      </c>
      <c r="B50879" s="1">
        <v>41418</v>
      </c>
      <c r="C50879" s="1"/>
    </row>
    <row r="50880" spans="1:3">
      <c r="A50880" t="s">
        <v>2504</v>
      </c>
      <c r="B50880" s="1">
        <v>40916</v>
      </c>
      <c r="C50880" s="1"/>
    </row>
    <row r="50881" spans="1:3">
      <c r="A50881" t="s">
        <v>2505</v>
      </c>
      <c r="B50881" s="1">
        <v>41005</v>
      </c>
      <c r="C50881" s="1"/>
    </row>
    <row r="50882" spans="1:3">
      <c r="A50882" t="s">
        <v>2506</v>
      </c>
    </row>
    <row r="50883" spans="1:3">
      <c r="A50883" t="s">
        <v>2507</v>
      </c>
      <c r="B50883" s="1">
        <v>41769</v>
      </c>
      <c r="C50883" s="1"/>
    </row>
    <row r="50884" spans="1:3">
      <c r="A50884" t="s">
        <v>2078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1719</v>
      </c>
      <c r="B50886" s="1">
        <v>41926</v>
      </c>
      <c r="C50886" s="1"/>
    </row>
    <row r="50887" spans="1:3">
      <c r="A50887" t="s">
        <v>2508</v>
      </c>
      <c r="B50887" s="1">
        <v>42347</v>
      </c>
      <c r="C50887" s="1"/>
    </row>
    <row r="50888" spans="1:3">
      <c r="A50888" t="s">
        <v>2509</v>
      </c>
      <c r="B50888" s="1">
        <v>41604</v>
      </c>
      <c r="C50888" s="1"/>
    </row>
    <row r="50889" spans="1:3">
      <c r="A50889" t="s">
        <v>2510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2511</v>
      </c>
      <c r="B50892" s="1">
        <v>41647</v>
      </c>
      <c r="C50892" s="1"/>
    </row>
    <row r="50893" spans="1:3">
      <c r="A50893" t="s">
        <v>2503</v>
      </c>
      <c r="B50893" s="1">
        <v>41418</v>
      </c>
      <c r="C50893" s="1"/>
    </row>
    <row r="50894" spans="1:3">
      <c r="A50894" t="s">
        <v>2504</v>
      </c>
      <c r="B50894" t="s">
        <v>2512</v>
      </c>
      <c r="C50894" s="1"/>
    </row>
    <row r="50895" spans="1:3">
      <c r="A50895" t="s">
        <v>2513</v>
      </c>
      <c r="B50895" s="1">
        <v>41716</v>
      </c>
      <c r="C50895" s="1"/>
    </row>
    <row r="50896" spans="1:3">
      <c r="A50896" t="s">
        <v>2513</v>
      </c>
      <c r="B50896" s="1">
        <v>41716</v>
      </c>
      <c r="C50896" s="1"/>
    </row>
    <row r="50897" spans="1:3">
      <c r="A50897" t="s">
        <v>2514</v>
      </c>
      <c r="B50897" s="1">
        <v>41772</v>
      </c>
      <c r="C50897" s="1"/>
    </row>
    <row r="50898" spans="1:3">
      <c r="A50898" t="s">
        <v>2003</v>
      </c>
      <c r="B50898" s="1">
        <v>42131</v>
      </c>
      <c r="C50898" s="1"/>
    </row>
    <row r="50899" spans="1:3">
      <c r="A50899" t="s">
        <v>2515</v>
      </c>
      <c r="B50899" s="1">
        <v>41805</v>
      </c>
      <c r="C50899" s="1"/>
    </row>
    <row r="50900" spans="1:3">
      <c r="A50900" t="s">
        <v>2516</v>
      </c>
      <c r="B50900" s="1">
        <v>41585</v>
      </c>
      <c r="C50900" s="1"/>
    </row>
    <row r="50901" spans="1:3">
      <c r="A50901" t="s">
        <v>2035</v>
      </c>
      <c r="B50901" s="1">
        <v>42151</v>
      </c>
      <c r="C50901" s="1"/>
    </row>
    <row r="50902" spans="1:3">
      <c r="A50902" t="s">
        <v>2517</v>
      </c>
      <c r="B50902" s="1">
        <v>42361</v>
      </c>
      <c r="C50902" s="1"/>
    </row>
    <row r="50903" spans="1:3">
      <c r="A50903" t="s">
        <v>2518</v>
      </c>
      <c r="B50903" t="s">
        <v>116</v>
      </c>
      <c r="C50903" s="1"/>
    </row>
    <row r="50904" spans="1:3">
      <c r="A50904" t="s">
        <v>1888</v>
      </c>
      <c r="B50904" s="1">
        <v>42325</v>
      </c>
      <c r="C50904" s="1"/>
    </row>
    <row r="50905" spans="1:3">
      <c r="A50905" t="s">
        <v>1824</v>
      </c>
      <c r="B50905" s="1">
        <v>41178</v>
      </c>
      <c r="C50905" s="1"/>
    </row>
    <row r="50906" spans="1:3">
      <c r="A50906" t="s">
        <v>2095</v>
      </c>
      <c r="B50906" s="1">
        <v>41431</v>
      </c>
      <c r="C50906" s="1"/>
    </row>
    <row r="50907" spans="1:3">
      <c r="A50907" t="s">
        <v>2519</v>
      </c>
      <c r="B50907" s="1">
        <v>42252</v>
      </c>
      <c r="C50907" s="1"/>
    </row>
    <row r="50908" spans="1:3">
      <c r="A50908" t="s">
        <v>2520</v>
      </c>
      <c r="B50908" t="s">
        <v>2521</v>
      </c>
      <c r="C50908" s="1"/>
    </row>
    <row r="50909" spans="1:3">
      <c r="A50909" t="s">
        <v>2514</v>
      </c>
      <c r="B50909" s="1">
        <v>41772</v>
      </c>
      <c r="C50909" s="1"/>
    </row>
    <row r="50910" spans="1:3">
      <c r="A50910" t="s">
        <v>2142</v>
      </c>
      <c r="B50910" s="1">
        <v>41128</v>
      </c>
      <c r="C50910" s="1"/>
    </row>
    <row r="50911" spans="1:3">
      <c r="A50911" t="s">
        <v>2522</v>
      </c>
      <c r="B50911" s="1">
        <v>42178</v>
      </c>
      <c r="C50911" s="1"/>
    </row>
    <row r="50912" spans="1:3">
      <c r="A50912" t="s">
        <v>1911</v>
      </c>
      <c r="B50912" s="1">
        <v>41287</v>
      </c>
      <c r="C50912" s="1"/>
    </row>
    <row r="50913" spans="1:3">
      <c r="A50913" t="s">
        <v>2515</v>
      </c>
      <c r="B50913" s="1">
        <v>41805</v>
      </c>
      <c r="C50913" s="1"/>
    </row>
    <row r="50914" spans="1:3">
      <c r="A50914" t="s">
        <v>2517</v>
      </c>
      <c r="C50914" s="1"/>
    </row>
    <row r="50915" spans="1:3">
      <c r="A50915" t="s">
        <v>2523</v>
      </c>
      <c r="B50915" s="1">
        <v>42185</v>
      </c>
      <c r="C50915" s="1"/>
    </row>
    <row r="50916" spans="1:3">
      <c r="A50916" t="s">
        <v>2171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1730</v>
      </c>
      <c r="B50918" s="1">
        <v>42087</v>
      </c>
      <c r="C50918" s="1"/>
    </row>
    <row r="50919" spans="1:3">
      <c r="A50919" t="s">
        <v>2524</v>
      </c>
      <c r="B50919" s="1">
        <v>41878</v>
      </c>
      <c r="C50919" s="1"/>
    </row>
    <row r="50920" spans="1:3">
      <c r="A50920" t="s">
        <v>2525</v>
      </c>
      <c r="B50920" s="1">
        <v>41985</v>
      </c>
      <c r="C50920" s="1"/>
    </row>
    <row r="50921" spans="1:3">
      <c r="A50921" t="s">
        <v>2130</v>
      </c>
      <c r="B50921" s="1">
        <v>41782</v>
      </c>
      <c r="C50921" s="1"/>
    </row>
    <row r="50922" spans="1:3">
      <c r="A50922" t="s">
        <v>1962</v>
      </c>
      <c r="B50922" s="1">
        <v>41782</v>
      </c>
      <c r="C50922" s="1"/>
    </row>
    <row r="50923" spans="1:3">
      <c r="A50923" t="s">
        <v>2526</v>
      </c>
      <c r="B50923" s="1">
        <v>42035</v>
      </c>
      <c r="C50923" s="1"/>
    </row>
    <row r="50924" spans="1:3">
      <c r="A50924" t="s">
        <v>2090</v>
      </c>
      <c r="B50924" s="1">
        <v>41212</v>
      </c>
      <c r="C50924" s="1"/>
    </row>
    <row r="50925" spans="1:3">
      <c r="A50925" t="s">
        <v>2046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1702</v>
      </c>
      <c r="B50927" s="1">
        <v>41659</v>
      </c>
      <c r="C50927" s="1"/>
    </row>
    <row r="50928" spans="1:3">
      <c r="A50928" t="s">
        <v>2527</v>
      </c>
      <c r="B50928" s="1">
        <v>41496</v>
      </c>
      <c r="C50928" s="1"/>
    </row>
    <row r="50929" spans="1:3">
      <c r="A50929" t="s">
        <v>1927</v>
      </c>
      <c r="B50929" s="1">
        <v>42185</v>
      </c>
      <c r="C50929" s="1"/>
    </row>
    <row r="50930" spans="1:3">
      <c r="A50930" t="s">
        <v>2021</v>
      </c>
      <c r="B50930" s="1">
        <v>41771</v>
      </c>
      <c r="C50930" s="1"/>
    </row>
    <row r="50931" spans="1:3">
      <c r="A50931" t="s">
        <v>2528</v>
      </c>
      <c r="B50931" s="1">
        <v>41216</v>
      </c>
      <c r="C50931" s="1"/>
    </row>
    <row r="50932" spans="1:3">
      <c r="A50932" t="s">
        <v>1974</v>
      </c>
      <c r="C50932" s="1"/>
    </row>
    <row r="50933" spans="1:3">
      <c r="A50933" t="s">
        <v>2529</v>
      </c>
      <c r="B50933" s="1">
        <v>42040</v>
      </c>
      <c r="C50933" s="1"/>
    </row>
    <row r="50934" spans="1:3">
      <c r="A50934" t="s">
        <v>1811</v>
      </c>
      <c r="B50934" s="1">
        <v>42314</v>
      </c>
      <c r="C50934" s="1"/>
    </row>
    <row r="50935" spans="1:3">
      <c r="A50935" t="s">
        <v>1921</v>
      </c>
      <c r="B50935" s="1">
        <v>42281</v>
      </c>
      <c r="C50935" s="1"/>
    </row>
    <row r="50936" spans="1:3">
      <c r="A50936" t="s">
        <v>2530</v>
      </c>
      <c r="B50936" s="1">
        <v>42171</v>
      </c>
      <c r="C50936" s="1"/>
    </row>
    <row r="50937" spans="1:3">
      <c r="A50937" t="s">
        <v>2531</v>
      </c>
      <c r="B50937" s="1">
        <v>41538</v>
      </c>
      <c r="C50937" s="1"/>
    </row>
    <row r="50938" spans="1:3">
      <c r="A50938" t="s">
        <v>2081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1694</v>
      </c>
      <c r="B50940" s="1">
        <v>41783</v>
      </c>
      <c r="C50940" s="1"/>
    </row>
    <row r="50941" spans="1:3">
      <c r="A50941" t="s">
        <v>1892</v>
      </c>
      <c r="B50941" s="1">
        <v>41593</v>
      </c>
      <c r="C50941" s="1"/>
    </row>
    <row r="50942" spans="1:3">
      <c r="A50942" t="s">
        <v>2063</v>
      </c>
      <c r="B50942" s="1">
        <v>41874</v>
      </c>
      <c r="C50942" s="1"/>
    </row>
    <row r="50943" spans="1:3">
      <c r="A50943" t="s">
        <v>1981</v>
      </c>
      <c r="B50943" s="1">
        <v>41870</v>
      </c>
      <c r="C50943" s="1"/>
    </row>
    <row r="50944" spans="1:3">
      <c r="A50944" t="s">
        <v>2121</v>
      </c>
      <c r="B50944" s="1">
        <v>42087</v>
      </c>
      <c r="C50944" s="1"/>
    </row>
    <row r="50945" spans="1:3">
      <c r="A50945" t="s">
        <v>1769</v>
      </c>
      <c r="B50945" s="1">
        <v>41254</v>
      </c>
      <c r="C50945" s="1"/>
    </row>
    <row r="50946" spans="1:3">
      <c r="A50946" t="s">
        <v>2525</v>
      </c>
      <c r="B50946" s="1">
        <v>41985</v>
      </c>
      <c r="C50946" s="1"/>
    </row>
    <row r="50947" spans="1:3">
      <c r="A50947" t="s">
        <v>2523</v>
      </c>
      <c r="B50947" s="1">
        <v>42185</v>
      </c>
      <c r="C50947" s="1"/>
    </row>
    <row r="50948" spans="1:3">
      <c r="A50948" t="s">
        <v>2528</v>
      </c>
      <c r="B50948" s="1">
        <v>41216</v>
      </c>
      <c r="C50948" s="1"/>
    </row>
    <row r="50949" spans="1:3">
      <c r="A50949" t="s">
        <v>2525</v>
      </c>
      <c r="B50949" s="1">
        <v>41985</v>
      </c>
      <c r="C50949" s="2"/>
    </row>
    <row r="50950" spans="1:3">
      <c r="A50950" t="s">
        <v>2532</v>
      </c>
      <c r="B50950" s="1">
        <v>41830</v>
      </c>
      <c r="C50950" s="1"/>
    </row>
    <row r="50951" spans="1:3">
      <c r="A50951" t="s">
        <v>1793</v>
      </c>
      <c r="B50951" t="s">
        <v>2533</v>
      </c>
      <c r="C50951" s="1"/>
    </row>
    <row r="50952" spans="1:3">
      <c r="A50952" t="s">
        <v>2525</v>
      </c>
      <c r="B50952" s="1">
        <v>41985</v>
      </c>
      <c r="C50952" s="1"/>
    </row>
    <row r="50953" spans="1:3">
      <c r="A50953" t="s">
        <v>1887</v>
      </c>
      <c r="B50953" s="1">
        <v>41639</v>
      </c>
      <c r="C50953" s="1"/>
    </row>
    <row r="50954" spans="1:3">
      <c r="A50954" t="s">
        <v>1834</v>
      </c>
      <c r="B50954" s="1">
        <v>41311</v>
      </c>
      <c r="C50954" s="1"/>
    </row>
    <row r="50955" spans="1:3">
      <c r="A50955" t="s">
        <v>1845</v>
      </c>
      <c r="B50955" s="1">
        <v>42357</v>
      </c>
      <c r="C50955" s="1"/>
    </row>
    <row r="50956" spans="1:3">
      <c r="A50956" t="s">
        <v>2534</v>
      </c>
      <c r="B50956" s="1">
        <v>41951</v>
      </c>
      <c r="C50956" s="1"/>
    </row>
    <row r="50957" spans="1:3">
      <c r="A50957" t="s">
        <v>1654</v>
      </c>
      <c r="B50957" s="1">
        <v>41892</v>
      </c>
      <c r="C50957" s="1"/>
    </row>
    <row r="50958" spans="1:3">
      <c r="A50958" t="s">
        <v>2527</v>
      </c>
      <c r="B50958" s="1">
        <v>41496</v>
      </c>
      <c r="C50958" s="1"/>
    </row>
    <row r="50959" spans="1:3">
      <c r="A50959" t="s">
        <v>1772</v>
      </c>
      <c r="B50959" s="1">
        <v>41914</v>
      </c>
      <c r="C50959" s="1"/>
    </row>
    <row r="50960" spans="1:3">
      <c r="A50960" t="s">
        <v>2523</v>
      </c>
      <c r="B50960" s="1">
        <v>42185</v>
      </c>
      <c r="C50960" s="1"/>
    </row>
    <row r="50961" spans="1:3">
      <c r="A50961" t="s">
        <v>2535</v>
      </c>
      <c r="B50961" s="1">
        <v>40919</v>
      </c>
      <c r="C50961" s="1"/>
    </row>
    <row r="50962" spans="1:3">
      <c r="A50962" t="s">
        <v>1762</v>
      </c>
      <c r="B50962" s="2">
        <v>41153</v>
      </c>
      <c r="C50962" s="1"/>
    </row>
    <row r="50963" spans="1:3">
      <c r="A50963" t="s">
        <v>2525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1809</v>
      </c>
      <c r="B50966" s="1">
        <v>41114</v>
      </c>
      <c r="C50966" s="1"/>
    </row>
    <row r="50967" spans="1:3">
      <c r="A50967" t="s">
        <v>2536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2537</v>
      </c>
      <c r="B50969" t="s">
        <v>2538</v>
      </c>
      <c r="C50969" s="1"/>
    </row>
    <row r="50970" spans="1:3">
      <c r="A50970" t="s">
        <v>2539</v>
      </c>
      <c r="B50970" s="1">
        <v>42032</v>
      </c>
      <c r="C50970" s="1"/>
    </row>
    <row r="50971" spans="1:3">
      <c r="A50971" t="s">
        <v>1755</v>
      </c>
      <c r="B50971" s="1">
        <v>42006</v>
      </c>
      <c r="C50971" s="1"/>
    </row>
    <row r="50972" spans="1:3">
      <c r="A50972" t="s">
        <v>2108</v>
      </c>
      <c r="B50972" s="1">
        <v>42287</v>
      </c>
      <c r="C50972" s="1"/>
    </row>
    <row r="50973" spans="1:3">
      <c r="A50973" t="s">
        <v>2540</v>
      </c>
      <c r="B50973" t="s">
        <v>116</v>
      </c>
      <c r="C50973" s="1"/>
    </row>
    <row r="50974" spans="1:3">
      <c r="A50974" t="s">
        <v>2155</v>
      </c>
      <c r="B50974" s="1">
        <v>41620</v>
      </c>
      <c r="C50974" s="1"/>
    </row>
    <row r="50975" spans="1:3">
      <c r="A50975" t="s">
        <v>2541</v>
      </c>
      <c r="B50975" t="s">
        <v>116</v>
      </c>
      <c r="C50975" s="1"/>
    </row>
    <row r="50976" spans="1:3">
      <c r="A50976" t="s">
        <v>2542</v>
      </c>
      <c r="B50976" s="1">
        <v>42349</v>
      </c>
      <c r="C50976" s="1"/>
    </row>
    <row r="50977" spans="1:3">
      <c r="A50977" t="s">
        <v>1997</v>
      </c>
      <c r="B50977" s="1">
        <v>41502</v>
      </c>
      <c r="C50977" s="1"/>
    </row>
    <row r="50978" spans="1:3">
      <c r="A50978" t="s">
        <v>2543</v>
      </c>
      <c r="B50978" s="1">
        <v>41444</v>
      </c>
      <c r="C50978" s="1"/>
    </row>
    <row r="50979" spans="1:3">
      <c r="A50979" t="s">
        <v>2527</v>
      </c>
      <c r="B50979" s="2">
        <v>41555</v>
      </c>
      <c r="C50979" s="1"/>
    </row>
    <row r="50980" spans="1:3">
      <c r="A50980" t="s">
        <v>2525</v>
      </c>
      <c r="B50980" s="1">
        <v>41985</v>
      </c>
      <c r="C50980" s="1"/>
    </row>
    <row r="50981" spans="1:3">
      <c r="A50981" t="s">
        <v>1849</v>
      </c>
      <c r="B50981" s="1">
        <v>41073</v>
      </c>
      <c r="C50981" s="1"/>
    </row>
    <row r="50982" spans="1:3">
      <c r="A50982" t="s">
        <v>2115</v>
      </c>
      <c r="B50982" s="1">
        <v>41034</v>
      </c>
      <c r="C50982" s="1"/>
    </row>
    <row r="50983" spans="1:3">
      <c r="A50983" t="s">
        <v>2525</v>
      </c>
      <c r="B50983" s="1">
        <v>41985</v>
      </c>
      <c r="C50983" s="1"/>
    </row>
    <row r="50984" spans="1:3">
      <c r="A50984" t="s">
        <v>2544</v>
      </c>
      <c r="B50984" s="1">
        <v>42178</v>
      </c>
      <c r="C50984" s="1"/>
    </row>
    <row r="50985" spans="1:3">
      <c r="A50985" t="s">
        <v>1872</v>
      </c>
      <c r="B50985" s="1">
        <v>42228</v>
      </c>
      <c r="C50985" s="1"/>
    </row>
    <row r="50986" spans="1:3">
      <c r="A50986" t="s">
        <v>2007</v>
      </c>
    </row>
    <row r="50987" spans="1:3">
      <c r="A50987" t="s">
        <v>2545</v>
      </c>
    </row>
    <row r="50988" spans="1:3">
      <c r="A50988" t="s">
        <v>2525</v>
      </c>
      <c r="B50988" s="1">
        <v>41985</v>
      </c>
      <c r="C50988" s="1"/>
    </row>
    <row r="50989" spans="1:3">
      <c r="A50989" t="s">
        <v>2525</v>
      </c>
      <c r="B50989" s="1">
        <v>41985</v>
      </c>
      <c r="C50989" s="1"/>
    </row>
    <row r="50990" spans="1:3">
      <c r="A50990" t="s">
        <v>2536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2546</v>
      </c>
      <c r="B50992" s="1">
        <v>41670</v>
      </c>
      <c r="C50992" s="1"/>
    </row>
    <row r="50993" spans="1:3">
      <c r="A50993" t="s">
        <v>1672</v>
      </c>
      <c r="B50993" s="1">
        <v>41488</v>
      </c>
      <c r="C50993" s="1"/>
    </row>
    <row r="50994" spans="1:3">
      <c r="A50994" t="s">
        <v>2062</v>
      </c>
      <c r="B50994" s="1">
        <v>41086</v>
      </c>
      <c r="C50994" s="1"/>
    </row>
    <row r="50995" spans="1:3">
      <c r="A50995" t="s">
        <v>2547</v>
      </c>
      <c r="B50995" s="1">
        <v>42166</v>
      </c>
      <c r="C50995" s="1"/>
    </row>
    <row r="50996" spans="1:3">
      <c r="A50996" t="s">
        <v>2548</v>
      </c>
      <c r="B50996" s="1">
        <v>41654</v>
      </c>
      <c r="C50996" s="1"/>
    </row>
    <row r="50997" spans="1:3">
      <c r="A50997" t="s">
        <v>2549</v>
      </c>
      <c r="B50997" s="1">
        <v>41254</v>
      </c>
      <c r="C50997" s="1"/>
    </row>
    <row r="50998" spans="1:3">
      <c r="A50998" t="s">
        <v>2550</v>
      </c>
      <c r="B50998" s="1">
        <v>42291</v>
      </c>
      <c r="C50998" s="1"/>
    </row>
    <row r="50999" spans="1:3">
      <c r="A50999" t="s">
        <v>2551</v>
      </c>
      <c r="B50999" s="1">
        <v>42321</v>
      </c>
      <c r="C50999" s="1"/>
    </row>
    <row r="51000" spans="1:3">
      <c r="A51000" t="s">
        <v>1995</v>
      </c>
      <c r="B51000" s="1">
        <v>42007</v>
      </c>
      <c r="C51000" s="1"/>
    </row>
    <row r="51001" spans="1:3">
      <c r="A51001" t="s">
        <v>2024</v>
      </c>
      <c r="B51001" s="1">
        <v>42082</v>
      </c>
      <c r="C51001" s="1"/>
    </row>
    <row r="51002" spans="1:3">
      <c r="A51002" t="s">
        <v>2010</v>
      </c>
      <c r="B51002" s="1">
        <v>42024</v>
      </c>
      <c r="C51002" s="1"/>
    </row>
    <row r="51003" spans="1:3">
      <c r="A51003" t="s">
        <v>1855</v>
      </c>
      <c r="B51003" s="1">
        <v>41256</v>
      </c>
      <c r="C51003" s="1"/>
    </row>
    <row r="51004" spans="1:3">
      <c r="A51004" t="s">
        <v>2552</v>
      </c>
      <c r="B51004" s="1">
        <v>41923</v>
      </c>
      <c r="C51004" s="1"/>
    </row>
    <row r="51005" spans="1:3">
      <c r="B51005" t="s">
        <v>116</v>
      </c>
      <c r="C51005" s="1"/>
    </row>
    <row r="51006" spans="1:3">
      <c r="A51006" t="s">
        <v>2553</v>
      </c>
      <c r="B51006" s="1">
        <v>41262</v>
      </c>
      <c r="C51006" s="1"/>
    </row>
    <row r="51007" spans="1:3">
      <c r="A51007" t="s">
        <v>1916</v>
      </c>
      <c r="B51007" s="1">
        <v>42326</v>
      </c>
      <c r="C51007" s="1"/>
    </row>
    <row r="51008" spans="1:3">
      <c r="A51008" t="s">
        <v>1837</v>
      </c>
      <c r="B51008" s="1">
        <v>41242</v>
      </c>
      <c r="C51008" s="1"/>
    </row>
    <row r="51009" spans="1:3">
      <c r="A51009" t="s">
        <v>2554</v>
      </c>
      <c r="B51009" s="1">
        <v>42285</v>
      </c>
      <c r="C51009" s="1"/>
    </row>
    <row r="51010" spans="1:3">
      <c r="A51010" t="s">
        <v>2555</v>
      </c>
      <c r="B51010" s="1">
        <v>41576</v>
      </c>
    </row>
    <row r="51011" spans="1:3">
      <c r="A51011" t="s">
        <v>1736</v>
      </c>
      <c r="B51011" s="1">
        <v>41537</v>
      </c>
      <c r="C51011" s="1"/>
    </row>
    <row r="51012" spans="1:3">
      <c r="A51012" t="s">
        <v>2556</v>
      </c>
      <c r="B51012" s="1">
        <v>41637</v>
      </c>
      <c r="C51012" s="1"/>
    </row>
    <row r="51013" spans="1:3">
      <c r="A51013" t="s">
        <v>2557</v>
      </c>
      <c r="B51013" s="1">
        <v>41543</v>
      </c>
      <c r="C51013" s="1"/>
    </row>
    <row r="51014" spans="1:3">
      <c r="A51014" t="s">
        <v>1751</v>
      </c>
      <c r="B51014" s="1">
        <v>41206</v>
      </c>
      <c r="C51014" s="1"/>
    </row>
    <row r="51015" spans="1:3">
      <c r="A51015" t="s">
        <v>2558</v>
      </c>
      <c r="B51015" s="1">
        <v>41081</v>
      </c>
      <c r="C51015" s="1"/>
    </row>
    <row r="51016" spans="1:3">
      <c r="A51016" t="s">
        <v>1695</v>
      </c>
      <c r="B51016" s="1">
        <v>41671</v>
      </c>
      <c r="C51016" s="1"/>
    </row>
    <row r="51017" spans="1:3">
      <c r="A51017" t="s">
        <v>1798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1815</v>
      </c>
      <c r="B51019" s="1">
        <v>42287</v>
      </c>
      <c r="C51019" s="1"/>
    </row>
    <row r="51020" spans="1:3">
      <c r="A51020" t="s">
        <v>1776</v>
      </c>
      <c r="B51020" s="1">
        <v>42306</v>
      </c>
      <c r="C51020" s="1"/>
    </row>
    <row r="51021" spans="1:3">
      <c r="A51021" t="s">
        <v>2017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1734</v>
      </c>
      <c r="B51023" s="1">
        <v>41552</v>
      </c>
      <c r="C51023" s="1"/>
    </row>
    <row r="51024" spans="1:3">
      <c r="A51024" t="s">
        <v>1775</v>
      </c>
      <c r="B51024" s="1">
        <v>41555</v>
      </c>
      <c r="C51024" s="1"/>
    </row>
    <row r="51025" spans="1:3">
      <c r="A51025" t="s">
        <v>2016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2559</v>
      </c>
      <c r="B51027" s="1">
        <v>42320</v>
      </c>
      <c r="C51027" s="1"/>
    </row>
    <row r="51028" spans="1:3">
      <c r="A51028" t="s">
        <v>1779</v>
      </c>
      <c r="B51028" s="1">
        <v>42067</v>
      </c>
      <c r="C51028" s="1"/>
    </row>
    <row r="51029" spans="1:3">
      <c r="A51029" t="s">
        <v>1741</v>
      </c>
      <c r="B51029" s="1">
        <v>41764</v>
      </c>
      <c r="C51029" s="1"/>
    </row>
    <row r="51030" spans="1:3">
      <c r="A51030" t="s">
        <v>2560</v>
      </c>
      <c r="B51030" s="1">
        <v>41796</v>
      </c>
      <c r="C51030" s="1"/>
    </row>
    <row r="51031" spans="1:3">
      <c r="A51031" t="s">
        <v>2561</v>
      </c>
      <c r="B51031" s="1">
        <v>41654</v>
      </c>
      <c r="C51031" s="1"/>
    </row>
    <row r="51032" spans="1:3">
      <c r="A51032" t="s">
        <v>1707</v>
      </c>
      <c r="B51032" s="1">
        <v>41121</v>
      </c>
    </row>
    <row r="51033" spans="1:3">
      <c r="A51033" t="s">
        <v>2523</v>
      </c>
      <c r="B51033" s="1">
        <v>42185</v>
      </c>
      <c r="C51033" s="1"/>
    </row>
    <row r="51034" spans="1:3">
      <c r="A51034" t="s">
        <v>2528</v>
      </c>
      <c r="B51034" s="1">
        <v>41216</v>
      </c>
      <c r="C51034" s="1"/>
    </row>
    <row r="51035" spans="1:3">
      <c r="A51035" t="s">
        <v>2092</v>
      </c>
      <c r="B51035" s="1">
        <v>41263</v>
      </c>
      <c r="C51035" s="1"/>
    </row>
    <row r="51036" spans="1:3">
      <c r="A51036" t="s">
        <v>2150</v>
      </c>
      <c r="B51036" s="1">
        <v>42364</v>
      </c>
      <c r="C51036" s="1"/>
    </row>
    <row r="51037" spans="1:3">
      <c r="A51037" t="s">
        <v>1778</v>
      </c>
      <c r="B51037" s="1">
        <v>42321</v>
      </c>
      <c r="C51037" s="1"/>
    </row>
    <row r="51038" spans="1:3">
      <c r="A51038" t="s">
        <v>2562</v>
      </c>
      <c r="B51038" s="1">
        <v>41262</v>
      </c>
      <c r="C51038" s="1"/>
    </row>
    <row r="51039" spans="1:3">
      <c r="A51039" t="s">
        <v>2548</v>
      </c>
      <c r="B51039" s="1">
        <v>41654</v>
      </c>
      <c r="C51039" s="1"/>
    </row>
    <row r="51040" spans="1:3">
      <c r="A51040" t="s">
        <v>1891</v>
      </c>
      <c r="B51040" t="s">
        <v>2563</v>
      </c>
    </row>
    <row r="51041" spans="1:3">
      <c r="A51041" t="s">
        <v>2525</v>
      </c>
      <c r="B51041" s="1">
        <v>41985</v>
      </c>
      <c r="C51041" s="1"/>
    </row>
    <row r="51042" spans="1:3">
      <c r="A51042" t="s">
        <v>2564</v>
      </c>
      <c r="B51042" s="1">
        <v>41948</v>
      </c>
      <c r="C51042" s="1"/>
    </row>
    <row r="51043" spans="1:3">
      <c r="A51043" t="s">
        <v>2542</v>
      </c>
      <c r="B51043" s="1">
        <v>42349</v>
      </c>
      <c r="C51043" s="1"/>
    </row>
    <row r="51044" spans="1:3">
      <c r="A51044" t="s">
        <v>1729</v>
      </c>
      <c r="B51044" s="1">
        <v>42139</v>
      </c>
      <c r="C51044" s="1"/>
    </row>
    <row r="51045" spans="1:3">
      <c r="A51045" t="s">
        <v>2528</v>
      </c>
      <c r="B51045" s="1">
        <v>41216</v>
      </c>
      <c r="C51045" s="1"/>
    </row>
    <row r="51046" spans="1:3">
      <c r="A51046" t="s">
        <v>1718</v>
      </c>
      <c r="B51046" s="1">
        <v>41475</v>
      </c>
      <c r="C51046" s="1"/>
    </row>
    <row r="51047" spans="1:3">
      <c r="A51047" t="s">
        <v>2565</v>
      </c>
      <c r="C51047" s="1"/>
    </row>
    <row r="51048" spans="1:3">
      <c r="A51048" t="s">
        <v>1789</v>
      </c>
      <c r="B51048" s="1">
        <v>41955</v>
      </c>
      <c r="C51048" s="1"/>
    </row>
    <row r="51049" spans="1:3">
      <c r="A51049" t="s">
        <v>1657</v>
      </c>
      <c r="B51049" s="1">
        <v>41348</v>
      </c>
      <c r="C51049" s="1"/>
    </row>
    <row r="51050" spans="1:3">
      <c r="A51050" t="s">
        <v>1985</v>
      </c>
      <c r="B51050" s="1">
        <v>41164</v>
      </c>
    </row>
    <row r="51051" spans="1:3">
      <c r="A51051" t="s">
        <v>1735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2536</v>
      </c>
      <c r="B51053" s="1">
        <v>41608</v>
      </c>
      <c r="C51053" s="1"/>
    </row>
    <row r="51054" spans="1:3">
      <c r="A51054" t="s">
        <v>1920</v>
      </c>
      <c r="B51054" s="1">
        <v>41434</v>
      </c>
      <c r="C51054" s="2"/>
    </row>
    <row r="51055" spans="1:3">
      <c r="A51055" t="s">
        <v>2566</v>
      </c>
      <c r="B51055" s="1">
        <v>41179</v>
      </c>
      <c r="C51055" s="1"/>
    </row>
    <row r="51056" spans="1:3">
      <c r="A51056" t="s">
        <v>2567</v>
      </c>
      <c r="B51056" s="1">
        <v>41878</v>
      </c>
      <c r="C51056" s="1"/>
    </row>
    <row r="51057" spans="1:3">
      <c r="A51057" t="s">
        <v>2568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1949</v>
      </c>
      <c r="B51060" s="1">
        <v>41588</v>
      </c>
      <c r="C51060" s="1"/>
    </row>
    <row r="51061" spans="1:3">
      <c r="A51061" t="s">
        <v>2569</v>
      </c>
      <c r="B51061" s="1">
        <v>41132</v>
      </c>
      <c r="C51061" s="1"/>
    </row>
    <row r="51062" spans="1:3">
      <c r="A51062" t="s">
        <v>1830</v>
      </c>
      <c r="B51062" s="1">
        <v>41902</v>
      </c>
      <c r="C51062" s="1"/>
    </row>
    <row r="51063" spans="1:3">
      <c r="A51063" t="s">
        <v>2570</v>
      </c>
      <c r="B51063" s="1">
        <v>41711</v>
      </c>
      <c r="C51063" s="1"/>
    </row>
    <row r="51064" spans="1:3">
      <c r="A51064" t="s">
        <v>2571</v>
      </c>
      <c r="C51064" s="1"/>
    </row>
    <row r="51065" spans="1:3">
      <c r="A51065" t="s">
        <v>1977</v>
      </c>
      <c r="B51065" s="1">
        <v>42144</v>
      </c>
      <c r="C51065" s="1"/>
    </row>
    <row r="51066" spans="1:3">
      <c r="A51066" t="s">
        <v>2023</v>
      </c>
      <c r="B51066" s="1">
        <v>41682</v>
      </c>
      <c r="C51066" s="1"/>
    </row>
    <row r="51067" spans="1:3">
      <c r="A51067" t="s">
        <v>2572</v>
      </c>
      <c r="B51067" s="1">
        <v>40929</v>
      </c>
      <c r="C51067" s="1"/>
    </row>
    <row r="51068" spans="1:3">
      <c r="A51068" t="s">
        <v>2573</v>
      </c>
      <c r="B51068" s="1">
        <v>41219</v>
      </c>
      <c r="C51068" s="1"/>
    </row>
    <row r="51069" spans="1:3">
      <c r="A51069" t="s">
        <v>1917</v>
      </c>
      <c r="B51069" s="1">
        <v>41664</v>
      </c>
    </row>
    <row r="51070" spans="1:3">
      <c r="A51070" t="s">
        <v>2088</v>
      </c>
      <c r="B51070" t="s">
        <v>116</v>
      </c>
      <c r="C51070" s="1"/>
    </row>
    <row r="51071" spans="1:3">
      <c r="A51071" t="s">
        <v>1754</v>
      </c>
      <c r="B51071" s="1">
        <v>41131</v>
      </c>
      <c r="C51071" s="1"/>
    </row>
    <row r="51072" spans="1:3">
      <c r="A51072" t="s">
        <v>1884</v>
      </c>
      <c r="B51072" s="1">
        <v>42115</v>
      </c>
      <c r="C51072" s="1"/>
    </row>
    <row r="51073" spans="1:3">
      <c r="A51073" t="s">
        <v>2574</v>
      </c>
      <c r="B51073" s="1">
        <v>42323</v>
      </c>
      <c r="C51073" s="1"/>
    </row>
    <row r="51074" spans="1:3">
      <c r="A51074" t="s">
        <v>2575</v>
      </c>
      <c r="B51074" s="1">
        <v>41142</v>
      </c>
    </row>
    <row r="51075" spans="1:3">
      <c r="A51075" t="s">
        <v>1650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2124</v>
      </c>
      <c r="B51077" s="1">
        <v>41172</v>
      </c>
      <c r="C51077" s="1"/>
    </row>
    <row r="51078" spans="1:3">
      <c r="A51078" t="s">
        <v>2020</v>
      </c>
      <c r="B51078" s="1">
        <v>41012</v>
      </c>
      <c r="C51078" s="1"/>
    </row>
    <row r="51079" spans="1:3">
      <c r="A51079" t="s">
        <v>1260</v>
      </c>
      <c r="B51079" s="1">
        <v>41828</v>
      </c>
      <c r="C51079" s="1"/>
    </row>
    <row r="51080" spans="1:3">
      <c r="A51080" t="s">
        <v>2572</v>
      </c>
      <c r="B51080" s="1">
        <v>40929</v>
      </c>
      <c r="C51080" s="1"/>
    </row>
    <row r="51081" spans="1:3">
      <c r="A51081" t="s">
        <v>2576</v>
      </c>
      <c r="B51081" s="1">
        <v>42287</v>
      </c>
      <c r="C51081" s="1"/>
    </row>
    <row r="51082" spans="1:3">
      <c r="A51082" t="s">
        <v>2577</v>
      </c>
      <c r="B51082" s="1">
        <v>41611</v>
      </c>
      <c r="C51082" s="1"/>
    </row>
    <row r="51083" spans="1:3">
      <c r="A51083" t="s">
        <v>2568</v>
      </c>
      <c r="B51083" s="1">
        <v>41947</v>
      </c>
      <c r="C51083" s="1"/>
    </row>
    <row r="51084" spans="1:3">
      <c r="A51084" t="s">
        <v>2572</v>
      </c>
      <c r="B51084" s="1">
        <v>40929</v>
      </c>
      <c r="C51084" s="1"/>
    </row>
    <row r="51085" spans="1:3">
      <c r="A51085" t="s">
        <v>2578</v>
      </c>
      <c r="B51085" s="1">
        <v>41620</v>
      </c>
      <c r="C51085" s="1"/>
    </row>
    <row r="51086" spans="1:3">
      <c r="A51086" t="s">
        <v>2067</v>
      </c>
      <c r="B51086" s="1">
        <v>42003</v>
      </c>
      <c r="C51086" s="1"/>
    </row>
    <row r="51087" spans="1:3">
      <c r="A51087" t="s">
        <v>2579</v>
      </c>
      <c r="B51087" s="1">
        <v>42270</v>
      </c>
      <c r="C51087" s="1"/>
    </row>
    <row r="51088" spans="1:3">
      <c r="A51088" t="s">
        <v>2580</v>
      </c>
      <c r="B51088" s="1">
        <v>41237</v>
      </c>
      <c r="C51088" s="1"/>
    </row>
    <row r="51089" spans="1:3">
      <c r="A51089" t="s">
        <v>1665</v>
      </c>
      <c r="B51089" s="1">
        <v>41530</v>
      </c>
    </row>
    <row r="51090" spans="1:3">
      <c r="A51090" t="s">
        <v>1963</v>
      </c>
      <c r="B51090" s="1">
        <v>41532</v>
      </c>
      <c r="C51090" s="1"/>
    </row>
    <row r="51091" spans="1:3">
      <c r="A51091" t="s">
        <v>2581</v>
      </c>
      <c r="B51091" s="1">
        <v>41520</v>
      </c>
      <c r="C51091" s="1"/>
    </row>
    <row r="51092" spans="1:3">
      <c r="A51092" t="s">
        <v>2582</v>
      </c>
      <c r="B51092" s="1">
        <v>41975</v>
      </c>
      <c r="C51092" s="1"/>
    </row>
    <row r="51093" spans="1:3">
      <c r="A51093" t="s">
        <v>2583</v>
      </c>
      <c r="B51093" s="1">
        <v>40970</v>
      </c>
      <c r="C51093" s="1"/>
    </row>
    <row r="51094" spans="1:3">
      <c r="A51094" t="s">
        <v>2584</v>
      </c>
      <c r="B51094" s="1">
        <v>41257</v>
      </c>
      <c r="C51094" s="1"/>
    </row>
    <row r="51095" spans="1:3">
      <c r="A51095" t="s">
        <v>1699</v>
      </c>
      <c r="B51095" s="1">
        <v>41748</v>
      </c>
      <c r="C51095" s="1"/>
    </row>
    <row r="51096" spans="1:3">
      <c r="A51096" t="s">
        <v>1453</v>
      </c>
      <c r="B51096" s="1">
        <v>41962</v>
      </c>
      <c r="C51096" s="1"/>
    </row>
    <row r="51097" spans="1:3">
      <c r="A51097" t="s">
        <v>2568</v>
      </c>
      <c r="B51097" s="1">
        <v>41947</v>
      </c>
      <c r="C51097" s="1"/>
    </row>
    <row r="51098" spans="1:3">
      <c r="A51098" t="s">
        <v>2568</v>
      </c>
      <c r="B51098" s="1">
        <v>41947</v>
      </c>
      <c r="C51098" s="1"/>
    </row>
    <row r="51099" spans="1:3">
      <c r="A51099" t="s">
        <v>2585</v>
      </c>
      <c r="B51099" s="1">
        <v>41945</v>
      </c>
      <c r="C51099" s="1"/>
    </row>
    <row r="51100" spans="1:3">
      <c r="A51100" t="s">
        <v>2578</v>
      </c>
      <c r="B51100" s="1">
        <v>41620</v>
      </c>
      <c r="C51100" s="1"/>
    </row>
    <row r="51101" spans="1:3">
      <c r="A51101" t="s">
        <v>2041</v>
      </c>
      <c r="B51101" s="1">
        <v>41024</v>
      </c>
      <c r="C51101" s="1"/>
    </row>
    <row r="51102" spans="1:3">
      <c r="A51102" t="s">
        <v>2572</v>
      </c>
      <c r="B51102" s="1">
        <v>40929</v>
      </c>
      <c r="C51102" s="1"/>
    </row>
    <row r="51103" spans="1:3">
      <c r="A51103" t="s">
        <v>2572</v>
      </c>
      <c r="B51103" s="1">
        <v>40929</v>
      </c>
      <c r="C51103" s="1"/>
    </row>
    <row r="51104" spans="1:3">
      <c r="A51104" t="s">
        <v>2586</v>
      </c>
      <c r="B51104" s="1">
        <v>42077</v>
      </c>
      <c r="C51104" s="1"/>
    </row>
    <row r="51105" spans="1:3">
      <c r="A51105" t="s">
        <v>2030</v>
      </c>
      <c r="B51105" s="1">
        <v>41905</v>
      </c>
      <c r="C51105" s="1"/>
    </row>
    <row r="51106" spans="1:3">
      <c r="A51106" t="s">
        <v>1756</v>
      </c>
      <c r="B51106" s="1">
        <v>41871</v>
      </c>
      <c r="C51106" s="1"/>
    </row>
    <row r="51107" spans="1:3">
      <c r="A51107" t="s">
        <v>1649</v>
      </c>
      <c r="B51107" s="1">
        <v>42171</v>
      </c>
      <c r="C51107" s="1"/>
    </row>
    <row r="51108" spans="1:3">
      <c r="A51108" t="s">
        <v>2149</v>
      </c>
      <c r="B51108" s="1">
        <v>41303</v>
      </c>
      <c r="C51108" s="1"/>
    </row>
    <row r="51109" spans="1:3">
      <c r="A51109" t="s">
        <v>1976</v>
      </c>
      <c r="B51109" s="1">
        <v>41517</v>
      </c>
      <c r="C51109" s="1"/>
    </row>
    <row r="51110" spans="1:3">
      <c r="A51110" t="s">
        <v>2568</v>
      </c>
      <c r="B51110" s="1">
        <v>41947</v>
      </c>
      <c r="C51110" s="1"/>
    </row>
    <row r="51111" spans="1:3">
      <c r="A51111" t="s">
        <v>2587</v>
      </c>
      <c r="B51111" s="1">
        <v>41126</v>
      </c>
      <c r="C51111" s="1"/>
    </row>
    <row r="51112" spans="1:3">
      <c r="A51112" t="s">
        <v>1951</v>
      </c>
      <c r="B51112" t="s">
        <v>2588</v>
      </c>
      <c r="C51112" s="1"/>
    </row>
    <row r="51113" spans="1:3">
      <c r="A51113" t="s">
        <v>2589</v>
      </c>
      <c r="B51113" s="1">
        <v>41187</v>
      </c>
      <c r="C51113" s="1"/>
    </row>
    <row r="51114" spans="1:3">
      <c r="A51114" t="s">
        <v>2568</v>
      </c>
      <c r="B51114" s="1">
        <v>41947</v>
      </c>
      <c r="C51114" s="1"/>
    </row>
    <row r="51115" spans="1:3">
      <c r="A51115" t="s">
        <v>2574</v>
      </c>
      <c r="B51115" s="1">
        <v>42323</v>
      </c>
      <c r="C51115" s="1"/>
    </row>
    <row r="51116" spans="1:3">
      <c r="A51116" t="s">
        <v>1804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1947</v>
      </c>
      <c r="B51118" s="1">
        <v>41741</v>
      </c>
      <c r="C51118" s="1"/>
    </row>
    <row r="51119" spans="1:3">
      <c r="A51119" t="s">
        <v>2590</v>
      </c>
      <c r="B51119" s="1">
        <v>41525</v>
      </c>
      <c r="C51119" s="1"/>
    </row>
    <row r="51120" spans="1:3">
      <c r="A51120" t="s">
        <v>2591</v>
      </c>
      <c r="B51120" s="1">
        <v>42284</v>
      </c>
      <c r="C51120" s="1"/>
    </row>
    <row r="51121" spans="1:3">
      <c r="A51121" t="s">
        <v>2572</v>
      </c>
      <c r="B51121" s="1">
        <v>40929</v>
      </c>
      <c r="C51121" s="1"/>
    </row>
    <row r="51122" spans="1:3">
      <c r="A51122" t="s">
        <v>2578</v>
      </c>
      <c r="B51122" s="1">
        <v>41620</v>
      </c>
      <c r="C51122" s="1"/>
    </row>
    <row r="51123" spans="1:3">
      <c r="A51123" t="s">
        <v>2572</v>
      </c>
      <c r="B51123" s="1">
        <v>40929</v>
      </c>
      <c r="C51123" s="1"/>
    </row>
    <row r="51124" spans="1:3">
      <c r="A51124" t="s">
        <v>1723</v>
      </c>
      <c r="B51124" s="1">
        <v>41355</v>
      </c>
      <c r="C51124" s="1"/>
    </row>
    <row r="51125" spans="1:3">
      <c r="A51125" t="s">
        <v>1881</v>
      </c>
      <c r="B51125" s="1">
        <v>41509</v>
      </c>
      <c r="C51125" s="1"/>
    </row>
    <row r="51126" spans="1:3">
      <c r="A51126" t="s">
        <v>2070</v>
      </c>
      <c r="B51126" s="1">
        <v>42356</v>
      </c>
      <c r="C51126" s="1"/>
    </row>
    <row r="51127" spans="1:3">
      <c r="A51127" t="s">
        <v>2592</v>
      </c>
      <c r="B51127" s="1">
        <v>42235</v>
      </c>
      <c r="C51127" s="1"/>
    </row>
    <row r="51128" spans="1:3">
      <c r="A51128" t="s">
        <v>2593</v>
      </c>
      <c r="B51128" s="1">
        <v>42360</v>
      </c>
      <c r="C51128" s="1"/>
    </row>
    <row r="51129" spans="1:3">
      <c r="A51129" t="s">
        <v>2592</v>
      </c>
      <c r="B51129" s="1">
        <v>42235</v>
      </c>
      <c r="C51129" s="1"/>
    </row>
    <row r="51130" spans="1:3">
      <c r="A51130" t="s">
        <v>2594</v>
      </c>
      <c r="B51130" s="1">
        <v>41616</v>
      </c>
      <c r="C51130" s="1"/>
    </row>
    <row r="51131" spans="1:3">
      <c r="A51131" t="s">
        <v>2595</v>
      </c>
      <c r="B51131" s="1">
        <v>42108</v>
      </c>
      <c r="C51131" s="1"/>
    </row>
    <row r="51132" spans="1:3">
      <c r="A51132" t="s">
        <v>2596</v>
      </c>
      <c r="B51132" s="1">
        <v>41346</v>
      </c>
      <c r="C51132" s="1"/>
    </row>
    <row r="51133" spans="1:3">
      <c r="A51133" t="s">
        <v>1816</v>
      </c>
      <c r="B51133" s="1">
        <v>41660</v>
      </c>
      <c r="C51133" s="1"/>
    </row>
    <row r="51134" spans="1:3">
      <c r="A51134" t="s">
        <v>1975</v>
      </c>
      <c r="B51134" s="1">
        <v>41893</v>
      </c>
      <c r="C51134" s="1"/>
    </row>
    <row r="51135" spans="1:3">
      <c r="A51135" t="s">
        <v>2594</v>
      </c>
      <c r="C51135" s="1"/>
    </row>
    <row r="51136" spans="1:3">
      <c r="A51136" t="s">
        <v>1982</v>
      </c>
      <c r="B51136" s="1">
        <v>41493</v>
      </c>
      <c r="C51136" s="1"/>
    </row>
    <row r="51137" spans="1:3">
      <c r="A51137" t="s">
        <v>1766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1683</v>
      </c>
      <c r="B51139" s="1">
        <v>41257</v>
      </c>
      <c r="C51139" s="1"/>
    </row>
    <row r="51140" spans="1:3">
      <c r="A51140" t="s">
        <v>2012</v>
      </c>
      <c r="B51140" s="1">
        <v>41783</v>
      </c>
      <c r="C51140" s="1"/>
    </row>
    <row r="51141" spans="1:3">
      <c r="A51141" t="s">
        <v>2597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2598</v>
      </c>
      <c r="B51143" s="1">
        <v>41446</v>
      </c>
      <c r="C51143" s="1"/>
    </row>
    <row r="51144" spans="1:3">
      <c r="A51144" t="s">
        <v>2599</v>
      </c>
      <c r="B51144" s="1">
        <v>41062</v>
      </c>
      <c r="C51144" s="1"/>
    </row>
    <row r="51145" spans="1:3">
      <c r="A51145" t="s">
        <v>1708</v>
      </c>
      <c r="B51145" s="1">
        <v>41503</v>
      </c>
      <c r="C51145" s="1"/>
    </row>
    <row r="51146" spans="1:3">
      <c r="A51146" t="s">
        <v>2011</v>
      </c>
      <c r="B51146" s="1">
        <v>41224</v>
      </c>
      <c r="C51146" s="1"/>
    </row>
    <row r="51147" spans="1:3">
      <c r="A51147" t="s">
        <v>2600</v>
      </c>
      <c r="B51147" s="1">
        <v>41480</v>
      </c>
      <c r="C51147" s="1"/>
    </row>
    <row r="51148" spans="1:3">
      <c r="A51148" t="s">
        <v>2601</v>
      </c>
      <c r="B51148" s="1">
        <v>42130</v>
      </c>
      <c r="C51148" s="1"/>
    </row>
    <row r="51149" spans="1:3">
      <c r="A51149" t="s">
        <v>2592</v>
      </c>
      <c r="B51149" t="s">
        <v>116</v>
      </c>
      <c r="C51149" s="1"/>
    </row>
    <row r="51150" spans="1:3">
      <c r="A51150" t="s">
        <v>2602</v>
      </c>
      <c r="B51150" s="1">
        <v>42189</v>
      </c>
      <c r="C51150" s="1"/>
    </row>
    <row r="51151" spans="1:3">
      <c r="A51151" t="s">
        <v>2603</v>
      </c>
      <c r="B51151" s="1">
        <v>41229</v>
      </c>
      <c r="C51151" s="1"/>
    </row>
    <row r="51152" spans="1:3">
      <c r="A51152" t="s">
        <v>2604</v>
      </c>
      <c r="B51152" s="1">
        <v>41737</v>
      </c>
      <c r="C51152" s="1"/>
    </row>
    <row r="51153" spans="1:3">
      <c r="A51153" t="s">
        <v>2605</v>
      </c>
      <c r="B51153" s="1">
        <v>42365</v>
      </c>
      <c r="C51153" s="1"/>
    </row>
    <row r="51154" spans="1:3">
      <c r="A51154" t="s">
        <v>2606</v>
      </c>
      <c r="B51154" s="1">
        <v>41889</v>
      </c>
      <c r="C51154" s="1"/>
    </row>
    <row r="51155" spans="1:3">
      <c r="A51155" t="s">
        <v>2607</v>
      </c>
      <c r="B51155" s="1">
        <v>42270</v>
      </c>
      <c r="C51155" s="1"/>
    </row>
    <row r="51156" spans="1:3">
      <c r="A51156" t="s">
        <v>2608</v>
      </c>
      <c r="B51156" s="1">
        <v>42159</v>
      </c>
      <c r="C51156" s="1"/>
    </row>
    <row r="51157" spans="1:3">
      <c r="A51157" t="s">
        <v>1910</v>
      </c>
      <c r="B51157" s="1">
        <v>41571</v>
      </c>
    </row>
    <row r="51158" spans="1:3">
      <c r="A51158" t="s">
        <v>1858</v>
      </c>
      <c r="B51158" s="1">
        <v>41952</v>
      </c>
      <c r="C51158" s="1"/>
    </row>
    <row r="51159" spans="1:3">
      <c r="A51159" t="s">
        <v>2002</v>
      </c>
      <c r="B51159" s="1">
        <v>41562</v>
      </c>
      <c r="C51159" s="1"/>
    </row>
    <row r="51160" spans="1:3">
      <c r="A51160" t="s">
        <v>1814</v>
      </c>
      <c r="B51160" s="1">
        <v>41914</v>
      </c>
      <c r="C51160" s="1"/>
    </row>
    <row r="51161" spans="1:3">
      <c r="A51161" t="s">
        <v>1838</v>
      </c>
      <c r="B51161" s="1">
        <v>41544</v>
      </c>
      <c r="C51161" s="1"/>
    </row>
    <row r="51162" spans="1:3">
      <c r="A51162" t="s">
        <v>1704</v>
      </c>
      <c r="C51162" s="1"/>
    </row>
    <row r="51163" spans="1:3">
      <c r="A51163" t="s">
        <v>2113</v>
      </c>
      <c r="B51163" s="1">
        <v>41444</v>
      </c>
      <c r="C51163" s="1"/>
    </row>
    <row r="51164" spans="1:3">
      <c r="A51164" t="s">
        <v>1813</v>
      </c>
      <c r="B51164" s="1">
        <v>42154</v>
      </c>
      <c r="C51164" s="1"/>
    </row>
    <row r="51165" spans="1:3">
      <c r="A51165" t="s">
        <v>1777</v>
      </c>
      <c r="B51165" s="1">
        <v>41164</v>
      </c>
      <c r="C51165" s="1"/>
    </row>
    <row r="51166" spans="1:3">
      <c r="A51166" t="s">
        <v>1670</v>
      </c>
      <c r="B51166" s="1">
        <v>42190</v>
      </c>
      <c r="C51166" s="1"/>
    </row>
    <row r="51167" spans="1:3">
      <c r="A51167" t="s">
        <v>1857</v>
      </c>
      <c r="B51167" s="2">
        <v>41793</v>
      </c>
      <c r="C51167" s="1"/>
    </row>
    <row r="51168" spans="1:3">
      <c r="A51168" t="s">
        <v>1710</v>
      </c>
      <c r="B51168" s="1">
        <v>41431</v>
      </c>
      <c r="C51168" s="1"/>
    </row>
    <row r="51169" spans="1:3">
      <c r="A51169" t="s">
        <v>2148</v>
      </c>
      <c r="B51169" s="1">
        <v>41958</v>
      </c>
      <c r="C51169" s="1"/>
    </row>
    <row r="51170" spans="1:3">
      <c r="A51170" t="s">
        <v>2307</v>
      </c>
      <c r="B51170" s="1">
        <v>41578</v>
      </c>
      <c r="C51170" s="1"/>
    </row>
    <row r="51171" spans="1:3">
      <c r="A51171" t="s">
        <v>1709</v>
      </c>
      <c r="B51171" s="1">
        <v>41552</v>
      </c>
      <c r="C51171" s="1"/>
    </row>
    <row r="51172" spans="1:3">
      <c r="A51172" t="s">
        <v>1674</v>
      </c>
      <c r="B51172" s="1">
        <v>41817</v>
      </c>
      <c r="C51172" s="2"/>
    </row>
    <row r="51173" spans="1:3">
      <c r="A51173" t="s">
        <v>1986</v>
      </c>
      <c r="B51173" s="1">
        <v>42350</v>
      </c>
      <c r="C51173" s="1"/>
    </row>
    <row r="51174" spans="1:3">
      <c r="A51174" t="s">
        <v>2603</v>
      </c>
      <c r="B51174" s="1">
        <v>41229</v>
      </c>
      <c r="C51174" s="1"/>
    </row>
    <row r="51175" spans="1:3">
      <c r="A51175" t="s">
        <v>1770</v>
      </c>
      <c r="B51175" s="1">
        <v>42342</v>
      </c>
      <c r="C51175" s="1"/>
    </row>
    <row r="51176" spans="1:3">
      <c r="A51176" t="s">
        <v>2609</v>
      </c>
      <c r="B51176" s="1">
        <v>41441</v>
      </c>
      <c r="C51176" s="1"/>
    </row>
    <row r="51177" spans="1:3">
      <c r="A51177" t="s">
        <v>2380</v>
      </c>
      <c r="B51177" s="1">
        <v>41247</v>
      </c>
      <c r="C51177" s="1"/>
    </row>
    <row r="51178" spans="1:3">
      <c r="A51178" t="s">
        <v>1742</v>
      </c>
      <c r="B51178" s="1">
        <v>42111</v>
      </c>
      <c r="C51178" s="1"/>
    </row>
    <row r="51179" spans="1:3">
      <c r="A51179" t="s">
        <v>1935</v>
      </c>
      <c r="B51179" s="1">
        <v>41849</v>
      </c>
      <c r="C51179" s="1"/>
    </row>
    <row r="51180" spans="1:3">
      <c r="A51180" t="s">
        <v>2610</v>
      </c>
      <c r="B51180" s="1">
        <v>41791</v>
      </c>
      <c r="C51180" s="1"/>
    </row>
    <row r="51181" spans="1:3">
      <c r="A51181" t="s">
        <v>1928</v>
      </c>
      <c r="B51181" s="1">
        <v>41615</v>
      </c>
    </row>
    <row r="51182" spans="1:3">
      <c r="A51182" t="s">
        <v>2603</v>
      </c>
      <c r="B51182" s="1">
        <v>41229</v>
      </c>
      <c r="C51182" s="1"/>
    </row>
    <row r="51183" spans="1:3">
      <c r="A51183" t="s">
        <v>1711</v>
      </c>
      <c r="B51183" s="1">
        <v>41286</v>
      </c>
      <c r="C51183" s="1"/>
    </row>
    <row r="51184" spans="1:3">
      <c r="A51184" t="s">
        <v>925</v>
      </c>
      <c r="B51184" s="1">
        <v>41728</v>
      </c>
      <c r="C51184" s="1"/>
    </row>
    <row r="51185" spans="1:3">
      <c r="A51185" t="s">
        <v>2611</v>
      </c>
      <c r="B51185" s="1">
        <v>41590</v>
      </c>
      <c r="C51185" s="1"/>
    </row>
    <row r="51186" spans="1:3">
      <c r="A51186" t="s">
        <v>1900</v>
      </c>
      <c r="B51186" s="1">
        <v>41077</v>
      </c>
      <c r="C51186" s="1"/>
    </row>
    <row r="51187" spans="1:3">
      <c r="A51187" t="s">
        <v>1894</v>
      </c>
      <c r="B51187" s="1">
        <v>42322</v>
      </c>
      <c r="C51187" s="1"/>
    </row>
    <row r="51188" spans="1:3">
      <c r="A51188" t="s">
        <v>2607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2612</v>
      </c>
      <c r="B51192" s="1">
        <v>41194</v>
      </c>
      <c r="C51192" s="1"/>
    </row>
    <row r="51193" spans="1:3">
      <c r="A51193" t="s">
        <v>2613</v>
      </c>
      <c r="B51193" s="1">
        <v>41530</v>
      </c>
      <c r="C51193" s="1"/>
    </row>
    <row r="51194" spans="1:3">
      <c r="A51194" t="s">
        <v>1957</v>
      </c>
      <c r="B51194" s="1">
        <v>42284</v>
      </c>
      <c r="C51194" s="1"/>
    </row>
    <row r="51195" spans="1:3">
      <c r="A51195" t="s">
        <v>2614</v>
      </c>
      <c r="B51195" s="1">
        <v>41377</v>
      </c>
      <c r="C51195" s="1"/>
    </row>
    <row r="51196" spans="1:3">
      <c r="A51196" t="s">
        <v>1896</v>
      </c>
      <c r="B51196" s="1">
        <v>41835</v>
      </c>
      <c r="C51196" s="1"/>
    </row>
    <row r="51197" spans="1:3">
      <c r="A51197" t="s">
        <v>1933</v>
      </c>
      <c r="B51197" s="1">
        <v>42192</v>
      </c>
    </row>
    <row r="51198" spans="1:3">
      <c r="A51198" t="s">
        <v>1971</v>
      </c>
      <c r="B51198" s="1">
        <v>40975</v>
      </c>
      <c r="C51198" s="1"/>
    </row>
    <row r="51199" spans="1:3">
      <c r="A51199" t="s">
        <v>1826</v>
      </c>
      <c r="B51199" t="s">
        <v>2615</v>
      </c>
      <c r="C51199" s="1"/>
    </row>
    <row r="51200" spans="1:3">
      <c r="A51200" t="s">
        <v>2616</v>
      </c>
      <c r="B51200" s="1">
        <v>41707</v>
      </c>
      <c r="C51200" s="1"/>
    </row>
    <row r="51201" spans="1:3">
      <c r="A51201" t="s">
        <v>2617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2612</v>
      </c>
      <c r="B51203" s="1">
        <v>41194</v>
      </c>
      <c r="C51203" s="1"/>
    </row>
    <row r="51204" spans="1:3">
      <c r="A51204" t="s">
        <v>2618</v>
      </c>
      <c r="B51204" s="1">
        <v>41738</v>
      </c>
      <c r="C51204" s="1"/>
    </row>
    <row r="51205" spans="1:3">
      <c r="A51205" t="s">
        <v>2619</v>
      </c>
      <c r="B51205" s="1">
        <v>42045</v>
      </c>
      <c r="C51205" s="1"/>
    </row>
    <row r="51206" spans="1:3">
      <c r="A51206" t="s">
        <v>2620</v>
      </c>
      <c r="B51206" s="1">
        <v>41389</v>
      </c>
      <c r="C51206" s="1"/>
    </row>
    <row r="51207" spans="1:3">
      <c r="A51207" t="s">
        <v>2620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2618</v>
      </c>
      <c r="B51210" s="1">
        <v>41738</v>
      </c>
      <c r="C51210" s="1"/>
    </row>
    <row r="51211" spans="1:3">
      <c r="A51211" t="s">
        <v>2621</v>
      </c>
      <c r="B51211" s="1">
        <v>41231</v>
      </c>
      <c r="C51211" s="1"/>
    </row>
    <row r="51212" spans="1:3">
      <c r="A51212" t="s">
        <v>1973</v>
      </c>
      <c r="B51212" s="1">
        <v>42059</v>
      </c>
    </row>
    <row r="51213" spans="1:3">
      <c r="A51213" t="s">
        <v>2622</v>
      </c>
      <c r="B51213" s="1">
        <v>42175</v>
      </c>
      <c r="C51213" s="1"/>
    </row>
    <row r="51214" spans="1:3">
      <c r="A51214" t="s">
        <v>2623</v>
      </c>
      <c r="B51214" s="1">
        <v>41916</v>
      </c>
      <c r="C51214" s="1"/>
    </row>
    <row r="51215" spans="1:3">
      <c r="A51215" t="s">
        <v>2614</v>
      </c>
      <c r="B51215" s="1">
        <v>41377</v>
      </c>
      <c r="C51215" s="1"/>
    </row>
    <row r="51216" spans="1:3">
      <c r="A51216" t="s">
        <v>2624</v>
      </c>
      <c r="B51216" s="1">
        <v>41719</v>
      </c>
      <c r="C51216" s="1"/>
    </row>
    <row r="51217" spans="1:3">
      <c r="A51217" t="s">
        <v>1696</v>
      </c>
      <c r="B51217" s="1">
        <v>41447</v>
      </c>
      <c r="C51217" s="1"/>
    </row>
    <row r="51218" spans="1:3">
      <c r="A51218" t="s">
        <v>2153</v>
      </c>
      <c r="B51218" s="1">
        <v>42332</v>
      </c>
      <c r="C51218" s="1"/>
    </row>
    <row r="51219" spans="1:3">
      <c r="A51219" t="s">
        <v>1724</v>
      </c>
      <c r="B51219" s="1">
        <v>41910</v>
      </c>
      <c r="C51219" s="1"/>
    </row>
    <row r="51220" spans="1:3">
      <c r="A51220" t="s">
        <v>2072</v>
      </c>
      <c r="B51220" s="1">
        <v>42289</v>
      </c>
      <c r="C51220" s="1"/>
    </row>
    <row r="51221" spans="1:3">
      <c r="A51221" t="s">
        <v>2625</v>
      </c>
      <c r="B51221" s="1">
        <v>41727</v>
      </c>
      <c r="C51221" s="1"/>
    </row>
    <row r="51222" spans="1:3">
      <c r="A51222" t="s">
        <v>1868</v>
      </c>
      <c r="B51222" s="1">
        <v>41807</v>
      </c>
      <c r="C51222" s="1"/>
    </row>
    <row r="51223" spans="1:3">
      <c r="A51223" t="s">
        <v>2626</v>
      </c>
      <c r="B51223" s="1">
        <v>40979</v>
      </c>
      <c r="C51223" s="1"/>
    </row>
    <row r="51224" spans="1:3">
      <c r="A51224" t="s">
        <v>2627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2628</v>
      </c>
      <c r="B51226" s="1">
        <v>42136</v>
      </c>
      <c r="C51226" s="1"/>
    </row>
    <row r="51227" spans="1:3">
      <c r="A51227" t="s">
        <v>2612</v>
      </c>
      <c r="B51227" s="1">
        <v>41194</v>
      </c>
      <c r="C51227" s="2"/>
    </row>
    <row r="51228" spans="1:3">
      <c r="A51228" t="s">
        <v>2629</v>
      </c>
      <c r="B51228" s="1">
        <v>42351</v>
      </c>
      <c r="C51228" s="1"/>
    </row>
    <row r="51229" spans="1:3">
      <c r="A51229" t="s">
        <v>2616</v>
      </c>
      <c r="B51229" s="2">
        <v>41707</v>
      </c>
      <c r="C51229" s="1"/>
    </row>
    <row r="51230" spans="1:3">
      <c r="A51230" t="s">
        <v>2040</v>
      </c>
      <c r="B51230" s="1">
        <v>41601</v>
      </c>
      <c r="C51230" s="1"/>
    </row>
    <row r="51231" spans="1:3">
      <c r="A51231" t="s">
        <v>1956</v>
      </c>
      <c r="C51231" s="1"/>
    </row>
    <row r="51232" spans="1:3">
      <c r="A51232" t="s">
        <v>1986</v>
      </c>
      <c r="B51232" s="1">
        <v>42350</v>
      </c>
      <c r="C51232" s="1"/>
    </row>
    <row r="51233" spans="1:3">
      <c r="A51233" t="s">
        <v>1950</v>
      </c>
      <c r="B51233" s="1">
        <v>41434</v>
      </c>
      <c r="C51233" s="1"/>
    </row>
    <row r="51234" spans="1:3">
      <c r="A51234" t="s">
        <v>1988</v>
      </c>
      <c r="B51234" s="1">
        <v>41287</v>
      </c>
      <c r="C51234" s="1"/>
    </row>
    <row r="51235" spans="1:3">
      <c r="A51235" t="s">
        <v>2167</v>
      </c>
      <c r="B51235" s="1">
        <v>41597</v>
      </c>
      <c r="C51235" s="1"/>
    </row>
    <row r="51236" spans="1:3">
      <c r="A51236" t="s">
        <v>2630</v>
      </c>
      <c r="B51236" s="1">
        <v>42315</v>
      </c>
      <c r="C51236" s="1"/>
    </row>
    <row r="51237" spans="1:3">
      <c r="A51237" t="s">
        <v>2631</v>
      </c>
      <c r="B51237" s="1">
        <v>42320</v>
      </c>
      <c r="C51237" s="1"/>
    </row>
    <row r="51238" spans="1:3">
      <c r="A51238" t="s">
        <v>2632</v>
      </c>
      <c r="B51238" s="1">
        <v>41989</v>
      </c>
      <c r="C51238" s="1"/>
    </row>
    <row r="51239" spans="1:3">
      <c r="A51239" t="s">
        <v>2612</v>
      </c>
      <c r="B51239" s="1">
        <v>41194</v>
      </c>
      <c r="C51239" s="1"/>
    </row>
    <row r="51240" spans="1:3">
      <c r="A51240" t="s">
        <v>2633</v>
      </c>
      <c r="C51240" s="1"/>
    </row>
    <row r="51241" spans="1:3">
      <c r="A51241" t="s">
        <v>2630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1904</v>
      </c>
      <c r="B51244" s="1">
        <v>41261</v>
      </c>
      <c r="C51244" s="1"/>
    </row>
    <row r="51245" spans="1:3">
      <c r="A51245" t="s">
        <v>1792</v>
      </c>
      <c r="C51245" s="1"/>
    </row>
    <row r="51246" spans="1:3">
      <c r="B51246" s="1">
        <v>41719</v>
      </c>
      <c r="C51246" s="1"/>
    </row>
    <row r="51247" spans="1:3">
      <c r="A51247" t="s">
        <v>2634</v>
      </c>
      <c r="B51247" t="s">
        <v>2000</v>
      </c>
      <c r="C51247" s="1"/>
    </row>
    <row r="51248" spans="1:3">
      <c r="A51248" t="s">
        <v>1861</v>
      </c>
      <c r="B51248" s="1">
        <v>41846</v>
      </c>
      <c r="C51248" s="1"/>
    </row>
    <row r="51249" spans="1:3">
      <c r="A51249" t="s">
        <v>2635</v>
      </c>
      <c r="B51249" s="1">
        <v>41545</v>
      </c>
      <c r="C51249" s="1"/>
    </row>
    <row r="51250" spans="1:3">
      <c r="A51250" t="s">
        <v>2636</v>
      </c>
      <c r="B51250" t="s">
        <v>116</v>
      </c>
      <c r="C51250" s="1"/>
    </row>
    <row r="51251" spans="1:3">
      <c r="A51251" t="s">
        <v>2635</v>
      </c>
      <c r="B51251" s="1">
        <v>41545</v>
      </c>
      <c r="C51251" s="1"/>
    </row>
    <row r="51252" spans="1:3">
      <c r="A51252" t="s">
        <v>2637</v>
      </c>
      <c r="B51252" s="1">
        <v>42167</v>
      </c>
      <c r="C51252" s="1"/>
    </row>
    <row r="51253" spans="1:3">
      <c r="A51253" t="s">
        <v>2630</v>
      </c>
      <c r="B51253" s="1">
        <v>42315</v>
      </c>
      <c r="C51253" s="1"/>
    </row>
    <row r="51254" spans="1:3">
      <c r="A51254" t="s">
        <v>1686</v>
      </c>
      <c r="B51254" s="1">
        <v>42355</v>
      </c>
      <c r="C51254" s="1"/>
    </row>
    <row r="51255" spans="1:3">
      <c r="A51255" t="s">
        <v>2166</v>
      </c>
      <c r="B51255" s="1">
        <v>41870</v>
      </c>
      <c r="C51255" s="1"/>
    </row>
    <row r="51256" spans="1:3">
      <c r="A51256" t="s">
        <v>1773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1926</v>
      </c>
      <c r="B51258" s="1">
        <v>42147</v>
      </c>
      <c r="C51258" s="1"/>
    </row>
    <row r="51259" spans="1:3">
      <c r="A51259" t="s">
        <v>2635</v>
      </c>
      <c r="B51259" s="1">
        <v>41545</v>
      </c>
      <c r="C51259" s="1"/>
    </row>
    <row r="51260" spans="1:3">
      <c r="A51260" t="s">
        <v>2622</v>
      </c>
      <c r="B51260" s="1">
        <v>42175</v>
      </c>
      <c r="C51260" s="1"/>
    </row>
    <row r="51261" spans="1:3">
      <c r="A51261" t="s">
        <v>2638</v>
      </c>
      <c r="C51261" s="1"/>
    </row>
    <row r="51262" spans="1:3">
      <c r="A51262" t="s">
        <v>2639</v>
      </c>
    </row>
    <row r="51263" spans="1:3">
      <c r="A51263" t="s">
        <v>2640</v>
      </c>
      <c r="B51263" s="1">
        <v>41264</v>
      </c>
      <c r="C51263" s="1"/>
    </row>
    <row r="51264" spans="1:3">
      <c r="A51264" t="s">
        <v>2641</v>
      </c>
      <c r="B51264" s="1">
        <v>42333</v>
      </c>
      <c r="C51264" s="1"/>
    </row>
    <row r="51265" spans="1:3">
      <c r="A51265" t="s">
        <v>2642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2643</v>
      </c>
      <c r="B51267" s="1">
        <v>42167</v>
      </c>
      <c r="C51267" s="1"/>
    </row>
    <row r="51268" spans="1:3">
      <c r="A51268" t="s">
        <v>2644</v>
      </c>
      <c r="B51268" s="1">
        <v>42103</v>
      </c>
      <c r="C51268" s="1"/>
    </row>
    <row r="51269" spans="1:3">
      <c r="A51269" t="s">
        <v>1967</v>
      </c>
      <c r="B51269" s="1">
        <v>41038</v>
      </c>
      <c r="C51269" s="1"/>
    </row>
    <row r="51270" spans="1:3">
      <c r="A51270" t="s">
        <v>2645</v>
      </c>
      <c r="B51270" s="1">
        <v>42221</v>
      </c>
      <c r="C51270" s="1"/>
    </row>
    <row r="51271" spans="1:3">
      <c r="A51271" t="s">
        <v>2642</v>
      </c>
      <c r="B51271" s="1">
        <v>41733</v>
      </c>
      <c r="C51271" s="1"/>
    </row>
    <row r="51272" spans="1:3">
      <c r="A51272" t="s">
        <v>1254</v>
      </c>
      <c r="B51272" s="1">
        <v>42111</v>
      </c>
      <c r="C51272" s="1"/>
    </row>
    <row r="51273" spans="1:3">
      <c r="A51273" t="s">
        <v>2646</v>
      </c>
      <c r="B51273" s="1">
        <v>42258</v>
      </c>
      <c r="C51273" s="1"/>
    </row>
    <row r="51274" spans="1:3">
      <c r="A51274" t="s">
        <v>1870</v>
      </c>
      <c r="B51274" s="1">
        <v>41912</v>
      </c>
      <c r="C51274" s="1"/>
    </row>
    <row r="51275" spans="1:3">
      <c r="A51275" t="s">
        <v>2647</v>
      </c>
      <c r="B51275" s="1">
        <v>40988</v>
      </c>
      <c r="C51275" s="1"/>
    </row>
    <row r="51276" spans="1:3">
      <c r="A51276" t="s">
        <v>2639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1222</v>
      </c>
      <c r="B51278" s="1">
        <v>41245</v>
      </c>
      <c r="C51278" s="1"/>
    </row>
    <row r="51279" spans="1:3">
      <c r="A51279" t="s">
        <v>1993</v>
      </c>
      <c r="B51279" s="1">
        <v>41159</v>
      </c>
      <c r="C51279" s="1"/>
    </row>
    <row r="51280" spans="1:3">
      <c r="A51280" t="s">
        <v>2638</v>
      </c>
      <c r="B51280" s="1">
        <v>41829</v>
      </c>
      <c r="C51280" s="1"/>
    </row>
    <row r="51281" spans="1:3">
      <c r="A51281" t="s">
        <v>2648</v>
      </c>
      <c r="B51281" s="1">
        <v>42164</v>
      </c>
      <c r="C51281" s="1"/>
    </row>
    <row r="51282" spans="1:3">
      <c r="A51282" t="s">
        <v>2649</v>
      </c>
      <c r="B51282" s="1">
        <v>42221</v>
      </c>
      <c r="C51282" s="1"/>
    </row>
    <row r="51283" spans="1:3">
      <c r="A51283" t="s">
        <v>2650</v>
      </c>
      <c r="B51283" s="1">
        <v>42154</v>
      </c>
      <c r="C51283" s="1"/>
    </row>
    <row r="51284" spans="1:3">
      <c r="A51284" t="s">
        <v>2138</v>
      </c>
      <c r="B51284" s="1">
        <v>41636</v>
      </c>
      <c r="C51284" s="1"/>
    </row>
    <row r="51285" spans="1:3">
      <c r="A51285" t="s">
        <v>1659</v>
      </c>
      <c r="B51285" s="1">
        <v>42174</v>
      </c>
      <c r="C51285" s="1"/>
    </row>
    <row r="51286" spans="1:3">
      <c r="A51286" t="s">
        <v>2651</v>
      </c>
      <c r="B51286" s="1">
        <v>41765</v>
      </c>
      <c r="C51286" s="1"/>
    </row>
    <row r="51287" spans="1:3">
      <c r="A51287" t="s">
        <v>2639</v>
      </c>
      <c r="B51287" s="1">
        <v>41147</v>
      </c>
      <c r="C51287" s="1"/>
    </row>
    <row r="51288" spans="1:3">
      <c r="A51288" t="s">
        <v>1682</v>
      </c>
      <c r="B51288" s="1">
        <v>41322</v>
      </c>
      <c r="C51288" s="1"/>
    </row>
    <row r="51289" spans="1:3">
      <c r="A51289" t="s">
        <v>2652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T1000"/>
  <sheetViews>
    <sheetView topLeftCell="K1" workbookViewId="0">
      <selection activeCell="P15" sqref="P15"/>
    </sheetView>
  </sheetViews>
  <sheetFormatPr defaultRowHeight="15"/>
  <cols>
    <col min="1" max="1" width="28.7109375" customWidth="1"/>
    <col min="2" max="2" width="20.28515625" customWidth="1"/>
    <col min="3" max="3" width="19" customWidth="1"/>
    <col min="4" max="4" width="17.7109375" customWidth="1"/>
    <col min="5" max="5" width="16.85546875" customWidth="1"/>
    <col min="6" max="6" width="19.42578125" customWidth="1"/>
    <col min="7" max="7" width="16" customWidth="1"/>
    <col min="8" max="8" width="14.85546875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17.42578125" customWidth="1"/>
    <col min="16" max="16" width="15.5703125" customWidth="1"/>
    <col min="17" max="17" width="16.42578125" customWidth="1"/>
    <col min="18" max="18" width="14.7109375" bestFit="1" customWidth="1"/>
  </cols>
  <sheetData>
    <row r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2653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2666</v>
      </c>
      <c r="O1" s="16"/>
      <c r="P1" s="16"/>
      <c r="Q1" s="16"/>
    </row>
    <row r="2" spans="1:20">
      <c r="A2" s="7" t="s">
        <v>12</v>
      </c>
      <c r="B2" s="8">
        <v>41929</v>
      </c>
      <c r="C2" s="8">
        <v>41930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2654</v>
      </c>
      <c r="I2" s="9">
        <v>5175.1710000000003</v>
      </c>
      <c r="J2" s="7">
        <v>9</v>
      </c>
      <c r="K2" s="11">
        <v>0.1</v>
      </c>
      <c r="L2" s="9">
        <v>919.97099999999898</v>
      </c>
      <c r="M2" s="7" t="s">
        <v>17</v>
      </c>
      <c r="N2" t="str" cm="1">
        <f t="array" ref="N2:N1000">IF(J2:J1000&gt;5,"Bulk Order","Normal Order")</f>
        <v>Bulk Order</v>
      </c>
    </row>
    <row r="3" spans="1:20">
      <c r="A3" s="7" t="s">
        <v>18</v>
      </c>
      <c r="B3" s="8">
        <v>41667</v>
      </c>
      <c r="C3" s="8">
        <v>41669</v>
      </c>
      <c r="D3" s="7" t="s">
        <v>19</v>
      </c>
      <c r="E3" s="7" t="s">
        <v>20</v>
      </c>
      <c r="F3" s="7"/>
      <c r="G3" s="7" t="s">
        <v>16</v>
      </c>
      <c r="H3" s="7" t="s">
        <v>2655</v>
      </c>
      <c r="I3" s="9">
        <v>2892.5099999999902</v>
      </c>
      <c r="J3" s="7">
        <v>5</v>
      </c>
      <c r="K3" s="11">
        <v>0.1</v>
      </c>
      <c r="L3" s="9">
        <v>-96.54</v>
      </c>
      <c r="M3" s="7"/>
      <c r="N3" t="str">
        <v>Normal Order</v>
      </c>
      <c r="P3" s="13"/>
      <c r="Q3" s="13"/>
      <c r="R3" s="4"/>
      <c r="S3" s="4"/>
    </row>
    <row r="4" spans="1:20" ht="15.75">
      <c r="A4" s="7"/>
      <c r="B4" s="8">
        <v>41948</v>
      </c>
      <c r="C4" s="8">
        <v>41949</v>
      </c>
      <c r="D4" s="7" t="s">
        <v>21</v>
      </c>
      <c r="E4" s="7"/>
      <c r="F4" s="7" t="s">
        <v>22</v>
      </c>
      <c r="G4" s="7" t="s">
        <v>16</v>
      </c>
      <c r="H4" s="7" t="s">
        <v>2656</v>
      </c>
      <c r="I4" s="9">
        <v>2832.96</v>
      </c>
      <c r="J4" s="7">
        <v>8</v>
      </c>
      <c r="K4" s="11">
        <v>0</v>
      </c>
      <c r="L4" s="9">
        <v>311.52</v>
      </c>
      <c r="M4" s="7" t="s">
        <v>23</v>
      </c>
      <c r="N4" t="str">
        <v>Bulk Order</v>
      </c>
      <c r="O4" s="17"/>
      <c r="P4" s="18"/>
      <c r="Q4" s="12"/>
      <c r="R4" s="14"/>
    </row>
    <row r="5" spans="1:20" ht="15.75">
      <c r="A5" s="7" t="s">
        <v>24</v>
      </c>
      <c r="B5" s="8">
        <v>41818</v>
      </c>
      <c r="C5" s="8">
        <v>41821</v>
      </c>
      <c r="D5" s="7" t="s">
        <v>25</v>
      </c>
      <c r="E5" s="7" t="s">
        <v>14</v>
      </c>
      <c r="F5" s="7" t="s">
        <v>15</v>
      </c>
      <c r="G5" s="7" t="s">
        <v>16</v>
      </c>
      <c r="H5" s="7" t="s">
        <v>2656</v>
      </c>
      <c r="I5" s="9">
        <v>2862.6750000000002</v>
      </c>
      <c r="J5" s="7">
        <v>5</v>
      </c>
      <c r="K5" s="11">
        <v>0.1</v>
      </c>
      <c r="L5" s="9">
        <v>763.27499999999998</v>
      </c>
      <c r="M5" s="7" t="s">
        <v>23</v>
      </c>
      <c r="N5" t="str">
        <v>Normal Order</v>
      </c>
      <c r="O5" s="17"/>
      <c r="P5" s="18" t="s">
        <v>2668</v>
      </c>
      <c r="Q5" s="19">
        <f>COUNTIF(I2:I1000,"&gt;1000")</f>
        <v>634</v>
      </c>
      <c r="R5" s="15"/>
      <c r="S5" s="15"/>
    </row>
    <row r="6" spans="1:20" ht="15.75">
      <c r="A6" s="7"/>
      <c r="B6" s="8">
        <v>41219</v>
      </c>
      <c r="C6" s="8">
        <v>41221</v>
      </c>
      <c r="D6" s="7" t="s">
        <v>26</v>
      </c>
      <c r="E6" s="7" t="s">
        <v>27</v>
      </c>
      <c r="F6" s="7" t="s">
        <v>15</v>
      </c>
      <c r="G6" s="7" t="s">
        <v>28</v>
      </c>
      <c r="H6" s="7" t="s">
        <v>2657</v>
      </c>
      <c r="I6" s="9">
        <v>1822.0799999999899</v>
      </c>
      <c r="J6" s="7">
        <v>4</v>
      </c>
      <c r="K6" s="11">
        <v>0</v>
      </c>
      <c r="L6" s="9">
        <v>564.84</v>
      </c>
      <c r="M6" s="7" t="s">
        <v>23</v>
      </c>
      <c r="N6" t="str">
        <v>Normal Order</v>
      </c>
      <c r="O6" s="17"/>
      <c r="P6" s="18"/>
      <c r="Q6" s="19"/>
      <c r="R6" s="14"/>
      <c r="S6" s="15"/>
    </row>
    <row r="7" spans="1:20" ht="15.75">
      <c r="A7" s="7" t="s">
        <v>29</v>
      </c>
      <c r="B7" s="7"/>
      <c r="C7" s="7"/>
      <c r="D7" s="7" t="s">
        <v>30</v>
      </c>
      <c r="E7" s="7" t="s">
        <v>27</v>
      </c>
      <c r="F7" s="7" t="s">
        <v>15</v>
      </c>
      <c r="G7" s="7" t="s">
        <v>28</v>
      </c>
      <c r="H7" s="7" t="s">
        <v>2656</v>
      </c>
      <c r="I7" s="9">
        <v>5244.84</v>
      </c>
      <c r="J7" s="7">
        <v>6</v>
      </c>
      <c r="K7" s="11">
        <v>0</v>
      </c>
      <c r="L7" s="9">
        <v>996.479999999999</v>
      </c>
      <c r="M7" s="7" t="s">
        <v>32</v>
      </c>
      <c r="N7" t="str">
        <v>Bulk Order</v>
      </c>
      <c r="O7" s="17"/>
      <c r="P7" s="18" t="s">
        <v>2667</v>
      </c>
      <c r="Q7" s="19">
        <f>SUMIF(M2:M1000,"High",I2:I1000)</f>
        <v>607070.0204999987</v>
      </c>
      <c r="R7" s="15"/>
      <c r="S7" s="15"/>
    </row>
    <row r="8" spans="1:20" ht="15.75">
      <c r="A8" s="7" t="s">
        <v>33</v>
      </c>
      <c r="B8" s="8">
        <v>41954</v>
      </c>
      <c r="C8" s="8">
        <v>41956</v>
      </c>
      <c r="D8" s="7" t="s">
        <v>34</v>
      </c>
      <c r="E8" s="7" t="s">
        <v>35</v>
      </c>
      <c r="F8" s="7" t="s">
        <v>36</v>
      </c>
      <c r="G8" s="7" t="s">
        <v>28</v>
      </c>
      <c r="H8" s="7" t="s">
        <v>2655</v>
      </c>
      <c r="I8" s="9">
        <v>341.96</v>
      </c>
      <c r="J8" s="7">
        <v>2</v>
      </c>
      <c r="K8" s="11">
        <v>0</v>
      </c>
      <c r="L8" s="9">
        <v>54.7135999999999</v>
      </c>
      <c r="M8" s="7" t="s">
        <v>32</v>
      </c>
      <c r="N8" t="str">
        <v>Normal Order</v>
      </c>
      <c r="O8" s="17"/>
      <c r="P8" s="18"/>
      <c r="Q8" s="19"/>
      <c r="R8" s="14"/>
      <c r="S8" s="15"/>
    </row>
    <row r="9" spans="1:20" ht="15.75">
      <c r="A9" s="7" t="s">
        <v>37</v>
      </c>
      <c r="B9" s="8">
        <v>40974</v>
      </c>
      <c r="C9" s="8">
        <v>40975</v>
      </c>
      <c r="D9" s="7" t="s">
        <v>34</v>
      </c>
      <c r="E9" s="7" t="s">
        <v>35</v>
      </c>
      <c r="F9" s="7" t="s">
        <v>38</v>
      </c>
      <c r="G9" s="7" t="s">
        <v>28</v>
      </c>
      <c r="H9" s="7" t="s">
        <v>2658</v>
      </c>
      <c r="I9" s="9">
        <v>48.712000000000003</v>
      </c>
      <c r="J9" s="7">
        <v>1</v>
      </c>
      <c r="K9" s="11"/>
      <c r="L9" s="9">
        <v>5.4800999999999904</v>
      </c>
      <c r="M9" s="7" t="s">
        <v>32</v>
      </c>
      <c r="N9" t="str">
        <v>Normal Order</v>
      </c>
      <c r="O9" s="17"/>
      <c r="P9" s="18" t="s">
        <v>2669</v>
      </c>
      <c r="Q9" s="20">
        <f>AVERAGEIF(M2:M1000,"High",L2:L1000)</f>
        <v>324.58206294683072</v>
      </c>
      <c r="R9" s="15"/>
      <c r="S9" s="15"/>
    </row>
    <row r="10" spans="1:20" ht="15.75">
      <c r="A10" s="7" t="s">
        <v>37</v>
      </c>
      <c r="B10" s="8">
        <v>40974</v>
      </c>
      <c r="C10" s="8">
        <v>40975</v>
      </c>
      <c r="D10" s="7" t="s">
        <v>34</v>
      </c>
      <c r="E10" s="7"/>
      <c r="F10" s="7" t="s">
        <v>38</v>
      </c>
      <c r="G10" s="7" t="s">
        <v>39</v>
      </c>
      <c r="H10" s="7" t="s">
        <v>2659</v>
      </c>
      <c r="I10" s="9">
        <v>17.940000000000001</v>
      </c>
      <c r="J10" s="7">
        <v>3</v>
      </c>
      <c r="K10" s="11">
        <v>0</v>
      </c>
      <c r="L10" s="9">
        <v>26.647123533229099</v>
      </c>
      <c r="M10" s="7" t="s">
        <v>32</v>
      </c>
      <c r="N10" t="str">
        <v>Normal Order</v>
      </c>
      <c r="O10" s="17"/>
      <c r="P10" s="18"/>
      <c r="Q10" s="12"/>
      <c r="R10" s="14"/>
      <c r="S10" s="15"/>
    </row>
    <row r="11" spans="1:20" ht="15.75">
      <c r="A11" s="7" t="s">
        <v>41</v>
      </c>
      <c r="B11" s="8">
        <v>41383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28</v>
      </c>
      <c r="H11" s="7" t="s">
        <v>2658</v>
      </c>
      <c r="I11" s="9">
        <v>4626.1499999999996</v>
      </c>
      <c r="J11" s="7">
        <v>5</v>
      </c>
      <c r="K11" s="11">
        <v>0</v>
      </c>
      <c r="L11" s="9"/>
      <c r="M11" s="7" t="s">
        <v>32</v>
      </c>
      <c r="N11" t="str">
        <v>Normal Order</v>
      </c>
      <c r="O11" s="17"/>
      <c r="P11" s="18"/>
      <c r="Q11" s="12"/>
      <c r="R11" s="15"/>
      <c r="S11" s="15"/>
      <c r="T11" s="15"/>
    </row>
    <row r="12" spans="1:20" ht="15.75">
      <c r="A12" s="7" t="s">
        <v>46</v>
      </c>
      <c r="B12" s="8">
        <v>41269</v>
      </c>
      <c r="C12" s="7"/>
      <c r="D12" s="7" t="s">
        <v>47</v>
      </c>
      <c r="E12" s="7" t="s">
        <v>48</v>
      </c>
      <c r="F12" s="7" t="s">
        <v>49</v>
      </c>
      <c r="G12" s="7" t="s">
        <v>16</v>
      </c>
      <c r="H12" s="7" t="s">
        <v>2660</v>
      </c>
      <c r="I12" s="9">
        <v>2616.96</v>
      </c>
      <c r="J12" s="7">
        <v>4</v>
      </c>
      <c r="K12" s="11">
        <v>0</v>
      </c>
      <c r="L12" s="9">
        <v>1151.4000000000001</v>
      </c>
      <c r="M12" s="7" t="s">
        <v>23</v>
      </c>
      <c r="N12" t="str">
        <v>Normal Order</v>
      </c>
      <c r="P12" s="12"/>
      <c r="Q12" s="12"/>
      <c r="R12" s="15"/>
      <c r="S12" s="15"/>
    </row>
    <row r="13" spans="1:20" ht="15.75">
      <c r="A13" s="7" t="s">
        <v>50</v>
      </c>
      <c r="B13" s="8">
        <v>41591</v>
      </c>
      <c r="C13" s="8">
        <v>41591</v>
      </c>
      <c r="D13" s="7" t="s">
        <v>51</v>
      </c>
      <c r="E13" s="7" t="s">
        <v>52</v>
      </c>
      <c r="F13" s="7" t="s">
        <v>53</v>
      </c>
      <c r="G13" s="7" t="s">
        <v>28</v>
      </c>
      <c r="H13" s="7" t="s">
        <v>2658</v>
      </c>
      <c r="I13" s="9">
        <v>2221.8000000000002</v>
      </c>
      <c r="J13" s="7"/>
      <c r="K13" s="11">
        <v>0</v>
      </c>
      <c r="L13" s="9">
        <v>622.02</v>
      </c>
      <c r="M13" s="7" t="s">
        <v>23</v>
      </c>
      <c r="N13" t="str">
        <v>Normal Order</v>
      </c>
      <c r="P13" s="5"/>
      <c r="Q13" s="5"/>
      <c r="R13" s="15"/>
      <c r="S13" s="15"/>
    </row>
    <row r="14" spans="1:20">
      <c r="A14" s="7" t="s">
        <v>56</v>
      </c>
      <c r="B14" s="8">
        <v>41796</v>
      </c>
      <c r="C14" s="8">
        <v>41798</v>
      </c>
      <c r="D14" s="7" t="s">
        <v>57</v>
      </c>
      <c r="E14" s="7" t="s">
        <v>58</v>
      </c>
      <c r="F14" s="7" t="s">
        <v>59</v>
      </c>
      <c r="G14" s="7" t="s">
        <v>39</v>
      </c>
      <c r="H14" s="7" t="s">
        <v>2656</v>
      </c>
      <c r="I14" s="9">
        <v>3701.51999999999</v>
      </c>
      <c r="J14" s="7">
        <v>12</v>
      </c>
      <c r="K14" s="11">
        <v>0</v>
      </c>
      <c r="L14" s="9">
        <v>1036.08</v>
      </c>
      <c r="M14" s="7" t="s">
        <v>23</v>
      </c>
      <c r="N14" t="str">
        <v>Bulk Order</v>
      </c>
    </row>
    <row r="15" spans="1:20">
      <c r="A15" s="7" t="s">
        <v>60</v>
      </c>
      <c r="B15" s="8">
        <v>42216</v>
      </c>
      <c r="C15" s="8">
        <v>42219</v>
      </c>
      <c r="D15" s="7" t="s">
        <v>61</v>
      </c>
      <c r="E15" s="7" t="s">
        <v>62</v>
      </c>
      <c r="F15" s="7" t="s">
        <v>63</v>
      </c>
      <c r="G15" s="7" t="s">
        <v>39</v>
      </c>
      <c r="H15" s="7" t="s">
        <v>2655</v>
      </c>
      <c r="I15" s="9">
        <v>1869.58799999999</v>
      </c>
      <c r="J15" s="7">
        <v>4</v>
      </c>
      <c r="K15" s="11">
        <v>0.1</v>
      </c>
      <c r="L15" s="9"/>
      <c r="M15" s="7" t="s">
        <v>23</v>
      </c>
      <c r="N15" t="str">
        <v>Normal Order</v>
      </c>
    </row>
    <row r="16" spans="1:20">
      <c r="A16" s="7" t="s">
        <v>64</v>
      </c>
      <c r="B16" s="8">
        <v>40958</v>
      </c>
      <c r="C16" s="8">
        <v>40964</v>
      </c>
      <c r="D16" s="7" t="s">
        <v>34</v>
      </c>
      <c r="E16" s="7" t="s">
        <v>35</v>
      </c>
      <c r="F16" s="7" t="s">
        <v>36</v>
      </c>
      <c r="G16" s="7" t="s">
        <v>39</v>
      </c>
      <c r="H16" s="7" t="s">
        <v>2661</v>
      </c>
      <c r="I16" s="9">
        <v>12.624000000000001</v>
      </c>
      <c r="J16" s="7">
        <v>2</v>
      </c>
      <c r="K16" s="11">
        <v>0.2</v>
      </c>
      <c r="L16" s="9">
        <v>-2.5247999999999999</v>
      </c>
      <c r="M16" s="7" t="s">
        <v>65</v>
      </c>
      <c r="N16" t="str">
        <v>Normal Order</v>
      </c>
    </row>
    <row r="17" spans="1:14">
      <c r="A17" s="7" t="s">
        <v>66</v>
      </c>
      <c r="B17" s="8">
        <v>42255</v>
      </c>
      <c r="C17" s="8">
        <v>42261</v>
      </c>
      <c r="D17" s="7"/>
      <c r="E17" s="7" t="s">
        <v>67</v>
      </c>
      <c r="F17" s="7" t="s">
        <v>68</v>
      </c>
      <c r="G17" s="7" t="s">
        <v>39</v>
      </c>
      <c r="H17" s="7" t="s">
        <v>2661</v>
      </c>
      <c r="I17" s="9">
        <v>7958.58</v>
      </c>
      <c r="J17" s="7">
        <v>14</v>
      </c>
      <c r="K17" s="11">
        <v>0</v>
      </c>
      <c r="L17" s="9">
        <v>3979.0799999999899</v>
      </c>
      <c r="M17" s="7" t="s">
        <v>65</v>
      </c>
      <c r="N17" t="str">
        <v>Bulk Order</v>
      </c>
    </row>
    <row r="18" spans="1:14">
      <c r="A18" s="7" t="s">
        <v>70</v>
      </c>
      <c r="B18" s="8">
        <v>42035</v>
      </c>
      <c r="C18" s="8">
        <v>42036</v>
      </c>
      <c r="D18" s="7" t="s">
        <v>71</v>
      </c>
      <c r="E18" s="7" t="s">
        <v>14</v>
      </c>
      <c r="F18" s="7" t="s">
        <v>15</v>
      </c>
      <c r="G18" s="7"/>
      <c r="H18" s="7" t="s">
        <v>2654</v>
      </c>
      <c r="I18" s="9">
        <v>2565.5940000000001</v>
      </c>
      <c r="J18" s="7">
        <v>9</v>
      </c>
      <c r="K18" s="11"/>
      <c r="L18" s="9"/>
      <c r="M18" s="7" t="s">
        <v>23</v>
      </c>
      <c r="N18" t="str">
        <v>Bulk Order</v>
      </c>
    </row>
    <row r="19" spans="1:14">
      <c r="A19" s="7" t="s">
        <v>72</v>
      </c>
      <c r="B19" s="8">
        <v>42343</v>
      </c>
      <c r="C19" s="8">
        <v>42345</v>
      </c>
      <c r="D19" s="7" t="s">
        <v>73</v>
      </c>
      <c r="E19" s="7" t="s">
        <v>74</v>
      </c>
      <c r="F19" s="7" t="s">
        <v>75</v>
      </c>
      <c r="G19" s="7" t="s">
        <v>39</v>
      </c>
      <c r="H19" s="7" t="s">
        <v>2661</v>
      </c>
      <c r="I19" s="9">
        <v>3409.74</v>
      </c>
      <c r="J19" s="7">
        <v>6</v>
      </c>
      <c r="K19" s="11">
        <v>0</v>
      </c>
      <c r="L19" s="9">
        <v>818.28</v>
      </c>
      <c r="M19" s="7" t="s">
        <v>32</v>
      </c>
      <c r="N19" t="str">
        <v>Bulk Order</v>
      </c>
    </row>
    <row r="20" spans="1:14">
      <c r="A20" s="7" t="s">
        <v>76</v>
      </c>
      <c r="B20" s="8">
        <v>41494</v>
      </c>
      <c r="C20" s="8">
        <v>41496</v>
      </c>
      <c r="D20" s="7" t="s">
        <v>77</v>
      </c>
      <c r="E20" s="7"/>
      <c r="F20" s="7" t="s">
        <v>78</v>
      </c>
      <c r="G20" s="7" t="s">
        <v>28</v>
      </c>
      <c r="H20" s="7" t="s">
        <v>2657</v>
      </c>
      <c r="I20" s="9">
        <v>1977.71999999999</v>
      </c>
      <c r="J20" s="7">
        <v>4</v>
      </c>
      <c r="K20" s="11">
        <v>0</v>
      </c>
      <c r="L20" s="9">
        <v>276.83999999999997</v>
      </c>
      <c r="M20" s="7" t="s">
        <v>23</v>
      </c>
      <c r="N20" t="str">
        <v>Normal Order</v>
      </c>
    </row>
    <row r="21" spans="1:14">
      <c r="A21" s="7" t="s">
        <v>37</v>
      </c>
      <c r="B21" s="8">
        <v>40974</v>
      </c>
      <c r="C21" s="8">
        <v>40975</v>
      </c>
      <c r="D21" s="7" t="s">
        <v>34</v>
      </c>
      <c r="E21" s="7" t="s">
        <v>35</v>
      </c>
      <c r="F21" s="7" t="s">
        <v>38</v>
      </c>
      <c r="G21" s="7" t="s">
        <v>39</v>
      </c>
      <c r="H21" s="7" t="s">
        <v>2661</v>
      </c>
      <c r="I21" s="9">
        <v>242.94</v>
      </c>
      <c r="J21" s="7">
        <v>3</v>
      </c>
      <c r="K21" s="11">
        <v>0</v>
      </c>
      <c r="L21" s="9">
        <v>4.8588000000000102</v>
      </c>
      <c r="M21" s="7" t="s">
        <v>32</v>
      </c>
      <c r="N21" t="str">
        <v>Normal Order</v>
      </c>
    </row>
    <row r="22" spans="1:14">
      <c r="A22" s="7" t="s">
        <v>79</v>
      </c>
      <c r="B22" s="8">
        <v>41030</v>
      </c>
      <c r="C22" s="8">
        <v>41031</v>
      </c>
      <c r="D22" s="7" t="s">
        <v>80</v>
      </c>
      <c r="E22" s="7" t="s">
        <v>58</v>
      </c>
      <c r="F22" s="7" t="s">
        <v>81</v>
      </c>
      <c r="G22" s="7" t="s">
        <v>28</v>
      </c>
      <c r="H22" s="7" t="s">
        <v>2658</v>
      </c>
      <c r="I22" s="9">
        <v>2753.99999999999</v>
      </c>
      <c r="J22" s="7">
        <v>6</v>
      </c>
      <c r="K22" s="11">
        <v>0</v>
      </c>
      <c r="L22" s="9">
        <v>358.02</v>
      </c>
      <c r="M22" s="7" t="s">
        <v>23</v>
      </c>
      <c r="N22" t="str">
        <v>Bulk Order</v>
      </c>
    </row>
    <row r="23" spans="1:14">
      <c r="A23" s="7" t="s">
        <v>82</v>
      </c>
      <c r="B23" s="8">
        <v>41697</v>
      </c>
      <c r="C23" s="8">
        <v>41699</v>
      </c>
      <c r="D23" s="7" t="s">
        <v>83</v>
      </c>
      <c r="E23" s="7" t="s">
        <v>84</v>
      </c>
      <c r="F23" s="7" t="s">
        <v>85</v>
      </c>
      <c r="G23" s="7" t="s">
        <v>39</v>
      </c>
      <c r="H23" s="7" t="s">
        <v>2656</v>
      </c>
      <c r="I23" s="9">
        <v>5273.7</v>
      </c>
      <c r="J23" s="7">
        <v>10</v>
      </c>
      <c r="K23" s="11"/>
      <c r="L23" s="9">
        <v>1898.4</v>
      </c>
      <c r="M23" s="7" t="s">
        <v>32</v>
      </c>
      <c r="N23" t="str">
        <v>Bulk Order</v>
      </c>
    </row>
    <row r="24" spans="1:14">
      <c r="A24" s="7" t="s">
        <v>86</v>
      </c>
      <c r="B24" s="8">
        <v>42216</v>
      </c>
      <c r="C24" s="8">
        <v>42217</v>
      </c>
      <c r="D24" s="7" t="s">
        <v>87</v>
      </c>
      <c r="E24" s="7" t="s">
        <v>88</v>
      </c>
      <c r="F24" s="7" t="s">
        <v>89</v>
      </c>
      <c r="G24" s="7" t="s">
        <v>16</v>
      </c>
      <c r="H24" s="7" t="s">
        <v>2655</v>
      </c>
      <c r="I24" s="9">
        <v>1713.84</v>
      </c>
      <c r="J24" s="7">
        <v>4</v>
      </c>
      <c r="K24" s="11">
        <v>0</v>
      </c>
      <c r="L24" s="9">
        <v>445.52</v>
      </c>
      <c r="M24" s="7" t="s">
        <v>23</v>
      </c>
      <c r="N24" t="str">
        <v>Normal Order</v>
      </c>
    </row>
    <row r="25" spans="1:14">
      <c r="A25" s="7" t="s">
        <v>90</v>
      </c>
      <c r="B25" s="8">
        <v>42252</v>
      </c>
      <c r="C25" s="8">
        <v>42255</v>
      </c>
      <c r="D25" s="7" t="s">
        <v>91</v>
      </c>
      <c r="E25" s="7" t="s">
        <v>92</v>
      </c>
      <c r="F25" s="7" t="s">
        <v>89</v>
      </c>
      <c r="G25" s="7" t="s">
        <v>28</v>
      </c>
      <c r="H25" s="7" t="s">
        <v>2661</v>
      </c>
      <c r="I25" s="9">
        <v>2106.4960000000001</v>
      </c>
      <c r="J25" s="7">
        <v>8</v>
      </c>
      <c r="K25" s="11">
        <v>0.2</v>
      </c>
      <c r="L25" s="9">
        <v>526.49599999999998</v>
      </c>
      <c r="M25" s="7" t="s">
        <v>23</v>
      </c>
      <c r="N25" t="str">
        <v>Bulk Order</v>
      </c>
    </row>
    <row r="26" spans="1:14">
      <c r="A26" s="7" t="s">
        <v>93</v>
      </c>
      <c r="B26" s="8">
        <v>41259</v>
      </c>
      <c r="C26" s="8">
        <v>41262</v>
      </c>
      <c r="D26" s="7" t="s">
        <v>94</v>
      </c>
      <c r="E26" s="7" t="s">
        <v>95</v>
      </c>
      <c r="F26" s="7" t="s">
        <v>81</v>
      </c>
      <c r="G26" s="7" t="s">
        <v>28</v>
      </c>
      <c r="H26" s="7" t="s">
        <v>2656</v>
      </c>
      <c r="I26" s="9">
        <v>1715.1599999999901</v>
      </c>
      <c r="J26" s="7"/>
      <c r="K26" s="11">
        <v>0</v>
      </c>
      <c r="L26" s="9">
        <v>720.36</v>
      </c>
      <c r="M26" s="7" t="s">
        <v>23</v>
      </c>
      <c r="N26" t="str">
        <v>Normal Order</v>
      </c>
    </row>
    <row r="27" spans="1:14">
      <c r="A27" s="7" t="s">
        <v>96</v>
      </c>
      <c r="B27" s="7"/>
      <c r="C27" s="8">
        <v>40984</v>
      </c>
      <c r="D27" s="7" t="s">
        <v>97</v>
      </c>
      <c r="E27" s="7" t="s">
        <v>20</v>
      </c>
      <c r="F27" s="7" t="s">
        <v>98</v>
      </c>
      <c r="G27" s="7" t="s">
        <v>99</v>
      </c>
      <c r="H27" s="7" t="s">
        <v>2658</v>
      </c>
      <c r="I27" s="9">
        <v>3069.7379999999998</v>
      </c>
      <c r="J27" s="7">
        <v>6</v>
      </c>
      <c r="K27" s="11">
        <v>0.1</v>
      </c>
      <c r="L27" s="9">
        <v>1364.2379999999901</v>
      </c>
      <c r="M27" s="7" t="s">
        <v>23</v>
      </c>
      <c r="N27" t="str">
        <v>Bulk Order</v>
      </c>
    </row>
    <row r="28" spans="1:14">
      <c r="A28" s="7" t="s">
        <v>100</v>
      </c>
      <c r="B28" s="8">
        <v>41020</v>
      </c>
      <c r="C28" s="8">
        <v>41022</v>
      </c>
      <c r="D28" s="7" t="s">
        <v>101</v>
      </c>
      <c r="E28" s="7" t="s">
        <v>35</v>
      </c>
      <c r="F28" s="7" t="s">
        <v>102</v>
      </c>
      <c r="G28" s="7" t="s">
        <v>39</v>
      </c>
      <c r="H28" s="7" t="s">
        <v>2658</v>
      </c>
      <c r="I28" s="9">
        <v>247.84</v>
      </c>
      <c r="J28" s="7">
        <v>8</v>
      </c>
      <c r="K28" s="11">
        <v>0</v>
      </c>
      <c r="L28" s="9">
        <v>121.44159999999999</v>
      </c>
      <c r="M28" s="7" t="s">
        <v>23</v>
      </c>
      <c r="N28" t="str">
        <v>Bulk Order</v>
      </c>
    </row>
    <row r="29" spans="1:14">
      <c r="A29" s="7" t="s">
        <v>103</v>
      </c>
      <c r="B29" s="8">
        <v>41329</v>
      </c>
      <c r="C29" s="8">
        <v>41329</v>
      </c>
      <c r="D29" s="7" t="s">
        <v>104</v>
      </c>
      <c r="E29" s="7" t="s">
        <v>105</v>
      </c>
      <c r="F29" s="7" t="s">
        <v>106</v>
      </c>
      <c r="G29" s="7" t="s">
        <v>28</v>
      </c>
      <c r="H29" s="7" t="s">
        <v>2661</v>
      </c>
      <c r="I29" s="9">
        <v>1878.71999999999</v>
      </c>
      <c r="J29" s="7">
        <v>4</v>
      </c>
      <c r="K29" s="11"/>
      <c r="L29" s="9">
        <v>582.36</v>
      </c>
      <c r="M29" s="7" t="s">
        <v>23</v>
      </c>
      <c r="N29" t="str">
        <v>Normal Order</v>
      </c>
    </row>
    <row r="30" spans="1:14">
      <c r="A30" s="7" t="s">
        <v>107</v>
      </c>
      <c r="B30" s="8">
        <v>41270</v>
      </c>
      <c r="C30" s="7" t="s">
        <v>108</v>
      </c>
      <c r="D30" s="7" t="s">
        <v>109</v>
      </c>
      <c r="E30" s="7" t="s">
        <v>110</v>
      </c>
      <c r="F30" s="7" t="s">
        <v>111</v>
      </c>
      <c r="G30" s="7" t="s">
        <v>16</v>
      </c>
      <c r="H30" s="7" t="s">
        <v>2656</v>
      </c>
      <c r="I30" s="9">
        <v>1696.64</v>
      </c>
      <c r="J30" s="7">
        <v>5</v>
      </c>
      <c r="K30" s="11"/>
      <c r="L30" s="9">
        <v>-148.46</v>
      </c>
      <c r="M30" s="7" t="s">
        <v>23</v>
      </c>
      <c r="N30" t="str">
        <v>Normal Order</v>
      </c>
    </row>
    <row r="31" spans="1:14">
      <c r="A31" s="7" t="s">
        <v>112</v>
      </c>
      <c r="B31" s="8">
        <v>41472</v>
      </c>
      <c r="C31" s="8">
        <v>41474</v>
      </c>
      <c r="D31" s="7" t="s">
        <v>113</v>
      </c>
      <c r="E31" s="7" t="s">
        <v>62</v>
      </c>
      <c r="F31" s="7" t="s">
        <v>63</v>
      </c>
      <c r="G31" s="7" t="s">
        <v>16</v>
      </c>
      <c r="H31" s="7" t="s">
        <v>2655</v>
      </c>
      <c r="I31" s="9">
        <v>2402.8649999999998</v>
      </c>
      <c r="J31" s="7">
        <v>9</v>
      </c>
      <c r="K31" s="11">
        <v>0.15</v>
      </c>
      <c r="L31" s="9">
        <v>763.15499999999997</v>
      </c>
      <c r="M31" s="7" t="s">
        <v>23</v>
      </c>
      <c r="N31" t="str">
        <v>Bulk Order</v>
      </c>
    </row>
    <row r="32" spans="1:14">
      <c r="A32" s="7" t="s">
        <v>114</v>
      </c>
      <c r="B32" s="8">
        <v>41635</v>
      </c>
      <c r="C32" s="8">
        <v>41639</v>
      </c>
      <c r="D32" s="7" t="s">
        <v>101</v>
      </c>
      <c r="E32" s="7" t="s">
        <v>35</v>
      </c>
      <c r="F32" s="7" t="s">
        <v>38</v>
      </c>
      <c r="G32" s="7" t="s">
        <v>16</v>
      </c>
      <c r="H32" s="7" t="s">
        <v>2656</v>
      </c>
      <c r="I32" s="9">
        <v>668.16</v>
      </c>
      <c r="J32" s="7">
        <v>9</v>
      </c>
      <c r="K32" s="11">
        <v>0.2</v>
      </c>
      <c r="L32" s="9">
        <v>75.167999999999907</v>
      </c>
      <c r="M32" s="7" t="s">
        <v>17</v>
      </c>
      <c r="N32" t="str">
        <v>Bulk Order</v>
      </c>
    </row>
    <row r="33" spans="1:14">
      <c r="A33" s="7" t="s">
        <v>115</v>
      </c>
      <c r="B33" s="7" t="s">
        <v>116</v>
      </c>
      <c r="C33" s="8">
        <v>41217</v>
      </c>
      <c r="D33" s="7" t="s">
        <v>117</v>
      </c>
      <c r="E33" s="7" t="s">
        <v>14</v>
      </c>
      <c r="F33" s="7" t="s">
        <v>15</v>
      </c>
      <c r="G33" s="7" t="s">
        <v>39</v>
      </c>
      <c r="H33" s="7" t="s">
        <v>2662</v>
      </c>
      <c r="I33" s="9">
        <v>2526.9299999999998</v>
      </c>
      <c r="J33" s="7">
        <v>5</v>
      </c>
      <c r="K33" s="11">
        <v>0.1</v>
      </c>
      <c r="L33" s="9">
        <v>561.48</v>
      </c>
      <c r="M33" s="7" t="s">
        <v>23</v>
      </c>
      <c r="N33" t="str">
        <v>Normal Order</v>
      </c>
    </row>
    <row r="34" spans="1:14">
      <c r="A34" s="7" t="s">
        <v>118</v>
      </c>
      <c r="B34" s="8">
        <v>41635</v>
      </c>
      <c r="C34" s="8">
        <v>41639</v>
      </c>
      <c r="D34" s="7" t="s">
        <v>101</v>
      </c>
      <c r="E34" s="7" t="s">
        <v>35</v>
      </c>
      <c r="F34" s="7" t="s">
        <v>38</v>
      </c>
      <c r="G34" s="7" t="s">
        <v>39</v>
      </c>
      <c r="H34" s="7" t="s">
        <v>2655</v>
      </c>
      <c r="I34" s="9">
        <v>323.10000000000002</v>
      </c>
      <c r="J34" s="7">
        <v>2</v>
      </c>
      <c r="K34" s="11">
        <v>0</v>
      </c>
      <c r="L34" s="9">
        <v>61.389000000000003</v>
      </c>
      <c r="M34" s="7" t="s">
        <v>17</v>
      </c>
      <c r="N34" t="str">
        <v>Normal Order</v>
      </c>
    </row>
    <row r="35" spans="1:14">
      <c r="A35" s="7" t="s">
        <v>119</v>
      </c>
      <c r="B35" s="8">
        <v>41165</v>
      </c>
      <c r="C35" s="8">
        <v>41166</v>
      </c>
      <c r="D35" s="7" t="s">
        <v>101</v>
      </c>
      <c r="E35" s="7" t="s">
        <v>120</v>
      </c>
      <c r="F35" s="7" t="s">
        <v>121</v>
      </c>
      <c r="G35" s="7" t="s">
        <v>122</v>
      </c>
      <c r="H35" s="7" t="s">
        <v>2661</v>
      </c>
      <c r="I35" s="9">
        <v>3817.26</v>
      </c>
      <c r="J35" s="7">
        <v>6</v>
      </c>
      <c r="K35" s="11">
        <v>0</v>
      </c>
      <c r="L35" s="9">
        <v>1068.6599999999901</v>
      </c>
      <c r="M35" s="7" t="s">
        <v>32</v>
      </c>
      <c r="N35" t="str">
        <v>Bulk Order</v>
      </c>
    </row>
    <row r="36" spans="1:14">
      <c r="A36" s="7" t="s">
        <v>123</v>
      </c>
      <c r="B36" s="8">
        <v>41041</v>
      </c>
      <c r="C36" s="7" t="s">
        <v>124</v>
      </c>
      <c r="D36" s="7" t="s">
        <v>101</v>
      </c>
      <c r="E36" s="7" t="s">
        <v>35</v>
      </c>
      <c r="F36" s="7" t="s">
        <v>38</v>
      </c>
      <c r="G36" s="7" t="s">
        <v>28</v>
      </c>
      <c r="H36" s="7" t="s">
        <v>2658</v>
      </c>
      <c r="I36" s="9">
        <v>279.45600000000002</v>
      </c>
      <c r="J36" s="7">
        <v>6</v>
      </c>
      <c r="K36" s="11">
        <v>0.2</v>
      </c>
      <c r="L36" s="9">
        <v>20.9591999999999</v>
      </c>
      <c r="M36" s="7" t="s">
        <v>17</v>
      </c>
      <c r="N36" t="str">
        <v>Bulk Order</v>
      </c>
    </row>
    <row r="37" spans="1:14">
      <c r="A37" s="7" t="s">
        <v>125</v>
      </c>
      <c r="B37" s="8">
        <v>41273</v>
      </c>
      <c r="C37" s="8">
        <v>41274</v>
      </c>
      <c r="D37" s="7"/>
      <c r="E37" s="7" t="s">
        <v>35</v>
      </c>
      <c r="F37" s="7" t="s">
        <v>102</v>
      </c>
      <c r="G37" s="7" t="s">
        <v>16</v>
      </c>
      <c r="H37" s="7" t="s">
        <v>2656</v>
      </c>
      <c r="I37" s="9">
        <v>34.769999999999897</v>
      </c>
      <c r="J37" s="7">
        <v>3</v>
      </c>
      <c r="K37" s="11">
        <v>0</v>
      </c>
      <c r="L37" s="9">
        <v>11.4740999999999</v>
      </c>
      <c r="M37" s="7" t="s">
        <v>32</v>
      </c>
      <c r="N37" t="str">
        <v>Normal Order</v>
      </c>
    </row>
    <row r="38" spans="1:14">
      <c r="A38" s="7" t="s">
        <v>126</v>
      </c>
      <c r="B38" s="8">
        <v>42018</v>
      </c>
      <c r="C38" s="8">
        <v>42022</v>
      </c>
      <c r="D38" s="7"/>
      <c r="E38" s="7" t="s">
        <v>84</v>
      </c>
      <c r="F38" s="7" t="s">
        <v>85</v>
      </c>
      <c r="G38" s="7" t="s">
        <v>16</v>
      </c>
      <c r="H38" s="7" t="s">
        <v>2662</v>
      </c>
      <c r="I38" s="9">
        <v>4141.0200000000004</v>
      </c>
      <c r="J38" s="7">
        <v>13</v>
      </c>
      <c r="K38" s="11">
        <v>0</v>
      </c>
      <c r="L38" s="9">
        <v>1697.67</v>
      </c>
      <c r="M38" s="7" t="s">
        <v>32</v>
      </c>
      <c r="N38" t="str">
        <v>Bulk Order</v>
      </c>
    </row>
    <row r="39" spans="1:14">
      <c r="A39" s="7" t="s">
        <v>127</v>
      </c>
      <c r="B39" s="8">
        <v>40918</v>
      </c>
      <c r="C39" s="8">
        <v>41214</v>
      </c>
      <c r="D39" s="7" t="s">
        <v>128</v>
      </c>
      <c r="E39" s="7" t="s">
        <v>14</v>
      </c>
      <c r="F39" s="7" t="s">
        <v>15</v>
      </c>
      <c r="G39" s="7" t="s">
        <v>16</v>
      </c>
      <c r="H39" s="7" t="s">
        <v>2662</v>
      </c>
      <c r="I39" s="9">
        <v>2875.0949999999998</v>
      </c>
      <c r="J39" s="7">
        <v>5</v>
      </c>
      <c r="K39" s="11">
        <v>0.1</v>
      </c>
      <c r="L39" s="9">
        <v>511.094999999999</v>
      </c>
      <c r="M39" s="7" t="s">
        <v>17</v>
      </c>
      <c r="N39" t="str">
        <v>Normal Order</v>
      </c>
    </row>
    <row r="40" spans="1:14">
      <c r="A40" s="7" t="s">
        <v>129</v>
      </c>
      <c r="B40" s="8">
        <v>41873</v>
      </c>
      <c r="C40" s="8">
        <v>41877</v>
      </c>
      <c r="D40" s="7" t="s">
        <v>130</v>
      </c>
      <c r="E40" s="7" t="s">
        <v>131</v>
      </c>
      <c r="F40" s="7" t="s">
        <v>132</v>
      </c>
      <c r="G40" s="7" t="s">
        <v>16</v>
      </c>
      <c r="H40" s="7" t="s">
        <v>2657</v>
      </c>
      <c r="I40" s="9">
        <v>3200.5962</v>
      </c>
      <c r="J40" s="7">
        <v>6</v>
      </c>
      <c r="K40" s="11">
        <v>0.17</v>
      </c>
      <c r="L40" s="9">
        <v>-77.203799999999802</v>
      </c>
      <c r="M40" s="7" t="s">
        <v>32</v>
      </c>
      <c r="N40" t="str">
        <v>Bulk Order</v>
      </c>
    </row>
    <row r="41" spans="1:14">
      <c r="A41" s="7" t="s">
        <v>133</v>
      </c>
      <c r="B41" s="8">
        <v>42319</v>
      </c>
      <c r="C41" s="8">
        <v>42323</v>
      </c>
      <c r="D41" s="7" t="s">
        <v>134</v>
      </c>
      <c r="E41" s="7" t="s">
        <v>105</v>
      </c>
      <c r="F41" s="7" t="s">
        <v>106</v>
      </c>
      <c r="G41" s="7" t="s">
        <v>16</v>
      </c>
      <c r="H41" s="7" t="s">
        <v>2656</v>
      </c>
      <c r="I41" s="9">
        <v>4518.78</v>
      </c>
      <c r="J41" s="7">
        <v>7</v>
      </c>
      <c r="K41" s="11">
        <v>0</v>
      </c>
      <c r="L41" s="9">
        <v>632.52</v>
      </c>
      <c r="M41" s="7" t="s">
        <v>32</v>
      </c>
      <c r="N41" t="str">
        <v>Bulk Order</v>
      </c>
    </row>
    <row r="42" spans="1:14">
      <c r="A42" s="7" t="s">
        <v>135</v>
      </c>
      <c r="B42" s="8">
        <v>42273</v>
      </c>
      <c r="C42" s="8">
        <v>42275</v>
      </c>
      <c r="D42" s="7" t="s">
        <v>136</v>
      </c>
      <c r="E42" s="7" t="s">
        <v>105</v>
      </c>
      <c r="F42" s="7" t="s">
        <v>106</v>
      </c>
      <c r="G42" s="7" t="s">
        <v>28</v>
      </c>
      <c r="H42" s="7" t="s">
        <v>2656</v>
      </c>
      <c r="I42" s="9">
        <v>5667.87</v>
      </c>
      <c r="J42" s="7">
        <v>13</v>
      </c>
      <c r="K42" s="11">
        <v>0</v>
      </c>
      <c r="L42" s="9">
        <v>2097.0300000000002</v>
      </c>
      <c r="M42" s="7" t="s">
        <v>17</v>
      </c>
      <c r="N42" t="str">
        <v>Bulk Order</v>
      </c>
    </row>
    <row r="43" spans="1:14">
      <c r="A43" s="7" t="s">
        <v>137</v>
      </c>
      <c r="B43" s="8">
        <v>41621</v>
      </c>
      <c r="C43" s="8">
        <v>41625</v>
      </c>
      <c r="D43" s="7" t="s">
        <v>138</v>
      </c>
      <c r="E43" s="7" t="s">
        <v>84</v>
      </c>
      <c r="F43" s="7" t="s">
        <v>85</v>
      </c>
      <c r="G43" s="7" t="s">
        <v>16</v>
      </c>
      <c r="H43" s="7" t="s">
        <v>2656</v>
      </c>
      <c r="I43" s="9">
        <v>5785.0199999999904</v>
      </c>
      <c r="J43" s="7">
        <v>9</v>
      </c>
      <c r="K43" s="11">
        <v>0</v>
      </c>
      <c r="L43" s="9">
        <v>404.73</v>
      </c>
      <c r="M43" s="7" t="s">
        <v>32</v>
      </c>
      <c r="N43" t="str">
        <v>Bulk Order</v>
      </c>
    </row>
    <row r="44" spans="1:14">
      <c r="A44" s="7" t="s">
        <v>139</v>
      </c>
      <c r="B44" s="8">
        <v>41174</v>
      </c>
      <c r="C44" s="8">
        <v>41176</v>
      </c>
      <c r="D44" s="7" t="s">
        <v>140</v>
      </c>
      <c r="E44" s="7" t="s">
        <v>20</v>
      </c>
      <c r="F44" s="7" t="s">
        <v>63</v>
      </c>
      <c r="G44" s="7" t="s">
        <v>39</v>
      </c>
      <c r="H44" s="7" t="s">
        <v>2663</v>
      </c>
      <c r="I44" s="9">
        <v>3018.6239999999998</v>
      </c>
      <c r="J44" s="7">
        <v>7</v>
      </c>
      <c r="K44" s="11">
        <v>0.2</v>
      </c>
      <c r="L44" s="9">
        <v>377.24399999999901</v>
      </c>
      <c r="M44" s="7" t="s">
        <v>23</v>
      </c>
      <c r="N44" t="str">
        <v>Bulk Order</v>
      </c>
    </row>
    <row r="45" spans="1:14">
      <c r="A45" s="7" t="s">
        <v>141</v>
      </c>
      <c r="B45" s="8">
        <v>41719</v>
      </c>
      <c r="C45" s="8">
        <v>41724</v>
      </c>
      <c r="D45" s="7"/>
      <c r="E45" s="7" t="s">
        <v>35</v>
      </c>
      <c r="F45" s="7" t="s">
        <v>142</v>
      </c>
      <c r="G45" s="7" t="s">
        <v>28</v>
      </c>
      <c r="H45" s="7" t="s">
        <v>2656</v>
      </c>
      <c r="I45" s="9">
        <v>86.45</v>
      </c>
      <c r="J45" s="7">
        <v>7</v>
      </c>
      <c r="K45" s="11">
        <v>0</v>
      </c>
      <c r="L45" s="9"/>
      <c r="M45" s="7" t="s">
        <v>17</v>
      </c>
      <c r="N45" t="str">
        <v>Bulk Order</v>
      </c>
    </row>
    <row r="46" spans="1:14">
      <c r="A46" s="7" t="s">
        <v>143</v>
      </c>
      <c r="B46" s="8">
        <v>41706</v>
      </c>
      <c r="C46" s="8">
        <v>41854</v>
      </c>
      <c r="D46" s="7" t="s">
        <v>144</v>
      </c>
      <c r="E46" s="7" t="s">
        <v>62</v>
      </c>
      <c r="F46" s="7" t="s">
        <v>63</v>
      </c>
      <c r="G46" s="7" t="s">
        <v>28</v>
      </c>
      <c r="H46" s="7" t="s">
        <v>2661</v>
      </c>
      <c r="I46" s="9">
        <v>2092.49999999999</v>
      </c>
      <c r="J46" s="7">
        <v>5</v>
      </c>
      <c r="K46" s="11">
        <v>0.1</v>
      </c>
      <c r="L46" s="9">
        <v>720.74999999999898</v>
      </c>
      <c r="M46" s="7" t="s">
        <v>23</v>
      </c>
      <c r="N46" t="str">
        <v>Normal Order</v>
      </c>
    </row>
    <row r="47" spans="1:14">
      <c r="A47" s="7" t="s">
        <v>145</v>
      </c>
      <c r="B47" s="8">
        <v>42244</v>
      </c>
      <c r="C47" s="8">
        <v>42245</v>
      </c>
      <c r="D47" s="7" t="s">
        <v>146</v>
      </c>
      <c r="E47" s="7" t="s">
        <v>58</v>
      </c>
      <c r="F47" s="7" t="s">
        <v>81</v>
      </c>
      <c r="G47" s="7" t="s">
        <v>28</v>
      </c>
      <c r="H47" s="7" t="s">
        <v>2659</v>
      </c>
      <c r="I47" s="9">
        <v>2761.2</v>
      </c>
      <c r="J47" s="7">
        <v>6</v>
      </c>
      <c r="K47" s="11">
        <v>0</v>
      </c>
      <c r="L47" s="9">
        <v>110.34</v>
      </c>
      <c r="M47" s="7" t="s">
        <v>32</v>
      </c>
      <c r="N47" t="str">
        <v>Bulk Order</v>
      </c>
    </row>
    <row r="48" spans="1:14">
      <c r="A48" s="7" t="s">
        <v>147</v>
      </c>
      <c r="B48" s="8">
        <v>42125</v>
      </c>
      <c r="C48" s="8">
        <v>42125</v>
      </c>
      <c r="D48" s="7" t="s">
        <v>148</v>
      </c>
      <c r="E48" s="7" t="s">
        <v>105</v>
      </c>
      <c r="F48" s="7" t="s">
        <v>106</v>
      </c>
      <c r="G48" s="7" t="s">
        <v>16</v>
      </c>
      <c r="H48" s="7" t="s">
        <v>2655</v>
      </c>
      <c r="I48" s="9">
        <v>2174.13</v>
      </c>
      <c r="J48" s="7">
        <v>7</v>
      </c>
      <c r="K48" s="11"/>
      <c r="L48" s="9">
        <v>500.00999999999902</v>
      </c>
      <c r="M48" s="7" t="s">
        <v>23</v>
      </c>
      <c r="N48" t="str">
        <v>Bulk Order</v>
      </c>
    </row>
    <row r="49" spans="1:14">
      <c r="A49" s="7" t="s">
        <v>149</v>
      </c>
      <c r="B49" s="7" t="s">
        <v>116</v>
      </c>
      <c r="C49" s="8">
        <v>42358</v>
      </c>
      <c r="D49" s="7" t="s">
        <v>150</v>
      </c>
      <c r="E49" s="7" t="s">
        <v>151</v>
      </c>
      <c r="F49" s="7" t="s">
        <v>53</v>
      </c>
      <c r="G49" s="7" t="s">
        <v>28</v>
      </c>
      <c r="H49" s="7" t="s">
        <v>2655</v>
      </c>
      <c r="I49" s="9" t="s">
        <v>152</v>
      </c>
      <c r="J49" s="7">
        <v>11</v>
      </c>
      <c r="K49" s="11">
        <v>0</v>
      </c>
      <c r="L49" s="9">
        <v>868.12</v>
      </c>
      <c r="M49" s="7" t="s">
        <v>32</v>
      </c>
      <c r="N49" t="str">
        <v>Bulk Order</v>
      </c>
    </row>
    <row r="50" spans="1:14">
      <c r="A50" s="7" t="s">
        <v>153</v>
      </c>
      <c r="B50" s="8">
        <v>41206</v>
      </c>
      <c r="C50" s="8">
        <v>41209</v>
      </c>
      <c r="D50" s="7" t="s">
        <v>101</v>
      </c>
      <c r="E50" s="7" t="s">
        <v>35</v>
      </c>
      <c r="F50" s="7" t="s">
        <v>38</v>
      </c>
      <c r="G50" s="7" t="s">
        <v>154</v>
      </c>
      <c r="H50" s="7" t="s">
        <v>2662</v>
      </c>
      <c r="I50" s="9">
        <v>49.408000000000001</v>
      </c>
      <c r="J50" s="7">
        <v>4</v>
      </c>
      <c r="K50" s="11">
        <v>0.2</v>
      </c>
      <c r="L50" s="9"/>
      <c r="M50" s="7" t="s">
        <v>32</v>
      </c>
      <c r="N50" t="str">
        <v>Normal Order</v>
      </c>
    </row>
    <row r="51" spans="1:14">
      <c r="A51" s="7" t="s">
        <v>155</v>
      </c>
      <c r="B51" s="8">
        <v>42265</v>
      </c>
      <c r="C51" s="8">
        <v>42268</v>
      </c>
      <c r="D51" s="7" t="s">
        <v>156</v>
      </c>
      <c r="E51" s="7" t="s">
        <v>157</v>
      </c>
      <c r="F51" s="7" t="s">
        <v>158</v>
      </c>
      <c r="G51" s="7" t="s">
        <v>16</v>
      </c>
      <c r="H51" s="7" t="s">
        <v>2655</v>
      </c>
      <c r="I51" s="9">
        <v>2108.64</v>
      </c>
      <c r="J51" s="7">
        <v>8</v>
      </c>
      <c r="K51" s="11">
        <v>0</v>
      </c>
      <c r="L51" s="9">
        <v>527.04</v>
      </c>
      <c r="M51" s="7" t="s">
        <v>23</v>
      </c>
      <c r="N51" t="str">
        <v>Bulk Order</v>
      </c>
    </row>
    <row r="52" spans="1:14">
      <c r="A52" s="7" t="s">
        <v>125</v>
      </c>
      <c r="B52" s="8">
        <v>41273</v>
      </c>
      <c r="C52" s="8">
        <v>41274</v>
      </c>
      <c r="D52" s="7" t="s">
        <v>101</v>
      </c>
      <c r="E52" s="7" t="s">
        <v>35</v>
      </c>
      <c r="F52" s="7" t="s">
        <v>102</v>
      </c>
      <c r="G52" s="7" t="s">
        <v>39</v>
      </c>
      <c r="H52" s="7" t="s">
        <v>2659</v>
      </c>
      <c r="I52" s="9"/>
      <c r="J52" s="7">
        <v>3</v>
      </c>
      <c r="K52" s="11">
        <v>0</v>
      </c>
      <c r="L52" s="9">
        <v>8.6939999999999902</v>
      </c>
      <c r="M52" s="7" t="s">
        <v>32</v>
      </c>
      <c r="N52" t="str">
        <v>Normal Order</v>
      </c>
    </row>
    <row r="53" spans="1:14">
      <c r="A53" s="7" t="s">
        <v>93</v>
      </c>
      <c r="B53" s="7" t="s">
        <v>159</v>
      </c>
      <c r="C53" s="8">
        <v>41262</v>
      </c>
      <c r="D53" s="7" t="s">
        <v>94</v>
      </c>
      <c r="E53" s="7" t="s">
        <v>95</v>
      </c>
      <c r="F53" s="7" t="s">
        <v>81</v>
      </c>
      <c r="G53" s="7" t="s">
        <v>28</v>
      </c>
      <c r="H53" s="7" t="s">
        <v>2657</v>
      </c>
      <c r="I53" s="9"/>
      <c r="J53" s="7">
        <v>5</v>
      </c>
      <c r="K53" s="11">
        <v>0</v>
      </c>
      <c r="L53" s="9"/>
      <c r="M53" s="7" t="s">
        <v>23</v>
      </c>
      <c r="N53" t="str">
        <v>Normal Order</v>
      </c>
    </row>
    <row r="54" spans="1:14">
      <c r="A54" s="7" t="s">
        <v>160</v>
      </c>
      <c r="B54" s="8">
        <v>41991</v>
      </c>
      <c r="C54" s="8">
        <v>41991</v>
      </c>
      <c r="D54" s="7" t="s">
        <v>161</v>
      </c>
      <c r="E54" s="7" t="s">
        <v>162</v>
      </c>
      <c r="F54" s="7" t="s">
        <v>75</v>
      </c>
      <c r="G54" s="7" t="s">
        <v>16</v>
      </c>
      <c r="H54" s="7" t="s">
        <v>2657</v>
      </c>
      <c r="I54" s="9">
        <v>2582.16</v>
      </c>
      <c r="J54" s="7">
        <v>4</v>
      </c>
      <c r="K54" s="11">
        <v>0</v>
      </c>
      <c r="L54" s="9">
        <v>593.88</v>
      </c>
      <c r="M54" s="7"/>
      <c r="N54" t="str">
        <v>Normal Order</v>
      </c>
    </row>
    <row r="55" spans="1:14">
      <c r="A55" s="7" t="s">
        <v>163</v>
      </c>
      <c r="B55" s="8">
        <v>41424</v>
      </c>
      <c r="C55" s="8">
        <v>41425</v>
      </c>
      <c r="D55" s="7" t="s">
        <v>164</v>
      </c>
      <c r="E55" s="7" t="s">
        <v>105</v>
      </c>
      <c r="F55" s="7" t="s">
        <v>106</v>
      </c>
      <c r="G55" s="7" t="s">
        <v>16</v>
      </c>
      <c r="H55" s="7" t="s">
        <v>2663</v>
      </c>
      <c r="I55" s="9">
        <v>1526.52</v>
      </c>
      <c r="J55" s="7">
        <v>4</v>
      </c>
      <c r="K55" s="11">
        <v>0</v>
      </c>
      <c r="L55" s="9">
        <v>732.72</v>
      </c>
      <c r="M55" s="7" t="s">
        <v>23</v>
      </c>
      <c r="N55" t="str">
        <v>Normal Order</v>
      </c>
    </row>
    <row r="56" spans="1:14">
      <c r="A56" s="7" t="s">
        <v>100</v>
      </c>
      <c r="B56" s="8">
        <v>41020</v>
      </c>
      <c r="C56" s="8">
        <v>41022</v>
      </c>
      <c r="D56" s="7" t="s">
        <v>101</v>
      </c>
      <c r="E56" s="7" t="s">
        <v>35</v>
      </c>
      <c r="F56" s="7" t="s">
        <v>102</v>
      </c>
      <c r="G56" s="7"/>
      <c r="H56" s="7" t="s">
        <v>2656</v>
      </c>
      <c r="I56" s="9">
        <v>9.9120000000000008</v>
      </c>
      <c r="J56" s="7">
        <v>3</v>
      </c>
      <c r="K56" s="11">
        <v>0.2</v>
      </c>
      <c r="L56" s="9"/>
      <c r="M56" s="7" t="s">
        <v>23</v>
      </c>
      <c r="N56" t="str">
        <v>Normal Order</v>
      </c>
    </row>
    <row r="57" spans="1:14">
      <c r="A57" s="7" t="s">
        <v>166</v>
      </c>
      <c r="B57" s="8">
        <v>41419</v>
      </c>
      <c r="C57" s="8">
        <v>41422</v>
      </c>
      <c r="D57" s="7" t="s">
        <v>167</v>
      </c>
      <c r="E57" s="7" t="s">
        <v>105</v>
      </c>
      <c r="F57" s="7" t="s">
        <v>106</v>
      </c>
      <c r="G57" s="7" t="s">
        <v>168</v>
      </c>
      <c r="H57" s="7" t="s">
        <v>2657</v>
      </c>
      <c r="I57" s="9">
        <v>1745.34</v>
      </c>
      <c r="J57" s="7">
        <v>2</v>
      </c>
      <c r="K57" s="11">
        <v>0</v>
      </c>
      <c r="L57" s="9">
        <v>226.86</v>
      </c>
      <c r="M57" s="7" t="s">
        <v>23</v>
      </c>
      <c r="N57" t="str">
        <v>Normal Order</v>
      </c>
    </row>
    <row r="58" spans="1:14">
      <c r="A58" s="7" t="s">
        <v>169</v>
      </c>
      <c r="B58" s="8">
        <v>42221</v>
      </c>
      <c r="C58" s="8">
        <v>42222</v>
      </c>
      <c r="D58" s="7" t="s">
        <v>170</v>
      </c>
      <c r="E58" s="7" t="s">
        <v>14</v>
      </c>
      <c r="F58" s="7" t="s">
        <v>15</v>
      </c>
      <c r="G58" s="7" t="s">
        <v>39</v>
      </c>
      <c r="H58" s="7" t="s">
        <v>2657</v>
      </c>
      <c r="I58" s="9">
        <v>4191.5069999999996</v>
      </c>
      <c r="J58" s="7">
        <v>9</v>
      </c>
      <c r="K58" s="11">
        <v>0.1</v>
      </c>
      <c r="L58" s="9">
        <v>1164.26699999999</v>
      </c>
      <c r="M58" s="7" t="s">
        <v>32</v>
      </c>
      <c r="N58" t="str">
        <v>Bulk Order</v>
      </c>
    </row>
    <row r="59" spans="1:14">
      <c r="A59" s="7" t="s">
        <v>123</v>
      </c>
      <c r="B59" s="8">
        <v>41041</v>
      </c>
      <c r="C59" s="8">
        <v>41047</v>
      </c>
      <c r="D59" s="7" t="s">
        <v>101</v>
      </c>
      <c r="E59" s="7" t="s">
        <v>35</v>
      </c>
      <c r="F59" s="7" t="s">
        <v>38</v>
      </c>
      <c r="G59" s="7" t="s">
        <v>154</v>
      </c>
      <c r="H59" s="7" t="s">
        <v>2658</v>
      </c>
      <c r="I59" s="9">
        <v>8</v>
      </c>
      <c r="J59" s="7">
        <v>2</v>
      </c>
      <c r="K59" s="11"/>
      <c r="L59" s="9">
        <v>3.84</v>
      </c>
      <c r="M59" s="7" t="s">
        <v>17</v>
      </c>
      <c r="N59" t="str">
        <v>Normal Order</v>
      </c>
    </row>
    <row r="60" spans="1:14">
      <c r="A60" s="7" t="s">
        <v>171</v>
      </c>
      <c r="B60" s="8">
        <v>42074</v>
      </c>
      <c r="C60" s="7"/>
      <c r="D60" s="7" t="s">
        <v>172</v>
      </c>
      <c r="E60" s="7" t="s">
        <v>173</v>
      </c>
      <c r="F60" s="7" t="s">
        <v>106</v>
      </c>
      <c r="G60" s="7" t="s">
        <v>174</v>
      </c>
      <c r="H60" s="7" t="s">
        <v>2661</v>
      </c>
      <c r="I60" s="9">
        <v>3063.27</v>
      </c>
      <c r="J60" s="7">
        <v>7</v>
      </c>
      <c r="K60" s="11">
        <v>0</v>
      </c>
      <c r="L60" s="9">
        <v>581.91</v>
      </c>
      <c r="M60" s="7" t="s">
        <v>32</v>
      </c>
      <c r="N60" t="str">
        <v>Bulk Order</v>
      </c>
    </row>
    <row r="61" spans="1:14">
      <c r="A61" s="7" t="s">
        <v>175</v>
      </c>
      <c r="B61" s="8">
        <v>42357</v>
      </c>
      <c r="C61" s="8">
        <v>42361</v>
      </c>
      <c r="D61" s="7" t="s">
        <v>101</v>
      </c>
      <c r="E61" s="7" t="s">
        <v>35</v>
      </c>
      <c r="F61" s="7" t="s">
        <v>102</v>
      </c>
      <c r="G61" s="7" t="s">
        <v>39</v>
      </c>
      <c r="H61" s="7" t="s">
        <v>2656</v>
      </c>
      <c r="I61" s="9">
        <v>18.704000000000001</v>
      </c>
      <c r="J61" s="7">
        <v>7</v>
      </c>
      <c r="K61" s="11">
        <v>0.2</v>
      </c>
      <c r="L61" s="9">
        <v>2.3379999999999899</v>
      </c>
      <c r="M61" s="7" t="s">
        <v>17</v>
      </c>
      <c r="N61" t="str">
        <v>Bulk Order</v>
      </c>
    </row>
    <row r="62" spans="1:14">
      <c r="A62" s="7" t="s">
        <v>176</v>
      </c>
      <c r="B62" s="8">
        <v>42227</v>
      </c>
      <c r="C62" s="8">
        <v>42232</v>
      </c>
      <c r="D62" s="7" t="s">
        <v>177</v>
      </c>
      <c r="E62" s="7" t="s">
        <v>20</v>
      </c>
      <c r="F62" s="7" t="s">
        <v>63</v>
      </c>
      <c r="G62" s="7" t="s">
        <v>16</v>
      </c>
      <c r="H62" s="7" t="s">
        <v>2663</v>
      </c>
      <c r="I62" s="9">
        <v>4473</v>
      </c>
      <c r="J62" s="7">
        <v>7</v>
      </c>
      <c r="K62" s="11">
        <v>0</v>
      </c>
      <c r="L62" s="9">
        <v>313.11</v>
      </c>
      <c r="M62" s="7" t="s">
        <v>17</v>
      </c>
      <c r="N62" t="str">
        <v>Bulk Order</v>
      </c>
    </row>
    <row r="63" spans="1:14">
      <c r="A63" s="7" t="s">
        <v>178</v>
      </c>
      <c r="B63" s="8">
        <v>41882</v>
      </c>
      <c r="C63" s="8">
        <v>41885</v>
      </c>
      <c r="D63" s="7" t="s">
        <v>179</v>
      </c>
      <c r="E63" s="7" t="s">
        <v>20</v>
      </c>
      <c r="F63" s="7" t="s">
        <v>63</v>
      </c>
      <c r="G63" s="7" t="s">
        <v>16</v>
      </c>
      <c r="H63" s="7" t="s">
        <v>2662</v>
      </c>
      <c r="I63" s="9">
        <v>1502.01</v>
      </c>
      <c r="J63" s="7">
        <v>9</v>
      </c>
      <c r="K63" s="11">
        <v>0</v>
      </c>
      <c r="L63" s="9">
        <v>225.18</v>
      </c>
      <c r="M63" s="7" t="s">
        <v>23</v>
      </c>
      <c r="N63" t="str">
        <v>Bulk Order</v>
      </c>
    </row>
    <row r="64" spans="1:14">
      <c r="A64" s="7" t="s">
        <v>180</v>
      </c>
      <c r="B64" s="8">
        <v>42022</v>
      </c>
      <c r="C64" s="8">
        <v>42027</v>
      </c>
      <c r="D64" s="7" t="s">
        <v>181</v>
      </c>
      <c r="E64" s="7" t="s">
        <v>58</v>
      </c>
      <c r="F64" s="7" t="s">
        <v>81</v>
      </c>
      <c r="G64" s="7" t="s">
        <v>28</v>
      </c>
      <c r="H64" s="7" t="s">
        <v>2656</v>
      </c>
      <c r="I64" s="9">
        <v>5048.99999999999</v>
      </c>
      <c r="J64" s="7">
        <v>11</v>
      </c>
      <c r="K64" s="11">
        <v>0</v>
      </c>
      <c r="L64" s="9">
        <v>3799.5593480469101</v>
      </c>
      <c r="M64" s="7" t="s">
        <v>32</v>
      </c>
      <c r="N64" t="str">
        <v>Bulk Order</v>
      </c>
    </row>
    <row r="65" spans="1:14">
      <c r="A65" s="7" t="s">
        <v>182</v>
      </c>
      <c r="B65" s="8">
        <v>42007</v>
      </c>
      <c r="C65" s="7"/>
      <c r="D65" s="7" t="s">
        <v>183</v>
      </c>
      <c r="E65" s="7" t="s">
        <v>35</v>
      </c>
      <c r="F65" s="7" t="s">
        <v>142</v>
      </c>
      <c r="G65" s="7" t="s">
        <v>16</v>
      </c>
      <c r="H65" s="7" t="s">
        <v>2656</v>
      </c>
      <c r="I65" s="9">
        <v>695.7</v>
      </c>
      <c r="J65" s="7"/>
      <c r="K65" s="11"/>
      <c r="L65" s="9">
        <v>-27.8279999999999</v>
      </c>
      <c r="M65" s="7" t="s">
        <v>32</v>
      </c>
      <c r="N65" t="str">
        <v>Normal Order</v>
      </c>
    </row>
    <row r="66" spans="1:14">
      <c r="A66" s="7" t="s">
        <v>184</v>
      </c>
      <c r="B66" s="8">
        <v>42345</v>
      </c>
      <c r="C66" s="8">
        <v>42228</v>
      </c>
      <c r="D66" s="7" t="s">
        <v>185</v>
      </c>
      <c r="E66" s="7" t="s">
        <v>186</v>
      </c>
      <c r="F66" s="7" t="s">
        <v>68</v>
      </c>
      <c r="G66" s="7" t="s">
        <v>28</v>
      </c>
      <c r="H66" s="7" t="s">
        <v>2655</v>
      </c>
      <c r="I66" s="9">
        <v>2188.0500000000002</v>
      </c>
      <c r="J66" s="7">
        <v>5</v>
      </c>
      <c r="K66" s="11">
        <v>0</v>
      </c>
      <c r="L66" s="9">
        <v>1050.1500000000001</v>
      </c>
      <c r="M66" s="7" t="s">
        <v>32</v>
      </c>
      <c r="N66" t="str">
        <v>Normal Order</v>
      </c>
    </row>
    <row r="67" spans="1:14">
      <c r="A67" s="7" t="s">
        <v>187</v>
      </c>
      <c r="B67" s="7"/>
      <c r="C67" s="8">
        <v>42357</v>
      </c>
      <c r="D67" s="7" t="s">
        <v>188</v>
      </c>
      <c r="E67" s="7" t="s">
        <v>105</v>
      </c>
      <c r="F67" s="7" t="s">
        <v>106</v>
      </c>
      <c r="G67" s="7" t="s">
        <v>28</v>
      </c>
      <c r="H67" s="7" t="s">
        <v>2661</v>
      </c>
      <c r="I67" s="9">
        <v>1920.36</v>
      </c>
      <c r="J67" s="7">
        <v>4</v>
      </c>
      <c r="K67" s="11">
        <v>0</v>
      </c>
      <c r="L67" s="9">
        <v>652.91999999999996</v>
      </c>
      <c r="M67" s="7" t="s">
        <v>23</v>
      </c>
      <c r="N67" t="str">
        <v>Normal Order</v>
      </c>
    </row>
    <row r="68" spans="1:14">
      <c r="A68" s="7" t="s">
        <v>189</v>
      </c>
      <c r="B68" s="8">
        <v>42328</v>
      </c>
      <c r="C68" s="8">
        <v>42328</v>
      </c>
      <c r="D68" s="7" t="s">
        <v>190</v>
      </c>
      <c r="E68" s="7" t="s">
        <v>88</v>
      </c>
      <c r="F68" s="7" t="s">
        <v>89</v>
      </c>
      <c r="G68" s="7" t="s">
        <v>16</v>
      </c>
      <c r="H68" s="7" t="s">
        <v>2663</v>
      </c>
      <c r="I68" s="9">
        <v>1704</v>
      </c>
      <c r="J68" s="7">
        <v>4</v>
      </c>
      <c r="K68" s="11">
        <v>0</v>
      </c>
      <c r="L68" s="9">
        <v>119.28</v>
      </c>
      <c r="M68" s="7" t="s">
        <v>23</v>
      </c>
      <c r="N68" t="str">
        <v>Normal Order</v>
      </c>
    </row>
    <row r="69" spans="1:14">
      <c r="A69" s="7" t="s">
        <v>191</v>
      </c>
      <c r="B69" s="8">
        <v>41221</v>
      </c>
      <c r="C69" s="8">
        <v>41223</v>
      </c>
      <c r="D69" s="7" t="s">
        <v>192</v>
      </c>
      <c r="E69" s="7" t="s">
        <v>193</v>
      </c>
      <c r="F69" s="7" t="s">
        <v>194</v>
      </c>
      <c r="G69" s="7" t="s">
        <v>28</v>
      </c>
      <c r="H69" s="7" t="s">
        <v>2658</v>
      </c>
      <c r="I69" s="9">
        <v>1858.68</v>
      </c>
      <c r="J69" s="7">
        <v>4</v>
      </c>
      <c r="K69" s="11">
        <v>0</v>
      </c>
      <c r="L69" s="9"/>
      <c r="M69" s="7" t="s">
        <v>23</v>
      </c>
      <c r="N69" t="str">
        <v>Normal Order</v>
      </c>
    </row>
    <row r="70" spans="1:14">
      <c r="A70" s="7" t="s">
        <v>195</v>
      </c>
      <c r="B70" s="8">
        <v>41826</v>
      </c>
      <c r="C70" s="8">
        <v>41799</v>
      </c>
      <c r="D70" s="7" t="s">
        <v>196</v>
      </c>
      <c r="E70" s="7" t="s">
        <v>197</v>
      </c>
      <c r="F70" s="7" t="s">
        <v>81</v>
      </c>
      <c r="G70" s="7" t="s">
        <v>28</v>
      </c>
      <c r="H70" s="7" t="s">
        <v>2656</v>
      </c>
      <c r="I70" s="9">
        <v>3298.2599999999902</v>
      </c>
      <c r="J70" s="7">
        <v>7</v>
      </c>
      <c r="K70" s="11">
        <v>0</v>
      </c>
      <c r="L70" s="9">
        <v>1055.25</v>
      </c>
      <c r="M70" s="7" t="s">
        <v>32</v>
      </c>
      <c r="N70" t="str">
        <v>Bulk Order</v>
      </c>
    </row>
    <row r="71" spans="1:14">
      <c r="A71" s="7" t="s">
        <v>198</v>
      </c>
      <c r="B71" s="8">
        <v>41234</v>
      </c>
      <c r="C71" s="8">
        <v>41235</v>
      </c>
      <c r="D71" s="7" t="s">
        <v>199</v>
      </c>
      <c r="E71" s="7" t="s">
        <v>200</v>
      </c>
      <c r="F71" s="7" t="s">
        <v>89</v>
      </c>
      <c r="G71" s="7" t="s">
        <v>39</v>
      </c>
      <c r="H71" s="7" t="s">
        <v>2658</v>
      </c>
      <c r="I71" s="9">
        <v>2443.48</v>
      </c>
      <c r="J71" s="7">
        <v>13</v>
      </c>
      <c r="K71" s="11">
        <v>0</v>
      </c>
      <c r="L71" s="9">
        <v>121.94</v>
      </c>
      <c r="M71" s="7" t="s">
        <v>17</v>
      </c>
      <c r="N71" t="str">
        <v>Bulk Order</v>
      </c>
    </row>
    <row r="72" spans="1:14">
      <c r="A72" s="7" t="s">
        <v>202</v>
      </c>
      <c r="B72" s="8">
        <v>41727</v>
      </c>
      <c r="C72" s="8">
        <v>41729</v>
      </c>
      <c r="D72" s="7" t="s">
        <v>203</v>
      </c>
      <c r="E72" s="7" t="s">
        <v>120</v>
      </c>
      <c r="F72" s="7" t="s">
        <v>121</v>
      </c>
      <c r="G72" s="7" t="s">
        <v>28</v>
      </c>
      <c r="H72" s="7" t="s">
        <v>2655</v>
      </c>
      <c r="I72" s="9"/>
      <c r="J72" s="7">
        <v>8</v>
      </c>
      <c r="K72" s="11">
        <v>0</v>
      </c>
      <c r="L72" s="9">
        <v>1523.52</v>
      </c>
      <c r="M72" s="7" t="s">
        <v>32</v>
      </c>
      <c r="N72" t="str">
        <v>Bulk Order</v>
      </c>
    </row>
    <row r="73" spans="1:14">
      <c r="A73" s="7" t="s">
        <v>204</v>
      </c>
      <c r="B73" s="8">
        <v>42242</v>
      </c>
      <c r="C73" s="8">
        <v>42243</v>
      </c>
      <c r="D73" s="7" t="s">
        <v>205</v>
      </c>
      <c r="E73" s="7" t="s">
        <v>131</v>
      </c>
      <c r="F73" s="7" t="s">
        <v>132</v>
      </c>
      <c r="G73" s="7" t="s">
        <v>28</v>
      </c>
      <c r="H73" s="7" t="s">
        <v>2661</v>
      </c>
      <c r="I73" s="9">
        <v>3427.1495999999902</v>
      </c>
      <c r="J73" s="7">
        <v>7</v>
      </c>
      <c r="K73" s="11"/>
      <c r="L73" s="9">
        <v>-452.81039999999899</v>
      </c>
      <c r="M73" s="7" t="s">
        <v>32</v>
      </c>
      <c r="N73" t="str">
        <v>Bulk Order</v>
      </c>
    </row>
    <row r="74" spans="1:14">
      <c r="A74" s="7" t="s">
        <v>206</v>
      </c>
      <c r="B74" s="8">
        <v>41537</v>
      </c>
      <c r="C74" s="8">
        <v>41539</v>
      </c>
      <c r="D74" s="7" t="s">
        <v>207</v>
      </c>
      <c r="E74" s="7" t="s">
        <v>84</v>
      </c>
      <c r="F74" s="7"/>
      <c r="G74" s="7" t="s">
        <v>16</v>
      </c>
      <c r="H74" s="7" t="s">
        <v>2655</v>
      </c>
      <c r="I74" s="9">
        <v>3441.69</v>
      </c>
      <c r="J74" s="7"/>
      <c r="K74" s="11">
        <v>0.1</v>
      </c>
      <c r="L74" s="9">
        <v>38.069999999999901</v>
      </c>
      <c r="M74" s="7" t="s">
        <v>32</v>
      </c>
      <c r="N74" t="str">
        <v>Normal Order</v>
      </c>
    </row>
    <row r="75" spans="1:14">
      <c r="A75" s="7" t="s">
        <v>208</v>
      </c>
      <c r="B75" s="8">
        <v>42140</v>
      </c>
      <c r="C75" s="8">
        <v>42142</v>
      </c>
      <c r="D75" s="7" t="s">
        <v>150</v>
      </c>
      <c r="E75" s="7" t="s">
        <v>14</v>
      </c>
      <c r="F75" s="7" t="s">
        <v>15</v>
      </c>
      <c r="G75" s="7" t="s">
        <v>16</v>
      </c>
      <c r="H75" s="7" t="s">
        <v>2658</v>
      </c>
      <c r="I75" s="9">
        <v>2863.35</v>
      </c>
      <c r="J75" s="7">
        <v>5</v>
      </c>
      <c r="K75" s="11">
        <v>0.1</v>
      </c>
      <c r="L75" s="9">
        <v>858.9</v>
      </c>
      <c r="M75" s="7" t="s">
        <v>209</v>
      </c>
      <c r="N75" t="str">
        <v>Normal Order</v>
      </c>
    </row>
    <row r="76" spans="1:14">
      <c r="A76" s="7"/>
      <c r="B76" s="8">
        <v>42218</v>
      </c>
      <c r="C76" s="8">
        <v>42224</v>
      </c>
      <c r="D76" s="7" t="s">
        <v>183</v>
      </c>
      <c r="E76" s="7" t="s">
        <v>35</v>
      </c>
      <c r="F76" s="7" t="s">
        <v>36</v>
      </c>
      <c r="G76" s="7" t="s">
        <v>16</v>
      </c>
      <c r="H76" s="7" t="s">
        <v>2656</v>
      </c>
      <c r="I76" s="9"/>
      <c r="J76" s="7">
        <v>3</v>
      </c>
      <c r="K76" s="11">
        <v>0.4</v>
      </c>
      <c r="L76" s="9">
        <v>-263.99669999999998</v>
      </c>
      <c r="M76" s="7" t="s">
        <v>17</v>
      </c>
      <c r="N76" t="str">
        <v>Normal Order</v>
      </c>
    </row>
    <row r="77" spans="1:14">
      <c r="A77" s="7" t="s">
        <v>210</v>
      </c>
      <c r="B77" s="8">
        <v>41967</v>
      </c>
      <c r="C77" s="8">
        <v>41968</v>
      </c>
      <c r="D77" s="7" t="s">
        <v>211</v>
      </c>
      <c r="E77" s="7"/>
      <c r="F77" s="7" t="s">
        <v>63</v>
      </c>
      <c r="G77" s="7" t="s">
        <v>212</v>
      </c>
      <c r="H77" s="7" t="s">
        <v>2656</v>
      </c>
      <c r="I77" s="9">
        <v>1487.4</v>
      </c>
      <c r="J77" s="7">
        <v>10</v>
      </c>
      <c r="K77" s="11">
        <v>0</v>
      </c>
      <c r="L77" s="9">
        <v>728.7</v>
      </c>
      <c r="M77" s="7" t="s">
        <v>23</v>
      </c>
      <c r="N77" t="str">
        <v>Bulk Order</v>
      </c>
    </row>
    <row r="78" spans="1:14">
      <c r="A78" s="7" t="s">
        <v>213</v>
      </c>
      <c r="B78" s="8">
        <v>41221</v>
      </c>
      <c r="C78" s="8">
        <v>41223</v>
      </c>
      <c r="D78" s="7" t="s">
        <v>214</v>
      </c>
      <c r="E78" s="7" t="s">
        <v>58</v>
      </c>
      <c r="F78" s="7" t="s">
        <v>81</v>
      </c>
      <c r="G78" s="7" t="s">
        <v>16</v>
      </c>
      <c r="H78" s="7" t="s">
        <v>2659</v>
      </c>
      <c r="I78" s="9">
        <v>3200.04</v>
      </c>
      <c r="J78" s="7">
        <v>9</v>
      </c>
      <c r="K78" s="11">
        <v>0</v>
      </c>
      <c r="L78" s="9">
        <v>1183.95</v>
      </c>
      <c r="M78" s="7" t="s">
        <v>216</v>
      </c>
      <c r="N78" t="str">
        <v>Bulk Order</v>
      </c>
    </row>
    <row r="79" spans="1:14">
      <c r="A79" s="7" t="s">
        <v>217</v>
      </c>
      <c r="B79" s="8">
        <v>41209</v>
      </c>
      <c r="C79" s="8">
        <v>41209</v>
      </c>
      <c r="D79" s="7" t="s">
        <v>218</v>
      </c>
      <c r="E79" s="7" t="s">
        <v>105</v>
      </c>
      <c r="F79" s="7" t="s">
        <v>106</v>
      </c>
      <c r="G79" s="7"/>
      <c r="H79" s="7" t="s">
        <v>2657</v>
      </c>
      <c r="I79" s="9">
        <v>2300.99999999999</v>
      </c>
      <c r="J79" s="7">
        <v>5</v>
      </c>
      <c r="K79" s="11">
        <v>0</v>
      </c>
      <c r="L79" s="9">
        <v>91.95</v>
      </c>
      <c r="M79" s="7" t="s">
        <v>23</v>
      </c>
      <c r="N79" t="str">
        <v>Normal Order</v>
      </c>
    </row>
    <row r="80" spans="1:14">
      <c r="A80" s="7"/>
      <c r="B80" s="8">
        <v>42327</v>
      </c>
      <c r="C80" s="8">
        <v>42331</v>
      </c>
      <c r="D80" s="7" t="s">
        <v>219</v>
      </c>
      <c r="E80" s="7" t="s">
        <v>62</v>
      </c>
      <c r="F80" s="7" t="s">
        <v>63</v>
      </c>
      <c r="G80" s="7" t="s">
        <v>28</v>
      </c>
      <c r="H80" s="7" t="s">
        <v>2657</v>
      </c>
      <c r="I80" s="9">
        <v>5729.3459999999905</v>
      </c>
      <c r="J80" s="7">
        <v>14</v>
      </c>
      <c r="K80" s="11">
        <v>0.1</v>
      </c>
      <c r="L80" s="9">
        <v>63.546000000000099</v>
      </c>
      <c r="M80" s="7" t="s">
        <v>32</v>
      </c>
      <c r="N80" t="str">
        <v>Bulk Order</v>
      </c>
    </row>
    <row r="81" spans="1:14">
      <c r="A81" s="7" t="s">
        <v>220</v>
      </c>
      <c r="B81" s="8">
        <v>42305</v>
      </c>
      <c r="C81" s="8">
        <v>42307</v>
      </c>
      <c r="D81" s="7" t="s">
        <v>117</v>
      </c>
      <c r="E81" s="7" t="s">
        <v>221</v>
      </c>
      <c r="F81" s="7" t="s">
        <v>222</v>
      </c>
      <c r="G81" s="7" t="s">
        <v>16</v>
      </c>
      <c r="H81" s="7" t="s">
        <v>2655</v>
      </c>
      <c r="I81" s="9">
        <v>5301.24</v>
      </c>
      <c r="J81" s="7">
        <v>14</v>
      </c>
      <c r="K81" s="11">
        <v>0</v>
      </c>
      <c r="L81" s="9">
        <v>2597.2800000000002</v>
      </c>
      <c r="M81" s="7" t="s">
        <v>17</v>
      </c>
      <c r="N81" t="str">
        <v>Bulk Order</v>
      </c>
    </row>
    <row r="82" spans="1:14">
      <c r="A82" s="7"/>
      <c r="B82" s="8">
        <v>41908</v>
      </c>
      <c r="C82" s="8">
        <v>41910</v>
      </c>
      <c r="D82" s="7" t="s">
        <v>183</v>
      </c>
      <c r="E82" s="7" t="s">
        <v>35</v>
      </c>
      <c r="F82" s="7" t="s">
        <v>38</v>
      </c>
      <c r="G82" s="7" t="s">
        <v>28</v>
      </c>
      <c r="H82" s="7" t="s">
        <v>2655</v>
      </c>
      <c r="I82" s="9">
        <v>477.666</v>
      </c>
      <c r="J82" s="7">
        <v>2</v>
      </c>
      <c r="K82" s="11">
        <v>0.15</v>
      </c>
      <c r="L82" s="9">
        <v>84.293999999999897</v>
      </c>
      <c r="M82" s="7" t="s">
        <v>23</v>
      </c>
      <c r="N82" t="str">
        <v>Normal Order</v>
      </c>
    </row>
    <row r="83" spans="1:14">
      <c r="A83" s="7" t="s">
        <v>223</v>
      </c>
      <c r="B83" s="8">
        <v>42252</v>
      </c>
      <c r="C83" s="8">
        <v>42253</v>
      </c>
      <c r="D83" s="7" t="s">
        <v>224</v>
      </c>
      <c r="E83" s="7" t="s">
        <v>35</v>
      </c>
      <c r="F83" s="7" t="s">
        <v>38</v>
      </c>
      <c r="G83" s="7" t="s">
        <v>39</v>
      </c>
      <c r="H83" s="7" t="s">
        <v>2657</v>
      </c>
      <c r="I83" s="9">
        <v>88.073999999999998</v>
      </c>
      <c r="J83" s="7">
        <v>7</v>
      </c>
      <c r="K83" s="11">
        <v>0.7</v>
      </c>
      <c r="L83" s="9">
        <v>-58.715999999999902</v>
      </c>
      <c r="M83" s="7" t="s">
        <v>32</v>
      </c>
      <c r="N83" t="str">
        <v>Bulk Order</v>
      </c>
    </row>
    <row r="84" spans="1:14">
      <c r="A84" s="7"/>
      <c r="B84" s="8">
        <v>41668</v>
      </c>
      <c r="C84" s="8">
        <v>41675</v>
      </c>
      <c r="D84" s="7" t="s">
        <v>130</v>
      </c>
      <c r="E84" s="7" t="s">
        <v>20</v>
      </c>
      <c r="F84" s="7" t="s">
        <v>63</v>
      </c>
      <c r="G84" s="7" t="s">
        <v>16</v>
      </c>
      <c r="H84" s="7" t="s">
        <v>2659</v>
      </c>
      <c r="I84" s="9">
        <v>3219.9</v>
      </c>
      <c r="J84" s="7">
        <v>5</v>
      </c>
      <c r="K84" s="11"/>
      <c r="L84" s="9">
        <v>965.85</v>
      </c>
      <c r="M84" s="7" t="s">
        <v>65</v>
      </c>
      <c r="N84" t="str">
        <v>Normal Order</v>
      </c>
    </row>
    <row r="85" spans="1:14">
      <c r="A85" s="7" t="s">
        <v>225</v>
      </c>
      <c r="B85" s="8">
        <v>41535</v>
      </c>
      <c r="C85" s="8">
        <v>41538</v>
      </c>
      <c r="D85" s="7" t="s">
        <v>226</v>
      </c>
      <c r="E85" s="7" t="s">
        <v>131</v>
      </c>
      <c r="F85" s="7" t="s">
        <v>132</v>
      </c>
      <c r="G85" s="7" t="s">
        <v>39</v>
      </c>
      <c r="H85" s="7" t="s">
        <v>2655</v>
      </c>
      <c r="I85" s="9">
        <v>2487.8087999999998</v>
      </c>
      <c r="J85" s="7"/>
      <c r="K85" s="11">
        <v>0.17</v>
      </c>
      <c r="L85" s="9">
        <v>-269.7912</v>
      </c>
      <c r="M85" s="7" t="s">
        <v>23</v>
      </c>
      <c r="N85" t="str">
        <v>Normal Order</v>
      </c>
    </row>
    <row r="86" spans="1:14">
      <c r="A86" s="7" t="s">
        <v>227</v>
      </c>
      <c r="B86" s="8">
        <v>41966</v>
      </c>
      <c r="C86" s="8">
        <v>41966</v>
      </c>
      <c r="D86" s="7" t="s">
        <v>228</v>
      </c>
      <c r="E86" s="7" t="s">
        <v>221</v>
      </c>
      <c r="F86" s="7" t="s">
        <v>222</v>
      </c>
      <c r="G86" s="7" t="s">
        <v>39</v>
      </c>
      <c r="H86" s="7" t="s">
        <v>2656</v>
      </c>
      <c r="I86" s="9">
        <v>2266.44</v>
      </c>
      <c r="J86" s="7">
        <v>4</v>
      </c>
      <c r="K86" s="11">
        <v>0</v>
      </c>
      <c r="L86" s="9">
        <v>113.28</v>
      </c>
      <c r="M86" s="7" t="s">
        <v>17</v>
      </c>
      <c r="N86" t="str">
        <v>Normal Order</v>
      </c>
    </row>
    <row r="87" spans="1:14">
      <c r="A87" s="7"/>
      <c r="B87" s="8">
        <v>41438</v>
      </c>
      <c r="C87" s="8">
        <v>41438</v>
      </c>
      <c r="D87" s="7" t="s">
        <v>229</v>
      </c>
      <c r="E87" s="7" t="s">
        <v>14</v>
      </c>
      <c r="F87" s="7" t="s">
        <v>15</v>
      </c>
      <c r="G87" s="7" t="s">
        <v>16</v>
      </c>
      <c r="H87" s="7" t="s">
        <v>2661</v>
      </c>
      <c r="I87" s="9">
        <v>3068.3609999999999</v>
      </c>
      <c r="J87" s="7"/>
      <c r="K87" s="11">
        <v>0.1</v>
      </c>
      <c r="L87" s="9">
        <v>1124.9009999999901</v>
      </c>
      <c r="M87" s="7" t="s">
        <v>32</v>
      </c>
      <c r="N87" t="str">
        <v>Normal Order</v>
      </c>
    </row>
    <row r="88" spans="1:14">
      <c r="A88" s="7" t="s">
        <v>230</v>
      </c>
      <c r="B88" s="8">
        <v>41940</v>
      </c>
      <c r="C88" s="8">
        <v>41943</v>
      </c>
      <c r="D88" s="7" t="s">
        <v>231</v>
      </c>
      <c r="E88" s="7" t="s">
        <v>173</v>
      </c>
      <c r="F88" s="7" t="s">
        <v>106</v>
      </c>
      <c r="G88" s="7" t="s">
        <v>28</v>
      </c>
      <c r="H88" s="7" t="s">
        <v>2661</v>
      </c>
      <c r="I88" s="9">
        <v>3728.4299999999898</v>
      </c>
      <c r="J88" s="7">
        <v>9</v>
      </c>
      <c r="K88" s="11">
        <v>0</v>
      </c>
      <c r="L88" s="9">
        <v>1192.8599999999999</v>
      </c>
      <c r="M88" s="7" t="s">
        <v>17</v>
      </c>
      <c r="N88" t="str">
        <v>Bulk Order</v>
      </c>
    </row>
    <row r="89" spans="1:14">
      <c r="A89" s="7"/>
      <c r="B89" s="8">
        <v>41985</v>
      </c>
      <c r="C89" s="8">
        <v>41987</v>
      </c>
      <c r="D89" s="7"/>
      <c r="E89" s="7" t="s">
        <v>58</v>
      </c>
      <c r="F89" s="7" t="s">
        <v>81</v>
      </c>
      <c r="G89" s="7" t="s">
        <v>16</v>
      </c>
      <c r="H89" s="7" t="s">
        <v>2657</v>
      </c>
      <c r="I89" s="9">
        <v>1581.48</v>
      </c>
      <c r="J89" s="7"/>
      <c r="K89" s="11">
        <v>0</v>
      </c>
      <c r="L89" s="9">
        <v>0</v>
      </c>
      <c r="M89" s="7" t="s">
        <v>32</v>
      </c>
      <c r="N89" t="str">
        <v>Normal Order</v>
      </c>
    </row>
    <row r="90" spans="1:14">
      <c r="A90" s="7" t="s">
        <v>232</v>
      </c>
      <c r="B90" s="8">
        <v>41419</v>
      </c>
      <c r="C90" s="8">
        <v>41422</v>
      </c>
      <c r="D90" s="7" t="s">
        <v>167</v>
      </c>
      <c r="E90" s="7" t="s">
        <v>105</v>
      </c>
      <c r="F90" s="7" t="s">
        <v>106</v>
      </c>
      <c r="G90" s="7" t="s">
        <v>16</v>
      </c>
      <c r="H90" s="7" t="s">
        <v>2663</v>
      </c>
      <c r="I90" s="9">
        <v>1916.73</v>
      </c>
      <c r="J90" s="7">
        <v>3</v>
      </c>
      <c r="K90" s="11">
        <v>0</v>
      </c>
      <c r="L90" s="9">
        <v>498.32999999999902</v>
      </c>
      <c r="M90" s="7" t="s">
        <v>23</v>
      </c>
      <c r="N90" t="str">
        <v>Normal Order</v>
      </c>
    </row>
    <row r="91" spans="1:14">
      <c r="A91" s="7" t="s">
        <v>233</v>
      </c>
      <c r="B91" s="8">
        <v>42281</v>
      </c>
      <c r="C91" s="8">
        <v>42286</v>
      </c>
      <c r="D91" s="7" t="s">
        <v>183</v>
      </c>
      <c r="E91" s="7" t="s">
        <v>35</v>
      </c>
      <c r="F91" s="7" t="s">
        <v>234</v>
      </c>
      <c r="G91" s="7" t="s">
        <v>28</v>
      </c>
      <c r="H91" s="7" t="s">
        <v>2657</v>
      </c>
      <c r="I91" s="9">
        <v>171.28800000000001</v>
      </c>
      <c r="J91" s="7">
        <v>3</v>
      </c>
      <c r="K91" s="11">
        <v>1.4339994914666701</v>
      </c>
      <c r="L91" s="9">
        <v>-6.4233000000000198</v>
      </c>
      <c r="M91" s="7" t="s">
        <v>17</v>
      </c>
      <c r="N91" t="str">
        <v>Normal Order</v>
      </c>
    </row>
    <row r="92" spans="1:14">
      <c r="A92" s="7" t="s">
        <v>235</v>
      </c>
      <c r="B92" s="8">
        <v>41975</v>
      </c>
      <c r="C92" s="7"/>
      <c r="D92" s="7" t="s">
        <v>236</v>
      </c>
      <c r="E92" s="7" t="s">
        <v>62</v>
      </c>
      <c r="F92" s="7" t="s">
        <v>63</v>
      </c>
      <c r="G92" s="7" t="s">
        <v>39</v>
      </c>
      <c r="H92" s="7" t="s">
        <v>2656</v>
      </c>
      <c r="I92" s="9">
        <v>2432.16</v>
      </c>
      <c r="J92" s="7">
        <v>5</v>
      </c>
      <c r="K92" s="11">
        <v>0.1</v>
      </c>
      <c r="L92" s="9">
        <v>513.36</v>
      </c>
      <c r="M92" s="7" t="s">
        <v>23</v>
      </c>
      <c r="N92" t="str">
        <v>Normal Order</v>
      </c>
    </row>
    <row r="93" spans="1:14">
      <c r="A93" s="7" t="s">
        <v>182</v>
      </c>
      <c r="B93" s="7"/>
      <c r="C93" s="8">
        <v>42009</v>
      </c>
      <c r="D93" s="7"/>
      <c r="E93" s="7" t="s">
        <v>35</v>
      </c>
      <c r="F93" s="7" t="s">
        <v>142</v>
      </c>
      <c r="G93" s="7" t="s">
        <v>39</v>
      </c>
      <c r="H93" s="7" t="s">
        <v>2658</v>
      </c>
      <c r="I93" s="9">
        <v>28.853999999999999</v>
      </c>
      <c r="J93" s="7">
        <v>6</v>
      </c>
      <c r="K93" s="11">
        <v>0.7</v>
      </c>
      <c r="L93" s="9">
        <v>-21.159599999999902</v>
      </c>
      <c r="M93" s="7" t="s">
        <v>32</v>
      </c>
      <c r="N93" t="str">
        <v>Bulk Order</v>
      </c>
    </row>
    <row r="94" spans="1:14">
      <c r="A94" s="7" t="s">
        <v>237</v>
      </c>
      <c r="B94" s="8">
        <v>41667</v>
      </c>
      <c r="C94" s="8">
        <v>41669</v>
      </c>
      <c r="D94" s="7" t="s">
        <v>238</v>
      </c>
      <c r="E94" s="7" t="s">
        <v>239</v>
      </c>
      <c r="F94" s="7" t="s">
        <v>132</v>
      </c>
      <c r="G94" s="7" t="s">
        <v>28</v>
      </c>
      <c r="H94" s="7" t="s">
        <v>2661</v>
      </c>
      <c r="I94" s="9" t="s">
        <v>152</v>
      </c>
      <c r="J94" s="7">
        <v>7</v>
      </c>
      <c r="K94" s="11">
        <v>0.25</v>
      </c>
      <c r="L94" s="9">
        <v>197.19</v>
      </c>
      <c r="M94" s="7" t="s">
        <v>32</v>
      </c>
      <c r="N94" t="str">
        <v>Bulk Order</v>
      </c>
    </row>
    <row r="95" spans="1:14">
      <c r="A95" s="7" t="s">
        <v>241</v>
      </c>
      <c r="B95" s="8">
        <v>41401</v>
      </c>
      <c r="C95" s="8">
        <v>41401</v>
      </c>
      <c r="D95" s="7" t="s">
        <v>242</v>
      </c>
      <c r="E95" s="7"/>
      <c r="F95" s="7" t="s">
        <v>15</v>
      </c>
      <c r="G95" s="7" t="s">
        <v>243</v>
      </c>
      <c r="H95" s="7" t="s">
        <v>2656</v>
      </c>
      <c r="I95" s="9">
        <v>1847.51999999999</v>
      </c>
      <c r="J95" s="7">
        <v>2</v>
      </c>
      <c r="K95" s="11">
        <v>0</v>
      </c>
      <c r="L95" s="9">
        <v>738.96</v>
      </c>
      <c r="M95" s="7" t="s">
        <v>32</v>
      </c>
      <c r="N95" t="str">
        <v>Normal Order</v>
      </c>
    </row>
    <row r="96" spans="1:14">
      <c r="A96" s="7"/>
      <c r="B96" s="8">
        <v>41970</v>
      </c>
      <c r="C96" s="8">
        <v>41972</v>
      </c>
      <c r="D96" s="7" t="s">
        <v>244</v>
      </c>
      <c r="E96" s="7" t="s">
        <v>245</v>
      </c>
      <c r="F96" s="7" t="s">
        <v>63</v>
      </c>
      <c r="G96" s="7" t="s">
        <v>28</v>
      </c>
      <c r="H96" s="7" t="s">
        <v>2655</v>
      </c>
      <c r="I96" s="9">
        <v>2899.8899999999899</v>
      </c>
      <c r="J96" s="7">
        <v>7</v>
      </c>
      <c r="K96" s="11">
        <v>0</v>
      </c>
      <c r="L96" s="9">
        <v>927.78</v>
      </c>
      <c r="M96" s="7" t="s">
        <v>32</v>
      </c>
      <c r="N96" t="str">
        <v>Bulk Order</v>
      </c>
    </row>
    <row r="97" spans="1:14">
      <c r="A97" s="7" t="s">
        <v>246</v>
      </c>
      <c r="B97" s="8">
        <v>41606</v>
      </c>
      <c r="C97" s="8">
        <v>41610</v>
      </c>
      <c r="D97" s="7" t="s">
        <v>236</v>
      </c>
      <c r="E97" s="7" t="s">
        <v>14</v>
      </c>
      <c r="F97" s="7" t="s">
        <v>15</v>
      </c>
      <c r="G97" s="7" t="s">
        <v>28</v>
      </c>
      <c r="H97" s="7" t="s">
        <v>2658</v>
      </c>
      <c r="I97" s="9">
        <v>2891.6999999999898</v>
      </c>
      <c r="J97" s="7">
        <v>7</v>
      </c>
      <c r="K97" s="11">
        <v>0.1</v>
      </c>
      <c r="L97" s="9">
        <v>96.39</v>
      </c>
      <c r="M97" s="7" t="s">
        <v>17</v>
      </c>
      <c r="N97" t="str">
        <v>Bulk Order</v>
      </c>
    </row>
    <row r="98" spans="1:14">
      <c r="A98" s="7" t="s">
        <v>247</v>
      </c>
      <c r="B98" s="8">
        <v>41546</v>
      </c>
      <c r="C98" s="8">
        <v>41546</v>
      </c>
      <c r="D98" s="7" t="s">
        <v>248</v>
      </c>
      <c r="E98" s="7" t="s">
        <v>62</v>
      </c>
      <c r="F98" s="7" t="s">
        <v>63</v>
      </c>
      <c r="G98" s="7" t="s">
        <v>16</v>
      </c>
      <c r="H98" s="7" t="s">
        <v>2663</v>
      </c>
      <c r="I98" s="9">
        <v>2016.846</v>
      </c>
      <c r="J98" s="7">
        <v>9</v>
      </c>
      <c r="K98" s="11">
        <v>0.15</v>
      </c>
      <c r="L98" s="9">
        <v>-5.4000000000030399E-2</v>
      </c>
      <c r="M98" s="7" t="s">
        <v>23</v>
      </c>
      <c r="N98" t="str">
        <v>Bulk Order</v>
      </c>
    </row>
    <row r="99" spans="1:14">
      <c r="A99" s="7" t="s">
        <v>249</v>
      </c>
      <c r="B99" s="10">
        <v>41707</v>
      </c>
      <c r="C99" s="8">
        <v>41887</v>
      </c>
      <c r="D99" s="7" t="s">
        <v>250</v>
      </c>
      <c r="E99" s="7" t="s">
        <v>62</v>
      </c>
      <c r="F99" s="7" t="s">
        <v>63</v>
      </c>
      <c r="G99" s="7" t="s">
        <v>39</v>
      </c>
      <c r="H99" s="7" t="s">
        <v>2655</v>
      </c>
      <c r="I99" s="9">
        <v>3155.5439999999999</v>
      </c>
      <c r="J99" s="7">
        <v>7</v>
      </c>
      <c r="K99" s="11">
        <v>0.1</v>
      </c>
      <c r="L99" s="9">
        <v>34.944000000000003</v>
      </c>
      <c r="M99" s="7" t="s">
        <v>32</v>
      </c>
      <c r="N99" t="str">
        <v>Bulk Order</v>
      </c>
    </row>
    <row r="100" spans="1:14">
      <c r="A100" s="7" t="s">
        <v>251</v>
      </c>
      <c r="B100" s="8">
        <v>41846</v>
      </c>
      <c r="C100" s="8">
        <v>41852</v>
      </c>
      <c r="D100" s="7" t="s">
        <v>252</v>
      </c>
      <c r="E100" s="7" t="s">
        <v>120</v>
      </c>
      <c r="F100" s="7" t="s">
        <v>253</v>
      </c>
      <c r="G100" s="7" t="s">
        <v>16</v>
      </c>
      <c r="H100" s="7" t="s">
        <v>2662</v>
      </c>
      <c r="I100" s="9">
        <v>3856.1399999999899</v>
      </c>
      <c r="J100" s="7">
        <v>6</v>
      </c>
      <c r="K100" s="11">
        <v>0</v>
      </c>
      <c r="L100" s="9"/>
      <c r="M100" s="7" t="s">
        <v>65</v>
      </c>
      <c r="N100" t="str">
        <v>Bulk Order</v>
      </c>
    </row>
    <row r="101" spans="1:14">
      <c r="A101" s="7" t="s">
        <v>254</v>
      </c>
      <c r="B101" s="8">
        <v>42327</v>
      </c>
      <c r="C101" s="8">
        <v>42333</v>
      </c>
      <c r="D101" s="7" t="s">
        <v>255</v>
      </c>
      <c r="E101" s="7" t="s">
        <v>14</v>
      </c>
      <c r="F101" s="7" t="s">
        <v>15</v>
      </c>
      <c r="G101" s="7" t="s">
        <v>16</v>
      </c>
      <c r="H101" s="7" t="s">
        <v>2661</v>
      </c>
      <c r="I101" s="9">
        <v>3524.4720000000002</v>
      </c>
      <c r="J101" s="7">
        <v>6</v>
      </c>
      <c r="K101" s="11">
        <v>0.1</v>
      </c>
      <c r="L101" s="9">
        <v>861.37199999999996</v>
      </c>
      <c r="M101" s="7" t="s">
        <v>65</v>
      </c>
      <c r="N101" t="str">
        <v>Bulk Order</v>
      </c>
    </row>
    <row r="102" spans="1:14">
      <c r="A102" s="7"/>
      <c r="B102" s="8">
        <v>41444</v>
      </c>
      <c r="C102" s="8">
        <v>41444</v>
      </c>
      <c r="D102" s="7" t="s">
        <v>257</v>
      </c>
      <c r="E102" s="7" t="s">
        <v>62</v>
      </c>
      <c r="F102" s="7" t="s">
        <v>63</v>
      </c>
      <c r="G102" s="7" t="s">
        <v>16</v>
      </c>
      <c r="H102" s="7" t="s">
        <v>2656</v>
      </c>
      <c r="I102" s="9">
        <v>2167.2959999999998</v>
      </c>
      <c r="J102" s="7">
        <v>4</v>
      </c>
      <c r="K102" s="11"/>
      <c r="L102" s="9">
        <v>790.41599999999903</v>
      </c>
      <c r="M102" s="7" t="s">
        <v>32</v>
      </c>
      <c r="N102" t="str">
        <v>Normal Order</v>
      </c>
    </row>
    <row r="103" spans="1:14">
      <c r="A103" s="7" t="s">
        <v>258</v>
      </c>
      <c r="B103" s="8">
        <v>41558</v>
      </c>
      <c r="C103" s="8">
        <v>41561</v>
      </c>
      <c r="D103" s="7" t="s">
        <v>259</v>
      </c>
      <c r="E103" s="7" t="s">
        <v>88</v>
      </c>
      <c r="F103" s="7" t="s">
        <v>89</v>
      </c>
      <c r="G103" s="7" t="s">
        <v>16</v>
      </c>
      <c r="H103" s="7" t="s">
        <v>2656</v>
      </c>
      <c r="I103" s="9"/>
      <c r="J103" s="7">
        <v>6</v>
      </c>
      <c r="K103" s="11">
        <v>0</v>
      </c>
      <c r="L103" s="9">
        <v>178.92</v>
      </c>
      <c r="M103" s="7" t="s">
        <v>17</v>
      </c>
      <c r="N103" t="str">
        <v>Bulk Order</v>
      </c>
    </row>
    <row r="104" spans="1:14">
      <c r="A104" s="7"/>
      <c r="B104" s="8">
        <v>41129</v>
      </c>
      <c r="C104" s="8">
        <v>41131</v>
      </c>
      <c r="D104" s="7" t="s">
        <v>260</v>
      </c>
      <c r="E104" s="7" t="s">
        <v>20</v>
      </c>
      <c r="F104" s="7" t="s">
        <v>63</v>
      </c>
      <c r="G104" s="7" t="s">
        <v>16</v>
      </c>
      <c r="H104" s="7" t="s">
        <v>2656</v>
      </c>
      <c r="I104" s="9">
        <v>1469.24999999999</v>
      </c>
      <c r="J104" s="7">
        <v>5</v>
      </c>
      <c r="K104" s="11">
        <v>0</v>
      </c>
      <c r="L104" s="9">
        <v>308.39999999999998</v>
      </c>
      <c r="M104" s="7" t="s">
        <v>23</v>
      </c>
      <c r="N104" t="str">
        <v>Normal Order</v>
      </c>
    </row>
    <row r="105" spans="1:14">
      <c r="A105" s="7"/>
      <c r="B105" s="8">
        <v>41217</v>
      </c>
      <c r="C105" s="8">
        <v>41221</v>
      </c>
      <c r="D105" s="7" t="s">
        <v>261</v>
      </c>
      <c r="E105" s="7"/>
      <c r="F105" s="7" t="s">
        <v>63</v>
      </c>
      <c r="G105" s="7" t="s">
        <v>16</v>
      </c>
      <c r="H105" s="7" t="s">
        <v>2656</v>
      </c>
      <c r="I105" s="9">
        <v>4448.8320000000003</v>
      </c>
      <c r="J105" s="7">
        <v>8</v>
      </c>
      <c r="K105" s="11">
        <v>0.15</v>
      </c>
      <c r="L105" s="9">
        <v>1517.712</v>
      </c>
      <c r="M105" s="7" t="s">
        <v>32</v>
      </c>
      <c r="N105" t="str">
        <v>Bulk Order</v>
      </c>
    </row>
    <row r="106" spans="1:14">
      <c r="A106" s="7" t="s">
        <v>262</v>
      </c>
      <c r="B106" s="8">
        <v>41116</v>
      </c>
      <c r="C106" s="8">
        <v>41122</v>
      </c>
      <c r="D106" s="7" t="s">
        <v>183</v>
      </c>
      <c r="E106" s="7" t="s">
        <v>35</v>
      </c>
      <c r="F106" s="7" t="s">
        <v>102</v>
      </c>
      <c r="G106" s="7" t="s">
        <v>39</v>
      </c>
      <c r="H106" s="7" t="s">
        <v>2657</v>
      </c>
      <c r="I106" s="9">
        <v>65.78</v>
      </c>
      <c r="J106" s="7">
        <v>11</v>
      </c>
      <c r="K106" s="11">
        <v>0</v>
      </c>
      <c r="L106" s="9">
        <v>32.232199999999999</v>
      </c>
      <c r="M106" s="7" t="s">
        <v>17</v>
      </c>
      <c r="N106" t="str">
        <v>Bulk Order</v>
      </c>
    </row>
    <row r="107" spans="1:14">
      <c r="A107" s="7" t="s">
        <v>263</v>
      </c>
      <c r="B107" s="8">
        <v>41755</v>
      </c>
      <c r="C107" s="8">
        <v>41757</v>
      </c>
      <c r="D107" s="7" t="s">
        <v>264</v>
      </c>
      <c r="E107" s="7" t="s">
        <v>265</v>
      </c>
      <c r="F107" s="7" t="s">
        <v>53</v>
      </c>
      <c r="G107" s="7" t="s">
        <v>28</v>
      </c>
      <c r="H107" s="7" t="s">
        <v>2656</v>
      </c>
      <c r="I107" s="9"/>
      <c r="J107" s="7">
        <v>9</v>
      </c>
      <c r="K107" s="11">
        <v>0</v>
      </c>
      <c r="L107" s="9">
        <v>914.76</v>
      </c>
      <c r="M107" s="7" t="s">
        <v>32</v>
      </c>
      <c r="N107" t="str">
        <v>Bulk Order</v>
      </c>
    </row>
    <row r="108" spans="1:14">
      <c r="A108" s="7" t="s">
        <v>266</v>
      </c>
      <c r="B108" s="8">
        <v>41999</v>
      </c>
      <c r="C108" s="8">
        <v>41999</v>
      </c>
      <c r="D108" s="7" t="s">
        <v>267</v>
      </c>
      <c r="E108" s="7" t="s">
        <v>14</v>
      </c>
      <c r="F108" s="7" t="s">
        <v>15</v>
      </c>
      <c r="G108" s="7" t="s">
        <v>39</v>
      </c>
      <c r="H108" s="7" t="s">
        <v>2658</v>
      </c>
      <c r="I108" s="9">
        <v>3739.1759999999899</v>
      </c>
      <c r="J108" s="7">
        <v>8</v>
      </c>
      <c r="K108" s="11">
        <v>0.1</v>
      </c>
      <c r="L108" s="9">
        <v>747.81600000000003</v>
      </c>
      <c r="M108" s="7" t="s">
        <v>32</v>
      </c>
      <c r="N108" t="str">
        <v>Bulk Order</v>
      </c>
    </row>
    <row r="109" spans="1:14">
      <c r="A109" s="7" t="s">
        <v>268</v>
      </c>
      <c r="B109" s="8">
        <v>41711</v>
      </c>
      <c r="C109" s="8">
        <v>41711</v>
      </c>
      <c r="D109" s="7" t="s">
        <v>269</v>
      </c>
      <c r="E109" s="7" t="s">
        <v>270</v>
      </c>
      <c r="F109" s="7" t="s">
        <v>63</v>
      </c>
      <c r="G109" s="7" t="s">
        <v>28</v>
      </c>
      <c r="H109" s="7" t="s">
        <v>2663</v>
      </c>
      <c r="I109" s="9">
        <v>2570.8649999999998</v>
      </c>
      <c r="J109" s="7">
        <v>11</v>
      </c>
      <c r="K109" s="11">
        <v>0.5</v>
      </c>
      <c r="L109" s="9">
        <v>-2211.165</v>
      </c>
      <c r="M109" s="7" t="s">
        <v>32</v>
      </c>
      <c r="N109" t="str">
        <v>Bulk Order</v>
      </c>
    </row>
    <row r="110" spans="1:14">
      <c r="A110" s="7" t="s">
        <v>271</v>
      </c>
      <c r="B110" s="8">
        <v>41727</v>
      </c>
      <c r="C110" s="8">
        <v>41730</v>
      </c>
      <c r="D110" s="7" t="s">
        <v>183</v>
      </c>
      <c r="E110" s="7" t="s">
        <v>35</v>
      </c>
      <c r="F110" s="7" t="s">
        <v>142</v>
      </c>
      <c r="G110" s="7" t="s">
        <v>39</v>
      </c>
      <c r="H110" s="7" t="s">
        <v>2661</v>
      </c>
      <c r="I110" s="9">
        <v>31.4</v>
      </c>
      <c r="J110" s="7">
        <v>2</v>
      </c>
      <c r="K110" s="11">
        <v>0</v>
      </c>
      <c r="L110" s="9"/>
      <c r="M110" s="7" t="s">
        <v>17</v>
      </c>
      <c r="N110" t="str">
        <v>Normal Order</v>
      </c>
    </row>
    <row r="111" spans="1:14">
      <c r="A111" s="7" t="s">
        <v>272</v>
      </c>
      <c r="B111" s="8">
        <v>41369</v>
      </c>
      <c r="C111" s="8">
        <v>41369</v>
      </c>
      <c r="D111" s="7" t="s">
        <v>273</v>
      </c>
      <c r="E111" s="7" t="s">
        <v>20</v>
      </c>
      <c r="F111" s="7" t="s">
        <v>63</v>
      </c>
      <c r="G111" s="7" t="s">
        <v>16</v>
      </c>
      <c r="H111" s="7" t="s">
        <v>2655</v>
      </c>
      <c r="I111" s="9">
        <v>2875.77</v>
      </c>
      <c r="J111" s="7">
        <v>9</v>
      </c>
      <c r="K111" s="11">
        <v>0.5</v>
      </c>
      <c r="L111" s="9">
        <v>-1783.08</v>
      </c>
      <c r="M111" s="7" t="s">
        <v>32</v>
      </c>
      <c r="N111" t="str">
        <v>Bulk Order</v>
      </c>
    </row>
    <row r="112" spans="1:14">
      <c r="A112" s="7" t="s">
        <v>274</v>
      </c>
      <c r="B112" s="7" t="s">
        <v>275</v>
      </c>
      <c r="C112" s="8">
        <v>41636</v>
      </c>
      <c r="D112" s="7" t="s">
        <v>276</v>
      </c>
      <c r="E112" s="7" t="s">
        <v>186</v>
      </c>
      <c r="F112" s="7" t="s">
        <v>68</v>
      </c>
      <c r="G112" s="7" t="s">
        <v>28</v>
      </c>
      <c r="H112" s="7" t="s">
        <v>2662</v>
      </c>
      <c r="I112" s="9">
        <v>1741.8</v>
      </c>
      <c r="J112" s="7"/>
      <c r="K112" s="11">
        <v>0</v>
      </c>
      <c r="L112" s="9">
        <v>261.24</v>
      </c>
      <c r="M112" s="7" t="s">
        <v>23</v>
      </c>
      <c r="N112" t="str">
        <v>Normal Order</v>
      </c>
    </row>
    <row r="113" spans="1:14">
      <c r="A113" s="7" t="s">
        <v>277</v>
      </c>
      <c r="B113" s="8">
        <v>41747</v>
      </c>
      <c r="C113" s="8">
        <v>41748</v>
      </c>
      <c r="D113" s="7" t="s">
        <v>278</v>
      </c>
      <c r="E113" s="7" t="s">
        <v>14</v>
      </c>
      <c r="F113" s="7" t="s">
        <v>15</v>
      </c>
      <c r="G113" s="7" t="s">
        <v>16</v>
      </c>
      <c r="H113" s="7" t="s">
        <v>2656</v>
      </c>
      <c r="I113" s="9">
        <v>1601.64</v>
      </c>
      <c r="J113" s="7">
        <v>5</v>
      </c>
      <c r="K113" s="11">
        <v>0.1</v>
      </c>
      <c r="L113" s="9">
        <v>587.18999999999903</v>
      </c>
      <c r="M113" s="7" t="s">
        <v>23</v>
      </c>
      <c r="N113" t="str">
        <v>Normal Order</v>
      </c>
    </row>
    <row r="114" spans="1:14">
      <c r="A114" s="7" t="s">
        <v>279</v>
      </c>
      <c r="B114" s="8">
        <v>41052</v>
      </c>
      <c r="C114" s="8">
        <v>41054</v>
      </c>
      <c r="D114" s="7" t="s">
        <v>280</v>
      </c>
      <c r="E114" s="7" t="s">
        <v>58</v>
      </c>
      <c r="F114" s="7" t="s">
        <v>81</v>
      </c>
      <c r="G114" s="7" t="s">
        <v>39</v>
      </c>
      <c r="H114" s="7" t="s">
        <v>2663</v>
      </c>
      <c r="I114" s="9">
        <v>3670.7999999999902</v>
      </c>
      <c r="J114" s="7">
        <v>7</v>
      </c>
      <c r="K114" s="11"/>
      <c r="L114" s="9">
        <v>367.08</v>
      </c>
      <c r="M114" s="7" t="s">
        <v>32</v>
      </c>
      <c r="N114" t="str">
        <v>Bulk Order</v>
      </c>
    </row>
    <row r="115" spans="1:14">
      <c r="A115" s="7" t="s">
        <v>281</v>
      </c>
      <c r="B115" s="8">
        <v>42218</v>
      </c>
      <c r="C115" s="8">
        <v>42224</v>
      </c>
      <c r="D115" s="7" t="s">
        <v>183</v>
      </c>
      <c r="E115" s="7" t="s">
        <v>35</v>
      </c>
      <c r="F115" s="7" t="s">
        <v>36</v>
      </c>
      <c r="G115" s="7"/>
      <c r="H115" s="7" t="s">
        <v>2657</v>
      </c>
      <c r="I115" s="9">
        <v>36.287999999999997</v>
      </c>
      <c r="J115" s="7">
        <v>7</v>
      </c>
      <c r="K115" s="11">
        <v>0.2</v>
      </c>
      <c r="L115" s="9">
        <v>12.700799999999999</v>
      </c>
      <c r="M115" s="7" t="s">
        <v>17</v>
      </c>
      <c r="N115" t="str">
        <v>Bulk Order</v>
      </c>
    </row>
    <row r="116" spans="1:14">
      <c r="A116" s="7"/>
      <c r="B116" s="8">
        <v>41775</v>
      </c>
      <c r="C116" s="8">
        <v>41779</v>
      </c>
      <c r="D116" s="7" t="s">
        <v>282</v>
      </c>
      <c r="E116" s="7" t="s">
        <v>20</v>
      </c>
      <c r="F116" s="7" t="s">
        <v>63</v>
      </c>
      <c r="G116" s="7" t="s">
        <v>16</v>
      </c>
      <c r="H116" s="7" t="s">
        <v>2661</v>
      </c>
      <c r="I116" s="9">
        <v>1900.95</v>
      </c>
      <c r="J116" s="7">
        <v>5</v>
      </c>
      <c r="K116" s="11">
        <v>0</v>
      </c>
      <c r="L116" s="9">
        <v>589.20000000000005</v>
      </c>
      <c r="M116" s="7" t="s">
        <v>32</v>
      </c>
      <c r="N116" t="str">
        <v>Normal Order</v>
      </c>
    </row>
    <row r="117" spans="1:14">
      <c r="A117" s="7" t="s">
        <v>182</v>
      </c>
      <c r="B117" s="8">
        <v>42007</v>
      </c>
      <c r="C117" s="8">
        <v>42009</v>
      </c>
      <c r="D117" s="7" t="s">
        <v>183</v>
      </c>
      <c r="E117" s="7" t="s">
        <v>35</v>
      </c>
      <c r="F117" s="7" t="s">
        <v>142</v>
      </c>
      <c r="G117" s="7" t="s">
        <v>39</v>
      </c>
      <c r="H117" s="7" t="s">
        <v>2662</v>
      </c>
      <c r="I117" s="9">
        <v>15.66</v>
      </c>
      <c r="J117" s="7">
        <v>5</v>
      </c>
      <c r="K117" s="11">
        <v>0.7</v>
      </c>
      <c r="L117" s="9">
        <v>-12.527999999999899</v>
      </c>
      <c r="M117" s="7" t="s">
        <v>32</v>
      </c>
      <c r="N117" t="str">
        <v>Normal Order</v>
      </c>
    </row>
    <row r="118" spans="1:14">
      <c r="A118" s="7" t="s">
        <v>284</v>
      </c>
      <c r="B118" s="8">
        <v>40955</v>
      </c>
      <c r="C118" s="8">
        <v>40958</v>
      </c>
      <c r="D118" s="7" t="s">
        <v>285</v>
      </c>
      <c r="E118" s="7" t="s">
        <v>62</v>
      </c>
      <c r="F118" s="7" t="s">
        <v>63</v>
      </c>
      <c r="G118" s="7" t="s">
        <v>28</v>
      </c>
      <c r="H118" s="7" t="s">
        <v>2657</v>
      </c>
      <c r="I118" s="9">
        <v>4544.0999999999904</v>
      </c>
      <c r="J118" s="7">
        <v>11</v>
      </c>
      <c r="K118" s="11">
        <v>0.1</v>
      </c>
      <c r="L118" s="9">
        <v>1868.1299999999901</v>
      </c>
      <c r="M118" s="7" t="s">
        <v>17</v>
      </c>
      <c r="N118" t="str">
        <v>Bulk Order</v>
      </c>
    </row>
    <row r="119" spans="1:14">
      <c r="A119" s="7" t="s">
        <v>286</v>
      </c>
      <c r="B119" s="8">
        <v>41790</v>
      </c>
      <c r="C119" s="8">
        <v>41792</v>
      </c>
      <c r="D119" s="7" t="s">
        <v>287</v>
      </c>
      <c r="E119" s="7" t="s">
        <v>58</v>
      </c>
      <c r="F119" s="7" t="s">
        <v>81</v>
      </c>
      <c r="G119" s="7" t="s">
        <v>28</v>
      </c>
      <c r="H119" s="7" t="s">
        <v>2664</v>
      </c>
      <c r="I119" s="9">
        <v>1455.12</v>
      </c>
      <c r="J119" s="7">
        <v>4</v>
      </c>
      <c r="K119" s="11">
        <v>0</v>
      </c>
      <c r="L119" s="9">
        <v>116.399999999999</v>
      </c>
      <c r="M119" s="7" t="s">
        <v>23</v>
      </c>
      <c r="N119" t="str">
        <v>Normal Order</v>
      </c>
    </row>
    <row r="120" spans="1:14">
      <c r="A120" s="7" t="s">
        <v>288</v>
      </c>
      <c r="B120" s="8">
        <v>41913</v>
      </c>
      <c r="C120" s="8">
        <v>41914</v>
      </c>
      <c r="D120" s="7" t="s">
        <v>289</v>
      </c>
      <c r="E120" s="7" t="s">
        <v>14</v>
      </c>
      <c r="F120" s="7" t="s">
        <v>15</v>
      </c>
      <c r="G120" s="7" t="s">
        <v>16</v>
      </c>
      <c r="H120" s="7" t="s">
        <v>2655</v>
      </c>
      <c r="I120" s="9">
        <v>1943.19</v>
      </c>
      <c r="J120" s="7">
        <v>6</v>
      </c>
      <c r="K120" s="11">
        <v>0.1</v>
      </c>
      <c r="L120" s="9">
        <v>258.93</v>
      </c>
      <c r="M120" s="7" t="s">
        <v>32</v>
      </c>
      <c r="N120" t="str">
        <v>Bulk Order</v>
      </c>
    </row>
    <row r="121" spans="1:14">
      <c r="A121" s="7" t="s">
        <v>290</v>
      </c>
      <c r="B121" s="8">
        <v>42315</v>
      </c>
      <c r="C121" s="8">
        <v>42322</v>
      </c>
      <c r="D121" s="7" t="s">
        <v>264</v>
      </c>
      <c r="E121" s="7" t="s">
        <v>291</v>
      </c>
      <c r="F121" s="7" t="s">
        <v>38</v>
      </c>
      <c r="G121" s="7" t="s">
        <v>28</v>
      </c>
      <c r="H121" s="7" t="s">
        <v>2663</v>
      </c>
      <c r="I121" s="9">
        <v>2036.86</v>
      </c>
      <c r="J121" s="7">
        <v>7</v>
      </c>
      <c r="K121" s="11">
        <v>0</v>
      </c>
      <c r="L121" s="9">
        <v>366.63479999999902</v>
      </c>
      <c r="M121" s="7" t="s">
        <v>65</v>
      </c>
      <c r="N121" t="str">
        <v>Bulk Order</v>
      </c>
    </row>
    <row r="122" spans="1:14">
      <c r="A122" s="7" t="s">
        <v>292</v>
      </c>
      <c r="B122" s="8">
        <v>41884</v>
      </c>
      <c r="C122" s="8">
        <v>41886</v>
      </c>
      <c r="D122" s="7" t="s">
        <v>264</v>
      </c>
      <c r="E122" s="7" t="s">
        <v>35</v>
      </c>
      <c r="F122" s="7" t="s">
        <v>102</v>
      </c>
      <c r="G122" s="7" t="s">
        <v>39</v>
      </c>
      <c r="H122" s="7" t="s">
        <v>2657</v>
      </c>
      <c r="I122" s="9" t="s">
        <v>152</v>
      </c>
      <c r="J122" s="7">
        <v>4</v>
      </c>
      <c r="K122" s="11">
        <v>0.2</v>
      </c>
      <c r="L122" s="9">
        <v>1415.4295999999899</v>
      </c>
      <c r="M122" s="7" t="s">
        <v>23</v>
      </c>
      <c r="N122" t="str">
        <v>Normal Order</v>
      </c>
    </row>
    <row r="123" spans="1:14">
      <c r="A123" s="7" t="s">
        <v>293</v>
      </c>
      <c r="B123" s="8">
        <v>41984</v>
      </c>
      <c r="C123" s="8">
        <v>41987</v>
      </c>
      <c r="D123" s="7" t="s">
        <v>80</v>
      </c>
      <c r="E123" s="7" t="s">
        <v>14</v>
      </c>
      <c r="F123" s="7" t="s">
        <v>15</v>
      </c>
      <c r="G123" s="7" t="s">
        <v>16</v>
      </c>
      <c r="H123" s="7" t="s">
        <v>2662</v>
      </c>
      <c r="I123" s="9">
        <v>1695.87</v>
      </c>
      <c r="J123" s="7">
        <v>5</v>
      </c>
      <c r="K123" s="11">
        <v>0.1</v>
      </c>
      <c r="L123" s="9">
        <v>-37.83</v>
      </c>
      <c r="M123" s="7" t="s">
        <v>23</v>
      </c>
      <c r="N123" t="str">
        <v>Normal Order</v>
      </c>
    </row>
    <row r="124" spans="1:14">
      <c r="A124" s="7" t="s">
        <v>294</v>
      </c>
      <c r="B124" s="8">
        <v>42081</v>
      </c>
      <c r="C124" s="7" t="s">
        <v>295</v>
      </c>
      <c r="D124" s="7" t="s">
        <v>229</v>
      </c>
      <c r="E124" s="7" t="s">
        <v>62</v>
      </c>
      <c r="F124" s="7" t="s">
        <v>63</v>
      </c>
      <c r="G124" s="7" t="s">
        <v>16</v>
      </c>
      <c r="H124" s="7" t="s">
        <v>2659</v>
      </c>
      <c r="I124" s="9">
        <v>1505.97899999999</v>
      </c>
      <c r="J124" s="7">
        <v>6</v>
      </c>
      <c r="K124" s="11">
        <v>0.15</v>
      </c>
      <c r="L124" s="9">
        <v>-265.760999999999</v>
      </c>
      <c r="M124" s="7" t="s">
        <v>23</v>
      </c>
      <c r="N124" t="str">
        <v>Bulk Order</v>
      </c>
    </row>
    <row r="125" spans="1:14">
      <c r="A125" s="7" t="s">
        <v>296</v>
      </c>
      <c r="B125" s="8">
        <v>42357</v>
      </c>
      <c r="C125" s="8">
        <v>42358</v>
      </c>
      <c r="D125" s="7" t="s">
        <v>297</v>
      </c>
      <c r="E125" s="7" t="s">
        <v>298</v>
      </c>
      <c r="F125" s="7" t="s">
        <v>132</v>
      </c>
      <c r="G125" s="7" t="s">
        <v>16</v>
      </c>
      <c r="H125" s="7" t="s">
        <v>2657</v>
      </c>
      <c r="I125" s="9">
        <v>1954.17</v>
      </c>
      <c r="J125" s="7">
        <v>3</v>
      </c>
      <c r="K125" s="11">
        <v>0</v>
      </c>
      <c r="L125" s="9">
        <v>312.659999999999</v>
      </c>
      <c r="M125" s="7" t="s">
        <v>23</v>
      </c>
      <c r="N125" t="str">
        <v>Normal Order</v>
      </c>
    </row>
    <row r="126" spans="1:14">
      <c r="A126" s="7" t="s">
        <v>290</v>
      </c>
      <c r="B126" s="8">
        <v>42315</v>
      </c>
      <c r="C126" s="8">
        <v>42322</v>
      </c>
      <c r="D126" s="7" t="s">
        <v>264</v>
      </c>
      <c r="E126" s="7" t="s">
        <v>35</v>
      </c>
      <c r="F126" s="7" t="s">
        <v>38</v>
      </c>
      <c r="G126" s="7" t="s">
        <v>28</v>
      </c>
      <c r="H126" s="7" t="s">
        <v>2657</v>
      </c>
      <c r="I126" s="9">
        <v>449.56799999999998</v>
      </c>
      <c r="J126" s="7">
        <v>2</v>
      </c>
      <c r="K126" s="11">
        <v>0.2</v>
      </c>
      <c r="L126" s="9">
        <v>-73.0548</v>
      </c>
      <c r="M126" s="7" t="s">
        <v>65</v>
      </c>
      <c r="N126" t="str">
        <v>Normal Order</v>
      </c>
    </row>
    <row r="127" spans="1:14">
      <c r="A127" s="7" t="s">
        <v>299</v>
      </c>
      <c r="B127" s="7" t="s">
        <v>300</v>
      </c>
      <c r="C127" s="8">
        <v>41717</v>
      </c>
      <c r="D127" s="7" t="s">
        <v>264</v>
      </c>
      <c r="E127" s="7" t="s">
        <v>35</v>
      </c>
      <c r="F127" s="7" t="s">
        <v>142</v>
      </c>
      <c r="G127" s="7" t="s">
        <v>39</v>
      </c>
      <c r="H127" s="7" t="s">
        <v>2656</v>
      </c>
      <c r="I127" s="9">
        <v>160.32</v>
      </c>
      <c r="J127" s="7">
        <v>2</v>
      </c>
      <c r="K127" s="11">
        <v>0</v>
      </c>
      <c r="L127" s="9">
        <v>291.20200743633302</v>
      </c>
      <c r="M127" s="7" t="s">
        <v>17</v>
      </c>
      <c r="N127" t="str">
        <v>Normal Order</v>
      </c>
    </row>
    <row r="128" spans="1:14">
      <c r="A128" s="7"/>
      <c r="B128" s="8">
        <v>42315</v>
      </c>
      <c r="C128" s="8">
        <v>42322</v>
      </c>
      <c r="D128" s="7"/>
      <c r="E128" s="7"/>
      <c r="F128" s="7" t="s">
        <v>38</v>
      </c>
      <c r="G128" s="7" t="s">
        <v>16</v>
      </c>
      <c r="H128" s="7" t="s">
        <v>2658</v>
      </c>
      <c r="I128" s="9">
        <v>108.96</v>
      </c>
      <c r="J128" s="7"/>
      <c r="K128" s="11">
        <v>0</v>
      </c>
      <c r="L128" s="9">
        <v>32.687999999999903</v>
      </c>
      <c r="M128" s="7" t="s">
        <v>65</v>
      </c>
      <c r="N128" t="str">
        <v>Normal Order</v>
      </c>
    </row>
    <row r="129" spans="1:14">
      <c r="A129" s="7" t="s">
        <v>301</v>
      </c>
      <c r="B129" s="8">
        <v>42265</v>
      </c>
      <c r="C129" s="8">
        <v>42265</v>
      </c>
      <c r="D129" s="7" t="s">
        <v>302</v>
      </c>
      <c r="E129" s="7" t="s">
        <v>303</v>
      </c>
      <c r="F129" s="7" t="s">
        <v>53</v>
      </c>
      <c r="G129" s="7" t="s">
        <v>16</v>
      </c>
      <c r="H129" s="7" t="s">
        <v>2657</v>
      </c>
      <c r="I129" s="9">
        <v>1213.18876</v>
      </c>
      <c r="J129" s="7">
        <v>7</v>
      </c>
      <c r="K129" s="11">
        <v>2E-3</v>
      </c>
      <c r="L129" s="9">
        <v>508.00876</v>
      </c>
      <c r="M129" s="7" t="s">
        <v>23</v>
      </c>
      <c r="N129" t="str">
        <v>Bulk Order</v>
      </c>
    </row>
    <row r="130" spans="1:14">
      <c r="A130" s="7" t="s">
        <v>304</v>
      </c>
      <c r="B130" s="8">
        <v>41968</v>
      </c>
      <c r="C130" s="8">
        <v>41970</v>
      </c>
      <c r="D130" s="7" t="s">
        <v>305</v>
      </c>
      <c r="E130" s="7" t="s">
        <v>105</v>
      </c>
      <c r="F130" s="7" t="s">
        <v>106</v>
      </c>
      <c r="G130" s="7" t="s">
        <v>16</v>
      </c>
      <c r="H130" s="7" t="s">
        <v>2655</v>
      </c>
      <c r="I130" s="9">
        <v>1590.6</v>
      </c>
      <c r="J130" s="7">
        <v>5</v>
      </c>
      <c r="K130" s="11"/>
      <c r="L130" s="9">
        <v>572.54999999999995</v>
      </c>
      <c r="M130" s="7" t="s">
        <v>23</v>
      </c>
      <c r="N130" t="str">
        <v>Normal Order</v>
      </c>
    </row>
    <row r="131" spans="1:14">
      <c r="A131" s="7"/>
      <c r="B131" s="8">
        <v>41950</v>
      </c>
      <c r="C131" s="8">
        <v>41953</v>
      </c>
      <c r="D131" s="7" t="s">
        <v>306</v>
      </c>
      <c r="E131" s="7" t="s">
        <v>58</v>
      </c>
      <c r="F131" s="7" t="s">
        <v>81</v>
      </c>
      <c r="G131" s="7" t="s">
        <v>16</v>
      </c>
      <c r="H131" s="7" t="s">
        <v>2657</v>
      </c>
      <c r="I131" s="9"/>
      <c r="J131" s="7">
        <v>9</v>
      </c>
      <c r="K131" s="11">
        <v>0</v>
      </c>
      <c r="L131" s="9">
        <v>1025.46</v>
      </c>
      <c r="M131" s="7" t="s">
        <v>23</v>
      </c>
      <c r="N131" t="str">
        <v>Bulk Order</v>
      </c>
    </row>
    <row r="132" spans="1:14">
      <c r="A132" s="7" t="s">
        <v>307</v>
      </c>
      <c r="B132" s="8">
        <v>42204</v>
      </c>
      <c r="C132" s="8">
        <v>42208</v>
      </c>
      <c r="D132" s="7" t="s">
        <v>308</v>
      </c>
      <c r="E132" s="7" t="s">
        <v>131</v>
      </c>
      <c r="F132" s="7" t="s">
        <v>132</v>
      </c>
      <c r="G132" s="7" t="s">
        <v>28</v>
      </c>
      <c r="H132" s="7" t="s">
        <v>2657</v>
      </c>
      <c r="I132" s="9">
        <v>3278.5847999999901</v>
      </c>
      <c r="J132" s="7">
        <v>8</v>
      </c>
      <c r="K132" s="11">
        <v>7.0000000000000007E-2</v>
      </c>
      <c r="L132" s="9">
        <v>140.82479999999899</v>
      </c>
      <c r="M132" s="7" t="s">
        <v>32</v>
      </c>
      <c r="N132" t="str">
        <v>Bulk Order</v>
      </c>
    </row>
    <row r="133" spans="1:14">
      <c r="A133" s="7" t="s">
        <v>309</v>
      </c>
      <c r="B133" s="8">
        <v>41502</v>
      </c>
      <c r="C133" s="8">
        <v>41502</v>
      </c>
      <c r="D133" s="7" t="s">
        <v>190</v>
      </c>
      <c r="E133" s="7" t="s">
        <v>310</v>
      </c>
      <c r="F133" s="7" t="s">
        <v>132</v>
      </c>
      <c r="G133" s="7" t="s">
        <v>16</v>
      </c>
      <c r="H133" s="7" t="s">
        <v>2654</v>
      </c>
      <c r="I133" s="9">
        <v>3741.5237999999899</v>
      </c>
      <c r="J133" s="7">
        <v>7</v>
      </c>
      <c r="K133" s="11">
        <v>0.17</v>
      </c>
      <c r="L133" s="9">
        <v>946.63379999999904</v>
      </c>
      <c r="M133" s="7" t="s">
        <v>32</v>
      </c>
      <c r="N133" t="str">
        <v>Bulk Order</v>
      </c>
    </row>
    <row r="134" spans="1:14">
      <c r="A134" s="7"/>
      <c r="B134" s="8">
        <v>42314</v>
      </c>
      <c r="C134" s="8">
        <v>42316</v>
      </c>
      <c r="D134" s="7" t="s">
        <v>264</v>
      </c>
      <c r="E134" s="7" t="s">
        <v>35</v>
      </c>
      <c r="F134" s="7" t="s">
        <v>36</v>
      </c>
      <c r="G134" s="7" t="s">
        <v>39</v>
      </c>
      <c r="H134" s="7" t="s">
        <v>2663</v>
      </c>
      <c r="I134" s="9">
        <v>67.8</v>
      </c>
      <c r="J134" s="7">
        <v>10</v>
      </c>
      <c r="K134" s="11">
        <v>0</v>
      </c>
      <c r="L134" s="9">
        <v>31.187999999999999</v>
      </c>
      <c r="M134" s="7" t="s">
        <v>32</v>
      </c>
      <c r="N134" t="str">
        <v>Bulk Order</v>
      </c>
    </row>
    <row r="135" spans="1:14">
      <c r="A135" s="7" t="s">
        <v>311</v>
      </c>
      <c r="B135" s="8">
        <v>41284</v>
      </c>
      <c r="C135" s="8">
        <v>41288</v>
      </c>
      <c r="D135" s="7" t="s">
        <v>248</v>
      </c>
      <c r="E135" s="7" t="s">
        <v>131</v>
      </c>
      <c r="F135" s="7" t="s">
        <v>132</v>
      </c>
      <c r="G135" s="7" t="s">
        <v>28</v>
      </c>
      <c r="H135" s="7" t="s">
        <v>2656</v>
      </c>
      <c r="I135" s="9">
        <v>3637.6019999999899</v>
      </c>
      <c r="J135" s="7">
        <v>10</v>
      </c>
      <c r="K135" s="11">
        <v>7.0000000000000007E-2</v>
      </c>
      <c r="L135" s="9">
        <v>156.40199999999899</v>
      </c>
      <c r="M135" s="7" t="s">
        <v>32</v>
      </c>
      <c r="N135" t="str">
        <v>Bulk Order</v>
      </c>
    </row>
    <row r="136" spans="1:14">
      <c r="A136" s="7" t="s">
        <v>312</v>
      </c>
      <c r="B136" s="8">
        <v>41667</v>
      </c>
      <c r="C136" s="8">
        <v>41669</v>
      </c>
      <c r="D136" s="7"/>
      <c r="E136" s="7" t="s">
        <v>88</v>
      </c>
      <c r="F136" s="7" t="s">
        <v>89</v>
      </c>
      <c r="G136" s="7" t="s">
        <v>39</v>
      </c>
      <c r="H136" s="7" t="s">
        <v>2655</v>
      </c>
      <c r="I136" s="9" t="s">
        <v>152</v>
      </c>
      <c r="J136" s="7"/>
      <c r="K136" s="11">
        <v>0</v>
      </c>
      <c r="L136" s="9">
        <v>785.81999999999903</v>
      </c>
      <c r="M136" s="7" t="s">
        <v>17</v>
      </c>
      <c r="N136" t="str">
        <v>Normal Order</v>
      </c>
    </row>
    <row r="137" spans="1:14">
      <c r="A137" s="7" t="s">
        <v>313</v>
      </c>
      <c r="B137" s="8">
        <v>41439</v>
      </c>
      <c r="C137" s="8">
        <v>41442</v>
      </c>
      <c r="D137" s="7" t="s">
        <v>34</v>
      </c>
      <c r="E137" s="7" t="s">
        <v>58</v>
      </c>
      <c r="F137" s="7"/>
      <c r="G137" s="7" t="s">
        <v>16</v>
      </c>
      <c r="H137" s="7" t="s">
        <v>2663</v>
      </c>
      <c r="I137" s="9">
        <v>1024.68</v>
      </c>
      <c r="J137" s="7">
        <v>8</v>
      </c>
      <c r="K137" s="11">
        <v>0.5</v>
      </c>
      <c r="L137" s="9"/>
      <c r="M137" s="7"/>
      <c r="N137" t="str">
        <v>Bulk Order</v>
      </c>
    </row>
    <row r="138" spans="1:14">
      <c r="A138" s="7" t="s">
        <v>314</v>
      </c>
      <c r="B138" s="7"/>
      <c r="C138" s="8">
        <v>42316</v>
      </c>
      <c r="D138" s="7" t="s">
        <v>264</v>
      </c>
      <c r="E138" s="7" t="s">
        <v>35</v>
      </c>
      <c r="F138" s="7" t="s">
        <v>36</v>
      </c>
      <c r="G138" s="7" t="s">
        <v>39</v>
      </c>
      <c r="H138" s="7" t="s">
        <v>2661</v>
      </c>
      <c r="I138" s="9">
        <v>167.94</v>
      </c>
      <c r="J138" s="7">
        <v>3</v>
      </c>
      <c r="K138" s="11">
        <v>0</v>
      </c>
      <c r="L138" s="9">
        <v>82.290599999999998</v>
      </c>
      <c r="M138" s="7" t="s">
        <v>32</v>
      </c>
      <c r="N138" t="str">
        <v>Normal Order</v>
      </c>
    </row>
    <row r="139" spans="1:14">
      <c r="A139" s="7" t="s">
        <v>292</v>
      </c>
      <c r="B139" s="8">
        <v>41884</v>
      </c>
      <c r="C139" s="8">
        <v>41886</v>
      </c>
      <c r="D139" s="7" t="s">
        <v>264</v>
      </c>
      <c r="E139" s="7" t="s">
        <v>35</v>
      </c>
      <c r="F139" s="7" t="s">
        <v>102</v>
      </c>
      <c r="G139" s="7" t="s">
        <v>39</v>
      </c>
      <c r="H139" s="7" t="s">
        <v>2662</v>
      </c>
      <c r="I139" s="9"/>
      <c r="J139" s="7">
        <v>2</v>
      </c>
      <c r="K139" s="11">
        <v>0</v>
      </c>
      <c r="L139" s="9">
        <v>83.822606763171294</v>
      </c>
      <c r="M139" s="7" t="s">
        <v>23</v>
      </c>
      <c r="N139" t="str">
        <v>Normal Order</v>
      </c>
    </row>
    <row r="140" spans="1:14">
      <c r="A140" s="7" t="s">
        <v>315</v>
      </c>
      <c r="B140" s="8">
        <v>41614</v>
      </c>
      <c r="C140" s="8">
        <v>41616</v>
      </c>
      <c r="D140" s="7" t="s">
        <v>316</v>
      </c>
      <c r="E140" s="7" t="s">
        <v>52</v>
      </c>
      <c r="F140" s="7" t="s">
        <v>53</v>
      </c>
      <c r="G140" s="7" t="s">
        <v>16</v>
      </c>
      <c r="H140" s="7" t="s">
        <v>2655</v>
      </c>
      <c r="I140" s="9">
        <v>2297.96</v>
      </c>
      <c r="J140" s="7">
        <v>14</v>
      </c>
      <c r="K140" s="11">
        <v>0</v>
      </c>
      <c r="L140" s="9">
        <v>988.11999999999898</v>
      </c>
      <c r="M140" s="7" t="s">
        <v>32</v>
      </c>
      <c r="N140" t="str">
        <v>Bulk Order</v>
      </c>
    </row>
    <row r="141" spans="1:14">
      <c r="A141" s="7" t="s">
        <v>317</v>
      </c>
      <c r="B141" s="8">
        <v>41887</v>
      </c>
      <c r="C141" s="8">
        <v>41889</v>
      </c>
      <c r="D141" s="7" t="s">
        <v>318</v>
      </c>
      <c r="E141" s="7" t="s">
        <v>67</v>
      </c>
      <c r="F141" s="7" t="s">
        <v>68</v>
      </c>
      <c r="G141" s="7" t="s">
        <v>16</v>
      </c>
      <c r="H141" s="7" t="s">
        <v>2662</v>
      </c>
      <c r="I141" s="9">
        <v>2671.41</v>
      </c>
      <c r="J141" s="7">
        <v>7</v>
      </c>
      <c r="K141" s="11">
        <v>0</v>
      </c>
      <c r="L141" s="9"/>
      <c r="M141" s="7" t="s">
        <v>32</v>
      </c>
      <c r="N141" t="str">
        <v>Bulk Order</v>
      </c>
    </row>
    <row r="142" spans="1:14">
      <c r="A142" s="7" t="s">
        <v>319</v>
      </c>
      <c r="B142" s="8">
        <v>42265</v>
      </c>
      <c r="C142" s="8">
        <v>42267</v>
      </c>
      <c r="D142" s="7" t="s">
        <v>320</v>
      </c>
      <c r="E142" s="7" t="s">
        <v>321</v>
      </c>
      <c r="F142" s="7" t="s">
        <v>75</v>
      </c>
      <c r="G142" s="7" t="s">
        <v>16</v>
      </c>
      <c r="H142" s="7" t="s">
        <v>2654</v>
      </c>
      <c r="I142" s="9">
        <v>3834</v>
      </c>
      <c r="J142" s="7">
        <v>6</v>
      </c>
      <c r="K142" s="11">
        <v>0</v>
      </c>
      <c r="L142" s="9">
        <v>268.38</v>
      </c>
      <c r="M142" s="7" t="s">
        <v>32</v>
      </c>
      <c r="N142" t="str">
        <v>Bulk Order</v>
      </c>
    </row>
    <row r="143" spans="1:14">
      <c r="A143" s="7" t="s">
        <v>292</v>
      </c>
      <c r="B143" s="8">
        <v>41884</v>
      </c>
      <c r="C143" s="8">
        <v>41886</v>
      </c>
      <c r="D143" s="7" t="s">
        <v>264</v>
      </c>
      <c r="E143" s="7" t="s">
        <v>322</v>
      </c>
      <c r="F143" s="7" t="s">
        <v>102</v>
      </c>
      <c r="G143" s="7" t="s">
        <v>39</v>
      </c>
      <c r="H143" s="7" t="s">
        <v>2657</v>
      </c>
      <c r="I143" s="9">
        <v>49.12</v>
      </c>
      <c r="J143" s="7">
        <v>4</v>
      </c>
      <c r="K143" s="11">
        <v>0</v>
      </c>
      <c r="L143" s="9">
        <v>23.086399999999902</v>
      </c>
      <c r="M143" s="7" t="s">
        <v>23</v>
      </c>
      <c r="N143" t="str">
        <v>Normal Order</v>
      </c>
    </row>
    <row r="144" spans="1:14">
      <c r="A144" s="7" t="s">
        <v>323</v>
      </c>
      <c r="B144" s="8">
        <v>41489</v>
      </c>
      <c r="C144" s="8">
        <v>41494</v>
      </c>
      <c r="D144" s="7" t="s">
        <v>324</v>
      </c>
      <c r="E144" s="7" t="s">
        <v>131</v>
      </c>
      <c r="F144" s="7" t="s">
        <v>132</v>
      </c>
      <c r="G144" s="7" t="s">
        <v>39</v>
      </c>
      <c r="H144" s="7" t="s">
        <v>2656</v>
      </c>
      <c r="I144" s="9">
        <v>3501.7367999999901</v>
      </c>
      <c r="J144" s="7">
        <v>8</v>
      </c>
      <c r="K144" s="11">
        <v>0.17</v>
      </c>
      <c r="L144" s="9">
        <v>210.85679999999999</v>
      </c>
      <c r="M144" s="7" t="s">
        <v>32</v>
      </c>
      <c r="N144" t="str">
        <v>Bulk Order</v>
      </c>
    </row>
    <row r="145" spans="1:14">
      <c r="A145" s="7" t="s">
        <v>325</v>
      </c>
      <c r="B145" s="7"/>
      <c r="C145" s="8">
        <v>42349</v>
      </c>
      <c r="D145" s="7" t="s">
        <v>326</v>
      </c>
      <c r="E145" s="7" t="s">
        <v>14</v>
      </c>
      <c r="F145" s="7" t="s">
        <v>15</v>
      </c>
      <c r="G145" s="7" t="s">
        <v>16</v>
      </c>
      <c r="H145" s="7" t="s">
        <v>2655</v>
      </c>
      <c r="I145" s="9">
        <v>1725.462</v>
      </c>
      <c r="J145" s="7">
        <v>3</v>
      </c>
      <c r="K145" s="11">
        <v>0.1</v>
      </c>
      <c r="L145" s="9">
        <v>747.61199999999997</v>
      </c>
      <c r="M145" s="7" t="s">
        <v>32</v>
      </c>
      <c r="N145" t="str">
        <v>Normal Order</v>
      </c>
    </row>
    <row r="146" spans="1:14">
      <c r="A146" s="7" t="s">
        <v>327</v>
      </c>
      <c r="B146" s="8">
        <v>41572</v>
      </c>
      <c r="C146" s="8">
        <v>41575</v>
      </c>
      <c r="D146" s="7" t="s">
        <v>328</v>
      </c>
      <c r="E146" s="7" t="s">
        <v>58</v>
      </c>
      <c r="F146" s="7" t="s">
        <v>81</v>
      </c>
      <c r="G146" s="7" t="s">
        <v>16</v>
      </c>
      <c r="H146" s="7" t="s">
        <v>2661</v>
      </c>
      <c r="I146" s="9">
        <v>1583.7</v>
      </c>
      <c r="J146" s="7">
        <v>5</v>
      </c>
      <c r="K146" s="11">
        <v>0</v>
      </c>
      <c r="L146" s="9">
        <v>174.14999999999901</v>
      </c>
      <c r="M146" s="7" t="s">
        <v>23</v>
      </c>
      <c r="N146" t="str">
        <v>Normal Order</v>
      </c>
    </row>
    <row r="147" spans="1:14">
      <c r="A147" s="7" t="s">
        <v>329</v>
      </c>
      <c r="B147" s="8">
        <v>42132</v>
      </c>
      <c r="C147" s="8">
        <v>42137</v>
      </c>
      <c r="D147" s="7"/>
      <c r="E147" s="7" t="s">
        <v>35</v>
      </c>
      <c r="F147" s="7" t="s">
        <v>38</v>
      </c>
      <c r="G147" s="7" t="s">
        <v>16</v>
      </c>
      <c r="H147" s="7" t="s">
        <v>2656</v>
      </c>
      <c r="I147" s="9">
        <v>79.989999999999995</v>
      </c>
      <c r="J147" s="7">
        <v>1</v>
      </c>
      <c r="K147" s="11">
        <v>0</v>
      </c>
      <c r="L147" s="9">
        <v>28.796399999999998</v>
      </c>
      <c r="M147" s="7" t="s">
        <v>330</v>
      </c>
      <c r="N147" t="str">
        <v>Normal Order</v>
      </c>
    </row>
    <row r="148" spans="1:14">
      <c r="A148" s="7" t="s">
        <v>331</v>
      </c>
      <c r="B148" s="8">
        <v>41878</v>
      </c>
      <c r="C148" s="8">
        <v>41880</v>
      </c>
      <c r="D148" s="7" t="s">
        <v>332</v>
      </c>
      <c r="E148" s="7" t="s">
        <v>14</v>
      </c>
      <c r="F148" s="7" t="s">
        <v>15</v>
      </c>
      <c r="G148" s="7" t="s">
        <v>28</v>
      </c>
      <c r="H148" s="7" t="s">
        <v>2657</v>
      </c>
      <c r="I148" s="9">
        <v>2760.3449999999998</v>
      </c>
      <c r="J148" s="7">
        <v>7</v>
      </c>
      <c r="K148" s="11">
        <v>0.1</v>
      </c>
      <c r="L148" s="9">
        <v>-214.72499999999999</v>
      </c>
      <c r="M148" s="7" t="s">
        <v>32</v>
      </c>
      <c r="N148" t="str">
        <v>Bulk Order</v>
      </c>
    </row>
    <row r="149" spans="1:14">
      <c r="A149" s="7"/>
      <c r="B149" s="8">
        <v>41041</v>
      </c>
      <c r="C149" s="8">
        <v>41045</v>
      </c>
      <c r="D149" s="7" t="s">
        <v>242</v>
      </c>
      <c r="E149" s="7" t="s">
        <v>173</v>
      </c>
      <c r="F149" s="7" t="s">
        <v>106</v>
      </c>
      <c r="G149" s="7" t="s">
        <v>16</v>
      </c>
      <c r="H149" s="7" t="s">
        <v>2655</v>
      </c>
      <c r="I149" s="9">
        <v>3078.72</v>
      </c>
      <c r="J149" s="7">
        <v>12</v>
      </c>
      <c r="K149" s="11">
        <v>0</v>
      </c>
      <c r="L149" s="9">
        <v>523.07999999999902</v>
      </c>
      <c r="M149" s="7" t="s">
        <v>32</v>
      </c>
      <c r="N149" t="str">
        <v>Bulk Order</v>
      </c>
    </row>
    <row r="150" spans="1:14">
      <c r="A150" s="7" t="s">
        <v>333</v>
      </c>
      <c r="B150" s="8">
        <v>41215</v>
      </c>
      <c r="C150" s="8">
        <v>41218</v>
      </c>
      <c r="D150" s="7" t="s">
        <v>334</v>
      </c>
      <c r="E150" s="7" t="s">
        <v>270</v>
      </c>
      <c r="F150" s="7" t="s">
        <v>98</v>
      </c>
      <c r="G150" s="7" t="s">
        <v>39</v>
      </c>
      <c r="H150" s="7" t="s">
        <v>2663</v>
      </c>
      <c r="I150" s="9">
        <v>1983.135</v>
      </c>
      <c r="J150" s="7"/>
      <c r="K150" s="11">
        <v>0.5</v>
      </c>
      <c r="L150" s="9">
        <v>-1784.895</v>
      </c>
      <c r="M150" s="7" t="s">
        <v>32</v>
      </c>
      <c r="N150" t="str">
        <v>Normal Order</v>
      </c>
    </row>
    <row r="151" spans="1:14">
      <c r="A151" s="7" t="s">
        <v>336</v>
      </c>
      <c r="B151" s="8">
        <v>42218</v>
      </c>
      <c r="C151" s="8">
        <v>42219</v>
      </c>
      <c r="D151" s="7"/>
      <c r="E151" s="7" t="s">
        <v>62</v>
      </c>
      <c r="F151" s="7" t="s">
        <v>63</v>
      </c>
      <c r="G151" s="7" t="s">
        <v>28</v>
      </c>
      <c r="H151" s="7" t="s">
        <v>2654</v>
      </c>
      <c r="I151" s="9">
        <v>1112.778</v>
      </c>
      <c r="J151" s="7">
        <v>3</v>
      </c>
      <c r="K151" s="11"/>
      <c r="L151" s="9">
        <v>296.65800000000002</v>
      </c>
      <c r="M151" s="7" t="s">
        <v>23</v>
      </c>
      <c r="N151" t="str">
        <v>Normal Order</v>
      </c>
    </row>
    <row r="152" spans="1:14">
      <c r="A152" s="7" t="s">
        <v>337</v>
      </c>
      <c r="B152" s="8">
        <v>41171</v>
      </c>
      <c r="C152" s="7" t="s">
        <v>338</v>
      </c>
      <c r="D152" s="7" t="s">
        <v>267</v>
      </c>
      <c r="E152" s="7" t="s">
        <v>20</v>
      </c>
      <c r="F152" s="7" t="s">
        <v>63</v>
      </c>
      <c r="G152" s="7" t="s">
        <v>16</v>
      </c>
      <c r="H152" s="7" t="s">
        <v>2661</v>
      </c>
      <c r="I152" s="9">
        <v>3616.5</v>
      </c>
      <c r="J152" s="7">
        <v>10</v>
      </c>
      <c r="K152" s="11">
        <v>0</v>
      </c>
      <c r="L152" s="9">
        <v>36</v>
      </c>
      <c r="M152" s="7" t="s">
        <v>23</v>
      </c>
      <c r="N152" t="str">
        <v>Bulk Order</v>
      </c>
    </row>
    <row r="153" spans="1:14">
      <c r="A153" s="7" t="s">
        <v>299</v>
      </c>
      <c r="B153" s="8">
        <v>41712</v>
      </c>
      <c r="C153" s="8">
        <v>41717</v>
      </c>
      <c r="D153" s="7" t="s">
        <v>264</v>
      </c>
      <c r="E153" s="7" t="s">
        <v>322</v>
      </c>
      <c r="F153" s="7" t="s">
        <v>142</v>
      </c>
      <c r="G153" s="7" t="s">
        <v>28</v>
      </c>
      <c r="H153" s="7" t="s">
        <v>2663</v>
      </c>
      <c r="I153" s="9">
        <v>127.88</v>
      </c>
      <c r="J153" s="7">
        <v>2</v>
      </c>
      <c r="K153" s="11">
        <v>0</v>
      </c>
      <c r="L153" s="9">
        <v>40.921599999999998</v>
      </c>
      <c r="M153" s="7" t="s">
        <v>17</v>
      </c>
      <c r="N153" t="str">
        <v>Normal Order</v>
      </c>
    </row>
    <row r="154" spans="1:14">
      <c r="A154" s="7" t="s">
        <v>339</v>
      </c>
      <c r="B154" s="8">
        <v>41709</v>
      </c>
      <c r="C154" s="8">
        <v>41713</v>
      </c>
      <c r="D154" s="7" t="s">
        <v>340</v>
      </c>
      <c r="E154" s="7" t="s">
        <v>14</v>
      </c>
      <c r="F154" s="7" t="s">
        <v>15</v>
      </c>
      <c r="G154" s="7" t="s">
        <v>16</v>
      </c>
      <c r="H154" s="7" t="s">
        <v>2657</v>
      </c>
      <c r="I154" s="9">
        <v>2892.10499999999</v>
      </c>
      <c r="J154" s="7">
        <v>5</v>
      </c>
      <c r="K154" s="11">
        <v>0.1</v>
      </c>
      <c r="L154" s="9">
        <v>160.60499999999999</v>
      </c>
      <c r="M154" s="7" t="s">
        <v>32</v>
      </c>
      <c r="N154" t="str">
        <v>Normal Order</v>
      </c>
    </row>
    <row r="155" spans="1:14">
      <c r="A155" s="7" t="s">
        <v>341</v>
      </c>
      <c r="B155" s="8">
        <v>41306</v>
      </c>
      <c r="C155" s="8">
        <v>41309</v>
      </c>
      <c r="D155" s="7" t="s">
        <v>150</v>
      </c>
      <c r="E155" s="7" t="s">
        <v>20</v>
      </c>
      <c r="F155" s="7" t="s">
        <v>63</v>
      </c>
      <c r="G155" s="7" t="s">
        <v>16</v>
      </c>
      <c r="H155" s="7" t="s">
        <v>2662</v>
      </c>
      <c r="I155" s="9">
        <v>3263.4</v>
      </c>
      <c r="J155" s="7">
        <v>5</v>
      </c>
      <c r="K155" s="11">
        <v>0</v>
      </c>
      <c r="L155" s="9">
        <v>848.4</v>
      </c>
      <c r="M155" s="7" t="s">
        <v>342</v>
      </c>
      <c r="N155" t="str">
        <v>Normal Order</v>
      </c>
    </row>
    <row r="156" spans="1:14">
      <c r="A156" s="7" t="s">
        <v>343</v>
      </c>
      <c r="B156" s="8">
        <v>41712</v>
      </c>
      <c r="C156" s="8">
        <v>41717</v>
      </c>
      <c r="D156" s="7" t="s">
        <v>264</v>
      </c>
      <c r="E156" s="7" t="s">
        <v>35</v>
      </c>
      <c r="F156" s="7" t="s">
        <v>142</v>
      </c>
      <c r="G156" s="7" t="s">
        <v>39</v>
      </c>
      <c r="H156" s="7" t="s">
        <v>2656</v>
      </c>
      <c r="I156" s="9">
        <v>46</v>
      </c>
      <c r="J156" s="7">
        <v>4</v>
      </c>
      <c r="K156" s="11">
        <v>0</v>
      </c>
      <c r="L156" s="9">
        <v>20.7</v>
      </c>
      <c r="M156" s="7" t="s">
        <v>17</v>
      </c>
      <c r="N156" t="str">
        <v>Normal Order</v>
      </c>
    </row>
    <row r="157" spans="1:14">
      <c r="A157" s="7" t="s">
        <v>344</v>
      </c>
      <c r="B157" s="8">
        <v>42103</v>
      </c>
      <c r="C157" s="8">
        <v>42107</v>
      </c>
      <c r="D157" s="7" t="s">
        <v>345</v>
      </c>
      <c r="E157" s="7" t="s">
        <v>346</v>
      </c>
      <c r="F157" s="7" t="s">
        <v>89</v>
      </c>
      <c r="G157" s="7" t="s">
        <v>28</v>
      </c>
      <c r="H157" s="7" t="s">
        <v>2656</v>
      </c>
      <c r="I157" s="9">
        <v>3117.0879999999902</v>
      </c>
      <c r="J157" s="7">
        <v>13</v>
      </c>
      <c r="K157" s="11">
        <v>0.2</v>
      </c>
      <c r="L157" s="9">
        <v>38.948</v>
      </c>
      <c r="M157" s="7" t="s">
        <v>32</v>
      </c>
      <c r="N157" t="str">
        <v>Bulk Order</v>
      </c>
    </row>
    <row r="158" spans="1:14">
      <c r="A158" s="7" t="s">
        <v>347</v>
      </c>
      <c r="B158" s="8">
        <v>41881</v>
      </c>
      <c r="C158" s="8">
        <v>41886</v>
      </c>
      <c r="D158" s="7" t="s">
        <v>264</v>
      </c>
      <c r="E158" s="7" t="s">
        <v>35</v>
      </c>
      <c r="F158" s="7" t="s">
        <v>102</v>
      </c>
      <c r="G158" s="7" t="s">
        <v>39</v>
      </c>
      <c r="H158" s="7" t="s">
        <v>2663</v>
      </c>
      <c r="I158" s="9">
        <v>27.93</v>
      </c>
      <c r="J158" s="7">
        <v>3</v>
      </c>
      <c r="K158" s="11">
        <v>0</v>
      </c>
      <c r="L158" s="9">
        <v>8.0996999999999897</v>
      </c>
      <c r="M158" s="7" t="s">
        <v>17</v>
      </c>
      <c r="N158" t="str">
        <v>Normal Order</v>
      </c>
    </row>
    <row r="159" spans="1:14">
      <c r="A159" s="7" t="s">
        <v>348</v>
      </c>
      <c r="B159" s="8">
        <v>42082</v>
      </c>
      <c r="C159" s="8">
        <v>42084</v>
      </c>
      <c r="D159" s="7" t="s">
        <v>349</v>
      </c>
      <c r="E159" s="7" t="s">
        <v>88</v>
      </c>
      <c r="F159" s="7" t="s">
        <v>89</v>
      </c>
      <c r="G159" s="7" t="s">
        <v>39</v>
      </c>
      <c r="H159" s="7" t="s">
        <v>2658</v>
      </c>
      <c r="I159" s="9">
        <v>1888.7</v>
      </c>
      <c r="J159" s="7">
        <v>5</v>
      </c>
      <c r="K159" s="11">
        <v>0</v>
      </c>
      <c r="L159" s="9">
        <v>887.6</v>
      </c>
      <c r="M159" s="7" t="s">
        <v>32</v>
      </c>
      <c r="N159" t="str">
        <v>Normal Order</v>
      </c>
    </row>
    <row r="160" spans="1:14">
      <c r="A160" s="7" t="s">
        <v>350</v>
      </c>
      <c r="B160" s="8">
        <v>41914</v>
      </c>
      <c r="C160" s="8">
        <v>41916</v>
      </c>
      <c r="D160" s="7" t="s">
        <v>351</v>
      </c>
      <c r="E160" s="7" t="s">
        <v>58</v>
      </c>
      <c r="F160" s="7" t="s">
        <v>81</v>
      </c>
      <c r="G160" s="7" t="s">
        <v>39</v>
      </c>
      <c r="H160" s="7" t="s">
        <v>2662</v>
      </c>
      <c r="I160" s="9">
        <v>3000.7799999999902</v>
      </c>
      <c r="J160" s="7">
        <v>6</v>
      </c>
      <c r="K160" s="11">
        <v>0</v>
      </c>
      <c r="L160" s="9">
        <v>1080.18</v>
      </c>
      <c r="M160" s="7" t="s">
        <v>32</v>
      </c>
      <c r="N160" t="str">
        <v>Bulk Order</v>
      </c>
    </row>
    <row r="161" spans="1:14">
      <c r="A161" s="7" t="s">
        <v>352</v>
      </c>
      <c r="B161" s="8">
        <v>41651</v>
      </c>
      <c r="C161" s="8">
        <v>41654</v>
      </c>
      <c r="D161" s="7"/>
      <c r="E161" s="7" t="s">
        <v>186</v>
      </c>
      <c r="F161" s="7" t="s">
        <v>68</v>
      </c>
      <c r="G161" s="7" t="s">
        <v>39</v>
      </c>
      <c r="H161" s="7" t="s">
        <v>2661</v>
      </c>
      <c r="I161" s="9">
        <v>3801.63</v>
      </c>
      <c r="J161" s="7">
        <v>7</v>
      </c>
      <c r="K161" s="11">
        <v>0</v>
      </c>
      <c r="L161" s="9">
        <v>1444.59</v>
      </c>
      <c r="M161" s="7" t="s">
        <v>17</v>
      </c>
      <c r="N161" t="str">
        <v>Bulk Order</v>
      </c>
    </row>
    <row r="162" spans="1:14">
      <c r="A162" s="7" t="s">
        <v>353</v>
      </c>
      <c r="B162" s="8">
        <v>42236</v>
      </c>
      <c r="C162" s="8">
        <v>42241</v>
      </c>
      <c r="D162" s="7" t="s">
        <v>354</v>
      </c>
      <c r="E162" s="7" t="s">
        <v>48</v>
      </c>
      <c r="F162" s="7" t="s">
        <v>49</v>
      </c>
      <c r="G162" s="7" t="s">
        <v>16</v>
      </c>
      <c r="H162" s="7" t="s">
        <v>2661</v>
      </c>
      <c r="I162" s="9">
        <v>5211.12</v>
      </c>
      <c r="J162" s="7">
        <v>8</v>
      </c>
      <c r="K162" s="11">
        <v>0</v>
      </c>
      <c r="L162" s="9">
        <v>1146.24</v>
      </c>
      <c r="M162" s="7" t="s">
        <v>17</v>
      </c>
      <c r="N162" t="str">
        <v>Bulk Order</v>
      </c>
    </row>
    <row r="163" spans="1:14">
      <c r="A163" s="7" t="s">
        <v>93</v>
      </c>
      <c r="B163" s="8">
        <v>41259</v>
      </c>
      <c r="C163" s="8">
        <v>41262</v>
      </c>
      <c r="D163" s="7" t="s">
        <v>94</v>
      </c>
      <c r="E163" s="7" t="s">
        <v>95</v>
      </c>
      <c r="F163" s="7" t="s">
        <v>81</v>
      </c>
      <c r="G163" s="7"/>
      <c r="H163" s="7" t="s">
        <v>2661</v>
      </c>
      <c r="I163" s="9">
        <v>1356.03</v>
      </c>
      <c r="J163" s="7">
        <v>3</v>
      </c>
      <c r="K163" s="11">
        <v>0</v>
      </c>
      <c r="L163" s="9">
        <v>311.849999999999</v>
      </c>
      <c r="M163" s="7" t="s">
        <v>23</v>
      </c>
      <c r="N163" t="str">
        <v>Normal Order</v>
      </c>
    </row>
    <row r="164" spans="1:14">
      <c r="A164" s="7" t="s">
        <v>355</v>
      </c>
      <c r="B164" s="7" t="s">
        <v>356</v>
      </c>
      <c r="C164" s="8">
        <v>42081</v>
      </c>
      <c r="D164" s="7" t="s">
        <v>357</v>
      </c>
      <c r="E164" s="7" t="s">
        <v>14</v>
      </c>
      <c r="F164" s="7" t="s">
        <v>15</v>
      </c>
      <c r="G164" s="7" t="s">
        <v>39</v>
      </c>
      <c r="H164" s="7" t="s">
        <v>2656</v>
      </c>
      <c r="I164" s="9"/>
      <c r="J164" s="7">
        <v>7</v>
      </c>
      <c r="K164" s="11">
        <v>0.1</v>
      </c>
      <c r="L164" s="9">
        <v>674.16300000000001</v>
      </c>
      <c r="M164" s="7" t="s">
        <v>32</v>
      </c>
      <c r="N164" t="str">
        <v>Bulk Order</v>
      </c>
    </row>
    <row r="165" spans="1:14">
      <c r="A165" s="7" t="s">
        <v>358</v>
      </c>
      <c r="B165" s="8">
        <v>41535</v>
      </c>
      <c r="C165" s="8">
        <v>41541</v>
      </c>
      <c r="D165" s="7" t="s">
        <v>264</v>
      </c>
      <c r="E165" s="7" t="s">
        <v>35</v>
      </c>
      <c r="F165" s="7" t="s">
        <v>38</v>
      </c>
      <c r="G165" s="7" t="s">
        <v>39</v>
      </c>
      <c r="H165" s="7" t="s">
        <v>2658</v>
      </c>
      <c r="I165" s="9">
        <v>18.54</v>
      </c>
      <c r="J165" s="7">
        <v>2</v>
      </c>
      <c r="K165" s="11">
        <v>0</v>
      </c>
      <c r="L165" s="9">
        <v>8.7137999999999902</v>
      </c>
      <c r="M165" s="7" t="s">
        <v>17</v>
      </c>
      <c r="N165" t="str">
        <v>Normal Order</v>
      </c>
    </row>
    <row r="166" spans="1:14">
      <c r="A166" s="7" t="s">
        <v>359</v>
      </c>
      <c r="B166" s="8">
        <v>42194</v>
      </c>
      <c r="C166" s="8">
        <v>42198</v>
      </c>
      <c r="D166" s="7"/>
      <c r="E166" s="7" t="s">
        <v>131</v>
      </c>
      <c r="F166" s="7" t="s">
        <v>132</v>
      </c>
      <c r="G166" s="7" t="s">
        <v>28</v>
      </c>
      <c r="H166" s="7" t="s">
        <v>2661</v>
      </c>
      <c r="I166" s="9">
        <v>2910.08159999999</v>
      </c>
      <c r="J166" s="7">
        <v>8</v>
      </c>
      <c r="K166" s="11">
        <v>7.0000000000000007E-2</v>
      </c>
      <c r="L166" s="9">
        <v>125.12159999999901</v>
      </c>
      <c r="M166" s="7" t="s">
        <v>32</v>
      </c>
      <c r="N166" t="str">
        <v>Bulk Order</v>
      </c>
    </row>
    <row r="167" spans="1:14">
      <c r="A167" s="7" t="s">
        <v>360</v>
      </c>
      <c r="B167" s="8">
        <v>41801</v>
      </c>
      <c r="C167" s="8">
        <v>41805</v>
      </c>
      <c r="D167" s="7" t="s">
        <v>361</v>
      </c>
      <c r="E167" s="7" t="s">
        <v>131</v>
      </c>
      <c r="F167" s="7" t="s">
        <v>132</v>
      </c>
      <c r="G167" s="7" t="s">
        <v>28</v>
      </c>
      <c r="H167" s="7" t="s">
        <v>2654</v>
      </c>
      <c r="I167" s="9">
        <v>3126.40019999999</v>
      </c>
      <c r="J167" s="7">
        <v>9</v>
      </c>
      <c r="K167" s="11">
        <v>0.27</v>
      </c>
      <c r="L167" s="9">
        <v>-128.719799999999</v>
      </c>
      <c r="M167" s="7" t="s">
        <v>32</v>
      </c>
      <c r="N167" t="str">
        <v>Bulk Order</v>
      </c>
    </row>
    <row r="168" spans="1:14">
      <c r="A168" s="7" t="s">
        <v>362</v>
      </c>
      <c r="B168" s="8">
        <v>41130</v>
      </c>
      <c r="C168" s="8">
        <v>41137</v>
      </c>
      <c r="D168" s="7" t="s">
        <v>363</v>
      </c>
      <c r="E168" s="7" t="s">
        <v>84</v>
      </c>
      <c r="F168" s="7" t="s">
        <v>85</v>
      </c>
      <c r="G168" s="7" t="s">
        <v>16</v>
      </c>
      <c r="H168" s="7" t="s">
        <v>2663</v>
      </c>
      <c r="I168" s="9">
        <v>5276.9880000000003</v>
      </c>
      <c r="J168" s="7">
        <v>9</v>
      </c>
      <c r="K168" s="11">
        <v>0.1</v>
      </c>
      <c r="L168" s="9">
        <v>1758.8879999999899</v>
      </c>
      <c r="M168" s="7" t="s">
        <v>17</v>
      </c>
      <c r="N168" t="str">
        <v>Bulk Order</v>
      </c>
    </row>
    <row r="169" spans="1:14">
      <c r="A169" s="7"/>
      <c r="B169" s="8">
        <v>42080</v>
      </c>
      <c r="C169" s="8">
        <v>42084</v>
      </c>
      <c r="D169" s="7" t="s">
        <v>364</v>
      </c>
      <c r="E169" s="7" t="s">
        <v>310</v>
      </c>
      <c r="F169" s="7" t="s">
        <v>132</v>
      </c>
      <c r="G169" s="7" t="s">
        <v>16</v>
      </c>
      <c r="H169" s="7" t="s">
        <v>2655</v>
      </c>
      <c r="I169" s="9">
        <v>2645.3760000000002</v>
      </c>
      <c r="J169" s="7">
        <v>5</v>
      </c>
      <c r="K169" s="11">
        <v>0.17</v>
      </c>
      <c r="L169" s="9">
        <v>-2.4000000000114499E-2</v>
      </c>
      <c r="M169" s="7" t="s">
        <v>32</v>
      </c>
      <c r="N169" t="str">
        <v>Normal Order</v>
      </c>
    </row>
    <row r="170" spans="1:14">
      <c r="A170" s="7" t="s">
        <v>365</v>
      </c>
      <c r="B170" s="8">
        <v>41641</v>
      </c>
      <c r="C170" s="8">
        <v>41642</v>
      </c>
      <c r="D170" s="7" t="s">
        <v>366</v>
      </c>
      <c r="E170" s="7" t="s">
        <v>14</v>
      </c>
      <c r="F170" s="7" t="s">
        <v>15</v>
      </c>
      <c r="G170" s="7" t="s">
        <v>28</v>
      </c>
      <c r="H170" s="7" t="s">
        <v>2656</v>
      </c>
      <c r="I170" s="9">
        <v>1637.01</v>
      </c>
      <c r="J170" s="7">
        <v>5</v>
      </c>
      <c r="K170" s="11">
        <v>0.1</v>
      </c>
      <c r="L170" s="9">
        <v>-36.39</v>
      </c>
      <c r="M170" s="7" t="s">
        <v>17</v>
      </c>
      <c r="N170" t="str">
        <v>Normal Order</v>
      </c>
    </row>
    <row r="171" spans="1:14">
      <c r="A171" s="7" t="s">
        <v>292</v>
      </c>
      <c r="B171" s="8">
        <v>41884</v>
      </c>
      <c r="C171" s="8">
        <v>41886</v>
      </c>
      <c r="D171" s="7" t="s">
        <v>264</v>
      </c>
      <c r="E171" s="7" t="s">
        <v>35</v>
      </c>
      <c r="F171" s="7" t="s">
        <v>102</v>
      </c>
      <c r="G171" s="7" t="s">
        <v>39</v>
      </c>
      <c r="H171" s="7" t="s">
        <v>2656</v>
      </c>
      <c r="I171" s="9">
        <v>3.048</v>
      </c>
      <c r="J171" s="7">
        <v>1</v>
      </c>
      <c r="K171" s="11">
        <v>0.2</v>
      </c>
      <c r="L171" s="9">
        <v>1.0668</v>
      </c>
      <c r="M171" s="7" t="s">
        <v>23</v>
      </c>
      <c r="N171" t="str">
        <v>Normal Order</v>
      </c>
    </row>
    <row r="172" spans="1:14">
      <c r="A172" s="7" t="s">
        <v>367</v>
      </c>
      <c r="B172" s="8">
        <v>41557</v>
      </c>
      <c r="C172" s="8">
        <v>41558</v>
      </c>
      <c r="D172" s="7" t="s">
        <v>368</v>
      </c>
      <c r="E172" s="7"/>
      <c r="F172" s="7" t="s">
        <v>132</v>
      </c>
      <c r="G172" s="7" t="s">
        <v>16</v>
      </c>
      <c r="H172" s="7" t="s">
        <v>2663</v>
      </c>
      <c r="I172" s="9">
        <v>2645.3760000000002</v>
      </c>
      <c r="J172" s="7">
        <v>5</v>
      </c>
      <c r="K172" s="11">
        <v>0.17</v>
      </c>
      <c r="L172" s="9">
        <v>-2.4000000000114499E-2</v>
      </c>
      <c r="M172" s="7" t="s">
        <v>32</v>
      </c>
      <c r="N172" t="str">
        <v>Normal Order</v>
      </c>
    </row>
    <row r="173" spans="1:14">
      <c r="A173" s="7" t="s">
        <v>292</v>
      </c>
      <c r="B173" s="8">
        <v>41884</v>
      </c>
      <c r="C173" s="8">
        <v>41886</v>
      </c>
      <c r="D173" s="7"/>
      <c r="E173" s="7" t="s">
        <v>35</v>
      </c>
      <c r="F173" s="7" t="s">
        <v>102</v>
      </c>
      <c r="G173" s="7" t="s">
        <v>16</v>
      </c>
      <c r="H173" s="7" t="s">
        <v>2662</v>
      </c>
      <c r="I173" s="9">
        <v>6.79</v>
      </c>
      <c r="J173" s="7">
        <v>1</v>
      </c>
      <c r="K173" s="11">
        <v>0</v>
      </c>
      <c r="L173" s="9">
        <v>2.3086000000000002</v>
      </c>
      <c r="M173" s="7" t="s">
        <v>23</v>
      </c>
      <c r="N173" t="str">
        <v>Normal Order</v>
      </c>
    </row>
    <row r="174" spans="1:14">
      <c r="A174" s="7" t="s">
        <v>371</v>
      </c>
      <c r="B174" s="8">
        <v>41076</v>
      </c>
      <c r="C174" s="8">
        <v>41078</v>
      </c>
      <c r="D174" s="7" t="s">
        <v>372</v>
      </c>
      <c r="E174" s="7" t="s">
        <v>58</v>
      </c>
      <c r="F174" s="7" t="s">
        <v>81</v>
      </c>
      <c r="G174" s="7" t="s">
        <v>28</v>
      </c>
      <c r="H174" s="7" t="s">
        <v>2656</v>
      </c>
      <c r="I174" s="9">
        <v>3238.3049999999998</v>
      </c>
      <c r="J174" s="7">
        <v>5</v>
      </c>
      <c r="K174" s="11">
        <v>0.3</v>
      </c>
      <c r="L174" s="9">
        <v>-740.29499999999905</v>
      </c>
      <c r="M174" s="7" t="s">
        <v>32</v>
      </c>
      <c r="N174" t="str">
        <v>Normal Order</v>
      </c>
    </row>
    <row r="175" spans="1:14">
      <c r="A175" s="7" t="s">
        <v>374</v>
      </c>
      <c r="B175" s="8">
        <v>42097</v>
      </c>
      <c r="C175" s="8">
        <v>42099</v>
      </c>
      <c r="D175" s="7" t="s">
        <v>375</v>
      </c>
      <c r="E175" s="7" t="s">
        <v>84</v>
      </c>
      <c r="F175" s="7" t="s">
        <v>85</v>
      </c>
      <c r="G175" s="7" t="s">
        <v>28</v>
      </c>
      <c r="H175" s="7" t="s">
        <v>2656</v>
      </c>
      <c r="I175" s="9">
        <v>2291.8139999999999</v>
      </c>
      <c r="J175" s="7">
        <v>7</v>
      </c>
      <c r="K175" s="11">
        <v>0.1</v>
      </c>
      <c r="L175" s="9"/>
      <c r="M175" s="7" t="s">
        <v>32</v>
      </c>
      <c r="N175" t="str">
        <v>Bulk Order</v>
      </c>
    </row>
    <row r="176" spans="1:14">
      <c r="A176" s="7" t="s">
        <v>376</v>
      </c>
      <c r="B176" s="8">
        <v>41045</v>
      </c>
      <c r="C176" s="8">
        <v>41048</v>
      </c>
      <c r="D176" s="7" t="s">
        <v>377</v>
      </c>
      <c r="E176" s="7" t="s">
        <v>88</v>
      </c>
      <c r="F176" s="7" t="s">
        <v>89</v>
      </c>
      <c r="G176" s="7" t="s">
        <v>16</v>
      </c>
      <c r="H176" s="7" t="s">
        <v>2658</v>
      </c>
      <c r="I176" s="9">
        <v>2124.5</v>
      </c>
      <c r="J176" s="7">
        <v>5</v>
      </c>
      <c r="K176" s="11">
        <v>0</v>
      </c>
      <c r="L176" s="9">
        <v>488.6</v>
      </c>
      <c r="M176" s="7" t="s">
        <v>32</v>
      </c>
      <c r="N176" t="str">
        <v>Normal Order</v>
      </c>
    </row>
    <row r="177" spans="1:14">
      <c r="A177" s="7" t="s">
        <v>378</v>
      </c>
      <c r="B177" s="8">
        <v>42046</v>
      </c>
      <c r="C177" s="8">
        <v>42050</v>
      </c>
      <c r="D177" s="7" t="s">
        <v>250</v>
      </c>
      <c r="E177" s="7" t="s">
        <v>379</v>
      </c>
      <c r="F177" s="7" t="s">
        <v>78</v>
      </c>
      <c r="G177" s="7" t="s">
        <v>28</v>
      </c>
      <c r="H177" s="7" t="s">
        <v>2663</v>
      </c>
      <c r="I177" s="9"/>
      <c r="J177" s="7"/>
      <c r="K177" s="11">
        <v>0</v>
      </c>
      <c r="L177" s="9">
        <v>744.48</v>
      </c>
      <c r="M177" s="7" t="s">
        <v>32</v>
      </c>
      <c r="N177" t="str">
        <v>Normal Order</v>
      </c>
    </row>
    <row r="178" spans="1:14">
      <c r="A178" s="7" t="s">
        <v>381</v>
      </c>
      <c r="B178" s="8">
        <v>41924</v>
      </c>
      <c r="C178" s="8">
        <v>41924</v>
      </c>
      <c r="D178" s="7" t="s">
        <v>382</v>
      </c>
      <c r="E178" s="7" t="s">
        <v>186</v>
      </c>
      <c r="F178" s="7" t="s">
        <v>68</v>
      </c>
      <c r="G178" s="7" t="s">
        <v>16</v>
      </c>
      <c r="H178" s="7" t="s">
        <v>2656</v>
      </c>
      <c r="I178" s="9">
        <v>1549.98</v>
      </c>
      <c r="J178" s="7">
        <v>6</v>
      </c>
      <c r="K178" s="11">
        <v>0</v>
      </c>
      <c r="L178" s="9">
        <v>139.32</v>
      </c>
      <c r="M178" s="7" t="s">
        <v>23</v>
      </c>
      <c r="N178" t="str">
        <v>Bulk Order</v>
      </c>
    </row>
    <row r="179" spans="1:14">
      <c r="A179" s="7" t="s">
        <v>383</v>
      </c>
      <c r="B179" s="8">
        <v>42264</v>
      </c>
      <c r="C179" s="8">
        <v>42269</v>
      </c>
      <c r="D179" s="7" t="s">
        <v>264</v>
      </c>
      <c r="E179" s="7" t="s">
        <v>35</v>
      </c>
      <c r="F179" s="7" t="s">
        <v>102</v>
      </c>
      <c r="G179" s="7"/>
      <c r="H179" s="7" t="s">
        <v>2655</v>
      </c>
      <c r="I179" s="9">
        <v>20.736000000000001</v>
      </c>
      <c r="J179" s="7">
        <v>4</v>
      </c>
      <c r="K179" s="11">
        <v>0.2</v>
      </c>
      <c r="L179" s="9">
        <v>7.2576000000000001</v>
      </c>
      <c r="M179" s="7" t="s">
        <v>32</v>
      </c>
      <c r="N179" t="str">
        <v>Normal Order</v>
      </c>
    </row>
    <row r="180" spans="1:14">
      <c r="A180" s="7" t="s">
        <v>384</v>
      </c>
      <c r="B180" s="8">
        <v>42202</v>
      </c>
      <c r="C180" s="8">
        <v>42204</v>
      </c>
      <c r="D180" s="7" t="s">
        <v>385</v>
      </c>
      <c r="E180" s="7" t="s">
        <v>386</v>
      </c>
      <c r="F180" s="7" t="s">
        <v>78</v>
      </c>
      <c r="G180" s="7" t="s">
        <v>39</v>
      </c>
      <c r="H180" s="7" t="s">
        <v>2654</v>
      </c>
      <c r="I180" s="9">
        <v>3146.3999999999901</v>
      </c>
      <c r="J180" s="7">
        <v>6</v>
      </c>
      <c r="K180" s="11">
        <v>0</v>
      </c>
      <c r="L180" s="9">
        <v>629.28</v>
      </c>
      <c r="M180" s="7" t="s">
        <v>23</v>
      </c>
      <c r="N180" t="str">
        <v>Bulk Order</v>
      </c>
    </row>
    <row r="181" spans="1:14">
      <c r="A181" s="7" t="s">
        <v>387</v>
      </c>
      <c r="B181" s="8">
        <v>42330</v>
      </c>
      <c r="C181" s="8">
        <v>42336</v>
      </c>
      <c r="D181" s="7" t="s">
        <v>388</v>
      </c>
      <c r="E181" s="7" t="s">
        <v>62</v>
      </c>
      <c r="F181" s="7" t="s">
        <v>63</v>
      </c>
      <c r="G181" s="7" t="s">
        <v>16</v>
      </c>
      <c r="H181" s="7" t="s">
        <v>2662</v>
      </c>
      <c r="I181" s="9">
        <v>2456.6190000000001</v>
      </c>
      <c r="J181" s="7">
        <v>11</v>
      </c>
      <c r="K181" s="11">
        <v>0.15</v>
      </c>
      <c r="L181" s="9">
        <v>664.71900000000005</v>
      </c>
      <c r="M181" s="7" t="s">
        <v>65</v>
      </c>
      <c r="N181" t="str">
        <v>Bulk Order</v>
      </c>
    </row>
    <row r="182" spans="1:14">
      <c r="A182" s="7" t="s">
        <v>389</v>
      </c>
      <c r="B182" s="8">
        <v>41058</v>
      </c>
      <c r="C182" s="8">
        <v>41061</v>
      </c>
      <c r="D182" s="7" t="s">
        <v>390</v>
      </c>
      <c r="E182" s="7" t="s">
        <v>62</v>
      </c>
      <c r="F182" s="7" t="s">
        <v>63</v>
      </c>
      <c r="G182" s="7" t="s">
        <v>28</v>
      </c>
      <c r="H182" s="7" t="s">
        <v>2661</v>
      </c>
      <c r="I182" s="9">
        <v>2228.6354999999999</v>
      </c>
      <c r="J182" s="7">
        <v>7</v>
      </c>
      <c r="K182" s="11">
        <v>0.35</v>
      </c>
      <c r="L182" s="9"/>
      <c r="M182" s="7" t="s">
        <v>23</v>
      </c>
      <c r="N182" t="str">
        <v>Bulk Order</v>
      </c>
    </row>
    <row r="183" spans="1:14">
      <c r="A183" s="7" t="s">
        <v>314</v>
      </c>
      <c r="B183" s="8">
        <v>42314</v>
      </c>
      <c r="C183" s="8">
        <v>42316</v>
      </c>
      <c r="D183" s="7" t="s">
        <v>264</v>
      </c>
      <c r="E183" s="7" t="s">
        <v>35</v>
      </c>
      <c r="F183" s="7" t="s">
        <v>36</v>
      </c>
      <c r="G183" s="7" t="s">
        <v>39</v>
      </c>
      <c r="H183" s="7" t="s">
        <v>2662</v>
      </c>
      <c r="I183" s="9">
        <v>4.41</v>
      </c>
      <c r="J183" s="7">
        <v>1</v>
      </c>
      <c r="K183" s="11">
        <v>0</v>
      </c>
      <c r="L183" s="9">
        <v>2.0286</v>
      </c>
      <c r="M183" s="7" t="s">
        <v>32</v>
      </c>
      <c r="N183" t="str">
        <v>Normal Order</v>
      </c>
    </row>
    <row r="184" spans="1:14">
      <c r="A184" s="7"/>
      <c r="B184" s="8">
        <v>42202</v>
      </c>
      <c r="C184" s="8">
        <v>42205</v>
      </c>
      <c r="D184" s="7" t="s">
        <v>391</v>
      </c>
      <c r="E184" s="7" t="s">
        <v>105</v>
      </c>
      <c r="F184" s="7" t="s">
        <v>106</v>
      </c>
      <c r="G184" s="7" t="s">
        <v>39</v>
      </c>
      <c r="H184" s="7" t="s">
        <v>2658</v>
      </c>
      <c r="I184" s="9">
        <v>4001.03999999999</v>
      </c>
      <c r="J184" s="7">
        <v>8</v>
      </c>
      <c r="K184" s="11">
        <v>0</v>
      </c>
      <c r="L184" s="9"/>
      <c r="M184" s="7" t="s">
        <v>17</v>
      </c>
      <c r="N184" t="str">
        <v>Bulk Order</v>
      </c>
    </row>
    <row r="185" spans="1:14">
      <c r="A185" s="7" t="s">
        <v>392</v>
      </c>
      <c r="B185" s="8">
        <v>42245</v>
      </c>
      <c r="C185" s="8">
        <v>42250</v>
      </c>
      <c r="D185" s="7" t="s">
        <v>393</v>
      </c>
      <c r="E185" s="7" t="s">
        <v>62</v>
      </c>
      <c r="F185" s="7" t="s">
        <v>63</v>
      </c>
      <c r="G185" s="7" t="s">
        <v>16</v>
      </c>
      <c r="H185" s="7" t="s">
        <v>2657</v>
      </c>
      <c r="I185" s="9">
        <v>4876.875</v>
      </c>
      <c r="J185" s="7">
        <v>9</v>
      </c>
      <c r="K185" s="11">
        <v>0.15</v>
      </c>
      <c r="L185" s="9">
        <v>745.875</v>
      </c>
      <c r="M185" s="7" t="s">
        <v>17</v>
      </c>
      <c r="N185" t="str">
        <v>Bulk Order</v>
      </c>
    </row>
    <row r="186" spans="1:14">
      <c r="A186" s="7"/>
      <c r="B186" s="8">
        <v>41634</v>
      </c>
      <c r="C186" s="8">
        <v>41634</v>
      </c>
      <c r="D186" s="7" t="s">
        <v>394</v>
      </c>
      <c r="E186" s="7" t="s">
        <v>14</v>
      </c>
      <c r="F186" s="7" t="s">
        <v>15</v>
      </c>
      <c r="G186" s="7" t="s">
        <v>28</v>
      </c>
      <c r="H186" s="7" t="s">
        <v>2661</v>
      </c>
      <c r="I186" s="9">
        <v>1788.8219999999901</v>
      </c>
      <c r="J186" s="7">
        <v>6</v>
      </c>
      <c r="K186" s="11">
        <v>0.3</v>
      </c>
      <c r="L186" s="9">
        <v>204.28200000000001</v>
      </c>
      <c r="M186" s="7" t="s">
        <v>23</v>
      </c>
      <c r="N186" t="str">
        <v>Bulk Order</v>
      </c>
    </row>
    <row r="187" spans="1:14">
      <c r="A187" s="7" t="s">
        <v>133</v>
      </c>
      <c r="B187" s="8">
        <v>42319</v>
      </c>
      <c r="C187" s="8">
        <v>42323</v>
      </c>
      <c r="D187" s="7" t="s">
        <v>134</v>
      </c>
      <c r="E187" s="7" t="s">
        <v>105</v>
      </c>
      <c r="F187" s="7" t="s">
        <v>106</v>
      </c>
      <c r="G187" s="7" t="s">
        <v>39</v>
      </c>
      <c r="H187" s="7" t="s">
        <v>2656</v>
      </c>
      <c r="I187" s="9">
        <v>3622.28999999999</v>
      </c>
      <c r="J187" s="7">
        <v>7</v>
      </c>
      <c r="K187" s="11">
        <v>0</v>
      </c>
      <c r="L187" s="9">
        <v>1267.77</v>
      </c>
      <c r="M187" s="7" t="s">
        <v>32</v>
      </c>
      <c r="N187" t="str">
        <v>Bulk Order</v>
      </c>
    </row>
    <row r="188" spans="1:14">
      <c r="A188" s="7" t="s">
        <v>395</v>
      </c>
      <c r="B188" s="8">
        <v>41760</v>
      </c>
      <c r="C188" s="8">
        <v>41763</v>
      </c>
      <c r="D188" s="7"/>
      <c r="E188" s="7" t="s">
        <v>131</v>
      </c>
      <c r="F188" s="7" t="s">
        <v>132</v>
      </c>
      <c r="G188" s="7" t="s">
        <v>28</v>
      </c>
      <c r="H188" s="7" t="s">
        <v>2658</v>
      </c>
      <c r="I188" s="9">
        <v>1242.585</v>
      </c>
      <c r="J188" s="7">
        <v>5</v>
      </c>
      <c r="K188" s="11">
        <v>0.47</v>
      </c>
      <c r="L188" s="9">
        <v>-140.715</v>
      </c>
      <c r="M188" s="7" t="s">
        <v>396</v>
      </c>
      <c r="N188" t="str">
        <v>Normal Order</v>
      </c>
    </row>
    <row r="189" spans="1:14">
      <c r="A189" s="7" t="s">
        <v>397</v>
      </c>
      <c r="B189" s="8">
        <v>41136</v>
      </c>
      <c r="C189" s="8">
        <v>41141</v>
      </c>
      <c r="D189" s="7" t="s">
        <v>398</v>
      </c>
      <c r="E189" s="7" t="s">
        <v>84</v>
      </c>
      <c r="F189" s="7" t="s">
        <v>85</v>
      </c>
      <c r="G189" s="7" t="s">
        <v>16</v>
      </c>
      <c r="H189" s="7" t="s">
        <v>2661</v>
      </c>
      <c r="I189" s="9">
        <v>4453.05</v>
      </c>
      <c r="J189" s="7">
        <v>7</v>
      </c>
      <c r="K189" s="11">
        <v>0</v>
      </c>
      <c r="L189" s="9">
        <v>1424.85</v>
      </c>
      <c r="M189" s="7" t="s">
        <v>17</v>
      </c>
      <c r="N189" t="str">
        <v>Bulk Order</v>
      </c>
    </row>
    <row r="190" spans="1:14">
      <c r="A190" s="7" t="s">
        <v>399</v>
      </c>
      <c r="B190" s="8">
        <v>42341</v>
      </c>
      <c r="C190" s="8">
        <v>42345</v>
      </c>
      <c r="D190" s="7"/>
      <c r="E190" s="7" t="s">
        <v>400</v>
      </c>
      <c r="F190" s="7" t="s">
        <v>132</v>
      </c>
      <c r="G190" s="7" t="s">
        <v>28</v>
      </c>
      <c r="H190" s="7" t="s">
        <v>2658</v>
      </c>
      <c r="I190" s="9">
        <v>2673.36</v>
      </c>
      <c r="J190" s="7">
        <v>8</v>
      </c>
      <c r="K190" s="11">
        <v>0</v>
      </c>
      <c r="L190" s="9">
        <v>1069.19999999999</v>
      </c>
      <c r="M190" s="7" t="s">
        <v>32</v>
      </c>
      <c r="N190" t="str">
        <v>Bulk Order</v>
      </c>
    </row>
    <row r="191" spans="1:14">
      <c r="A191" s="7" t="s">
        <v>401</v>
      </c>
      <c r="B191" s="8">
        <v>41815</v>
      </c>
      <c r="C191" s="8">
        <v>41819</v>
      </c>
      <c r="D191" s="7"/>
      <c r="E191" s="7" t="s">
        <v>14</v>
      </c>
      <c r="F191" s="7" t="s">
        <v>15</v>
      </c>
      <c r="G191" s="7" t="s">
        <v>28</v>
      </c>
      <c r="H191" s="7" t="s">
        <v>2656</v>
      </c>
      <c r="I191" s="9"/>
      <c r="J191" s="7">
        <v>5</v>
      </c>
      <c r="K191" s="11">
        <v>0.1</v>
      </c>
      <c r="L191" s="9">
        <v>3044.2857968140702</v>
      </c>
      <c r="M191" s="7" t="s">
        <v>32</v>
      </c>
      <c r="N191" t="str">
        <v>Normal Order</v>
      </c>
    </row>
    <row r="192" spans="1:14">
      <c r="A192" s="7" t="s">
        <v>402</v>
      </c>
      <c r="B192" s="8">
        <v>41660</v>
      </c>
      <c r="C192" s="8">
        <v>41663</v>
      </c>
      <c r="D192" s="7" t="s">
        <v>403</v>
      </c>
      <c r="E192" s="7" t="s">
        <v>84</v>
      </c>
      <c r="F192" s="7" t="s">
        <v>404</v>
      </c>
      <c r="G192" s="7" t="s">
        <v>28</v>
      </c>
      <c r="H192" s="7" t="s">
        <v>2658</v>
      </c>
      <c r="I192" s="9">
        <v>5451.2999999999902</v>
      </c>
      <c r="J192" s="7">
        <v>6</v>
      </c>
      <c r="K192" s="11"/>
      <c r="L192" s="9">
        <v>2071.44</v>
      </c>
      <c r="M192" s="7" t="s">
        <v>17</v>
      </c>
      <c r="N192" t="str">
        <v>Bulk Order</v>
      </c>
    </row>
    <row r="193" spans="1:14">
      <c r="A193" s="7" t="s">
        <v>405</v>
      </c>
      <c r="B193" s="8">
        <v>42301</v>
      </c>
      <c r="C193" s="8">
        <v>42302</v>
      </c>
      <c r="D193" s="7" t="s">
        <v>406</v>
      </c>
      <c r="E193" s="7" t="s">
        <v>35</v>
      </c>
      <c r="F193" s="7" t="s">
        <v>102</v>
      </c>
      <c r="G193" s="7" t="s">
        <v>28</v>
      </c>
      <c r="H193" s="7" t="s">
        <v>2655</v>
      </c>
      <c r="I193" s="9">
        <v>637.89599999999996</v>
      </c>
      <c r="J193" s="7">
        <v>3</v>
      </c>
      <c r="K193" s="11">
        <v>0.3</v>
      </c>
      <c r="L193" s="9">
        <v>-127.57919999999901</v>
      </c>
      <c r="M193" s="7" t="s">
        <v>23</v>
      </c>
      <c r="N193" t="str">
        <v>Normal Order</v>
      </c>
    </row>
    <row r="194" spans="1:14">
      <c r="A194" s="7" t="s">
        <v>407</v>
      </c>
      <c r="B194" s="8">
        <v>42197</v>
      </c>
      <c r="C194" s="8">
        <v>42199</v>
      </c>
      <c r="D194" s="7" t="s">
        <v>408</v>
      </c>
      <c r="E194" s="7" t="s">
        <v>131</v>
      </c>
      <c r="F194" s="7" t="s">
        <v>132</v>
      </c>
      <c r="G194" s="7" t="s">
        <v>39</v>
      </c>
      <c r="H194" s="7" t="s">
        <v>2658</v>
      </c>
      <c r="I194" s="9">
        <v>1722.2831999999901</v>
      </c>
      <c r="J194" s="7">
        <v>4</v>
      </c>
      <c r="K194" s="11">
        <v>0.17</v>
      </c>
      <c r="L194" s="9">
        <v>539.44319999999902</v>
      </c>
      <c r="M194" s="7" t="s">
        <v>23</v>
      </c>
      <c r="N194" t="str">
        <v>Normal Order</v>
      </c>
    </row>
    <row r="195" spans="1:14">
      <c r="A195" s="7" t="s">
        <v>405</v>
      </c>
      <c r="B195" s="7" t="s">
        <v>409</v>
      </c>
      <c r="C195" s="8">
        <v>42302</v>
      </c>
      <c r="D195" s="7" t="s">
        <v>410</v>
      </c>
      <c r="E195" s="7" t="s">
        <v>35</v>
      </c>
      <c r="F195" s="7" t="s">
        <v>102</v>
      </c>
      <c r="G195" s="7" t="s">
        <v>28</v>
      </c>
      <c r="H195" s="7" t="s">
        <v>2659</v>
      </c>
      <c r="I195" s="9">
        <v>210.68</v>
      </c>
      <c r="J195" s="7">
        <v>2</v>
      </c>
      <c r="K195" s="11">
        <v>0</v>
      </c>
      <c r="L195" s="9">
        <v>50.563199999999902</v>
      </c>
      <c r="M195" s="7" t="s">
        <v>23</v>
      </c>
      <c r="N195" t="str">
        <v>Normal Order</v>
      </c>
    </row>
    <row r="196" spans="1:14">
      <c r="A196" s="7" t="s">
        <v>411</v>
      </c>
      <c r="B196" s="8">
        <v>42248</v>
      </c>
      <c r="C196" s="8">
        <v>42248</v>
      </c>
      <c r="D196" s="7" t="s">
        <v>412</v>
      </c>
      <c r="E196" s="7" t="s">
        <v>20</v>
      </c>
      <c r="F196" s="7" t="s">
        <v>63</v>
      </c>
      <c r="G196" s="7" t="s">
        <v>39</v>
      </c>
      <c r="H196" s="7" t="s">
        <v>2661</v>
      </c>
      <c r="I196" s="9">
        <v>1007.424</v>
      </c>
      <c r="J196" s="7">
        <v>2</v>
      </c>
      <c r="K196" s="11">
        <v>0.1</v>
      </c>
      <c r="L196" s="9">
        <v>134.30399999999901</v>
      </c>
      <c r="M196" s="7" t="s">
        <v>23</v>
      </c>
      <c r="N196" t="str">
        <v>Normal Order</v>
      </c>
    </row>
    <row r="197" spans="1:14">
      <c r="A197" s="7" t="s">
        <v>405</v>
      </c>
      <c r="B197" s="8">
        <v>42301</v>
      </c>
      <c r="C197" s="8">
        <v>42302</v>
      </c>
      <c r="D197" s="7" t="s">
        <v>406</v>
      </c>
      <c r="E197" s="7" t="s">
        <v>35</v>
      </c>
      <c r="F197" s="7" t="s">
        <v>102</v>
      </c>
      <c r="G197" s="7" t="s">
        <v>28</v>
      </c>
      <c r="H197" s="7" t="s">
        <v>2656</v>
      </c>
      <c r="I197" s="9">
        <v>240.744</v>
      </c>
      <c r="J197" s="7">
        <v>4</v>
      </c>
      <c r="K197" s="11">
        <v>0.3</v>
      </c>
      <c r="L197" s="9">
        <v>-13.756799999999901</v>
      </c>
      <c r="M197" s="7" t="s">
        <v>23</v>
      </c>
      <c r="N197" t="str">
        <v>Normal Order</v>
      </c>
    </row>
    <row r="198" spans="1:14">
      <c r="A198" s="7" t="s">
        <v>413</v>
      </c>
      <c r="B198" s="8">
        <v>41066</v>
      </c>
      <c r="C198" s="8">
        <v>41070</v>
      </c>
      <c r="D198" s="7" t="s">
        <v>414</v>
      </c>
      <c r="E198" s="7" t="s">
        <v>14</v>
      </c>
      <c r="F198" s="7" t="s">
        <v>15</v>
      </c>
      <c r="G198" s="7" t="s">
        <v>39</v>
      </c>
      <c r="H198" s="7" t="s">
        <v>2661</v>
      </c>
      <c r="I198" s="9">
        <v>4624.29</v>
      </c>
      <c r="J198" s="7">
        <v>9</v>
      </c>
      <c r="K198" s="11">
        <v>0.1</v>
      </c>
      <c r="L198" s="9">
        <v>1644.03</v>
      </c>
      <c r="M198" s="7" t="s">
        <v>17</v>
      </c>
      <c r="N198" t="str">
        <v>Bulk Order</v>
      </c>
    </row>
    <row r="199" spans="1:14">
      <c r="A199" s="7" t="s">
        <v>415</v>
      </c>
      <c r="B199" s="8">
        <v>41194</v>
      </c>
      <c r="C199" s="8">
        <v>41194</v>
      </c>
      <c r="D199" s="7" t="s">
        <v>416</v>
      </c>
      <c r="E199" s="7" t="s">
        <v>417</v>
      </c>
      <c r="F199" s="7" t="s">
        <v>63</v>
      </c>
      <c r="G199" s="7" t="s">
        <v>39</v>
      </c>
      <c r="H199" s="7" t="s">
        <v>2664</v>
      </c>
      <c r="I199" s="9">
        <v>1066.4459999999999</v>
      </c>
      <c r="J199" s="7">
        <v>6</v>
      </c>
      <c r="K199" s="11">
        <v>0.1</v>
      </c>
      <c r="L199" s="9">
        <v>-11.933999999999999</v>
      </c>
      <c r="M199" s="7" t="s">
        <v>23</v>
      </c>
      <c r="N199" t="str">
        <v>Bulk Order</v>
      </c>
    </row>
    <row r="200" spans="1:14">
      <c r="A200" s="7" t="s">
        <v>418</v>
      </c>
      <c r="B200" s="8">
        <v>41800</v>
      </c>
      <c r="C200" s="8">
        <v>41800</v>
      </c>
      <c r="D200" s="7" t="s">
        <v>419</v>
      </c>
      <c r="E200" s="7" t="s">
        <v>58</v>
      </c>
      <c r="F200" s="7" t="s">
        <v>81</v>
      </c>
      <c r="G200" s="7" t="s">
        <v>16</v>
      </c>
      <c r="H200" s="7" t="s">
        <v>2661</v>
      </c>
      <c r="I200" s="9">
        <v>957.599999999999</v>
      </c>
      <c r="J200" s="7">
        <v>4</v>
      </c>
      <c r="K200" s="11">
        <v>0</v>
      </c>
      <c r="L200" s="9">
        <v>0</v>
      </c>
      <c r="M200" s="7" t="s">
        <v>396</v>
      </c>
      <c r="N200" t="str">
        <v>Normal Order</v>
      </c>
    </row>
    <row r="201" spans="1:14">
      <c r="A201" s="7"/>
      <c r="B201" s="8">
        <v>42351</v>
      </c>
      <c r="C201" s="8">
        <v>42355</v>
      </c>
      <c r="D201" s="7"/>
      <c r="E201" s="7" t="s">
        <v>14</v>
      </c>
      <c r="F201" s="7" t="s">
        <v>15</v>
      </c>
      <c r="G201" s="7" t="s">
        <v>39</v>
      </c>
      <c r="H201" s="7" t="s">
        <v>2664</v>
      </c>
      <c r="I201" s="9">
        <v>4864.32</v>
      </c>
      <c r="J201" s="7">
        <v>10</v>
      </c>
      <c r="K201" s="11">
        <v>0.1</v>
      </c>
      <c r="L201" s="9"/>
      <c r="M201" s="7" t="s">
        <v>17</v>
      </c>
      <c r="N201" t="str">
        <v>Bulk Order</v>
      </c>
    </row>
    <row r="202" spans="1:14">
      <c r="A202" s="7" t="s">
        <v>420</v>
      </c>
      <c r="B202" s="8">
        <v>41898</v>
      </c>
      <c r="C202" s="8">
        <v>41903</v>
      </c>
      <c r="D202" s="7" t="s">
        <v>406</v>
      </c>
      <c r="E202" s="7"/>
      <c r="F202" s="7" t="s">
        <v>102</v>
      </c>
      <c r="G202" s="7" t="s">
        <v>39</v>
      </c>
      <c r="H202" s="7" t="s">
        <v>2657</v>
      </c>
      <c r="I202" s="9">
        <v>841.56799999999998</v>
      </c>
      <c r="J202" s="7">
        <v>2</v>
      </c>
      <c r="K202" s="11">
        <v>0.2</v>
      </c>
      <c r="L202" s="9">
        <v>294.54879999999901</v>
      </c>
      <c r="M202" s="7" t="s">
        <v>17</v>
      </c>
      <c r="N202" t="str">
        <v>Normal Order</v>
      </c>
    </row>
    <row r="203" spans="1:14">
      <c r="A203" s="7" t="s">
        <v>421</v>
      </c>
      <c r="B203" s="8">
        <v>42165</v>
      </c>
      <c r="C203" s="8">
        <v>42166</v>
      </c>
      <c r="D203" s="7" t="s">
        <v>422</v>
      </c>
      <c r="E203" s="7"/>
      <c r="F203" s="7" t="s">
        <v>132</v>
      </c>
      <c r="G203" s="7" t="s">
        <v>39</v>
      </c>
      <c r="H203" s="7" t="s">
        <v>2661</v>
      </c>
      <c r="I203" s="9">
        <v>1433.83949999999</v>
      </c>
      <c r="J203" s="7">
        <v>3</v>
      </c>
      <c r="K203" s="11">
        <v>0.15</v>
      </c>
      <c r="L203" s="9">
        <v>-84.370500000000007</v>
      </c>
      <c r="M203" s="7" t="s">
        <v>32</v>
      </c>
      <c r="N203" t="str">
        <v>Normal Order</v>
      </c>
    </row>
    <row r="204" spans="1:14">
      <c r="A204" s="7" t="s">
        <v>423</v>
      </c>
      <c r="B204" s="8">
        <v>40954</v>
      </c>
      <c r="C204" s="8">
        <v>40955</v>
      </c>
      <c r="D204" s="7" t="s">
        <v>424</v>
      </c>
      <c r="E204" s="7" t="s">
        <v>425</v>
      </c>
      <c r="F204" s="7" t="s">
        <v>426</v>
      </c>
      <c r="G204" s="7" t="s">
        <v>39</v>
      </c>
      <c r="H204" s="7" t="s">
        <v>2663</v>
      </c>
      <c r="I204" s="9">
        <v>2784.5999999999899</v>
      </c>
      <c r="J204" s="7">
        <v>14</v>
      </c>
      <c r="K204" s="11">
        <v>0</v>
      </c>
      <c r="L204" s="9"/>
      <c r="M204" s="7" t="s">
        <v>23</v>
      </c>
      <c r="N204" t="str">
        <v>Bulk Order</v>
      </c>
    </row>
    <row r="205" spans="1:14">
      <c r="A205" s="7" t="s">
        <v>427</v>
      </c>
      <c r="B205" s="8">
        <v>41971</v>
      </c>
      <c r="C205" s="8">
        <v>41977</v>
      </c>
      <c r="D205" s="7" t="s">
        <v>428</v>
      </c>
      <c r="E205" s="7"/>
      <c r="F205" s="7" t="s">
        <v>68</v>
      </c>
      <c r="G205" s="7" t="s">
        <v>28</v>
      </c>
      <c r="H205" s="7" t="s">
        <v>2661</v>
      </c>
      <c r="I205" s="9">
        <v>3063.27</v>
      </c>
      <c r="J205" s="7">
        <v>7</v>
      </c>
      <c r="K205" s="11">
        <v>0</v>
      </c>
      <c r="L205" s="9">
        <v>1470.21</v>
      </c>
      <c r="M205" s="7" t="s">
        <v>65</v>
      </c>
      <c r="N205" t="str">
        <v>Bulk Order</v>
      </c>
    </row>
    <row r="206" spans="1:14">
      <c r="A206" s="7" t="s">
        <v>429</v>
      </c>
      <c r="B206" s="8">
        <v>41817</v>
      </c>
      <c r="C206" s="8">
        <v>41817</v>
      </c>
      <c r="D206" s="7" t="s">
        <v>406</v>
      </c>
      <c r="E206" s="7" t="s">
        <v>35</v>
      </c>
      <c r="F206" s="7" t="s">
        <v>38</v>
      </c>
      <c r="G206" s="7" t="s">
        <v>39</v>
      </c>
      <c r="H206" s="7" t="s">
        <v>2664</v>
      </c>
      <c r="I206" s="9" t="s">
        <v>152</v>
      </c>
      <c r="J206" s="7">
        <v>2</v>
      </c>
      <c r="K206" s="11">
        <v>0</v>
      </c>
      <c r="L206" s="9">
        <v>11.585999999999901</v>
      </c>
      <c r="M206" s="7" t="s">
        <v>23</v>
      </c>
      <c r="N206" t="str">
        <v>Normal Order</v>
      </c>
    </row>
    <row r="207" spans="1:14">
      <c r="A207" s="7" t="s">
        <v>430</v>
      </c>
      <c r="B207" s="8">
        <v>42110</v>
      </c>
      <c r="C207" s="8">
        <v>42113</v>
      </c>
      <c r="D207" s="7" t="s">
        <v>406</v>
      </c>
      <c r="E207" s="7"/>
      <c r="F207" s="7" t="s">
        <v>38</v>
      </c>
      <c r="G207" s="7" t="s">
        <v>28</v>
      </c>
      <c r="H207" s="7" t="s">
        <v>2663</v>
      </c>
      <c r="I207" s="9">
        <v>196.45</v>
      </c>
      <c r="J207" s="7">
        <v>5</v>
      </c>
      <c r="K207" s="11">
        <v>0</v>
      </c>
      <c r="L207" s="9">
        <v>70.721999999999895</v>
      </c>
      <c r="M207" s="7" t="s">
        <v>17</v>
      </c>
      <c r="N207" t="str">
        <v>Normal Order</v>
      </c>
    </row>
    <row r="208" spans="1:14">
      <c r="A208" s="7" t="s">
        <v>431</v>
      </c>
      <c r="B208" s="8">
        <v>41129</v>
      </c>
      <c r="C208" s="8">
        <v>41129</v>
      </c>
      <c r="D208" s="7" t="s">
        <v>432</v>
      </c>
      <c r="E208" s="7" t="s">
        <v>110</v>
      </c>
      <c r="F208" s="7" t="s">
        <v>111</v>
      </c>
      <c r="G208" s="7" t="s">
        <v>16</v>
      </c>
      <c r="H208" s="7" t="s">
        <v>2662</v>
      </c>
      <c r="I208" s="9">
        <v>2044.8</v>
      </c>
      <c r="J208" s="7">
        <v>6</v>
      </c>
      <c r="K208" s="11">
        <v>0.2</v>
      </c>
      <c r="L208" s="9">
        <v>-332.28</v>
      </c>
      <c r="M208" s="7" t="s">
        <v>32</v>
      </c>
      <c r="N208" t="str">
        <v>Bulk Order</v>
      </c>
    </row>
    <row r="209" spans="1:14">
      <c r="A209" s="7" t="s">
        <v>433</v>
      </c>
      <c r="B209" s="8">
        <v>41991</v>
      </c>
      <c r="C209" s="8">
        <v>41995</v>
      </c>
      <c r="D209" s="7" t="s">
        <v>406</v>
      </c>
      <c r="E209" s="7"/>
      <c r="F209" s="7"/>
      <c r="G209" s="7" t="s">
        <v>16</v>
      </c>
      <c r="H209" s="7" t="s">
        <v>2664</v>
      </c>
      <c r="I209" s="9">
        <v>165.6</v>
      </c>
      <c r="J209" s="7">
        <v>3</v>
      </c>
      <c r="K209" s="11">
        <v>0.2</v>
      </c>
      <c r="L209" s="9">
        <v>-6.2100000000000097</v>
      </c>
      <c r="M209" s="7" t="s">
        <v>17</v>
      </c>
      <c r="N209" t="str">
        <v>Normal Order</v>
      </c>
    </row>
    <row r="210" spans="1:14">
      <c r="A210" s="7" t="s">
        <v>434</v>
      </c>
      <c r="B210" s="8">
        <v>41488</v>
      </c>
      <c r="C210" s="10">
        <v>74361</v>
      </c>
      <c r="D210" s="7" t="s">
        <v>435</v>
      </c>
      <c r="E210" s="7" t="s">
        <v>58</v>
      </c>
      <c r="F210" s="7" t="s">
        <v>81</v>
      </c>
      <c r="G210" s="7" t="s">
        <v>16</v>
      </c>
      <c r="H210" s="7" t="s">
        <v>2656</v>
      </c>
      <c r="I210" s="9">
        <v>1521</v>
      </c>
      <c r="J210" s="7">
        <v>4</v>
      </c>
      <c r="K210" s="11">
        <v>0</v>
      </c>
      <c r="L210" s="9">
        <v>0</v>
      </c>
      <c r="M210" s="7" t="s">
        <v>32</v>
      </c>
      <c r="N210" t="str">
        <v>Normal Order</v>
      </c>
    </row>
    <row r="211" spans="1:14">
      <c r="A211" s="7" t="s">
        <v>436</v>
      </c>
      <c r="B211" s="8">
        <v>41444</v>
      </c>
      <c r="C211" s="8">
        <v>41444</v>
      </c>
      <c r="D211" s="7" t="s">
        <v>257</v>
      </c>
      <c r="E211" s="7" t="s">
        <v>62</v>
      </c>
      <c r="F211" s="7" t="s">
        <v>63</v>
      </c>
      <c r="G211" s="7" t="s">
        <v>39</v>
      </c>
      <c r="H211" s="7" t="s">
        <v>2656</v>
      </c>
      <c r="I211" s="9">
        <v>2443.9050000000002</v>
      </c>
      <c r="J211" s="7">
        <v>5</v>
      </c>
      <c r="K211" s="11">
        <v>0.1</v>
      </c>
      <c r="L211" s="9">
        <v>760.30499999999904</v>
      </c>
      <c r="M211" s="7" t="s">
        <v>32</v>
      </c>
      <c r="N211" t="str">
        <v>Normal Order</v>
      </c>
    </row>
    <row r="212" spans="1:14">
      <c r="A212" s="7" t="s">
        <v>437</v>
      </c>
      <c r="B212" s="8">
        <v>42101</v>
      </c>
      <c r="C212" s="8">
        <v>42106</v>
      </c>
      <c r="D212" s="7" t="s">
        <v>406</v>
      </c>
      <c r="E212" s="7" t="s">
        <v>438</v>
      </c>
      <c r="F212" s="7" t="s">
        <v>439</v>
      </c>
      <c r="G212" s="7" t="s">
        <v>39</v>
      </c>
      <c r="H212" s="7" t="s">
        <v>2657</v>
      </c>
      <c r="I212" s="9">
        <v>137.31</v>
      </c>
      <c r="J212" s="7">
        <v>1</v>
      </c>
      <c r="K212" s="11">
        <v>0</v>
      </c>
      <c r="L212" s="9">
        <v>54.9</v>
      </c>
      <c r="M212" s="7" t="s">
        <v>32</v>
      </c>
      <c r="N212" t="str">
        <v>Normal Order</v>
      </c>
    </row>
    <row r="213" spans="1:14">
      <c r="A213" s="7" t="s">
        <v>440</v>
      </c>
      <c r="B213" s="8">
        <v>41853</v>
      </c>
      <c r="C213" s="8">
        <v>41853</v>
      </c>
      <c r="D213" s="7" t="s">
        <v>441</v>
      </c>
      <c r="E213" s="7" t="s">
        <v>157</v>
      </c>
      <c r="F213" s="7" t="s">
        <v>106</v>
      </c>
      <c r="G213" s="7" t="s">
        <v>16</v>
      </c>
      <c r="H213" s="7" t="s">
        <v>2661</v>
      </c>
      <c r="I213" s="9"/>
      <c r="J213" s="7">
        <v>10</v>
      </c>
      <c r="K213" s="11">
        <v>0</v>
      </c>
      <c r="L213" s="9">
        <v>570.9</v>
      </c>
      <c r="M213" s="7" t="s">
        <v>23</v>
      </c>
      <c r="N213" t="str">
        <v>Bulk Order</v>
      </c>
    </row>
    <row r="214" spans="1:14">
      <c r="A214" s="7"/>
      <c r="B214" s="8">
        <v>42146</v>
      </c>
      <c r="C214" s="8">
        <v>42149</v>
      </c>
      <c r="D214" s="7" t="s">
        <v>442</v>
      </c>
      <c r="E214" s="7" t="s">
        <v>105</v>
      </c>
      <c r="F214" s="7" t="s">
        <v>106</v>
      </c>
      <c r="G214" s="7" t="s">
        <v>39</v>
      </c>
      <c r="H214" s="7" t="s">
        <v>2655</v>
      </c>
      <c r="I214" s="9"/>
      <c r="J214" s="7">
        <v>9</v>
      </c>
      <c r="K214" s="11">
        <v>0</v>
      </c>
      <c r="L214" s="9">
        <v>802.17</v>
      </c>
      <c r="M214" s="7" t="s">
        <v>23</v>
      </c>
      <c r="N214" t="str">
        <v>Bulk Order</v>
      </c>
    </row>
    <row r="215" spans="1:14">
      <c r="A215" s="7" t="s">
        <v>443</v>
      </c>
      <c r="B215" s="8">
        <v>40949</v>
      </c>
      <c r="C215" s="8">
        <v>40954</v>
      </c>
      <c r="D215" s="7"/>
      <c r="E215" s="7"/>
      <c r="F215" s="7" t="s">
        <v>81</v>
      </c>
      <c r="G215" s="7" t="s">
        <v>16</v>
      </c>
      <c r="H215" s="7" t="s">
        <v>2662</v>
      </c>
      <c r="I215" s="9">
        <v>6998.64</v>
      </c>
      <c r="J215" s="7">
        <v>11</v>
      </c>
      <c r="K215" s="11">
        <v>0</v>
      </c>
      <c r="L215" s="9">
        <v>2939.31</v>
      </c>
      <c r="M215" s="7" t="s">
        <v>17</v>
      </c>
      <c r="N215" t="str">
        <v>Bulk Order</v>
      </c>
    </row>
    <row r="216" spans="1:14">
      <c r="A216" s="7" t="s">
        <v>444</v>
      </c>
      <c r="B216" s="8">
        <v>41909</v>
      </c>
      <c r="C216" s="8">
        <v>41909</v>
      </c>
      <c r="D216" s="7" t="s">
        <v>445</v>
      </c>
      <c r="E216" s="7" t="s">
        <v>186</v>
      </c>
      <c r="F216" s="7" t="s">
        <v>68</v>
      </c>
      <c r="G216" s="7" t="s">
        <v>28</v>
      </c>
      <c r="H216" s="7" t="s">
        <v>2664</v>
      </c>
      <c r="I216" s="9">
        <v>1091.25</v>
      </c>
      <c r="J216" s="7">
        <v>3</v>
      </c>
      <c r="K216" s="11">
        <v>0</v>
      </c>
      <c r="L216" s="9">
        <v>119.97</v>
      </c>
      <c r="M216" s="7" t="s">
        <v>23</v>
      </c>
      <c r="N216" t="str">
        <v>Normal Order</v>
      </c>
    </row>
    <row r="217" spans="1:14">
      <c r="A217" s="7" t="s">
        <v>446</v>
      </c>
      <c r="B217" s="8">
        <v>42157</v>
      </c>
      <c r="C217" s="8">
        <v>42159</v>
      </c>
      <c r="D217" s="7" t="s">
        <v>447</v>
      </c>
      <c r="E217" s="7"/>
      <c r="F217" s="7" t="s">
        <v>106</v>
      </c>
      <c r="G217" s="7" t="s">
        <v>28</v>
      </c>
      <c r="H217" s="7" t="s">
        <v>2656</v>
      </c>
      <c r="I217" s="9">
        <v>1094.22</v>
      </c>
      <c r="J217" s="7"/>
      <c r="K217" s="11">
        <v>0</v>
      </c>
      <c r="L217" s="9">
        <v>328.23</v>
      </c>
      <c r="M217" s="7" t="s">
        <v>23</v>
      </c>
      <c r="N217" t="str">
        <v>Normal Order</v>
      </c>
    </row>
    <row r="218" spans="1:14">
      <c r="A218" s="7"/>
      <c r="B218" s="8">
        <v>41912</v>
      </c>
      <c r="C218" s="8">
        <v>41915</v>
      </c>
      <c r="D218" s="7" t="s">
        <v>448</v>
      </c>
      <c r="E218" s="7" t="s">
        <v>14</v>
      </c>
      <c r="F218" s="7" t="s">
        <v>15</v>
      </c>
      <c r="G218" s="7" t="s">
        <v>28</v>
      </c>
      <c r="H218" s="7" t="s">
        <v>2663</v>
      </c>
      <c r="I218" s="9">
        <v>1320.624</v>
      </c>
      <c r="J218" s="7">
        <v>4</v>
      </c>
      <c r="K218" s="11">
        <v>0.1</v>
      </c>
      <c r="L218" s="9">
        <v>484.22399999999999</v>
      </c>
      <c r="M218" s="7" t="s">
        <v>396</v>
      </c>
      <c r="N218" t="str">
        <v>Normal Order</v>
      </c>
    </row>
    <row r="219" spans="1:14">
      <c r="A219" s="7" t="s">
        <v>449</v>
      </c>
      <c r="B219" s="8">
        <v>41108</v>
      </c>
      <c r="C219" s="8">
        <v>41109</v>
      </c>
      <c r="D219" s="7" t="s">
        <v>450</v>
      </c>
      <c r="E219" s="7" t="s">
        <v>298</v>
      </c>
      <c r="F219" s="7" t="s">
        <v>132</v>
      </c>
      <c r="G219" s="7" t="s">
        <v>16</v>
      </c>
      <c r="H219" s="7" t="s">
        <v>2663</v>
      </c>
      <c r="I219" s="9">
        <v>2555.64</v>
      </c>
      <c r="J219" s="7">
        <v>4</v>
      </c>
      <c r="K219" s="11">
        <v>0</v>
      </c>
      <c r="L219" s="9">
        <v>664.43999999999903</v>
      </c>
      <c r="M219" s="7" t="s">
        <v>32</v>
      </c>
      <c r="N219" t="str">
        <v>Normal Order</v>
      </c>
    </row>
    <row r="220" spans="1:14">
      <c r="A220" s="7" t="s">
        <v>451</v>
      </c>
      <c r="B220" s="8">
        <v>42230</v>
      </c>
      <c r="C220" s="8">
        <v>42232</v>
      </c>
      <c r="D220" s="7"/>
      <c r="E220" s="7" t="s">
        <v>452</v>
      </c>
      <c r="F220" s="7" t="s">
        <v>78</v>
      </c>
      <c r="G220" s="7" t="s">
        <v>28</v>
      </c>
      <c r="H220" s="7" t="s">
        <v>2663</v>
      </c>
      <c r="I220" s="9" t="s">
        <v>152</v>
      </c>
      <c r="J220" s="7">
        <v>8</v>
      </c>
      <c r="K220" s="11">
        <v>0</v>
      </c>
      <c r="L220" s="9">
        <v>594.72</v>
      </c>
      <c r="M220" s="7" t="s">
        <v>17</v>
      </c>
      <c r="N220" t="str">
        <v>Bulk Order</v>
      </c>
    </row>
    <row r="221" spans="1:14">
      <c r="A221" s="7" t="s">
        <v>405</v>
      </c>
      <c r="B221" s="8">
        <v>42301</v>
      </c>
      <c r="C221" s="8">
        <v>42302</v>
      </c>
      <c r="D221" s="7" t="s">
        <v>406</v>
      </c>
      <c r="E221" s="7" t="s">
        <v>35</v>
      </c>
      <c r="F221" s="7" t="s">
        <v>102</v>
      </c>
      <c r="G221" s="7" t="s">
        <v>28</v>
      </c>
      <c r="H221" s="7" t="s">
        <v>2656</v>
      </c>
      <c r="I221" s="9">
        <v>35</v>
      </c>
      <c r="J221" s="7">
        <v>4</v>
      </c>
      <c r="K221" s="11"/>
      <c r="L221" s="9">
        <v>14.7</v>
      </c>
      <c r="M221" s="7" t="s">
        <v>23</v>
      </c>
      <c r="N221" t="str">
        <v>Normal Order</v>
      </c>
    </row>
    <row r="222" spans="1:14">
      <c r="A222" s="7" t="s">
        <v>453</v>
      </c>
      <c r="B222" s="8">
        <v>42308</v>
      </c>
      <c r="C222" s="8">
        <v>42311</v>
      </c>
      <c r="D222" s="7" t="s">
        <v>185</v>
      </c>
      <c r="E222" s="7" t="s">
        <v>58</v>
      </c>
      <c r="F222" s="7" t="s">
        <v>81</v>
      </c>
      <c r="G222" s="7" t="s">
        <v>16</v>
      </c>
      <c r="H222" s="7" t="s">
        <v>2663</v>
      </c>
      <c r="I222" s="9">
        <v>2272.86</v>
      </c>
      <c r="J222" s="7">
        <v>6</v>
      </c>
      <c r="K222" s="11">
        <v>0</v>
      </c>
      <c r="L222" s="9">
        <v>977.22</v>
      </c>
      <c r="M222" s="7" t="s">
        <v>32</v>
      </c>
      <c r="N222" t="str">
        <v>Bulk Order</v>
      </c>
    </row>
    <row r="223" spans="1:14">
      <c r="A223" s="7" t="s">
        <v>454</v>
      </c>
      <c r="B223" s="8">
        <v>41845</v>
      </c>
      <c r="C223" s="8">
        <v>41850</v>
      </c>
      <c r="D223" s="7" t="s">
        <v>455</v>
      </c>
      <c r="E223" s="7"/>
      <c r="F223" s="7" t="s">
        <v>81</v>
      </c>
      <c r="G223" s="7" t="s">
        <v>16</v>
      </c>
      <c r="H223" s="7" t="s">
        <v>2657</v>
      </c>
      <c r="I223" s="9"/>
      <c r="J223" s="7">
        <v>8</v>
      </c>
      <c r="K223" s="11">
        <v>0</v>
      </c>
      <c r="L223" s="9">
        <v>833.76</v>
      </c>
      <c r="M223" s="7" t="s">
        <v>17</v>
      </c>
      <c r="N223" t="str">
        <v>Bulk Order</v>
      </c>
    </row>
    <row r="224" spans="1:14">
      <c r="A224" s="7" t="s">
        <v>456</v>
      </c>
      <c r="B224" s="8">
        <v>42284</v>
      </c>
      <c r="C224" s="8">
        <v>42288</v>
      </c>
      <c r="D224" s="7" t="s">
        <v>457</v>
      </c>
      <c r="E224" s="7" t="s">
        <v>105</v>
      </c>
      <c r="F224" s="7" t="s">
        <v>106</v>
      </c>
      <c r="G224" s="7" t="s">
        <v>16</v>
      </c>
      <c r="H224" s="7" t="s">
        <v>2657</v>
      </c>
      <c r="I224" s="9">
        <v>2582.16</v>
      </c>
      <c r="J224" s="7">
        <v>4</v>
      </c>
      <c r="K224" s="11">
        <v>0</v>
      </c>
      <c r="L224" s="9">
        <v>361.44</v>
      </c>
      <c r="M224" s="7" t="s">
        <v>32</v>
      </c>
      <c r="N224" t="str">
        <v>Normal Order</v>
      </c>
    </row>
    <row r="225" spans="1:14">
      <c r="A225" s="7" t="s">
        <v>458</v>
      </c>
      <c r="B225" s="8">
        <v>42294</v>
      </c>
      <c r="C225" s="8">
        <v>42298</v>
      </c>
      <c r="D225" s="7" t="s">
        <v>459</v>
      </c>
      <c r="E225" s="7" t="s">
        <v>105</v>
      </c>
      <c r="F225" s="7" t="s">
        <v>106</v>
      </c>
      <c r="G225" s="7" t="s">
        <v>16</v>
      </c>
      <c r="H225" s="7" t="s">
        <v>2656</v>
      </c>
      <c r="I225" s="9">
        <v>3194.55</v>
      </c>
      <c r="J225" s="7"/>
      <c r="K225" s="11">
        <v>0</v>
      </c>
      <c r="L225" s="9">
        <v>830.55</v>
      </c>
      <c r="M225" s="7" t="s">
        <v>32</v>
      </c>
      <c r="N225" t="str">
        <v>Normal Order</v>
      </c>
    </row>
    <row r="226" spans="1:14">
      <c r="A226" s="7" t="s">
        <v>460</v>
      </c>
      <c r="B226" s="8">
        <v>41976</v>
      </c>
      <c r="C226" s="8">
        <v>41979</v>
      </c>
      <c r="D226" s="7" t="s">
        <v>461</v>
      </c>
      <c r="E226" s="7" t="s">
        <v>14</v>
      </c>
      <c r="F226" s="7" t="s">
        <v>15</v>
      </c>
      <c r="G226" s="7" t="s">
        <v>28</v>
      </c>
      <c r="H226" s="7" t="s">
        <v>2656</v>
      </c>
      <c r="I226" s="9">
        <v>1704.9959999999901</v>
      </c>
      <c r="J226" s="7"/>
      <c r="K226" s="11">
        <v>0.1</v>
      </c>
      <c r="L226" s="9">
        <v>378.87599999999998</v>
      </c>
      <c r="M226" s="7" t="s">
        <v>23</v>
      </c>
      <c r="N226" t="str">
        <v>Normal Order</v>
      </c>
    </row>
    <row r="227" spans="1:14">
      <c r="A227" s="7" t="s">
        <v>462</v>
      </c>
      <c r="B227" s="8">
        <v>42316</v>
      </c>
      <c r="C227" s="8">
        <v>42318</v>
      </c>
      <c r="D227" s="7" t="s">
        <v>463</v>
      </c>
      <c r="E227" s="7" t="s">
        <v>239</v>
      </c>
      <c r="F227" s="7" t="s">
        <v>132</v>
      </c>
      <c r="G227" s="7" t="s">
        <v>154</v>
      </c>
      <c r="H227" s="7" t="s">
        <v>2656</v>
      </c>
      <c r="I227" s="9">
        <v>1538.72099999999</v>
      </c>
      <c r="J227" s="7"/>
      <c r="K227" s="11">
        <v>0.15</v>
      </c>
      <c r="L227" s="9">
        <v>325.70100000000002</v>
      </c>
      <c r="M227" s="7" t="s">
        <v>32</v>
      </c>
      <c r="N227" t="str">
        <v>Normal Order</v>
      </c>
    </row>
    <row r="228" spans="1:14">
      <c r="A228" s="7" t="s">
        <v>418</v>
      </c>
      <c r="B228" s="8">
        <v>41800</v>
      </c>
      <c r="C228" s="8">
        <v>41800</v>
      </c>
      <c r="D228" s="7"/>
      <c r="E228" s="7" t="s">
        <v>58</v>
      </c>
      <c r="F228" s="7" t="s">
        <v>81</v>
      </c>
      <c r="G228" s="7" t="s">
        <v>28</v>
      </c>
      <c r="H228" s="7" t="s">
        <v>2655</v>
      </c>
      <c r="I228" s="9">
        <v>1381.3199999999899</v>
      </c>
      <c r="J228" s="7"/>
      <c r="K228" s="11">
        <v>0</v>
      </c>
      <c r="L228" s="9">
        <v>593.90999999999894</v>
      </c>
      <c r="M228" s="7" t="s">
        <v>23</v>
      </c>
      <c r="N228" t="str">
        <v>Normal Order</v>
      </c>
    </row>
    <row r="229" spans="1:14">
      <c r="A229" s="7" t="s">
        <v>464</v>
      </c>
      <c r="B229" s="8">
        <v>41172</v>
      </c>
      <c r="C229" s="8">
        <v>41174</v>
      </c>
      <c r="D229" s="7" t="s">
        <v>465</v>
      </c>
      <c r="E229" s="7" t="s">
        <v>62</v>
      </c>
      <c r="F229" s="7" t="s">
        <v>63</v>
      </c>
      <c r="G229" s="7" t="s">
        <v>466</v>
      </c>
      <c r="H229" s="7" t="s">
        <v>2661</v>
      </c>
      <c r="I229" s="9">
        <v>1181.547</v>
      </c>
      <c r="J229" s="7">
        <v>3</v>
      </c>
      <c r="K229" s="11">
        <v>0.1</v>
      </c>
      <c r="L229" s="9">
        <v>498.80700000000002</v>
      </c>
      <c r="M229" s="7" t="s">
        <v>23</v>
      </c>
      <c r="N229" t="str">
        <v>Normal Order</v>
      </c>
    </row>
    <row r="230" spans="1:14">
      <c r="A230" s="7" t="s">
        <v>467</v>
      </c>
      <c r="B230" s="8">
        <v>41080</v>
      </c>
      <c r="C230" s="8">
        <v>41083</v>
      </c>
      <c r="D230" s="7" t="s">
        <v>468</v>
      </c>
      <c r="E230" s="7" t="s">
        <v>62</v>
      </c>
      <c r="F230" s="7" t="s">
        <v>63</v>
      </c>
      <c r="G230" s="7" t="s">
        <v>28</v>
      </c>
      <c r="H230" s="7" t="s">
        <v>2655</v>
      </c>
      <c r="I230" s="9">
        <v>1696.24799999999</v>
      </c>
      <c r="J230" s="7">
        <v>4</v>
      </c>
      <c r="K230" s="11">
        <v>0.1</v>
      </c>
      <c r="L230" s="9">
        <v>734.928</v>
      </c>
      <c r="M230" s="7" t="s">
        <v>32</v>
      </c>
      <c r="N230" t="str">
        <v>Normal Order</v>
      </c>
    </row>
    <row r="231" spans="1:14">
      <c r="A231" s="7" t="s">
        <v>470</v>
      </c>
      <c r="B231" s="8">
        <v>42273</v>
      </c>
      <c r="C231" s="8">
        <v>42276</v>
      </c>
      <c r="D231" s="7" t="s">
        <v>406</v>
      </c>
      <c r="E231" s="7" t="s">
        <v>35</v>
      </c>
      <c r="F231" s="7" t="s">
        <v>102</v>
      </c>
      <c r="G231" s="7" t="s">
        <v>154</v>
      </c>
      <c r="H231" s="7" t="s">
        <v>2663</v>
      </c>
      <c r="I231" s="9">
        <v>190.89599999999999</v>
      </c>
      <c r="J231" s="7">
        <v>2</v>
      </c>
      <c r="K231" s="11">
        <v>0.2</v>
      </c>
      <c r="L231" s="9">
        <v>-42.951599999999999</v>
      </c>
      <c r="M231" s="7" t="s">
        <v>17</v>
      </c>
      <c r="N231" t="str">
        <v>Normal Order</v>
      </c>
    </row>
    <row r="232" spans="1:14">
      <c r="A232" s="7" t="s">
        <v>471</v>
      </c>
      <c r="B232" s="8">
        <v>42144</v>
      </c>
      <c r="C232" s="8">
        <v>42149</v>
      </c>
      <c r="D232" s="7" t="s">
        <v>406</v>
      </c>
      <c r="E232" s="7" t="s">
        <v>35</v>
      </c>
      <c r="F232" s="7" t="s">
        <v>142</v>
      </c>
      <c r="G232" s="7" t="s">
        <v>28</v>
      </c>
      <c r="H232" s="7" t="s">
        <v>2655</v>
      </c>
      <c r="I232" s="9">
        <v>314.35199999999998</v>
      </c>
      <c r="J232" s="7">
        <v>3</v>
      </c>
      <c r="K232" s="11">
        <v>0.2</v>
      </c>
      <c r="L232" s="9"/>
      <c r="M232" s="7" t="s">
        <v>17</v>
      </c>
      <c r="N232" t="str">
        <v>Normal Order</v>
      </c>
    </row>
    <row r="233" spans="1:14">
      <c r="A233" s="7" t="s">
        <v>473</v>
      </c>
      <c r="B233" s="8">
        <v>42334</v>
      </c>
      <c r="C233" s="8">
        <v>42337</v>
      </c>
      <c r="D233" s="7" t="s">
        <v>264</v>
      </c>
      <c r="E233" s="7" t="s">
        <v>425</v>
      </c>
      <c r="F233" s="7" t="s">
        <v>426</v>
      </c>
      <c r="G233" s="7" t="s">
        <v>39</v>
      </c>
      <c r="H233" s="7" t="s">
        <v>2657</v>
      </c>
      <c r="I233" s="9">
        <v>1237.56</v>
      </c>
      <c r="J233" s="7">
        <v>4</v>
      </c>
      <c r="K233" s="11">
        <v>0</v>
      </c>
      <c r="L233" s="9">
        <v>606.36</v>
      </c>
      <c r="M233" s="7" t="s">
        <v>23</v>
      </c>
      <c r="N233" t="str">
        <v>Normal Order</v>
      </c>
    </row>
    <row r="234" spans="1:14">
      <c r="A234" s="7" t="s">
        <v>474</v>
      </c>
      <c r="B234" s="8">
        <v>41363</v>
      </c>
      <c r="C234" s="7"/>
      <c r="D234" s="7" t="s">
        <v>475</v>
      </c>
      <c r="E234" s="7" t="s">
        <v>476</v>
      </c>
      <c r="F234" s="7" t="s">
        <v>222</v>
      </c>
      <c r="G234" s="7" t="s">
        <v>16</v>
      </c>
      <c r="H234" s="7" t="s">
        <v>2660</v>
      </c>
      <c r="I234" s="9">
        <v>1274.7</v>
      </c>
      <c r="J234" s="7">
        <v>2</v>
      </c>
      <c r="K234" s="11">
        <v>0</v>
      </c>
      <c r="L234" s="9">
        <v>140.16</v>
      </c>
      <c r="M234" s="7" t="s">
        <v>23</v>
      </c>
      <c r="N234" t="str">
        <v>Normal Order</v>
      </c>
    </row>
    <row r="235" spans="1:14">
      <c r="A235" s="7" t="s">
        <v>477</v>
      </c>
      <c r="B235" s="8">
        <v>41222</v>
      </c>
      <c r="C235" s="8">
        <v>41227</v>
      </c>
      <c r="D235" s="7" t="s">
        <v>478</v>
      </c>
      <c r="E235" s="7" t="s">
        <v>265</v>
      </c>
      <c r="F235" s="7"/>
      <c r="G235" s="7" t="s">
        <v>39</v>
      </c>
      <c r="H235" s="7" t="s">
        <v>2661</v>
      </c>
      <c r="I235" s="9">
        <v>3172.14</v>
      </c>
      <c r="J235" s="7">
        <v>9</v>
      </c>
      <c r="K235" s="11">
        <v>0</v>
      </c>
      <c r="L235" s="9">
        <v>856.43999999999903</v>
      </c>
      <c r="M235" s="7" t="s">
        <v>17</v>
      </c>
      <c r="N235" t="str">
        <v>Bulk Order</v>
      </c>
    </row>
    <row r="236" spans="1:14">
      <c r="A236" s="7" t="s">
        <v>405</v>
      </c>
      <c r="B236" s="8">
        <v>42301</v>
      </c>
      <c r="C236" s="8">
        <v>42302</v>
      </c>
      <c r="D236" s="7" t="s">
        <v>406</v>
      </c>
      <c r="E236" s="7" t="s">
        <v>35</v>
      </c>
      <c r="F236" s="7" t="s">
        <v>102</v>
      </c>
      <c r="G236" s="7" t="s">
        <v>39</v>
      </c>
      <c r="H236" s="7" t="s">
        <v>2656</v>
      </c>
      <c r="I236" s="9">
        <v>43.44</v>
      </c>
      <c r="J236" s="7">
        <v>8</v>
      </c>
      <c r="K236" s="11"/>
      <c r="L236" s="9">
        <v>21.285599999999999</v>
      </c>
      <c r="M236" s="7" t="s">
        <v>23</v>
      </c>
      <c r="N236" t="str">
        <v>Bulk Order</v>
      </c>
    </row>
    <row r="237" spans="1:14">
      <c r="A237" s="7" t="s">
        <v>479</v>
      </c>
      <c r="B237" s="8">
        <v>41487</v>
      </c>
      <c r="C237" s="8">
        <v>41492</v>
      </c>
      <c r="D237" s="7" t="s">
        <v>480</v>
      </c>
      <c r="E237" s="7" t="s">
        <v>84</v>
      </c>
      <c r="F237" s="7" t="s">
        <v>85</v>
      </c>
      <c r="G237" s="7" t="s">
        <v>39</v>
      </c>
      <c r="H237" s="7" t="s">
        <v>2661</v>
      </c>
      <c r="I237" s="9">
        <v>3979.29</v>
      </c>
      <c r="J237" s="7">
        <v>7</v>
      </c>
      <c r="K237" s="11">
        <v>0</v>
      </c>
      <c r="L237" s="9">
        <v>1989.53999999999</v>
      </c>
      <c r="M237" s="7" t="s">
        <v>17</v>
      </c>
      <c r="N237" t="str">
        <v>Bulk Order</v>
      </c>
    </row>
    <row r="238" spans="1:14">
      <c r="A238" s="7" t="s">
        <v>433</v>
      </c>
      <c r="B238" s="8">
        <v>41991</v>
      </c>
      <c r="C238" s="8">
        <v>41995</v>
      </c>
      <c r="D238" s="7" t="s">
        <v>406</v>
      </c>
      <c r="E238" s="7" t="s">
        <v>35</v>
      </c>
      <c r="F238" s="7" t="s">
        <v>481</v>
      </c>
      <c r="G238" s="7" t="s">
        <v>39</v>
      </c>
      <c r="H238" s="7" t="s">
        <v>2659</v>
      </c>
      <c r="I238" s="9">
        <v>51.84</v>
      </c>
      <c r="J238" s="7">
        <v>10</v>
      </c>
      <c r="K238" s="11">
        <v>0.2</v>
      </c>
      <c r="L238" s="9">
        <v>18.143999999999998</v>
      </c>
      <c r="M238" s="7" t="s">
        <v>17</v>
      </c>
      <c r="N238" t="str">
        <v>Bulk Order</v>
      </c>
    </row>
    <row r="239" spans="1:14">
      <c r="A239" s="7" t="s">
        <v>429</v>
      </c>
      <c r="B239" s="8">
        <v>41817</v>
      </c>
      <c r="C239" s="8">
        <v>41817</v>
      </c>
      <c r="D239" s="7" t="s">
        <v>406</v>
      </c>
      <c r="E239" s="7" t="s">
        <v>35</v>
      </c>
      <c r="F239" s="7" t="s">
        <v>38</v>
      </c>
      <c r="G239" s="7" t="s">
        <v>39</v>
      </c>
      <c r="H239" s="7" t="s">
        <v>2661</v>
      </c>
      <c r="I239" s="9">
        <v>17.899999999999999</v>
      </c>
      <c r="J239" s="7">
        <v>5</v>
      </c>
      <c r="K239" s="11">
        <v>0</v>
      </c>
      <c r="L239" s="9">
        <v>8.9499999999999993</v>
      </c>
      <c r="M239" s="7" t="s">
        <v>23</v>
      </c>
      <c r="N239" t="str">
        <v>Normal Order</v>
      </c>
    </row>
    <row r="240" spans="1:14">
      <c r="A240" s="7" t="s">
        <v>429</v>
      </c>
      <c r="B240" s="8">
        <v>41817</v>
      </c>
      <c r="C240" s="8">
        <v>41817</v>
      </c>
      <c r="D240" s="7" t="s">
        <v>406</v>
      </c>
      <c r="E240" s="7" t="s">
        <v>35</v>
      </c>
      <c r="F240" s="7" t="s">
        <v>38</v>
      </c>
      <c r="G240" s="7" t="s">
        <v>39</v>
      </c>
      <c r="H240" s="7" t="s">
        <v>2655</v>
      </c>
      <c r="I240" s="9">
        <v>12.48</v>
      </c>
      <c r="J240" s="7">
        <v>2</v>
      </c>
      <c r="K240" s="11"/>
      <c r="L240" s="9">
        <v>5.6159999999999997</v>
      </c>
      <c r="M240" s="7" t="s">
        <v>23</v>
      </c>
      <c r="N240" t="str">
        <v>Normal Order</v>
      </c>
    </row>
    <row r="241" spans="1:14">
      <c r="A241" s="7" t="s">
        <v>482</v>
      </c>
      <c r="B241" s="8">
        <v>41662</v>
      </c>
      <c r="C241" s="8">
        <v>41666</v>
      </c>
      <c r="D241" s="7" t="s">
        <v>455</v>
      </c>
      <c r="E241" s="7" t="s">
        <v>483</v>
      </c>
      <c r="F241" s="7" t="s">
        <v>49</v>
      </c>
      <c r="G241" s="7" t="s">
        <v>28</v>
      </c>
      <c r="H241" s="7" t="s">
        <v>2662</v>
      </c>
      <c r="I241" s="9">
        <v>2058</v>
      </c>
      <c r="J241" s="7">
        <v>4</v>
      </c>
      <c r="K241" s="11">
        <v>0</v>
      </c>
      <c r="L241" s="9">
        <v>946.68</v>
      </c>
      <c r="M241" s="7" t="s">
        <v>32</v>
      </c>
      <c r="N241" t="str">
        <v>Normal Order</v>
      </c>
    </row>
    <row r="242" spans="1:14">
      <c r="A242" s="7" t="s">
        <v>484</v>
      </c>
      <c r="B242" s="8">
        <v>41049</v>
      </c>
      <c r="C242" s="8">
        <v>41053</v>
      </c>
      <c r="D242" s="7" t="s">
        <v>485</v>
      </c>
      <c r="E242" s="7" t="s">
        <v>131</v>
      </c>
      <c r="F242" s="7" t="s">
        <v>132</v>
      </c>
      <c r="G242" s="7" t="s">
        <v>28</v>
      </c>
      <c r="H242" s="7" t="s">
        <v>2656</v>
      </c>
      <c r="I242" s="9">
        <v>2539.8764999999898</v>
      </c>
      <c r="J242" s="7">
        <v>7</v>
      </c>
      <c r="K242" s="11">
        <v>7.0000000000000007E-2</v>
      </c>
      <c r="L242" s="9"/>
      <c r="M242" s="7" t="s">
        <v>32</v>
      </c>
      <c r="N242" t="str">
        <v>Bulk Order</v>
      </c>
    </row>
    <row r="243" spans="1:14">
      <c r="A243" s="7" t="s">
        <v>486</v>
      </c>
      <c r="B243" s="8">
        <v>42275</v>
      </c>
      <c r="C243" s="8">
        <v>42278</v>
      </c>
      <c r="D243" s="7" t="s">
        <v>487</v>
      </c>
      <c r="E243" s="7" t="s">
        <v>84</v>
      </c>
      <c r="F243" s="7" t="s">
        <v>85</v>
      </c>
      <c r="G243" s="7" t="s">
        <v>28</v>
      </c>
      <c r="H243" s="7" t="s">
        <v>2658</v>
      </c>
      <c r="I243" s="9">
        <v>2898.21</v>
      </c>
      <c r="J243" s="7">
        <v>7</v>
      </c>
      <c r="K243" s="11">
        <v>0</v>
      </c>
      <c r="L243" s="9">
        <v>1420.02</v>
      </c>
      <c r="M243" s="7" t="s">
        <v>32</v>
      </c>
      <c r="N243" t="str">
        <v>Bulk Order</v>
      </c>
    </row>
    <row r="244" spans="1:14">
      <c r="A244" s="7" t="s">
        <v>488</v>
      </c>
      <c r="B244" s="8">
        <v>41218</v>
      </c>
      <c r="C244" s="8">
        <v>41220</v>
      </c>
      <c r="D244" s="7" t="s">
        <v>489</v>
      </c>
      <c r="E244" s="7" t="s">
        <v>62</v>
      </c>
      <c r="F244" s="7" t="s">
        <v>63</v>
      </c>
      <c r="G244" s="7" t="s">
        <v>16</v>
      </c>
      <c r="H244" s="7" t="s">
        <v>2663</v>
      </c>
      <c r="I244" s="9">
        <v>1320.0074999999999</v>
      </c>
      <c r="J244" s="7">
        <v>5</v>
      </c>
      <c r="K244" s="11">
        <v>0.15</v>
      </c>
      <c r="L244" s="9">
        <v>357.15750000000003</v>
      </c>
      <c r="M244" s="7" t="s">
        <v>23</v>
      </c>
      <c r="N244" t="str">
        <v>Normal Order</v>
      </c>
    </row>
    <row r="245" spans="1:14">
      <c r="A245" s="7" t="s">
        <v>490</v>
      </c>
      <c r="B245" s="8">
        <v>42032</v>
      </c>
      <c r="C245" s="8">
        <v>42034</v>
      </c>
      <c r="D245" s="7" t="s">
        <v>491</v>
      </c>
      <c r="E245" s="7" t="s">
        <v>492</v>
      </c>
      <c r="F245" s="7" t="s">
        <v>85</v>
      </c>
      <c r="G245" s="7" t="s">
        <v>28</v>
      </c>
      <c r="H245" s="7" t="s">
        <v>2663</v>
      </c>
      <c r="I245" s="9">
        <v>2171.16</v>
      </c>
      <c r="J245" s="7">
        <v>8</v>
      </c>
      <c r="K245" s="11">
        <v>0.7</v>
      </c>
      <c r="L245" s="9">
        <v>-2750.2799999999902</v>
      </c>
      <c r="M245" s="7" t="s">
        <v>32</v>
      </c>
      <c r="N245" t="str">
        <v>Bulk Order</v>
      </c>
    </row>
    <row r="246" spans="1:14">
      <c r="A246" s="7" t="s">
        <v>494</v>
      </c>
      <c r="B246" s="8">
        <v>42260</v>
      </c>
      <c r="C246" s="7" t="s">
        <v>116</v>
      </c>
      <c r="D246" s="7" t="s">
        <v>495</v>
      </c>
      <c r="E246" s="7" t="s">
        <v>14</v>
      </c>
      <c r="F246" s="7" t="s">
        <v>15</v>
      </c>
      <c r="G246" s="7" t="s">
        <v>16</v>
      </c>
      <c r="H246" s="7" t="s">
        <v>2662</v>
      </c>
      <c r="I246" s="9">
        <v>4448.223</v>
      </c>
      <c r="J246" s="7">
        <v>13</v>
      </c>
      <c r="K246" s="11">
        <v>0.1</v>
      </c>
      <c r="L246" s="9">
        <v>444.483</v>
      </c>
      <c r="M246" s="7" t="s">
        <v>17</v>
      </c>
      <c r="N246" t="str">
        <v>Bulk Order</v>
      </c>
    </row>
    <row r="247" spans="1:14">
      <c r="A247" s="7" t="s">
        <v>496</v>
      </c>
      <c r="B247" s="8">
        <v>42335</v>
      </c>
      <c r="C247" s="8">
        <v>42016</v>
      </c>
      <c r="D247" s="7" t="s">
        <v>406</v>
      </c>
      <c r="E247" s="7" t="s">
        <v>35</v>
      </c>
      <c r="F247" s="7" t="s">
        <v>142</v>
      </c>
      <c r="G247" s="7" t="s">
        <v>39</v>
      </c>
      <c r="H247" s="7" t="s">
        <v>2658</v>
      </c>
      <c r="I247" s="9">
        <v>12.84</v>
      </c>
      <c r="J247" s="7">
        <v>3</v>
      </c>
      <c r="K247" s="11">
        <v>0</v>
      </c>
      <c r="L247" s="9">
        <v>3.72359999999999</v>
      </c>
      <c r="M247" s="7" t="s">
        <v>17</v>
      </c>
      <c r="N247" t="str">
        <v>Normal Order</v>
      </c>
    </row>
    <row r="248" spans="1:14">
      <c r="A248" s="7" t="s">
        <v>497</v>
      </c>
      <c r="B248" s="8">
        <v>41264</v>
      </c>
      <c r="C248" s="8">
        <v>41266</v>
      </c>
      <c r="D248" s="7" t="s">
        <v>498</v>
      </c>
      <c r="E248" s="7" t="s">
        <v>499</v>
      </c>
      <c r="F248" s="7" t="s">
        <v>53</v>
      </c>
      <c r="G248" s="7" t="s">
        <v>16</v>
      </c>
      <c r="H248" s="7" t="s">
        <v>2657</v>
      </c>
      <c r="I248" s="9">
        <v>2300.61599999999</v>
      </c>
      <c r="J248" s="7">
        <v>9</v>
      </c>
      <c r="K248" s="11">
        <v>0.4</v>
      </c>
      <c r="L248" s="9">
        <v>38.196000000000097</v>
      </c>
      <c r="M248" s="7" t="s">
        <v>32</v>
      </c>
      <c r="N248" t="str">
        <v>Bulk Order</v>
      </c>
    </row>
    <row r="249" spans="1:14">
      <c r="A249" s="7" t="s">
        <v>500</v>
      </c>
      <c r="B249" s="8">
        <v>41675</v>
      </c>
      <c r="C249" s="8">
        <v>41677</v>
      </c>
      <c r="D249" s="7" t="s">
        <v>501</v>
      </c>
      <c r="E249" s="7" t="s">
        <v>476</v>
      </c>
      <c r="F249" s="7" t="s">
        <v>222</v>
      </c>
      <c r="G249" s="7" t="s">
        <v>28</v>
      </c>
      <c r="H249" s="7" t="s">
        <v>2658</v>
      </c>
      <c r="I249" s="9"/>
      <c r="J249" s="7">
        <v>6</v>
      </c>
      <c r="K249" s="11">
        <v>0</v>
      </c>
      <c r="L249" s="9">
        <v>1072.44</v>
      </c>
      <c r="M249" s="7" t="s">
        <v>23</v>
      </c>
      <c r="N249" t="str">
        <v>Bulk Order</v>
      </c>
    </row>
    <row r="250" spans="1:14">
      <c r="A250" s="7" t="s">
        <v>502</v>
      </c>
      <c r="B250" s="8">
        <v>41270</v>
      </c>
      <c r="C250" s="8">
        <v>41271</v>
      </c>
      <c r="D250" s="7" t="s">
        <v>503</v>
      </c>
      <c r="E250" s="7"/>
      <c r="F250" s="7" t="s">
        <v>106</v>
      </c>
      <c r="G250" s="7" t="s">
        <v>16</v>
      </c>
      <c r="H250" s="7" t="s">
        <v>2656</v>
      </c>
      <c r="I250" s="9">
        <v>1066.68</v>
      </c>
      <c r="J250" s="7">
        <v>3</v>
      </c>
      <c r="K250" s="11">
        <v>0</v>
      </c>
      <c r="L250" s="9">
        <v>394.65</v>
      </c>
      <c r="M250" s="7" t="s">
        <v>23</v>
      </c>
      <c r="N250" t="str">
        <v>Normal Order</v>
      </c>
    </row>
    <row r="251" spans="1:14">
      <c r="A251" s="7" t="s">
        <v>405</v>
      </c>
      <c r="B251" s="8">
        <v>42301</v>
      </c>
      <c r="C251" s="8">
        <v>42302</v>
      </c>
      <c r="D251" s="7" t="s">
        <v>406</v>
      </c>
      <c r="E251" s="7" t="s">
        <v>35</v>
      </c>
      <c r="F251" s="7" t="s">
        <v>102</v>
      </c>
      <c r="G251" s="7" t="s">
        <v>39</v>
      </c>
      <c r="H251" s="7" t="s">
        <v>2663</v>
      </c>
      <c r="I251" s="9">
        <v>2.2200000000000002</v>
      </c>
      <c r="J251" s="7">
        <v>1</v>
      </c>
      <c r="K251" s="11">
        <v>0</v>
      </c>
      <c r="L251" s="9">
        <v>0.66599999999999904</v>
      </c>
      <c r="M251" s="7" t="s">
        <v>23</v>
      </c>
      <c r="N251" t="str">
        <v>Normal Order</v>
      </c>
    </row>
    <row r="252" spans="1:14">
      <c r="A252" s="7" t="s">
        <v>505</v>
      </c>
      <c r="B252" s="7"/>
      <c r="C252" s="8">
        <v>41028</v>
      </c>
      <c r="D252" s="7" t="s">
        <v>506</v>
      </c>
      <c r="E252" s="7" t="s">
        <v>507</v>
      </c>
      <c r="F252" s="7" t="s">
        <v>426</v>
      </c>
      <c r="G252" s="7" t="s">
        <v>16</v>
      </c>
      <c r="H252" s="7" t="s">
        <v>2657</v>
      </c>
      <c r="I252" s="9">
        <v>2544.6</v>
      </c>
      <c r="J252" s="7">
        <v>4</v>
      </c>
      <c r="K252" s="11">
        <v>0</v>
      </c>
      <c r="L252" s="9"/>
      <c r="M252" s="7" t="s">
        <v>32</v>
      </c>
      <c r="N252" t="str">
        <v>Normal Order</v>
      </c>
    </row>
    <row r="253" spans="1:14">
      <c r="A253" s="7" t="s">
        <v>508</v>
      </c>
      <c r="B253" s="8">
        <v>41187</v>
      </c>
      <c r="C253" s="8">
        <v>41192</v>
      </c>
      <c r="D253" s="7" t="s">
        <v>509</v>
      </c>
      <c r="E253" s="7" t="s">
        <v>27</v>
      </c>
      <c r="F253" s="7" t="s">
        <v>15</v>
      </c>
      <c r="G253" s="7" t="s">
        <v>28</v>
      </c>
      <c r="H253" s="7" t="s">
        <v>2655</v>
      </c>
      <c r="I253" s="9">
        <v>3694.68</v>
      </c>
      <c r="J253" s="7">
        <v>4</v>
      </c>
      <c r="K253" s="11"/>
      <c r="L253" s="9">
        <v>886.68</v>
      </c>
      <c r="M253" s="7" t="s">
        <v>32</v>
      </c>
      <c r="N253" t="str">
        <v>Normal Order</v>
      </c>
    </row>
    <row r="254" spans="1:14">
      <c r="A254" s="7" t="s">
        <v>510</v>
      </c>
      <c r="B254" s="7"/>
      <c r="C254" s="8">
        <v>41877</v>
      </c>
      <c r="D254" s="7" t="s">
        <v>511</v>
      </c>
      <c r="E254" s="7" t="s">
        <v>58</v>
      </c>
      <c r="F254" s="7" t="s">
        <v>81</v>
      </c>
      <c r="G254" s="7" t="s">
        <v>28</v>
      </c>
      <c r="H254" s="7" t="s">
        <v>2656</v>
      </c>
      <c r="I254" s="9">
        <v>2214.8490000000002</v>
      </c>
      <c r="J254" s="7">
        <v>7</v>
      </c>
      <c r="K254" s="11">
        <v>0.3</v>
      </c>
      <c r="L254" s="9">
        <v>-221.571</v>
      </c>
      <c r="M254" s="7" t="s">
        <v>23</v>
      </c>
      <c r="N254" t="str">
        <v>Bulk Order</v>
      </c>
    </row>
    <row r="255" spans="1:14">
      <c r="A255" s="7" t="s">
        <v>512</v>
      </c>
      <c r="B255" s="8">
        <v>41903</v>
      </c>
      <c r="C255" s="8">
        <v>41906</v>
      </c>
      <c r="D255" s="7" t="s">
        <v>513</v>
      </c>
      <c r="E255" s="7" t="s">
        <v>52</v>
      </c>
      <c r="F255" s="7" t="s">
        <v>53</v>
      </c>
      <c r="G255" s="7" t="s">
        <v>28</v>
      </c>
      <c r="H255" s="7" t="s">
        <v>2658</v>
      </c>
      <c r="I255" s="9">
        <v>1236.47999999999</v>
      </c>
      <c r="J255" s="7">
        <v>4</v>
      </c>
      <c r="K255" s="11">
        <v>0</v>
      </c>
      <c r="L255" s="9">
        <v>111.28</v>
      </c>
      <c r="M255" s="7" t="s">
        <v>23</v>
      </c>
      <c r="N255" t="str">
        <v>Normal Order</v>
      </c>
    </row>
    <row r="256" spans="1:14">
      <c r="A256" s="7" t="s">
        <v>514</v>
      </c>
      <c r="B256" s="8">
        <v>42355</v>
      </c>
      <c r="C256" s="8">
        <v>42357</v>
      </c>
      <c r="D256" s="7" t="s">
        <v>515</v>
      </c>
      <c r="E256" s="7" t="s">
        <v>200</v>
      </c>
      <c r="F256" s="7" t="s">
        <v>89</v>
      </c>
      <c r="G256" s="7" t="s">
        <v>39</v>
      </c>
      <c r="H256" s="7" t="s">
        <v>2658</v>
      </c>
      <c r="I256" s="9"/>
      <c r="J256" s="7">
        <v>5</v>
      </c>
      <c r="K256" s="11">
        <v>0</v>
      </c>
      <c r="L256" s="9">
        <v>126.4</v>
      </c>
      <c r="M256" s="7" t="s">
        <v>23</v>
      </c>
      <c r="N256" t="str">
        <v>Normal Order</v>
      </c>
    </row>
    <row r="257" spans="1:14">
      <c r="A257" s="7" t="s">
        <v>516</v>
      </c>
      <c r="B257" s="7" t="s">
        <v>116</v>
      </c>
      <c r="C257" s="8">
        <v>41234</v>
      </c>
      <c r="D257" s="7" t="s">
        <v>406</v>
      </c>
      <c r="E257" s="7" t="s">
        <v>35</v>
      </c>
      <c r="F257" s="7" t="s">
        <v>234</v>
      </c>
      <c r="G257" s="7" t="s">
        <v>39</v>
      </c>
      <c r="H257" s="7" t="s">
        <v>2655</v>
      </c>
      <c r="I257" s="9">
        <v>5.22</v>
      </c>
      <c r="J257" s="7">
        <v>2</v>
      </c>
      <c r="K257" s="11">
        <v>0</v>
      </c>
      <c r="L257" s="9">
        <v>2.4011999999999998</v>
      </c>
      <c r="M257" s="7" t="s">
        <v>17</v>
      </c>
      <c r="N257" t="str">
        <v>Normal Order</v>
      </c>
    </row>
    <row r="258" spans="1:14">
      <c r="A258" s="7" t="s">
        <v>517</v>
      </c>
      <c r="B258" s="8">
        <v>41629</v>
      </c>
      <c r="C258" s="8">
        <v>41631</v>
      </c>
      <c r="D258" s="7" t="s">
        <v>406</v>
      </c>
      <c r="E258" s="7" t="s">
        <v>35</v>
      </c>
      <c r="F258" s="7" t="s">
        <v>102</v>
      </c>
      <c r="G258" s="7" t="s">
        <v>39</v>
      </c>
      <c r="H258" s="7" t="s">
        <v>2661</v>
      </c>
      <c r="I258" s="9">
        <v>3.008</v>
      </c>
      <c r="J258" s="7"/>
      <c r="K258" s="11">
        <v>0.2</v>
      </c>
      <c r="L258" s="9">
        <v>0.33839999999999898</v>
      </c>
      <c r="M258" s="7" t="s">
        <v>32</v>
      </c>
      <c r="N258" t="str">
        <v>Normal Order</v>
      </c>
    </row>
    <row r="259" spans="1:14">
      <c r="A259" s="7" t="s">
        <v>470</v>
      </c>
      <c r="B259" s="8">
        <v>42273</v>
      </c>
      <c r="C259" s="8">
        <v>42276</v>
      </c>
      <c r="D259" s="7" t="s">
        <v>406</v>
      </c>
      <c r="E259" s="7" t="s">
        <v>35</v>
      </c>
      <c r="F259" s="7" t="s">
        <v>102</v>
      </c>
      <c r="G259" s="7" t="s">
        <v>39</v>
      </c>
      <c r="H259" s="7" t="s">
        <v>2662</v>
      </c>
      <c r="I259" s="9">
        <v>8.5950000000000006</v>
      </c>
      <c r="J259" s="7">
        <v>5</v>
      </c>
      <c r="K259" s="11">
        <v>0.7</v>
      </c>
      <c r="L259" s="9">
        <v>-6.3029999999999999</v>
      </c>
      <c r="M259" s="7" t="s">
        <v>17</v>
      </c>
      <c r="N259" t="str">
        <v>Normal Order</v>
      </c>
    </row>
    <row r="260" spans="1:14">
      <c r="A260" s="7" t="s">
        <v>518</v>
      </c>
      <c r="B260" s="8">
        <v>42158</v>
      </c>
      <c r="C260" s="8">
        <v>42162</v>
      </c>
      <c r="D260" s="7" t="s">
        <v>519</v>
      </c>
      <c r="E260" s="7" t="s">
        <v>200</v>
      </c>
      <c r="F260" s="7" t="s">
        <v>89</v>
      </c>
      <c r="G260" s="7" t="s">
        <v>39</v>
      </c>
      <c r="H260" s="7" t="s">
        <v>2654</v>
      </c>
      <c r="I260" s="9"/>
      <c r="J260" s="7">
        <v>5</v>
      </c>
      <c r="K260" s="11"/>
      <c r="L260" s="9">
        <v>54.299999999999898</v>
      </c>
      <c r="M260" s="7" t="s">
        <v>32</v>
      </c>
      <c r="N260" t="str">
        <v>Normal Order</v>
      </c>
    </row>
    <row r="261" spans="1:14">
      <c r="A261" s="7" t="s">
        <v>520</v>
      </c>
      <c r="B261" s="8">
        <v>42259</v>
      </c>
      <c r="C261" s="8">
        <v>42261</v>
      </c>
      <c r="D261" s="7" t="s">
        <v>172</v>
      </c>
      <c r="E261" s="7" t="s">
        <v>200</v>
      </c>
      <c r="F261" s="7" t="s">
        <v>89</v>
      </c>
      <c r="G261" s="7" t="s">
        <v>16</v>
      </c>
      <c r="H261" s="7" t="s">
        <v>2659</v>
      </c>
      <c r="I261" s="9">
        <v>2120.5</v>
      </c>
      <c r="J261" s="7">
        <v>5</v>
      </c>
      <c r="K261" s="11">
        <v>0</v>
      </c>
      <c r="L261" s="9">
        <v>106</v>
      </c>
      <c r="M261" s="7" t="s">
        <v>23</v>
      </c>
      <c r="N261" t="str">
        <v>Normal Order</v>
      </c>
    </row>
    <row r="262" spans="1:14">
      <c r="A262" s="7" t="s">
        <v>521</v>
      </c>
      <c r="B262" s="10">
        <v>42111</v>
      </c>
      <c r="C262" s="8">
        <v>42111</v>
      </c>
      <c r="D262" s="7" t="s">
        <v>522</v>
      </c>
      <c r="E262" s="7" t="s">
        <v>58</v>
      </c>
      <c r="F262" s="7" t="s">
        <v>81</v>
      </c>
      <c r="G262" s="7" t="s">
        <v>16</v>
      </c>
      <c r="H262" s="7" t="s">
        <v>2661</v>
      </c>
      <c r="I262" s="9">
        <v>1275</v>
      </c>
      <c r="J262" s="7">
        <v>2</v>
      </c>
      <c r="K262" s="11">
        <v>0</v>
      </c>
      <c r="L262" s="9">
        <v>140.22</v>
      </c>
      <c r="M262" s="7" t="s">
        <v>23</v>
      </c>
      <c r="N262" t="str">
        <v>Normal Order</v>
      </c>
    </row>
    <row r="263" spans="1:14">
      <c r="A263" s="7" t="s">
        <v>523</v>
      </c>
      <c r="B263" s="8">
        <v>41599</v>
      </c>
      <c r="C263" s="8">
        <v>41602</v>
      </c>
      <c r="D263" s="7" t="s">
        <v>524</v>
      </c>
      <c r="E263" s="7"/>
      <c r="F263" s="7" t="s">
        <v>63</v>
      </c>
      <c r="G263" s="7" t="s">
        <v>16</v>
      </c>
      <c r="H263" s="7" t="s">
        <v>2656</v>
      </c>
      <c r="I263" s="9">
        <v>1593.6479999999999</v>
      </c>
      <c r="J263" s="7"/>
      <c r="K263" s="11">
        <v>0.15</v>
      </c>
      <c r="L263" s="9">
        <v>-225.16200000000001</v>
      </c>
      <c r="M263" s="7" t="s">
        <v>396</v>
      </c>
      <c r="N263" t="str">
        <v>Normal Order</v>
      </c>
    </row>
    <row r="264" spans="1:14">
      <c r="A264" s="7"/>
      <c r="B264" s="8">
        <v>42069</v>
      </c>
      <c r="C264" s="8">
        <v>42071</v>
      </c>
      <c r="D264" s="7" t="s">
        <v>525</v>
      </c>
      <c r="E264" s="7" t="s">
        <v>62</v>
      </c>
      <c r="F264" s="7" t="s">
        <v>63</v>
      </c>
      <c r="G264" s="7" t="s">
        <v>28</v>
      </c>
      <c r="H264" s="7" t="s">
        <v>2656</v>
      </c>
      <c r="I264" s="9">
        <v>1114.2360000000001</v>
      </c>
      <c r="J264" s="7">
        <v>3</v>
      </c>
      <c r="K264" s="11">
        <v>0.1</v>
      </c>
      <c r="L264" s="9">
        <v>383.70600000000002</v>
      </c>
      <c r="M264" s="7" t="s">
        <v>23</v>
      </c>
      <c r="N264" t="str">
        <v>Normal Order</v>
      </c>
    </row>
    <row r="265" spans="1:14">
      <c r="A265" s="7" t="s">
        <v>526</v>
      </c>
      <c r="B265" s="8">
        <v>41478</v>
      </c>
      <c r="C265" s="8">
        <v>41483</v>
      </c>
      <c r="D265" s="7" t="s">
        <v>527</v>
      </c>
      <c r="E265" s="7" t="s">
        <v>20</v>
      </c>
      <c r="F265" s="7" t="s">
        <v>63</v>
      </c>
      <c r="G265" s="7" t="s">
        <v>16</v>
      </c>
      <c r="H265" s="7" t="s">
        <v>2662</v>
      </c>
      <c r="I265" s="9">
        <v>2944.08</v>
      </c>
      <c r="J265" s="7">
        <v>5</v>
      </c>
      <c r="K265" s="11">
        <v>0.1</v>
      </c>
      <c r="L265" s="9">
        <v>1112.1300000000001</v>
      </c>
      <c r="M265" s="7" t="s">
        <v>32</v>
      </c>
      <c r="N265" t="str">
        <v>Normal Order</v>
      </c>
    </row>
    <row r="266" spans="1:14">
      <c r="A266" s="7" t="s">
        <v>528</v>
      </c>
      <c r="B266" s="8">
        <v>42315</v>
      </c>
      <c r="C266" s="10">
        <v>42317</v>
      </c>
      <c r="D266" s="7" t="s">
        <v>529</v>
      </c>
      <c r="E266" s="7" t="s">
        <v>131</v>
      </c>
      <c r="F266" s="7" t="s">
        <v>132</v>
      </c>
      <c r="G266" s="7" t="s">
        <v>39</v>
      </c>
      <c r="H266" s="7" t="s">
        <v>2663</v>
      </c>
      <c r="I266" s="9">
        <v>3309.2597999999998</v>
      </c>
      <c r="J266" s="7">
        <v>7</v>
      </c>
      <c r="K266" s="11">
        <v>0.17</v>
      </c>
      <c r="L266" s="9">
        <v>318.85979999999898</v>
      </c>
      <c r="M266" s="7" t="s">
        <v>32</v>
      </c>
      <c r="N266" t="str">
        <v>Bulk Order</v>
      </c>
    </row>
    <row r="267" spans="1:14">
      <c r="A267" s="7" t="s">
        <v>530</v>
      </c>
      <c r="B267" s="8">
        <v>42330</v>
      </c>
      <c r="C267" s="7" t="s">
        <v>531</v>
      </c>
      <c r="D267" s="7" t="s">
        <v>532</v>
      </c>
      <c r="E267" s="7" t="s">
        <v>52</v>
      </c>
      <c r="F267" s="7" t="s">
        <v>53</v>
      </c>
      <c r="G267" s="7" t="s">
        <v>168</v>
      </c>
      <c r="H267" s="7" t="s">
        <v>2656</v>
      </c>
      <c r="I267" s="9">
        <v>897.48</v>
      </c>
      <c r="J267" s="7">
        <v>9</v>
      </c>
      <c r="K267" s="11">
        <v>0</v>
      </c>
      <c r="L267" s="9">
        <v>322.92</v>
      </c>
      <c r="M267" s="7" t="s">
        <v>23</v>
      </c>
      <c r="N267" t="str">
        <v>Bulk Order</v>
      </c>
    </row>
    <row r="268" spans="1:14">
      <c r="A268" s="7" t="s">
        <v>533</v>
      </c>
      <c r="B268" s="8">
        <v>41070</v>
      </c>
      <c r="C268" s="8">
        <v>41073</v>
      </c>
      <c r="D268" s="7" t="s">
        <v>534</v>
      </c>
      <c r="E268" s="7" t="s">
        <v>245</v>
      </c>
      <c r="F268" s="7" t="s">
        <v>63</v>
      </c>
      <c r="G268" s="7" t="s">
        <v>28</v>
      </c>
      <c r="H268" s="7" t="s">
        <v>2661</v>
      </c>
      <c r="I268" s="9">
        <v>2056.0499999999902</v>
      </c>
      <c r="J268" s="7">
        <v>5</v>
      </c>
      <c r="K268" s="11">
        <v>0</v>
      </c>
      <c r="L268" s="9">
        <v>390.6</v>
      </c>
      <c r="M268" s="7" t="s">
        <v>32</v>
      </c>
      <c r="N268" t="str">
        <v>Normal Order</v>
      </c>
    </row>
    <row r="269" spans="1:14">
      <c r="A269" s="7" t="s">
        <v>535</v>
      </c>
      <c r="B269" s="8">
        <v>41531</v>
      </c>
      <c r="C269" s="8">
        <v>41536</v>
      </c>
      <c r="D269" s="7" t="s">
        <v>536</v>
      </c>
      <c r="E269" s="7" t="s">
        <v>88</v>
      </c>
      <c r="F269" s="7" t="s">
        <v>89</v>
      </c>
      <c r="G269" s="7" t="s">
        <v>16</v>
      </c>
      <c r="H269" s="7" t="s">
        <v>2655</v>
      </c>
      <c r="I269" s="9"/>
      <c r="J269" s="7">
        <v>10</v>
      </c>
      <c r="K269" s="11">
        <v>2E-3</v>
      </c>
      <c r="L269" s="9">
        <v>18.859199999999898</v>
      </c>
      <c r="M269" s="7" t="s">
        <v>32</v>
      </c>
      <c r="N269" t="str">
        <v>Bulk Order</v>
      </c>
    </row>
    <row r="270" spans="1:14">
      <c r="A270" s="7" t="s">
        <v>538</v>
      </c>
      <c r="B270" s="8">
        <v>41237</v>
      </c>
      <c r="C270" s="8">
        <v>41237</v>
      </c>
      <c r="D270" s="7" t="s">
        <v>539</v>
      </c>
      <c r="E270" s="7" t="s">
        <v>14</v>
      </c>
      <c r="F270" s="7" t="s">
        <v>15</v>
      </c>
      <c r="G270" s="7" t="s">
        <v>16</v>
      </c>
      <c r="H270" s="7" t="s">
        <v>2663</v>
      </c>
      <c r="I270" s="9">
        <v>1336.356</v>
      </c>
      <c r="J270" s="7">
        <v>7</v>
      </c>
      <c r="K270" s="11">
        <v>0.4</v>
      </c>
      <c r="L270" s="9">
        <v>44.436</v>
      </c>
      <c r="M270" s="7" t="s">
        <v>23</v>
      </c>
      <c r="N270" t="str">
        <v>Bulk Order</v>
      </c>
    </row>
    <row r="271" spans="1:14">
      <c r="A271" s="7" t="s">
        <v>540</v>
      </c>
      <c r="B271" s="8">
        <v>41496</v>
      </c>
      <c r="C271" s="8">
        <v>41498</v>
      </c>
      <c r="D271" s="7" t="s">
        <v>541</v>
      </c>
      <c r="E271" s="7" t="s">
        <v>542</v>
      </c>
      <c r="F271" s="7" t="s">
        <v>81</v>
      </c>
      <c r="G271" s="7" t="s">
        <v>16</v>
      </c>
      <c r="H271" s="7" t="s">
        <v>2657</v>
      </c>
      <c r="I271" s="9">
        <v>3038.64</v>
      </c>
      <c r="J271" s="7">
        <v>8</v>
      </c>
      <c r="K271" s="11">
        <v>0</v>
      </c>
      <c r="L271" s="9">
        <v>1245.8399999999999</v>
      </c>
      <c r="M271" s="7" t="s">
        <v>32</v>
      </c>
      <c r="N271" t="str">
        <v>Bulk Order</v>
      </c>
    </row>
    <row r="272" spans="1:14">
      <c r="A272" s="7" t="s">
        <v>543</v>
      </c>
      <c r="B272" s="8">
        <v>41718</v>
      </c>
      <c r="C272" s="8">
        <v>41721</v>
      </c>
      <c r="D272" s="7"/>
      <c r="E272" s="7" t="s">
        <v>84</v>
      </c>
      <c r="F272" s="7" t="s">
        <v>85</v>
      </c>
      <c r="G272" s="7" t="s">
        <v>39</v>
      </c>
      <c r="H272" s="7" t="s">
        <v>2657</v>
      </c>
      <c r="I272" s="9">
        <v>2698.6499999999901</v>
      </c>
      <c r="J272" s="7">
        <v>9</v>
      </c>
      <c r="K272" s="11">
        <v>0</v>
      </c>
      <c r="L272" s="9">
        <v>890.46</v>
      </c>
      <c r="M272" s="7" t="s">
        <v>32</v>
      </c>
      <c r="N272" t="str">
        <v>Bulk Order</v>
      </c>
    </row>
    <row r="273" spans="1:14">
      <c r="A273" s="7" t="s">
        <v>544</v>
      </c>
      <c r="B273" s="8">
        <v>42003</v>
      </c>
      <c r="C273" s="8">
        <v>42008</v>
      </c>
      <c r="D273" s="7" t="s">
        <v>545</v>
      </c>
      <c r="E273" s="7" t="s">
        <v>546</v>
      </c>
      <c r="F273" s="7" t="s">
        <v>426</v>
      </c>
      <c r="G273" s="7" t="s">
        <v>16</v>
      </c>
      <c r="H273" s="7" t="s">
        <v>2657</v>
      </c>
      <c r="I273" s="9">
        <v>3799.08</v>
      </c>
      <c r="J273" s="7">
        <v>12</v>
      </c>
      <c r="K273" s="11">
        <v>0</v>
      </c>
      <c r="L273" s="9">
        <v>455.76</v>
      </c>
      <c r="M273" s="7" t="s">
        <v>17</v>
      </c>
      <c r="N273" t="str">
        <v>Bulk Order</v>
      </c>
    </row>
    <row r="274" spans="1:14">
      <c r="A274" s="7" t="s">
        <v>547</v>
      </c>
      <c r="B274" s="8">
        <v>41551</v>
      </c>
      <c r="C274" s="8">
        <v>41556</v>
      </c>
      <c r="D274" s="7" t="s">
        <v>548</v>
      </c>
      <c r="E274" s="7" t="s">
        <v>549</v>
      </c>
      <c r="F274" s="7" t="s">
        <v>106</v>
      </c>
      <c r="G274" s="7" t="s">
        <v>28</v>
      </c>
      <c r="H274" s="7" t="s">
        <v>2661</v>
      </c>
      <c r="I274" s="9"/>
      <c r="J274" s="7">
        <v>6</v>
      </c>
      <c r="K274" s="11">
        <v>0</v>
      </c>
      <c r="L274" s="9">
        <v>413.28</v>
      </c>
      <c r="M274" s="7" t="s">
        <v>32</v>
      </c>
      <c r="N274" t="str">
        <v>Bulk Order</v>
      </c>
    </row>
    <row r="275" spans="1:14">
      <c r="A275" s="7" t="s">
        <v>550</v>
      </c>
      <c r="B275" s="8">
        <v>41492</v>
      </c>
      <c r="C275" s="10">
        <v>48067</v>
      </c>
      <c r="D275" s="7" t="s">
        <v>551</v>
      </c>
      <c r="E275" s="7" t="s">
        <v>552</v>
      </c>
      <c r="F275" s="7" t="s">
        <v>68</v>
      </c>
      <c r="G275" s="7" t="s">
        <v>16</v>
      </c>
      <c r="H275" s="7" t="s">
        <v>2657</v>
      </c>
      <c r="I275" s="9"/>
      <c r="J275" s="7"/>
      <c r="K275" s="11">
        <v>0.1</v>
      </c>
      <c r="L275" s="9"/>
      <c r="M275" s="7" t="s">
        <v>23</v>
      </c>
      <c r="N275" t="str">
        <v>Normal Order</v>
      </c>
    </row>
    <row r="276" spans="1:14">
      <c r="A276" s="7" t="s">
        <v>553</v>
      </c>
      <c r="B276" s="8">
        <v>41549</v>
      </c>
      <c r="C276" s="8">
        <v>41549</v>
      </c>
      <c r="D276" s="7"/>
      <c r="E276" s="7" t="s">
        <v>554</v>
      </c>
      <c r="F276" s="7" t="s">
        <v>132</v>
      </c>
      <c r="G276" s="7" t="s">
        <v>28</v>
      </c>
      <c r="H276" s="7" t="s">
        <v>2655</v>
      </c>
      <c r="I276" s="9">
        <v>1719.80699999999</v>
      </c>
      <c r="J276" s="7"/>
      <c r="K276" s="11">
        <v>0.27</v>
      </c>
      <c r="L276" s="9"/>
      <c r="M276" s="7" t="s">
        <v>32</v>
      </c>
      <c r="N276" t="str">
        <v>Normal Order</v>
      </c>
    </row>
    <row r="277" spans="1:14">
      <c r="A277" s="7" t="s">
        <v>555</v>
      </c>
      <c r="B277" s="8">
        <v>42089</v>
      </c>
      <c r="C277" s="7"/>
      <c r="D277" s="7" t="s">
        <v>146</v>
      </c>
      <c r="E277" s="7" t="s">
        <v>131</v>
      </c>
      <c r="F277" s="7" t="s">
        <v>132</v>
      </c>
      <c r="G277" s="7" t="s">
        <v>39</v>
      </c>
      <c r="H277" s="7" t="s">
        <v>2656</v>
      </c>
      <c r="I277" s="9">
        <v>1421.5409999999999</v>
      </c>
      <c r="J277" s="7">
        <v>3</v>
      </c>
      <c r="K277" s="11">
        <v>0.17</v>
      </c>
      <c r="L277" s="9">
        <v>428.12099999999901</v>
      </c>
      <c r="M277" s="7" t="s">
        <v>23</v>
      </c>
      <c r="N277" t="str">
        <v>Normal Order</v>
      </c>
    </row>
    <row r="278" spans="1:14">
      <c r="A278" s="7" t="s">
        <v>556</v>
      </c>
      <c r="B278" s="8">
        <v>42329</v>
      </c>
      <c r="C278" s="8">
        <v>42329</v>
      </c>
      <c r="D278" s="7" t="s">
        <v>557</v>
      </c>
      <c r="E278" s="7" t="s">
        <v>558</v>
      </c>
      <c r="F278" s="7" t="s">
        <v>111</v>
      </c>
      <c r="G278" s="7" t="s">
        <v>16</v>
      </c>
      <c r="H278" s="7" t="s">
        <v>2655</v>
      </c>
      <c r="I278" s="9">
        <v>1053.6884</v>
      </c>
      <c r="J278" s="7">
        <v>5</v>
      </c>
      <c r="K278" s="11">
        <v>2E-3</v>
      </c>
      <c r="L278" s="9">
        <v>441.28840000000002</v>
      </c>
      <c r="M278" s="7" t="s">
        <v>32</v>
      </c>
      <c r="N278" t="str">
        <v>Normal Order</v>
      </c>
    </row>
    <row r="279" spans="1:14">
      <c r="A279" s="7"/>
      <c r="B279" s="8">
        <v>41242</v>
      </c>
      <c r="C279" s="10">
        <v>44530</v>
      </c>
      <c r="D279" s="7" t="s">
        <v>559</v>
      </c>
      <c r="E279" s="7" t="s">
        <v>270</v>
      </c>
      <c r="F279" s="7" t="s">
        <v>63</v>
      </c>
      <c r="G279" s="7" t="s">
        <v>16</v>
      </c>
      <c r="H279" s="7" t="s">
        <v>2661</v>
      </c>
      <c r="I279" s="9">
        <v>1440.84</v>
      </c>
      <c r="J279" s="7"/>
      <c r="K279" s="11">
        <v>0.5</v>
      </c>
      <c r="L279" s="9">
        <v>-1268.04</v>
      </c>
      <c r="M279" s="7" t="s">
        <v>23</v>
      </c>
      <c r="N279" t="str">
        <v>Normal Order</v>
      </c>
    </row>
    <row r="280" spans="1:14">
      <c r="A280" s="7" t="s">
        <v>115</v>
      </c>
      <c r="B280" s="8">
        <v>40950</v>
      </c>
      <c r="C280" s="8">
        <v>41217</v>
      </c>
      <c r="D280" s="7"/>
      <c r="E280" s="7" t="s">
        <v>14</v>
      </c>
      <c r="F280" s="7" t="s">
        <v>15</v>
      </c>
      <c r="G280" s="7" t="s">
        <v>28</v>
      </c>
      <c r="H280" s="7" t="s">
        <v>2657</v>
      </c>
      <c r="I280" s="9">
        <v>2544.3719999999998</v>
      </c>
      <c r="J280" s="7">
        <v>6</v>
      </c>
      <c r="K280" s="11">
        <v>0.1</v>
      </c>
      <c r="L280" s="9">
        <v>621.79200000000003</v>
      </c>
      <c r="M280" s="7" t="s">
        <v>23</v>
      </c>
      <c r="N280" t="str">
        <v>Bulk Order</v>
      </c>
    </row>
    <row r="281" spans="1:14">
      <c r="A281" s="7" t="s">
        <v>471</v>
      </c>
      <c r="B281" s="7" t="s">
        <v>560</v>
      </c>
      <c r="C281" s="8">
        <v>42149</v>
      </c>
      <c r="D281" s="7"/>
      <c r="E281" s="7" t="s">
        <v>35</v>
      </c>
      <c r="F281" s="7" t="s">
        <v>142</v>
      </c>
      <c r="G281" s="7" t="s">
        <v>39</v>
      </c>
      <c r="H281" s="7" t="s">
        <v>2657</v>
      </c>
      <c r="I281" s="9">
        <v>27.888000000000002</v>
      </c>
      <c r="J281" s="7">
        <v>7</v>
      </c>
      <c r="K281" s="11">
        <v>0.2</v>
      </c>
      <c r="L281" s="9">
        <v>10.109400000000001</v>
      </c>
      <c r="M281" s="7" t="s">
        <v>17</v>
      </c>
      <c r="N281" t="str">
        <v>Bulk Order</v>
      </c>
    </row>
    <row r="282" spans="1:14">
      <c r="A282" s="7" t="s">
        <v>561</v>
      </c>
      <c r="B282" s="8">
        <v>41614</v>
      </c>
      <c r="C282" s="8">
        <v>41614</v>
      </c>
      <c r="D282" s="7" t="s">
        <v>562</v>
      </c>
      <c r="E282" s="7" t="s">
        <v>563</v>
      </c>
      <c r="F282" s="7" t="s">
        <v>78</v>
      </c>
      <c r="G282" s="7" t="s">
        <v>16</v>
      </c>
      <c r="H282" s="7" t="s">
        <v>2655</v>
      </c>
      <c r="I282" s="9">
        <v>1554.48</v>
      </c>
      <c r="J282" s="7">
        <v>8</v>
      </c>
      <c r="K282" s="11">
        <v>0</v>
      </c>
      <c r="L282" s="9">
        <v>341.76</v>
      </c>
      <c r="M282" s="7" t="s">
        <v>32</v>
      </c>
      <c r="N282" t="str">
        <v>Bulk Order</v>
      </c>
    </row>
    <row r="283" spans="1:14">
      <c r="A283" s="7" t="s">
        <v>564</v>
      </c>
      <c r="B283" s="8">
        <v>41976</v>
      </c>
      <c r="C283" s="8">
        <v>41977</v>
      </c>
      <c r="D283" s="7" t="s">
        <v>565</v>
      </c>
      <c r="E283" s="7" t="s">
        <v>88</v>
      </c>
      <c r="F283" s="7" t="s">
        <v>89</v>
      </c>
      <c r="G283" s="7" t="s">
        <v>16</v>
      </c>
      <c r="H283" s="7" t="s">
        <v>2661</v>
      </c>
      <c r="I283" s="9">
        <v>1278</v>
      </c>
      <c r="J283" s="7">
        <v>3</v>
      </c>
      <c r="K283" s="11">
        <v>0</v>
      </c>
      <c r="L283" s="9">
        <v>89.46</v>
      </c>
      <c r="M283" s="7" t="s">
        <v>32</v>
      </c>
      <c r="N283" t="str">
        <v>Normal Order</v>
      </c>
    </row>
    <row r="284" spans="1:14">
      <c r="A284" s="7" t="s">
        <v>566</v>
      </c>
      <c r="B284" s="10">
        <v>41628</v>
      </c>
      <c r="C284" s="8">
        <v>41632</v>
      </c>
      <c r="D284" s="7" t="s">
        <v>259</v>
      </c>
      <c r="E284" s="7" t="s">
        <v>567</v>
      </c>
      <c r="F284" s="7" t="s">
        <v>89</v>
      </c>
      <c r="G284" s="7" t="s">
        <v>16</v>
      </c>
      <c r="H284" s="7" t="s">
        <v>2657</v>
      </c>
      <c r="I284" s="9">
        <v>3474.08</v>
      </c>
      <c r="J284" s="7">
        <v>8</v>
      </c>
      <c r="K284" s="11">
        <v>0</v>
      </c>
      <c r="L284" s="9">
        <v>625.28</v>
      </c>
      <c r="M284" s="7" t="s">
        <v>32</v>
      </c>
      <c r="N284" t="str">
        <v>Bulk Order</v>
      </c>
    </row>
    <row r="285" spans="1:14">
      <c r="A285" s="7"/>
      <c r="B285" s="8">
        <v>41530</v>
      </c>
      <c r="C285" s="8">
        <v>41532</v>
      </c>
      <c r="D285" s="7" t="s">
        <v>568</v>
      </c>
      <c r="E285" s="7" t="s">
        <v>88</v>
      </c>
      <c r="F285" s="7" t="s">
        <v>89</v>
      </c>
      <c r="G285" s="7" t="s">
        <v>16</v>
      </c>
      <c r="H285" s="7" t="s">
        <v>2656</v>
      </c>
      <c r="I285" s="9">
        <v>2550</v>
      </c>
      <c r="J285" s="7">
        <v>6</v>
      </c>
      <c r="K285" s="11">
        <v>0</v>
      </c>
      <c r="L285" s="9">
        <v>357</v>
      </c>
      <c r="M285" s="7" t="s">
        <v>17</v>
      </c>
      <c r="N285" t="str">
        <v>Bulk Order</v>
      </c>
    </row>
    <row r="286" spans="1:14">
      <c r="A286" s="7" t="s">
        <v>570</v>
      </c>
      <c r="B286" s="8">
        <v>42264</v>
      </c>
      <c r="C286" s="8">
        <v>42266</v>
      </c>
      <c r="D286" s="7" t="s">
        <v>571</v>
      </c>
      <c r="E286" s="7" t="s">
        <v>35</v>
      </c>
      <c r="F286" s="7" t="s">
        <v>102</v>
      </c>
      <c r="G286" s="7" t="s">
        <v>39</v>
      </c>
      <c r="H286" s="7" t="s">
        <v>2656</v>
      </c>
      <c r="I286" s="9">
        <v>538.19399999999996</v>
      </c>
      <c r="J286" s="7">
        <v>2</v>
      </c>
      <c r="K286" s="11">
        <v>0.7</v>
      </c>
      <c r="L286" s="9">
        <v>-412.615399999999</v>
      </c>
      <c r="M286" s="7" t="s">
        <v>23</v>
      </c>
      <c r="N286" t="str">
        <v>Normal Order</v>
      </c>
    </row>
    <row r="287" spans="1:14">
      <c r="A287" s="7" t="s">
        <v>572</v>
      </c>
      <c r="B287" s="8">
        <v>41173</v>
      </c>
      <c r="C287" s="8">
        <v>41180</v>
      </c>
      <c r="D287" s="7" t="s">
        <v>571</v>
      </c>
      <c r="E287" s="7" t="s">
        <v>35</v>
      </c>
      <c r="F287" s="7" t="s">
        <v>573</v>
      </c>
      <c r="G287" s="7" t="s">
        <v>28</v>
      </c>
      <c r="H287" s="7" t="s">
        <v>2656</v>
      </c>
      <c r="I287" s="9"/>
      <c r="J287" s="7">
        <v>4</v>
      </c>
      <c r="K287" s="11">
        <v>0.1</v>
      </c>
      <c r="L287" s="9">
        <v>83.709599999999895</v>
      </c>
      <c r="M287" s="7" t="s">
        <v>17</v>
      </c>
      <c r="N287" t="str">
        <v>Normal Order</v>
      </c>
    </row>
    <row r="288" spans="1:14">
      <c r="A288" s="7" t="s">
        <v>574</v>
      </c>
      <c r="B288" s="8">
        <v>41587</v>
      </c>
      <c r="C288" s="8">
        <v>41591</v>
      </c>
      <c r="D288" s="7" t="s">
        <v>571</v>
      </c>
      <c r="E288" s="7" t="s">
        <v>35</v>
      </c>
      <c r="F288" s="7" t="s">
        <v>36</v>
      </c>
      <c r="G288" s="7" t="s">
        <v>28</v>
      </c>
      <c r="H288" s="7" t="s">
        <v>2661</v>
      </c>
      <c r="I288" s="9">
        <v>1024.3800000000001</v>
      </c>
      <c r="J288" s="7">
        <v>7</v>
      </c>
      <c r="K288" s="11"/>
      <c r="L288" s="9">
        <v>215.119799999999</v>
      </c>
      <c r="M288" s="7" t="s">
        <v>17</v>
      </c>
      <c r="N288" t="str">
        <v>Bulk Order</v>
      </c>
    </row>
    <row r="289" spans="1:14">
      <c r="A289" s="7" t="s">
        <v>575</v>
      </c>
      <c r="B289" s="8">
        <v>41417</v>
      </c>
      <c r="C289" s="8">
        <v>41420</v>
      </c>
      <c r="D289" s="7"/>
      <c r="E289" s="7" t="s">
        <v>576</v>
      </c>
      <c r="F289" s="7" t="s">
        <v>49</v>
      </c>
      <c r="G289" s="7" t="s">
        <v>16</v>
      </c>
      <c r="H289" s="7" t="s">
        <v>2659</v>
      </c>
      <c r="I289" s="9">
        <v>934.24800000000005</v>
      </c>
      <c r="J289" s="7">
        <v>14</v>
      </c>
      <c r="K289" s="11">
        <v>0.6</v>
      </c>
      <c r="L289" s="9">
        <v>-1331.65199999999</v>
      </c>
      <c r="M289" s="7" t="s">
        <v>32</v>
      </c>
      <c r="N289" t="str">
        <v>Bulk Order</v>
      </c>
    </row>
    <row r="290" spans="1:14">
      <c r="A290" s="7" t="s">
        <v>577</v>
      </c>
      <c r="B290" s="8">
        <v>41812</v>
      </c>
      <c r="C290" s="7" t="s">
        <v>578</v>
      </c>
      <c r="D290" s="7" t="s">
        <v>571</v>
      </c>
      <c r="E290" s="7" t="s">
        <v>35</v>
      </c>
      <c r="F290" s="7" t="s">
        <v>102</v>
      </c>
      <c r="G290" s="7" t="s">
        <v>28</v>
      </c>
      <c r="H290" s="7" t="s">
        <v>2657</v>
      </c>
      <c r="I290" s="9">
        <v>353.56799999999998</v>
      </c>
      <c r="J290" s="7">
        <v>2</v>
      </c>
      <c r="K290" s="11"/>
      <c r="L290" s="9">
        <v>-44.195999999999998</v>
      </c>
      <c r="M290" s="7" t="s">
        <v>32</v>
      </c>
      <c r="N290" t="str">
        <v>Normal Order</v>
      </c>
    </row>
    <row r="291" spans="1:14">
      <c r="A291" s="7" t="s">
        <v>580</v>
      </c>
      <c r="B291" s="7" t="s">
        <v>581</v>
      </c>
      <c r="C291" s="8">
        <v>42111</v>
      </c>
      <c r="D291" s="7" t="s">
        <v>582</v>
      </c>
      <c r="E291" s="7" t="s">
        <v>583</v>
      </c>
      <c r="F291" s="7" t="s">
        <v>22</v>
      </c>
      <c r="G291" s="7" t="s">
        <v>16</v>
      </c>
      <c r="H291" s="7" t="s">
        <v>2656</v>
      </c>
      <c r="I291" s="9">
        <v>3908.88</v>
      </c>
      <c r="J291" s="7">
        <v>6</v>
      </c>
      <c r="K291" s="11">
        <v>0</v>
      </c>
      <c r="L291" s="9">
        <v>1563.48</v>
      </c>
      <c r="M291" s="7" t="s">
        <v>584</v>
      </c>
      <c r="N291" t="str">
        <v>Bulk Order</v>
      </c>
    </row>
    <row r="292" spans="1:14">
      <c r="A292" s="7" t="s">
        <v>585</v>
      </c>
      <c r="B292" s="8">
        <v>42245</v>
      </c>
      <c r="C292" s="8">
        <v>42249</v>
      </c>
      <c r="D292" s="7" t="s">
        <v>586</v>
      </c>
      <c r="E292" s="7" t="s">
        <v>88</v>
      </c>
      <c r="F292" s="7" t="s">
        <v>89</v>
      </c>
      <c r="G292" s="7" t="s">
        <v>16</v>
      </c>
      <c r="H292" s="7" t="s">
        <v>2657</v>
      </c>
      <c r="I292" s="9">
        <v>2142.3000000000002</v>
      </c>
      <c r="J292" s="7">
        <v>5</v>
      </c>
      <c r="K292" s="11">
        <v>0</v>
      </c>
      <c r="L292" s="9">
        <v>556.9</v>
      </c>
      <c r="M292" s="7" t="s">
        <v>32</v>
      </c>
      <c r="N292" t="str">
        <v>Normal Order</v>
      </c>
    </row>
    <row r="293" spans="1:14">
      <c r="A293" s="7" t="s">
        <v>587</v>
      </c>
      <c r="B293" s="8">
        <v>42140</v>
      </c>
      <c r="C293" s="8">
        <v>42142</v>
      </c>
      <c r="D293" s="7" t="s">
        <v>588</v>
      </c>
      <c r="E293" s="7" t="s">
        <v>589</v>
      </c>
      <c r="F293" s="7" t="s">
        <v>15</v>
      </c>
      <c r="G293" s="7" t="s">
        <v>154</v>
      </c>
      <c r="H293" s="7" t="s">
        <v>2656</v>
      </c>
      <c r="I293" s="9">
        <v>1900.5839999999901</v>
      </c>
      <c r="J293" s="7">
        <v>6</v>
      </c>
      <c r="K293" s="11">
        <v>0.4</v>
      </c>
      <c r="L293" s="9">
        <v>-348.51600000000002</v>
      </c>
      <c r="M293" s="7" t="s">
        <v>32</v>
      </c>
      <c r="N293" t="str">
        <v>Bulk Order</v>
      </c>
    </row>
    <row r="294" spans="1:14">
      <c r="A294" s="7"/>
      <c r="B294" s="8">
        <v>41621</v>
      </c>
      <c r="C294" s="8">
        <v>41623</v>
      </c>
      <c r="D294" s="7" t="s">
        <v>104</v>
      </c>
      <c r="E294" s="7" t="s">
        <v>590</v>
      </c>
      <c r="F294" s="7" t="s">
        <v>121</v>
      </c>
      <c r="G294" s="7" t="s">
        <v>39</v>
      </c>
      <c r="H294" s="7" t="s">
        <v>2656</v>
      </c>
      <c r="I294" s="9">
        <v>1840.6799999999901</v>
      </c>
      <c r="J294" s="7">
        <v>6</v>
      </c>
      <c r="K294" s="11">
        <v>0</v>
      </c>
      <c r="L294" s="9">
        <v>496.98</v>
      </c>
      <c r="M294" s="7" t="s">
        <v>23</v>
      </c>
      <c r="N294" t="str">
        <v>Bulk Order</v>
      </c>
    </row>
    <row r="295" spans="1:14">
      <c r="A295" s="7" t="s">
        <v>591</v>
      </c>
      <c r="B295" s="8">
        <v>40998</v>
      </c>
      <c r="C295" s="8">
        <v>41002</v>
      </c>
      <c r="D295" s="7" t="s">
        <v>592</v>
      </c>
      <c r="E295" s="7" t="s">
        <v>84</v>
      </c>
      <c r="F295" s="7" t="s">
        <v>85</v>
      </c>
      <c r="G295" s="7" t="s">
        <v>28</v>
      </c>
      <c r="H295" s="7" t="s">
        <v>2661</v>
      </c>
      <c r="I295" s="9">
        <v>2624.04</v>
      </c>
      <c r="J295" s="7">
        <v>6</v>
      </c>
      <c r="K295" s="11">
        <v>0</v>
      </c>
      <c r="L295" s="9"/>
      <c r="M295" s="7" t="s">
        <v>32</v>
      </c>
      <c r="N295" t="str">
        <v>Bulk Order</v>
      </c>
    </row>
    <row r="296" spans="1:14">
      <c r="A296" s="7" t="s">
        <v>593</v>
      </c>
      <c r="B296" s="8">
        <v>41308</v>
      </c>
      <c r="C296" s="8">
        <v>41312</v>
      </c>
      <c r="D296" s="7"/>
      <c r="E296" s="7" t="s">
        <v>105</v>
      </c>
      <c r="F296" s="7" t="s">
        <v>106</v>
      </c>
      <c r="G296" s="7" t="s">
        <v>28</v>
      </c>
      <c r="H296" s="7" t="s">
        <v>2661</v>
      </c>
      <c r="I296" s="9">
        <v>3076.5</v>
      </c>
      <c r="J296" s="7">
        <v>7</v>
      </c>
      <c r="K296" s="11">
        <v>0</v>
      </c>
      <c r="L296" s="9">
        <v>215.25</v>
      </c>
      <c r="M296" s="7" t="s">
        <v>17</v>
      </c>
      <c r="N296" t="str">
        <v>Bulk Order</v>
      </c>
    </row>
    <row r="297" spans="1:14">
      <c r="A297" s="7" t="s">
        <v>594</v>
      </c>
      <c r="B297" s="8">
        <v>41788</v>
      </c>
      <c r="C297" s="8">
        <v>41791</v>
      </c>
      <c r="D297" s="7" t="s">
        <v>595</v>
      </c>
      <c r="E297" s="7" t="s">
        <v>310</v>
      </c>
      <c r="F297" s="7" t="s">
        <v>132</v>
      </c>
      <c r="G297" s="7" t="s">
        <v>16</v>
      </c>
      <c r="H297" s="7" t="s">
        <v>2663</v>
      </c>
      <c r="I297" s="9">
        <v>3181.7718</v>
      </c>
      <c r="J297" s="7">
        <v>6</v>
      </c>
      <c r="K297" s="11">
        <v>0.17</v>
      </c>
      <c r="L297" s="9">
        <v>344.97179999999901</v>
      </c>
      <c r="M297" s="7" t="s">
        <v>17</v>
      </c>
      <c r="N297" t="str">
        <v>Bulk Order</v>
      </c>
    </row>
    <row r="298" spans="1:14">
      <c r="A298" s="7" t="s">
        <v>596</v>
      </c>
      <c r="B298" s="8">
        <v>41515</v>
      </c>
      <c r="C298" s="8">
        <v>41518</v>
      </c>
      <c r="D298" s="7" t="s">
        <v>597</v>
      </c>
      <c r="E298" s="7" t="s">
        <v>186</v>
      </c>
      <c r="F298" s="7" t="s">
        <v>68</v>
      </c>
      <c r="G298" s="7" t="s">
        <v>39</v>
      </c>
      <c r="H298" s="7" t="s">
        <v>2663</v>
      </c>
      <c r="I298" s="9">
        <v>1392.633</v>
      </c>
      <c r="J298" s="7">
        <v>11</v>
      </c>
      <c r="K298" s="11">
        <v>0.1</v>
      </c>
      <c r="L298" s="9">
        <v>-139.55699999999999</v>
      </c>
      <c r="M298" s="7" t="s">
        <v>23</v>
      </c>
      <c r="N298" t="str">
        <v>Bulk Order</v>
      </c>
    </row>
    <row r="299" spans="1:14">
      <c r="A299" s="7" t="s">
        <v>599</v>
      </c>
      <c r="B299" s="8">
        <v>41074</v>
      </c>
      <c r="C299" s="8">
        <v>41076</v>
      </c>
      <c r="D299" s="7" t="s">
        <v>600</v>
      </c>
      <c r="E299" s="7" t="s">
        <v>58</v>
      </c>
      <c r="F299" s="7" t="s">
        <v>81</v>
      </c>
      <c r="G299" s="7" t="s">
        <v>28</v>
      </c>
      <c r="H299" s="7" t="s">
        <v>2656</v>
      </c>
      <c r="I299" s="9">
        <v>1296.24</v>
      </c>
      <c r="J299" s="7"/>
      <c r="K299" s="11">
        <v>0</v>
      </c>
      <c r="L299" s="9">
        <v>285.12</v>
      </c>
      <c r="M299" s="7" t="s">
        <v>23</v>
      </c>
      <c r="N299" t="str">
        <v>Normal Order</v>
      </c>
    </row>
    <row r="300" spans="1:14">
      <c r="A300" s="7" t="s">
        <v>601</v>
      </c>
      <c r="B300" s="8">
        <v>42244</v>
      </c>
      <c r="C300" s="8">
        <v>42247</v>
      </c>
      <c r="D300" s="7" t="s">
        <v>602</v>
      </c>
      <c r="E300" s="7"/>
      <c r="F300" s="7"/>
      <c r="G300" s="7" t="s">
        <v>39</v>
      </c>
      <c r="H300" s="7" t="s">
        <v>2664</v>
      </c>
      <c r="I300" s="9">
        <v>1682.91</v>
      </c>
      <c r="J300" s="7">
        <v>3</v>
      </c>
      <c r="K300" s="11">
        <v>0</v>
      </c>
      <c r="L300" s="9">
        <v>487.98</v>
      </c>
      <c r="M300" s="7" t="s">
        <v>17</v>
      </c>
      <c r="N300" t="str">
        <v>Normal Order</v>
      </c>
    </row>
    <row r="301" spans="1:14">
      <c r="A301" s="7" t="s">
        <v>603</v>
      </c>
      <c r="B301" s="8">
        <v>41208</v>
      </c>
      <c r="C301" s="8">
        <v>41209</v>
      </c>
      <c r="D301" s="7" t="s">
        <v>130</v>
      </c>
      <c r="E301" s="7" t="s">
        <v>200</v>
      </c>
      <c r="F301" s="7" t="s">
        <v>89</v>
      </c>
      <c r="G301" s="7" t="s">
        <v>16</v>
      </c>
      <c r="H301" s="7" t="s">
        <v>2655</v>
      </c>
      <c r="I301" s="9">
        <v>1278</v>
      </c>
      <c r="J301" s="7">
        <v>3</v>
      </c>
      <c r="K301" s="11"/>
      <c r="L301" s="9">
        <v>89.46</v>
      </c>
      <c r="M301" s="7" t="s">
        <v>23</v>
      </c>
      <c r="N301" t="str">
        <v>Normal Order</v>
      </c>
    </row>
    <row r="302" spans="1:14">
      <c r="A302" s="7"/>
      <c r="B302" s="8">
        <v>42082</v>
      </c>
      <c r="C302" s="8">
        <v>42086</v>
      </c>
      <c r="D302" s="7" t="s">
        <v>604</v>
      </c>
      <c r="E302" s="7"/>
      <c r="F302" s="7" t="s">
        <v>78</v>
      </c>
      <c r="G302" s="7" t="s">
        <v>16</v>
      </c>
      <c r="H302" s="7" t="s">
        <v>2661</v>
      </c>
      <c r="I302" s="9">
        <v>2570.7599999999902</v>
      </c>
      <c r="J302" s="7">
        <v>4</v>
      </c>
      <c r="K302" s="11">
        <v>0</v>
      </c>
      <c r="L302" s="9">
        <v>976.8</v>
      </c>
      <c r="M302" s="7" t="s">
        <v>17</v>
      </c>
      <c r="N302" t="str">
        <v>Normal Order</v>
      </c>
    </row>
    <row r="303" spans="1:14">
      <c r="A303" s="7" t="s">
        <v>605</v>
      </c>
      <c r="B303" s="8">
        <v>42258</v>
      </c>
      <c r="C303" s="8">
        <v>42265</v>
      </c>
      <c r="D303" s="7" t="s">
        <v>606</v>
      </c>
      <c r="E303" s="7" t="s">
        <v>52</v>
      </c>
      <c r="F303" s="7" t="s">
        <v>53</v>
      </c>
      <c r="G303" s="7" t="s">
        <v>28</v>
      </c>
      <c r="H303" s="7" t="s">
        <v>2656</v>
      </c>
      <c r="I303" s="9">
        <v>2332.96</v>
      </c>
      <c r="J303" s="7"/>
      <c r="K303" s="11">
        <v>0.2</v>
      </c>
      <c r="L303" s="9">
        <v>3272.1878041889699</v>
      </c>
      <c r="M303" s="7" t="s">
        <v>65</v>
      </c>
      <c r="N303" t="str">
        <v>Normal Order</v>
      </c>
    </row>
    <row r="304" spans="1:14">
      <c r="A304" s="7" t="s">
        <v>607</v>
      </c>
      <c r="B304" s="8">
        <v>41514</v>
      </c>
      <c r="C304" s="7"/>
      <c r="D304" s="7" t="s">
        <v>551</v>
      </c>
      <c r="E304" s="7"/>
      <c r="F304" s="7" t="s">
        <v>15</v>
      </c>
      <c r="G304" s="7" t="s">
        <v>28</v>
      </c>
      <c r="H304" s="7" t="s">
        <v>2656</v>
      </c>
      <c r="I304" s="9" t="s">
        <v>152</v>
      </c>
      <c r="J304" s="7">
        <v>6</v>
      </c>
      <c r="K304" s="11">
        <v>0.4</v>
      </c>
      <c r="L304" s="9">
        <v>-870.3</v>
      </c>
      <c r="M304" s="7" t="s">
        <v>23</v>
      </c>
      <c r="N304" t="str">
        <v>Bulk Order</v>
      </c>
    </row>
    <row r="305" spans="1:14">
      <c r="A305" s="7" t="s">
        <v>570</v>
      </c>
      <c r="B305" s="7"/>
      <c r="C305" s="8">
        <v>42266</v>
      </c>
      <c r="D305" s="7" t="s">
        <v>571</v>
      </c>
      <c r="E305" s="7" t="s">
        <v>35</v>
      </c>
      <c r="F305" s="7" t="s">
        <v>102</v>
      </c>
      <c r="G305" s="7" t="s">
        <v>16</v>
      </c>
      <c r="H305" s="7" t="s">
        <v>2658</v>
      </c>
      <c r="I305" s="9">
        <v>71.975999999999999</v>
      </c>
      <c r="J305" s="7">
        <v>3</v>
      </c>
      <c r="K305" s="11">
        <v>0.2</v>
      </c>
      <c r="L305" s="9">
        <v>19.793399999999998</v>
      </c>
      <c r="M305" s="7" t="s">
        <v>23</v>
      </c>
      <c r="N305" t="str">
        <v>Normal Order</v>
      </c>
    </row>
    <row r="306" spans="1:14">
      <c r="A306" s="7" t="s">
        <v>608</v>
      </c>
      <c r="B306" s="8">
        <v>41852</v>
      </c>
      <c r="C306" s="8">
        <v>41855</v>
      </c>
      <c r="D306" s="7" t="s">
        <v>609</v>
      </c>
      <c r="E306" s="7" t="s">
        <v>14</v>
      </c>
      <c r="F306" s="7" t="s">
        <v>15</v>
      </c>
      <c r="G306" s="7" t="s">
        <v>28</v>
      </c>
      <c r="H306" s="7" t="s">
        <v>2663</v>
      </c>
      <c r="I306" s="9">
        <v>1512</v>
      </c>
      <c r="J306" s="7">
        <v>6</v>
      </c>
      <c r="K306" s="11">
        <v>0</v>
      </c>
      <c r="L306" s="9">
        <v>498.96</v>
      </c>
      <c r="M306" s="7" t="s">
        <v>23</v>
      </c>
      <c r="N306" t="str">
        <v>Bulk Order</v>
      </c>
    </row>
    <row r="307" spans="1:14">
      <c r="A307" s="7" t="s">
        <v>577</v>
      </c>
      <c r="B307" s="8">
        <v>41812</v>
      </c>
      <c r="C307" s="8">
        <v>41817</v>
      </c>
      <c r="D307" s="7" t="s">
        <v>571</v>
      </c>
      <c r="E307" s="7" t="s">
        <v>35</v>
      </c>
      <c r="F307" s="7" t="s">
        <v>102</v>
      </c>
      <c r="G307" s="7" t="s">
        <v>39</v>
      </c>
      <c r="H307" s="7" t="s">
        <v>2664</v>
      </c>
      <c r="I307" s="9">
        <v>186.14400000000001</v>
      </c>
      <c r="J307" s="7">
        <v>6</v>
      </c>
      <c r="K307" s="11">
        <v>0.2</v>
      </c>
      <c r="L307" s="9">
        <v>60.496799999999901</v>
      </c>
      <c r="M307" s="7" t="s">
        <v>32</v>
      </c>
      <c r="N307" t="str">
        <v>Bulk Order</v>
      </c>
    </row>
    <row r="308" spans="1:14">
      <c r="A308" s="7" t="s">
        <v>610</v>
      </c>
      <c r="B308" s="8">
        <v>42362</v>
      </c>
      <c r="C308" s="8">
        <v>42365</v>
      </c>
      <c r="D308" s="7" t="s">
        <v>611</v>
      </c>
      <c r="E308" s="7" t="s">
        <v>425</v>
      </c>
      <c r="F308" s="7" t="s">
        <v>426</v>
      </c>
      <c r="G308" s="7" t="s">
        <v>612</v>
      </c>
      <c r="H308" s="7" t="s">
        <v>2658</v>
      </c>
      <c r="I308" s="9">
        <v>2550</v>
      </c>
      <c r="J308" s="7">
        <v>4</v>
      </c>
      <c r="K308" s="11">
        <v>0</v>
      </c>
      <c r="L308" s="9">
        <v>714</v>
      </c>
      <c r="M308" s="7" t="s">
        <v>17</v>
      </c>
      <c r="N308" t="str">
        <v>Normal Order</v>
      </c>
    </row>
    <row r="309" spans="1:14">
      <c r="A309" s="7" t="s">
        <v>570</v>
      </c>
      <c r="B309" s="8">
        <v>42264</v>
      </c>
      <c r="C309" s="8">
        <v>42266</v>
      </c>
      <c r="D309" s="7" t="s">
        <v>571</v>
      </c>
      <c r="E309" s="7"/>
      <c r="F309" s="7" t="s">
        <v>102</v>
      </c>
      <c r="G309" s="7" t="s">
        <v>16</v>
      </c>
      <c r="H309" s="7" t="s">
        <v>2662</v>
      </c>
      <c r="I309" s="9">
        <v>47.984000000000002</v>
      </c>
      <c r="J309" s="7">
        <v>2</v>
      </c>
      <c r="K309" s="11">
        <v>0.2</v>
      </c>
      <c r="L309" s="9">
        <v>14.395200000000001</v>
      </c>
      <c r="M309" s="7" t="s">
        <v>23</v>
      </c>
      <c r="N309" t="str">
        <v>Normal Order</v>
      </c>
    </row>
    <row r="310" spans="1:14">
      <c r="A310" s="7" t="s">
        <v>613</v>
      </c>
      <c r="B310" s="8">
        <v>41327</v>
      </c>
      <c r="C310" s="8">
        <v>41330</v>
      </c>
      <c r="D310" s="7" t="s">
        <v>614</v>
      </c>
      <c r="E310" s="7" t="s">
        <v>84</v>
      </c>
      <c r="F310" s="7" t="s">
        <v>85</v>
      </c>
      <c r="G310" s="7" t="s">
        <v>28</v>
      </c>
      <c r="H310" s="7" t="s">
        <v>2656</v>
      </c>
      <c r="I310" s="9"/>
      <c r="J310" s="7">
        <v>5</v>
      </c>
      <c r="K310" s="11">
        <v>0</v>
      </c>
      <c r="L310" s="9">
        <v>845.7</v>
      </c>
      <c r="M310" s="7" t="s">
        <v>32</v>
      </c>
      <c r="N310" t="str">
        <v>Normal Order</v>
      </c>
    </row>
    <row r="311" spans="1:14">
      <c r="A311" s="7" t="s">
        <v>615</v>
      </c>
      <c r="B311" s="8">
        <v>42288</v>
      </c>
      <c r="C311" s="8">
        <v>42290</v>
      </c>
      <c r="D311" s="7" t="s">
        <v>616</v>
      </c>
      <c r="E311" s="7" t="s">
        <v>131</v>
      </c>
      <c r="F311" s="7" t="s">
        <v>132</v>
      </c>
      <c r="G311" s="7" t="s">
        <v>28</v>
      </c>
      <c r="H311" s="7" t="s">
        <v>2654</v>
      </c>
      <c r="I311" s="9">
        <v>1029.25889999999</v>
      </c>
      <c r="J311" s="7">
        <v>9</v>
      </c>
      <c r="K311" s="11">
        <v>7.0000000000000007E-2</v>
      </c>
      <c r="L311" s="9">
        <v>10.818899999999999</v>
      </c>
      <c r="M311" s="7" t="s">
        <v>23</v>
      </c>
      <c r="N311" t="str">
        <v>Bulk Order</v>
      </c>
    </row>
    <row r="312" spans="1:14">
      <c r="A312" s="7" t="s">
        <v>617</v>
      </c>
      <c r="B312" s="8">
        <v>42115</v>
      </c>
      <c r="C312" s="8">
        <v>42117</v>
      </c>
      <c r="D312" s="7" t="s">
        <v>618</v>
      </c>
      <c r="E312" s="7" t="s">
        <v>346</v>
      </c>
      <c r="F312" s="7" t="s">
        <v>89</v>
      </c>
      <c r="G312" s="7" t="s">
        <v>16</v>
      </c>
      <c r="H312" s="7" t="s">
        <v>2655</v>
      </c>
      <c r="I312" s="9">
        <v>1058.2791999999999</v>
      </c>
      <c r="J312" s="7">
        <v>5</v>
      </c>
      <c r="K312" s="11">
        <v>2E-3</v>
      </c>
      <c r="L312" s="9">
        <v>-2.1208</v>
      </c>
      <c r="M312" s="7" t="s">
        <v>23</v>
      </c>
      <c r="N312" t="str">
        <v>Normal Order</v>
      </c>
    </row>
    <row r="313" spans="1:14">
      <c r="A313" s="7" t="s">
        <v>619</v>
      </c>
      <c r="B313" s="8">
        <v>41802</v>
      </c>
      <c r="C313" s="8">
        <v>41807</v>
      </c>
      <c r="D313" s="7" t="s">
        <v>620</v>
      </c>
      <c r="E313" s="7" t="s">
        <v>105</v>
      </c>
      <c r="F313" s="7" t="s">
        <v>106</v>
      </c>
      <c r="G313" s="7" t="s">
        <v>16</v>
      </c>
      <c r="H313" s="7" t="s">
        <v>2663</v>
      </c>
      <c r="I313" s="9">
        <v>5751.54</v>
      </c>
      <c r="J313" s="7">
        <v>9</v>
      </c>
      <c r="K313" s="11">
        <v>0</v>
      </c>
      <c r="L313" s="9">
        <v>2817.99</v>
      </c>
      <c r="M313" s="7" t="s">
        <v>17</v>
      </c>
      <c r="N313" t="str">
        <v>Bulk Order</v>
      </c>
    </row>
    <row r="314" spans="1:14">
      <c r="A314" s="7" t="s">
        <v>621</v>
      </c>
      <c r="B314" s="8">
        <v>41899</v>
      </c>
      <c r="C314" s="8">
        <v>41902</v>
      </c>
      <c r="D314" s="7" t="s">
        <v>622</v>
      </c>
      <c r="E314" s="7" t="s">
        <v>623</v>
      </c>
      <c r="F314" s="7" t="s">
        <v>63</v>
      </c>
      <c r="G314" s="7" t="s">
        <v>28</v>
      </c>
      <c r="H314" s="7" t="s">
        <v>2657</v>
      </c>
      <c r="I314" s="9">
        <v>2442.069</v>
      </c>
      <c r="J314" s="7">
        <v>7</v>
      </c>
      <c r="K314" s="11">
        <v>0.1</v>
      </c>
      <c r="L314" s="9">
        <v>-244.251</v>
      </c>
      <c r="M314" s="7" t="s">
        <v>32</v>
      </c>
      <c r="N314" t="str">
        <v>Bulk Order</v>
      </c>
    </row>
    <row r="315" spans="1:14">
      <c r="A315" s="7" t="s">
        <v>624</v>
      </c>
      <c r="B315" s="8">
        <v>42266</v>
      </c>
      <c r="C315" s="8">
        <v>42266</v>
      </c>
      <c r="D315" s="7" t="s">
        <v>625</v>
      </c>
      <c r="E315" s="7" t="s">
        <v>27</v>
      </c>
      <c r="F315" s="7" t="s">
        <v>15</v>
      </c>
      <c r="G315" s="7" t="s">
        <v>39</v>
      </c>
      <c r="H315" s="7" t="s">
        <v>2656</v>
      </c>
      <c r="I315" s="9">
        <v>1190.52</v>
      </c>
      <c r="J315" s="7">
        <v>6</v>
      </c>
      <c r="K315" s="11"/>
      <c r="L315" s="9">
        <v>178.56</v>
      </c>
      <c r="M315" s="7" t="s">
        <v>396</v>
      </c>
      <c r="N315" t="str">
        <v>Bulk Order</v>
      </c>
    </row>
    <row r="316" spans="1:14">
      <c r="A316" s="7"/>
      <c r="B316" s="7"/>
      <c r="C316" s="8">
        <v>42341</v>
      </c>
      <c r="D316" s="7" t="s">
        <v>626</v>
      </c>
      <c r="E316" s="7" t="s">
        <v>62</v>
      </c>
      <c r="F316" s="7" t="s">
        <v>98</v>
      </c>
      <c r="G316" s="7" t="s">
        <v>39</v>
      </c>
      <c r="H316" s="7" t="s">
        <v>2663</v>
      </c>
      <c r="I316" s="9">
        <v>3150.81899999999</v>
      </c>
      <c r="J316" s="7">
        <v>7</v>
      </c>
      <c r="K316" s="11">
        <v>0.1</v>
      </c>
      <c r="L316" s="9">
        <v>-35.091000000000001</v>
      </c>
      <c r="M316" s="7" t="s">
        <v>216</v>
      </c>
      <c r="N316" t="str">
        <v>Bulk Order</v>
      </c>
    </row>
    <row r="317" spans="1:14">
      <c r="A317" s="7" t="s">
        <v>411</v>
      </c>
      <c r="B317" s="8">
        <v>42248</v>
      </c>
      <c r="C317" s="8">
        <v>42248</v>
      </c>
      <c r="D317" s="7" t="s">
        <v>412</v>
      </c>
      <c r="E317" s="7" t="s">
        <v>627</v>
      </c>
      <c r="F317" s="7" t="s">
        <v>63</v>
      </c>
      <c r="G317" s="7" t="s">
        <v>16</v>
      </c>
      <c r="H317" s="7" t="s">
        <v>2664</v>
      </c>
      <c r="I317" s="9">
        <v>1599.9</v>
      </c>
      <c r="J317" s="7">
        <v>5</v>
      </c>
      <c r="K317" s="11">
        <v>0</v>
      </c>
      <c r="L317" s="9">
        <v>719.85</v>
      </c>
      <c r="M317" s="7" t="s">
        <v>23</v>
      </c>
      <c r="N317" t="str">
        <v>Normal Order</v>
      </c>
    </row>
    <row r="318" spans="1:14">
      <c r="A318" s="7" t="s">
        <v>628</v>
      </c>
      <c r="B318" s="8">
        <v>42175</v>
      </c>
      <c r="C318" s="8">
        <v>42181</v>
      </c>
      <c r="D318" s="7" t="s">
        <v>629</v>
      </c>
      <c r="E318" s="7" t="s">
        <v>58</v>
      </c>
      <c r="F318" s="7" t="s">
        <v>81</v>
      </c>
      <c r="G318" s="7" t="s">
        <v>28</v>
      </c>
      <c r="H318" s="7" t="s">
        <v>2661</v>
      </c>
      <c r="I318" s="9">
        <v>2063.4</v>
      </c>
      <c r="J318" s="7">
        <v>5</v>
      </c>
      <c r="K318" s="11">
        <v>0</v>
      </c>
      <c r="L318" s="9">
        <v>123.75</v>
      </c>
      <c r="M318" s="7" t="s">
        <v>65</v>
      </c>
      <c r="N318" t="str">
        <v>Normal Order</v>
      </c>
    </row>
    <row r="319" spans="1:14">
      <c r="A319" s="7" t="s">
        <v>630</v>
      </c>
      <c r="B319" s="8">
        <v>42300</v>
      </c>
      <c r="C319" s="8">
        <v>42302</v>
      </c>
      <c r="D319" s="7"/>
      <c r="E319" s="7" t="s">
        <v>631</v>
      </c>
      <c r="F319" s="7" t="s">
        <v>78</v>
      </c>
      <c r="G319" s="7" t="s">
        <v>39</v>
      </c>
      <c r="H319" s="7" t="s">
        <v>2657</v>
      </c>
      <c r="I319" s="9">
        <v>1269.8999999999901</v>
      </c>
      <c r="J319" s="7">
        <v>6</v>
      </c>
      <c r="K319" s="11">
        <v>0</v>
      </c>
      <c r="L319" s="9">
        <v>558.72</v>
      </c>
      <c r="M319" s="7" t="s">
        <v>32</v>
      </c>
      <c r="N319" t="str">
        <v>Bulk Order</v>
      </c>
    </row>
    <row r="320" spans="1:14">
      <c r="A320" s="7" t="s">
        <v>632</v>
      </c>
      <c r="B320" s="8">
        <v>41136</v>
      </c>
      <c r="C320" s="8">
        <v>41140</v>
      </c>
      <c r="D320" s="7" t="s">
        <v>633</v>
      </c>
      <c r="E320" s="7" t="s">
        <v>105</v>
      </c>
      <c r="F320" s="7" t="s">
        <v>106</v>
      </c>
      <c r="G320" s="7" t="s">
        <v>28</v>
      </c>
      <c r="H320" s="7" t="s">
        <v>2663</v>
      </c>
      <c r="I320" s="9">
        <v>3274.02</v>
      </c>
      <c r="J320" s="7">
        <v>9</v>
      </c>
      <c r="K320" s="11">
        <v>0</v>
      </c>
      <c r="L320" s="9">
        <v>261.89999999999998</v>
      </c>
      <c r="M320" s="7" t="s">
        <v>17</v>
      </c>
      <c r="N320" t="str">
        <v>Bulk Order</v>
      </c>
    </row>
    <row r="321" spans="1:14">
      <c r="A321" s="7" t="s">
        <v>520</v>
      </c>
      <c r="B321" s="8">
        <v>42259</v>
      </c>
      <c r="C321" s="8">
        <v>42261</v>
      </c>
      <c r="D321" s="7" t="s">
        <v>172</v>
      </c>
      <c r="E321" s="7" t="s">
        <v>200</v>
      </c>
      <c r="F321" s="7" t="s">
        <v>89</v>
      </c>
      <c r="G321" s="7" t="s">
        <v>16</v>
      </c>
      <c r="H321" s="7" t="s">
        <v>2664</v>
      </c>
      <c r="I321" s="9">
        <v>848.32</v>
      </c>
      <c r="J321" s="7">
        <v>2</v>
      </c>
      <c r="K321" s="11">
        <v>0</v>
      </c>
      <c r="L321" s="9">
        <v>110.28</v>
      </c>
      <c r="M321" s="7" t="s">
        <v>23</v>
      </c>
      <c r="N321" t="str">
        <v>Normal Order</v>
      </c>
    </row>
    <row r="322" spans="1:14">
      <c r="A322" s="7" t="s">
        <v>634</v>
      </c>
      <c r="B322" s="8">
        <v>42096</v>
      </c>
      <c r="C322" s="7" t="s">
        <v>635</v>
      </c>
      <c r="D322" s="7" t="s">
        <v>571</v>
      </c>
      <c r="E322" s="7" t="s">
        <v>35</v>
      </c>
      <c r="F322" s="7" t="s">
        <v>36</v>
      </c>
      <c r="G322" s="7" t="s">
        <v>39</v>
      </c>
      <c r="H322" s="7" t="s">
        <v>2663</v>
      </c>
      <c r="I322" s="9">
        <v>94.199999999999903</v>
      </c>
      <c r="J322" s="7">
        <v>6</v>
      </c>
      <c r="K322" s="11">
        <v>0</v>
      </c>
      <c r="L322" s="9">
        <v>23.55</v>
      </c>
      <c r="M322" s="7" t="s">
        <v>32</v>
      </c>
      <c r="N322" t="str">
        <v>Bulk Order</v>
      </c>
    </row>
    <row r="323" spans="1:14">
      <c r="A323" s="7" t="s">
        <v>636</v>
      </c>
      <c r="B323" s="8">
        <v>42018</v>
      </c>
      <c r="C323" s="8">
        <v>42020</v>
      </c>
      <c r="D323" s="7" t="s">
        <v>637</v>
      </c>
      <c r="E323" s="7" t="s">
        <v>67</v>
      </c>
      <c r="F323" s="7" t="s">
        <v>68</v>
      </c>
      <c r="G323" s="7" t="s">
        <v>16</v>
      </c>
      <c r="H323" s="7" t="s">
        <v>2656</v>
      </c>
      <c r="I323" s="9">
        <v>2847.36</v>
      </c>
      <c r="J323" s="7">
        <v>8</v>
      </c>
      <c r="K323" s="11">
        <v>0</v>
      </c>
      <c r="L323" s="9">
        <v>711.84</v>
      </c>
      <c r="M323" s="7" t="s">
        <v>32</v>
      </c>
      <c r="N323" t="str">
        <v>Bulk Order</v>
      </c>
    </row>
    <row r="324" spans="1:14">
      <c r="A324" s="7" t="s">
        <v>638</v>
      </c>
      <c r="B324" s="8">
        <v>42321</v>
      </c>
      <c r="C324" s="8">
        <v>42323</v>
      </c>
      <c r="D324" s="7" t="s">
        <v>51</v>
      </c>
      <c r="E324" s="7"/>
      <c r="F324" s="7" t="s">
        <v>132</v>
      </c>
      <c r="G324" s="7" t="s">
        <v>28</v>
      </c>
      <c r="H324" s="7" t="s">
        <v>2662</v>
      </c>
      <c r="I324" s="9">
        <v>1725.75</v>
      </c>
      <c r="J324" s="7">
        <v>5</v>
      </c>
      <c r="K324" s="11">
        <v>0.25</v>
      </c>
      <c r="L324" s="9">
        <v>-483.29999999999899</v>
      </c>
      <c r="M324" s="7" t="s">
        <v>23</v>
      </c>
      <c r="N324" t="str">
        <v>Normal Order</v>
      </c>
    </row>
    <row r="325" spans="1:14">
      <c r="A325" s="7" t="s">
        <v>639</v>
      </c>
      <c r="B325" s="8">
        <v>41803</v>
      </c>
      <c r="C325" s="8">
        <v>41803</v>
      </c>
      <c r="D325" s="7" t="s">
        <v>226</v>
      </c>
      <c r="E325" s="7"/>
      <c r="F325" s="7" t="s">
        <v>132</v>
      </c>
      <c r="G325" s="7" t="s">
        <v>16</v>
      </c>
      <c r="H325" s="7" t="s">
        <v>2657</v>
      </c>
      <c r="I325" s="9">
        <v>1479.3137999999899</v>
      </c>
      <c r="J325" s="7">
        <v>6</v>
      </c>
      <c r="K325" s="11">
        <v>7.0000000000000007E-2</v>
      </c>
      <c r="L325" s="9">
        <v>-63.646199999999901</v>
      </c>
      <c r="M325" s="7" t="s">
        <v>32</v>
      </c>
      <c r="N325" t="str">
        <v>Bulk Order</v>
      </c>
    </row>
    <row r="326" spans="1:14">
      <c r="A326" s="7" t="s">
        <v>570</v>
      </c>
      <c r="B326" s="8">
        <v>42264</v>
      </c>
      <c r="C326" s="7" t="s">
        <v>640</v>
      </c>
      <c r="D326" s="7" t="s">
        <v>571</v>
      </c>
      <c r="E326" s="7" t="s">
        <v>641</v>
      </c>
      <c r="F326" s="7" t="s">
        <v>102</v>
      </c>
      <c r="G326" s="7" t="s">
        <v>28</v>
      </c>
      <c r="H326" s="7" t="s">
        <v>2655</v>
      </c>
      <c r="I326" s="9">
        <v>22.512</v>
      </c>
      <c r="J326" s="7">
        <v>3</v>
      </c>
      <c r="K326" s="11">
        <v>0.2</v>
      </c>
      <c r="L326" s="9">
        <v>2.2511999999999999</v>
      </c>
      <c r="M326" s="7" t="s">
        <v>23</v>
      </c>
      <c r="N326" t="str">
        <v>Normal Order</v>
      </c>
    </row>
    <row r="327" spans="1:14">
      <c r="A327" s="7" t="s">
        <v>642</v>
      </c>
      <c r="B327" s="8">
        <v>42269</v>
      </c>
      <c r="C327" s="8">
        <v>42272</v>
      </c>
      <c r="D327" s="7" t="s">
        <v>643</v>
      </c>
      <c r="E327" s="7" t="s">
        <v>644</v>
      </c>
      <c r="F327" s="7" t="s">
        <v>645</v>
      </c>
      <c r="G327" s="7" t="s">
        <v>16</v>
      </c>
      <c r="H327" s="7" t="s">
        <v>2657</v>
      </c>
      <c r="I327" s="9">
        <v>1282.22999999999</v>
      </c>
      <c r="J327" s="7">
        <v>9</v>
      </c>
      <c r="K327" s="11">
        <v>0</v>
      </c>
      <c r="L327" s="9">
        <v>12.69</v>
      </c>
      <c r="M327" s="7" t="s">
        <v>23</v>
      </c>
      <c r="N327" t="str">
        <v>Bulk Order</v>
      </c>
    </row>
    <row r="328" spans="1:14">
      <c r="A328" s="7" t="s">
        <v>646</v>
      </c>
      <c r="B328" s="8">
        <v>40916</v>
      </c>
      <c r="C328" s="7"/>
      <c r="D328" s="7" t="s">
        <v>647</v>
      </c>
      <c r="E328" s="7" t="s">
        <v>648</v>
      </c>
      <c r="F328" s="7" t="s">
        <v>121</v>
      </c>
      <c r="G328" s="7" t="s">
        <v>28</v>
      </c>
      <c r="H328" s="7" t="s">
        <v>2657</v>
      </c>
      <c r="I328" s="9">
        <v>2478.6</v>
      </c>
      <c r="J328" s="7">
        <v>6</v>
      </c>
      <c r="K328" s="11">
        <v>0</v>
      </c>
      <c r="L328" s="9">
        <v>49.5</v>
      </c>
      <c r="M328" s="7" t="s">
        <v>32</v>
      </c>
      <c r="N328" t="str">
        <v>Bulk Order</v>
      </c>
    </row>
    <row r="329" spans="1:14">
      <c r="A329" s="7" t="s">
        <v>572</v>
      </c>
      <c r="B329" s="8">
        <v>41173</v>
      </c>
      <c r="C329" s="8">
        <v>41180</v>
      </c>
      <c r="D329" s="7"/>
      <c r="E329" s="7" t="s">
        <v>35</v>
      </c>
      <c r="F329" s="7" t="s">
        <v>102</v>
      </c>
      <c r="G329" s="7" t="s">
        <v>28</v>
      </c>
      <c r="H329" s="7" t="s">
        <v>2657</v>
      </c>
      <c r="I329" s="9">
        <v>97.44</v>
      </c>
      <c r="J329" s="7">
        <v>3</v>
      </c>
      <c r="K329" s="11">
        <v>0</v>
      </c>
      <c r="L329" s="9">
        <v>35.078399999999903</v>
      </c>
      <c r="M329" s="7" t="s">
        <v>17</v>
      </c>
      <c r="N329" t="str">
        <v>Normal Order</v>
      </c>
    </row>
    <row r="330" spans="1:14">
      <c r="A330" s="7" t="s">
        <v>649</v>
      </c>
      <c r="B330" s="8">
        <v>41850</v>
      </c>
      <c r="C330" s="8">
        <v>41850</v>
      </c>
      <c r="D330" s="7" t="s">
        <v>650</v>
      </c>
      <c r="E330" s="7" t="s">
        <v>542</v>
      </c>
      <c r="F330" s="7" t="s">
        <v>81</v>
      </c>
      <c r="G330" s="7" t="s">
        <v>212</v>
      </c>
      <c r="H330" s="7" t="s">
        <v>2663</v>
      </c>
      <c r="I330" s="9">
        <v>959.76</v>
      </c>
      <c r="J330" s="7">
        <v>3</v>
      </c>
      <c r="K330" s="11">
        <v>0</v>
      </c>
      <c r="L330" s="9">
        <v>460.62</v>
      </c>
      <c r="M330" s="7" t="s">
        <v>23</v>
      </c>
      <c r="N330" t="str">
        <v>Normal Order</v>
      </c>
    </row>
    <row r="331" spans="1:14">
      <c r="A331" s="7" t="s">
        <v>651</v>
      </c>
      <c r="B331" s="8">
        <v>42341</v>
      </c>
      <c r="C331" s="10">
        <v>42344</v>
      </c>
      <c r="D331" s="7" t="s">
        <v>571</v>
      </c>
      <c r="E331" s="7" t="s">
        <v>35</v>
      </c>
      <c r="F331" s="7" t="s">
        <v>652</v>
      </c>
      <c r="G331" s="7" t="s">
        <v>39</v>
      </c>
      <c r="H331" s="7" t="s">
        <v>2657</v>
      </c>
      <c r="I331" s="9">
        <v>34.65</v>
      </c>
      <c r="J331" s="7">
        <v>3</v>
      </c>
      <c r="K331" s="11">
        <v>0</v>
      </c>
      <c r="L331" s="9">
        <v>72.253413101131102</v>
      </c>
      <c r="M331" s="7" t="s">
        <v>17</v>
      </c>
      <c r="N331" t="str">
        <v>Normal Order</v>
      </c>
    </row>
    <row r="332" spans="1:14">
      <c r="A332" s="7" t="s">
        <v>653</v>
      </c>
      <c r="B332" s="8">
        <v>42124</v>
      </c>
      <c r="C332" s="8">
        <v>42128</v>
      </c>
      <c r="D332" s="7" t="s">
        <v>654</v>
      </c>
      <c r="E332" s="7" t="s">
        <v>131</v>
      </c>
      <c r="F332" s="7" t="s">
        <v>132</v>
      </c>
      <c r="G332" s="7" t="s">
        <v>39</v>
      </c>
      <c r="H332" s="7" t="s">
        <v>2657</v>
      </c>
      <c r="I332" s="9">
        <v>4135.6409999999996</v>
      </c>
      <c r="J332" s="7">
        <v>10</v>
      </c>
      <c r="K332" s="11">
        <v>0.17</v>
      </c>
      <c r="L332" s="9">
        <v>847.04099999999903</v>
      </c>
      <c r="M332" s="7" t="s">
        <v>17</v>
      </c>
      <c r="N332" t="str">
        <v>Bulk Order</v>
      </c>
    </row>
    <row r="333" spans="1:14">
      <c r="A333" s="7" t="s">
        <v>655</v>
      </c>
      <c r="B333" s="10">
        <v>74050</v>
      </c>
      <c r="C333" s="7" t="s">
        <v>656</v>
      </c>
      <c r="D333" s="7" t="s">
        <v>657</v>
      </c>
      <c r="E333" s="7" t="s">
        <v>92</v>
      </c>
      <c r="F333" s="7" t="s">
        <v>89</v>
      </c>
      <c r="G333" s="7" t="s">
        <v>28</v>
      </c>
      <c r="H333" s="7" t="s">
        <v>2658</v>
      </c>
      <c r="I333" s="9">
        <v>2325.2800000000002</v>
      </c>
      <c r="J333" s="7">
        <v>8</v>
      </c>
      <c r="K333" s="11">
        <v>0</v>
      </c>
      <c r="L333" s="9">
        <v>511.52</v>
      </c>
      <c r="M333" s="7" t="s">
        <v>32</v>
      </c>
      <c r="N333" t="str">
        <v>Bulk Order</v>
      </c>
    </row>
    <row r="334" spans="1:14">
      <c r="A334" s="7"/>
      <c r="B334" s="8">
        <v>42179</v>
      </c>
      <c r="C334" s="8">
        <v>42183</v>
      </c>
      <c r="D334" s="7" t="s">
        <v>658</v>
      </c>
      <c r="E334" s="7" t="s">
        <v>14</v>
      </c>
      <c r="F334" s="7" t="s">
        <v>15</v>
      </c>
      <c r="G334" s="7" t="s">
        <v>28</v>
      </c>
      <c r="H334" s="7" t="s">
        <v>2661</v>
      </c>
      <c r="I334" s="9">
        <v>5486.67</v>
      </c>
      <c r="J334" s="7">
        <v>14</v>
      </c>
      <c r="K334" s="11">
        <v>0.1</v>
      </c>
      <c r="L334" s="9">
        <v>2316.5099999999902</v>
      </c>
      <c r="M334" s="7" t="s">
        <v>17</v>
      </c>
      <c r="N334" t="str">
        <v>Bulk Order</v>
      </c>
    </row>
    <row r="335" spans="1:14">
      <c r="A335" s="7" t="s">
        <v>659</v>
      </c>
      <c r="B335" s="8">
        <v>41004</v>
      </c>
      <c r="C335" s="8">
        <v>41006</v>
      </c>
      <c r="D335" s="7" t="s">
        <v>660</v>
      </c>
      <c r="E335" s="7" t="s">
        <v>661</v>
      </c>
      <c r="F335" s="7" t="s">
        <v>68</v>
      </c>
      <c r="G335" s="7" t="s">
        <v>39</v>
      </c>
      <c r="H335" s="7" t="s">
        <v>2663</v>
      </c>
      <c r="I335" s="9">
        <v>1523.664</v>
      </c>
      <c r="J335" s="7"/>
      <c r="K335" s="11">
        <v>0.1</v>
      </c>
      <c r="L335" s="9">
        <v>-50.975999999999999</v>
      </c>
      <c r="M335" s="7" t="s">
        <v>32</v>
      </c>
      <c r="N335" t="str">
        <v>Normal Order</v>
      </c>
    </row>
    <row r="336" spans="1:14">
      <c r="A336" s="7" t="s">
        <v>662</v>
      </c>
      <c r="B336" s="8">
        <v>42223</v>
      </c>
      <c r="C336" s="8">
        <v>42225</v>
      </c>
      <c r="D336" s="7" t="s">
        <v>663</v>
      </c>
      <c r="E336" s="7" t="s">
        <v>62</v>
      </c>
      <c r="F336" s="7" t="s">
        <v>63</v>
      </c>
      <c r="G336" s="7" t="s">
        <v>16</v>
      </c>
      <c r="H336" s="7" t="s">
        <v>2663</v>
      </c>
      <c r="I336" s="9">
        <v>1625.2425000000001</v>
      </c>
      <c r="J336" s="7">
        <v>3</v>
      </c>
      <c r="K336" s="11">
        <v>0.15</v>
      </c>
      <c r="L336" s="9">
        <v>-76.567499999999995</v>
      </c>
      <c r="M336" s="7" t="s">
        <v>23</v>
      </c>
      <c r="N336" t="str">
        <v>Normal Order</v>
      </c>
    </row>
    <row r="337" spans="1:14">
      <c r="A337" s="7" t="s">
        <v>634</v>
      </c>
      <c r="B337" s="8">
        <v>42039</v>
      </c>
      <c r="C337" s="8">
        <v>42099</v>
      </c>
      <c r="D337" s="7" t="s">
        <v>571</v>
      </c>
      <c r="E337" s="7" t="s">
        <v>35</v>
      </c>
      <c r="F337" s="7" t="s">
        <v>36</v>
      </c>
      <c r="G337" s="7" t="s">
        <v>39</v>
      </c>
      <c r="H337" s="7" t="s">
        <v>2664</v>
      </c>
      <c r="I337" s="9">
        <v>28.4</v>
      </c>
      <c r="J337" s="7">
        <v>5</v>
      </c>
      <c r="K337" s="11">
        <v>0</v>
      </c>
      <c r="L337" s="9">
        <v>13.3479999999999</v>
      </c>
      <c r="M337" s="7" t="s">
        <v>32</v>
      </c>
      <c r="N337" t="str">
        <v>Normal Order</v>
      </c>
    </row>
    <row r="338" spans="1:14">
      <c r="A338" s="7" t="s">
        <v>665</v>
      </c>
      <c r="B338" s="8">
        <v>42049</v>
      </c>
      <c r="C338" s="7"/>
      <c r="D338" s="7" t="s">
        <v>30</v>
      </c>
      <c r="E338" s="7" t="s">
        <v>62</v>
      </c>
      <c r="F338" s="7" t="s">
        <v>666</v>
      </c>
      <c r="G338" s="7" t="s">
        <v>39</v>
      </c>
      <c r="H338" s="7" t="s">
        <v>2656</v>
      </c>
      <c r="I338" s="9">
        <v>734.93999999999903</v>
      </c>
      <c r="J338" s="7"/>
      <c r="K338" s="11">
        <v>0.1</v>
      </c>
      <c r="L338" s="9">
        <v>130.62</v>
      </c>
      <c r="M338" s="7" t="s">
        <v>23</v>
      </c>
      <c r="N338" t="str">
        <v>Normal Order</v>
      </c>
    </row>
    <row r="339" spans="1:14">
      <c r="A339" s="7" t="s">
        <v>667</v>
      </c>
      <c r="B339" s="8">
        <v>41266</v>
      </c>
      <c r="C339" s="8">
        <v>41268</v>
      </c>
      <c r="D339" s="7" t="s">
        <v>571</v>
      </c>
      <c r="E339" s="7" t="s">
        <v>35</v>
      </c>
      <c r="F339" s="7" t="s">
        <v>38</v>
      </c>
      <c r="G339" s="7" t="s">
        <v>39</v>
      </c>
      <c r="H339" s="7" t="s">
        <v>2654</v>
      </c>
      <c r="I339" s="9">
        <v>13.97</v>
      </c>
      <c r="J339" s="7">
        <v>1</v>
      </c>
      <c r="K339" s="11">
        <v>0</v>
      </c>
      <c r="L339" s="9">
        <v>3.6322000000000001</v>
      </c>
      <c r="M339" s="7" t="s">
        <v>32</v>
      </c>
      <c r="N339" t="str">
        <v>Normal Order</v>
      </c>
    </row>
    <row r="340" spans="1:14">
      <c r="A340" s="7" t="s">
        <v>668</v>
      </c>
      <c r="B340" s="8">
        <v>41503</v>
      </c>
      <c r="C340" s="8">
        <v>41505</v>
      </c>
      <c r="D340" s="7" t="s">
        <v>669</v>
      </c>
      <c r="E340" s="7" t="s">
        <v>670</v>
      </c>
      <c r="F340" s="7" t="s">
        <v>78</v>
      </c>
      <c r="G340" s="7" t="s">
        <v>28</v>
      </c>
      <c r="H340" s="7" t="s">
        <v>2664</v>
      </c>
      <c r="I340" s="9">
        <v>1391.52</v>
      </c>
      <c r="J340" s="7">
        <v>8</v>
      </c>
      <c r="K340" s="11">
        <v>0</v>
      </c>
      <c r="L340" s="9">
        <v>69.36</v>
      </c>
      <c r="M340" s="7" t="s">
        <v>23</v>
      </c>
      <c r="N340" t="str">
        <v>Bulk Order</v>
      </c>
    </row>
    <row r="341" spans="1:14">
      <c r="A341" s="7" t="s">
        <v>574</v>
      </c>
      <c r="B341" s="8">
        <v>41587</v>
      </c>
      <c r="C341" s="8">
        <v>41591</v>
      </c>
      <c r="D341" s="7" t="s">
        <v>571</v>
      </c>
      <c r="E341" s="7" t="s">
        <v>35</v>
      </c>
      <c r="F341" s="7" t="s">
        <v>671</v>
      </c>
      <c r="G341" s="7" t="s">
        <v>39</v>
      </c>
      <c r="H341" s="7" t="s">
        <v>2658</v>
      </c>
      <c r="I341" s="9">
        <v>26.22</v>
      </c>
      <c r="J341" s="7">
        <v>3</v>
      </c>
      <c r="K341" s="11">
        <v>0</v>
      </c>
      <c r="L341" s="9">
        <v>12.323399999999999</v>
      </c>
      <c r="M341" s="7" t="s">
        <v>17</v>
      </c>
      <c r="N341" t="str">
        <v>Normal Order</v>
      </c>
    </row>
    <row r="342" spans="1:14">
      <c r="A342" s="7" t="s">
        <v>672</v>
      </c>
      <c r="B342" s="8">
        <v>41493</v>
      </c>
      <c r="C342" s="8">
        <v>41494</v>
      </c>
      <c r="D342" s="7" t="s">
        <v>450</v>
      </c>
      <c r="E342" s="7" t="s">
        <v>52</v>
      </c>
      <c r="F342" s="7" t="s">
        <v>53</v>
      </c>
      <c r="G342" s="7" t="s">
        <v>39</v>
      </c>
      <c r="H342" s="7" t="s">
        <v>2655</v>
      </c>
      <c r="I342" s="9">
        <v>2461.06</v>
      </c>
      <c r="J342" s="7">
        <v>7</v>
      </c>
      <c r="K342" s="11">
        <v>0</v>
      </c>
      <c r="L342" s="9">
        <v>566.02</v>
      </c>
      <c r="M342" s="7"/>
      <c r="N342" t="str">
        <v>Bulk Order</v>
      </c>
    </row>
    <row r="343" spans="1:14">
      <c r="A343" s="7" t="s">
        <v>577</v>
      </c>
      <c r="B343" s="8">
        <v>41812</v>
      </c>
      <c r="C343" s="8">
        <v>41817</v>
      </c>
      <c r="D343" s="7" t="s">
        <v>571</v>
      </c>
      <c r="E343" s="7" t="s">
        <v>35</v>
      </c>
      <c r="F343" s="7" t="s">
        <v>102</v>
      </c>
      <c r="G343" s="7" t="s">
        <v>39</v>
      </c>
      <c r="H343" s="7" t="s">
        <v>2663</v>
      </c>
      <c r="I343" s="9">
        <v>36.56</v>
      </c>
      <c r="J343" s="7">
        <v>5</v>
      </c>
      <c r="K343" s="11">
        <v>0.2</v>
      </c>
      <c r="L343" s="9">
        <v>12.795999999999999</v>
      </c>
      <c r="M343" s="7" t="s">
        <v>32</v>
      </c>
      <c r="N343" t="str">
        <v>Normal Order</v>
      </c>
    </row>
    <row r="344" spans="1:14">
      <c r="A344" s="7" t="s">
        <v>673</v>
      </c>
      <c r="B344" s="8">
        <v>41762</v>
      </c>
      <c r="C344" s="8">
        <v>41766</v>
      </c>
      <c r="D344" s="7" t="s">
        <v>571</v>
      </c>
      <c r="E344" s="7" t="s">
        <v>35</v>
      </c>
      <c r="F344" s="7" t="s">
        <v>36</v>
      </c>
      <c r="G344" s="7" t="s">
        <v>39</v>
      </c>
      <c r="H344" s="7" t="s">
        <v>2661</v>
      </c>
      <c r="I344" s="9">
        <v>18.936</v>
      </c>
      <c r="J344" s="7">
        <v>3</v>
      </c>
      <c r="K344" s="11">
        <v>0.2</v>
      </c>
      <c r="L344" s="9">
        <v>-3.7871999999999999</v>
      </c>
      <c r="M344" s="7" t="s">
        <v>17</v>
      </c>
      <c r="N344" t="str">
        <v>Normal Order</v>
      </c>
    </row>
    <row r="345" spans="1:14">
      <c r="A345" s="7" t="s">
        <v>674</v>
      </c>
      <c r="B345" s="8">
        <v>41495</v>
      </c>
      <c r="C345" s="7" t="s">
        <v>675</v>
      </c>
      <c r="D345" s="7" t="s">
        <v>676</v>
      </c>
      <c r="E345" s="7" t="s">
        <v>677</v>
      </c>
      <c r="F345" s="7" t="s">
        <v>132</v>
      </c>
      <c r="G345" s="7" t="s">
        <v>16</v>
      </c>
      <c r="H345" s="7" t="s">
        <v>2656</v>
      </c>
      <c r="I345" s="9" t="s">
        <v>152</v>
      </c>
      <c r="J345" s="7">
        <v>7</v>
      </c>
      <c r="K345" s="11">
        <v>0</v>
      </c>
      <c r="L345" s="9">
        <v>612.99</v>
      </c>
      <c r="M345" s="7" t="s">
        <v>23</v>
      </c>
      <c r="N345" t="str">
        <v>Bulk Order</v>
      </c>
    </row>
    <row r="346" spans="1:14">
      <c r="A346" s="7" t="s">
        <v>678</v>
      </c>
      <c r="B346" s="10">
        <v>41691</v>
      </c>
      <c r="C346" s="8">
        <v>41692</v>
      </c>
      <c r="D346" s="7" t="s">
        <v>679</v>
      </c>
      <c r="E346" s="7" t="s">
        <v>14</v>
      </c>
      <c r="F346" s="7" t="s">
        <v>15</v>
      </c>
      <c r="G346" s="7" t="s">
        <v>28</v>
      </c>
      <c r="H346" s="7" t="s">
        <v>2662</v>
      </c>
      <c r="I346" s="9">
        <v>1809.2550000000001</v>
      </c>
      <c r="J346" s="7">
        <v>5</v>
      </c>
      <c r="K346" s="11">
        <v>0.3</v>
      </c>
      <c r="L346" s="9">
        <v>-258.495</v>
      </c>
      <c r="M346" s="7" t="s">
        <v>32</v>
      </c>
      <c r="N346" t="str">
        <v>Normal Order</v>
      </c>
    </row>
    <row r="347" spans="1:14">
      <c r="A347" s="7" t="s">
        <v>680</v>
      </c>
      <c r="B347" s="7" t="s">
        <v>116</v>
      </c>
      <c r="C347" s="8">
        <v>41474</v>
      </c>
      <c r="D347" s="7" t="s">
        <v>595</v>
      </c>
      <c r="E347" s="7" t="s">
        <v>14</v>
      </c>
      <c r="F347" s="7" t="s">
        <v>15</v>
      </c>
      <c r="G347" s="7" t="s">
        <v>16</v>
      </c>
      <c r="H347" s="7" t="s">
        <v>2662</v>
      </c>
      <c r="I347" s="9">
        <v>1863</v>
      </c>
      <c r="J347" s="7">
        <v>8</v>
      </c>
      <c r="K347" s="11">
        <v>0.1</v>
      </c>
      <c r="L347" s="9">
        <v>393.24</v>
      </c>
      <c r="M347" s="7" t="s">
        <v>32</v>
      </c>
      <c r="N347" t="str">
        <v>Bulk Order</v>
      </c>
    </row>
    <row r="348" spans="1:14">
      <c r="A348" s="7" t="s">
        <v>681</v>
      </c>
      <c r="B348" s="8">
        <v>41894</v>
      </c>
      <c r="C348" s="8">
        <v>41899</v>
      </c>
      <c r="D348" s="7" t="s">
        <v>571</v>
      </c>
      <c r="E348" s="7" t="s">
        <v>35</v>
      </c>
      <c r="F348" s="7" t="s">
        <v>36</v>
      </c>
      <c r="G348" s="7" t="s">
        <v>39</v>
      </c>
      <c r="H348" s="7" t="s">
        <v>2658</v>
      </c>
      <c r="I348" s="9">
        <v>6</v>
      </c>
      <c r="J348" s="7">
        <v>2</v>
      </c>
      <c r="K348" s="11">
        <v>0.2</v>
      </c>
      <c r="L348" s="9">
        <v>2.0999999999999899</v>
      </c>
      <c r="M348" s="7" t="s">
        <v>32</v>
      </c>
      <c r="N348" t="str">
        <v>Normal Order</v>
      </c>
    </row>
    <row r="349" spans="1:14">
      <c r="A349" s="7" t="s">
        <v>682</v>
      </c>
      <c r="B349" s="8">
        <v>42103</v>
      </c>
      <c r="C349" s="8">
        <v>42106</v>
      </c>
      <c r="D349" s="7" t="s">
        <v>683</v>
      </c>
      <c r="E349" s="7" t="s">
        <v>62</v>
      </c>
      <c r="F349" s="7" t="s">
        <v>63</v>
      </c>
      <c r="G349" s="7" t="s">
        <v>39</v>
      </c>
      <c r="H349" s="7" t="s">
        <v>2654</v>
      </c>
      <c r="I349" s="9">
        <v>1244.1869999999999</v>
      </c>
      <c r="J349" s="7">
        <v>7</v>
      </c>
      <c r="K349" s="11"/>
      <c r="L349" s="9">
        <v>-13.923</v>
      </c>
      <c r="M349" s="7" t="s">
        <v>23</v>
      </c>
      <c r="N349" t="str">
        <v>Bulk Order</v>
      </c>
    </row>
    <row r="350" spans="1:14">
      <c r="A350" s="7" t="s">
        <v>684</v>
      </c>
      <c r="B350" s="8">
        <v>41443</v>
      </c>
      <c r="C350" s="8">
        <v>41445</v>
      </c>
      <c r="D350" s="7" t="s">
        <v>685</v>
      </c>
      <c r="E350" s="7" t="s">
        <v>62</v>
      </c>
      <c r="F350" s="7" t="s">
        <v>63</v>
      </c>
      <c r="G350" s="7" t="s">
        <v>28</v>
      </c>
      <c r="H350" s="7" t="s">
        <v>2656</v>
      </c>
      <c r="I350" s="9">
        <v>2364.1019999999999</v>
      </c>
      <c r="J350" s="7">
        <v>4</v>
      </c>
      <c r="K350" s="11">
        <v>0.35</v>
      </c>
      <c r="L350" s="9">
        <v>-218.29799999999901</v>
      </c>
      <c r="M350" s="7" t="s">
        <v>17</v>
      </c>
      <c r="N350" t="str">
        <v>Normal Order</v>
      </c>
    </row>
    <row r="351" spans="1:14">
      <c r="A351" s="7" t="s">
        <v>686</v>
      </c>
      <c r="B351" s="8">
        <v>42004</v>
      </c>
      <c r="C351" s="8">
        <v>42006</v>
      </c>
      <c r="D351" s="7" t="s">
        <v>345</v>
      </c>
      <c r="E351" s="7" t="s">
        <v>62</v>
      </c>
      <c r="F351" s="7" t="s">
        <v>63</v>
      </c>
      <c r="G351" s="7" t="s">
        <v>16</v>
      </c>
      <c r="H351" s="7" t="s">
        <v>2664</v>
      </c>
      <c r="I351" s="9">
        <v>1946.3129999999901</v>
      </c>
      <c r="J351" s="7">
        <v>6</v>
      </c>
      <c r="K351" s="11">
        <v>0.15</v>
      </c>
      <c r="L351" s="9">
        <v>114.453</v>
      </c>
      <c r="M351" s="7" t="s">
        <v>32</v>
      </c>
      <c r="N351" t="str">
        <v>Bulk Order</v>
      </c>
    </row>
    <row r="352" spans="1:14">
      <c r="A352" s="7" t="s">
        <v>673</v>
      </c>
      <c r="B352" s="8">
        <v>41762</v>
      </c>
      <c r="C352" s="8">
        <v>41766</v>
      </c>
      <c r="D352" s="7" t="s">
        <v>571</v>
      </c>
      <c r="E352" s="7"/>
      <c r="F352" s="7" t="s">
        <v>36</v>
      </c>
      <c r="G352" s="7" t="s">
        <v>39</v>
      </c>
      <c r="H352" s="7" t="s">
        <v>2658</v>
      </c>
      <c r="I352" s="9">
        <v>12.672000000000001</v>
      </c>
      <c r="J352" s="7">
        <v>3</v>
      </c>
      <c r="K352" s="11">
        <v>0.2</v>
      </c>
      <c r="L352" s="9">
        <v>-3.1680000000000001</v>
      </c>
      <c r="M352" s="7" t="s">
        <v>17</v>
      </c>
      <c r="N352" t="str">
        <v>Normal Order</v>
      </c>
    </row>
    <row r="353" spans="1:14">
      <c r="A353" s="7" t="s">
        <v>687</v>
      </c>
      <c r="B353" s="8">
        <v>41289</v>
      </c>
      <c r="C353" s="8">
        <v>41291</v>
      </c>
      <c r="D353" s="7" t="s">
        <v>688</v>
      </c>
      <c r="E353" s="7" t="s">
        <v>689</v>
      </c>
      <c r="F353" s="7" t="s">
        <v>63</v>
      </c>
      <c r="G353" s="7" t="s">
        <v>39</v>
      </c>
      <c r="H353" s="7" t="s">
        <v>2657</v>
      </c>
      <c r="I353" s="9">
        <v>2283.7139999999999</v>
      </c>
      <c r="J353" s="7">
        <v>9</v>
      </c>
      <c r="K353" s="11">
        <v>0.1</v>
      </c>
      <c r="L353" s="9">
        <v>-0.21600000000000799</v>
      </c>
      <c r="M353" s="7" t="s">
        <v>32</v>
      </c>
      <c r="N353" t="str">
        <v>Bulk Order</v>
      </c>
    </row>
    <row r="354" spans="1:14">
      <c r="A354" s="7" t="s">
        <v>690</v>
      </c>
      <c r="B354" s="8">
        <v>41437</v>
      </c>
      <c r="C354" s="7"/>
      <c r="D354" s="7" t="s">
        <v>203</v>
      </c>
      <c r="E354" s="7" t="s">
        <v>120</v>
      </c>
      <c r="F354" s="7" t="s">
        <v>121</v>
      </c>
      <c r="G354" s="7" t="s">
        <v>16</v>
      </c>
      <c r="H354" s="7" t="s">
        <v>2659</v>
      </c>
      <c r="I354" s="9">
        <v>2549.7600000000002</v>
      </c>
      <c r="J354" s="7">
        <v>4</v>
      </c>
      <c r="K354" s="11">
        <v>0</v>
      </c>
      <c r="L354" s="9">
        <v>1172.8799999999901</v>
      </c>
      <c r="M354" s="7" t="s">
        <v>17</v>
      </c>
      <c r="N354" t="str">
        <v>Normal Order</v>
      </c>
    </row>
    <row r="355" spans="1:14">
      <c r="A355" s="7" t="s">
        <v>691</v>
      </c>
      <c r="B355" s="8">
        <v>42080</v>
      </c>
      <c r="C355" s="8">
        <v>42085</v>
      </c>
      <c r="D355" s="7" t="s">
        <v>692</v>
      </c>
      <c r="E355" s="7" t="s">
        <v>14</v>
      </c>
      <c r="F355" s="7" t="s">
        <v>15</v>
      </c>
      <c r="G355" s="7" t="s">
        <v>16</v>
      </c>
      <c r="H355" s="7" t="s">
        <v>2661</v>
      </c>
      <c r="I355" s="9">
        <v>3299.5619999999999</v>
      </c>
      <c r="J355" s="7">
        <v>14</v>
      </c>
      <c r="K355" s="11">
        <v>0.1</v>
      </c>
      <c r="L355" s="9"/>
      <c r="M355" s="7" t="s">
        <v>17</v>
      </c>
      <c r="N355" t="str">
        <v>Bulk Order</v>
      </c>
    </row>
    <row r="356" spans="1:14">
      <c r="A356" s="7" t="s">
        <v>693</v>
      </c>
      <c r="B356" s="8">
        <v>41591</v>
      </c>
      <c r="C356" s="8">
        <v>41595</v>
      </c>
      <c r="D356" s="7" t="s">
        <v>694</v>
      </c>
      <c r="E356" s="7" t="s">
        <v>695</v>
      </c>
      <c r="F356" s="7" t="s">
        <v>63</v>
      </c>
      <c r="G356" s="7" t="s">
        <v>39</v>
      </c>
      <c r="H356" s="7" t="s">
        <v>2656</v>
      </c>
      <c r="I356" s="9">
        <v>2489.3999999999901</v>
      </c>
      <c r="J356" s="7">
        <v>9</v>
      </c>
      <c r="K356" s="11">
        <v>0</v>
      </c>
      <c r="L356" s="9">
        <v>273.77999999999997</v>
      </c>
      <c r="M356" s="7" t="s">
        <v>32</v>
      </c>
      <c r="N356" t="str">
        <v>Bulk Order</v>
      </c>
    </row>
    <row r="357" spans="1:14">
      <c r="A357" s="7" t="s">
        <v>673</v>
      </c>
      <c r="B357" s="8">
        <v>41762</v>
      </c>
      <c r="C357" s="8">
        <v>41766</v>
      </c>
      <c r="D357" s="7" t="s">
        <v>571</v>
      </c>
      <c r="E357" s="7" t="s">
        <v>35</v>
      </c>
      <c r="F357" s="7" t="s">
        <v>36</v>
      </c>
      <c r="G357" s="7" t="s">
        <v>39</v>
      </c>
      <c r="H357" s="7" t="s">
        <v>2657</v>
      </c>
      <c r="I357" s="9">
        <v>5.04</v>
      </c>
      <c r="J357" s="7">
        <v>2</v>
      </c>
      <c r="K357" s="11">
        <v>0.2</v>
      </c>
      <c r="L357" s="9">
        <v>1.764</v>
      </c>
      <c r="M357" s="7" t="s">
        <v>17</v>
      </c>
      <c r="N357" t="str">
        <v>Normal Order</v>
      </c>
    </row>
    <row r="358" spans="1:14">
      <c r="A358" s="7" t="s">
        <v>570</v>
      </c>
      <c r="B358" s="8">
        <v>42264</v>
      </c>
      <c r="C358" s="8">
        <v>42266</v>
      </c>
      <c r="D358" s="7" t="s">
        <v>571</v>
      </c>
      <c r="E358" s="7" t="s">
        <v>35</v>
      </c>
      <c r="F358" s="7" t="s">
        <v>102</v>
      </c>
      <c r="G358" s="7" t="s">
        <v>39</v>
      </c>
      <c r="H358" s="7" t="s">
        <v>2661</v>
      </c>
      <c r="I358" s="9">
        <v>3.444</v>
      </c>
      <c r="J358" s="7">
        <v>2</v>
      </c>
      <c r="K358" s="11">
        <v>0.7</v>
      </c>
      <c r="L358" s="9">
        <v>-2.7551999999999901</v>
      </c>
      <c r="M358" s="7" t="s">
        <v>23</v>
      </c>
      <c r="N358" t="str">
        <v>Normal Order</v>
      </c>
    </row>
    <row r="359" spans="1:14">
      <c r="A359" s="7" t="s">
        <v>697</v>
      </c>
      <c r="B359" s="8">
        <v>42140</v>
      </c>
      <c r="C359" s="8">
        <v>42143</v>
      </c>
      <c r="D359" s="7" t="s">
        <v>269</v>
      </c>
      <c r="E359" s="7" t="s">
        <v>62</v>
      </c>
      <c r="F359" s="7" t="s">
        <v>63</v>
      </c>
      <c r="G359" s="7" t="s">
        <v>28</v>
      </c>
      <c r="H359" s="7" t="s">
        <v>2663</v>
      </c>
      <c r="I359" s="9"/>
      <c r="J359" s="7">
        <v>9</v>
      </c>
      <c r="K359" s="11">
        <v>0.1</v>
      </c>
      <c r="L359" s="9"/>
      <c r="M359" s="7" t="s">
        <v>32</v>
      </c>
      <c r="N359" t="str">
        <v>Bulk Order</v>
      </c>
    </row>
    <row r="360" spans="1:14">
      <c r="A360" s="7" t="s">
        <v>574</v>
      </c>
      <c r="B360" s="8">
        <v>41587</v>
      </c>
      <c r="C360" s="8">
        <v>41591</v>
      </c>
      <c r="D360" s="7" t="s">
        <v>571</v>
      </c>
      <c r="E360" s="7" t="s">
        <v>35</v>
      </c>
      <c r="F360" s="7" t="s">
        <v>36</v>
      </c>
      <c r="G360" s="7" t="s">
        <v>39</v>
      </c>
      <c r="H360" s="7" t="s">
        <v>2657</v>
      </c>
      <c r="I360" s="9">
        <v>17.22</v>
      </c>
      <c r="J360" s="7">
        <v>3</v>
      </c>
      <c r="K360" s="11">
        <v>0</v>
      </c>
      <c r="L360" s="9">
        <v>7.9211999999999998</v>
      </c>
      <c r="M360" s="7" t="s">
        <v>17</v>
      </c>
      <c r="N360" t="str">
        <v>Normal Order</v>
      </c>
    </row>
    <row r="361" spans="1:14">
      <c r="A361" s="7"/>
      <c r="B361" s="8">
        <v>42360</v>
      </c>
      <c r="C361" s="8">
        <v>42362</v>
      </c>
      <c r="D361" s="7" t="s">
        <v>238</v>
      </c>
      <c r="E361" s="7" t="s">
        <v>92</v>
      </c>
      <c r="F361" s="7" t="s">
        <v>89</v>
      </c>
      <c r="G361" s="7" t="s">
        <v>28</v>
      </c>
      <c r="H361" s="7" t="s">
        <v>2663</v>
      </c>
      <c r="I361" s="9">
        <v>1269.5999999999999</v>
      </c>
      <c r="J361" s="7">
        <v>4</v>
      </c>
      <c r="K361" s="11">
        <v>0</v>
      </c>
      <c r="L361" s="9">
        <v>1793.76237633908</v>
      </c>
      <c r="M361" s="7" t="s">
        <v>32</v>
      </c>
      <c r="N361" t="str">
        <v>Normal Order</v>
      </c>
    </row>
    <row r="362" spans="1:14">
      <c r="A362" s="7" t="s">
        <v>699</v>
      </c>
      <c r="B362" s="8">
        <v>41896</v>
      </c>
      <c r="C362" s="8">
        <v>41896</v>
      </c>
      <c r="D362" s="7" t="s">
        <v>700</v>
      </c>
      <c r="E362" s="7" t="s">
        <v>701</v>
      </c>
      <c r="F362" s="7" t="s">
        <v>106</v>
      </c>
      <c r="G362" s="7" t="s">
        <v>16</v>
      </c>
      <c r="H362" s="7" t="s">
        <v>2657</v>
      </c>
      <c r="I362" s="9">
        <v>3499.1550000000002</v>
      </c>
      <c r="J362" s="7">
        <v>11</v>
      </c>
      <c r="K362" s="11">
        <v>0.5</v>
      </c>
      <c r="L362" s="9">
        <v>-3009.4349999999999</v>
      </c>
      <c r="M362" s="7" t="s">
        <v>17</v>
      </c>
      <c r="N362" t="str">
        <v>Bulk Order</v>
      </c>
    </row>
    <row r="363" spans="1:14">
      <c r="A363" s="7" t="s">
        <v>702</v>
      </c>
      <c r="B363" s="7"/>
      <c r="C363" s="8">
        <v>41652</v>
      </c>
      <c r="D363" s="7" t="s">
        <v>703</v>
      </c>
      <c r="E363" s="7" t="s">
        <v>14</v>
      </c>
      <c r="F363" s="7" t="s">
        <v>15</v>
      </c>
      <c r="G363" s="7" t="s">
        <v>28</v>
      </c>
      <c r="H363" s="7" t="s">
        <v>2655</v>
      </c>
      <c r="I363" s="9">
        <v>2993.0249999999901</v>
      </c>
      <c r="J363" s="7">
        <v>5</v>
      </c>
      <c r="K363" s="11">
        <v>0.3</v>
      </c>
      <c r="L363" s="9">
        <v>726.82499999999902</v>
      </c>
      <c r="M363" s="7" t="s">
        <v>17</v>
      </c>
      <c r="N363" t="str">
        <v>Normal Order</v>
      </c>
    </row>
    <row r="364" spans="1:14">
      <c r="A364" s="7" t="s">
        <v>704</v>
      </c>
      <c r="B364" s="8">
        <v>42182</v>
      </c>
      <c r="C364" s="8">
        <v>42182</v>
      </c>
      <c r="D364" s="7"/>
      <c r="E364" s="7" t="s">
        <v>62</v>
      </c>
      <c r="F364" s="7" t="s">
        <v>63</v>
      </c>
      <c r="G364" s="7" t="s">
        <v>16</v>
      </c>
      <c r="H364" s="7" t="s">
        <v>2656</v>
      </c>
      <c r="I364" s="9">
        <v>815.94899999999996</v>
      </c>
      <c r="J364" s="7">
        <v>3</v>
      </c>
      <c r="K364" s="11">
        <v>0.15</v>
      </c>
      <c r="L364" s="9">
        <v>287.91899999999998</v>
      </c>
      <c r="M364" s="7" t="s">
        <v>23</v>
      </c>
      <c r="N364" t="str">
        <v>Normal Order</v>
      </c>
    </row>
    <row r="365" spans="1:14">
      <c r="A365" s="7" t="s">
        <v>705</v>
      </c>
      <c r="B365" s="8">
        <v>41468</v>
      </c>
      <c r="C365" s="10">
        <v>41471</v>
      </c>
      <c r="D365" s="7" t="s">
        <v>706</v>
      </c>
      <c r="E365" s="7" t="s">
        <v>707</v>
      </c>
      <c r="F365" s="7" t="s">
        <v>85</v>
      </c>
      <c r="G365" s="7" t="s">
        <v>16</v>
      </c>
      <c r="H365" s="7" t="s">
        <v>2658</v>
      </c>
      <c r="I365" s="9">
        <v>1245</v>
      </c>
      <c r="J365" s="7">
        <v>4</v>
      </c>
      <c r="K365" s="11">
        <v>0</v>
      </c>
      <c r="L365" s="9">
        <v>161.76</v>
      </c>
      <c r="M365" s="7" t="s">
        <v>23</v>
      </c>
      <c r="N365" t="str">
        <v>Normal Order</v>
      </c>
    </row>
    <row r="366" spans="1:14">
      <c r="A366" s="7" t="s">
        <v>708</v>
      </c>
      <c r="B366" s="8">
        <v>42046</v>
      </c>
      <c r="C366" s="8">
        <v>42046</v>
      </c>
      <c r="D366" s="7" t="s">
        <v>709</v>
      </c>
      <c r="E366" s="7" t="s">
        <v>14</v>
      </c>
      <c r="F366" s="7" t="s">
        <v>15</v>
      </c>
      <c r="G366" s="7" t="s">
        <v>16</v>
      </c>
      <c r="H366" s="7" t="s">
        <v>2657</v>
      </c>
      <c r="I366" s="9">
        <v>1027.7280000000001</v>
      </c>
      <c r="J366" s="7">
        <v>8</v>
      </c>
      <c r="K366" s="11">
        <v>0.1</v>
      </c>
      <c r="L366" s="9">
        <v>182.68799999999999</v>
      </c>
      <c r="M366" s="7" t="s">
        <v>23</v>
      </c>
      <c r="N366" t="str">
        <v>Bulk Order</v>
      </c>
    </row>
    <row r="367" spans="1:14">
      <c r="A367" s="7" t="s">
        <v>710</v>
      </c>
      <c r="B367" s="8">
        <v>42153</v>
      </c>
      <c r="C367" s="8">
        <v>42160</v>
      </c>
      <c r="D367" s="7" t="s">
        <v>503</v>
      </c>
      <c r="E367" s="7" t="s">
        <v>14</v>
      </c>
      <c r="F367" s="7" t="s">
        <v>15</v>
      </c>
      <c r="G367" s="7" t="s">
        <v>16</v>
      </c>
      <c r="H367" s="7" t="s">
        <v>2662</v>
      </c>
      <c r="I367" s="9">
        <v>1703.0250000000001</v>
      </c>
      <c r="J367" s="7">
        <v>5</v>
      </c>
      <c r="K367" s="11"/>
      <c r="L367" s="9">
        <v>737.92499999999995</v>
      </c>
      <c r="M367" s="7" t="s">
        <v>65</v>
      </c>
      <c r="N367" t="str">
        <v>Normal Order</v>
      </c>
    </row>
    <row r="368" spans="1:14">
      <c r="A368" s="7" t="s">
        <v>711</v>
      </c>
      <c r="B368" s="8">
        <v>42110</v>
      </c>
      <c r="C368" s="8">
        <v>42112</v>
      </c>
      <c r="D368" s="7" t="s">
        <v>712</v>
      </c>
      <c r="E368" s="7" t="s">
        <v>131</v>
      </c>
      <c r="F368" s="7" t="s">
        <v>132</v>
      </c>
      <c r="G368" s="7" t="s">
        <v>154</v>
      </c>
      <c r="H368" s="7" t="s">
        <v>2657</v>
      </c>
      <c r="I368" s="9">
        <v>1803.0836999999999</v>
      </c>
      <c r="J368" s="7">
        <v>11</v>
      </c>
      <c r="K368" s="11">
        <v>0.17</v>
      </c>
      <c r="L368" s="9">
        <v>-130.38630000000001</v>
      </c>
      <c r="M368" s="7" t="s">
        <v>32</v>
      </c>
      <c r="N368" t="str">
        <v>Bulk Order</v>
      </c>
    </row>
    <row r="369" spans="1:14">
      <c r="A369" s="7" t="s">
        <v>713</v>
      </c>
      <c r="B369" s="8">
        <v>42335</v>
      </c>
      <c r="C369" s="8">
        <v>42337</v>
      </c>
      <c r="D369" s="7" t="s">
        <v>714</v>
      </c>
      <c r="E369" s="7" t="s">
        <v>62</v>
      </c>
      <c r="F369" s="7" t="s">
        <v>63</v>
      </c>
      <c r="G369" s="7" t="s">
        <v>28</v>
      </c>
      <c r="H369" s="7" t="s">
        <v>2657</v>
      </c>
      <c r="I369" s="9">
        <v>676.48500000000001</v>
      </c>
      <c r="J369" s="7">
        <v>5</v>
      </c>
      <c r="K369" s="11">
        <v>0.1</v>
      </c>
      <c r="L369" s="9">
        <v>195.285</v>
      </c>
      <c r="M369" s="7" t="s">
        <v>23</v>
      </c>
      <c r="N369" t="str">
        <v>Normal Order</v>
      </c>
    </row>
    <row r="370" spans="1:14">
      <c r="A370" s="7" t="s">
        <v>715</v>
      </c>
      <c r="B370" s="8">
        <v>41221</v>
      </c>
      <c r="C370" s="8">
        <v>41223</v>
      </c>
      <c r="D370" s="7" t="s">
        <v>716</v>
      </c>
      <c r="E370" s="7" t="s">
        <v>105</v>
      </c>
      <c r="F370" s="7" t="s">
        <v>106</v>
      </c>
      <c r="G370" s="7" t="s">
        <v>28</v>
      </c>
      <c r="H370" s="7" t="s">
        <v>2664</v>
      </c>
      <c r="I370" s="9">
        <v>969.36</v>
      </c>
      <c r="J370" s="7">
        <v>7</v>
      </c>
      <c r="K370" s="11">
        <v>0</v>
      </c>
      <c r="L370" s="9">
        <v>348.81</v>
      </c>
      <c r="M370" s="7" t="s">
        <v>23</v>
      </c>
      <c r="N370" t="str">
        <v>Bulk Order</v>
      </c>
    </row>
    <row r="371" spans="1:14">
      <c r="A371" s="7" t="s">
        <v>717</v>
      </c>
      <c r="B371" s="8">
        <v>42265</v>
      </c>
      <c r="C371" s="7" t="s">
        <v>718</v>
      </c>
      <c r="D371" s="7" t="s">
        <v>719</v>
      </c>
      <c r="E371" s="7"/>
      <c r="F371" s="7" t="s">
        <v>63</v>
      </c>
      <c r="G371" s="7" t="s">
        <v>28</v>
      </c>
      <c r="H371" s="7" t="s">
        <v>2663</v>
      </c>
      <c r="I371" s="9" t="s">
        <v>152</v>
      </c>
      <c r="J371" s="7">
        <v>5</v>
      </c>
      <c r="K371" s="11">
        <v>0.1</v>
      </c>
      <c r="L371" s="9">
        <v>90.809999999999903</v>
      </c>
      <c r="M371" s="7" t="s">
        <v>32</v>
      </c>
      <c r="N371" t="str">
        <v>Normal Order</v>
      </c>
    </row>
    <row r="372" spans="1:14">
      <c r="A372" s="7" t="s">
        <v>720</v>
      </c>
      <c r="B372" s="8">
        <v>42059</v>
      </c>
      <c r="C372" s="8">
        <v>42062</v>
      </c>
      <c r="D372" s="7" t="s">
        <v>721</v>
      </c>
      <c r="E372" s="7" t="s">
        <v>265</v>
      </c>
      <c r="F372" s="7" t="s">
        <v>53</v>
      </c>
      <c r="G372" s="7" t="s">
        <v>16</v>
      </c>
      <c r="H372" s="7" t="s">
        <v>2655</v>
      </c>
      <c r="I372" s="9">
        <v>1655.96143999999</v>
      </c>
      <c r="J372" s="7">
        <v>7</v>
      </c>
      <c r="K372" s="11"/>
      <c r="L372" s="9">
        <v>13.20144</v>
      </c>
      <c r="M372" s="7" t="s">
        <v>32</v>
      </c>
      <c r="N372" t="str">
        <v>Bulk Order</v>
      </c>
    </row>
    <row r="373" spans="1:14">
      <c r="A373" s="7" t="s">
        <v>722</v>
      </c>
      <c r="B373" s="8">
        <v>41885</v>
      </c>
      <c r="C373" s="8">
        <v>41887</v>
      </c>
      <c r="D373" s="7" t="s">
        <v>723</v>
      </c>
      <c r="E373" s="7" t="s">
        <v>88</v>
      </c>
      <c r="F373" s="7" t="s">
        <v>89</v>
      </c>
      <c r="G373" s="7" t="s">
        <v>28</v>
      </c>
      <c r="H373" s="7" t="s">
        <v>2663</v>
      </c>
      <c r="I373" s="9">
        <v>976.95999999999901</v>
      </c>
      <c r="J373" s="7">
        <v>4</v>
      </c>
      <c r="K373" s="11"/>
      <c r="L373" s="9">
        <v>232</v>
      </c>
      <c r="M373" s="7" t="s">
        <v>23</v>
      </c>
      <c r="N373" t="str">
        <v>Normal Order</v>
      </c>
    </row>
    <row r="374" spans="1:14">
      <c r="A374" s="7" t="s">
        <v>724</v>
      </c>
      <c r="B374" s="8">
        <v>41996</v>
      </c>
      <c r="C374" s="8">
        <v>41998</v>
      </c>
      <c r="D374" s="7" t="s">
        <v>136</v>
      </c>
      <c r="E374" s="7" t="s">
        <v>725</v>
      </c>
      <c r="F374" s="7" t="s">
        <v>81</v>
      </c>
      <c r="G374" s="7" t="s">
        <v>28</v>
      </c>
      <c r="H374" s="7" t="s">
        <v>2657</v>
      </c>
      <c r="I374" s="9">
        <v>731.34</v>
      </c>
      <c r="J374" s="7">
        <v>2</v>
      </c>
      <c r="K374" s="11">
        <v>0</v>
      </c>
      <c r="L374" s="9">
        <v>175.5</v>
      </c>
      <c r="M374" s="7" t="s">
        <v>23</v>
      </c>
      <c r="N374" t="str">
        <v>Normal Order</v>
      </c>
    </row>
    <row r="375" spans="1:14">
      <c r="A375" s="7" t="s">
        <v>726</v>
      </c>
      <c r="B375" s="8">
        <v>42172</v>
      </c>
      <c r="C375" s="8">
        <v>42174</v>
      </c>
      <c r="D375" s="7" t="s">
        <v>597</v>
      </c>
      <c r="E375" s="7" t="s">
        <v>727</v>
      </c>
      <c r="F375" s="7" t="s">
        <v>22</v>
      </c>
      <c r="G375" s="7" t="s">
        <v>39</v>
      </c>
      <c r="H375" s="7" t="s">
        <v>2655</v>
      </c>
      <c r="I375" s="9">
        <v>1239</v>
      </c>
      <c r="J375" s="7">
        <v>4</v>
      </c>
      <c r="K375" s="11">
        <v>0</v>
      </c>
      <c r="L375" s="9">
        <v>0</v>
      </c>
      <c r="M375" s="7" t="s">
        <v>23</v>
      </c>
      <c r="N375" t="str">
        <v>Normal Order</v>
      </c>
    </row>
    <row r="376" spans="1:14">
      <c r="A376" s="7" t="s">
        <v>728</v>
      </c>
      <c r="B376" s="8">
        <v>42078</v>
      </c>
      <c r="C376" s="8">
        <v>42080</v>
      </c>
      <c r="D376" s="7" t="s">
        <v>729</v>
      </c>
      <c r="E376" s="7" t="s">
        <v>730</v>
      </c>
      <c r="F376" s="7" t="s">
        <v>132</v>
      </c>
      <c r="G376" s="7" t="s">
        <v>28</v>
      </c>
      <c r="H376" s="7" t="s">
        <v>2663</v>
      </c>
      <c r="I376" s="9">
        <v>1680.60599999999</v>
      </c>
      <c r="J376" s="7">
        <v>5</v>
      </c>
      <c r="K376" s="11">
        <v>0.27</v>
      </c>
      <c r="L376" s="9">
        <v>368.25599999999997</v>
      </c>
      <c r="M376" s="7" t="s">
        <v>32</v>
      </c>
      <c r="N376" t="str">
        <v>Normal Order</v>
      </c>
    </row>
    <row r="377" spans="1:14">
      <c r="A377" s="7" t="s">
        <v>731</v>
      </c>
      <c r="B377" s="8">
        <v>42197</v>
      </c>
      <c r="C377" s="8">
        <v>42198</v>
      </c>
      <c r="D377" s="7" t="s">
        <v>703</v>
      </c>
      <c r="E377" s="7" t="s">
        <v>105</v>
      </c>
      <c r="F377" s="7" t="s">
        <v>106</v>
      </c>
      <c r="G377" s="7" t="s">
        <v>28</v>
      </c>
      <c r="H377" s="7" t="s">
        <v>2661</v>
      </c>
      <c r="I377" s="9">
        <v>2190.75</v>
      </c>
      <c r="J377" s="7">
        <v>5</v>
      </c>
      <c r="K377" s="11">
        <v>0</v>
      </c>
      <c r="L377" s="9">
        <v>65.7</v>
      </c>
      <c r="M377" s="7" t="s">
        <v>17</v>
      </c>
      <c r="N377" t="str">
        <v>Normal Order</v>
      </c>
    </row>
    <row r="378" spans="1:14">
      <c r="A378" s="7" t="s">
        <v>732</v>
      </c>
      <c r="B378" s="8">
        <v>42164</v>
      </c>
      <c r="C378" s="8">
        <v>42167</v>
      </c>
      <c r="D378" s="7" t="s">
        <v>733</v>
      </c>
      <c r="E378" s="7" t="s">
        <v>84</v>
      </c>
      <c r="F378" s="7" t="s">
        <v>85</v>
      </c>
      <c r="G378" s="7" t="s">
        <v>16</v>
      </c>
      <c r="H378" s="7" t="s">
        <v>2655</v>
      </c>
      <c r="I378" s="9">
        <v>935.171999999999</v>
      </c>
      <c r="J378" s="7">
        <v>4</v>
      </c>
      <c r="K378" s="11">
        <v>0.1</v>
      </c>
      <c r="L378" s="9"/>
      <c r="M378" s="7" t="s">
        <v>23</v>
      </c>
      <c r="N378" t="str">
        <v>Normal Order</v>
      </c>
    </row>
    <row r="379" spans="1:14">
      <c r="A379" s="7" t="s">
        <v>734</v>
      </c>
      <c r="B379" s="8">
        <v>42292</v>
      </c>
      <c r="C379" s="7"/>
      <c r="D379" s="7" t="s">
        <v>735</v>
      </c>
      <c r="E379" s="7" t="s">
        <v>245</v>
      </c>
      <c r="F379" s="7" t="s">
        <v>666</v>
      </c>
      <c r="G379" s="7" t="s">
        <v>39</v>
      </c>
      <c r="H379" s="7" t="s">
        <v>2663</v>
      </c>
      <c r="I379" s="9">
        <v>1026.96</v>
      </c>
      <c r="J379" s="7">
        <v>8</v>
      </c>
      <c r="K379" s="11">
        <v>0</v>
      </c>
      <c r="L379" s="9"/>
      <c r="M379" s="7" t="s">
        <v>23</v>
      </c>
      <c r="N379" t="str">
        <v>Bulk Order</v>
      </c>
    </row>
    <row r="380" spans="1:14">
      <c r="A380" s="7" t="s">
        <v>736</v>
      </c>
      <c r="B380" s="8">
        <v>42222</v>
      </c>
      <c r="C380" s="7" t="s">
        <v>737</v>
      </c>
      <c r="D380" s="7" t="s">
        <v>683</v>
      </c>
      <c r="E380" s="7"/>
      <c r="F380" s="7" t="s">
        <v>106</v>
      </c>
      <c r="G380" s="7" t="s">
        <v>16</v>
      </c>
      <c r="H380" s="7" t="s">
        <v>2662</v>
      </c>
      <c r="I380" s="9">
        <v>2550</v>
      </c>
      <c r="J380" s="7">
        <v>4</v>
      </c>
      <c r="K380" s="11">
        <v>0</v>
      </c>
      <c r="L380" s="9">
        <v>280.44</v>
      </c>
      <c r="M380" s="7" t="s">
        <v>32</v>
      </c>
      <c r="N380" t="str">
        <v>Normal Order</v>
      </c>
    </row>
    <row r="381" spans="1:14">
      <c r="A381" s="7" t="s">
        <v>738</v>
      </c>
      <c r="B381" s="8">
        <v>41633</v>
      </c>
      <c r="C381" s="8">
        <v>41636</v>
      </c>
      <c r="D381" s="7" t="s">
        <v>739</v>
      </c>
      <c r="E381" s="7" t="s">
        <v>310</v>
      </c>
      <c r="F381" s="7" t="s">
        <v>132</v>
      </c>
      <c r="G381" s="7" t="s">
        <v>16</v>
      </c>
      <c r="H381" s="7" t="s">
        <v>2664</v>
      </c>
      <c r="I381" s="9">
        <v>2667.5369999999998</v>
      </c>
      <c r="J381" s="7">
        <v>5</v>
      </c>
      <c r="K381" s="11">
        <v>0.17</v>
      </c>
      <c r="L381" s="9">
        <v>-417.81299999999902</v>
      </c>
      <c r="M381" s="7" t="s">
        <v>17</v>
      </c>
      <c r="N381" t="str">
        <v>Normal Order</v>
      </c>
    </row>
    <row r="382" spans="1:14">
      <c r="A382" s="7"/>
      <c r="B382" s="8">
        <v>41615</v>
      </c>
      <c r="C382" s="8">
        <v>41615</v>
      </c>
      <c r="D382" s="7" t="s">
        <v>740</v>
      </c>
      <c r="E382" s="7"/>
      <c r="F382" s="7" t="s">
        <v>63</v>
      </c>
      <c r="G382" s="7" t="s">
        <v>16</v>
      </c>
      <c r="H382" s="7" t="s">
        <v>2656</v>
      </c>
      <c r="I382" s="9">
        <v>1224.7139999999999</v>
      </c>
      <c r="J382" s="7">
        <v>4</v>
      </c>
      <c r="K382" s="11">
        <v>0.15</v>
      </c>
      <c r="L382" s="9">
        <v>-129.726</v>
      </c>
      <c r="M382" s="7" t="s">
        <v>32</v>
      </c>
      <c r="N382" t="str">
        <v>Normal Order</v>
      </c>
    </row>
    <row r="383" spans="1:14">
      <c r="A383" s="7" t="s">
        <v>741</v>
      </c>
      <c r="B383" s="8">
        <v>41775</v>
      </c>
      <c r="C383" s="8">
        <v>41779</v>
      </c>
      <c r="D383" s="7" t="s">
        <v>742</v>
      </c>
      <c r="E383" s="7" t="s">
        <v>20</v>
      </c>
      <c r="F383" s="7" t="s">
        <v>63</v>
      </c>
      <c r="G383" s="7" t="s">
        <v>16</v>
      </c>
      <c r="H383" s="7" t="s">
        <v>2657</v>
      </c>
      <c r="I383" s="9">
        <v>2605.92</v>
      </c>
      <c r="J383" s="7">
        <v>4</v>
      </c>
      <c r="K383" s="11">
        <v>0</v>
      </c>
      <c r="L383" s="9">
        <v>8994.9828630280499</v>
      </c>
      <c r="M383" s="7" t="s">
        <v>32</v>
      </c>
      <c r="N383" t="str">
        <v>Normal Order</v>
      </c>
    </row>
    <row r="384" spans="1:14">
      <c r="A384" s="7" t="s">
        <v>743</v>
      </c>
      <c r="B384" s="8">
        <v>41807</v>
      </c>
      <c r="C384" s="8">
        <v>41808</v>
      </c>
      <c r="D384" s="7"/>
      <c r="E384" s="7" t="s">
        <v>157</v>
      </c>
      <c r="F384" s="7" t="s">
        <v>106</v>
      </c>
      <c r="G384" s="7" t="s">
        <v>39</v>
      </c>
      <c r="H384" s="7" t="s">
        <v>2656</v>
      </c>
      <c r="I384" s="9">
        <v>2962.68</v>
      </c>
      <c r="J384" s="7">
        <v>14</v>
      </c>
      <c r="K384" s="11">
        <v>0</v>
      </c>
      <c r="L384" s="9">
        <v>207.06</v>
      </c>
      <c r="M384" s="7" t="s">
        <v>17</v>
      </c>
      <c r="N384" t="str">
        <v>Bulk Order</v>
      </c>
    </row>
    <row r="385" spans="1:14">
      <c r="A385" s="7" t="s">
        <v>744</v>
      </c>
      <c r="B385" s="8">
        <v>42311</v>
      </c>
      <c r="C385" s="8">
        <v>42315</v>
      </c>
      <c r="D385" s="7" t="s">
        <v>745</v>
      </c>
      <c r="E385" s="7" t="s">
        <v>105</v>
      </c>
      <c r="F385" s="7" t="s">
        <v>106</v>
      </c>
      <c r="G385" s="7" t="s">
        <v>28</v>
      </c>
      <c r="H385" s="7" t="s">
        <v>2656</v>
      </c>
      <c r="I385" s="9">
        <v>2664</v>
      </c>
      <c r="J385" s="7"/>
      <c r="K385" s="11">
        <v>0</v>
      </c>
      <c r="L385" s="9">
        <v>905.7</v>
      </c>
      <c r="M385" s="7" t="s">
        <v>17</v>
      </c>
      <c r="N385" t="str">
        <v>Normal Order</v>
      </c>
    </row>
    <row r="386" spans="1:14">
      <c r="A386" s="7" t="s">
        <v>746</v>
      </c>
      <c r="B386" s="8">
        <v>41422</v>
      </c>
      <c r="C386" s="8">
        <v>41425</v>
      </c>
      <c r="D386" s="7" t="s">
        <v>747</v>
      </c>
      <c r="E386" s="7" t="s">
        <v>67</v>
      </c>
      <c r="F386" s="7" t="s">
        <v>68</v>
      </c>
      <c r="G386" s="7" t="s">
        <v>16</v>
      </c>
      <c r="H386" s="7" t="s">
        <v>2664</v>
      </c>
      <c r="I386" s="9">
        <v>1513.56</v>
      </c>
      <c r="J386" s="7">
        <v>4</v>
      </c>
      <c r="K386" s="11">
        <v>0</v>
      </c>
      <c r="L386" s="9">
        <v>741.599999999999</v>
      </c>
      <c r="M386" s="7" t="s">
        <v>748</v>
      </c>
      <c r="N386" t="str">
        <v>Normal Order</v>
      </c>
    </row>
    <row r="387" spans="1:14">
      <c r="A387" s="7"/>
      <c r="B387" s="8">
        <v>41868</v>
      </c>
      <c r="C387" s="8">
        <v>41871</v>
      </c>
      <c r="D387" s="7" t="s">
        <v>749</v>
      </c>
      <c r="E387" s="7" t="s">
        <v>84</v>
      </c>
      <c r="F387" s="7" t="s">
        <v>85</v>
      </c>
      <c r="G387" s="7" t="s">
        <v>28</v>
      </c>
      <c r="H387" s="7" t="s">
        <v>2658</v>
      </c>
      <c r="I387" s="9">
        <v>1233.6299999999901</v>
      </c>
      <c r="J387" s="7">
        <v>3</v>
      </c>
      <c r="K387" s="11">
        <v>0</v>
      </c>
      <c r="L387" s="9">
        <v>234.36</v>
      </c>
      <c r="M387" s="7" t="s">
        <v>750</v>
      </c>
      <c r="N387" t="str">
        <v>Normal Order</v>
      </c>
    </row>
    <row r="388" spans="1:14">
      <c r="A388" s="7" t="s">
        <v>751</v>
      </c>
      <c r="B388" s="8">
        <v>41062</v>
      </c>
      <c r="C388" s="8">
        <v>41064</v>
      </c>
      <c r="D388" s="7" t="s">
        <v>709</v>
      </c>
      <c r="E388" s="7" t="s">
        <v>193</v>
      </c>
      <c r="F388" s="7" t="s">
        <v>78</v>
      </c>
      <c r="G388" s="7" t="s">
        <v>28</v>
      </c>
      <c r="H388" s="7" t="s">
        <v>2657</v>
      </c>
      <c r="I388" s="9">
        <v>855.14999999999895</v>
      </c>
      <c r="J388" s="7">
        <v>1</v>
      </c>
      <c r="K388" s="11">
        <v>0</v>
      </c>
      <c r="L388" s="9">
        <v>384.81</v>
      </c>
      <c r="M388" s="7" t="s">
        <v>23</v>
      </c>
      <c r="N388" t="str">
        <v>Normal Order</v>
      </c>
    </row>
    <row r="389" spans="1:14">
      <c r="A389" s="7" t="s">
        <v>752</v>
      </c>
      <c r="B389" s="8">
        <v>41103</v>
      </c>
      <c r="C389" s="8">
        <v>41104</v>
      </c>
      <c r="D389" s="7" t="s">
        <v>753</v>
      </c>
      <c r="E389" s="7" t="s">
        <v>84</v>
      </c>
      <c r="F389" s="7" t="s">
        <v>754</v>
      </c>
      <c r="G389" s="7" t="s">
        <v>16</v>
      </c>
      <c r="H389" s="7" t="s">
        <v>2663</v>
      </c>
      <c r="I389" s="9">
        <v>956.34</v>
      </c>
      <c r="J389" s="7">
        <v>4</v>
      </c>
      <c r="K389" s="11">
        <v>0.1</v>
      </c>
      <c r="L389" s="9">
        <v>-95.7</v>
      </c>
      <c r="M389" s="7" t="s">
        <v>23</v>
      </c>
      <c r="N389" t="str">
        <v>Normal Order</v>
      </c>
    </row>
    <row r="390" spans="1:14">
      <c r="A390" s="7" t="s">
        <v>574</v>
      </c>
      <c r="B390" s="8">
        <v>41587</v>
      </c>
      <c r="C390" s="8">
        <v>41591</v>
      </c>
      <c r="D390" s="7" t="s">
        <v>571</v>
      </c>
      <c r="E390" s="7" t="s">
        <v>35</v>
      </c>
      <c r="F390" s="7" t="s">
        <v>36</v>
      </c>
      <c r="G390" s="7" t="s">
        <v>39</v>
      </c>
      <c r="H390" s="7" t="s">
        <v>2658</v>
      </c>
      <c r="I390" s="9">
        <v>17.34</v>
      </c>
      <c r="J390" s="7"/>
      <c r="K390" s="11">
        <v>0</v>
      </c>
      <c r="L390" s="9"/>
      <c r="M390" s="7" t="s">
        <v>17</v>
      </c>
      <c r="N390" t="str">
        <v>Normal Order</v>
      </c>
    </row>
    <row r="391" spans="1:14">
      <c r="A391" s="7" t="s">
        <v>755</v>
      </c>
      <c r="B391" s="8">
        <v>41198</v>
      </c>
      <c r="C391" s="8">
        <v>41205</v>
      </c>
      <c r="D391" s="7" t="s">
        <v>138</v>
      </c>
      <c r="E391" s="7" t="s">
        <v>186</v>
      </c>
      <c r="F391" s="7" t="s">
        <v>68</v>
      </c>
      <c r="G391" s="7" t="s">
        <v>28</v>
      </c>
      <c r="H391" s="7" t="s">
        <v>2662</v>
      </c>
      <c r="I391" s="9">
        <v>1838.51999999999</v>
      </c>
      <c r="J391" s="7">
        <v>5</v>
      </c>
      <c r="K391" s="11">
        <v>0.2</v>
      </c>
      <c r="L391" s="9">
        <v>160.77000000000001</v>
      </c>
      <c r="M391" s="7" t="s">
        <v>65</v>
      </c>
      <c r="N391" t="str">
        <v>Normal Order</v>
      </c>
    </row>
    <row r="392" spans="1:14">
      <c r="A392" s="7" t="s">
        <v>756</v>
      </c>
      <c r="B392" s="8">
        <v>41226</v>
      </c>
      <c r="C392" s="8">
        <v>41232</v>
      </c>
      <c r="D392" s="7" t="s">
        <v>757</v>
      </c>
      <c r="E392" s="7" t="s">
        <v>105</v>
      </c>
      <c r="F392" s="7" t="s">
        <v>106</v>
      </c>
      <c r="G392" s="7" t="s">
        <v>16</v>
      </c>
      <c r="H392" s="7" t="s">
        <v>2664</v>
      </c>
      <c r="I392" s="9"/>
      <c r="J392" s="7">
        <v>7</v>
      </c>
      <c r="K392" s="11">
        <v>0</v>
      </c>
      <c r="L392" s="9">
        <v>674.73</v>
      </c>
      <c r="M392" s="7" t="s">
        <v>17</v>
      </c>
      <c r="N392" t="str">
        <v>Bulk Order</v>
      </c>
    </row>
    <row r="393" spans="1:14">
      <c r="A393" s="7" t="s">
        <v>758</v>
      </c>
      <c r="B393" s="7"/>
      <c r="C393" s="8">
        <v>42203</v>
      </c>
      <c r="D393" s="7" t="s">
        <v>306</v>
      </c>
      <c r="E393" s="7" t="s">
        <v>62</v>
      </c>
      <c r="F393" s="7" t="s">
        <v>63</v>
      </c>
      <c r="G393" s="7" t="s">
        <v>16</v>
      </c>
      <c r="H393" s="7" t="s">
        <v>2655</v>
      </c>
      <c r="I393" s="9">
        <v>1824.144</v>
      </c>
      <c r="J393" s="7">
        <v>8</v>
      </c>
      <c r="K393" s="11">
        <v>0.65</v>
      </c>
      <c r="L393" s="9">
        <v>-1303.056</v>
      </c>
      <c r="M393" s="7" t="s">
        <v>32</v>
      </c>
      <c r="N393" t="str">
        <v>Bulk Order</v>
      </c>
    </row>
    <row r="394" spans="1:14">
      <c r="A394" s="7" t="s">
        <v>759</v>
      </c>
      <c r="B394" s="8">
        <v>42158</v>
      </c>
      <c r="C394" s="8">
        <v>42160</v>
      </c>
      <c r="D394" s="7"/>
      <c r="E394" s="7" t="s">
        <v>760</v>
      </c>
      <c r="F394" s="7" t="s">
        <v>89</v>
      </c>
      <c r="G394" s="7" t="s">
        <v>28</v>
      </c>
      <c r="H394" s="7" t="s">
        <v>2656</v>
      </c>
      <c r="I394" s="9">
        <v>2344</v>
      </c>
      <c r="J394" s="7">
        <v>8</v>
      </c>
      <c r="K394" s="11">
        <v>0</v>
      </c>
      <c r="L394" s="9">
        <v>46.88</v>
      </c>
      <c r="M394" s="7" t="s">
        <v>32</v>
      </c>
      <c r="N394" t="str">
        <v>Bulk Order</v>
      </c>
    </row>
    <row r="395" spans="1:14">
      <c r="A395" s="7" t="s">
        <v>761</v>
      </c>
      <c r="B395" s="7" t="s">
        <v>762</v>
      </c>
      <c r="C395" s="8">
        <v>42355</v>
      </c>
      <c r="D395" s="7" t="s">
        <v>267</v>
      </c>
      <c r="E395" s="7" t="s">
        <v>58</v>
      </c>
      <c r="F395" s="7" t="s">
        <v>81</v>
      </c>
      <c r="G395" s="7" t="s">
        <v>16</v>
      </c>
      <c r="H395" s="7" t="s">
        <v>2656</v>
      </c>
      <c r="I395" s="9">
        <v>2043.72</v>
      </c>
      <c r="J395" s="7">
        <v>14</v>
      </c>
      <c r="K395" s="11">
        <v>0</v>
      </c>
      <c r="L395" s="9">
        <v>756</v>
      </c>
      <c r="M395" s="7" t="s">
        <v>32</v>
      </c>
      <c r="N395" t="str">
        <v>Bulk Order</v>
      </c>
    </row>
    <row r="396" spans="1:14">
      <c r="A396" s="7" t="s">
        <v>763</v>
      </c>
      <c r="B396" s="8">
        <v>42183</v>
      </c>
      <c r="C396" s="8">
        <v>42183</v>
      </c>
      <c r="D396" s="7" t="s">
        <v>764</v>
      </c>
      <c r="E396" s="7" t="s">
        <v>162</v>
      </c>
      <c r="F396" s="7" t="s">
        <v>75</v>
      </c>
      <c r="G396" s="7" t="s">
        <v>39</v>
      </c>
      <c r="H396" s="7" t="s">
        <v>2663</v>
      </c>
      <c r="I396" s="9">
        <v>856.8</v>
      </c>
      <c r="J396" s="7">
        <v>14</v>
      </c>
      <c r="K396" s="11">
        <v>0</v>
      </c>
      <c r="L396" s="9">
        <v>265.44</v>
      </c>
      <c r="M396" s="7" t="s">
        <v>23</v>
      </c>
      <c r="N396" t="str">
        <v>Bulk Order</v>
      </c>
    </row>
    <row r="397" spans="1:14">
      <c r="A397" s="7" t="s">
        <v>765</v>
      </c>
      <c r="B397" s="8">
        <v>42358</v>
      </c>
      <c r="C397" s="8">
        <v>42362</v>
      </c>
      <c r="D397" s="7" t="s">
        <v>739</v>
      </c>
      <c r="E397" s="7" t="s">
        <v>88</v>
      </c>
      <c r="F397" s="7" t="s">
        <v>89</v>
      </c>
      <c r="G397" s="7" t="s">
        <v>39</v>
      </c>
      <c r="H397" s="7" t="s">
        <v>2656</v>
      </c>
      <c r="I397" s="9">
        <v>2509.36</v>
      </c>
      <c r="J397" s="7"/>
      <c r="K397" s="11">
        <v>0</v>
      </c>
      <c r="L397" s="9">
        <v>426.58</v>
      </c>
      <c r="M397" s="7" t="s">
        <v>32</v>
      </c>
      <c r="N397" t="str">
        <v>Normal Order</v>
      </c>
    </row>
    <row r="398" spans="1:14">
      <c r="A398" s="7" t="s">
        <v>766</v>
      </c>
      <c r="B398" s="8">
        <v>41310</v>
      </c>
      <c r="C398" s="8">
        <v>41313</v>
      </c>
      <c r="D398" s="7" t="s">
        <v>767</v>
      </c>
      <c r="E398" s="7" t="s">
        <v>14</v>
      </c>
      <c r="F398" s="7" t="s">
        <v>15</v>
      </c>
      <c r="G398" s="7" t="s">
        <v>28</v>
      </c>
      <c r="H398" s="7" t="s">
        <v>2664</v>
      </c>
      <c r="I398" s="9">
        <v>819.93599999999901</v>
      </c>
      <c r="J398" s="7">
        <v>2</v>
      </c>
      <c r="K398" s="11">
        <v>0.1</v>
      </c>
      <c r="L398" s="9">
        <v>191.316</v>
      </c>
      <c r="M398" s="7" t="s">
        <v>23</v>
      </c>
      <c r="N398" t="str">
        <v>Normal Order</v>
      </c>
    </row>
    <row r="399" spans="1:14">
      <c r="A399" s="7"/>
      <c r="B399" s="8">
        <v>40929</v>
      </c>
      <c r="C399" s="8">
        <v>40935</v>
      </c>
      <c r="D399" s="7" t="s">
        <v>539</v>
      </c>
      <c r="E399" s="7" t="s">
        <v>200</v>
      </c>
      <c r="F399" s="7" t="s">
        <v>89</v>
      </c>
      <c r="G399" s="7" t="s">
        <v>28</v>
      </c>
      <c r="H399" s="7" t="s">
        <v>2661</v>
      </c>
      <c r="I399" s="9">
        <v>2797.248</v>
      </c>
      <c r="J399" s="7">
        <v>6</v>
      </c>
      <c r="K399" s="11">
        <v>0.2</v>
      </c>
      <c r="L399" s="9">
        <v>-7.2000000000025405E-2</v>
      </c>
      <c r="M399" s="7" t="s">
        <v>65</v>
      </c>
      <c r="N399" t="str">
        <v>Bulk Order</v>
      </c>
    </row>
    <row r="400" spans="1:14">
      <c r="A400" s="7" t="s">
        <v>769</v>
      </c>
      <c r="B400" s="8">
        <v>41489</v>
      </c>
      <c r="C400" s="8">
        <v>41491</v>
      </c>
      <c r="D400" s="7" t="s">
        <v>770</v>
      </c>
      <c r="E400" s="7" t="s">
        <v>52</v>
      </c>
      <c r="F400" s="7" t="s">
        <v>53</v>
      </c>
      <c r="G400" s="7" t="s">
        <v>39</v>
      </c>
      <c r="H400" s="7" t="s">
        <v>2655</v>
      </c>
      <c r="I400" s="9">
        <v>1455.08</v>
      </c>
      <c r="J400" s="7">
        <v>11</v>
      </c>
      <c r="K400" s="11">
        <v>0</v>
      </c>
      <c r="L400" s="9">
        <v>261.8</v>
      </c>
      <c r="M400" s="7" t="s">
        <v>17</v>
      </c>
      <c r="N400" t="str">
        <v>Bulk Order</v>
      </c>
    </row>
    <row r="401" spans="1:14">
      <c r="A401" s="7" t="s">
        <v>771</v>
      </c>
      <c r="B401" s="8">
        <v>42304</v>
      </c>
      <c r="C401" s="8">
        <v>42308</v>
      </c>
      <c r="D401" s="7" t="s">
        <v>772</v>
      </c>
      <c r="E401" s="7" t="s">
        <v>131</v>
      </c>
      <c r="F401" s="7" t="s">
        <v>132</v>
      </c>
      <c r="G401" s="7" t="s">
        <v>28</v>
      </c>
      <c r="H401" s="7" t="s">
        <v>2658</v>
      </c>
      <c r="I401" s="9">
        <v>2189.0897999999902</v>
      </c>
      <c r="J401" s="7">
        <v>6</v>
      </c>
      <c r="K401" s="11">
        <v>7.0000000000000007E-2</v>
      </c>
      <c r="L401" s="9"/>
      <c r="M401" s="7" t="s">
        <v>773</v>
      </c>
      <c r="N401" t="str">
        <v>Bulk Order</v>
      </c>
    </row>
    <row r="402" spans="1:14">
      <c r="A402" s="7" t="s">
        <v>774</v>
      </c>
      <c r="B402" s="10">
        <v>74202</v>
      </c>
      <c r="C402" s="8">
        <v>41337</v>
      </c>
      <c r="D402" s="7" t="s">
        <v>775</v>
      </c>
      <c r="E402" s="7" t="s">
        <v>105</v>
      </c>
      <c r="F402" s="7" t="s">
        <v>106</v>
      </c>
      <c r="G402" s="7" t="s">
        <v>28</v>
      </c>
      <c r="H402" s="7" t="s">
        <v>2664</v>
      </c>
      <c r="I402" s="9" t="s">
        <v>152</v>
      </c>
      <c r="J402" s="7">
        <v>6</v>
      </c>
      <c r="K402" s="11">
        <v>0</v>
      </c>
      <c r="L402" s="9">
        <v>327.06</v>
      </c>
      <c r="M402" s="7" t="s">
        <v>17</v>
      </c>
      <c r="N402" t="str">
        <v>Bulk Order</v>
      </c>
    </row>
    <row r="403" spans="1:14">
      <c r="A403" s="7" t="s">
        <v>776</v>
      </c>
      <c r="B403" s="7"/>
      <c r="C403" s="8">
        <v>41437</v>
      </c>
      <c r="D403" s="7" t="s">
        <v>777</v>
      </c>
      <c r="E403" s="7" t="s">
        <v>778</v>
      </c>
      <c r="F403" s="7" t="s">
        <v>106</v>
      </c>
      <c r="G403" s="7" t="s">
        <v>16</v>
      </c>
      <c r="H403" s="7" t="s">
        <v>2663</v>
      </c>
      <c r="I403" s="9">
        <v>1291.08</v>
      </c>
      <c r="J403" s="7">
        <v>2</v>
      </c>
      <c r="K403" s="11">
        <v>0</v>
      </c>
      <c r="L403" s="9">
        <v>296.94</v>
      </c>
      <c r="M403" s="7" t="s">
        <v>23</v>
      </c>
      <c r="N403" t="str">
        <v>Normal Order</v>
      </c>
    </row>
    <row r="404" spans="1:14">
      <c r="A404" s="7" t="s">
        <v>779</v>
      </c>
      <c r="B404" s="8">
        <v>40962</v>
      </c>
      <c r="C404" s="8">
        <v>40965</v>
      </c>
      <c r="D404" s="7" t="s">
        <v>780</v>
      </c>
      <c r="E404" s="7" t="s">
        <v>105</v>
      </c>
      <c r="F404" s="7" t="s">
        <v>106</v>
      </c>
      <c r="G404" s="7" t="s">
        <v>16</v>
      </c>
      <c r="H404" s="7" t="s">
        <v>2658</v>
      </c>
      <c r="I404" s="9">
        <v>1526.52</v>
      </c>
      <c r="J404" s="7">
        <v>4</v>
      </c>
      <c r="K404" s="11">
        <v>0</v>
      </c>
      <c r="L404" s="9">
        <v>3985.40136153395</v>
      </c>
      <c r="M404" s="7" t="s">
        <v>32</v>
      </c>
      <c r="N404" t="str">
        <v>Normal Order</v>
      </c>
    </row>
    <row r="405" spans="1:14">
      <c r="A405" s="7" t="s">
        <v>572</v>
      </c>
      <c r="B405" s="8">
        <v>41173</v>
      </c>
      <c r="C405" s="8">
        <v>41180</v>
      </c>
      <c r="D405" s="7" t="s">
        <v>571</v>
      </c>
      <c r="E405" s="7" t="s">
        <v>35</v>
      </c>
      <c r="F405" s="7" t="s">
        <v>102</v>
      </c>
      <c r="G405" s="7" t="s">
        <v>39</v>
      </c>
      <c r="H405" s="7" t="s">
        <v>2656</v>
      </c>
      <c r="I405" s="9">
        <v>3.984</v>
      </c>
      <c r="J405" s="7">
        <v>1</v>
      </c>
      <c r="K405" s="11">
        <v>0.2</v>
      </c>
      <c r="L405" s="9">
        <v>1.3944000000000001</v>
      </c>
      <c r="M405" s="7" t="s">
        <v>17</v>
      </c>
      <c r="N405" t="str">
        <v>Normal Order</v>
      </c>
    </row>
    <row r="406" spans="1:14">
      <c r="A406" s="7" t="s">
        <v>781</v>
      </c>
      <c r="B406" s="8">
        <v>41840</v>
      </c>
      <c r="C406" s="8">
        <v>41847</v>
      </c>
      <c r="D406" s="7" t="s">
        <v>782</v>
      </c>
      <c r="E406" s="7" t="s">
        <v>265</v>
      </c>
      <c r="F406" s="7" t="s">
        <v>53</v>
      </c>
      <c r="G406" s="7" t="s">
        <v>28</v>
      </c>
      <c r="H406" s="7" t="s">
        <v>2657</v>
      </c>
      <c r="I406" s="9"/>
      <c r="J406" s="7">
        <v>6</v>
      </c>
      <c r="K406" s="11"/>
      <c r="L406" s="9">
        <v>205.56</v>
      </c>
      <c r="M406" s="7" t="s">
        <v>65</v>
      </c>
      <c r="N406" t="str">
        <v>Bulk Order</v>
      </c>
    </row>
    <row r="407" spans="1:14">
      <c r="A407" s="7" t="s">
        <v>783</v>
      </c>
      <c r="B407" s="8">
        <v>41727</v>
      </c>
      <c r="C407" s="8">
        <v>41643</v>
      </c>
      <c r="D407" s="7" t="s">
        <v>784</v>
      </c>
      <c r="E407" s="7" t="s">
        <v>346</v>
      </c>
      <c r="F407" s="7" t="s">
        <v>89</v>
      </c>
      <c r="G407" s="7" t="s">
        <v>28</v>
      </c>
      <c r="H407" s="7" t="s">
        <v>2656</v>
      </c>
      <c r="I407" s="9">
        <v>1815.23999999999</v>
      </c>
      <c r="J407" s="7">
        <v>7</v>
      </c>
      <c r="K407" s="11">
        <v>0</v>
      </c>
      <c r="L407" s="9"/>
      <c r="M407" s="7" t="s">
        <v>32</v>
      </c>
      <c r="N407" t="str">
        <v>Bulk Order</v>
      </c>
    </row>
    <row r="408" spans="1:14">
      <c r="A408" s="7" t="s">
        <v>785</v>
      </c>
      <c r="B408" s="8">
        <v>42300</v>
      </c>
      <c r="C408" s="8">
        <v>42302</v>
      </c>
      <c r="D408" s="7" t="s">
        <v>536</v>
      </c>
      <c r="E408" s="7" t="s">
        <v>105</v>
      </c>
      <c r="F408" s="7"/>
      <c r="G408" s="7" t="s">
        <v>16</v>
      </c>
      <c r="H408" s="7" t="s">
        <v>2655</v>
      </c>
      <c r="I408" s="9"/>
      <c r="J408" s="7">
        <v>3</v>
      </c>
      <c r="K408" s="11"/>
      <c r="L408" s="9"/>
      <c r="M408" s="7" t="s">
        <v>23</v>
      </c>
      <c r="N408" t="str">
        <v>Normal Order</v>
      </c>
    </row>
    <row r="409" spans="1:14">
      <c r="A409" s="7" t="s">
        <v>786</v>
      </c>
      <c r="B409" s="8">
        <v>42179</v>
      </c>
      <c r="C409" s="8">
        <v>42181</v>
      </c>
      <c r="D409" s="7" t="s">
        <v>787</v>
      </c>
      <c r="E409" s="7" t="s">
        <v>88</v>
      </c>
      <c r="F409" s="7" t="s">
        <v>89</v>
      </c>
      <c r="G409" s="7" t="s">
        <v>16</v>
      </c>
      <c r="H409" s="7" t="s">
        <v>2663</v>
      </c>
      <c r="I409" s="9">
        <v>3045.8399999999901</v>
      </c>
      <c r="J409" s="7">
        <v>7</v>
      </c>
      <c r="K409" s="11">
        <v>0</v>
      </c>
      <c r="L409" s="9">
        <v>1035.58</v>
      </c>
      <c r="M409" s="7" t="s">
        <v>32</v>
      </c>
      <c r="N409" t="str">
        <v>Bulk Order</v>
      </c>
    </row>
    <row r="410" spans="1:14">
      <c r="A410" s="7" t="s">
        <v>788</v>
      </c>
      <c r="B410" s="8">
        <v>41942</v>
      </c>
      <c r="C410" s="8">
        <v>41948</v>
      </c>
      <c r="D410" s="7" t="s">
        <v>789</v>
      </c>
      <c r="E410" s="7" t="s">
        <v>790</v>
      </c>
      <c r="F410" s="7" t="s">
        <v>89</v>
      </c>
      <c r="G410" s="7" t="s">
        <v>16</v>
      </c>
      <c r="H410" s="7" t="s">
        <v>2657</v>
      </c>
      <c r="I410" s="9">
        <v>2125</v>
      </c>
      <c r="J410" s="7">
        <v>5</v>
      </c>
      <c r="K410" s="11">
        <v>0</v>
      </c>
      <c r="L410" s="9">
        <v>297.5</v>
      </c>
      <c r="M410" s="7" t="s">
        <v>65</v>
      </c>
      <c r="N410" t="str">
        <v>Normal Order</v>
      </c>
    </row>
    <row r="411" spans="1:14">
      <c r="A411" s="7" t="s">
        <v>791</v>
      </c>
      <c r="B411" s="8">
        <v>41621</v>
      </c>
      <c r="C411" s="8">
        <v>41623</v>
      </c>
      <c r="D411" s="7" t="s">
        <v>104</v>
      </c>
      <c r="E411" s="7" t="s">
        <v>590</v>
      </c>
      <c r="F411" s="7" t="s">
        <v>121</v>
      </c>
      <c r="G411" s="7" t="s">
        <v>16</v>
      </c>
      <c r="H411" s="7" t="s">
        <v>2656</v>
      </c>
      <c r="I411" s="9">
        <v>976.08</v>
      </c>
      <c r="J411" s="7">
        <v>4</v>
      </c>
      <c r="K411" s="11">
        <v>0</v>
      </c>
      <c r="L411" s="9">
        <v>292.79999999999899</v>
      </c>
      <c r="M411" s="7" t="s">
        <v>23</v>
      </c>
      <c r="N411" t="str">
        <v>Normal Order</v>
      </c>
    </row>
    <row r="412" spans="1:14">
      <c r="A412" s="7" t="s">
        <v>792</v>
      </c>
      <c r="B412" s="7"/>
      <c r="C412" s="8">
        <v>41765</v>
      </c>
      <c r="D412" s="7" t="s">
        <v>793</v>
      </c>
      <c r="E412" s="7" t="s">
        <v>58</v>
      </c>
      <c r="F412" s="7" t="s">
        <v>81</v>
      </c>
      <c r="G412" s="7" t="s">
        <v>16</v>
      </c>
      <c r="H412" s="7" t="s">
        <v>2656</v>
      </c>
      <c r="I412" s="9">
        <v>1266.3599999999999</v>
      </c>
      <c r="J412" s="7">
        <v>4</v>
      </c>
      <c r="K412" s="11">
        <v>0</v>
      </c>
      <c r="L412" s="9"/>
      <c r="M412" s="7" t="s">
        <v>773</v>
      </c>
      <c r="N412" t="str">
        <v>Normal Order</v>
      </c>
    </row>
    <row r="413" spans="1:14">
      <c r="A413" s="7" t="s">
        <v>794</v>
      </c>
      <c r="B413" s="8">
        <v>41173</v>
      </c>
      <c r="C413" s="8">
        <v>41180</v>
      </c>
      <c r="D413" s="7" t="s">
        <v>571</v>
      </c>
      <c r="E413" s="7" t="s">
        <v>35</v>
      </c>
      <c r="F413" s="7" t="s">
        <v>102</v>
      </c>
      <c r="G413" s="7" t="s">
        <v>39</v>
      </c>
      <c r="H413" s="7" t="s">
        <v>2654</v>
      </c>
      <c r="I413" s="9">
        <v>13.04</v>
      </c>
      <c r="J413" s="7">
        <v>4</v>
      </c>
      <c r="K413" s="11">
        <v>0</v>
      </c>
      <c r="L413" s="9">
        <v>42.544024685653</v>
      </c>
      <c r="M413" s="7" t="s">
        <v>17</v>
      </c>
      <c r="N413" t="str">
        <v>Normal Order</v>
      </c>
    </row>
    <row r="414" spans="1:14">
      <c r="A414" s="7" t="s">
        <v>795</v>
      </c>
      <c r="B414" s="8">
        <v>41159</v>
      </c>
      <c r="C414" s="8">
        <v>41161</v>
      </c>
      <c r="D414" s="7" t="s">
        <v>796</v>
      </c>
      <c r="E414" s="7" t="s">
        <v>797</v>
      </c>
      <c r="F414" s="7" t="s">
        <v>75</v>
      </c>
      <c r="G414" s="7" t="s">
        <v>28</v>
      </c>
      <c r="H414" s="7" t="s">
        <v>2657</v>
      </c>
      <c r="I414" s="9">
        <v>2134.4399999999901</v>
      </c>
      <c r="J414" s="7">
        <v>4</v>
      </c>
      <c r="K414" s="11">
        <v>0</v>
      </c>
      <c r="L414" s="9">
        <v>682.92</v>
      </c>
      <c r="M414" s="7" t="s">
        <v>23</v>
      </c>
      <c r="N414" t="str">
        <v>Normal Order</v>
      </c>
    </row>
    <row r="415" spans="1:14">
      <c r="A415" s="7" t="s">
        <v>798</v>
      </c>
      <c r="B415" s="7" t="s">
        <v>116</v>
      </c>
      <c r="C415" s="8">
        <v>41390</v>
      </c>
      <c r="D415" s="7" t="s">
        <v>799</v>
      </c>
      <c r="E415" s="7" t="s">
        <v>20</v>
      </c>
      <c r="F415" s="7" t="s">
        <v>63</v>
      </c>
      <c r="G415" s="7" t="s">
        <v>16</v>
      </c>
      <c r="H415" s="7" t="s">
        <v>2655</v>
      </c>
      <c r="I415" s="9">
        <v>4748.4359999999997</v>
      </c>
      <c r="J415" s="7">
        <v>14</v>
      </c>
      <c r="K415" s="11">
        <v>0.1</v>
      </c>
      <c r="L415" s="9">
        <v>844.11599999999896</v>
      </c>
      <c r="M415" s="7" t="s">
        <v>17</v>
      </c>
      <c r="N415" t="str">
        <v>Bulk Order</v>
      </c>
    </row>
    <row r="416" spans="1:14">
      <c r="A416" s="7" t="s">
        <v>800</v>
      </c>
      <c r="B416" s="8">
        <v>41942</v>
      </c>
      <c r="C416" s="8">
        <v>41947</v>
      </c>
      <c r="D416" s="7" t="s">
        <v>255</v>
      </c>
      <c r="E416" s="7" t="s">
        <v>425</v>
      </c>
      <c r="F416" s="7" t="s">
        <v>426</v>
      </c>
      <c r="G416" s="7" t="s">
        <v>16</v>
      </c>
      <c r="H416" s="7" t="s">
        <v>2658</v>
      </c>
      <c r="I416" s="9">
        <v>1867.5</v>
      </c>
      <c r="J416" s="7">
        <v>6</v>
      </c>
      <c r="K416" s="11">
        <v>0</v>
      </c>
      <c r="L416" s="9">
        <v>242.64</v>
      </c>
      <c r="M416" s="7" t="s">
        <v>32</v>
      </c>
      <c r="N416" t="str">
        <v>Bulk Order</v>
      </c>
    </row>
    <row r="417" spans="1:14">
      <c r="A417" s="7" t="s">
        <v>801</v>
      </c>
      <c r="B417" s="10">
        <v>41014</v>
      </c>
      <c r="C417" s="8">
        <v>41015</v>
      </c>
      <c r="D417" s="7" t="s">
        <v>802</v>
      </c>
      <c r="E417" s="7" t="s">
        <v>58</v>
      </c>
      <c r="F417" s="7" t="s">
        <v>803</v>
      </c>
      <c r="G417" s="7" t="s">
        <v>28</v>
      </c>
      <c r="H417" s="7" t="s">
        <v>2657</v>
      </c>
      <c r="I417" s="9"/>
      <c r="J417" s="7">
        <v>6</v>
      </c>
      <c r="K417" s="11">
        <v>0</v>
      </c>
      <c r="L417" s="9">
        <v>250.38</v>
      </c>
      <c r="M417" s="7" t="s">
        <v>32</v>
      </c>
      <c r="N417" t="str">
        <v>Bulk Order</v>
      </c>
    </row>
    <row r="418" spans="1:14">
      <c r="A418" s="7"/>
      <c r="B418" s="8">
        <v>41894</v>
      </c>
      <c r="C418" s="8">
        <v>41899</v>
      </c>
      <c r="D418" s="7" t="s">
        <v>571</v>
      </c>
      <c r="E418" s="7" t="s">
        <v>641</v>
      </c>
      <c r="F418" s="7" t="s">
        <v>36</v>
      </c>
      <c r="G418" s="7" t="s">
        <v>39</v>
      </c>
      <c r="H418" s="7" t="s">
        <v>2662</v>
      </c>
      <c r="I418" s="9">
        <v>1.9079999999999899</v>
      </c>
      <c r="J418" s="7">
        <v>3</v>
      </c>
      <c r="K418" s="11">
        <v>0.8</v>
      </c>
      <c r="L418" s="9">
        <v>-3.2435999999999998</v>
      </c>
      <c r="M418" s="7" t="s">
        <v>32</v>
      </c>
      <c r="N418" t="str">
        <v>Normal Order</v>
      </c>
    </row>
    <row r="419" spans="1:14">
      <c r="A419" s="7" t="s">
        <v>804</v>
      </c>
      <c r="B419" s="8">
        <v>41991</v>
      </c>
      <c r="C419" s="8">
        <v>41995</v>
      </c>
      <c r="D419" s="7" t="s">
        <v>503</v>
      </c>
      <c r="E419" s="7" t="s">
        <v>35</v>
      </c>
      <c r="F419" s="7" t="s">
        <v>36</v>
      </c>
      <c r="G419" s="7" t="s">
        <v>154</v>
      </c>
      <c r="H419" s="7" t="s">
        <v>2655</v>
      </c>
      <c r="I419" s="9">
        <v>9892.74</v>
      </c>
      <c r="J419" s="7">
        <v>13</v>
      </c>
      <c r="K419" s="11">
        <v>0</v>
      </c>
      <c r="L419" s="9">
        <v>4946.37</v>
      </c>
      <c r="M419" s="7" t="s">
        <v>17</v>
      </c>
      <c r="N419" t="str">
        <v>Bulk Order</v>
      </c>
    </row>
    <row r="420" spans="1:14">
      <c r="A420" s="7" t="s">
        <v>805</v>
      </c>
      <c r="B420" s="8">
        <v>42308</v>
      </c>
      <c r="C420" s="7"/>
      <c r="D420" s="7" t="s">
        <v>806</v>
      </c>
      <c r="E420" s="7" t="s">
        <v>542</v>
      </c>
      <c r="F420" s="7" t="s">
        <v>59</v>
      </c>
      <c r="G420" s="7" t="s">
        <v>39</v>
      </c>
      <c r="H420" s="7" t="s">
        <v>2663</v>
      </c>
      <c r="I420" s="9">
        <v>4306.32</v>
      </c>
      <c r="J420" s="7">
        <v>8</v>
      </c>
      <c r="K420" s="11">
        <v>0</v>
      </c>
      <c r="L420" s="9">
        <v>1722.48</v>
      </c>
      <c r="M420" s="7" t="s">
        <v>17</v>
      </c>
      <c r="N420" t="str">
        <v>Bulk Order</v>
      </c>
    </row>
    <row r="421" spans="1:14">
      <c r="A421" s="7" t="s">
        <v>807</v>
      </c>
      <c r="B421" s="8">
        <v>41741</v>
      </c>
      <c r="C421" s="8">
        <v>41743</v>
      </c>
      <c r="D421" s="7" t="s">
        <v>412</v>
      </c>
      <c r="E421" s="7" t="s">
        <v>808</v>
      </c>
      <c r="F421" s="7" t="s">
        <v>81</v>
      </c>
      <c r="G421" s="7" t="s">
        <v>39</v>
      </c>
      <c r="H421" s="7" t="s">
        <v>2659</v>
      </c>
      <c r="I421" s="9">
        <v>899.55</v>
      </c>
      <c r="J421" s="7">
        <v>3</v>
      </c>
      <c r="K421" s="11">
        <v>0</v>
      </c>
      <c r="L421" s="9">
        <v>323.82</v>
      </c>
      <c r="M421" s="7" t="s">
        <v>23</v>
      </c>
      <c r="N421" t="str">
        <v>Normal Order</v>
      </c>
    </row>
    <row r="422" spans="1:14">
      <c r="A422" s="7" t="s">
        <v>809</v>
      </c>
      <c r="B422" s="8">
        <v>41954</v>
      </c>
      <c r="C422" s="7" t="s">
        <v>116</v>
      </c>
      <c r="D422" s="7" t="s">
        <v>810</v>
      </c>
      <c r="E422" s="7"/>
      <c r="F422" s="7" t="s">
        <v>106</v>
      </c>
      <c r="G422" s="7" t="s">
        <v>16</v>
      </c>
      <c r="H422" s="7" t="s">
        <v>2661</v>
      </c>
      <c r="I422" s="9">
        <v>763.92</v>
      </c>
      <c r="J422" s="7">
        <v>4</v>
      </c>
      <c r="K422" s="11">
        <v>0</v>
      </c>
      <c r="L422" s="9">
        <v>381.96</v>
      </c>
      <c r="M422" s="7" t="s">
        <v>23</v>
      </c>
      <c r="N422" t="str">
        <v>Normal Order</v>
      </c>
    </row>
    <row r="423" spans="1:14">
      <c r="A423" s="7" t="s">
        <v>811</v>
      </c>
      <c r="B423" s="8">
        <v>41560</v>
      </c>
      <c r="C423" s="8">
        <v>41564</v>
      </c>
      <c r="D423" s="7" t="s">
        <v>812</v>
      </c>
      <c r="E423" s="7"/>
      <c r="F423" s="7" t="s">
        <v>63</v>
      </c>
      <c r="G423" s="7" t="s">
        <v>16</v>
      </c>
      <c r="H423" s="7" t="s">
        <v>2661</v>
      </c>
      <c r="I423" s="9">
        <v>2544.2399999999998</v>
      </c>
      <c r="J423" s="7">
        <v>4</v>
      </c>
      <c r="K423" s="11">
        <v>0</v>
      </c>
      <c r="L423" s="9"/>
      <c r="M423" s="7" t="s">
        <v>32</v>
      </c>
      <c r="N423" t="str">
        <v>Normal Order</v>
      </c>
    </row>
    <row r="424" spans="1:14">
      <c r="A424" s="7" t="s">
        <v>813</v>
      </c>
      <c r="B424" s="8">
        <v>41560</v>
      </c>
      <c r="C424" s="8">
        <v>41563</v>
      </c>
      <c r="D424" s="7" t="s">
        <v>354</v>
      </c>
      <c r="E424" s="7" t="s">
        <v>814</v>
      </c>
      <c r="F424" s="7" t="s">
        <v>15</v>
      </c>
      <c r="G424" s="7" t="s">
        <v>28</v>
      </c>
      <c r="H424" s="7" t="s">
        <v>2657</v>
      </c>
      <c r="I424" s="9">
        <v>1136.66399999999</v>
      </c>
      <c r="J424" s="7">
        <v>4</v>
      </c>
      <c r="K424" s="11">
        <v>0.4</v>
      </c>
      <c r="L424" s="9">
        <v>-189.45599999999899</v>
      </c>
      <c r="M424" s="7" t="s">
        <v>23</v>
      </c>
      <c r="N424" t="str">
        <v>Normal Order</v>
      </c>
    </row>
    <row r="425" spans="1:14">
      <c r="A425" s="7" t="s">
        <v>815</v>
      </c>
      <c r="B425" s="8">
        <v>42034</v>
      </c>
      <c r="C425" s="8">
        <v>42038</v>
      </c>
      <c r="D425" s="7" t="s">
        <v>816</v>
      </c>
      <c r="E425" s="7" t="s">
        <v>58</v>
      </c>
      <c r="F425" s="7" t="s">
        <v>81</v>
      </c>
      <c r="G425" s="7" t="s">
        <v>28</v>
      </c>
      <c r="H425" s="7" t="s">
        <v>2656</v>
      </c>
      <c r="I425" s="9">
        <v>2300.99999999999</v>
      </c>
      <c r="J425" s="7">
        <v>5</v>
      </c>
      <c r="K425" s="11">
        <v>0</v>
      </c>
      <c r="L425" s="9">
        <v>91.95</v>
      </c>
      <c r="M425" s="7" t="s">
        <v>32</v>
      </c>
      <c r="N425" t="str">
        <v>Normal Order</v>
      </c>
    </row>
    <row r="426" spans="1:14">
      <c r="A426" s="7" t="s">
        <v>817</v>
      </c>
      <c r="B426" s="8">
        <v>41559</v>
      </c>
      <c r="C426" s="7"/>
      <c r="D426" s="7" t="s">
        <v>818</v>
      </c>
      <c r="E426" s="7" t="s">
        <v>120</v>
      </c>
      <c r="F426" s="7"/>
      <c r="G426" s="7" t="s">
        <v>16</v>
      </c>
      <c r="H426" s="7" t="s">
        <v>2655</v>
      </c>
      <c r="I426" s="9">
        <v>3908.88</v>
      </c>
      <c r="J426" s="7">
        <v>6</v>
      </c>
      <c r="K426" s="11">
        <v>0</v>
      </c>
      <c r="L426" s="9">
        <v>1563.48</v>
      </c>
      <c r="M426" s="7" t="s">
        <v>17</v>
      </c>
      <c r="N426" t="str">
        <v>Bulk Order</v>
      </c>
    </row>
    <row r="427" spans="1:14">
      <c r="A427" s="7" t="s">
        <v>819</v>
      </c>
      <c r="B427" s="8">
        <v>42161</v>
      </c>
      <c r="C427" s="8">
        <v>42162</v>
      </c>
      <c r="D427" s="7" t="s">
        <v>503</v>
      </c>
      <c r="E427" s="7" t="s">
        <v>35</v>
      </c>
      <c r="F427" s="7" t="s">
        <v>36</v>
      </c>
      <c r="G427" s="7" t="s">
        <v>16</v>
      </c>
      <c r="H427" s="7" t="s">
        <v>2655</v>
      </c>
      <c r="I427" s="9">
        <v>470.37599999999998</v>
      </c>
      <c r="J427" s="7">
        <v>3</v>
      </c>
      <c r="K427" s="11">
        <v>0.2</v>
      </c>
      <c r="L427" s="9">
        <v>52.917299999999898</v>
      </c>
      <c r="M427" s="7" t="s">
        <v>32</v>
      </c>
      <c r="N427" t="str">
        <v>Normal Order</v>
      </c>
    </row>
    <row r="428" spans="1:14">
      <c r="A428" s="7" t="s">
        <v>821</v>
      </c>
      <c r="B428" s="8">
        <v>42328</v>
      </c>
      <c r="C428" s="8">
        <v>42332</v>
      </c>
      <c r="D428" s="7" t="s">
        <v>503</v>
      </c>
      <c r="E428" s="7" t="s">
        <v>35</v>
      </c>
      <c r="F428" s="7" t="s">
        <v>142</v>
      </c>
      <c r="G428" s="7" t="s">
        <v>28</v>
      </c>
      <c r="H428" s="7" t="s">
        <v>2656</v>
      </c>
      <c r="I428" s="9">
        <v>821.87999999999897</v>
      </c>
      <c r="J428" s="7">
        <v>6</v>
      </c>
      <c r="K428" s="11">
        <v>0</v>
      </c>
      <c r="L428" s="9">
        <v>213.68879999999999</v>
      </c>
      <c r="M428" s="7" t="s">
        <v>17</v>
      </c>
      <c r="N428" t="str">
        <v>Bulk Order</v>
      </c>
    </row>
    <row r="429" spans="1:14">
      <c r="A429" s="7" t="s">
        <v>822</v>
      </c>
      <c r="B429" s="8">
        <v>41901</v>
      </c>
      <c r="C429" s="8">
        <v>41905</v>
      </c>
      <c r="D429" s="7" t="s">
        <v>823</v>
      </c>
      <c r="E429" s="7" t="s">
        <v>105</v>
      </c>
      <c r="F429" s="7" t="s">
        <v>106</v>
      </c>
      <c r="G429" s="7" t="s">
        <v>39</v>
      </c>
      <c r="H429" s="7" t="s">
        <v>2655</v>
      </c>
      <c r="I429" s="9">
        <v>2249.16</v>
      </c>
      <c r="J429" s="7">
        <v>4</v>
      </c>
      <c r="K429" s="11">
        <v>0</v>
      </c>
      <c r="L429" s="9">
        <v>224.88</v>
      </c>
      <c r="M429" s="7" t="s">
        <v>32</v>
      </c>
      <c r="N429" t="str">
        <v>Normal Order</v>
      </c>
    </row>
    <row r="430" spans="1:14">
      <c r="A430" s="7" t="s">
        <v>824</v>
      </c>
      <c r="B430" s="8">
        <v>41639</v>
      </c>
      <c r="C430" s="7"/>
      <c r="D430" s="7" t="s">
        <v>825</v>
      </c>
      <c r="E430" s="7" t="s">
        <v>88</v>
      </c>
      <c r="F430" s="7" t="s">
        <v>89</v>
      </c>
      <c r="G430" s="7" t="s">
        <v>39</v>
      </c>
      <c r="H430" s="7" t="s">
        <v>2656</v>
      </c>
      <c r="I430" s="9">
        <v>2528.2600000000002</v>
      </c>
      <c r="J430" s="7">
        <v>7</v>
      </c>
      <c r="K430" s="11">
        <v>0</v>
      </c>
      <c r="L430" s="9"/>
      <c r="M430" s="7" t="s">
        <v>32</v>
      </c>
      <c r="N430" t="str">
        <v>Bulk Order</v>
      </c>
    </row>
    <row r="431" spans="1:14">
      <c r="A431" s="7"/>
      <c r="B431" s="8">
        <v>42367</v>
      </c>
      <c r="C431" s="8">
        <v>42369</v>
      </c>
      <c r="D431" s="7" t="s">
        <v>826</v>
      </c>
      <c r="E431" s="7" t="s">
        <v>62</v>
      </c>
      <c r="F431" s="7"/>
      <c r="G431" s="7" t="s">
        <v>28</v>
      </c>
      <c r="H431" s="7" t="s">
        <v>2661</v>
      </c>
      <c r="I431" s="9">
        <v>1461.135</v>
      </c>
      <c r="J431" s="7">
        <v>5</v>
      </c>
      <c r="K431" s="11">
        <v>0.35</v>
      </c>
      <c r="L431" s="9">
        <v>202.18499999999901</v>
      </c>
      <c r="M431" s="7" t="s">
        <v>32</v>
      </c>
      <c r="N431" t="str">
        <v>Normal Order</v>
      </c>
    </row>
    <row r="432" spans="1:14">
      <c r="A432" s="7" t="s">
        <v>827</v>
      </c>
      <c r="B432" s="8">
        <v>41958</v>
      </c>
      <c r="C432" s="8">
        <v>41962</v>
      </c>
      <c r="D432" s="7" t="s">
        <v>828</v>
      </c>
      <c r="E432" s="7" t="s">
        <v>567</v>
      </c>
      <c r="F432" s="7" t="s">
        <v>89</v>
      </c>
      <c r="G432" s="7" t="s">
        <v>16</v>
      </c>
      <c r="H432" s="7" t="s">
        <v>2661</v>
      </c>
      <c r="I432" s="9">
        <v>3045.8399999999901</v>
      </c>
      <c r="J432" s="7"/>
      <c r="K432" s="11">
        <v>0</v>
      </c>
      <c r="L432" s="9">
        <v>1035.58</v>
      </c>
      <c r="M432" s="7" t="s">
        <v>32</v>
      </c>
      <c r="N432" t="str">
        <v>Normal Order</v>
      </c>
    </row>
    <row r="433" spans="1:14">
      <c r="A433" s="7" t="s">
        <v>829</v>
      </c>
      <c r="B433" s="8">
        <v>41262</v>
      </c>
      <c r="C433" s="8">
        <v>41265</v>
      </c>
      <c r="D433" s="7" t="s">
        <v>503</v>
      </c>
      <c r="E433" s="7" t="s">
        <v>322</v>
      </c>
      <c r="F433" s="7" t="s">
        <v>36</v>
      </c>
      <c r="G433" s="7" t="s">
        <v>39</v>
      </c>
      <c r="H433" s="7" t="s">
        <v>2658</v>
      </c>
      <c r="I433" s="9">
        <v>1103.97</v>
      </c>
      <c r="J433" s="7">
        <v>3</v>
      </c>
      <c r="K433" s="11">
        <v>0</v>
      </c>
      <c r="L433" s="9">
        <v>496.78649999999902</v>
      </c>
      <c r="M433" s="7" t="s">
        <v>17</v>
      </c>
      <c r="N433" t="str">
        <v>Normal Order</v>
      </c>
    </row>
    <row r="434" spans="1:14">
      <c r="A434" s="7" t="s">
        <v>830</v>
      </c>
      <c r="B434" s="8">
        <v>42143</v>
      </c>
      <c r="C434" s="8">
        <v>42145</v>
      </c>
      <c r="D434" s="7" t="s">
        <v>503</v>
      </c>
      <c r="E434" s="7" t="s">
        <v>35</v>
      </c>
      <c r="F434" s="7" t="s">
        <v>38</v>
      </c>
      <c r="G434" s="7" t="s">
        <v>16</v>
      </c>
      <c r="H434" s="7" t="s">
        <v>2656</v>
      </c>
      <c r="I434" s="9">
        <v>344.70400000000001</v>
      </c>
      <c r="J434" s="7">
        <v>2</v>
      </c>
      <c r="K434" s="11">
        <v>0.2</v>
      </c>
      <c r="L434" s="9">
        <v>38.779199999999904</v>
      </c>
      <c r="M434" s="7" t="s">
        <v>17</v>
      </c>
      <c r="N434" t="str">
        <v>Normal Order</v>
      </c>
    </row>
    <row r="435" spans="1:14">
      <c r="A435" s="7" t="s">
        <v>831</v>
      </c>
      <c r="B435" s="8">
        <v>42255</v>
      </c>
      <c r="C435" s="8">
        <v>42258</v>
      </c>
      <c r="D435" s="7" t="s">
        <v>832</v>
      </c>
      <c r="E435" s="7" t="s">
        <v>239</v>
      </c>
      <c r="F435" s="7" t="s">
        <v>132</v>
      </c>
      <c r="G435" s="7" t="s">
        <v>28</v>
      </c>
      <c r="H435" s="7" t="s">
        <v>2655</v>
      </c>
      <c r="I435" s="9">
        <v>2152.9560000000001</v>
      </c>
      <c r="J435" s="7">
        <v>8</v>
      </c>
      <c r="K435" s="11">
        <v>0.35</v>
      </c>
      <c r="L435" s="9"/>
      <c r="M435" s="7" t="s">
        <v>17</v>
      </c>
      <c r="N435" t="str">
        <v>Bulk Order</v>
      </c>
    </row>
    <row r="436" spans="1:14">
      <c r="A436" s="7" t="s">
        <v>833</v>
      </c>
      <c r="B436" s="8">
        <v>41807</v>
      </c>
      <c r="C436" s="8">
        <v>41809</v>
      </c>
      <c r="D436" s="7" t="s">
        <v>712</v>
      </c>
      <c r="E436" s="7" t="s">
        <v>62</v>
      </c>
      <c r="F436" s="7" t="s">
        <v>63</v>
      </c>
      <c r="G436" s="7" t="s">
        <v>16</v>
      </c>
      <c r="H436" s="7" t="s">
        <v>2654</v>
      </c>
      <c r="I436" s="9">
        <v>1244.0999999999999</v>
      </c>
      <c r="J436" s="7">
        <v>5</v>
      </c>
      <c r="K436" s="11">
        <v>0</v>
      </c>
      <c r="L436" s="9">
        <v>447.75</v>
      </c>
      <c r="M436" s="7" t="s">
        <v>32</v>
      </c>
      <c r="N436" t="str">
        <v>Normal Order</v>
      </c>
    </row>
    <row r="437" spans="1:14">
      <c r="A437" s="7" t="s">
        <v>834</v>
      </c>
      <c r="B437" s="8">
        <v>41250</v>
      </c>
      <c r="C437" s="8">
        <v>41250</v>
      </c>
      <c r="D437" s="7" t="s">
        <v>835</v>
      </c>
      <c r="E437" s="7"/>
      <c r="F437" s="7" t="s">
        <v>89</v>
      </c>
      <c r="G437" s="7" t="s">
        <v>28</v>
      </c>
      <c r="H437" s="7" t="s">
        <v>2663</v>
      </c>
      <c r="I437" s="9">
        <v>2226.8159999999998</v>
      </c>
      <c r="J437" s="7">
        <v>9</v>
      </c>
      <c r="K437" s="11">
        <v>0.2</v>
      </c>
      <c r="L437" s="9">
        <v>500.976</v>
      </c>
      <c r="M437" s="7" t="s">
        <v>32</v>
      </c>
      <c r="N437" t="str">
        <v>Bulk Order</v>
      </c>
    </row>
    <row r="438" spans="1:14">
      <c r="A438" s="7" t="s">
        <v>836</v>
      </c>
      <c r="B438" s="8">
        <v>42266</v>
      </c>
      <c r="C438" s="8">
        <v>42268</v>
      </c>
      <c r="D438" s="7" t="s">
        <v>837</v>
      </c>
      <c r="E438" s="7" t="s">
        <v>14</v>
      </c>
      <c r="F438" s="7" t="s">
        <v>15</v>
      </c>
      <c r="G438" s="7" t="s">
        <v>28</v>
      </c>
      <c r="H438" s="7" t="s">
        <v>2654</v>
      </c>
      <c r="I438" s="9">
        <v>1586.41199999999</v>
      </c>
      <c r="J438" s="7">
        <v>4</v>
      </c>
      <c r="K438" s="11">
        <v>0.1</v>
      </c>
      <c r="L438" s="9">
        <v>17.531999999999901</v>
      </c>
      <c r="M438" s="7" t="s">
        <v>32</v>
      </c>
      <c r="N438" t="str">
        <v>Normal Order</v>
      </c>
    </row>
    <row r="439" spans="1:14">
      <c r="A439" s="7" t="s">
        <v>838</v>
      </c>
      <c r="B439" s="8">
        <v>41908</v>
      </c>
      <c r="C439" s="8">
        <v>41913</v>
      </c>
      <c r="D439" s="7" t="s">
        <v>503</v>
      </c>
      <c r="E439" s="7" t="s">
        <v>35</v>
      </c>
      <c r="F439" s="7" t="s">
        <v>38</v>
      </c>
      <c r="G439" s="7" t="s">
        <v>28</v>
      </c>
      <c r="H439" s="7" t="s">
        <v>2655</v>
      </c>
      <c r="I439" s="9">
        <v>393.16500000000002</v>
      </c>
      <c r="J439" s="7"/>
      <c r="K439" s="11">
        <v>0.5</v>
      </c>
      <c r="L439" s="9">
        <v>-204.44579999999999</v>
      </c>
      <c r="M439" s="7" t="s">
        <v>17</v>
      </c>
      <c r="N439" t="str">
        <v>Normal Order</v>
      </c>
    </row>
    <row r="440" spans="1:14">
      <c r="A440" s="7" t="s">
        <v>839</v>
      </c>
      <c r="B440" s="8">
        <v>42045</v>
      </c>
      <c r="C440" s="8">
        <v>42049</v>
      </c>
      <c r="D440" s="7"/>
      <c r="E440" s="7" t="s">
        <v>840</v>
      </c>
      <c r="F440" s="7" t="s">
        <v>49</v>
      </c>
      <c r="G440" s="7" t="s">
        <v>39</v>
      </c>
      <c r="H440" s="7" t="s">
        <v>2663</v>
      </c>
      <c r="I440" s="9">
        <v>3425.4</v>
      </c>
      <c r="J440" s="7">
        <v>6</v>
      </c>
      <c r="K440" s="11">
        <v>0</v>
      </c>
      <c r="L440" s="9">
        <v>1233</v>
      </c>
      <c r="M440" s="7" t="s">
        <v>32</v>
      </c>
      <c r="N440" t="str">
        <v>Bulk Order</v>
      </c>
    </row>
    <row r="441" spans="1:14">
      <c r="A441" s="7"/>
      <c r="B441" s="8">
        <v>42043</v>
      </c>
      <c r="C441" s="7"/>
      <c r="D441" s="7" t="s">
        <v>841</v>
      </c>
      <c r="E441" s="7" t="s">
        <v>186</v>
      </c>
      <c r="F441" s="7" t="s">
        <v>68</v>
      </c>
      <c r="G441" s="7" t="s">
        <v>154</v>
      </c>
      <c r="H441" s="7" t="s">
        <v>2662</v>
      </c>
      <c r="I441" s="9">
        <v>1136.94</v>
      </c>
      <c r="J441" s="7">
        <v>2</v>
      </c>
      <c r="K441" s="11">
        <v>0</v>
      </c>
      <c r="L441" s="9">
        <v>568.43999999999903</v>
      </c>
      <c r="M441" s="7" t="s">
        <v>32</v>
      </c>
      <c r="N441" t="str">
        <v>Normal Order</v>
      </c>
    </row>
    <row r="442" spans="1:14">
      <c r="A442" s="7" t="s">
        <v>842</v>
      </c>
      <c r="B442" s="8">
        <v>41856</v>
      </c>
      <c r="C442" s="8">
        <v>41858</v>
      </c>
      <c r="D442" s="7" t="s">
        <v>843</v>
      </c>
      <c r="E442" s="7" t="s">
        <v>131</v>
      </c>
      <c r="F442" s="7" t="s">
        <v>132</v>
      </c>
      <c r="G442" s="7" t="s">
        <v>28</v>
      </c>
      <c r="H442" s="7" t="s">
        <v>2661</v>
      </c>
      <c r="I442" s="9">
        <v>677.63519999999903</v>
      </c>
      <c r="J442" s="7">
        <v>2</v>
      </c>
      <c r="K442" s="11"/>
      <c r="L442" s="9">
        <v>211.2552</v>
      </c>
      <c r="M442" s="7" t="s">
        <v>23</v>
      </c>
      <c r="N442" t="str">
        <v>Normal Order</v>
      </c>
    </row>
    <row r="443" spans="1:14">
      <c r="A443" s="7" t="s">
        <v>844</v>
      </c>
      <c r="B443" s="8">
        <v>42109</v>
      </c>
      <c r="C443" s="8">
        <v>42112</v>
      </c>
      <c r="D443" s="7" t="s">
        <v>729</v>
      </c>
      <c r="E443" s="7" t="s">
        <v>778</v>
      </c>
      <c r="F443" s="7" t="s">
        <v>106</v>
      </c>
      <c r="G443" s="7" t="s">
        <v>28</v>
      </c>
      <c r="H443" s="7" t="s">
        <v>2661</v>
      </c>
      <c r="I443" s="9">
        <v>731.34</v>
      </c>
      <c r="J443" s="7">
        <v>2</v>
      </c>
      <c r="K443" s="11">
        <v>0</v>
      </c>
      <c r="L443" s="9">
        <v>80.400000000000006</v>
      </c>
      <c r="M443" s="7" t="s">
        <v>23</v>
      </c>
      <c r="N443" t="str">
        <v>Normal Order</v>
      </c>
    </row>
    <row r="444" spans="1:14">
      <c r="A444" s="7" t="s">
        <v>845</v>
      </c>
      <c r="B444" s="8">
        <v>41585</v>
      </c>
      <c r="C444" s="8">
        <v>41590</v>
      </c>
      <c r="D444" s="7" t="s">
        <v>503</v>
      </c>
      <c r="E444" s="7" t="s">
        <v>35</v>
      </c>
      <c r="F444" s="7" t="s">
        <v>36</v>
      </c>
      <c r="G444" s="7" t="s">
        <v>16</v>
      </c>
      <c r="H444" s="7" t="s">
        <v>2663</v>
      </c>
      <c r="I444" s="9">
        <v>287.909999999999</v>
      </c>
      <c r="J444" s="7">
        <v>3</v>
      </c>
      <c r="K444" s="11">
        <v>0.4</v>
      </c>
      <c r="L444" s="9">
        <v>33.589499999999902</v>
      </c>
      <c r="M444" s="7" t="s">
        <v>17</v>
      </c>
      <c r="N444" t="str">
        <v>Normal Order</v>
      </c>
    </row>
    <row r="445" spans="1:14">
      <c r="A445" s="7" t="s">
        <v>846</v>
      </c>
      <c r="B445" s="8">
        <v>42129</v>
      </c>
      <c r="C445" s="8">
        <v>42131</v>
      </c>
      <c r="D445" s="7" t="s">
        <v>847</v>
      </c>
      <c r="E445" s="7" t="s">
        <v>105</v>
      </c>
      <c r="F445" s="7" t="s">
        <v>45</v>
      </c>
      <c r="G445" s="7" t="s">
        <v>16</v>
      </c>
      <c r="H445" s="7" t="s">
        <v>2663</v>
      </c>
      <c r="I445" s="9">
        <v>1272.72</v>
      </c>
      <c r="J445" s="7">
        <v>4</v>
      </c>
      <c r="K445" s="11">
        <v>0</v>
      </c>
      <c r="L445" s="9">
        <v>534.48</v>
      </c>
      <c r="M445" s="7" t="s">
        <v>32</v>
      </c>
      <c r="N445" t="str">
        <v>Normal Order</v>
      </c>
    </row>
    <row r="446" spans="1:14">
      <c r="A446" s="7" t="s">
        <v>848</v>
      </c>
      <c r="B446" s="8">
        <v>41947</v>
      </c>
      <c r="C446" s="8">
        <v>41949</v>
      </c>
      <c r="D446" s="7" t="s">
        <v>849</v>
      </c>
      <c r="E446" s="7" t="s">
        <v>67</v>
      </c>
      <c r="F446" s="7" t="s">
        <v>68</v>
      </c>
      <c r="G446" s="7" t="s">
        <v>39</v>
      </c>
      <c r="H446" s="7" t="s">
        <v>2656</v>
      </c>
      <c r="I446" s="9">
        <v>1856.34</v>
      </c>
      <c r="J446" s="7">
        <v>6</v>
      </c>
      <c r="K446" s="11">
        <v>0</v>
      </c>
      <c r="L446" s="9"/>
      <c r="M446" s="7" t="s">
        <v>23</v>
      </c>
      <c r="N446" t="str">
        <v>Bulk Order</v>
      </c>
    </row>
    <row r="447" spans="1:14">
      <c r="A447" s="7" t="s">
        <v>850</v>
      </c>
      <c r="B447" s="8">
        <v>42165</v>
      </c>
      <c r="C447" s="8">
        <v>42167</v>
      </c>
      <c r="D447" s="7" t="s">
        <v>259</v>
      </c>
      <c r="E447" s="7" t="s">
        <v>186</v>
      </c>
      <c r="F447" s="7" t="s">
        <v>68</v>
      </c>
      <c r="G447" s="7" t="s">
        <v>16</v>
      </c>
      <c r="H447" s="7" t="s">
        <v>2657</v>
      </c>
      <c r="I447" s="9">
        <v>2295</v>
      </c>
      <c r="J447" s="7">
        <v>4</v>
      </c>
      <c r="K447" s="11">
        <v>0.1</v>
      </c>
      <c r="L447" s="9"/>
      <c r="M447" s="7" t="s">
        <v>17</v>
      </c>
      <c r="N447" t="str">
        <v>Normal Order</v>
      </c>
    </row>
    <row r="448" spans="1:14">
      <c r="A448" s="7" t="s">
        <v>851</v>
      </c>
      <c r="B448" s="8">
        <v>41517</v>
      </c>
      <c r="C448" s="8">
        <v>41519</v>
      </c>
      <c r="D448" s="7" t="s">
        <v>852</v>
      </c>
      <c r="E448" s="7" t="s">
        <v>62</v>
      </c>
      <c r="F448" s="7" t="s">
        <v>63</v>
      </c>
      <c r="G448" s="7" t="s">
        <v>16</v>
      </c>
      <c r="H448" s="7" t="s">
        <v>2661</v>
      </c>
      <c r="I448" s="9">
        <v>1622.1824999999999</v>
      </c>
      <c r="J448" s="7"/>
      <c r="K448" s="11">
        <v>0.15</v>
      </c>
      <c r="L448" s="9">
        <v>324.38249999999903</v>
      </c>
      <c r="M448" s="7" t="s">
        <v>23</v>
      </c>
      <c r="N448" t="str">
        <v>Normal Order</v>
      </c>
    </row>
    <row r="449" spans="1:14">
      <c r="A449" s="7" t="s">
        <v>853</v>
      </c>
      <c r="B449" s="8">
        <v>41810</v>
      </c>
      <c r="C449" s="8">
        <v>41812</v>
      </c>
      <c r="D449" s="7" t="s">
        <v>854</v>
      </c>
      <c r="E449" s="7" t="s">
        <v>855</v>
      </c>
      <c r="F449" s="7" t="s">
        <v>81</v>
      </c>
      <c r="G449" s="7" t="s">
        <v>16</v>
      </c>
      <c r="H449" s="7" t="s">
        <v>2656</v>
      </c>
      <c r="I449" s="9">
        <v>1063.44</v>
      </c>
      <c r="J449" s="7">
        <v>7</v>
      </c>
      <c r="K449" s="11">
        <v>0</v>
      </c>
      <c r="L449" s="9">
        <v>361.41</v>
      </c>
      <c r="M449" s="7" t="s">
        <v>23</v>
      </c>
      <c r="N449" t="str">
        <v>Bulk Order</v>
      </c>
    </row>
    <row r="450" spans="1:14">
      <c r="A450" s="7" t="s">
        <v>856</v>
      </c>
      <c r="B450" s="8">
        <v>42239</v>
      </c>
      <c r="C450" s="7"/>
      <c r="D450" s="7" t="s">
        <v>857</v>
      </c>
      <c r="E450" s="7" t="s">
        <v>631</v>
      </c>
      <c r="F450" s="7" t="s">
        <v>78</v>
      </c>
      <c r="G450" s="7" t="s">
        <v>16</v>
      </c>
      <c r="H450" s="7" t="s">
        <v>2656</v>
      </c>
      <c r="I450" s="9">
        <v>3449.88</v>
      </c>
      <c r="J450" s="7">
        <v>14</v>
      </c>
      <c r="K450" s="11">
        <v>0</v>
      </c>
      <c r="L450" s="9"/>
      <c r="M450" s="7" t="s">
        <v>17</v>
      </c>
      <c r="N450" t="str">
        <v>Bulk Order</v>
      </c>
    </row>
    <row r="451" spans="1:14">
      <c r="A451" s="7" t="s">
        <v>858</v>
      </c>
      <c r="B451" s="8">
        <v>41422</v>
      </c>
      <c r="C451" s="8">
        <v>41423</v>
      </c>
      <c r="D451" s="7" t="s">
        <v>859</v>
      </c>
      <c r="E451" s="7" t="s">
        <v>88</v>
      </c>
      <c r="F451" s="7" t="s">
        <v>89</v>
      </c>
      <c r="G451" s="7" t="s">
        <v>28</v>
      </c>
      <c r="H451" s="7" t="s">
        <v>2656</v>
      </c>
      <c r="I451" s="9">
        <v>585.45600000000002</v>
      </c>
      <c r="J451" s="7">
        <v>3</v>
      </c>
      <c r="K451" s="11">
        <v>0.2</v>
      </c>
      <c r="L451" s="9">
        <v>-2.4000000000000899E-2</v>
      </c>
      <c r="M451" s="7" t="s">
        <v>23</v>
      </c>
      <c r="N451" t="str">
        <v>Normal Order</v>
      </c>
    </row>
    <row r="452" spans="1:14">
      <c r="A452" s="7" t="s">
        <v>860</v>
      </c>
      <c r="B452" s="8">
        <v>42143</v>
      </c>
      <c r="C452" s="7" t="s">
        <v>861</v>
      </c>
      <c r="D452" s="7" t="s">
        <v>394</v>
      </c>
      <c r="E452" s="7" t="s">
        <v>862</v>
      </c>
      <c r="F452" s="7" t="s">
        <v>22</v>
      </c>
      <c r="G452" s="7" t="s">
        <v>16</v>
      </c>
      <c r="H452" s="7" t="s">
        <v>2654</v>
      </c>
      <c r="I452" s="9">
        <v>1429.4399999999901</v>
      </c>
      <c r="J452" s="7">
        <v>4</v>
      </c>
      <c r="K452" s="11">
        <v>0</v>
      </c>
      <c r="L452" s="9">
        <v>471.599999999999</v>
      </c>
      <c r="M452" s="7" t="s">
        <v>23</v>
      </c>
      <c r="N452" t="str">
        <v>Normal Order</v>
      </c>
    </row>
    <row r="453" spans="1:14">
      <c r="A453" s="7" t="s">
        <v>863</v>
      </c>
      <c r="B453" s="7"/>
      <c r="C453" s="8">
        <v>41759</v>
      </c>
      <c r="D453" s="7" t="s">
        <v>864</v>
      </c>
      <c r="E453" s="7" t="s">
        <v>865</v>
      </c>
      <c r="F453" s="7" t="s">
        <v>426</v>
      </c>
      <c r="G453" s="7" t="s">
        <v>28</v>
      </c>
      <c r="H453" s="7" t="s">
        <v>2663</v>
      </c>
      <c r="I453" s="9">
        <v>1057.8</v>
      </c>
      <c r="J453" s="7">
        <v>2</v>
      </c>
      <c r="K453" s="11">
        <v>0</v>
      </c>
      <c r="L453" s="9">
        <v>158.63999999999999</v>
      </c>
      <c r="M453" s="7" t="s">
        <v>23</v>
      </c>
      <c r="N453" t="str">
        <v>Normal Order</v>
      </c>
    </row>
    <row r="454" spans="1:14">
      <c r="A454" s="7" t="s">
        <v>724</v>
      </c>
      <c r="B454" s="8">
        <v>41996</v>
      </c>
      <c r="C454" s="8">
        <v>41998</v>
      </c>
      <c r="D454" s="7" t="s">
        <v>136</v>
      </c>
      <c r="E454" s="7" t="s">
        <v>58</v>
      </c>
      <c r="F454" s="7" t="s">
        <v>81</v>
      </c>
      <c r="G454" s="7" t="s">
        <v>28</v>
      </c>
      <c r="H454" s="7" t="s">
        <v>2657</v>
      </c>
      <c r="I454" s="9">
        <v>1092.96</v>
      </c>
      <c r="J454" s="7"/>
      <c r="K454" s="11">
        <v>0</v>
      </c>
      <c r="L454" s="9">
        <v>393.39</v>
      </c>
      <c r="M454" s="7" t="s">
        <v>23</v>
      </c>
      <c r="N454" t="str">
        <v>Normal Order</v>
      </c>
    </row>
    <row r="455" spans="1:14">
      <c r="A455" s="7" t="s">
        <v>866</v>
      </c>
      <c r="B455" s="8">
        <v>42289</v>
      </c>
      <c r="C455" s="7"/>
      <c r="D455" s="7" t="s">
        <v>867</v>
      </c>
      <c r="E455" s="7" t="s">
        <v>558</v>
      </c>
      <c r="F455" s="7" t="s">
        <v>111</v>
      </c>
      <c r="G455" s="7" t="s">
        <v>28</v>
      </c>
      <c r="H455" s="7" t="s">
        <v>2658</v>
      </c>
      <c r="I455" s="9">
        <v>1483</v>
      </c>
      <c r="J455" s="7">
        <v>5</v>
      </c>
      <c r="K455" s="11">
        <v>0</v>
      </c>
      <c r="L455" s="9">
        <v>741.5</v>
      </c>
      <c r="M455" s="7" t="s">
        <v>32</v>
      </c>
      <c r="N455" t="str">
        <v>Normal Order</v>
      </c>
    </row>
    <row r="456" spans="1:14">
      <c r="A456" s="7" t="s">
        <v>868</v>
      </c>
      <c r="B456" s="8">
        <v>42109</v>
      </c>
      <c r="C456" s="8">
        <v>42111</v>
      </c>
      <c r="D456" s="7" t="s">
        <v>869</v>
      </c>
      <c r="E456" s="7" t="s">
        <v>265</v>
      </c>
      <c r="F456" s="7" t="s">
        <v>53</v>
      </c>
      <c r="G456" s="7" t="s">
        <v>39</v>
      </c>
      <c r="H456" s="7" t="s">
        <v>2663</v>
      </c>
      <c r="I456" s="9">
        <v>1792.4</v>
      </c>
      <c r="J456" s="7">
        <v>5</v>
      </c>
      <c r="K456" s="11">
        <v>0</v>
      </c>
      <c r="L456" s="9">
        <v>304.7</v>
      </c>
      <c r="M456" s="7" t="s">
        <v>23</v>
      </c>
      <c r="N456" t="str">
        <v>Normal Order</v>
      </c>
    </row>
    <row r="457" spans="1:14">
      <c r="A457" s="7" t="s">
        <v>871</v>
      </c>
      <c r="B457" s="8">
        <v>42336</v>
      </c>
      <c r="C457" s="8">
        <v>42341</v>
      </c>
      <c r="D457" s="7" t="s">
        <v>872</v>
      </c>
      <c r="E457" s="7" t="s">
        <v>20</v>
      </c>
      <c r="F457" s="7" t="s">
        <v>63</v>
      </c>
      <c r="G457" s="7" t="s">
        <v>28</v>
      </c>
      <c r="H457" s="7" t="s">
        <v>2658</v>
      </c>
      <c r="I457" s="9">
        <v>2455.6770000000001</v>
      </c>
      <c r="J457" s="7">
        <v>7</v>
      </c>
      <c r="K457" s="11">
        <v>0.1</v>
      </c>
      <c r="L457" s="9">
        <v>-191.16300000000001</v>
      </c>
      <c r="M457" s="7" t="s">
        <v>873</v>
      </c>
      <c r="N457" t="str">
        <v>Bulk Order</v>
      </c>
    </row>
    <row r="458" spans="1:14">
      <c r="A458" s="7" t="s">
        <v>874</v>
      </c>
      <c r="B458" s="8">
        <v>41405</v>
      </c>
      <c r="C458" s="8">
        <v>41407</v>
      </c>
      <c r="D458" s="7" t="s">
        <v>875</v>
      </c>
      <c r="E458" s="7"/>
      <c r="F458" s="7" t="s">
        <v>49</v>
      </c>
      <c r="G458" s="7" t="s">
        <v>16</v>
      </c>
      <c r="H458" s="7" t="s">
        <v>2661</v>
      </c>
      <c r="I458" s="9">
        <v>1900.44</v>
      </c>
      <c r="J458" s="7">
        <v>6</v>
      </c>
      <c r="K458" s="11">
        <v>0</v>
      </c>
      <c r="L458" s="9">
        <v>417.96</v>
      </c>
      <c r="M458" s="7" t="s">
        <v>32</v>
      </c>
      <c r="N458" t="str">
        <v>Bulk Order</v>
      </c>
    </row>
    <row r="459" spans="1:14">
      <c r="A459" s="7" t="s">
        <v>876</v>
      </c>
      <c r="B459" s="8">
        <v>41808</v>
      </c>
      <c r="C459" s="8">
        <v>41814</v>
      </c>
      <c r="D459" s="7" t="s">
        <v>877</v>
      </c>
      <c r="E459" s="7" t="s">
        <v>310</v>
      </c>
      <c r="F459" s="7" t="s">
        <v>132</v>
      </c>
      <c r="G459" s="7" t="s">
        <v>16</v>
      </c>
      <c r="H459" s="7" t="s">
        <v>2663</v>
      </c>
      <c r="I459" s="9">
        <v>3712.59</v>
      </c>
      <c r="J459" s="7">
        <v>7</v>
      </c>
      <c r="K459" s="11">
        <v>0.17</v>
      </c>
      <c r="L459" s="9">
        <v>849.87</v>
      </c>
      <c r="M459" s="7" t="s">
        <v>17</v>
      </c>
      <c r="N459" t="str">
        <v>Bulk Order</v>
      </c>
    </row>
    <row r="460" spans="1:14">
      <c r="A460" s="7" t="s">
        <v>878</v>
      </c>
      <c r="B460" s="8">
        <v>41398</v>
      </c>
      <c r="C460" s="8">
        <v>41400</v>
      </c>
      <c r="D460" s="7" t="s">
        <v>236</v>
      </c>
      <c r="E460" s="7" t="s">
        <v>879</v>
      </c>
      <c r="F460" s="7" t="s">
        <v>106</v>
      </c>
      <c r="G460" s="7" t="s">
        <v>16</v>
      </c>
      <c r="H460" s="7" t="s">
        <v>2657</v>
      </c>
      <c r="I460" s="9">
        <v>2372.2199999999998</v>
      </c>
      <c r="J460" s="7">
        <v>9</v>
      </c>
      <c r="K460" s="11">
        <v>0</v>
      </c>
      <c r="L460" s="9">
        <v>0</v>
      </c>
      <c r="M460" s="7" t="s">
        <v>32</v>
      </c>
      <c r="N460" t="str">
        <v>Bulk Order</v>
      </c>
    </row>
    <row r="461" spans="1:14">
      <c r="A461" s="7" t="s">
        <v>880</v>
      </c>
      <c r="B461" s="8">
        <v>41223</v>
      </c>
      <c r="C461" s="8">
        <v>41227</v>
      </c>
      <c r="D461" s="7" t="s">
        <v>881</v>
      </c>
      <c r="E461" s="7" t="s">
        <v>58</v>
      </c>
      <c r="F461" s="7" t="s">
        <v>81</v>
      </c>
      <c r="G461" s="7" t="s">
        <v>16</v>
      </c>
      <c r="H461" s="7" t="s">
        <v>2656</v>
      </c>
      <c r="I461" s="9">
        <v>5725.35</v>
      </c>
      <c r="J461" s="7">
        <v>9</v>
      </c>
      <c r="K461" s="11"/>
      <c r="L461" s="9">
        <v>1602.98999999999</v>
      </c>
      <c r="M461" s="7" t="s">
        <v>17</v>
      </c>
      <c r="N461" t="str">
        <v>Bulk Order</v>
      </c>
    </row>
    <row r="462" spans="1:14">
      <c r="A462" s="7" t="s">
        <v>882</v>
      </c>
      <c r="B462" s="8">
        <v>42362</v>
      </c>
      <c r="C462" s="8">
        <v>42362</v>
      </c>
      <c r="D462" s="7" t="s">
        <v>883</v>
      </c>
      <c r="E462" s="7" t="s">
        <v>67</v>
      </c>
      <c r="F462" s="7" t="s">
        <v>68</v>
      </c>
      <c r="G462" s="7" t="s">
        <v>28</v>
      </c>
      <c r="H462" s="7" t="s">
        <v>2657</v>
      </c>
      <c r="I462" s="9"/>
      <c r="J462" s="7">
        <v>7</v>
      </c>
      <c r="K462" s="11">
        <v>0</v>
      </c>
      <c r="L462" s="9">
        <v>842.51999999999896</v>
      </c>
      <c r="M462" s="7" t="s">
        <v>17</v>
      </c>
      <c r="N462" t="str">
        <v>Bulk Order</v>
      </c>
    </row>
    <row r="463" spans="1:14">
      <c r="A463" s="7" t="s">
        <v>884</v>
      </c>
      <c r="B463" s="7"/>
      <c r="C463" s="8">
        <v>42143</v>
      </c>
      <c r="D463" s="7" t="s">
        <v>406</v>
      </c>
      <c r="E463" s="7" t="s">
        <v>88</v>
      </c>
      <c r="F463" s="7" t="s">
        <v>89</v>
      </c>
      <c r="G463" s="7" t="s">
        <v>39</v>
      </c>
      <c r="H463" s="7" t="s">
        <v>2656</v>
      </c>
      <c r="I463" s="9">
        <v>2003.51999999999</v>
      </c>
      <c r="J463" s="7">
        <v>6</v>
      </c>
      <c r="K463" s="11">
        <v>0</v>
      </c>
      <c r="L463" s="9">
        <v>861.48</v>
      </c>
      <c r="M463" s="7" t="s">
        <v>32</v>
      </c>
      <c r="N463" t="str">
        <v>Bulk Order</v>
      </c>
    </row>
    <row r="464" spans="1:14">
      <c r="A464" s="7" t="s">
        <v>885</v>
      </c>
      <c r="B464" s="8">
        <v>42347</v>
      </c>
      <c r="C464" s="8">
        <v>42350</v>
      </c>
      <c r="D464" s="7" t="s">
        <v>886</v>
      </c>
      <c r="E464" s="7" t="s">
        <v>887</v>
      </c>
      <c r="F464" s="7" t="s">
        <v>78</v>
      </c>
      <c r="G464" s="7" t="s">
        <v>16</v>
      </c>
      <c r="H464" s="7" t="s">
        <v>2663</v>
      </c>
      <c r="I464" s="9">
        <v>1188.3599999999999</v>
      </c>
      <c r="J464" s="7">
        <v>4</v>
      </c>
      <c r="K464" s="11">
        <v>0</v>
      </c>
      <c r="L464" s="9">
        <v>95.039999999999907</v>
      </c>
      <c r="M464" s="7" t="s">
        <v>32</v>
      </c>
      <c r="N464" t="str">
        <v>Normal Order</v>
      </c>
    </row>
    <row r="465" spans="1:14">
      <c r="A465" s="7" t="s">
        <v>888</v>
      </c>
      <c r="B465" s="8">
        <v>41249</v>
      </c>
      <c r="C465" s="8">
        <v>41253</v>
      </c>
      <c r="D465" s="7" t="s">
        <v>889</v>
      </c>
      <c r="E465" s="7" t="s">
        <v>14</v>
      </c>
      <c r="F465" s="7" t="s">
        <v>15</v>
      </c>
      <c r="G465" s="7" t="s">
        <v>16</v>
      </c>
      <c r="H465" s="7" t="s">
        <v>2661</v>
      </c>
      <c r="I465" s="9">
        <v>2875.0949999999998</v>
      </c>
      <c r="J465" s="7">
        <v>5</v>
      </c>
      <c r="K465" s="11">
        <v>0.1</v>
      </c>
      <c r="L465" s="9">
        <v>511.094999999999</v>
      </c>
      <c r="M465" s="7" t="s">
        <v>32</v>
      </c>
      <c r="N465" t="str">
        <v>Normal Order</v>
      </c>
    </row>
    <row r="466" spans="1:14">
      <c r="A466" s="7" t="s">
        <v>890</v>
      </c>
      <c r="B466" s="8">
        <v>41892</v>
      </c>
      <c r="C466" s="8">
        <v>41897</v>
      </c>
      <c r="D466" s="7" t="s">
        <v>226</v>
      </c>
      <c r="E466" s="7" t="s">
        <v>891</v>
      </c>
      <c r="F466" s="7" t="s">
        <v>98</v>
      </c>
      <c r="G466" s="7" t="s">
        <v>28</v>
      </c>
      <c r="H466" s="7" t="s">
        <v>2657</v>
      </c>
      <c r="I466" s="9" t="s">
        <v>152</v>
      </c>
      <c r="J466" s="7">
        <v>5</v>
      </c>
      <c r="K466" s="11">
        <v>0</v>
      </c>
      <c r="L466" s="9">
        <v>952.2</v>
      </c>
      <c r="M466" s="7" t="s">
        <v>17</v>
      </c>
      <c r="N466" t="str">
        <v>Normal Order</v>
      </c>
    </row>
    <row r="467" spans="1:14">
      <c r="A467" s="7"/>
      <c r="B467" s="8">
        <v>40970</v>
      </c>
      <c r="C467" s="8">
        <v>40972</v>
      </c>
      <c r="D467" s="7" t="s">
        <v>892</v>
      </c>
      <c r="E467" s="7" t="s">
        <v>893</v>
      </c>
      <c r="F467" s="7" t="s">
        <v>68</v>
      </c>
      <c r="G467" s="7" t="s">
        <v>16</v>
      </c>
      <c r="H467" s="7" t="s">
        <v>2656</v>
      </c>
      <c r="I467" s="9">
        <v>1619.1</v>
      </c>
      <c r="J467" s="7">
        <v>10</v>
      </c>
      <c r="K467" s="11">
        <v>0</v>
      </c>
      <c r="L467" s="9">
        <v>258.89999999999998</v>
      </c>
      <c r="M467" s="7" t="s">
        <v>32</v>
      </c>
      <c r="N467" t="str">
        <v>Bulk Order</v>
      </c>
    </row>
    <row r="468" spans="1:14">
      <c r="A468" s="7" t="s">
        <v>894</v>
      </c>
      <c r="B468" s="8">
        <v>41275</v>
      </c>
      <c r="C468" s="8">
        <v>41395</v>
      </c>
      <c r="D468" s="7"/>
      <c r="E468" s="7" t="s">
        <v>131</v>
      </c>
      <c r="F468" s="7" t="s">
        <v>132</v>
      </c>
      <c r="G468" s="7" t="s">
        <v>39</v>
      </c>
      <c r="H468" s="7" t="s">
        <v>2655</v>
      </c>
      <c r="I468" s="9">
        <v>2821.7177999999999</v>
      </c>
      <c r="J468" s="7">
        <v>6</v>
      </c>
      <c r="K468" s="11"/>
      <c r="L468" s="9">
        <v>339.87779999999998</v>
      </c>
      <c r="M468" s="7" t="s">
        <v>32</v>
      </c>
      <c r="N468" t="str">
        <v>Bulk Order</v>
      </c>
    </row>
    <row r="469" spans="1:14">
      <c r="A469" s="7" t="s">
        <v>895</v>
      </c>
      <c r="B469" s="8">
        <v>41577</v>
      </c>
      <c r="C469" s="8">
        <v>41581</v>
      </c>
      <c r="D469" s="7" t="s">
        <v>896</v>
      </c>
      <c r="E469" s="7" t="s">
        <v>131</v>
      </c>
      <c r="F469" s="7" t="s">
        <v>132</v>
      </c>
      <c r="G469" s="7" t="s">
        <v>16</v>
      </c>
      <c r="H469" s="7" t="s">
        <v>2662</v>
      </c>
      <c r="I469" s="9">
        <v>2991.10319999999</v>
      </c>
      <c r="J469" s="7">
        <v>9</v>
      </c>
      <c r="K469" s="11">
        <v>7.0000000000000007E-2</v>
      </c>
      <c r="L469" s="9">
        <v>-128.74680000000001</v>
      </c>
      <c r="M469" s="7" t="s">
        <v>17</v>
      </c>
      <c r="N469" t="str">
        <v>Bulk Order</v>
      </c>
    </row>
    <row r="470" spans="1:14">
      <c r="A470" s="7" t="s">
        <v>897</v>
      </c>
      <c r="B470" s="8">
        <v>41962</v>
      </c>
      <c r="C470" s="8">
        <v>41962</v>
      </c>
      <c r="D470" s="7" t="s">
        <v>390</v>
      </c>
      <c r="E470" s="7" t="s">
        <v>898</v>
      </c>
      <c r="F470" s="7" t="s">
        <v>132</v>
      </c>
      <c r="G470" s="7" t="s">
        <v>39</v>
      </c>
      <c r="H470" s="7" t="s">
        <v>2661</v>
      </c>
      <c r="I470" s="9">
        <v>1798.6763999999901</v>
      </c>
      <c r="J470" s="7">
        <v>4</v>
      </c>
      <c r="K470" s="11">
        <v>0.17</v>
      </c>
      <c r="L470" s="9">
        <v>86.636399999999895</v>
      </c>
      <c r="M470" s="7" t="s">
        <v>32</v>
      </c>
      <c r="N470" t="str">
        <v>Normal Order</v>
      </c>
    </row>
    <row r="471" spans="1:14">
      <c r="A471" s="7"/>
      <c r="B471" s="8">
        <v>41866</v>
      </c>
      <c r="C471" s="8">
        <v>41868</v>
      </c>
      <c r="D471" s="7" t="s">
        <v>899</v>
      </c>
      <c r="E471" s="7" t="s">
        <v>452</v>
      </c>
      <c r="F471" s="7" t="s">
        <v>78</v>
      </c>
      <c r="G471" s="7" t="s">
        <v>16</v>
      </c>
      <c r="H471" s="7" t="s">
        <v>2657</v>
      </c>
      <c r="I471" s="9">
        <v>2544.84</v>
      </c>
      <c r="J471" s="7">
        <v>4</v>
      </c>
      <c r="K471" s="11">
        <v>0</v>
      </c>
      <c r="L471" s="9">
        <v>712.43999999999903</v>
      </c>
      <c r="M471" s="7" t="s">
        <v>17</v>
      </c>
      <c r="N471" t="str">
        <v>Normal Order</v>
      </c>
    </row>
    <row r="472" spans="1:14">
      <c r="A472" s="7" t="s">
        <v>900</v>
      </c>
      <c r="B472" s="8">
        <v>41798</v>
      </c>
      <c r="C472" s="8">
        <v>41798</v>
      </c>
      <c r="D472" s="7" t="s">
        <v>881</v>
      </c>
      <c r="E472" s="7"/>
      <c r="F472" s="7" t="s">
        <v>81</v>
      </c>
      <c r="G472" s="7" t="s">
        <v>28</v>
      </c>
      <c r="H472" s="7" t="s">
        <v>2661</v>
      </c>
      <c r="I472" s="9">
        <v>951.719999999999</v>
      </c>
      <c r="J472" s="7">
        <v>2</v>
      </c>
      <c r="K472" s="11">
        <v>0</v>
      </c>
      <c r="L472" s="9">
        <v>228.36</v>
      </c>
      <c r="M472" s="7" t="s">
        <v>32</v>
      </c>
      <c r="N472" t="str">
        <v>Normal Order</v>
      </c>
    </row>
    <row r="473" spans="1:14">
      <c r="A473" s="7" t="s">
        <v>901</v>
      </c>
      <c r="B473" s="8">
        <v>42279</v>
      </c>
      <c r="C473" s="8">
        <v>42283</v>
      </c>
      <c r="D473" s="7" t="s">
        <v>244</v>
      </c>
      <c r="E473" s="7" t="s">
        <v>173</v>
      </c>
      <c r="F473" s="7" t="s">
        <v>106</v>
      </c>
      <c r="G473" s="7" t="s">
        <v>16</v>
      </c>
      <c r="H473" s="7" t="s">
        <v>2656</v>
      </c>
      <c r="I473" s="9">
        <v>2575.92</v>
      </c>
      <c r="J473" s="7">
        <v>4</v>
      </c>
      <c r="K473" s="11">
        <v>0</v>
      </c>
      <c r="L473" s="9">
        <v>978.83999999999901</v>
      </c>
      <c r="M473" s="7" t="s">
        <v>32</v>
      </c>
      <c r="N473" t="str">
        <v>Normal Order</v>
      </c>
    </row>
    <row r="474" spans="1:14">
      <c r="A474" s="7" t="s">
        <v>902</v>
      </c>
      <c r="B474" s="8">
        <v>42062</v>
      </c>
      <c r="C474" s="8">
        <v>42066</v>
      </c>
      <c r="D474" s="7" t="s">
        <v>571</v>
      </c>
      <c r="E474" s="7" t="s">
        <v>84</v>
      </c>
      <c r="F474" s="7" t="s">
        <v>85</v>
      </c>
      <c r="G474" s="7" t="s">
        <v>39</v>
      </c>
      <c r="H474" s="7" t="s">
        <v>2655</v>
      </c>
      <c r="I474" s="9">
        <v>1699.83</v>
      </c>
      <c r="J474" s="7">
        <v>3</v>
      </c>
      <c r="K474" s="11">
        <v>0</v>
      </c>
      <c r="L474" s="9">
        <v>84.96</v>
      </c>
      <c r="M474" s="7" t="s">
        <v>32</v>
      </c>
      <c r="N474" t="str">
        <v>Normal Order</v>
      </c>
    </row>
    <row r="475" spans="1:14">
      <c r="A475" s="7" t="s">
        <v>903</v>
      </c>
      <c r="B475" s="8">
        <v>41943</v>
      </c>
      <c r="C475" s="7" t="s">
        <v>904</v>
      </c>
      <c r="D475" s="7" t="s">
        <v>905</v>
      </c>
      <c r="E475" s="7" t="s">
        <v>14</v>
      </c>
      <c r="F475" s="7" t="s">
        <v>15</v>
      </c>
      <c r="G475" s="7" t="s">
        <v>28</v>
      </c>
      <c r="H475" s="7" t="s">
        <v>2656</v>
      </c>
      <c r="I475" s="9">
        <v>2634.5519999999901</v>
      </c>
      <c r="J475" s="7">
        <v>8</v>
      </c>
      <c r="K475" s="11">
        <v>0.1</v>
      </c>
      <c r="L475" s="9">
        <v>116.952</v>
      </c>
      <c r="M475" s="7" t="s">
        <v>17</v>
      </c>
      <c r="N475" t="str">
        <v>Bulk Order</v>
      </c>
    </row>
    <row r="476" spans="1:14">
      <c r="A476" s="7" t="s">
        <v>906</v>
      </c>
      <c r="B476" s="8">
        <v>41991</v>
      </c>
      <c r="C476" s="8">
        <v>41998</v>
      </c>
      <c r="D476" s="7" t="s">
        <v>907</v>
      </c>
      <c r="E476" s="7" t="s">
        <v>131</v>
      </c>
      <c r="F476" s="7" t="s">
        <v>132</v>
      </c>
      <c r="G476" s="7" t="s">
        <v>28</v>
      </c>
      <c r="H476" s="7" t="s">
        <v>2661</v>
      </c>
      <c r="I476" s="9">
        <v>3707.3519999999999</v>
      </c>
      <c r="J476" s="7">
        <v>11</v>
      </c>
      <c r="K476" s="11">
        <v>7.0000000000000007E-2</v>
      </c>
      <c r="L476" s="9">
        <v>1554.432</v>
      </c>
      <c r="M476" s="7" t="s">
        <v>17</v>
      </c>
      <c r="N476" t="str">
        <v>Bulk Order</v>
      </c>
    </row>
    <row r="477" spans="1:14">
      <c r="A477" s="7" t="s">
        <v>908</v>
      </c>
      <c r="B477" s="8">
        <v>42133</v>
      </c>
      <c r="C477" s="8">
        <v>42139</v>
      </c>
      <c r="D477" s="7" t="s">
        <v>849</v>
      </c>
      <c r="E477" s="7" t="s">
        <v>105</v>
      </c>
      <c r="F477" s="7" t="s">
        <v>158</v>
      </c>
      <c r="G477" s="7" t="s">
        <v>28</v>
      </c>
      <c r="H477" s="7" t="s">
        <v>2663</v>
      </c>
      <c r="I477" s="9">
        <v>4298.8500000000004</v>
      </c>
      <c r="J477" s="7">
        <v>5</v>
      </c>
      <c r="K477" s="11">
        <v>0</v>
      </c>
      <c r="L477" s="9">
        <v>300.89999999999998</v>
      </c>
      <c r="M477" s="7" t="s">
        <v>65</v>
      </c>
      <c r="N477" t="str">
        <v>Normal Order</v>
      </c>
    </row>
    <row r="478" spans="1:14">
      <c r="A478" s="7"/>
      <c r="B478" s="8">
        <v>42189</v>
      </c>
      <c r="C478" s="8">
        <v>42193</v>
      </c>
      <c r="D478" s="7" t="s">
        <v>739</v>
      </c>
      <c r="E478" s="7" t="s">
        <v>58</v>
      </c>
      <c r="F478" s="7" t="s">
        <v>81</v>
      </c>
      <c r="G478" s="7" t="s">
        <v>39</v>
      </c>
      <c r="H478" s="7" t="s">
        <v>2663</v>
      </c>
      <c r="I478" s="9">
        <v>3417.48</v>
      </c>
      <c r="J478" s="7">
        <v>6</v>
      </c>
      <c r="K478" s="11">
        <v>0</v>
      </c>
      <c r="L478" s="9">
        <v>854.28</v>
      </c>
      <c r="M478" s="7" t="s">
        <v>17</v>
      </c>
      <c r="N478" t="str">
        <v>Bulk Order</v>
      </c>
    </row>
    <row r="479" spans="1:14">
      <c r="A479" s="7" t="s">
        <v>909</v>
      </c>
      <c r="B479" s="8">
        <v>41411</v>
      </c>
      <c r="C479" s="8">
        <v>41415</v>
      </c>
      <c r="D479" s="7" t="s">
        <v>104</v>
      </c>
      <c r="E479" s="7" t="s">
        <v>186</v>
      </c>
      <c r="F479" s="7" t="s">
        <v>68</v>
      </c>
      <c r="G479" s="7" t="s">
        <v>39</v>
      </c>
      <c r="H479" s="7" t="s">
        <v>2658</v>
      </c>
      <c r="I479" s="9">
        <v>2080.3199999999902</v>
      </c>
      <c r="J479" s="7">
        <v>4</v>
      </c>
      <c r="K479" s="11">
        <v>0</v>
      </c>
      <c r="L479" s="9">
        <v>561.599999999999</v>
      </c>
      <c r="M479" s="7" t="s">
        <v>32</v>
      </c>
      <c r="N479" t="str">
        <v>Normal Order</v>
      </c>
    </row>
    <row r="480" spans="1:14">
      <c r="A480" s="7" t="s">
        <v>910</v>
      </c>
      <c r="B480" s="8">
        <v>41123</v>
      </c>
      <c r="C480" s="8">
        <v>41126</v>
      </c>
      <c r="D480" s="7" t="s">
        <v>273</v>
      </c>
      <c r="E480" s="7" t="s">
        <v>105</v>
      </c>
      <c r="F480" s="7" t="s">
        <v>106</v>
      </c>
      <c r="G480" s="7" t="s">
        <v>16</v>
      </c>
      <c r="H480" s="7" t="s">
        <v>2661</v>
      </c>
      <c r="I480" s="9">
        <v>840.6</v>
      </c>
      <c r="J480" s="7">
        <v>5</v>
      </c>
      <c r="K480" s="11">
        <v>0</v>
      </c>
      <c r="L480" s="9">
        <v>319.349999999999</v>
      </c>
      <c r="M480" s="7" t="s">
        <v>23</v>
      </c>
      <c r="N480" t="str">
        <v>Normal Order</v>
      </c>
    </row>
    <row r="481" spans="1:14">
      <c r="A481" s="7" t="s">
        <v>912</v>
      </c>
      <c r="B481" s="8">
        <v>42267</v>
      </c>
      <c r="C481" s="8">
        <v>42273</v>
      </c>
      <c r="D481" s="7" t="s">
        <v>503</v>
      </c>
      <c r="E481" s="7" t="s">
        <v>35</v>
      </c>
      <c r="F481" s="7" t="s">
        <v>38</v>
      </c>
      <c r="G481" s="7" t="s">
        <v>16</v>
      </c>
      <c r="H481" s="7" t="s">
        <v>2661</v>
      </c>
      <c r="I481" s="9">
        <v>471.92</v>
      </c>
      <c r="J481" s="7"/>
      <c r="K481" s="11">
        <v>0.2</v>
      </c>
      <c r="L481" s="9">
        <v>29.495000000000001</v>
      </c>
      <c r="M481" s="7" t="s">
        <v>65</v>
      </c>
      <c r="N481" t="str">
        <v>Normal Order</v>
      </c>
    </row>
    <row r="482" spans="1:14">
      <c r="A482" s="7" t="s">
        <v>913</v>
      </c>
      <c r="B482" s="8">
        <v>41684</v>
      </c>
      <c r="C482" s="8">
        <v>41686</v>
      </c>
      <c r="D482" s="7" t="s">
        <v>914</v>
      </c>
      <c r="E482" s="7" t="s">
        <v>915</v>
      </c>
      <c r="F482" s="7" t="s">
        <v>121</v>
      </c>
      <c r="G482" s="7" t="s">
        <v>39</v>
      </c>
      <c r="H482" s="7" t="s">
        <v>2656</v>
      </c>
      <c r="I482" s="9">
        <v>1288.8</v>
      </c>
      <c r="J482" s="7"/>
      <c r="K482" s="11">
        <v>0</v>
      </c>
      <c r="L482" s="9">
        <v>90</v>
      </c>
      <c r="M482" s="7" t="s">
        <v>396</v>
      </c>
      <c r="N482" t="str">
        <v>Normal Order</v>
      </c>
    </row>
    <row r="483" spans="1:14">
      <c r="A483" s="7" t="s">
        <v>916</v>
      </c>
      <c r="B483" s="8">
        <v>41417</v>
      </c>
      <c r="C483" s="8">
        <v>41417</v>
      </c>
      <c r="D483" s="7"/>
      <c r="E483" s="7" t="s">
        <v>14</v>
      </c>
      <c r="F483" s="7" t="s">
        <v>15</v>
      </c>
      <c r="G483" s="7" t="s">
        <v>28</v>
      </c>
      <c r="H483" s="7" t="s">
        <v>2659</v>
      </c>
      <c r="I483" s="9">
        <v>660.69</v>
      </c>
      <c r="J483" s="7">
        <v>5</v>
      </c>
      <c r="K483" s="11">
        <v>0.1</v>
      </c>
      <c r="L483" s="9">
        <v>44.04</v>
      </c>
      <c r="M483" s="7" t="s">
        <v>23</v>
      </c>
      <c r="N483" t="str">
        <v>Normal Order</v>
      </c>
    </row>
    <row r="484" spans="1:14">
      <c r="A484" s="7" t="s">
        <v>917</v>
      </c>
      <c r="B484" s="7" t="s">
        <v>918</v>
      </c>
      <c r="C484" s="8">
        <v>42225</v>
      </c>
      <c r="D484" s="7" t="s">
        <v>919</v>
      </c>
      <c r="E484" s="7" t="s">
        <v>920</v>
      </c>
      <c r="F484" s="7" t="s">
        <v>68</v>
      </c>
      <c r="G484" s="7" t="s">
        <v>39</v>
      </c>
      <c r="H484" s="7" t="s">
        <v>2664</v>
      </c>
      <c r="I484" s="9">
        <v>3234.24</v>
      </c>
      <c r="J484" s="7">
        <v>6</v>
      </c>
      <c r="K484" s="11">
        <v>0</v>
      </c>
      <c r="L484" s="9">
        <v>970.19999999999902</v>
      </c>
      <c r="M484" s="7" t="s">
        <v>17</v>
      </c>
      <c r="N484" t="str">
        <v>Bulk Order</v>
      </c>
    </row>
    <row r="485" spans="1:14">
      <c r="A485" s="7" t="s">
        <v>921</v>
      </c>
      <c r="B485" s="8">
        <v>41956</v>
      </c>
      <c r="C485" s="8">
        <v>41961</v>
      </c>
      <c r="D485" s="7" t="s">
        <v>26</v>
      </c>
      <c r="E485" s="7" t="s">
        <v>922</v>
      </c>
      <c r="F485" s="7" t="s">
        <v>53</v>
      </c>
      <c r="G485" s="7" t="s">
        <v>16</v>
      </c>
      <c r="H485" s="7" t="s">
        <v>2663</v>
      </c>
      <c r="I485" s="9">
        <v>2171.3000000000002</v>
      </c>
      <c r="J485" s="7">
        <v>5</v>
      </c>
      <c r="K485" s="11">
        <v>0</v>
      </c>
      <c r="L485" s="9">
        <v>390.79999999999899</v>
      </c>
      <c r="M485" s="7" t="s">
        <v>32</v>
      </c>
      <c r="N485" t="str">
        <v>Normal Order</v>
      </c>
    </row>
    <row r="486" spans="1:14">
      <c r="A486" s="7"/>
      <c r="B486" s="7"/>
      <c r="C486" s="8">
        <v>42049</v>
      </c>
      <c r="D486" s="7" t="s">
        <v>226</v>
      </c>
      <c r="E486" s="7" t="s">
        <v>14</v>
      </c>
      <c r="F486" s="7" t="s">
        <v>923</v>
      </c>
      <c r="G486" s="7" t="s">
        <v>16</v>
      </c>
      <c r="H486" s="7" t="s">
        <v>2661</v>
      </c>
      <c r="I486" s="9">
        <v>2074.7339999999999</v>
      </c>
      <c r="J486" s="7">
        <v>9</v>
      </c>
      <c r="K486" s="11">
        <v>0.1</v>
      </c>
      <c r="L486" s="9">
        <v>276.53399999999999</v>
      </c>
      <c r="M486" s="7" t="s">
        <v>17</v>
      </c>
      <c r="N486" t="str">
        <v>Bulk Order</v>
      </c>
    </row>
    <row r="487" spans="1:14">
      <c r="A487" s="7" t="s">
        <v>924</v>
      </c>
      <c r="B487" s="8">
        <v>42319</v>
      </c>
      <c r="C487" s="8">
        <v>42322</v>
      </c>
      <c r="D487" s="7"/>
      <c r="E487" s="7" t="s">
        <v>88</v>
      </c>
      <c r="F487" s="7" t="s">
        <v>89</v>
      </c>
      <c r="G487" s="7" t="s">
        <v>16</v>
      </c>
      <c r="H487" s="7" t="s">
        <v>2656</v>
      </c>
      <c r="I487" s="9">
        <v>849.8</v>
      </c>
      <c r="J487" s="7">
        <v>2</v>
      </c>
      <c r="K487" s="11">
        <v>0</v>
      </c>
      <c r="L487" s="9">
        <v>195.44</v>
      </c>
      <c r="M487" s="7" t="s">
        <v>23</v>
      </c>
      <c r="N487" t="str">
        <v>Normal Order</v>
      </c>
    </row>
    <row r="488" spans="1:14">
      <c r="A488" s="7" t="s">
        <v>925</v>
      </c>
      <c r="B488" s="8">
        <v>41728</v>
      </c>
      <c r="C488" s="8">
        <v>41730</v>
      </c>
      <c r="D488" s="7" t="s">
        <v>414</v>
      </c>
      <c r="E488" s="7" t="s">
        <v>14</v>
      </c>
      <c r="F488" s="7" t="s">
        <v>15</v>
      </c>
      <c r="G488" s="7" t="s">
        <v>28</v>
      </c>
      <c r="H488" s="7" t="s">
        <v>2654</v>
      </c>
      <c r="I488" s="9">
        <v>1177.173</v>
      </c>
      <c r="J488" s="7"/>
      <c r="K488" s="11">
        <v>0.1</v>
      </c>
      <c r="L488" s="9">
        <v>353.13299999999998</v>
      </c>
      <c r="M488" s="7" t="s">
        <v>17</v>
      </c>
      <c r="N488" t="str">
        <v>Normal Order</v>
      </c>
    </row>
    <row r="489" spans="1:14">
      <c r="A489" s="7" t="s">
        <v>845</v>
      </c>
      <c r="B489" s="8">
        <v>41585</v>
      </c>
      <c r="C489" s="8">
        <v>41590</v>
      </c>
      <c r="D489" s="7" t="s">
        <v>503</v>
      </c>
      <c r="E489" s="7" t="s">
        <v>35</v>
      </c>
      <c r="F489" s="7" t="s">
        <v>36</v>
      </c>
      <c r="G489" s="7" t="s">
        <v>39</v>
      </c>
      <c r="H489" s="7" t="s">
        <v>2656</v>
      </c>
      <c r="I489" s="9">
        <v>177.648</v>
      </c>
      <c r="J489" s="7">
        <v>2</v>
      </c>
      <c r="K489" s="11">
        <v>0.2</v>
      </c>
      <c r="L489" s="9">
        <v>-28.867799999999999</v>
      </c>
      <c r="M489" s="7" t="s">
        <v>17</v>
      </c>
      <c r="N489" t="str">
        <v>Normal Order</v>
      </c>
    </row>
    <row r="490" spans="1:14">
      <c r="A490" s="7" t="s">
        <v>912</v>
      </c>
      <c r="B490" s="8">
        <v>42267</v>
      </c>
      <c r="C490" s="8">
        <v>42273</v>
      </c>
      <c r="D490" s="7" t="s">
        <v>503</v>
      </c>
      <c r="E490" s="7" t="s">
        <v>35</v>
      </c>
      <c r="F490" s="7" t="s">
        <v>38</v>
      </c>
      <c r="G490" s="7" t="s">
        <v>16</v>
      </c>
      <c r="H490" s="7" t="s">
        <v>2663</v>
      </c>
      <c r="I490" s="9">
        <v>89.584000000000003</v>
      </c>
      <c r="J490" s="7">
        <v>2</v>
      </c>
      <c r="K490" s="11">
        <v>0.2</v>
      </c>
      <c r="L490" s="9">
        <v>4.4791999999999996</v>
      </c>
      <c r="M490" s="7" t="s">
        <v>65</v>
      </c>
      <c r="N490" t="str">
        <v>Normal Order</v>
      </c>
    </row>
    <row r="491" spans="1:14">
      <c r="A491" s="7" t="s">
        <v>926</v>
      </c>
      <c r="B491" s="8">
        <v>41870</v>
      </c>
      <c r="C491" s="8">
        <v>41872</v>
      </c>
      <c r="D491" s="7" t="s">
        <v>927</v>
      </c>
      <c r="E491" s="7" t="s">
        <v>701</v>
      </c>
      <c r="F491" s="7" t="s">
        <v>106</v>
      </c>
      <c r="G491" s="7" t="s">
        <v>16</v>
      </c>
      <c r="H491" s="7" t="s">
        <v>2657</v>
      </c>
      <c r="I491" s="9">
        <v>2863.08</v>
      </c>
      <c r="J491" s="7">
        <v>9</v>
      </c>
      <c r="K491" s="11">
        <v>0.5</v>
      </c>
      <c r="L491" s="9">
        <v>-458.19</v>
      </c>
      <c r="M491" s="7" t="s">
        <v>17</v>
      </c>
      <c r="N491" t="str">
        <v>Bulk Order</v>
      </c>
    </row>
    <row r="492" spans="1:14">
      <c r="A492" s="7" t="s">
        <v>928</v>
      </c>
      <c r="B492" s="8">
        <v>42153</v>
      </c>
      <c r="C492" s="8">
        <v>42155</v>
      </c>
      <c r="D492" s="7"/>
      <c r="E492" s="7" t="s">
        <v>62</v>
      </c>
      <c r="F492" s="7" t="s">
        <v>63</v>
      </c>
      <c r="G492" s="7" t="s">
        <v>39</v>
      </c>
      <c r="H492" s="7" t="s">
        <v>2658</v>
      </c>
      <c r="I492" s="9">
        <v>1253.07</v>
      </c>
      <c r="J492" s="7">
        <v>5</v>
      </c>
      <c r="K492" s="11">
        <v>0.1</v>
      </c>
      <c r="L492" s="9">
        <v>236.67</v>
      </c>
      <c r="M492" s="7" t="s">
        <v>23</v>
      </c>
      <c r="N492" t="str">
        <v>Normal Order</v>
      </c>
    </row>
    <row r="493" spans="1:14">
      <c r="A493" s="7" t="s">
        <v>929</v>
      </c>
      <c r="B493" s="8">
        <v>41508</v>
      </c>
      <c r="C493" s="8">
        <v>41515</v>
      </c>
      <c r="D493" s="7" t="s">
        <v>930</v>
      </c>
      <c r="E493" s="7" t="s">
        <v>157</v>
      </c>
      <c r="F493" s="7" t="s">
        <v>106</v>
      </c>
      <c r="G493" s="7" t="s">
        <v>39</v>
      </c>
      <c r="H493" s="7" t="s">
        <v>2656</v>
      </c>
      <c r="I493" s="9">
        <v>3369.24</v>
      </c>
      <c r="J493" s="7">
        <v>6</v>
      </c>
      <c r="K493" s="11">
        <v>0</v>
      </c>
      <c r="L493" s="9">
        <v>606.41999999999996</v>
      </c>
      <c r="M493" s="7" t="s">
        <v>65</v>
      </c>
      <c r="N493" t="str">
        <v>Bulk Order</v>
      </c>
    </row>
    <row r="494" spans="1:14">
      <c r="A494" s="7" t="s">
        <v>931</v>
      </c>
      <c r="B494" s="8">
        <v>42190</v>
      </c>
      <c r="C494" s="8">
        <v>42190</v>
      </c>
      <c r="D494" s="7" t="s">
        <v>932</v>
      </c>
      <c r="E494" s="7" t="s">
        <v>933</v>
      </c>
      <c r="F494" s="7" t="s">
        <v>426</v>
      </c>
      <c r="G494" s="7" t="s">
        <v>16</v>
      </c>
      <c r="H494" s="7" t="s">
        <v>2661</v>
      </c>
      <c r="I494" s="9">
        <v>1464.12</v>
      </c>
      <c r="J494" s="7">
        <v>6</v>
      </c>
      <c r="K494" s="11">
        <v>0</v>
      </c>
      <c r="L494" s="9">
        <v>439.19999999999902</v>
      </c>
      <c r="M494" s="7"/>
      <c r="N494" t="str">
        <v>Bulk Order</v>
      </c>
    </row>
    <row r="495" spans="1:14">
      <c r="A495" s="7" t="s">
        <v>934</v>
      </c>
      <c r="B495" s="8">
        <v>41347</v>
      </c>
      <c r="C495" s="8">
        <v>41350</v>
      </c>
      <c r="D495" s="7" t="s">
        <v>302</v>
      </c>
      <c r="E495" s="7" t="s">
        <v>270</v>
      </c>
      <c r="F495" s="7" t="s">
        <v>63</v>
      </c>
      <c r="G495" s="7" t="s">
        <v>28</v>
      </c>
      <c r="H495" s="7" t="s">
        <v>2661</v>
      </c>
      <c r="I495" s="9">
        <v>1273.125</v>
      </c>
      <c r="J495" s="7">
        <v>7</v>
      </c>
      <c r="K495" s="11">
        <v>0.5</v>
      </c>
      <c r="L495" s="9">
        <v>-993.19499999999903</v>
      </c>
      <c r="M495" s="7" t="s">
        <v>32</v>
      </c>
      <c r="N495" t="str">
        <v>Bulk Order</v>
      </c>
    </row>
    <row r="496" spans="1:14">
      <c r="A496" s="7" t="s">
        <v>935</v>
      </c>
      <c r="B496" s="8">
        <v>42139</v>
      </c>
      <c r="C496" s="8">
        <v>42139</v>
      </c>
      <c r="D496" s="7" t="s">
        <v>503</v>
      </c>
      <c r="E496" s="7" t="s">
        <v>438</v>
      </c>
      <c r="F496" s="7" t="s">
        <v>438</v>
      </c>
      <c r="G496" s="7" t="s">
        <v>39</v>
      </c>
      <c r="H496" s="7" t="s">
        <v>2654</v>
      </c>
      <c r="I496" s="9"/>
      <c r="J496" s="7">
        <v>2</v>
      </c>
      <c r="K496" s="11">
        <v>0</v>
      </c>
      <c r="L496" s="9">
        <v>10.74</v>
      </c>
      <c r="M496" s="7" t="s">
        <v>32</v>
      </c>
      <c r="N496" t="str">
        <v>Normal Order</v>
      </c>
    </row>
    <row r="497" spans="1:14">
      <c r="A497" s="7" t="s">
        <v>936</v>
      </c>
      <c r="B497" s="8">
        <v>42263</v>
      </c>
      <c r="C497" s="8">
        <v>42265</v>
      </c>
      <c r="D497" s="7" t="s">
        <v>864</v>
      </c>
      <c r="E497" s="7" t="s">
        <v>346</v>
      </c>
      <c r="F497" s="7" t="s">
        <v>89</v>
      </c>
      <c r="G497" s="7" t="s">
        <v>16</v>
      </c>
      <c r="H497" s="7" t="s">
        <v>2663</v>
      </c>
      <c r="I497" s="9">
        <v>1258.7773999999999</v>
      </c>
      <c r="J497" s="7">
        <v>5</v>
      </c>
      <c r="K497" s="11">
        <v>2E-3</v>
      </c>
      <c r="L497" s="9">
        <v>375.77739999999898</v>
      </c>
      <c r="M497" s="7" t="s">
        <v>32</v>
      </c>
      <c r="N497" t="str">
        <v>Normal Order</v>
      </c>
    </row>
    <row r="498" spans="1:14">
      <c r="A498" s="7" t="s">
        <v>937</v>
      </c>
      <c r="B498" s="8">
        <v>42223</v>
      </c>
      <c r="C498" s="8">
        <v>42228</v>
      </c>
      <c r="D498" s="7" t="s">
        <v>938</v>
      </c>
      <c r="E498" s="7" t="s">
        <v>701</v>
      </c>
      <c r="F498" s="7" t="s">
        <v>106</v>
      </c>
      <c r="G498" s="7" t="s">
        <v>28</v>
      </c>
      <c r="H498" s="7" t="s">
        <v>2662</v>
      </c>
      <c r="I498" s="9"/>
      <c r="J498" s="7">
        <v>7</v>
      </c>
      <c r="K498" s="11">
        <v>0.2</v>
      </c>
      <c r="L498" s="9">
        <v>290.59800000000001</v>
      </c>
      <c r="M498" s="7" t="s">
        <v>17</v>
      </c>
      <c r="N498" t="str">
        <v>Bulk Order</v>
      </c>
    </row>
    <row r="499" spans="1:14">
      <c r="A499" s="7" t="s">
        <v>939</v>
      </c>
      <c r="B499" s="8">
        <v>41891</v>
      </c>
      <c r="C499" s="7"/>
      <c r="D499" s="7"/>
      <c r="E499" s="7" t="s">
        <v>239</v>
      </c>
      <c r="F499" s="7" t="s">
        <v>132</v>
      </c>
      <c r="G499" s="7" t="s">
        <v>16</v>
      </c>
      <c r="H499" s="7" t="s">
        <v>2657</v>
      </c>
      <c r="I499" s="9">
        <v>1482.39</v>
      </c>
      <c r="J499" s="7">
        <v>6</v>
      </c>
      <c r="K499" s="11">
        <v>0.35</v>
      </c>
      <c r="L499" s="9">
        <v>68.31</v>
      </c>
      <c r="M499" s="7" t="s">
        <v>32</v>
      </c>
      <c r="N499" t="str">
        <v>Bulk Order</v>
      </c>
    </row>
    <row r="500" spans="1:14">
      <c r="A500" s="7" t="s">
        <v>940</v>
      </c>
      <c r="B500" s="8">
        <v>42255</v>
      </c>
      <c r="C500" s="8">
        <v>42258</v>
      </c>
      <c r="D500" s="7" t="s">
        <v>941</v>
      </c>
      <c r="E500" s="7" t="s">
        <v>92</v>
      </c>
      <c r="F500" s="7" t="s">
        <v>89</v>
      </c>
      <c r="G500" s="7" t="s">
        <v>16</v>
      </c>
      <c r="H500" s="7" t="s">
        <v>2655</v>
      </c>
      <c r="I500" s="9">
        <v>1274.7</v>
      </c>
      <c r="J500" s="7">
        <v>3</v>
      </c>
      <c r="K500" s="11">
        <v>0</v>
      </c>
      <c r="L500" s="9">
        <v>293.16000000000003</v>
      </c>
      <c r="M500" s="7" t="s">
        <v>750</v>
      </c>
      <c r="N500" t="str">
        <v>Normal Order</v>
      </c>
    </row>
    <row r="501" spans="1:14">
      <c r="A501" s="7" t="s">
        <v>845</v>
      </c>
      <c r="B501" s="8">
        <v>41585</v>
      </c>
      <c r="C501" s="8">
        <v>41619</v>
      </c>
      <c r="D501" s="7" t="s">
        <v>503</v>
      </c>
      <c r="E501" s="7" t="s">
        <v>35</v>
      </c>
      <c r="F501" s="7" t="s">
        <v>36</v>
      </c>
      <c r="G501" s="7" t="s">
        <v>154</v>
      </c>
      <c r="H501" s="7" t="s">
        <v>2657</v>
      </c>
      <c r="I501" s="9">
        <v>84.784000000000006</v>
      </c>
      <c r="J501" s="7"/>
      <c r="K501" s="11">
        <v>0.2</v>
      </c>
      <c r="L501" s="9">
        <v>-16.956800000000001</v>
      </c>
      <c r="M501" s="7" t="s">
        <v>17</v>
      </c>
      <c r="N501" t="str">
        <v>Normal Order</v>
      </c>
    </row>
    <row r="502" spans="1:14">
      <c r="A502" s="7" t="s">
        <v>942</v>
      </c>
      <c r="B502" s="8">
        <v>41564</v>
      </c>
      <c r="C502" s="8">
        <v>41568</v>
      </c>
      <c r="D502" s="7" t="s">
        <v>382</v>
      </c>
      <c r="E502" s="7" t="s">
        <v>558</v>
      </c>
      <c r="F502" s="7" t="s">
        <v>111</v>
      </c>
      <c r="G502" s="7" t="s">
        <v>28</v>
      </c>
      <c r="H502" s="7" t="s">
        <v>2656</v>
      </c>
      <c r="I502" s="9">
        <v>2818.0799999999899</v>
      </c>
      <c r="J502" s="7">
        <v>9</v>
      </c>
      <c r="K502" s="11">
        <v>0</v>
      </c>
      <c r="L502" s="9">
        <v>225.35999999999899</v>
      </c>
      <c r="M502" s="7" t="s">
        <v>943</v>
      </c>
      <c r="N502" t="str">
        <v>Bulk Order</v>
      </c>
    </row>
    <row r="503" spans="1:14">
      <c r="A503" s="7" t="s">
        <v>944</v>
      </c>
      <c r="B503" s="8">
        <v>42052</v>
      </c>
      <c r="C503" s="8">
        <v>42053</v>
      </c>
      <c r="D503" s="7" t="s">
        <v>945</v>
      </c>
      <c r="E503" s="7" t="s">
        <v>239</v>
      </c>
      <c r="F503" s="7" t="s">
        <v>132</v>
      </c>
      <c r="G503" s="7" t="s">
        <v>28</v>
      </c>
      <c r="H503" s="7" t="s">
        <v>2655</v>
      </c>
      <c r="I503" s="9">
        <v>1046.24999999999</v>
      </c>
      <c r="J503" s="7">
        <v>3</v>
      </c>
      <c r="K503" s="11">
        <v>0.25</v>
      </c>
      <c r="L503" s="9">
        <v>-111.599999999999</v>
      </c>
      <c r="M503" s="7" t="s">
        <v>32</v>
      </c>
      <c r="N503" t="str">
        <v>Normal Order</v>
      </c>
    </row>
    <row r="504" spans="1:14">
      <c r="A504" s="7" t="s">
        <v>946</v>
      </c>
      <c r="B504" s="8">
        <v>41328</v>
      </c>
      <c r="C504" s="8">
        <v>41333</v>
      </c>
      <c r="D504" s="7" t="s">
        <v>947</v>
      </c>
      <c r="E504" s="7" t="s">
        <v>105</v>
      </c>
      <c r="F504" s="7" t="s">
        <v>106</v>
      </c>
      <c r="G504" s="7" t="s">
        <v>16</v>
      </c>
      <c r="H504" s="7" t="s">
        <v>2655</v>
      </c>
      <c r="I504" s="9">
        <v>3187.2</v>
      </c>
      <c r="J504" s="7">
        <v>5</v>
      </c>
      <c r="K504" s="11">
        <v>0</v>
      </c>
      <c r="L504" s="9">
        <v>541.79999999999995</v>
      </c>
      <c r="M504" s="7" t="s">
        <v>17</v>
      </c>
      <c r="N504" t="str">
        <v>Normal Order</v>
      </c>
    </row>
    <row r="505" spans="1:14">
      <c r="A505" s="7" t="s">
        <v>948</v>
      </c>
      <c r="B505" s="7"/>
      <c r="C505" s="8">
        <v>41618</v>
      </c>
      <c r="D505" s="7" t="s">
        <v>949</v>
      </c>
      <c r="E505" s="7" t="s">
        <v>950</v>
      </c>
      <c r="F505" s="7" t="s">
        <v>15</v>
      </c>
      <c r="G505" s="7" t="s">
        <v>28</v>
      </c>
      <c r="H505" s="7" t="s">
        <v>2655</v>
      </c>
      <c r="I505" s="9">
        <v>4099.6799999999903</v>
      </c>
      <c r="J505" s="7">
        <v>10</v>
      </c>
      <c r="K505" s="11">
        <v>0.1</v>
      </c>
      <c r="L505" s="9">
        <v>956.58</v>
      </c>
      <c r="M505" s="7" t="s">
        <v>17</v>
      </c>
      <c r="N505" t="str">
        <v>Bulk Order</v>
      </c>
    </row>
    <row r="506" spans="1:14">
      <c r="A506" s="7" t="s">
        <v>951</v>
      </c>
      <c r="B506" s="8">
        <v>41620</v>
      </c>
      <c r="C506" s="8">
        <v>41622</v>
      </c>
      <c r="D506" s="7" t="s">
        <v>952</v>
      </c>
      <c r="E506" s="7" t="s">
        <v>58</v>
      </c>
      <c r="F506" s="7" t="s">
        <v>81</v>
      </c>
      <c r="G506" s="7" t="s">
        <v>39</v>
      </c>
      <c r="H506" s="7" t="s">
        <v>2656</v>
      </c>
      <c r="I506" s="9">
        <v>703.35</v>
      </c>
      <c r="J506" s="7">
        <v>5</v>
      </c>
      <c r="K506" s="11">
        <v>0</v>
      </c>
      <c r="L506" s="9">
        <v>260.099999999999</v>
      </c>
      <c r="M506" s="7" t="s">
        <v>23</v>
      </c>
      <c r="N506" t="str">
        <v>Normal Order</v>
      </c>
    </row>
    <row r="507" spans="1:14">
      <c r="A507" s="7" t="s">
        <v>953</v>
      </c>
      <c r="B507" s="8">
        <v>42171</v>
      </c>
      <c r="C507" s="8">
        <v>42176</v>
      </c>
      <c r="D507" s="7" t="s">
        <v>954</v>
      </c>
      <c r="E507" s="7" t="s">
        <v>14</v>
      </c>
      <c r="F507" s="7" t="s">
        <v>15</v>
      </c>
      <c r="G507" s="7" t="s">
        <v>16</v>
      </c>
      <c r="H507" s="7" t="s">
        <v>2655</v>
      </c>
      <c r="I507" s="9">
        <v>2293.4879999999998</v>
      </c>
      <c r="J507" s="7">
        <v>8</v>
      </c>
      <c r="K507" s="11">
        <v>0.1</v>
      </c>
      <c r="L507" s="9">
        <v>509.56799999999998</v>
      </c>
      <c r="M507" s="7" t="s">
        <v>32</v>
      </c>
      <c r="N507" t="str">
        <v>Bulk Order</v>
      </c>
    </row>
    <row r="508" spans="1:14">
      <c r="A508" s="7" t="s">
        <v>955</v>
      </c>
      <c r="B508" s="8">
        <v>41628</v>
      </c>
      <c r="C508" s="8">
        <v>41630</v>
      </c>
      <c r="D508" s="7" t="s">
        <v>956</v>
      </c>
      <c r="E508" s="7" t="s">
        <v>62</v>
      </c>
      <c r="F508" s="7" t="s">
        <v>63</v>
      </c>
      <c r="G508" s="7" t="s">
        <v>212</v>
      </c>
      <c r="H508" s="7" t="s">
        <v>2664</v>
      </c>
      <c r="I508" s="9">
        <v>1238.6115</v>
      </c>
      <c r="J508" s="7"/>
      <c r="K508" s="11">
        <v>0.15</v>
      </c>
      <c r="L508" s="9">
        <v>14.4314999999999</v>
      </c>
      <c r="M508" s="7" t="s">
        <v>32</v>
      </c>
      <c r="N508" t="str">
        <v>Normal Order</v>
      </c>
    </row>
    <row r="509" spans="1:14">
      <c r="A509" s="7" t="s">
        <v>957</v>
      </c>
      <c r="B509" s="8">
        <v>42137</v>
      </c>
      <c r="C509" s="8">
        <v>42141</v>
      </c>
      <c r="D509" s="7" t="s">
        <v>958</v>
      </c>
      <c r="E509" s="7" t="s">
        <v>88</v>
      </c>
      <c r="F509" s="7" t="s">
        <v>89</v>
      </c>
      <c r="G509" s="7" t="s">
        <v>28</v>
      </c>
      <c r="H509" s="7" t="s">
        <v>2657</v>
      </c>
      <c r="I509" s="9">
        <v>1715.05599999999</v>
      </c>
      <c r="J509" s="7">
        <v>7</v>
      </c>
      <c r="K509" s="11">
        <v>0.2</v>
      </c>
      <c r="L509" s="9">
        <v>300.07600000000002</v>
      </c>
      <c r="M509" s="7" t="s">
        <v>32</v>
      </c>
      <c r="N509" t="str">
        <v>Bulk Order</v>
      </c>
    </row>
    <row r="510" spans="1:14">
      <c r="A510" s="7"/>
      <c r="B510" s="8">
        <v>42220</v>
      </c>
      <c r="C510" s="8">
        <v>42224</v>
      </c>
      <c r="D510" s="7" t="s">
        <v>503</v>
      </c>
      <c r="E510" s="7" t="s">
        <v>35</v>
      </c>
      <c r="F510" s="7" t="s">
        <v>36</v>
      </c>
      <c r="G510" s="7" t="s">
        <v>16</v>
      </c>
      <c r="H510" s="7" t="s">
        <v>2662</v>
      </c>
      <c r="I510" s="9">
        <v>39.816000000000003</v>
      </c>
      <c r="J510" s="7">
        <v>3</v>
      </c>
      <c r="K510" s="11">
        <v>0.2</v>
      </c>
      <c r="L510" s="9"/>
      <c r="M510" s="7" t="s">
        <v>32</v>
      </c>
      <c r="N510" t="str">
        <v>Normal Order</v>
      </c>
    </row>
    <row r="511" spans="1:14">
      <c r="A511" s="7" t="s">
        <v>959</v>
      </c>
      <c r="B511" s="8">
        <v>42315</v>
      </c>
      <c r="C511" s="8">
        <v>42319</v>
      </c>
      <c r="D511" s="7" t="s">
        <v>960</v>
      </c>
      <c r="E511" s="7" t="s">
        <v>14</v>
      </c>
      <c r="F511" s="7" t="s">
        <v>15</v>
      </c>
      <c r="G511" s="7" t="s">
        <v>28</v>
      </c>
      <c r="H511" s="7" t="s">
        <v>2655</v>
      </c>
      <c r="I511" s="9"/>
      <c r="J511" s="7">
        <v>6</v>
      </c>
      <c r="K511" s="11">
        <v>0</v>
      </c>
      <c r="L511" s="9">
        <v>852.479999999999</v>
      </c>
      <c r="M511" s="7" t="s">
        <v>32</v>
      </c>
      <c r="N511" t="str">
        <v>Bulk Order</v>
      </c>
    </row>
    <row r="512" spans="1:14">
      <c r="A512" s="7" t="s">
        <v>961</v>
      </c>
      <c r="B512" s="8">
        <v>41800</v>
      </c>
      <c r="C512" s="8">
        <v>41804</v>
      </c>
      <c r="D512" s="7" t="s">
        <v>962</v>
      </c>
      <c r="E512" s="7"/>
      <c r="F512" s="7" t="s">
        <v>68</v>
      </c>
      <c r="G512" s="7" t="s">
        <v>39</v>
      </c>
      <c r="H512" s="7" t="s">
        <v>2660</v>
      </c>
      <c r="I512" s="9">
        <v>3399.66</v>
      </c>
      <c r="J512" s="7">
        <v>12</v>
      </c>
      <c r="K512" s="11">
        <v>0.5</v>
      </c>
      <c r="L512" s="9">
        <v>-3059.8199999999902</v>
      </c>
      <c r="M512" s="7" t="s">
        <v>17</v>
      </c>
      <c r="N512" t="str">
        <v>Bulk Order</v>
      </c>
    </row>
    <row r="513" spans="1:14">
      <c r="A513" s="7" t="s">
        <v>963</v>
      </c>
      <c r="B513" s="8">
        <v>41404</v>
      </c>
      <c r="C513" s="8">
        <v>41406</v>
      </c>
      <c r="D513" s="7" t="s">
        <v>372</v>
      </c>
      <c r="E513" s="7" t="s">
        <v>105</v>
      </c>
      <c r="F513" s="7" t="s">
        <v>106</v>
      </c>
      <c r="G513" s="7" t="s">
        <v>16</v>
      </c>
      <c r="H513" s="7" t="s">
        <v>2655</v>
      </c>
      <c r="I513" s="9">
        <v>1607.76</v>
      </c>
      <c r="J513" s="7"/>
      <c r="K513" s="11"/>
      <c r="L513" s="9">
        <v>482.22</v>
      </c>
      <c r="M513" s="7" t="s">
        <v>32</v>
      </c>
      <c r="N513" t="str">
        <v>Normal Order</v>
      </c>
    </row>
    <row r="514" spans="1:14">
      <c r="A514" s="7" t="s">
        <v>964</v>
      </c>
      <c r="B514" s="8">
        <v>41895</v>
      </c>
      <c r="C514" s="8">
        <v>41895</v>
      </c>
      <c r="D514" s="7" t="s">
        <v>965</v>
      </c>
      <c r="E514" s="7" t="s">
        <v>105</v>
      </c>
      <c r="F514" s="7" t="s">
        <v>106</v>
      </c>
      <c r="G514" s="7" t="s">
        <v>16</v>
      </c>
      <c r="H514" s="7" t="s">
        <v>2661</v>
      </c>
      <c r="I514" s="9">
        <v>840.15</v>
      </c>
      <c r="J514" s="7">
        <v>5</v>
      </c>
      <c r="K514" s="11">
        <v>0</v>
      </c>
      <c r="L514" s="9">
        <v>260.39999999999998</v>
      </c>
      <c r="M514" s="7" t="s">
        <v>23</v>
      </c>
      <c r="N514" t="str">
        <v>Normal Order</v>
      </c>
    </row>
    <row r="515" spans="1:14">
      <c r="A515" s="7" t="s">
        <v>966</v>
      </c>
      <c r="B515" s="8">
        <v>41845</v>
      </c>
      <c r="C515" s="10">
        <v>41848</v>
      </c>
      <c r="D515" s="7" t="s">
        <v>967</v>
      </c>
      <c r="E515" s="7" t="s">
        <v>58</v>
      </c>
      <c r="F515" s="7" t="s">
        <v>81</v>
      </c>
      <c r="G515" s="7" t="s">
        <v>28</v>
      </c>
      <c r="H515" s="7" t="s">
        <v>2662</v>
      </c>
      <c r="I515" s="9">
        <v>1236.33</v>
      </c>
      <c r="J515" s="7">
        <v>3</v>
      </c>
      <c r="K515" s="11">
        <v>0</v>
      </c>
      <c r="L515" s="9">
        <v>519.21</v>
      </c>
      <c r="M515" s="7" t="s">
        <v>17</v>
      </c>
      <c r="N515" t="str">
        <v>Normal Order</v>
      </c>
    </row>
    <row r="516" spans="1:14">
      <c r="A516" s="7" t="s">
        <v>968</v>
      </c>
      <c r="B516" s="8">
        <v>42288</v>
      </c>
      <c r="C516" s="8">
        <v>42291</v>
      </c>
      <c r="D516" s="7" t="s">
        <v>969</v>
      </c>
      <c r="E516" s="7" t="s">
        <v>105</v>
      </c>
      <c r="F516" s="7" t="s">
        <v>970</v>
      </c>
      <c r="G516" s="7" t="s">
        <v>99</v>
      </c>
      <c r="H516" s="7" t="s">
        <v>2656</v>
      </c>
      <c r="I516" s="9">
        <v>2488.56</v>
      </c>
      <c r="J516" s="7">
        <v>8</v>
      </c>
      <c r="K516" s="11">
        <v>0</v>
      </c>
      <c r="L516" s="9">
        <v>348.24</v>
      </c>
      <c r="M516" s="7" t="s">
        <v>32</v>
      </c>
      <c r="N516" t="str">
        <v>Bulk Order</v>
      </c>
    </row>
    <row r="517" spans="1:14">
      <c r="A517" s="7" t="s">
        <v>971</v>
      </c>
      <c r="B517" s="8">
        <v>41234</v>
      </c>
      <c r="C517" s="8">
        <v>41237</v>
      </c>
      <c r="D517" s="7" t="s">
        <v>914</v>
      </c>
      <c r="E517" s="7" t="s">
        <v>110</v>
      </c>
      <c r="F517" s="7" t="s">
        <v>111</v>
      </c>
      <c r="G517" s="7" t="s">
        <v>39</v>
      </c>
      <c r="H517" s="7" t="s">
        <v>2663</v>
      </c>
      <c r="I517" s="9">
        <v>1124.2559999999901</v>
      </c>
      <c r="J517" s="7">
        <v>7</v>
      </c>
      <c r="K517" s="11">
        <v>0.2</v>
      </c>
      <c r="L517" s="9">
        <v>252.89599999999899</v>
      </c>
      <c r="M517" s="7" t="s">
        <v>23</v>
      </c>
      <c r="N517" t="str">
        <v>Bulk Order</v>
      </c>
    </row>
    <row r="518" spans="1:14">
      <c r="A518" s="7" t="s">
        <v>845</v>
      </c>
      <c r="B518" s="8">
        <v>41585</v>
      </c>
      <c r="C518" s="8">
        <v>41590</v>
      </c>
      <c r="D518" s="7" t="s">
        <v>503</v>
      </c>
      <c r="E518" s="7" t="s">
        <v>35</v>
      </c>
      <c r="F518" s="7" t="s">
        <v>36</v>
      </c>
      <c r="G518" s="7" t="s">
        <v>28</v>
      </c>
      <c r="H518" s="7" t="s">
        <v>2661</v>
      </c>
      <c r="I518" s="9">
        <v>64.959999999999994</v>
      </c>
      <c r="J518" s="7">
        <v>5</v>
      </c>
      <c r="K518" s="11">
        <v>0.6</v>
      </c>
      <c r="L518" s="9">
        <v>-84.447999999999993</v>
      </c>
      <c r="M518" s="7" t="s">
        <v>17</v>
      </c>
      <c r="N518" t="str">
        <v>Normal Order</v>
      </c>
    </row>
    <row r="519" spans="1:14">
      <c r="A519" s="7" t="s">
        <v>972</v>
      </c>
      <c r="B519" s="8">
        <v>42302</v>
      </c>
      <c r="C519" s="8">
        <v>42302</v>
      </c>
      <c r="D519" s="7" t="s">
        <v>545</v>
      </c>
      <c r="E519" s="7" t="s">
        <v>88</v>
      </c>
      <c r="F519" s="7" t="s">
        <v>89</v>
      </c>
      <c r="G519" s="7" t="s">
        <v>28</v>
      </c>
      <c r="H519" s="7" t="s">
        <v>2661</v>
      </c>
      <c r="I519" s="9">
        <v>726.72</v>
      </c>
      <c r="J519" s="7">
        <v>3</v>
      </c>
      <c r="K519" s="11"/>
      <c r="L519" s="9">
        <v>-165.589264177258</v>
      </c>
      <c r="M519" s="7" t="s">
        <v>23</v>
      </c>
      <c r="N519" t="str">
        <v>Normal Order</v>
      </c>
    </row>
    <row r="520" spans="1:14">
      <c r="A520" s="7" t="s">
        <v>973</v>
      </c>
      <c r="B520" s="8">
        <v>41672</v>
      </c>
      <c r="C520" s="8">
        <v>41677</v>
      </c>
      <c r="D520" s="7" t="s">
        <v>974</v>
      </c>
      <c r="E520" s="7" t="s">
        <v>35</v>
      </c>
      <c r="F520" s="7" t="s">
        <v>102</v>
      </c>
      <c r="G520" s="7" t="s">
        <v>39</v>
      </c>
      <c r="H520" s="7" t="s">
        <v>2662</v>
      </c>
      <c r="I520" s="9">
        <v>117.96</v>
      </c>
      <c r="J520" s="7">
        <v>2</v>
      </c>
      <c r="K520" s="11">
        <v>0</v>
      </c>
      <c r="L520" s="9">
        <v>5.8979999999999899</v>
      </c>
      <c r="M520" s="7" t="s">
        <v>17</v>
      </c>
      <c r="N520" t="str">
        <v>Normal Order</v>
      </c>
    </row>
    <row r="521" spans="1:14">
      <c r="A521" s="7" t="s">
        <v>975</v>
      </c>
      <c r="B521" s="8">
        <v>41926</v>
      </c>
      <c r="C521" s="8">
        <v>41927</v>
      </c>
      <c r="D521" s="7" t="s">
        <v>976</v>
      </c>
      <c r="E521" s="7" t="s">
        <v>977</v>
      </c>
      <c r="F521" s="7" t="s">
        <v>75</v>
      </c>
      <c r="G521" s="7" t="s">
        <v>16</v>
      </c>
      <c r="H521" s="7" t="s">
        <v>2658</v>
      </c>
      <c r="I521" s="9">
        <v>1519.92</v>
      </c>
      <c r="J521" s="7">
        <v>6</v>
      </c>
      <c r="K521" s="11">
        <v>0</v>
      </c>
      <c r="L521" s="9">
        <v>5856.54436626399</v>
      </c>
      <c r="M521" s="7" t="s">
        <v>978</v>
      </c>
      <c r="N521" t="str">
        <v>Bulk Order</v>
      </c>
    </row>
    <row r="522" spans="1:14">
      <c r="A522" s="7" t="s">
        <v>979</v>
      </c>
      <c r="B522" s="8">
        <v>40953</v>
      </c>
      <c r="C522" s="8">
        <v>40955</v>
      </c>
      <c r="D522" s="7" t="s">
        <v>980</v>
      </c>
      <c r="E522" s="7" t="s">
        <v>452</v>
      </c>
      <c r="F522" s="7" t="s">
        <v>78</v>
      </c>
      <c r="G522" s="7" t="s">
        <v>16</v>
      </c>
      <c r="H522" s="7" t="s">
        <v>2657</v>
      </c>
      <c r="I522" s="9" t="s">
        <v>152</v>
      </c>
      <c r="J522" s="7"/>
      <c r="K522" s="11">
        <v>0</v>
      </c>
      <c r="L522" s="9">
        <v>319.79999999999899</v>
      </c>
      <c r="M522" s="7" t="s">
        <v>23</v>
      </c>
      <c r="N522" t="str">
        <v>Normal Order</v>
      </c>
    </row>
    <row r="523" spans="1:14">
      <c r="A523" s="7" t="s">
        <v>147</v>
      </c>
      <c r="B523" s="8">
        <v>42125</v>
      </c>
      <c r="C523" s="8">
        <v>42125</v>
      </c>
      <c r="D523" s="7" t="s">
        <v>148</v>
      </c>
      <c r="E523" s="7" t="s">
        <v>105</v>
      </c>
      <c r="F523" s="7" t="s">
        <v>106</v>
      </c>
      <c r="G523" s="7" t="s">
        <v>28</v>
      </c>
      <c r="H523" s="7" t="s">
        <v>2662</v>
      </c>
      <c r="I523" s="9">
        <v>723.3</v>
      </c>
      <c r="J523" s="7">
        <v>5</v>
      </c>
      <c r="K523" s="11">
        <v>0</v>
      </c>
      <c r="L523" s="9">
        <v>122.85</v>
      </c>
      <c r="M523" s="7" t="s">
        <v>23</v>
      </c>
      <c r="N523" t="str">
        <v>Normal Order</v>
      </c>
    </row>
    <row r="524" spans="1:14">
      <c r="A524" s="7" t="s">
        <v>981</v>
      </c>
      <c r="B524" s="8">
        <v>40978</v>
      </c>
      <c r="C524" s="8">
        <v>40980</v>
      </c>
      <c r="D524" s="7" t="s">
        <v>982</v>
      </c>
      <c r="E524" s="7" t="s">
        <v>157</v>
      </c>
      <c r="F524" s="7" t="s">
        <v>106</v>
      </c>
      <c r="G524" s="7" t="s">
        <v>16</v>
      </c>
      <c r="H524" s="7" t="s">
        <v>2657</v>
      </c>
      <c r="I524" s="9">
        <v>642.68999999999903</v>
      </c>
      <c r="J524" s="7">
        <v>1</v>
      </c>
      <c r="K524" s="11">
        <v>0</v>
      </c>
      <c r="L524" s="9">
        <v>244.2</v>
      </c>
      <c r="M524" s="7" t="s">
        <v>23</v>
      </c>
      <c r="N524" t="str">
        <v>Normal Order</v>
      </c>
    </row>
    <row r="525" spans="1:14">
      <c r="A525" s="7" t="s">
        <v>983</v>
      </c>
      <c r="B525" s="7"/>
      <c r="C525" s="10">
        <v>41494</v>
      </c>
      <c r="D525" s="7" t="s">
        <v>967</v>
      </c>
      <c r="E525" s="7" t="s">
        <v>14</v>
      </c>
      <c r="F525" s="7" t="s">
        <v>15</v>
      </c>
      <c r="G525" s="7" t="s">
        <v>28</v>
      </c>
      <c r="H525" s="7" t="s">
        <v>2655</v>
      </c>
      <c r="I525" s="9">
        <v>2619</v>
      </c>
      <c r="J525" s="7">
        <v>8</v>
      </c>
      <c r="K525" s="11">
        <v>0.1</v>
      </c>
      <c r="L525" s="9">
        <v>232.68</v>
      </c>
      <c r="M525" s="7" t="s">
        <v>32</v>
      </c>
      <c r="N525" t="str">
        <v>Bulk Order</v>
      </c>
    </row>
    <row r="526" spans="1:14">
      <c r="A526" s="7" t="s">
        <v>984</v>
      </c>
      <c r="B526" s="8">
        <v>41628</v>
      </c>
      <c r="C526" s="8">
        <v>41631</v>
      </c>
      <c r="D526" s="7" t="s">
        <v>958</v>
      </c>
      <c r="E526" s="7" t="s">
        <v>701</v>
      </c>
      <c r="F526" s="7" t="s">
        <v>106</v>
      </c>
      <c r="G526" s="7" t="s">
        <v>39</v>
      </c>
      <c r="H526" s="7" t="s">
        <v>2656</v>
      </c>
      <c r="I526" s="9">
        <v>1704.87</v>
      </c>
      <c r="J526" s="7">
        <v>6</v>
      </c>
      <c r="K526" s="11">
        <v>0.5</v>
      </c>
      <c r="L526" s="9">
        <v>-1023.02999999999</v>
      </c>
      <c r="M526" s="7" t="s">
        <v>396</v>
      </c>
      <c r="N526" t="str">
        <v>Bulk Order</v>
      </c>
    </row>
    <row r="527" spans="1:14">
      <c r="A527" s="7" t="s">
        <v>985</v>
      </c>
      <c r="B527" s="8">
        <v>41489</v>
      </c>
      <c r="C527" s="8">
        <v>41493</v>
      </c>
      <c r="D527" s="7" t="s">
        <v>289</v>
      </c>
      <c r="E527" s="7" t="s">
        <v>67</v>
      </c>
      <c r="F527" s="7" t="s">
        <v>68</v>
      </c>
      <c r="G527" s="7" t="s">
        <v>16</v>
      </c>
      <c r="H527" s="7" t="s">
        <v>2663</v>
      </c>
      <c r="I527" s="9">
        <v>1715.9099999999901</v>
      </c>
      <c r="J527" s="7">
        <v>7</v>
      </c>
      <c r="K527" s="11">
        <v>0</v>
      </c>
      <c r="L527" s="9">
        <v>583.38</v>
      </c>
      <c r="M527" s="7" t="s">
        <v>342</v>
      </c>
      <c r="N527" t="str">
        <v>Bulk Order</v>
      </c>
    </row>
    <row r="528" spans="1:14">
      <c r="A528" s="7" t="s">
        <v>986</v>
      </c>
      <c r="B528" s="8">
        <v>41445</v>
      </c>
      <c r="C528" s="8">
        <v>41447</v>
      </c>
      <c r="D528" s="7" t="s">
        <v>534</v>
      </c>
      <c r="E528" s="7" t="s">
        <v>58</v>
      </c>
      <c r="F528" s="7" t="s">
        <v>81</v>
      </c>
      <c r="G528" s="7" t="s">
        <v>16</v>
      </c>
      <c r="H528" s="7" t="s">
        <v>2661</v>
      </c>
      <c r="I528" s="9" t="s">
        <v>987</v>
      </c>
      <c r="J528" s="7">
        <v>2</v>
      </c>
      <c r="K528" s="11">
        <v>0</v>
      </c>
      <c r="L528" s="9">
        <v>460.08</v>
      </c>
      <c r="M528" s="7" t="s">
        <v>32</v>
      </c>
      <c r="N528" t="str">
        <v>Normal Order</v>
      </c>
    </row>
    <row r="529" spans="1:14">
      <c r="A529" s="7" t="s">
        <v>988</v>
      </c>
      <c r="B529" s="8">
        <v>41678</v>
      </c>
      <c r="C529" s="8">
        <v>41679</v>
      </c>
      <c r="D529" s="7" t="s">
        <v>167</v>
      </c>
      <c r="E529" s="7" t="s">
        <v>221</v>
      </c>
      <c r="F529" s="7" t="s">
        <v>222</v>
      </c>
      <c r="G529" s="7" t="s">
        <v>99</v>
      </c>
      <c r="H529" s="7" t="s">
        <v>2657</v>
      </c>
      <c r="I529" s="9">
        <v>1234.56</v>
      </c>
      <c r="J529" s="7"/>
      <c r="K529" s="11">
        <v>0</v>
      </c>
      <c r="L529" s="9">
        <v>246.84</v>
      </c>
      <c r="M529" s="7" t="s">
        <v>23</v>
      </c>
      <c r="N529" t="str">
        <v>Normal Order</v>
      </c>
    </row>
    <row r="530" spans="1:14">
      <c r="A530" s="7" t="s">
        <v>989</v>
      </c>
      <c r="B530" s="8">
        <v>41179</v>
      </c>
      <c r="C530" s="8">
        <v>41184</v>
      </c>
      <c r="D530" s="7" t="s">
        <v>990</v>
      </c>
      <c r="E530" s="7" t="s">
        <v>695</v>
      </c>
      <c r="F530" s="7" t="s">
        <v>63</v>
      </c>
      <c r="G530" s="7" t="s">
        <v>39</v>
      </c>
      <c r="H530" s="7" t="s">
        <v>2656</v>
      </c>
      <c r="I530" s="9">
        <v>4195.2</v>
      </c>
      <c r="J530" s="7"/>
      <c r="K530" s="11">
        <v>0</v>
      </c>
      <c r="L530" s="9">
        <v>839.04</v>
      </c>
      <c r="M530" s="7" t="s">
        <v>17</v>
      </c>
      <c r="N530" t="str">
        <v>Normal Order</v>
      </c>
    </row>
    <row r="531" spans="1:14">
      <c r="A531" s="7" t="s">
        <v>991</v>
      </c>
      <c r="B531" s="8">
        <v>41448</v>
      </c>
      <c r="C531" s="8">
        <v>41451</v>
      </c>
      <c r="D531" s="7" t="s">
        <v>992</v>
      </c>
      <c r="E531" s="7" t="s">
        <v>62</v>
      </c>
      <c r="F531" s="7" t="s">
        <v>63</v>
      </c>
      <c r="G531" s="7" t="s">
        <v>28</v>
      </c>
      <c r="H531" s="7" t="s">
        <v>2661</v>
      </c>
      <c r="I531" s="9">
        <v>1765.39499999999</v>
      </c>
      <c r="J531" s="7">
        <v>5</v>
      </c>
      <c r="K531" s="11"/>
      <c r="L531" s="9">
        <v>-98.204999999999899</v>
      </c>
      <c r="M531" s="7" t="s">
        <v>32</v>
      </c>
      <c r="N531" t="str">
        <v>Normal Order</v>
      </c>
    </row>
    <row r="532" spans="1:14">
      <c r="A532" s="7" t="s">
        <v>993</v>
      </c>
      <c r="B532" s="8">
        <v>41993</v>
      </c>
      <c r="C532" s="8">
        <v>41995</v>
      </c>
      <c r="D532" s="7" t="s">
        <v>13</v>
      </c>
      <c r="E532" s="7" t="s">
        <v>265</v>
      </c>
      <c r="F532" s="7" t="s">
        <v>53</v>
      </c>
      <c r="G532" s="7" t="s">
        <v>28</v>
      </c>
      <c r="H532" s="7" t="s">
        <v>2661</v>
      </c>
      <c r="I532" s="9">
        <v>1480.3679999999999</v>
      </c>
      <c r="J532" s="7">
        <v>3</v>
      </c>
      <c r="K532" s="11">
        <v>0.2</v>
      </c>
      <c r="L532" s="9">
        <v>333.048</v>
      </c>
      <c r="M532" s="7" t="s">
        <v>17</v>
      </c>
      <c r="N532" t="str">
        <v>Normal Order</v>
      </c>
    </row>
    <row r="533" spans="1:14">
      <c r="A533" s="7" t="s">
        <v>258</v>
      </c>
      <c r="B533" s="8">
        <v>41558</v>
      </c>
      <c r="C533" s="8">
        <v>41561</v>
      </c>
      <c r="D533" s="7" t="s">
        <v>259</v>
      </c>
      <c r="E533" s="7" t="s">
        <v>88</v>
      </c>
      <c r="F533" s="7" t="s">
        <v>89</v>
      </c>
      <c r="G533" s="7" t="s">
        <v>16</v>
      </c>
      <c r="H533" s="7" t="s">
        <v>2663</v>
      </c>
      <c r="I533" s="9">
        <v>2968.97999999999</v>
      </c>
      <c r="J533" s="7">
        <v>7</v>
      </c>
      <c r="K533" s="11">
        <v>0</v>
      </c>
      <c r="L533" s="9">
        <v>89.039999999999907</v>
      </c>
      <c r="M533" s="7" t="s">
        <v>17</v>
      </c>
      <c r="N533" t="str">
        <v>Bulk Order</v>
      </c>
    </row>
    <row r="534" spans="1:14">
      <c r="A534" s="7" t="s">
        <v>994</v>
      </c>
      <c r="B534" s="8">
        <v>41149</v>
      </c>
      <c r="C534" s="8">
        <v>41156</v>
      </c>
      <c r="D534" s="7" t="s">
        <v>995</v>
      </c>
      <c r="E534" s="7" t="s">
        <v>14</v>
      </c>
      <c r="F534" s="7" t="s">
        <v>15</v>
      </c>
      <c r="G534" s="7" t="s">
        <v>28</v>
      </c>
      <c r="H534" s="7" t="s">
        <v>2658</v>
      </c>
      <c r="I534" s="9">
        <v>2301.1379999999999</v>
      </c>
      <c r="J534" s="7">
        <v>7</v>
      </c>
      <c r="K534" s="11"/>
      <c r="L534" s="9">
        <v>-953.44200000000001</v>
      </c>
      <c r="M534" s="7" t="s">
        <v>65</v>
      </c>
      <c r="N534" t="str">
        <v>Bulk Order</v>
      </c>
    </row>
    <row r="535" spans="1:14">
      <c r="A535" s="7" t="s">
        <v>996</v>
      </c>
      <c r="B535" s="8">
        <v>42203</v>
      </c>
      <c r="C535" s="8">
        <v>42203</v>
      </c>
      <c r="D535" s="7" t="s">
        <v>997</v>
      </c>
      <c r="E535" s="7" t="s">
        <v>245</v>
      </c>
      <c r="F535" s="7" t="s">
        <v>63</v>
      </c>
      <c r="G535" s="7" t="s">
        <v>28</v>
      </c>
      <c r="H535" s="7" t="s">
        <v>2656</v>
      </c>
      <c r="I535" s="9">
        <v>1100.52</v>
      </c>
      <c r="J535" s="7">
        <v>3</v>
      </c>
      <c r="K535" s="11">
        <v>0</v>
      </c>
      <c r="L535" s="9">
        <v>352.07999999999902</v>
      </c>
      <c r="M535" s="7" t="s">
        <v>23</v>
      </c>
      <c r="N535" t="str">
        <v>Normal Order</v>
      </c>
    </row>
    <row r="536" spans="1:14">
      <c r="A536" s="7" t="s">
        <v>998</v>
      </c>
      <c r="B536" s="8">
        <v>41248</v>
      </c>
      <c r="C536" s="8">
        <v>41255</v>
      </c>
      <c r="D536" s="7" t="s">
        <v>999</v>
      </c>
      <c r="E536" s="7" t="s">
        <v>58</v>
      </c>
      <c r="F536" s="7" t="s">
        <v>81</v>
      </c>
      <c r="G536" s="7" t="s">
        <v>16</v>
      </c>
      <c r="H536" s="7" t="s">
        <v>2658</v>
      </c>
      <c r="I536" s="9">
        <v>2518.9499999999998</v>
      </c>
      <c r="J536" s="7">
        <v>7</v>
      </c>
      <c r="K536" s="11">
        <v>0</v>
      </c>
      <c r="L536" s="9">
        <v>3063.7564411559201</v>
      </c>
      <c r="M536" s="7" t="s">
        <v>17</v>
      </c>
      <c r="N536" t="str">
        <v>Bulk Order</v>
      </c>
    </row>
    <row r="537" spans="1:14">
      <c r="A537" s="7" t="s">
        <v>1000</v>
      </c>
      <c r="B537" s="8">
        <v>42110</v>
      </c>
      <c r="C537" s="7"/>
      <c r="D537" s="7" t="s">
        <v>739</v>
      </c>
      <c r="E537" s="7" t="s">
        <v>84</v>
      </c>
      <c r="F537" s="7" t="s">
        <v>754</v>
      </c>
      <c r="G537" s="7" t="s">
        <v>28</v>
      </c>
      <c r="H537" s="7" t="s">
        <v>2663</v>
      </c>
      <c r="I537" s="9">
        <v>996.3</v>
      </c>
      <c r="J537" s="7">
        <v>5</v>
      </c>
      <c r="K537" s="11">
        <v>0</v>
      </c>
      <c r="L537" s="9">
        <v>119.55</v>
      </c>
      <c r="M537" s="7" t="s">
        <v>23</v>
      </c>
      <c r="N537" t="str">
        <v>Normal Order</v>
      </c>
    </row>
    <row r="538" spans="1:14">
      <c r="A538" s="7" t="s">
        <v>912</v>
      </c>
      <c r="B538" s="8">
        <v>42267</v>
      </c>
      <c r="C538" s="7"/>
      <c r="D538" s="7" t="s">
        <v>503</v>
      </c>
      <c r="E538" s="7" t="s">
        <v>35</v>
      </c>
      <c r="F538" s="7" t="s">
        <v>38</v>
      </c>
      <c r="G538" s="7" t="s">
        <v>39</v>
      </c>
      <c r="H538" s="7" t="s">
        <v>2657</v>
      </c>
      <c r="I538" s="9">
        <v>18.18</v>
      </c>
      <c r="J538" s="7">
        <v>4</v>
      </c>
      <c r="K538" s="11">
        <v>0.7</v>
      </c>
      <c r="L538" s="9">
        <v>-13.938000000000001</v>
      </c>
      <c r="M538" s="7" t="s">
        <v>65</v>
      </c>
      <c r="N538" t="str">
        <v>Normal Order</v>
      </c>
    </row>
    <row r="539" spans="1:14">
      <c r="A539" s="7" t="s">
        <v>1001</v>
      </c>
      <c r="B539" s="8">
        <v>41153</v>
      </c>
      <c r="C539" s="7" t="s">
        <v>1002</v>
      </c>
      <c r="D539" s="7" t="s">
        <v>1003</v>
      </c>
      <c r="E539" s="7" t="s">
        <v>245</v>
      </c>
      <c r="F539" s="7" t="s">
        <v>63</v>
      </c>
      <c r="G539" s="7" t="s">
        <v>28</v>
      </c>
      <c r="H539" s="7" t="s">
        <v>2663</v>
      </c>
      <c r="I539" s="9">
        <v>922.94999999999902</v>
      </c>
      <c r="J539" s="7">
        <v>1</v>
      </c>
      <c r="K539" s="11">
        <v>0</v>
      </c>
      <c r="L539" s="9">
        <v>341.49</v>
      </c>
      <c r="M539" s="7" t="s">
        <v>23</v>
      </c>
      <c r="N539" t="str">
        <v>Normal Order</v>
      </c>
    </row>
    <row r="540" spans="1:14">
      <c r="A540" s="7" t="s">
        <v>1004</v>
      </c>
      <c r="B540" s="8">
        <v>41852</v>
      </c>
      <c r="C540" s="8">
        <v>41853</v>
      </c>
      <c r="D540" s="7" t="s">
        <v>1005</v>
      </c>
      <c r="E540" s="7" t="s">
        <v>62</v>
      </c>
      <c r="F540" s="7" t="s">
        <v>63</v>
      </c>
      <c r="G540" s="7" t="s">
        <v>28</v>
      </c>
      <c r="H540" s="7" t="s">
        <v>2662</v>
      </c>
      <c r="I540" s="9">
        <v>1850.4449999999999</v>
      </c>
      <c r="J540" s="7">
        <v>5</v>
      </c>
      <c r="K540" s="11">
        <v>0.1</v>
      </c>
      <c r="L540" s="9">
        <v>184.995</v>
      </c>
      <c r="M540" s="7" t="s">
        <v>32</v>
      </c>
      <c r="N540" t="str">
        <v>Normal Order</v>
      </c>
    </row>
    <row r="541" spans="1:14">
      <c r="A541" s="7" t="s">
        <v>520</v>
      </c>
      <c r="B541" s="8">
        <v>42259</v>
      </c>
      <c r="C541" s="8">
        <v>42261</v>
      </c>
      <c r="D541" s="7" t="s">
        <v>172</v>
      </c>
      <c r="E541" s="7"/>
      <c r="F541" s="7" t="s">
        <v>89</v>
      </c>
      <c r="G541" s="7" t="s">
        <v>28</v>
      </c>
      <c r="H541" s="7" t="s">
        <v>2658</v>
      </c>
      <c r="I541" s="9">
        <v>664.56</v>
      </c>
      <c r="J541" s="7">
        <v>6</v>
      </c>
      <c r="K541" s="11">
        <v>0</v>
      </c>
      <c r="L541" s="9">
        <v>6.6</v>
      </c>
      <c r="M541" s="7" t="s">
        <v>23</v>
      </c>
      <c r="N541" t="str">
        <v>Bulk Order</v>
      </c>
    </row>
    <row r="542" spans="1:14">
      <c r="A542" s="7" t="s">
        <v>1006</v>
      </c>
      <c r="B542" s="8">
        <v>42222</v>
      </c>
      <c r="C542" s="8">
        <v>42223</v>
      </c>
      <c r="D542" s="7" t="s">
        <v>1007</v>
      </c>
      <c r="E542" s="7"/>
      <c r="F542" s="7" t="s">
        <v>63</v>
      </c>
      <c r="G542" s="7" t="s">
        <v>1008</v>
      </c>
      <c r="H542" s="7" t="s">
        <v>2663</v>
      </c>
      <c r="I542" s="9">
        <v>1547.1</v>
      </c>
      <c r="J542" s="7">
        <v>6</v>
      </c>
      <c r="K542" s="11">
        <v>0</v>
      </c>
      <c r="L542" s="9">
        <v>340.2</v>
      </c>
      <c r="M542" s="7" t="s">
        <v>23</v>
      </c>
      <c r="N542" t="str">
        <v>Bulk Order</v>
      </c>
    </row>
    <row r="543" spans="1:14">
      <c r="A543" s="7" t="s">
        <v>1009</v>
      </c>
      <c r="B543" s="8">
        <v>42328</v>
      </c>
      <c r="C543" s="8">
        <v>42331</v>
      </c>
      <c r="D543" s="7" t="s">
        <v>326</v>
      </c>
      <c r="E543" s="7" t="s">
        <v>730</v>
      </c>
      <c r="F543" s="7" t="s">
        <v>132</v>
      </c>
      <c r="G543" s="7" t="s">
        <v>39</v>
      </c>
      <c r="H543" s="7" t="s">
        <v>2663</v>
      </c>
      <c r="I543" s="9">
        <v>2190.95099999999</v>
      </c>
      <c r="J543" s="7">
        <v>5</v>
      </c>
      <c r="K543" s="11">
        <v>0.17</v>
      </c>
      <c r="L543" s="9">
        <v>316.70100000000002</v>
      </c>
      <c r="M543" s="7" t="s">
        <v>17</v>
      </c>
      <c r="N543" t="str">
        <v>Normal Order</v>
      </c>
    </row>
    <row r="544" spans="1:14">
      <c r="A544" s="7" t="s">
        <v>1010</v>
      </c>
      <c r="B544" s="8">
        <v>41398</v>
      </c>
      <c r="C544" s="8">
        <v>41403</v>
      </c>
      <c r="D544" s="7" t="s">
        <v>1011</v>
      </c>
      <c r="E544" s="7" t="s">
        <v>88</v>
      </c>
      <c r="F544" s="7" t="s">
        <v>89</v>
      </c>
      <c r="G544" s="7" t="s">
        <v>39</v>
      </c>
      <c r="H544" s="7" t="s">
        <v>2654</v>
      </c>
      <c r="I544" s="9">
        <v>3242.88</v>
      </c>
      <c r="J544" s="7">
        <v>9</v>
      </c>
      <c r="K544" s="11">
        <v>0</v>
      </c>
      <c r="L544" s="9">
        <v>324.18</v>
      </c>
      <c r="M544" s="7" t="s">
        <v>17</v>
      </c>
      <c r="N544" t="str">
        <v>Bulk Order</v>
      </c>
    </row>
    <row r="545" spans="1:14">
      <c r="A545" s="7"/>
      <c r="B545" s="8">
        <v>41513</v>
      </c>
      <c r="C545" s="8">
        <v>41517</v>
      </c>
      <c r="D545" s="7" t="s">
        <v>1012</v>
      </c>
      <c r="E545" s="7" t="s">
        <v>221</v>
      </c>
      <c r="F545" s="7" t="s">
        <v>222</v>
      </c>
      <c r="G545" s="7" t="s">
        <v>16</v>
      </c>
      <c r="H545" s="7" t="s">
        <v>2661</v>
      </c>
      <c r="I545" s="9">
        <v>2544.6</v>
      </c>
      <c r="J545" s="7">
        <v>4</v>
      </c>
      <c r="K545" s="11">
        <v>0</v>
      </c>
      <c r="L545" s="9">
        <v>1246.8</v>
      </c>
      <c r="M545" s="7" t="s">
        <v>32</v>
      </c>
      <c r="N545" t="str">
        <v>Normal Order</v>
      </c>
    </row>
    <row r="546" spans="1:14">
      <c r="A546" s="7" t="s">
        <v>1013</v>
      </c>
      <c r="B546" s="8">
        <v>41997</v>
      </c>
      <c r="C546" s="8">
        <v>42002</v>
      </c>
      <c r="D546" s="7" t="s">
        <v>1014</v>
      </c>
      <c r="E546" s="7" t="s">
        <v>193</v>
      </c>
      <c r="F546" s="7" t="s">
        <v>78</v>
      </c>
      <c r="G546" s="7" t="s">
        <v>16</v>
      </c>
      <c r="H546" s="7" t="s">
        <v>2661</v>
      </c>
      <c r="I546" s="9">
        <v>2605.56</v>
      </c>
      <c r="J546" s="7">
        <v>4</v>
      </c>
      <c r="K546" s="11">
        <v>0</v>
      </c>
      <c r="L546" s="9">
        <v>573.12</v>
      </c>
      <c r="M546" s="7" t="s">
        <v>17</v>
      </c>
      <c r="N546" t="str">
        <v>Normal Order</v>
      </c>
    </row>
    <row r="547" spans="1:14">
      <c r="A547" s="7" t="s">
        <v>1015</v>
      </c>
      <c r="B547" s="8">
        <v>41668</v>
      </c>
      <c r="C547" s="8">
        <v>41670</v>
      </c>
      <c r="D547" s="7" t="s">
        <v>382</v>
      </c>
      <c r="E547" s="7" t="s">
        <v>186</v>
      </c>
      <c r="F547" s="7" t="s">
        <v>68</v>
      </c>
      <c r="G547" s="7" t="s">
        <v>39</v>
      </c>
      <c r="H547" s="7" t="s">
        <v>2656</v>
      </c>
      <c r="I547" s="9">
        <v>1271.4569999999901</v>
      </c>
      <c r="J547" s="7">
        <v>11</v>
      </c>
      <c r="K547" s="11">
        <v>0.1</v>
      </c>
      <c r="L547" s="9">
        <v>-127.412999999999</v>
      </c>
      <c r="M547" s="7" t="s">
        <v>32</v>
      </c>
      <c r="N547" t="str">
        <v>Bulk Order</v>
      </c>
    </row>
    <row r="548" spans="1:14">
      <c r="A548" s="7" t="s">
        <v>935</v>
      </c>
      <c r="B548" s="8">
        <v>42139</v>
      </c>
      <c r="C548" s="8">
        <v>42139</v>
      </c>
      <c r="D548" s="7" t="s">
        <v>503</v>
      </c>
      <c r="E548" s="7" t="s">
        <v>1016</v>
      </c>
      <c r="F548" s="7" t="s">
        <v>438</v>
      </c>
      <c r="G548" s="7" t="s">
        <v>39</v>
      </c>
      <c r="H548" s="7" t="s">
        <v>2656</v>
      </c>
      <c r="I548" s="9">
        <v>34.019999999999897</v>
      </c>
      <c r="J548" s="7">
        <v>2</v>
      </c>
      <c r="K548" s="11">
        <v>0</v>
      </c>
      <c r="L548" s="9">
        <v>14.28</v>
      </c>
      <c r="M548" s="7" t="s">
        <v>773</v>
      </c>
      <c r="N548" t="str">
        <v>Normal Order</v>
      </c>
    </row>
    <row r="549" spans="1:14">
      <c r="A549" s="7" t="s">
        <v>46</v>
      </c>
      <c r="B549" s="8">
        <v>41269</v>
      </c>
      <c r="C549" s="8">
        <v>41271</v>
      </c>
      <c r="D549" s="7"/>
      <c r="E549" s="7" t="s">
        <v>48</v>
      </c>
      <c r="F549" s="7" t="s">
        <v>49</v>
      </c>
      <c r="G549" s="7" t="s">
        <v>1017</v>
      </c>
      <c r="H549" s="7" t="s">
        <v>2664</v>
      </c>
      <c r="I549" s="9">
        <v>1207.56</v>
      </c>
      <c r="J549" s="7"/>
      <c r="K549" s="11">
        <v>0</v>
      </c>
      <c r="L549" s="9">
        <v>0</v>
      </c>
      <c r="M549" s="7" t="s">
        <v>23</v>
      </c>
      <c r="N549" t="str">
        <v>Normal Order</v>
      </c>
    </row>
    <row r="550" spans="1:14">
      <c r="A550" s="7" t="s">
        <v>1018</v>
      </c>
      <c r="B550" s="8">
        <v>41608</v>
      </c>
      <c r="C550" s="8">
        <v>41612</v>
      </c>
      <c r="D550" s="7" t="s">
        <v>1019</v>
      </c>
      <c r="E550" s="7" t="s">
        <v>644</v>
      </c>
      <c r="F550" s="7" t="s">
        <v>132</v>
      </c>
      <c r="G550" s="7" t="s">
        <v>28</v>
      </c>
      <c r="H550" s="7" t="s">
        <v>2658</v>
      </c>
      <c r="I550" s="9">
        <v>2051.1</v>
      </c>
      <c r="J550" s="7">
        <v>5</v>
      </c>
      <c r="K550" s="11">
        <v>0</v>
      </c>
      <c r="L550" s="9">
        <v>40.949999999999903</v>
      </c>
      <c r="M550" s="7" t="s">
        <v>32</v>
      </c>
      <c r="N550" t="str">
        <v>Normal Order</v>
      </c>
    </row>
    <row r="551" spans="1:14">
      <c r="A551" s="7" t="s">
        <v>1020</v>
      </c>
      <c r="B551" s="8">
        <v>41780</v>
      </c>
      <c r="C551" s="8">
        <v>41782</v>
      </c>
      <c r="D551" s="7" t="s">
        <v>1021</v>
      </c>
      <c r="E551" s="7" t="s">
        <v>92</v>
      </c>
      <c r="F551" s="7" t="s">
        <v>89</v>
      </c>
      <c r="G551" s="7" t="s">
        <v>16</v>
      </c>
      <c r="H551" s="7" t="s">
        <v>2662</v>
      </c>
      <c r="I551" s="9">
        <v>2544.2399999999998</v>
      </c>
      <c r="J551" s="7">
        <v>6</v>
      </c>
      <c r="K551" s="11">
        <v>0</v>
      </c>
      <c r="L551" s="9">
        <v>992.15999999999894</v>
      </c>
      <c r="M551" s="7" t="s">
        <v>32</v>
      </c>
      <c r="N551" t="str">
        <v>Bulk Order</v>
      </c>
    </row>
    <row r="552" spans="1:14">
      <c r="A552" s="7" t="s">
        <v>845</v>
      </c>
      <c r="B552" s="8">
        <v>41585</v>
      </c>
      <c r="C552" s="8">
        <v>41590</v>
      </c>
      <c r="D552" s="7" t="s">
        <v>503</v>
      </c>
      <c r="E552" s="7" t="s">
        <v>35</v>
      </c>
      <c r="F552" s="7" t="s">
        <v>36</v>
      </c>
      <c r="G552" s="7" t="s">
        <v>154</v>
      </c>
      <c r="H552" s="7" t="s">
        <v>2663</v>
      </c>
      <c r="I552" s="9">
        <v>23.64</v>
      </c>
      <c r="J552" s="7">
        <v>3</v>
      </c>
      <c r="K552" s="11">
        <v>0.2</v>
      </c>
      <c r="L552" s="9">
        <v>5.319</v>
      </c>
      <c r="M552" s="7" t="s">
        <v>1022</v>
      </c>
      <c r="N552" t="str">
        <v>Normal Order</v>
      </c>
    </row>
    <row r="553" spans="1:14">
      <c r="A553" s="7"/>
      <c r="B553" s="8">
        <v>42182</v>
      </c>
      <c r="C553" s="7" t="s">
        <v>1023</v>
      </c>
      <c r="D553" s="7" t="s">
        <v>976</v>
      </c>
      <c r="E553" s="7" t="s">
        <v>84</v>
      </c>
      <c r="F553" s="7" t="s">
        <v>85</v>
      </c>
      <c r="G553" s="7" t="s">
        <v>28</v>
      </c>
      <c r="H553" s="7" t="s">
        <v>2656</v>
      </c>
      <c r="I553" s="9">
        <v>1314.45</v>
      </c>
      <c r="J553" s="7">
        <v>3</v>
      </c>
      <c r="K553" s="11">
        <v>0</v>
      </c>
      <c r="L553" s="9">
        <v>341.73</v>
      </c>
      <c r="M553" s="7" t="s">
        <v>17</v>
      </c>
      <c r="N553" t="str">
        <v>Normal Order</v>
      </c>
    </row>
    <row r="554" spans="1:14">
      <c r="A554" s="7" t="s">
        <v>912</v>
      </c>
      <c r="B554" s="8">
        <v>42267</v>
      </c>
      <c r="C554" s="8">
        <v>42273</v>
      </c>
      <c r="D554" s="7" t="s">
        <v>503</v>
      </c>
      <c r="E554" s="7" t="s">
        <v>35</v>
      </c>
      <c r="F554" s="7" t="s">
        <v>38</v>
      </c>
      <c r="G554" s="7" t="s">
        <v>39</v>
      </c>
      <c r="H554" s="7" t="s">
        <v>2658</v>
      </c>
      <c r="I554" s="9">
        <v>12.624000000000001</v>
      </c>
      <c r="J554" s="7"/>
      <c r="K554" s="11">
        <v>0.2</v>
      </c>
      <c r="L554" s="9">
        <v>-2.5247999999999999</v>
      </c>
      <c r="M554" s="7" t="s">
        <v>65</v>
      </c>
      <c r="N554" t="str">
        <v>Normal Order</v>
      </c>
    </row>
    <row r="555" spans="1:14">
      <c r="A555" s="7" t="s">
        <v>1024</v>
      </c>
      <c r="B555" s="8">
        <v>41845</v>
      </c>
      <c r="C555" s="7"/>
      <c r="D555" s="7" t="s">
        <v>1025</v>
      </c>
      <c r="E555" s="7"/>
      <c r="F555" s="7" t="s">
        <v>1026</v>
      </c>
      <c r="G555" s="7" t="s">
        <v>28</v>
      </c>
      <c r="H555" s="7" t="s">
        <v>2663</v>
      </c>
      <c r="I555" s="9">
        <v>980.31999999999903</v>
      </c>
      <c r="J555" s="7">
        <v>2</v>
      </c>
      <c r="K555" s="11">
        <v>0.2</v>
      </c>
      <c r="L555" s="9">
        <v>110.28</v>
      </c>
      <c r="M555" s="7" t="s">
        <v>17</v>
      </c>
      <c r="N555" t="str">
        <v>Normal Order</v>
      </c>
    </row>
    <row r="556" spans="1:14">
      <c r="A556" s="7" t="s">
        <v>821</v>
      </c>
      <c r="B556" s="8">
        <v>42328</v>
      </c>
      <c r="C556" s="8">
        <v>42332</v>
      </c>
      <c r="D556" s="7" t="s">
        <v>503</v>
      </c>
      <c r="E556" s="7" t="s">
        <v>35</v>
      </c>
      <c r="F556" s="7" t="s">
        <v>142</v>
      </c>
      <c r="G556" s="7" t="s">
        <v>39</v>
      </c>
      <c r="H556" s="7" t="s">
        <v>2662</v>
      </c>
      <c r="I556" s="9">
        <v>21.96</v>
      </c>
      <c r="J556" s="7">
        <v>2</v>
      </c>
      <c r="K556" s="11">
        <v>0</v>
      </c>
      <c r="L556" s="9">
        <v>10.760400000000001</v>
      </c>
      <c r="M556" s="7" t="s">
        <v>17</v>
      </c>
      <c r="N556" t="str">
        <v>Normal Order</v>
      </c>
    </row>
    <row r="557" spans="1:14">
      <c r="A557" s="7" t="s">
        <v>1027</v>
      </c>
      <c r="B557" s="8">
        <v>41208</v>
      </c>
      <c r="C557" s="8">
        <v>41210</v>
      </c>
      <c r="D557" s="7" t="s">
        <v>1028</v>
      </c>
      <c r="E557" s="7" t="s">
        <v>58</v>
      </c>
      <c r="F557" s="7" t="s">
        <v>81</v>
      </c>
      <c r="G557" s="7" t="s">
        <v>28</v>
      </c>
      <c r="H557" s="7" t="s">
        <v>2658</v>
      </c>
      <c r="I557" s="9">
        <v>2470.5</v>
      </c>
      <c r="J557" s="7">
        <v>6</v>
      </c>
      <c r="K557" s="11">
        <v>0</v>
      </c>
      <c r="L557" s="9">
        <v>518.76</v>
      </c>
      <c r="M557" s="7" t="s">
        <v>216</v>
      </c>
      <c r="N557" t="str">
        <v>Bulk Order</v>
      </c>
    </row>
    <row r="558" spans="1:14">
      <c r="A558" s="7" t="s">
        <v>845</v>
      </c>
      <c r="B558" s="8">
        <v>41585</v>
      </c>
      <c r="C558" s="8">
        <v>41619</v>
      </c>
      <c r="D558" s="7" t="s">
        <v>503</v>
      </c>
      <c r="E558" s="7" t="s">
        <v>35</v>
      </c>
      <c r="F558" s="7" t="s">
        <v>36</v>
      </c>
      <c r="G558" s="7" t="s">
        <v>39</v>
      </c>
      <c r="H558" s="7" t="s">
        <v>2657</v>
      </c>
      <c r="I558" s="9">
        <v>32.059999999999903</v>
      </c>
      <c r="J558" s="7">
        <v>10</v>
      </c>
      <c r="K558" s="11">
        <v>0.8</v>
      </c>
      <c r="L558" s="9">
        <v>-51.295999999999999</v>
      </c>
      <c r="M558" s="7" t="s">
        <v>17</v>
      </c>
      <c r="N558" t="str">
        <v>Bulk Order</v>
      </c>
    </row>
    <row r="559" spans="1:14">
      <c r="A559" s="7" t="s">
        <v>1029</v>
      </c>
      <c r="B559" s="8">
        <v>41634</v>
      </c>
      <c r="C559" s="8">
        <v>41635</v>
      </c>
      <c r="D559" s="7" t="s">
        <v>1030</v>
      </c>
      <c r="E559" s="7" t="s">
        <v>27</v>
      </c>
      <c r="F559" s="7" t="s">
        <v>15</v>
      </c>
      <c r="G559" s="7" t="s">
        <v>28</v>
      </c>
      <c r="H559" s="7" t="s">
        <v>2663</v>
      </c>
      <c r="I559" s="9"/>
      <c r="J559" s="7">
        <v>2</v>
      </c>
      <c r="K559" s="11">
        <v>0</v>
      </c>
      <c r="L559" s="9">
        <v>105.24</v>
      </c>
      <c r="M559" s="7" t="s">
        <v>23</v>
      </c>
      <c r="N559" t="str">
        <v>Normal Order</v>
      </c>
    </row>
    <row r="560" spans="1:14">
      <c r="A560" s="7" t="s">
        <v>829</v>
      </c>
      <c r="B560" s="8">
        <v>41262</v>
      </c>
      <c r="C560" s="8">
        <v>41265</v>
      </c>
      <c r="D560" s="7" t="s">
        <v>503</v>
      </c>
      <c r="E560" s="7" t="s">
        <v>35</v>
      </c>
      <c r="F560" s="7" t="s">
        <v>1031</v>
      </c>
      <c r="G560" s="7" t="s">
        <v>39</v>
      </c>
      <c r="H560" s="7" t="s">
        <v>2657</v>
      </c>
      <c r="I560" s="9">
        <v>3.69</v>
      </c>
      <c r="J560" s="7">
        <v>1</v>
      </c>
      <c r="K560" s="11">
        <v>0</v>
      </c>
      <c r="L560" s="9">
        <v>1.7343</v>
      </c>
      <c r="M560" s="7" t="s">
        <v>17</v>
      </c>
      <c r="N560" t="str">
        <v>Normal Order</v>
      </c>
    </row>
    <row r="561" spans="1:14">
      <c r="A561" s="7" t="s">
        <v>1032</v>
      </c>
      <c r="B561" s="8">
        <v>41401</v>
      </c>
      <c r="C561" s="10">
        <v>41552</v>
      </c>
      <c r="D561" s="7" t="s">
        <v>1033</v>
      </c>
      <c r="E561" s="7" t="s">
        <v>27</v>
      </c>
      <c r="F561" s="7" t="s">
        <v>15</v>
      </c>
      <c r="G561" s="7" t="s">
        <v>16</v>
      </c>
      <c r="H561" s="7" t="s">
        <v>2663</v>
      </c>
      <c r="I561" s="9">
        <v>1917.36</v>
      </c>
      <c r="J561" s="7">
        <v>6</v>
      </c>
      <c r="K561" s="11">
        <v>0</v>
      </c>
      <c r="L561" s="9">
        <v>747.72</v>
      </c>
      <c r="M561" s="7" t="s">
        <v>17</v>
      </c>
      <c r="N561" t="str">
        <v>Bulk Order</v>
      </c>
    </row>
    <row r="562" spans="1:14">
      <c r="A562" s="7" t="s">
        <v>1034</v>
      </c>
      <c r="B562" s="8">
        <v>40916</v>
      </c>
      <c r="C562" s="8">
        <v>40920</v>
      </c>
      <c r="D562" s="7" t="s">
        <v>1035</v>
      </c>
      <c r="E562" s="7" t="s">
        <v>58</v>
      </c>
      <c r="F562" s="7" t="s">
        <v>81</v>
      </c>
      <c r="G562" s="7" t="s">
        <v>16</v>
      </c>
      <c r="H562" s="7" t="s">
        <v>2658</v>
      </c>
      <c r="I562" s="9">
        <v>2173.5</v>
      </c>
      <c r="J562" s="7">
        <v>7</v>
      </c>
      <c r="K562" s="11">
        <v>0</v>
      </c>
      <c r="L562" s="9">
        <v>260.82</v>
      </c>
      <c r="M562" s="7" t="s">
        <v>17</v>
      </c>
      <c r="N562" t="str">
        <v>Bulk Order</v>
      </c>
    </row>
    <row r="563" spans="1:14">
      <c r="A563" s="7" t="s">
        <v>1036</v>
      </c>
      <c r="B563" s="8">
        <v>41992</v>
      </c>
      <c r="C563" s="8">
        <v>41995</v>
      </c>
      <c r="D563" s="7" t="s">
        <v>1037</v>
      </c>
      <c r="E563" s="7"/>
      <c r="F563" s="7" t="s">
        <v>38</v>
      </c>
      <c r="G563" s="7" t="s">
        <v>28</v>
      </c>
      <c r="H563" s="7" t="s">
        <v>2657</v>
      </c>
      <c r="I563" s="9">
        <v>377.45</v>
      </c>
      <c r="J563" s="7">
        <v>5</v>
      </c>
      <c r="K563" s="11">
        <v>0.5</v>
      </c>
      <c r="L563" s="9">
        <v>-264.21499999999997</v>
      </c>
      <c r="M563" s="7" t="s">
        <v>17</v>
      </c>
      <c r="N563" t="str">
        <v>Normal Order</v>
      </c>
    </row>
    <row r="564" spans="1:14">
      <c r="A564" s="7" t="s">
        <v>1038</v>
      </c>
      <c r="B564" s="8">
        <v>42103</v>
      </c>
      <c r="C564" s="8">
        <v>42107</v>
      </c>
      <c r="D564" s="7" t="s">
        <v>1037</v>
      </c>
      <c r="E564" s="7" t="s">
        <v>35</v>
      </c>
      <c r="F564" s="7" t="s">
        <v>38</v>
      </c>
      <c r="G564" s="7" t="s">
        <v>39</v>
      </c>
      <c r="H564" s="7" t="s">
        <v>2662</v>
      </c>
      <c r="I564" s="9">
        <v>195.76</v>
      </c>
      <c r="J564" s="7">
        <v>4</v>
      </c>
      <c r="K564" s="11">
        <v>0</v>
      </c>
      <c r="L564" s="9">
        <v>97.88</v>
      </c>
      <c r="M564" s="7" t="s">
        <v>32</v>
      </c>
      <c r="N564" t="str">
        <v>Normal Order</v>
      </c>
    </row>
    <row r="565" spans="1:14">
      <c r="A565" s="7" t="s">
        <v>1039</v>
      </c>
      <c r="B565" s="8">
        <v>41077</v>
      </c>
      <c r="C565" s="8">
        <v>41079</v>
      </c>
      <c r="D565" s="7" t="s">
        <v>468</v>
      </c>
      <c r="E565" s="7" t="s">
        <v>186</v>
      </c>
      <c r="F565" s="7" t="s">
        <v>68</v>
      </c>
      <c r="G565" s="7" t="s">
        <v>28</v>
      </c>
      <c r="H565" s="7" t="s">
        <v>2661</v>
      </c>
      <c r="I565" s="9">
        <v>1814.25</v>
      </c>
      <c r="J565" s="7">
        <v>5</v>
      </c>
      <c r="K565" s="11">
        <v>0</v>
      </c>
      <c r="L565" s="9">
        <v>653.1</v>
      </c>
      <c r="M565" s="7" t="s">
        <v>32</v>
      </c>
      <c r="N565" t="str">
        <v>Normal Order</v>
      </c>
    </row>
    <row r="566" spans="1:14">
      <c r="A566" s="7"/>
      <c r="B566" s="8">
        <v>41283</v>
      </c>
      <c r="C566" s="8">
        <v>41284</v>
      </c>
      <c r="D566" s="7" t="s">
        <v>1040</v>
      </c>
      <c r="E566" s="7" t="s">
        <v>1041</v>
      </c>
      <c r="F566" s="7" t="s">
        <v>85</v>
      </c>
      <c r="G566" s="7" t="s">
        <v>39</v>
      </c>
      <c r="H566" s="7" t="s">
        <v>2661</v>
      </c>
      <c r="I566" s="9">
        <v>1293.67499999999</v>
      </c>
      <c r="J566" s="7">
        <v>5</v>
      </c>
      <c r="K566" s="11">
        <v>0.5</v>
      </c>
      <c r="L566" s="9">
        <v>-776.32499999999902</v>
      </c>
      <c r="M566" s="7" t="s">
        <v>23</v>
      </c>
      <c r="N566" t="str">
        <v>Normal Order</v>
      </c>
    </row>
    <row r="567" spans="1:14">
      <c r="A567" s="7" t="s">
        <v>1042</v>
      </c>
      <c r="B567" s="8">
        <v>42046</v>
      </c>
      <c r="C567" s="8">
        <v>42050</v>
      </c>
      <c r="D567" s="7" t="s">
        <v>372</v>
      </c>
      <c r="E567" s="7" t="s">
        <v>186</v>
      </c>
      <c r="F567" s="7" t="s">
        <v>68</v>
      </c>
      <c r="G567" s="7" t="s">
        <v>39</v>
      </c>
      <c r="H567" s="7" t="s">
        <v>2663</v>
      </c>
      <c r="I567" s="9">
        <v>2477.5500000000002</v>
      </c>
      <c r="J567" s="7">
        <v>5</v>
      </c>
      <c r="K567" s="11">
        <v>0</v>
      </c>
      <c r="L567" s="9"/>
      <c r="M567" s="7"/>
      <c r="N567" t="str">
        <v>Normal Order</v>
      </c>
    </row>
    <row r="568" spans="1:14">
      <c r="A568" s="7" t="s">
        <v>1043</v>
      </c>
      <c r="B568" s="8">
        <v>41107</v>
      </c>
      <c r="C568" s="8">
        <v>41107</v>
      </c>
      <c r="D568" s="7" t="s">
        <v>1037</v>
      </c>
      <c r="E568" s="7" t="s">
        <v>35</v>
      </c>
      <c r="F568" s="7" t="s">
        <v>38</v>
      </c>
      <c r="G568" s="7" t="s">
        <v>28</v>
      </c>
      <c r="H568" s="7" t="s">
        <v>2661</v>
      </c>
      <c r="I568" s="9">
        <v>259.13600000000002</v>
      </c>
      <c r="J568" s="7">
        <v>4</v>
      </c>
      <c r="K568" s="11">
        <v>0.2</v>
      </c>
      <c r="L568" s="9"/>
      <c r="M568" s="7" t="s">
        <v>342</v>
      </c>
      <c r="N568" t="str">
        <v>Normal Order</v>
      </c>
    </row>
    <row r="569" spans="1:14">
      <c r="A569" s="7" t="s">
        <v>1045</v>
      </c>
      <c r="B569" s="8">
        <v>41376</v>
      </c>
      <c r="C569" s="8">
        <v>41378</v>
      </c>
      <c r="D569" s="7" t="s">
        <v>1046</v>
      </c>
      <c r="E569" s="7" t="s">
        <v>105</v>
      </c>
      <c r="F569" s="7" t="s">
        <v>106</v>
      </c>
      <c r="G569" s="7" t="s">
        <v>16</v>
      </c>
      <c r="H569" s="7" t="s">
        <v>2661</v>
      </c>
      <c r="I569" s="9">
        <v>723.3</v>
      </c>
      <c r="J569" s="7">
        <v>2</v>
      </c>
      <c r="K569" s="11">
        <v>0</v>
      </c>
      <c r="L569" s="9">
        <v>332.7</v>
      </c>
      <c r="M569" s="7" t="s">
        <v>23</v>
      </c>
      <c r="N569" t="str">
        <v>Normal Order</v>
      </c>
    </row>
    <row r="570" spans="1:14">
      <c r="A570" s="7" t="s">
        <v>1047</v>
      </c>
      <c r="B570" s="8">
        <v>42007</v>
      </c>
      <c r="C570" s="8">
        <v>42008</v>
      </c>
      <c r="D570" s="7" t="s">
        <v>1048</v>
      </c>
      <c r="E570" s="7" t="s">
        <v>186</v>
      </c>
      <c r="F570" s="7" t="s">
        <v>68</v>
      </c>
      <c r="G570" s="7" t="s">
        <v>16</v>
      </c>
      <c r="H570" s="7" t="s">
        <v>2654</v>
      </c>
      <c r="I570" s="9">
        <v>2097.12</v>
      </c>
      <c r="J570" s="7">
        <v>8</v>
      </c>
      <c r="K570" s="11">
        <v>0</v>
      </c>
      <c r="L570" s="9">
        <v>188.64</v>
      </c>
      <c r="M570" s="7" t="s">
        <v>32</v>
      </c>
      <c r="N570" t="str">
        <v>Bulk Order</v>
      </c>
    </row>
    <row r="571" spans="1:14">
      <c r="A571" s="7" t="s">
        <v>1038</v>
      </c>
      <c r="B571" s="7" t="s">
        <v>1049</v>
      </c>
      <c r="C571" s="8">
        <v>42107</v>
      </c>
      <c r="D571" s="7" t="s">
        <v>1037</v>
      </c>
      <c r="E571" s="7" t="s">
        <v>35</v>
      </c>
      <c r="F571" s="7" t="s">
        <v>38</v>
      </c>
      <c r="G571" s="7" t="s">
        <v>39</v>
      </c>
      <c r="H571" s="7" t="s">
        <v>2657</v>
      </c>
      <c r="I571" s="9">
        <v>244.54999999999899</v>
      </c>
      <c r="J571" s="7">
        <v>5</v>
      </c>
      <c r="K571" s="11"/>
      <c r="L571" s="9">
        <v>114.938499999999</v>
      </c>
      <c r="M571" s="7" t="s">
        <v>32</v>
      </c>
      <c r="N571" t="str">
        <v>Normal Order</v>
      </c>
    </row>
    <row r="572" spans="1:14">
      <c r="A572" s="7" t="s">
        <v>1050</v>
      </c>
      <c r="B572" s="7" t="s">
        <v>1051</v>
      </c>
      <c r="C572" s="8">
        <v>42357</v>
      </c>
      <c r="D572" s="7" t="s">
        <v>1052</v>
      </c>
      <c r="E572" s="7" t="s">
        <v>542</v>
      </c>
      <c r="F572" s="7" t="s">
        <v>81</v>
      </c>
      <c r="G572" s="7" t="s">
        <v>39</v>
      </c>
      <c r="H572" s="7" t="s">
        <v>2657</v>
      </c>
      <c r="I572" s="9">
        <v>3242.88</v>
      </c>
      <c r="J572" s="7"/>
      <c r="K572" s="11">
        <v>0</v>
      </c>
      <c r="L572" s="9">
        <v>421.56</v>
      </c>
      <c r="M572" s="7" t="s">
        <v>17</v>
      </c>
      <c r="N572" t="str">
        <v>Normal Order</v>
      </c>
    </row>
    <row r="573" spans="1:14">
      <c r="A573" s="7" t="s">
        <v>1053</v>
      </c>
      <c r="B573" s="8">
        <v>42188</v>
      </c>
      <c r="C573" s="8">
        <v>42191</v>
      </c>
      <c r="D573" s="7" t="s">
        <v>1037</v>
      </c>
      <c r="E573" s="7" t="s">
        <v>35</v>
      </c>
      <c r="F573" s="7"/>
      <c r="G573" s="7" t="s">
        <v>39</v>
      </c>
      <c r="H573" s="7" t="s">
        <v>2664</v>
      </c>
      <c r="I573" s="9">
        <v>163.96</v>
      </c>
      <c r="J573" s="7">
        <v>5</v>
      </c>
      <c r="K573" s="11">
        <v>0.2</v>
      </c>
      <c r="L573" s="9">
        <v>59.435499999999998</v>
      </c>
      <c r="M573" s="7" t="s">
        <v>17</v>
      </c>
      <c r="N573" t="str">
        <v>Normal Order</v>
      </c>
    </row>
    <row r="574" spans="1:14">
      <c r="A574" s="7" t="s">
        <v>1054</v>
      </c>
      <c r="B574" s="8">
        <v>42234</v>
      </c>
      <c r="C574" s="8">
        <v>42240</v>
      </c>
      <c r="D574" s="7" t="s">
        <v>1037</v>
      </c>
      <c r="E574" s="7" t="s">
        <v>35</v>
      </c>
      <c r="F574" s="7" t="s">
        <v>142</v>
      </c>
      <c r="G574" s="7" t="s">
        <v>16</v>
      </c>
      <c r="H574" s="7" t="s">
        <v>2661</v>
      </c>
      <c r="I574" s="9">
        <v>98.16</v>
      </c>
      <c r="J574" s="7">
        <v>6</v>
      </c>
      <c r="K574" s="11">
        <v>0</v>
      </c>
      <c r="L574" s="9">
        <v>9.8159999999999901</v>
      </c>
      <c r="M574" s="7" t="s">
        <v>65</v>
      </c>
      <c r="N574" t="str">
        <v>Bulk Order</v>
      </c>
    </row>
    <row r="575" spans="1:14">
      <c r="A575" s="7" t="s">
        <v>1055</v>
      </c>
      <c r="B575" s="10">
        <v>42284</v>
      </c>
      <c r="C575" s="8">
        <v>42285</v>
      </c>
      <c r="D575" s="7"/>
      <c r="E575" s="7" t="s">
        <v>67</v>
      </c>
      <c r="F575" s="7" t="s">
        <v>68</v>
      </c>
      <c r="G575" s="7" t="s">
        <v>28</v>
      </c>
      <c r="H575" s="7" t="s">
        <v>2658</v>
      </c>
      <c r="I575" s="9"/>
      <c r="J575" s="7">
        <v>4</v>
      </c>
      <c r="K575" s="11">
        <v>0</v>
      </c>
      <c r="L575" s="9">
        <v>226.92</v>
      </c>
      <c r="M575" s="7" t="s">
        <v>23</v>
      </c>
      <c r="N575" t="str">
        <v>Normal Order</v>
      </c>
    </row>
    <row r="576" spans="1:14">
      <c r="A576" s="7" t="s">
        <v>1056</v>
      </c>
      <c r="B576" s="8">
        <v>41810</v>
      </c>
      <c r="C576" s="8">
        <v>41814</v>
      </c>
      <c r="D576" s="7" t="s">
        <v>954</v>
      </c>
      <c r="E576" s="7" t="s">
        <v>1057</v>
      </c>
      <c r="F576" s="7" t="s">
        <v>78</v>
      </c>
      <c r="G576" s="7" t="s">
        <v>39</v>
      </c>
      <c r="H576" s="7" t="s">
        <v>2659</v>
      </c>
      <c r="I576" s="9">
        <v>3955.14</v>
      </c>
      <c r="J576" s="7">
        <v>14</v>
      </c>
      <c r="K576" s="11">
        <v>0</v>
      </c>
      <c r="L576" s="9">
        <v>1383.9</v>
      </c>
      <c r="M576" s="7" t="s">
        <v>32</v>
      </c>
      <c r="N576" t="str">
        <v>Bulk Order</v>
      </c>
    </row>
    <row r="577" spans="1:14">
      <c r="A577" s="7" t="s">
        <v>1058</v>
      </c>
      <c r="B577" s="8">
        <v>42196</v>
      </c>
      <c r="C577" s="8">
        <v>42199</v>
      </c>
      <c r="D577" s="7"/>
      <c r="E577" s="7" t="s">
        <v>1059</v>
      </c>
      <c r="F577" s="7" t="s">
        <v>132</v>
      </c>
      <c r="G577" s="7" t="s">
        <v>28</v>
      </c>
      <c r="H577" s="7" t="s">
        <v>2663</v>
      </c>
      <c r="I577" s="9"/>
      <c r="J577" s="7">
        <v>6</v>
      </c>
      <c r="K577" s="11">
        <v>7.0000000000000007E-2</v>
      </c>
      <c r="L577" s="9">
        <v>231.26400000000001</v>
      </c>
      <c r="M577" s="7" t="s">
        <v>32</v>
      </c>
      <c r="N577" t="str">
        <v>Bulk Order</v>
      </c>
    </row>
    <row r="578" spans="1:14">
      <c r="A578" s="7" t="s">
        <v>1060</v>
      </c>
      <c r="B578" s="8">
        <v>42118</v>
      </c>
      <c r="C578" s="8">
        <v>42121</v>
      </c>
      <c r="D578" s="7" t="s">
        <v>1061</v>
      </c>
      <c r="E578" s="7" t="s">
        <v>20</v>
      </c>
      <c r="F578" s="7" t="s">
        <v>63</v>
      </c>
      <c r="G578" s="7" t="s">
        <v>16</v>
      </c>
      <c r="H578" s="7" t="s">
        <v>2661</v>
      </c>
      <c r="I578" s="9">
        <v>2305.2600000000002</v>
      </c>
      <c r="J578" s="7">
        <v>9</v>
      </c>
      <c r="K578" s="11">
        <v>0</v>
      </c>
      <c r="L578" s="9">
        <v>9054.2758390963409</v>
      </c>
      <c r="M578" s="7" t="s">
        <v>216</v>
      </c>
      <c r="N578" t="str">
        <v>Bulk Order</v>
      </c>
    </row>
    <row r="579" spans="1:14">
      <c r="A579" s="7" t="s">
        <v>1062</v>
      </c>
      <c r="B579" s="8">
        <v>41032</v>
      </c>
      <c r="C579" s="8">
        <v>41036</v>
      </c>
      <c r="D579" s="7" t="s">
        <v>1063</v>
      </c>
      <c r="E579" s="7" t="s">
        <v>92</v>
      </c>
      <c r="F579" s="7" t="s">
        <v>89</v>
      </c>
      <c r="G579" s="7" t="s">
        <v>28</v>
      </c>
      <c r="H579" s="7" t="s">
        <v>2663</v>
      </c>
      <c r="I579" s="9">
        <v>2833.7599999999902</v>
      </c>
      <c r="J579" s="7">
        <v>10</v>
      </c>
      <c r="K579" s="11">
        <v>0.2</v>
      </c>
      <c r="L579" s="9">
        <v>35.3599999999998</v>
      </c>
      <c r="M579" s="7" t="s">
        <v>32</v>
      </c>
      <c r="N579" t="str">
        <v>Bulk Order</v>
      </c>
    </row>
    <row r="580" spans="1:14">
      <c r="A580" s="7" t="s">
        <v>1064</v>
      </c>
      <c r="B580" s="8">
        <v>41187</v>
      </c>
      <c r="C580" s="8">
        <v>41191</v>
      </c>
      <c r="D580" s="7"/>
      <c r="E580" s="7" t="s">
        <v>105</v>
      </c>
      <c r="F580" s="7" t="s">
        <v>106</v>
      </c>
      <c r="G580" s="7" t="s">
        <v>39</v>
      </c>
      <c r="H580" s="7" t="s">
        <v>2654</v>
      </c>
      <c r="I580" s="9">
        <v>2077.3199999999902</v>
      </c>
      <c r="J580" s="7">
        <v>4</v>
      </c>
      <c r="K580" s="11">
        <v>0</v>
      </c>
      <c r="L580" s="9">
        <v>581.64</v>
      </c>
      <c r="M580" s="7" t="s">
        <v>17</v>
      </c>
      <c r="N580" t="str">
        <v>Normal Order</v>
      </c>
    </row>
    <row r="581" spans="1:14">
      <c r="A581" s="7" t="s">
        <v>1065</v>
      </c>
      <c r="B581" s="8">
        <v>42320</v>
      </c>
      <c r="C581" s="8">
        <v>42324</v>
      </c>
      <c r="D581" s="7" t="s">
        <v>1066</v>
      </c>
      <c r="E581" s="7" t="s">
        <v>558</v>
      </c>
      <c r="F581" s="7" t="s">
        <v>1067</v>
      </c>
      <c r="G581" s="7" t="s">
        <v>28</v>
      </c>
      <c r="H581" s="7" t="s">
        <v>2658</v>
      </c>
      <c r="I581" s="9">
        <v>1916.8799999999901</v>
      </c>
      <c r="J581" s="7">
        <v>7</v>
      </c>
      <c r="K581" s="11">
        <v>0</v>
      </c>
      <c r="L581" s="9">
        <v>939.26</v>
      </c>
      <c r="M581" s="7" t="s">
        <v>32</v>
      </c>
      <c r="N581" t="str">
        <v>Bulk Order</v>
      </c>
    </row>
    <row r="582" spans="1:14">
      <c r="A582" s="7" t="s">
        <v>514</v>
      </c>
      <c r="B582" s="8">
        <v>42355</v>
      </c>
      <c r="C582" s="8">
        <v>42357</v>
      </c>
      <c r="D582" s="7" t="s">
        <v>515</v>
      </c>
      <c r="E582" s="7" t="s">
        <v>200</v>
      </c>
      <c r="F582" s="7" t="s">
        <v>89</v>
      </c>
      <c r="G582" s="7" t="s">
        <v>28</v>
      </c>
      <c r="H582" s="7" t="s">
        <v>2661</v>
      </c>
      <c r="I582" s="9">
        <v>1212.5</v>
      </c>
      <c r="J582" s="7">
        <v>5</v>
      </c>
      <c r="K582" s="11">
        <v>0</v>
      </c>
      <c r="L582" s="9">
        <v>606.20000000000005</v>
      </c>
      <c r="M582" s="7" t="s">
        <v>23</v>
      </c>
      <c r="N582" t="str">
        <v>Normal Order</v>
      </c>
    </row>
    <row r="583" spans="1:14">
      <c r="A583" s="7" t="s">
        <v>1054</v>
      </c>
      <c r="B583" s="7"/>
      <c r="C583" s="8">
        <v>42240</v>
      </c>
      <c r="D583" s="7" t="s">
        <v>1037</v>
      </c>
      <c r="E583" s="7" t="s">
        <v>35</v>
      </c>
      <c r="F583" s="7" t="s">
        <v>142</v>
      </c>
      <c r="G583" s="7" t="s">
        <v>39</v>
      </c>
      <c r="H583" s="7" t="s">
        <v>2663</v>
      </c>
      <c r="I583" s="9">
        <v>102.93</v>
      </c>
      <c r="J583" s="7"/>
      <c r="K583" s="11">
        <v>0</v>
      </c>
      <c r="L583" s="9">
        <v>48.377099999999999</v>
      </c>
      <c r="M583" s="7" t="s">
        <v>65</v>
      </c>
      <c r="N583" t="str">
        <v>Normal Order</v>
      </c>
    </row>
    <row r="584" spans="1:14">
      <c r="A584" s="7" t="s">
        <v>1068</v>
      </c>
      <c r="B584" s="8">
        <v>41734</v>
      </c>
      <c r="C584" s="8">
        <v>41737</v>
      </c>
      <c r="D584" s="7" t="s">
        <v>1069</v>
      </c>
      <c r="E584" s="7" t="s">
        <v>62</v>
      </c>
      <c r="F584" s="7" t="s">
        <v>63</v>
      </c>
      <c r="G584" s="7" t="s">
        <v>16</v>
      </c>
      <c r="H584" s="7" t="s">
        <v>2663</v>
      </c>
      <c r="I584" s="9">
        <v>1622.5649999999901</v>
      </c>
      <c r="J584" s="7">
        <v>3</v>
      </c>
      <c r="K584" s="11">
        <v>0.15</v>
      </c>
      <c r="L584" s="9">
        <v>133.604999999999</v>
      </c>
      <c r="M584" s="7" t="s">
        <v>17</v>
      </c>
      <c r="N584" t="str">
        <v>Normal Order</v>
      </c>
    </row>
    <row r="585" spans="1:14">
      <c r="A585" s="7" t="s">
        <v>624</v>
      </c>
      <c r="B585" s="8">
        <v>42266</v>
      </c>
      <c r="C585" s="8">
        <v>42266</v>
      </c>
      <c r="D585" s="7" t="s">
        <v>625</v>
      </c>
      <c r="E585" s="7" t="s">
        <v>27</v>
      </c>
      <c r="F585" s="7" t="s">
        <v>15</v>
      </c>
      <c r="G585" s="7" t="s">
        <v>16</v>
      </c>
      <c r="H585" s="7" t="s">
        <v>2655</v>
      </c>
      <c r="I585" s="9">
        <v>856.44</v>
      </c>
      <c r="J585" s="7">
        <v>6</v>
      </c>
      <c r="K585" s="11">
        <v>0</v>
      </c>
      <c r="L585" s="9"/>
      <c r="M585" s="7" t="s">
        <v>23</v>
      </c>
      <c r="N585" t="str">
        <v>Bulk Order</v>
      </c>
    </row>
    <row r="586" spans="1:14">
      <c r="A586" s="7" t="s">
        <v>1036</v>
      </c>
      <c r="B586" s="8">
        <v>41992</v>
      </c>
      <c r="C586" s="8">
        <v>41995</v>
      </c>
      <c r="D586" s="7" t="s">
        <v>1037</v>
      </c>
      <c r="E586" s="7" t="s">
        <v>35</v>
      </c>
      <c r="F586" s="7" t="s">
        <v>38</v>
      </c>
      <c r="G586" s="7" t="s">
        <v>39</v>
      </c>
      <c r="H586" s="7" t="s">
        <v>2656</v>
      </c>
      <c r="I586" s="9">
        <v>45.24</v>
      </c>
      <c r="J586" s="7"/>
      <c r="K586" s="11">
        <v>0.7</v>
      </c>
      <c r="L586" s="9">
        <v>-30.159999999999901</v>
      </c>
      <c r="M586" s="7" t="s">
        <v>17</v>
      </c>
      <c r="N586" t="str">
        <v>Normal Order</v>
      </c>
    </row>
    <row r="587" spans="1:14">
      <c r="A587" s="7"/>
      <c r="B587" s="8">
        <v>42195</v>
      </c>
      <c r="C587" s="8">
        <v>42199</v>
      </c>
      <c r="D587" s="7"/>
      <c r="E587" s="7" t="s">
        <v>20</v>
      </c>
      <c r="F587" s="7" t="s">
        <v>666</v>
      </c>
      <c r="G587" s="7" t="s">
        <v>28</v>
      </c>
      <c r="H587" s="7" t="s">
        <v>2657</v>
      </c>
      <c r="I587" s="9">
        <v>1361.0429999999999</v>
      </c>
      <c r="J587" s="7">
        <v>9</v>
      </c>
      <c r="K587" s="11">
        <v>0.1</v>
      </c>
      <c r="L587" s="9">
        <v>196.53299999999899</v>
      </c>
      <c r="M587" s="7" t="s">
        <v>32</v>
      </c>
      <c r="N587" t="str">
        <v>Bulk Order</v>
      </c>
    </row>
    <row r="588" spans="1:14">
      <c r="A588" s="7" t="s">
        <v>1070</v>
      </c>
      <c r="B588" s="8">
        <v>42283</v>
      </c>
      <c r="C588" s="8">
        <v>42289</v>
      </c>
      <c r="D588" s="7" t="s">
        <v>1071</v>
      </c>
      <c r="E588" s="7" t="s">
        <v>58</v>
      </c>
      <c r="F588" s="7" t="s">
        <v>81</v>
      </c>
      <c r="G588" s="7" t="s">
        <v>16</v>
      </c>
      <c r="H588" s="7" t="s">
        <v>2658</v>
      </c>
      <c r="I588" s="9">
        <v>3391.74</v>
      </c>
      <c r="J588" s="7">
        <v>9</v>
      </c>
      <c r="K588" s="11">
        <v>0</v>
      </c>
      <c r="L588" s="9">
        <v>271.08</v>
      </c>
      <c r="M588" s="7" t="s">
        <v>17</v>
      </c>
      <c r="N588" t="str">
        <v>Bulk Order</v>
      </c>
    </row>
    <row r="589" spans="1:14">
      <c r="A589" s="7" t="s">
        <v>1072</v>
      </c>
      <c r="B589" s="8">
        <v>41791</v>
      </c>
      <c r="C589" s="8">
        <v>41797</v>
      </c>
      <c r="D589" s="7" t="s">
        <v>1073</v>
      </c>
      <c r="E589" s="7" t="s">
        <v>110</v>
      </c>
      <c r="F589" s="7" t="s">
        <v>111</v>
      </c>
      <c r="G589" s="7" t="s">
        <v>16</v>
      </c>
      <c r="H589" s="7" t="s">
        <v>2663</v>
      </c>
      <c r="I589" s="9"/>
      <c r="J589" s="7">
        <v>7</v>
      </c>
      <c r="K589" s="11">
        <v>0.2</v>
      </c>
      <c r="L589" s="9"/>
      <c r="M589" s="7" t="s">
        <v>65</v>
      </c>
      <c r="N589" t="str">
        <v>Bulk Order</v>
      </c>
    </row>
    <row r="590" spans="1:14">
      <c r="A590" s="7" t="s">
        <v>1074</v>
      </c>
      <c r="B590" s="8">
        <v>41506</v>
      </c>
      <c r="C590" s="8">
        <v>41508</v>
      </c>
      <c r="D590" s="7" t="s">
        <v>1075</v>
      </c>
      <c r="E590" s="7" t="s">
        <v>425</v>
      </c>
      <c r="F590" s="7" t="s">
        <v>426</v>
      </c>
      <c r="G590" s="7" t="s">
        <v>28</v>
      </c>
      <c r="H590" s="7" t="s">
        <v>2657</v>
      </c>
      <c r="I590" s="9">
        <v>889.02</v>
      </c>
      <c r="J590" s="7">
        <v>6</v>
      </c>
      <c r="K590" s="11">
        <v>0</v>
      </c>
      <c r="L590" s="9">
        <v>320.04000000000002</v>
      </c>
      <c r="M590" s="7" t="s">
        <v>23</v>
      </c>
      <c r="N590" t="str">
        <v>Bulk Order</v>
      </c>
    </row>
    <row r="591" spans="1:14">
      <c r="A591" s="7" t="s">
        <v>1076</v>
      </c>
      <c r="B591" s="8">
        <v>41150</v>
      </c>
      <c r="C591" s="8">
        <v>41150</v>
      </c>
      <c r="D591" s="7" t="s">
        <v>1077</v>
      </c>
      <c r="E591" s="7" t="s">
        <v>452</v>
      </c>
      <c r="F591" s="7" t="s">
        <v>78</v>
      </c>
      <c r="G591" s="7" t="s">
        <v>28</v>
      </c>
      <c r="H591" s="7" t="s">
        <v>2656</v>
      </c>
      <c r="I591" s="9">
        <v>1782.48</v>
      </c>
      <c r="J591" s="7">
        <v>4</v>
      </c>
      <c r="K591" s="11">
        <v>0</v>
      </c>
      <c r="L591" s="9">
        <v>873.36</v>
      </c>
      <c r="M591" s="7" t="s">
        <v>32</v>
      </c>
      <c r="N591" t="str">
        <v>Normal Order</v>
      </c>
    </row>
    <row r="592" spans="1:14">
      <c r="A592" s="7" t="s">
        <v>1078</v>
      </c>
      <c r="B592" s="8">
        <v>41612</v>
      </c>
      <c r="C592" s="8">
        <v>41613</v>
      </c>
      <c r="D592" s="7" t="s">
        <v>647</v>
      </c>
      <c r="E592" s="7" t="s">
        <v>62</v>
      </c>
      <c r="F592" s="7" t="s">
        <v>63</v>
      </c>
      <c r="G592" s="7" t="s">
        <v>16</v>
      </c>
      <c r="H592" s="7" t="s">
        <v>2663</v>
      </c>
      <c r="I592" s="9">
        <v>667.76849999999899</v>
      </c>
      <c r="J592" s="7">
        <v>3</v>
      </c>
      <c r="K592" s="11">
        <v>0.15</v>
      </c>
      <c r="L592" s="9">
        <v>274.91849999999999</v>
      </c>
      <c r="M592" s="7" t="s">
        <v>23</v>
      </c>
      <c r="N592" t="str">
        <v>Normal Order</v>
      </c>
    </row>
    <row r="593" spans="1:14">
      <c r="A593" s="7" t="s">
        <v>1079</v>
      </c>
      <c r="B593" s="8">
        <v>42290</v>
      </c>
      <c r="C593" s="8">
        <v>42295</v>
      </c>
      <c r="D593" s="7"/>
      <c r="E593" s="7" t="s">
        <v>14</v>
      </c>
      <c r="F593" s="7" t="s">
        <v>15</v>
      </c>
      <c r="G593" s="7" t="s">
        <v>16</v>
      </c>
      <c r="H593" s="7" t="s">
        <v>2658</v>
      </c>
      <c r="I593" s="9">
        <v>1612.84499999999</v>
      </c>
      <c r="J593" s="7">
        <v>5</v>
      </c>
      <c r="K593" s="11">
        <v>0.1</v>
      </c>
      <c r="L593" s="9">
        <v>394.245</v>
      </c>
      <c r="M593" s="7" t="s">
        <v>32</v>
      </c>
      <c r="N593" t="str">
        <v>Normal Order</v>
      </c>
    </row>
    <row r="594" spans="1:14">
      <c r="A594" s="7" t="s">
        <v>1080</v>
      </c>
      <c r="B594" s="8">
        <v>41992</v>
      </c>
      <c r="C594" s="8">
        <v>41994</v>
      </c>
      <c r="D594" s="7" t="s">
        <v>1081</v>
      </c>
      <c r="E594" s="7" t="s">
        <v>186</v>
      </c>
      <c r="F594" s="7" t="s">
        <v>68</v>
      </c>
      <c r="G594" s="7" t="s">
        <v>39</v>
      </c>
      <c r="H594" s="7" t="s">
        <v>2657</v>
      </c>
      <c r="I594" s="9">
        <v>845.20799999999997</v>
      </c>
      <c r="J594" s="7">
        <v>7</v>
      </c>
      <c r="K594" s="11">
        <v>0.1</v>
      </c>
      <c r="L594" s="9">
        <v>-9.4920000000000098</v>
      </c>
      <c r="M594" s="7" t="s">
        <v>23</v>
      </c>
      <c r="N594" t="str">
        <v>Bulk Order</v>
      </c>
    </row>
    <row r="595" spans="1:14">
      <c r="A595" s="7" t="s">
        <v>1082</v>
      </c>
      <c r="B595" s="8">
        <v>41441</v>
      </c>
      <c r="C595" s="8">
        <v>41447</v>
      </c>
      <c r="D595" s="7" t="s">
        <v>1083</v>
      </c>
      <c r="E595" s="7" t="s">
        <v>105</v>
      </c>
      <c r="F595" s="7" t="s">
        <v>106</v>
      </c>
      <c r="G595" s="7" t="s">
        <v>39</v>
      </c>
      <c r="H595" s="7" t="s">
        <v>2657</v>
      </c>
      <c r="I595" s="9">
        <v>2799.63</v>
      </c>
      <c r="J595" s="7">
        <v>9</v>
      </c>
      <c r="K595" s="11">
        <v>0</v>
      </c>
      <c r="L595" s="9">
        <v>391.77</v>
      </c>
      <c r="M595" s="7" t="s">
        <v>17</v>
      </c>
      <c r="N595" t="str">
        <v>Bulk Order</v>
      </c>
    </row>
    <row r="596" spans="1:14">
      <c r="A596" s="7" t="s">
        <v>1085</v>
      </c>
      <c r="B596" s="8">
        <v>41871</v>
      </c>
      <c r="C596" s="8">
        <v>41871</v>
      </c>
      <c r="D596" s="7" t="s">
        <v>1086</v>
      </c>
      <c r="E596" s="7" t="s">
        <v>1087</v>
      </c>
      <c r="F596" s="7" t="s">
        <v>132</v>
      </c>
      <c r="G596" s="7" t="s">
        <v>39</v>
      </c>
      <c r="H596" s="7" t="s">
        <v>2664</v>
      </c>
      <c r="I596" s="9">
        <v>1549.12859999999</v>
      </c>
      <c r="J596" s="7">
        <v>6</v>
      </c>
      <c r="K596" s="11">
        <v>0.17</v>
      </c>
      <c r="L596" s="9">
        <v>-56.111400000000003</v>
      </c>
      <c r="M596" s="7" t="s">
        <v>23</v>
      </c>
      <c r="N596" t="str">
        <v>Bulk Order</v>
      </c>
    </row>
    <row r="597" spans="1:14">
      <c r="A597" s="7" t="s">
        <v>1088</v>
      </c>
      <c r="B597" s="8">
        <v>41446</v>
      </c>
      <c r="C597" s="7" t="s">
        <v>116</v>
      </c>
      <c r="D597" s="7" t="s">
        <v>1089</v>
      </c>
      <c r="E597" s="7" t="s">
        <v>88</v>
      </c>
      <c r="F597" s="7" t="s">
        <v>89</v>
      </c>
      <c r="G597" s="7" t="s">
        <v>16</v>
      </c>
      <c r="H597" s="7" t="s">
        <v>2661</v>
      </c>
      <c r="I597" s="9">
        <v>1696.4</v>
      </c>
      <c r="J597" s="7">
        <v>4</v>
      </c>
      <c r="K597" s="11">
        <v>0</v>
      </c>
      <c r="L597" s="9">
        <v>67.84</v>
      </c>
      <c r="M597" s="7" t="s">
        <v>32</v>
      </c>
      <c r="N597" t="str">
        <v>Normal Order</v>
      </c>
    </row>
    <row r="598" spans="1:14">
      <c r="A598" s="7" t="s">
        <v>1090</v>
      </c>
      <c r="B598" s="8">
        <v>41417</v>
      </c>
      <c r="C598" s="8">
        <v>41419</v>
      </c>
      <c r="D598" s="7" t="s">
        <v>161</v>
      </c>
      <c r="E598" s="7" t="s">
        <v>88</v>
      </c>
      <c r="F598" s="7" t="s">
        <v>89</v>
      </c>
      <c r="G598" s="7" t="s">
        <v>39</v>
      </c>
      <c r="H598" s="7" t="s">
        <v>2661</v>
      </c>
      <c r="I598" s="9">
        <v>935.5</v>
      </c>
      <c r="J598" s="7">
        <v>5</v>
      </c>
      <c r="K598" s="11">
        <v>0</v>
      </c>
      <c r="L598" s="9">
        <v>168.3</v>
      </c>
      <c r="M598" s="7" t="s">
        <v>17</v>
      </c>
      <c r="N598" t="str">
        <v>Normal Order</v>
      </c>
    </row>
    <row r="599" spans="1:14">
      <c r="A599" s="7" t="s">
        <v>1091</v>
      </c>
      <c r="B599" s="8">
        <v>41759</v>
      </c>
      <c r="C599" s="8">
        <v>41762</v>
      </c>
      <c r="D599" s="7" t="s">
        <v>1092</v>
      </c>
      <c r="E599" s="7" t="s">
        <v>62</v>
      </c>
      <c r="F599" s="7" t="s">
        <v>63</v>
      </c>
      <c r="G599" s="7" t="s">
        <v>16</v>
      </c>
      <c r="H599" s="7" t="s">
        <v>2656</v>
      </c>
      <c r="I599" s="9"/>
      <c r="J599" s="7">
        <v>9</v>
      </c>
      <c r="K599" s="11">
        <v>0.15</v>
      </c>
      <c r="L599" s="9">
        <v>359.30249999999899</v>
      </c>
      <c r="M599" s="7" t="s">
        <v>17</v>
      </c>
      <c r="N599" t="str">
        <v>Bulk Order</v>
      </c>
    </row>
    <row r="600" spans="1:14">
      <c r="A600" s="7" t="s">
        <v>1093</v>
      </c>
      <c r="B600" s="8">
        <v>41440</v>
      </c>
      <c r="C600" s="8">
        <v>41440</v>
      </c>
      <c r="D600" s="7" t="s">
        <v>1094</v>
      </c>
      <c r="E600" s="7" t="s">
        <v>62</v>
      </c>
      <c r="F600" s="7" t="s">
        <v>63</v>
      </c>
      <c r="G600" s="7" t="s">
        <v>16</v>
      </c>
      <c r="H600" s="7" t="s">
        <v>2661</v>
      </c>
      <c r="I600" s="9">
        <v>980.52</v>
      </c>
      <c r="J600" s="7">
        <v>4</v>
      </c>
      <c r="K600" s="11">
        <v>0</v>
      </c>
      <c r="L600" s="9">
        <v>176.39999999999901</v>
      </c>
      <c r="M600" s="7" t="s">
        <v>32</v>
      </c>
      <c r="N600" t="str">
        <v>Normal Order</v>
      </c>
    </row>
    <row r="601" spans="1:14">
      <c r="A601" s="7" t="s">
        <v>1036</v>
      </c>
      <c r="B601" s="8">
        <v>41992</v>
      </c>
      <c r="C601" s="8">
        <v>41995</v>
      </c>
      <c r="D601" s="7" t="s">
        <v>1037</v>
      </c>
      <c r="E601" s="7" t="s">
        <v>35</v>
      </c>
      <c r="F601" s="7" t="s">
        <v>38</v>
      </c>
      <c r="G601" s="7" t="s">
        <v>1095</v>
      </c>
      <c r="H601" s="7" t="s">
        <v>2662</v>
      </c>
      <c r="I601" s="9">
        <v>18.687999999999999</v>
      </c>
      <c r="J601" s="7"/>
      <c r="K601" s="11">
        <v>0.2</v>
      </c>
      <c r="L601" s="9">
        <v>2.3359999999999901</v>
      </c>
      <c r="M601" s="7" t="s">
        <v>17</v>
      </c>
      <c r="N601" t="str">
        <v>Normal Order</v>
      </c>
    </row>
    <row r="602" spans="1:14">
      <c r="A602" s="7" t="s">
        <v>1096</v>
      </c>
      <c r="B602" s="8">
        <v>41991</v>
      </c>
      <c r="C602" s="8">
        <v>41995</v>
      </c>
      <c r="D602" s="7" t="s">
        <v>1097</v>
      </c>
      <c r="E602" s="7" t="s">
        <v>62</v>
      </c>
      <c r="F602" s="7" t="s">
        <v>63</v>
      </c>
      <c r="G602" s="7" t="s">
        <v>16</v>
      </c>
      <c r="H602" s="7" t="s">
        <v>2654</v>
      </c>
      <c r="I602" s="9">
        <v>1654.64399999999</v>
      </c>
      <c r="J602" s="7">
        <v>8</v>
      </c>
      <c r="K602" s="11">
        <v>0.15</v>
      </c>
      <c r="L602" s="9">
        <v>681.20399999999995</v>
      </c>
      <c r="M602" s="7" t="s">
        <v>32</v>
      </c>
      <c r="N602" t="str">
        <v>Bulk Order</v>
      </c>
    </row>
    <row r="603" spans="1:14">
      <c r="A603" s="7" t="s">
        <v>1098</v>
      </c>
      <c r="B603" s="8">
        <v>42206</v>
      </c>
      <c r="C603" s="8">
        <v>42210</v>
      </c>
      <c r="D603" s="7" t="s">
        <v>1099</v>
      </c>
      <c r="E603" s="7" t="s">
        <v>131</v>
      </c>
      <c r="F603" s="7"/>
      <c r="G603" s="7" t="s">
        <v>28</v>
      </c>
      <c r="H603" s="7" t="s">
        <v>2657</v>
      </c>
      <c r="I603" s="9">
        <v>2063.7683999999999</v>
      </c>
      <c r="J603" s="7"/>
      <c r="K603" s="11"/>
      <c r="L603" s="9">
        <v>141.1884</v>
      </c>
      <c r="M603" s="7" t="s">
        <v>32</v>
      </c>
      <c r="N603" t="str">
        <v>Normal Order</v>
      </c>
    </row>
    <row r="604" spans="1:14">
      <c r="A604" s="7" t="s">
        <v>988</v>
      </c>
      <c r="B604" s="8">
        <v>41678</v>
      </c>
      <c r="C604" s="7" t="s">
        <v>1100</v>
      </c>
      <c r="D604" s="7" t="s">
        <v>167</v>
      </c>
      <c r="E604" s="7" t="s">
        <v>221</v>
      </c>
      <c r="F604" s="7" t="s">
        <v>222</v>
      </c>
      <c r="G604" s="7" t="s">
        <v>16</v>
      </c>
      <c r="H604" s="7" t="s">
        <v>2659</v>
      </c>
      <c r="I604" s="9">
        <v>1457.28</v>
      </c>
      <c r="J604" s="7">
        <v>8</v>
      </c>
      <c r="K604" s="11">
        <v>0</v>
      </c>
      <c r="L604" s="9">
        <v>3572.9804248258702</v>
      </c>
      <c r="M604" s="7" t="s">
        <v>23</v>
      </c>
      <c r="N604" t="str">
        <v>Bulk Order</v>
      </c>
    </row>
    <row r="605" spans="1:14">
      <c r="A605" s="7" t="s">
        <v>1101</v>
      </c>
      <c r="B605" s="8">
        <v>41208</v>
      </c>
      <c r="C605" s="8">
        <v>41210</v>
      </c>
      <c r="D605" s="7" t="s">
        <v>1028</v>
      </c>
      <c r="E605" s="7" t="s">
        <v>58</v>
      </c>
      <c r="F605" s="7" t="s">
        <v>1102</v>
      </c>
      <c r="G605" s="7" t="s">
        <v>1103</v>
      </c>
      <c r="H605" s="7" t="s">
        <v>2655</v>
      </c>
      <c r="I605" s="9">
        <v>1693.23</v>
      </c>
      <c r="J605" s="7"/>
      <c r="K605" s="11">
        <v>0</v>
      </c>
      <c r="L605" s="9">
        <v>829.5</v>
      </c>
      <c r="M605" s="7" t="s">
        <v>17</v>
      </c>
      <c r="N605" t="str">
        <v>Normal Order</v>
      </c>
    </row>
    <row r="606" spans="1:14">
      <c r="A606" s="7" t="s">
        <v>1104</v>
      </c>
      <c r="B606" s="8">
        <v>41992</v>
      </c>
      <c r="C606" s="8">
        <v>41995</v>
      </c>
      <c r="D606" s="7" t="s">
        <v>1037</v>
      </c>
      <c r="E606" s="7" t="s">
        <v>35</v>
      </c>
      <c r="F606" s="7" t="s">
        <v>38</v>
      </c>
      <c r="G606" s="7" t="s">
        <v>16</v>
      </c>
      <c r="H606" s="7" t="s">
        <v>2656</v>
      </c>
      <c r="I606" s="9">
        <v>28.68</v>
      </c>
      <c r="J606" s="7">
        <v>3</v>
      </c>
      <c r="K606" s="11">
        <v>0.2</v>
      </c>
      <c r="L606" s="9">
        <v>-7.17</v>
      </c>
      <c r="M606" s="7" t="s">
        <v>17</v>
      </c>
      <c r="N606" t="str">
        <v>Normal Order</v>
      </c>
    </row>
    <row r="607" spans="1:14">
      <c r="A607" s="7" t="s">
        <v>1105</v>
      </c>
      <c r="B607" s="8">
        <v>41696</v>
      </c>
      <c r="C607" s="8">
        <v>41699</v>
      </c>
      <c r="D607" s="7" t="s">
        <v>320</v>
      </c>
      <c r="E607" s="7" t="s">
        <v>1106</v>
      </c>
      <c r="F607" s="7" t="s">
        <v>53</v>
      </c>
      <c r="G607" s="7" t="s">
        <v>28</v>
      </c>
      <c r="H607" s="7" t="s">
        <v>2657</v>
      </c>
      <c r="I607" s="9">
        <v>1411.2</v>
      </c>
      <c r="J607" s="7">
        <v>6</v>
      </c>
      <c r="K607" s="11">
        <v>0.2</v>
      </c>
      <c r="L607" s="9"/>
      <c r="M607" s="7" t="s">
        <v>17</v>
      </c>
      <c r="N607" t="str">
        <v>Bulk Order</v>
      </c>
    </row>
    <row r="608" spans="1:14">
      <c r="A608" s="7" t="s">
        <v>1107</v>
      </c>
      <c r="B608" s="8">
        <v>41238</v>
      </c>
      <c r="C608" s="8">
        <v>41242</v>
      </c>
      <c r="D608" s="7" t="s">
        <v>475</v>
      </c>
      <c r="E608" s="7" t="s">
        <v>20</v>
      </c>
      <c r="F608" s="7" t="s">
        <v>63</v>
      </c>
      <c r="G608" s="7" t="s">
        <v>39</v>
      </c>
      <c r="H608" s="7" t="s">
        <v>2660</v>
      </c>
      <c r="I608" s="9">
        <v>2039.796</v>
      </c>
      <c r="J608" s="7">
        <v>4</v>
      </c>
      <c r="K608" s="11">
        <v>0.1</v>
      </c>
      <c r="L608" s="9">
        <v>-113.364</v>
      </c>
      <c r="M608" s="7" t="s">
        <v>32</v>
      </c>
      <c r="N608" t="str">
        <v>Normal Order</v>
      </c>
    </row>
    <row r="609" spans="1:14">
      <c r="A609" s="7" t="s">
        <v>1108</v>
      </c>
      <c r="B609" s="8">
        <v>41506</v>
      </c>
      <c r="C609" s="8">
        <v>41510</v>
      </c>
      <c r="D609" s="7" t="s">
        <v>1109</v>
      </c>
      <c r="E609" s="7" t="s">
        <v>1110</v>
      </c>
      <c r="F609" s="7" t="s">
        <v>81</v>
      </c>
      <c r="G609" s="7" t="s">
        <v>16</v>
      </c>
      <c r="H609" s="7" t="s">
        <v>2658</v>
      </c>
      <c r="I609" s="9">
        <v>5737.5</v>
      </c>
      <c r="J609" s="7">
        <v>9</v>
      </c>
      <c r="K609" s="11">
        <v>0</v>
      </c>
      <c r="L609" s="9">
        <v>630.99</v>
      </c>
      <c r="M609" s="7" t="s">
        <v>17</v>
      </c>
      <c r="N609" t="str">
        <v>Bulk Order</v>
      </c>
    </row>
    <row r="610" spans="1:14">
      <c r="A610" s="7" t="s">
        <v>1111</v>
      </c>
      <c r="B610" s="8">
        <v>41418</v>
      </c>
      <c r="C610" s="8">
        <v>41422</v>
      </c>
      <c r="D610" s="7" t="s">
        <v>1112</v>
      </c>
      <c r="E610" s="7" t="s">
        <v>14</v>
      </c>
      <c r="F610" s="7" t="s">
        <v>15</v>
      </c>
      <c r="G610" s="7" t="s">
        <v>16</v>
      </c>
      <c r="H610" s="7" t="s">
        <v>2661</v>
      </c>
      <c r="I610" s="9">
        <v>1641.087</v>
      </c>
      <c r="J610" s="7">
        <v>7</v>
      </c>
      <c r="K610" s="11">
        <v>0.1</v>
      </c>
      <c r="L610" s="9">
        <v>473.90699999999998</v>
      </c>
      <c r="M610" s="7" t="s">
        <v>32</v>
      </c>
      <c r="N610" t="str">
        <v>Bulk Order</v>
      </c>
    </row>
    <row r="611" spans="1:14">
      <c r="A611" s="7" t="s">
        <v>1113</v>
      </c>
      <c r="B611" s="8">
        <v>41216</v>
      </c>
      <c r="C611" s="8">
        <v>41220</v>
      </c>
      <c r="D611" s="7" t="s">
        <v>1114</v>
      </c>
      <c r="E611" s="7" t="s">
        <v>1115</v>
      </c>
      <c r="F611" s="7" t="s">
        <v>111</v>
      </c>
      <c r="G611" s="7" t="s">
        <v>28</v>
      </c>
      <c r="H611" s="7" t="s">
        <v>2656</v>
      </c>
      <c r="I611" s="9">
        <v>1380.8999999999901</v>
      </c>
      <c r="J611" s="7">
        <v>5</v>
      </c>
      <c r="K611" s="11">
        <v>0</v>
      </c>
      <c r="L611" s="9">
        <v>303.7</v>
      </c>
      <c r="M611" s="7" t="s">
        <v>32</v>
      </c>
      <c r="N611" t="str">
        <v>Normal Order</v>
      </c>
    </row>
    <row r="612" spans="1:14">
      <c r="A612" s="7" t="s">
        <v>1116</v>
      </c>
      <c r="B612" s="8">
        <v>41173</v>
      </c>
      <c r="C612" s="8">
        <v>41178</v>
      </c>
      <c r="D612" s="7" t="s">
        <v>1117</v>
      </c>
      <c r="E612" s="7" t="s">
        <v>105</v>
      </c>
      <c r="F612" s="7" t="s">
        <v>106</v>
      </c>
      <c r="G612" s="7" t="s">
        <v>16</v>
      </c>
      <c r="H612" s="7" t="s">
        <v>2657</v>
      </c>
      <c r="I612" s="9">
        <v>1917</v>
      </c>
      <c r="J612" s="7">
        <v>3</v>
      </c>
      <c r="K612" s="11">
        <v>0</v>
      </c>
      <c r="L612" s="9"/>
      <c r="M612" s="7" t="s">
        <v>32</v>
      </c>
      <c r="N612" t="str">
        <v>Normal Order</v>
      </c>
    </row>
    <row r="613" spans="1:14">
      <c r="A613" s="7" t="s">
        <v>1118</v>
      </c>
      <c r="B613" s="8">
        <v>41929</v>
      </c>
      <c r="C613" s="8">
        <v>41931</v>
      </c>
      <c r="D613" s="7" t="s">
        <v>1119</v>
      </c>
      <c r="E613" s="7" t="s">
        <v>27</v>
      </c>
      <c r="F613" s="7" t="s">
        <v>15</v>
      </c>
      <c r="G613" s="7" t="s">
        <v>28</v>
      </c>
      <c r="H613" s="7" t="s">
        <v>2663</v>
      </c>
      <c r="I613" s="9">
        <v>823.5</v>
      </c>
      <c r="J613" s="7">
        <v>2</v>
      </c>
      <c r="K613" s="11">
        <v>0</v>
      </c>
      <c r="L613" s="9">
        <v>172.92</v>
      </c>
      <c r="M613" s="7" t="s">
        <v>23</v>
      </c>
      <c r="N613" t="str">
        <v>Normal Order</v>
      </c>
    </row>
    <row r="614" spans="1:14">
      <c r="A614" s="7" t="s">
        <v>1120</v>
      </c>
      <c r="B614" s="8">
        <v>41992</v>
      </c>
      <c r="C614" s="10">
        <v>41995</v>
      </c>
      <c r="D614" s="7" t="s">
        <v>1037</v>
      </c>
      <c r="E614" s="7" t="s">
        <v>35</v>
      </c>
      <c r="F614" s="7" t="s">
        <v>234</v>
      </c>
      <c r="G614" s="7" t="s">
        <v>16</v>
      </c>
      <c r="H614" s="7" t="s">
        <v>2656</v>
      </c>
      <c r="I614" s="9"/>
      <c r="J614" s="7">
        <v>3</v>
      </c>
      <c r="K614" s="11"/>
      <c r="L614" s="9">
        <v>-8.4581999999999908</v>
      </c>
      <c r="M614" s="7" t="s">
        <v>17</v>
      </c>
      <c r="N614" t="str">
        <v>Normal Order</v>
      </c>
    </row>
    <row r="615" spans="1:14">
      <c r="A615" s="7" t="s">
        <v>1121</v>
      </c>
      <c r="B615" s="8">
        <v>41795</v>
      </c>
      <c r="C615" s="8">
        <v>41799</v>
      </c>
      <c r="D615" s="7" t="s">
        <v>302</v>
      </c>
      <c r="E615" s="7" t="s">
        <v>58</v>
      </c>
      <c r="F615" s="7" t="s">
        <v>81</v>
      </c>
      <c r="G615" s="7" t="s">
        <v>16</v>
      </c>
      <c r="H615" s="7" t="s">
        <v>2663</v>
      </c>
      <c r="I615" s="9">
        <v>3180.75</v>
      </c>
      <c r="J615" s="7">
        <v>5</v>
      </c>
      <c r="K615" s="11">
        <v>0</v>
      </c>
      <c r="L615" s="9">
        <v>1081.3499999999999</v>
      </c>
      <c r="M615" s="7" t="s">
        <v>17</v>
      </c>
      <c r="N615" t="str">
        <v>Normal Order</v>
      </c>
    </row>
    <row r="616" spans="1:14">
      <c r="A616" s="7" t="s">
        <v>1122</v>
      </c>
      <c r="B616" s="7" t="s">
        <v>1123</v>
      </c>
      <c r="C616" s="8">
        <v>41775</v>
      </c>
      <c r="D616" s="7" t="s">
        <v>1124</v>
      </c>
      <c r="E616" s="7" t="s">
        <v>62</v>
      </c>
      <c r="F616" s="7" t="s">
        <v>63</v>
      </c>
      <c r="G616" s="7" t="s">
        <v>16</v>
      </c>
      <c r="H616" s="7" t="s">
        <v>2655</v>
      </c>
      <c r="I616" s="9">
        <v>2910.1875</v>
      </c>
      <c r="J616" s="7">
        <v>11</v>
      </c>
      <c r="K616" s="11">
        <v>0.15</v>
      </c>
      <c r="L616" s="9">
        <v>-68.722500000000096</v>
      </c>
      <c r="M616" s="7" t="s">
        <v>32</v>
      </c>
      <c r="N616" t="str">
        <v>Bulk Order</v>
      </c>
    </row>
    <row r="617" spans="1:14">
      <c r="A617" s="7" t="s">
        <v>1036</v>
      </c>
      <c r="B617" s="8">
        <v>41992</v>
      </c>
      <c r="C617" s="8">
        <v>41995</v>
      </c>
      <c r="D617" s="7" t="s">
        <v>1037</v>
      </c>
      <c r="E617" s="7" t="s">
        <v>35</v>
      </c>
      <c r="F617" s="7" t="s">
        <v>38</v>
      </c>
      <c r="G617" s="7" t="s">
        <v>39</v>
      </c>
      <c r="H617" s="7" t="s">
        <v>2656</v>
      </c>
      <c r="I617" s="9">
        <v>15.936</v>
      </c>
      <c r="J617" s="7">
        <v>4</v>
      </c>
      <c r="K617" s="11">
        <v>0.2</v>
      </c>
      <c r="L617" s="9">
        <v>5.1791999999999998</v>
      </c>
      <c r="M617" s="7" t="s">
        <v>17</v>
      </c>
      <c r="N617" t="str">
        <v>Normal Order</v>
      </c>
    </row>
    <row r="618" spans="1:14">
      <c r="A618" s="7" t="s">
        <v>1053</v>
      </c>
      <c r="B618" s="8">
        <v>42188</v>
      </c>
      <c r="C618" s="8">
        <v>42191</v>
      </c>
      <c r="D618" s="7" t="s">
        <v>1037</v>
      </c>
      <c r="E618" s="7" t="s">
        <v>322</v>
      </c>
      <c r="F618" s="7" t="s">
        <v>36</v>
      </c>
      <c r="G618" s="7" t="s">
        <v>39</v>
      </c>
      <c r="H618" s="7" t="s">
        <v>2662</v>
      </c>
      <c r="I618" s="9">
        <v>5.2319999999999904</v>
      </c>
      <c r="J618" s="7">
        <v>4</v>
      </c>
      <c r="K618" s="11">
        <v>0.8</v>
      </c>
      <c r="L618" s="9">
        <v>-8.1096000000000004</v>
      </c>
      <c r="M618" s="7" t="s">
        <v>17</v>
      </c>
      <c r="N618" t="str">
        <v>Normal Order</v>
      </c>
    </row>
    <row r="619" spans="1:14">
      <c r="A619" s="7" t="s">
        <v>1126</v>
      </c>
      <c r="B619" s="8">
        <v>41933</v>
      </c>
      <c r="C619" s="8">
        <v>41936</v>
      </c>
      <c r="D619" s="7" t="s">
        <v>47</v>
      </c>
      <c r="E619" s="7" t="s">
        <v>58</v>
      </c>
      <c r="F619" s="7" t="s">
        <v>81</v>
      </c>
      <c r="G619" s="7" t="s">
        <v>16</v>
      </c>
      <c r="H619" s="7" t="s">
        <v>2658</v>
      </c>
      <c r="I619" s="9">
        <v>910.349999999999</v>
      </c>
      <c r="J619" s="7">
        <v>5</v>
      </c>
      <c r="K619" s="11">
        <v>0</v>
      </c>
      <c r="L619" s="9">
        <v>391.349999999999</v>
      </c>
      <c r="M619" s="7" t="s">
        <v>23</v>
      </c>
      <c r="N619" t="str">
        <v>Normal Order</v>
      </c>
    </row>
    <row r="620" spans="1:14">
      <c r="A620" s="7" t="s">
        <v>1127</v>
      </c>
      <c r="B620" s="8">
        <v>42227</v>
      </c>
      <c r="C620" s="8">
        <v>42230</v>
      </c>
      <c r="D620" s="7" t="s">
        <v>1128</v>
      </c>
      <c r="E620" s="7" t="s">
        <v>84</v>
      </c>
      <c r="F620" s="7" t="s">
        <v>85</v>
      </c>
      <c r="G620" s="7" t="s">
        <v>28</v>
      </c>
      <c r="H620" s="7" t="s">
        <v>2661</v>
      </c>
      <c r="I620" s="9" t="s">
        <v>152</v>
      </c>
      <c r="J620" s="7">
        <v>2</v>
      </c>
      <c r="K620" s="11">
        <v>0</v>
      </c>
      <c r="L620" s="9">
        <v>274.08</v>
      </c>
      <c r="M620" s="7" t="s">
        <v>23</v>
      </c>
      <c r="N620" t="str">
        <v>Normal Order</v>
      </c>
    </row>
    <row r="621" spans="1:14">
      <c r="A621" s="7" t="s">
        <v>1129</v>
      </c>
      <c r="B621" s="8">
        <v>41763</v>
      </c>
      <c r="C621" s="8">
        <v>41767</v>
      </c>
      <c r="D621" s="7" t="s">
        <v>1130</v>
      </c>
      <c r="E621" s="7" t="s">
        <v>88</v>
      </c>
      <c r="F621" s="7" t="s">
        <v>89</v>
      </c>
      <c r="G621" s="7" t="s">
        <v>28</v>
      </c>
      <c r="H621" s="7" t="s">
        <v>2656</v>
      </c>
      <c r="I621" s="9">
        <v>1731.0719999999901</v>
      </c>
      <c r="J621" s="7">
        <v>7</v>
      </c>
      <c r="K621" s="11">
        <v>0.2</v>
      </c>
      <c r="L621" s="9">
        <v>-238.027999999999</v>
      </c>
      <c r="M621" s="7" t="s">
        <v>32</v>
      </c>
      <c r="N621" t="str">
        <v>Bulk Order</v>
      </c>
    </row>
    <row r="622" spans="1:14">
      <c r="A622" s="7" t="s">
        <v>1131</v>
      </c>
      <c r="B622" s="7"/>
      <c r="C622" s="8">
        <v>41835</v>
      </c>
      <c r="D622" s="7" t="s">
        <v>1132</v>
      </c>
      <c r="E622" s="7" t="s">
        <v>186</v>
      </c>
      <c r="F622" s="7" t="s">
        <v>68</v>
      </c>
      <c r="G622" s="7" t="s">
        <v>612</v>
      </c>
      <c r="H622" s="7" t="s">
        <v>2658</v>
      </c>
      <c r="I622" s="9">
        <v>1330.992</v>
      </c>
      <c r="J622" s="7">
        <v>12</v>
      </c>
      <c r="K622" s="11">
        <v>0.1</v>
      </c>
      <c r="L622" s="9">
        <v>-103.608</v>
      </c>
      <c r="M622" s="7" t="s">
        <v>23</v>
      </c>
      <c r="N622" t="str">
        <v>Bulk Order</v>
      </c>
    </row>
    <row r="623" spans="1:14">
      <c r="A623" s="7" t="s">
        <v>1036</v>
      </c>
      <c r="B623" s="8">
        <v>41992</v>
      </c>
      <c r="C623" s="8">
        <v>41995</v>
      </c>
      <c r="D623" s="7" t="s">
        <v>1037</v>
      </c>
      <c r="E623" s="7" t="s">
        <v>35</v>
      </c>
      <c r="F623" s="7" t="s">
        <v>38</v>
      </c>
      <c r="G623" s="7"/>
      <c r="H623" s="7" t="s">
        <v>2655</v>
      </c>
      <c r="I623" s="9">
        <v>11.648</v>
      </c>
      <c r="J623" s="7">
        <v>2</v>
      </c>
      <c r="K623" s="11">
        <v>0.2</v>
      </c>
      <c r="L623" s="9">
        <v>3.7855999999999899</v>
      </c>
      <c r="M623" s="7" t="s">
        <v>17</v>
      </c>
      <c r="N623" t="str">
        <v>Normal Order</v>
      </c>
    </row>
    <row r="624" spans="1:14">
      <c r="A624" s="7" t="s">
        <v>1133</v>
      </c>
      <c r="B624" s="8">
        <v>42340</v>
      </c>
      <c r="C624" s="8">
        <v>42344</v>
      </c>
      <c r="D624" s="7" t="s">
        <v>1134</v>
      </c>
      <c r="E624" s="7" t="s">
        <v>110</v>
      </c>
      <c r="F624" s="7" t="s">
        <v>111</v>
      </c>
      <c r="G624" s="7" t="s">
        <v>16</v>
      </c>
      <c r="H624" s="7" t="s">
        <v>2656</v>
      </c>
      <c r="I624" s="9">
        <v>1914.0799999999899</v>
      </c>
      <c r="J624" s="7">
        <v>14</v>
      </c>
      <c r="K624" s="11">
        <v>0.2</v>
      </c>
      <c r="L624" s="9">
        <v>669.76</v>
      </c>
      <c r="M624" s="7" t="s">
        <v>17</v>
      </c>
      <c r="N624" t="str">
        <v>Bulk Order</v>
      </c>
    </row>
    <row r="625" spans="1:14">
      <c r="A625" s="7" t="s">
        <v>1135</v>
      </c>
      <c r="B625" s="8">
        <v>42012</v>
      </c>
      <c r="C625" s="8">
        <v>42017</v>
      </c>
      <c r="D625" s="7" t="s">
        <v>1030</v>
      </c>
      <c r="E625" s="7" t="s">
        <v>52</v>
      </c>
      <c r="F625" s="7" t="s">
        <v>53</v>
      </c>
      <c r="G625" s="7" t="s">
        <v>16</v>
      </c>
      <c r="H625" s="7" t="s">
        <v>2655</v>
      </c>
      <c r="I625" s="9">
        <v>3393.12</v>
      </c>
      <c r="J625" s="7">
        <v>8</v>
      </c>
      <c r="K625" s="11">
        <v>0</v>
      </c>
      <c r="L625" s="9">
        <v>101.76</v>
      </c>
      <c r="M625" s="7" t="s">
        <v>17</v>
      </c>
      <c r="N625" t="str">
        <v>Bulk Order</v>
      </c>
    </row>
    <row r="626" spans="1:14">
      <c r="A626" s="7" t="s">
        <v>1136</v>
      </c>
      <c r="B626" s="8">
        <v>41821</v>
      </c>
      <c r="C626" s="8">
        <v>41824</v>
      </c>
      <c r="D626" s="7" t="s">
        <v>1037</v>
      </c>
      <c r="E626" s="7" t="s">
        <v>35</v>
      </c>
      <c r="F626" s="7" t="s">
        <v>36</v>
      </c>
      <c r="G626" s="7" t="s">
        <v>16</v>
      </c>
      <c r="H626" s="7" t="s">
        <v>2654</v>
      </c>
      <c r="I626" s="9">
        <v>50.12</v>
      </c>
      <c r="J626" s="7">
        <v>7</v>
      </c>
      <c r="K626" s="11">
        <v>0.2</v>
      </c>
      <c r="L626" s="9">
        <v>-0.62650000000000705</v>
      </c>
      <c r="M626" s="7" t="s">
        <v>17</v>
      </c>
      <c r="N626" t="str">
        <v>Bulk Order</v>
      </c>
    </row>
    <row r="627" spans="1:14">
      <c r="A627" s="7"/>
      <c r="B627" s="8">
        <v>42182</v>
      </c>
      <c r="C627" s="8">
        <v>42182</v>
      </c>
      <c r="D627" s="7" t="s">
        <v>787</v>
      </c>
      <c r="E627" s="7"/>
      <c r="F627" s="7" t="s">
        <v>81</v>
      </c>
      <c r="G627" s="7" t="s">
        <v>16</v>
      </c>
      <c r="H627" s="7" t="s">
        <v>2656</v>
      </c>
      <c r="I627" s="9">
        <v>1446.6</v>
      </c>
      <c r="J627" s="7">
        <v>4</v>
      </c>
      <c r="K627" s="11">
        <v>0</v>
      </c>
      <c r="L627" s="9">
        <v>665.4</v>
      </c>
      <c r="M627" s="7" t="s">
        <v>32</v>
      </c>
      <c r="N627" t="str">
        <v>Normal Order</v>
      </c>
    </row>
    <row r="628" spans="1:14">
      <c r="A628" s="7" t="s">
        <v>1137</v>
      </c>
      <c r="B628" s="8">
        <v>40979</v>
      </c>
      <c r="C628" s="8">
        <v>40984</v>
      </c>
      <c r="D628" s="7" t="s">
        <v>826</v>
      </c>
      <c r="E628" s="7" t="s">
        <v>58</v>
      </c>
      <c r="F628" s="7" t="s">
        <v>81</v>
      </c>
      <c r="G628" s="7" t="s">
        <v>28</v>
      </c>
      <c r="H628" s="7" t="s">
        <v>2655</v>
      </c>
      <c r="I628" s="9">
        <v>3272.0099999999902</v>
      </c>
      <c r="J628" s="7">
        <v>7</v>
      </c>
      <c r="K628" s="11">
        <v>0</v>
      </c>
      <c r="L628" s="9">
        <v>1537.83</v>
      </c>
      <c r="M628" s="7" t="s">
        <v>17</v>
      </c>
      <c r="N628" t="str">
        <v>Bulk Order</v>
      </c>
    </row>
    <row r="629" spans="1:14">
      <c r="A629" s="7" t="s">
        <v>1138</v>
      </c>
      <c r="B629" s="8">
        <v>41654</v>
      </c>
      <c r="C629" s="8">
        <v>41660</v>
      </c>
      <c r="D629" s="7" t="s">
        <v>1139</v>
      </c>
      <c r="E629" s="7" t="s">
        <v>239</v>
      </c>
      <c r="F629" s="7" t="s">
        <v>132</v>
      </c>
      <c r="G629" s="7" t="s">
        <v>39</v>
      </c>
      <c r="H629" s="7" t="s">
        <v>2657</v>
      </c>
      <c r="I629" s="9">
        <v>3386.8589999999999</v>
      </c>
      <c r="J629" s="7">
        <v>7</v>
      </c>
      <c r="K629" s="11">
        <v>0.15</v>
      </c>
      <c r="L629" s="9">
        <v>-597.68100000000004</v>
      </c>
      <c r="M629" s="7" t="s">
        <v>65</v>
      </c>
      <c r="N629" t="str">
        <v>Bulk Order</v>
      </c>
    </row>
    <row r="630" spans="1:14">
      <c r="A630" s="7"/>
      <c r="B630" s="8">
        <v>41514</v>
      </c>
      <c r="C630" s="8">
        <v>41519</v>
      </c>
      <c r="D630" s="7" t="s">
        <v>117</v>
      </c>
      <c r="E630" s="7" t="s">
        <v>14</v>
      </c>
      <c r="F630" s="7" t="s">
        <v>15</v>
      </c>
      <c r="G630" s="7" t="s">
        <v>39</v>
      </c>
      <c r="H630" s="7" t="s">
        <v>2655</v>
      </c>
      <c r="I630" s="9">
        <v>2498.5259999999998</v>
      </c>
      <c r="J630" s="7">
        <v>9</v>
      </c>
      <c r="K630" s="11">
        <v>0.1</v>
      </c>
      <c r="L630" s="9">
        <v>499.44600000000003</v>
      </c>
      <c r="M630" s="7" t="s">
        <v>17</v>
      </c>
      <c r="N630" t="str">
        <v>Bulk Order</v>
      </c>
    </row>
    <row r="631" spans="1:14">
      <c r="A631" s="7" t="s">
        <v>1140</v>
      </c>
      <c r="B631" s="8">
        <v>41231</v>
      </c>
      <c r="C631" s="8">
        <v>41233</v>
      </c>
      <c r="D631" s="7" t="s">
        <v>825</v>
      </c>
      <c r="E631" s="7" t="s">
        <v>1141</v>
      </c>
      <c r="F631" s="7" t="s">
        <v>68</v>
      </c>
      <c r="G631" s="7" t="s">
        <v>16</v>
      </c>
      <c r="H631" s="7" t="s">
        <v>2661</v>
      </c>
      <c r="I631" s="9">
        <v>728.53200000000004</v>
      </c>
      <c r="J631" s="7">
        <v>7</v>
      </c>
      <c r="K631" s="11">
        <v>0.4</v>
      </c>
      <c r="L631" s="9">
        <v>-133.72799999999901</v>
      </c>
      <c r="M631" s="7" t="s">
        <v>23</v>
      </c>
      <c r="N631" t="str">
        <v>Bulk Order</v>
      </c>
    </row>
    <row r="632" spans="1:14">
      <c r="A632" s="7" t="s">
        <v>1142</v>
      </c>
      <c r="B632" s="8">
        <v>42362</v>
      </c>
      <c r="C632" s="8">
        <v>42366</v>
      </c>
      <c r="D632" s="7" t="s">
        <v>1143</v>
      </c>
      <c r="E632" s="7" t="s">
        <v>1144</v>
      </c>
      <c r="F632" s="7" t="s">
        <v>49</v>
      </c>
      <c r="G632" s="7" t="s">
        <v>16</v>
      </c>
      <c r="H632" s="7" t="s">
        <v>2656</v>
      </c>
      <c r="I632" s="9"/>
      <c r="J632" s="7">
        <v>4</v>
      </c>
      <c r="K632" s="11"/>
      <c r="L632" s="9">
        <v>772.68</v>
      </c>
      <c r="M632" s="7" t="s">
        <v>32</v>
      </c>
      <c r="N632" t="str">
        <v>Normal Order</v>
      </c>
    </row>
    <row r="633" spans="1:14">
      <c r="A633" s="7" t="s">
        <v>1145</v>
      </c>
      <c r="B633" s="7" t="s">
        <v>1146</v>
      </c>
      <c r="C633" s="8">
        <v>41445</v>
      </c>
      <c r="D633" s="7" t="s">
        <v>1147</v>
      </c>
      <c r="E633" s="7" t="s">
        <v>67</v>
      </c>
      <c r="F633" s="7" t="s">
        <v>68</v>
      </c>
      <c r="G633" s="7" t="s">
        <v>28</v>
      </c>
      <c r="H633" s="7" t="s">
        <v>2661</v>
      </c>
      <c r="I633" s="9">
        <v>2546.46</v>
      </c>
      <c r="J633" s="7">
        <v>7</v>
      </c>
      <c r="K633" s="11">
        <v>0</v>
      </c>
      <c r="L633" s="9">
        <v>381.78</v>
      </c>
      <c r="M633" s="7" t="s">
        <v>32</v>
      </c>
      <c r="N633" t="str">
        <v>Bulk Order</v>
      </c>
    </row>
    <row r="634" spans="1:14">
      <c r="A634" s="7" t="s">
        <v>1148</v>
      </c>
      <c r="B634" s="8">
        <v>41831</v>
      </c>
      <c r="C634" s="8">
        <v>41835</v>
      </c>
      <c r="D634" s="7" t="s">
        <v>1149</v>
      </c>
      <c r="E634" s="7" t="s">
        <v>542</v>
      </c>
      <c r="F634" s="7" t="s">
        <v>81</v>
      </c>
      <c r="G634" s="7" t="s">
        <v>28</v>
      </c>
      <c r="H634" s="7" t="s">
        <v>2656</v>
      </c>
      <c r="I634" s="9">
        <v>2888.76</v>
      </c>
      <c r="J634" s="7">
        <v>7</v>
      </c>
      <c r="K634" s="11">
        <v>0</v>
      </c>
      <c r="L634" s="9">
        <v>173.25</v>
      </c>
      <c r="M634" s="7" t="s">
        <v>17</v>
      </c>
      <c r="N634" t="str">
        <v>Bulk Order</v>
      </c>
    </row>
    <row r="635" spans="1:14">
      <c r="A635" s="7" t="s">
        <v>1150</v>
      </c>
      <c r="B635" s="8">
        <v>41416</v>
      </c>
      <c r="C635" s="8">
        <v>41419</v>
      </c>
      <c r="D635" s="7" t="s">
        <v>660</v>
      </c>
      <c r="E635" s="7" t="s">
        <v>677</v>
      </c>
      <c r="F635" s="7" t="s">
        <v>132</v>
      </c>
      <c r="G635" s="7" t="s">
        <v>16</v>
      </c>
      <c r="H635" s="7" t="s">
        <v>2663</v>
      </c>
      <c r="I635" s="9">
        <v>1031.3999999999901</v>
      </c>
      <c r="J635" s="7">
        <v>4</v>
      </c>
      <c r="K635" s="11">
        <v>0</v>
      </c>
      <c r="L635" s="9">
        <v>1773.8879586580799</v>
      </c>
      <c r="M635" s="7" t="s">
        <v>32</v>
      </c>
      <c r="N635" t="str">
        <v>Normal Order</v>
      </c>
    </row>
    <row r="636" spans="1:14">
      <c r="A636" s="7" t="s">
        <v>1151</v>
      </c>
      <c r="B636" s="8">
        <v>42221</v>
      </c>
      <c r="C636" s="8">
        <v>42225</v>
      </c>
      <c r="D636" s="7" t="s">
        <v>1152</v>
      </c>
      <c r="E636" s="7" t="s">
        <v>84</v>
      </c>
      <c r="F636" s="7" t="s">
        <v>85</v>
      </c>
      <c r="G636" s="7" t="s">
        <v>16</v>
      </c>
      <c r="H636" s="7" t="s">
        <v>2663</v>
      </c>
      <c r="I636" s="9">
        <v>1237.44</v>
      </c>
      <c r="J636" s="7">
        <v>8</v>
      </c>
      <c r="K636" s="11">
        <v>0</v>
      </c>
      <c r="L636" s="9">
        <v>74.16</v>
      </c>
      <c r="M636" s="7" t="s">
        <v>32</v>
      </c>
      <c r="N636" t="str">
        <v>Bulk Order</v>
      </c>
    </row>
    <row r="637" spans="1:14">
      <c r="A637" s="7" t="s">
        <v>1153</v>
      </c>
      <c r="B637" s="8">
        <v>42228</v>
      </c>
      <c r="C637" s="8">
        <v>42231</v>
      </c>
      <c r="D637" s="7" t="s">
        <v>568</v>
      </c>
      <c r="E637" s="7" t="s">
        <v>120</v>
      </c>
      <c r="F637" s="7" t="s">
        <v>121</v>
      </c>
      <c r="G637" s="7" t="s">
        <v>16</v>
      </c>
      <c r="H637" s="7" t="s">
        <v>2654</v>
      </c>
      <c r="I637" s="9">
        <v>1018.32</v>
      </c>
      <c r="J637" s="7">
        <v>4</v>
      </c>
      <c r="K637" s="11">
        <v>0</v>
      </c>
      <c r="L637" s="9">
        <v>183.24</v>
      </c>
      <c r="M637" s="7" t="s">
        <v>23</v>
      </c>
      <c r="N637" t="str">
        <v>Normal Order</v>
      </c>
    </row>
    <row r="638" spans="1:14">
      <c r="A638" s="7" t="s">
        <v>274</v>
      </c>
      <c r="B638" s="8">
        <v>41634</v>
      </c>
      <c r="C638" s="8">
        <v>41636</v>
      </c>
      <c r="D638" s="7" t="s">
        <v>276</v>
      </c>
      <c r="E638" s="7" t="s">
        <v>186</v>
      </c>
      <c r="F638" s="7" t="s">
        <v>68</v>
      </c>
      <c r="G638" s="7" t="s">
        <v>39</v>
      </c>
      <c r="H638" s="7" t="s">
        <v>2656</v>
      </c>
      <c r="I638" s="9">
        <v>600.6</v>
      </c>
      <c r="J638" s="7">
        <v>13</v>
      </c>
      <c r="K638" s="11">
        <v>0</v>
      </c>
      <c r="L638" s="9">
        <v>131.82</v>
      </c>
      <c r="M638" s="7" t="s">
        <v>23</v>
      </c>
      <c r="N638" t="str">
        <v>Bulk Order</v>
      </c>
    </row>
    <row r="639" spans="1:14">
      <c r="A639" s="7" t="s">
        <v>1154</v>
      </c>
      <c r="B639" s="8">
        <v>41644</v>
      </c>
      <c r="C639" s="8">
        <v>41649</v>
      </c>
      <c r="D639" s="7" t="s">
        <v>1155</v>
      </c>
      <c r="E639" s="7" t="s">
        <v>62</v>
      </c>
      <c r="F639" s="7" t="s">
        <v>63</v>
      </c>
      <c r="G639" s="7" t="s">
        <v>28</v>
      </c>
      <c r="H639" s="7" t="s">
        <v>2662</v>
      </c>
      <c r="I639" s="9"/>
      <c r="J639" s="7">
        <v>7</v>
      </c>
      <c r="K639" s="11">
        <v>0.1</v>
      </c>
      <c r="L639" s="9">
        <v>1163.883</v>
      </c>
      <c r="M639" s="7" t="s">
        <v>17</v>
      </c>
      <c r="N639" t="str">
        <v>Bulk Order</v>
      </c>
    </row>
    <row r="640" spans="1:14">
      <c r="A640" s="7" t="s">
        <v>1156</v>
      </c>
      <c r="B640" s="8">
        <v>42367</v>
      </c>
      <c r="C640" s="8">
        <v>42369</v>
      </c>
      <c r="D640" s="7" t="s">
        <v>406</v>
      </c>
      <c r="E640" s="7" t="s">
        <v>14</v>
      </c>
      <c r="F640" s="7" t="s">
        <v>15</v>
      </c>
      <c r="G640" s="7" t="s">
        <v>39</v>
      </c>
      <c r="H640" s="7" t="s">
        <v>2660</v>
      </c>
      <c r="I640" s="9">
        <v>1534.8689999999999</v>
      </c>
      <c r="J640" s="7">
        <v>3</v>
      </c>
      <c r="K640" s="11">
        <v>0.1</v>
      </c>
      <c r="L640" s="9">
        <v>-102.411</v>
      </c>
      <c r="M640" s="7" t="s">
        <v>1157</v>
      </c>
      <c r="N640" t="str">
        <v>Normal Order</v>
      </c>
    </row>
    <row r="641" spans="1:14">
      <c r="A641" s="7" t="s">
        <v>1158</v>
      </c>
      <c r="B641" s="8">
        <v>41989</v>
      </c>
      <c r="C641" s="8">
        <v>41993</v>
      </c>
      <c r="D641" s="7" t="s">
        <v>1159</v>
      </c>
      <c r="E641" s="7" t="s">
        <v>27</v>
      </c>
      <c r="F641" s="7" t="s">
        <v>15</v>
      </c>
      <c r="G641" s="7" t="s">
        <v>16</v>
      </c>
      <c r="H641" s="7" t="s">
        <v>2663</v>
      </c>
      <c r="I641" s="9"/>
      <c r="J641" s="7">
        <v>10</v>
      </c>
      <c r="K641" s="11">
        <v>0</v>
      </c>
      <c r="L641" s="9">
        <v>2447.1</v>
      </c>
      <c r="M641" s="7" t="s">
        <v>17</v>
      </c>
      <c r="N641" t="str">
        <v>Bulk Order</v>
      </c>
    </row>
    <row r="642" spans="1:14">
      <c r="A642" s="7" t="s">
        <v>1160</v>
      </c>
      <c r="B642" s="8">
        <v>41697</v>
      </c>
      <c r="C642" s="8">
        <v>41702</v>
      </c>
      <c r="D642" s="7" t="s">
        <v>529</v>
      </c>
      <c r="E642" s="7" t="s">
        <v>131</v>
      </c>
      <c r="F642" s="7" t="s">
        <v>645</v>
      </c>
      <c r="G642" s="7" t="s">
        <v>16</v>
      </c>
      <c r="H642" s="7" t="s">
        <v>2661</v>
      </c>
      <c r="I642" s="9">
        <v>1781.13599999999</v>
      </c>
      <c r="J642" s="7">
        <v>8</v>
      </c>
      <c r="K642" s="11">
        <v>7.0000000000000007E-2</v>
      </c>
      <c r="L642" s="9"/>
      <c r="M642" s="7" t="s">
        <v>32</v>
      </c>
      <c r="N642" t="str">
        <v>Bulk Order</v>
      </c>
    </row>
    <row r="643" spans="1:14">
      <c r="A643" s="7" t="s">
        <v>1161</v>
      </c>
      <c r="B643" s="8">
        <v>41459</v>
      </c>
      <c r="C643" s="8">
        <v>41459</v>
      </c>
      <c r="D643" s="7" t="s">
        <v>1162</v>
      </c>
      <c r="E643" s="7" t="s">
        <v>52</v>
      </c>
      <c r="F643" s="7" t="s">
        <v>53</v>
      </c>
      <c r="G643" s="7" t="s">
        <v>16</v>
      </c>
      <c r="H643" s="7" t="s">
        <v>2657</v>
      </c>
      <c r="I643" s="9">
        <v>1363.2</v>
      </c>
      <c r="J643" s="7">
        <v>8</v>
      </c>
      <c r="K643" s="11">
        <v>0.6</v>
      </c>
      <c r="L643" s="9">
        <v>-1806.24</v>
      </c>
      <c r="M643" s="7" t="s">
        <v>23</v>
      </c>
      <c r="N643" t="str">
        <v>Bulk Order</v>
      </c>
    </row>
    <row r="644" spans="1:14">
      <c r="A644" s="7" t="s">
        <v>1163</v>
      </c>
      <c r="B644" s="8">
        <v>41506</v>
      </c>
      <c r="C644" s="8">
        <v>41510</v>
      </c>
      <c r="D644" s="7" t="s">
        <v>1164</v>
      </c>
      <c r="E644" s="7" t="s">
        <v>84</v>
      </c>
      <c r="F644" s="7" t="s">
        <v>85</v>
      </c>
      <c r="G644" s="7" t="s">
        <v>28</v>
      </c>
      <c r="H644" s="7" t="s">
        <v>2656</v>
      </c>
      <c r="I644" s="9">
        <v>3315.26999999999</v>
      </c>
      <c r="J644" s="7">
        <v>7</v>
      </c>
      <c r="K644" s="11">
        <v>0</v>
      </c>
      <c r="L644" s="9">
        <v>961.38</v>
      </c>
      <c r="M644" s="7" t="s">
        <v>32</v>
      </c>
      <c r="N644" t="str">
        <v>Bulk Order</v>
      </c>
    </row>
    <row r="645" spans="1:14">
      <c r="A645" s="7" t="s">
        <v>1165</v>
      </c>
      <c r="B645" s="8">
        <v>42015</v>
      </c>
      <c r="C645" s="8">
        <v>42313</v>
      </c>
      <c r="D645" s="7" t="s">
        <v>1037</v>
      </c>
      <c r="E645" s="7" t="s">
        <v>35</v>
      </c>
      <c r="F645" s="7" t="s">
        <v>36</v>
      </c>
      <c r="G645" s="7" t="s">
        <v>39</v>
      </c>
      <c r="H645" s="7" t="s">
        <v>2656</v>
      </c>
      <c r="I645" s="9">
        <v>5.2480000000000002</v>
      </c>
      <c r="J645" s="7"/>
      <c r="K645" s="11">
        <v>0.2</v>
      </c>
      <c r="L645" s="9">
        <v>0.59039999999999904</v>
      </c>
      <c r="M645" s="7"/>
      <c r="N645" t="str">
        <v>Normal Order</v>
      </c>
    </row>
    <row r="646" spans="1:14">
      <c r="A646" s="7"/>
      <c r="B646" s="8">
        <v>41458</v>
      </c>
      <c r="C646" s="8">
        <v>41462</v>
      </c>
      <c r="D646" s="7" t="s">
        <v>1166</v>
      </c>
      <c r="E646" s="7" t="s">
        <v>62</v>
      </c>
      <c r="F646" s="7" t="s">
        <v>63</v>
      </c>
      <c r="G646" s="7" t="s">
        <v>16</v>
      </c>
      <c r="H646" s="7" t="s">
        <v>2655</v>
      </c>
      <c r="I646" s="9">
        <v>2123.0279999999998</v>
      </c>
      <c r="J646" s="7">
        <v>8</v>
      </c>
      <c r="K646" s="11">
        <v>0.15</v>
      </c>
      <c r="L646" s="9">
        <v>124.787999999999</v>
      </c>
      <c r="M646" s="7" t="s">
        <v>32</v>
      </c>
      <c r="N646" t="str">
        <v>Bulk Order</v>
      </c>
    </row>
    <row r="647" spans="1:14">
      <c r="A647" s="7" t="s">
        <v>1167</v>
      </c>
      <c r="B647" s="8">
        <v>42337</v>
      </c>
      <c r="C647" s="8">
        <v>42342</v>
      </c>
      <c r="D647" s="7" t="s">
        <v>660</v>
      </c>
      <c r="E647" s="7" t="s">
        <v>20</v>
      </c>
      <c r="F647" s="7" t="s">
        <v>63</v>
      </c>
      <c r="G647" s="7"/>
      <c r="H647" s="7" t="s">
        <v>2663</v>
      </c>
      <c r="I647" s="9">
        <v>2478.84</v>
      </c>
      <c r="J647" s="7"/>
      <c r="K647" s="11">
        <v>0</v>
      </c>
      <c r="L647" s="9">
        <v>272.58</v>
      </c>
      <c r="M647" s="7" t="s">
        <v>17</v>
      </c>
      <c r="N647" t="str">
        <v>Normal Order</v>
      </c>
    </row>
    <row r="648" spans="1:14">
      <c r="A648" s="7" t="s">
        <v>1168</v>
      </c>
      <c r="B648" s="8">
        <v>41006</v>
      </c>
      <c r="C648" s="8">
        <v>41011</v>
      </c>
      <c r="D648" s="7" t="s">
        <v>287</v>
      </c>
      <c r="E648" s="7" t="s">
        <v>14</v>
      </c>
      <c r="F648" s="7" t="s">
        <v>15</v>
      </c>
      <c r="G648" s="7" t="s">
        <v>39</v>
      </c>
      <c r="H648" s="7" t="s">
        <v>2662</v>
      </c>
      <c r="I648" s="9">
        <v>1894.5360000000001</v>
      </c>
      <c r="J648" s="7">
        <v>4</v>
      </c>
      <c r="K648" s="11">
        <v>0.1</v>
      </c>
      <c r="L648" s="9">
        <v>505.17599999999999</v>
      </c>
      <c r="M648" s="7" t="s">
        <v>32</v>
      </c>
      <c r="N648" t="str">
        <v>Normal Order</v>
      </c>
    </row>
    <row r="649" spans="1:14">
      <c r="A649" s="7" t="s">
        <v>1169</v>
      </c>
      <c r="B649" s="8">
        <v>42328</v>
      </c>
      <c r="C649" s="8">
        <v>42331</v>
      </c>
      <c r="D649" s="7"/>
      <c r="E649" s="7" t="s">
        <v>35</v>
      </c>
      <c r="F649" s="7" t="s">
        <v>102</v>
      </c>
      <c r="G649" s="7" t="s">
        <v>1170</v>
      </c>
      <c r="H649" s="7" t="s">
        <v>2657</v>
      </c>
      <c r="I649" s="9">
        <v>41.28</v>
      </c>
      <c r="J649" s="7">
        <v>6</v>
      </c>
      <c r="K649" s="11">
        <v>0.2</v>
      </c>
      <c r="L649" s="9">
        <v>13.931999999999899</v>
      </c>
      <c r="M649" s="7" t="s">
        <v>17</v>
      </c>
      <c r="N649" t="str">
        <v>Bulk Order</v>
      </c>
    </row>
    <row r="650" spans="1:14">
      <c r="A650" s="7" t="s">
        <v>1171</v>
      </c>
      <c r="B650" s="8">
        <v>41403</v>
      </c>
      <c r="C650" s="8">
        <v>41407</v>
      </c>
      <c r="D650" s="7" t="s">
        <v>1172</v>
      </c>
      <c r="E650" s="7" t="s">
        <v>438</v>
      </c>
      <c r="F650" s="7" t="s">
        <v>438</v>
      </c>
      <c r="G650" s="7" t="s">
        <v>39</v>
      </c>
      <c r="H650" s="7" t="s">
        <v>2661</v>
      </c>
      <c r="I650" s="9">
        <v>187.01999999999899</v>
      </c>
      <c r="J650" s="7">
        <v>6</v>
      </c>
      <c r="K650" s="11">
        <v>0</v>
      </c>
      <c r="L650" s="9">
        <v>26.099999999999898</v>
      </c>
      <c r="M650" s="7" t="s">
        <v>584</v>
      </c>
      <c r="N650" t="str">
        <v>Bulk Order</v>
      </c>
    </row>
    <row r="651" spans="1:14">
      <c r="A651" s="7" t="s">
        <v>1173</v>
      </c>
      <c r="B651" s="8">
        <v>41597</v>
      </c>
      <c r="C651" s="8">
        <v>41601</v>
      </c>
      <c r="D651" s="7" t="s">
        <v>475</v>
      </c>
      <c r="E651" s="7" t="s">
        <v>58</v>
      </c>
      <c r="F651" s="7" t="s">
        <v>81</v>
      </c>
      <c r="G651" s="7" t="s">
        <v>16</v>
      </c>
      <c r="H651" s="7" t="s">
        <v>2664</v>
      </c>
      <c r="I651" s="9">
        <v>1317.8999999999901</v>
      </c>
      <c r="J651" s="7">
        <v>5</v>
      </c>
      <c r="K651" s="11">
        <v>0</v>
      </c>
      <c r="L651" s="9">
        <v>0</v>
      </c>
      <c r="M651" s="7" t="s">
        <v>32</v>
      </c>
      <c r="N651" t="str">
        <v>Normal Order</v>
      </c>
    </row>
    <row r="652" spans="1:14">
      <c r="A652" s="7" t="s">
        <v>411</v>
      </c>
      <c r="B652" s="8">
        <v>42248</v>
      </c>
      <c r="C652" s="8">
        <v>42248</v>
      </c>
      <c r="D652" s="7" t="s">
        <v>412</v>
      </c>
      <c r="E652" s="7" t="s">
        <v>20</v>
      </c>
      <c r="F652" s="7" t="s">
        <v>63</v>
      </c>
      <c r="G652" s="7" t="s">
        <v>16</v>
      </c>
      <c r="H652" s="7" t="s">
        <v>2657</v>
      </c>
      <c r="I652" s="9">
        <v>1350.09</v>
      </c>
      <c r="J652" s="7">
        <v>7</v>
      </c>
      <c r="K652" s="11">
        <v>0</v>
      </c>
      <c r="L652" s="9">
        <v>256.41000000000003</v>
      </c>
      <c r="M652" s="7" t="s">
        <v>23</v>
      </c>
      <c r="N652" t="str">
        <v>Bulk Order</v>
      </c>
    </row>
    <row r="653" spans="1:14">
      <c r="A653" s="7" t="s">
        <v>1174</v>
      </c>
      <c r="B653" s="8">
        <v>41947</v>
      </c>
      <c r="C653" s="8">
        <v>41951</v>
      </c>
      <c r="D653" s="7"/>
      <c r="E653" s="7" t="s">
        <v>58</v>
      </c>
      <c r="F653" s="7" t="s">
        <v>81</v>
      </c>
      <c r="G653" s="7" t="s">
        <v>16</v>
      </c>
      <c r="H653" s="7" t="s">
        <v>2657</v>
      </c>
      <c r="I653" s="9">
        <v>1839.18</v>
      </c>
      <c r="J653" s="7">
        <v>7</v>
      </c>
      <c r="K653" s="11">
        <v>0</v>
      </c>
      <c r="L653" s="9">
        <v>238.98</v>
      </c>
      <c r="M653" s="7" t="s">
        <v>32</v>
      </c>
      <c r="N653" t="str">
        <v>Bulk Order</v>
      </c>
    </row>
    <row r="654" spans="1:14">
      <c r="A654" s="7" t="s">
        <v>1169</v>
      </c>
      <c r="B654" s="8">
        <v>42328</v>
      </c>
      <c r="C654" s="8">
        <v>42331</v>
      </c>
      <c r="D654" s="7" t="s">
        <v>1172</v>
      </c>
      <c r="E654" s="7" t="s">
        <v>35</v>
      </c>
      <c r="F654" s="7" t="s">
        <v>102</v>
      </c>
      <c r="G654" s="7" t="s">
        <v>39</v>
      </c>
      <c r="H654" s="7" t="s">
        <v>2657</v>
      </c>
      <c r="I654" s="9">
        <v>13.36</v>
      </c>
      <c r="J654" s="7">
        <v>2</v>
      </c>
      <c r="K654" s="11">
        <v>0</v>
      </c>
      <c r="L654" s="9">
        <v>6.4127999999999998</v>
      </c>
      <c r="M654" s="7" t="s">
        <v>17</v>
      </c>
      <c r="N654" t="str">
        <v>Normal Order</v>
      </c>
    </row>
    <row r="655" spans="1:14">
      <c r="A655" s="7" t="s">
        <v>1175</v>
      </c>
      <c r="B655" s="8">
        <v>41962</v>
      </c>
      <c r="C655" s="8">
        <v>41967</v>
      </c>
      <c r="D655" s="7" t="s">
        <v>1099</v>
      </c>
      <c r="E655" s="7" t="s">
        <v>84</v>
      </c>
      <c r="F655" s="7" t="s">
        <v>85</v>
      </c>
      <c r="G655" s="7" t="s">
        <v>16</v>
      </c>
      <c r="H655" s="7" t="s">
        <v>2662</v>
      </c>
      <c r="I655" s="9">
        <v>1908.18</v>
      </c>
      <c r="J655" s="7">
        <v>3</v>
      </c>
      <c r="K655" s="11">
        <v>0</v>
      </c>
      <c r="L655" s="9">
        <v>820.44</v>
      </c>
      <c r="M655" s="7" t="s">
        <v>32</v>
      </c>
      <c r="N655" t="str">
        <v>Normal Order</v>
      </c>
    </row>
    <row r="656" spans="1:14">
      <c r="A656" s="7" t="s">
        <v>1176</v>
      </c>
      <c r="B656" s="8">
        <v>42369</v>
      </c>
      <c r="C656" s="8">
        <v>42372</v>
      </c>
      <c r="D656" s="7" t="s">
        <v>1177</v>
      </c>
      <c r="E656" s="7" t="s">
        <v>52</v>
      </c>
      <c r="F656" s="7" t="s">
        <v>53</v>
      </c>
      <c r="G656" s="7" t="s">
        <v>16</v>
      </c>
      <c r="H656" s="7" t="s">
        <v>2657</v>
      </c>
      <c r="I656" s="9">
        <v>1264.4659999999999</v>
      </c>
      <c r="J656" s="7">
        <v>5</v>
      </c>
      <c r="K656" s="11">
        <v>2E-3</v>
      </c>
      <c r="L656" s="9"/>
      <c r="M656" s="7" t="s">
        <v>32</v>
      </c>
      <c r="N656" t="str">
        <v>Normal Order</v>
      </c>
    </row>
    <row r="657" spans="1:14">
      <c r="A657" s="7" t="s">
        <v>1178</v>
      </c>
      <c r="B657" s="7"/>
      <c r="C657" s="8">
        <v>41963</v>
      </c>
      <c r="D657" s="7"/>
      <c r="E657" s="7" t="s">
        <v>35</v>
      </c>
      <c r="F657" s="7" t="s">
        <v>38</v>
      </c>
      <c r="G657" s="7" t="s">
        <v>28</v>
      </c>
      <c r="H657" s="7" t="s">
        <v>2656</v>
      </c>
      <c r="I657" s="9">
        <v>4.18</v>
      </c>
      <c r="J657" s="7">
        <v>1</v>
      </c>
      <c r="K657" s="11">
        <v>0</v>
      </c>
      <c r="L657" s="9">
        <v>1.5047999999999999</v>
      </c>
      <c r="M657" s="7" t="s">
        <v>17</v>
      </c>
      <c r="N657" t="str">
        <v>Normal Order</v>
      </c>
    </row>
    <row r="658" spans="1:14">
      <c r="A658" s="7" t="s">
        <v>1179</v>
      </c>
      <c r="B658" s="8">
        <v>41306</v>
      </c>
      <c r="C658" s="8">
        <v>41309</v>
      </c>
      <c r="D658" s="7" t="s">
        <v>1180</v>
      </c>
      <c r="E658" s="7" t="s">
        <v>20</v>
      </c>
      <c r="F658" s="7" t="s">
        <v>63</v>
      </c>
      <c r="G658" s="7" t="s">
        <v>612</v>
      </c>
      <c r="H658" s="7" t="s">
        <v>2657</v>
      </c>
      <c r="I658" s="9">
        <v>965.16</v>
      </c>
      <c r="J658" s="7">
        <v>7</v>
      </c>
      <c r="K658" s="11">
        <v>0</v>
      </c>
      <c r="L658" s="9">
        <v>463.25999999999902</v>
      </c>
      <c r="M658" s="7" t="s">
        <v>32</v>
      </c>
      <c r="N658" t="str">
        <v>Bulk Order</v>
      </c>
    </row>
    <row r="659" spans="1:14">
      <c r="A659" s="7" t="s">
        <v>1181</v>
      </c>
      <c r="B659" s="8">
        <v>41717</v>
      </c>
      <c r="C659" s="8">
        <v>41717</v>
      </c>
      <c r="D659" s="7" t="s">
        <v>1182</v>
      </c>
      <c r="E659" s="7" t="s">
        <v>62</v>
      </c>
      <c r="F659" s="7" t="s">
        <v>63</v>
      </c>
      <c r="G659" s="7" t="s">
        <v>39</v>
      </c>
      <c r="H659" s="7" t="s">
        <v>2660</v>
      </c>
      <c r="I659" s="9">
        <v>748.11599999999999</v>
      </c>
      <c r="J659" s="7">
        <v>4</v>
      </c>
      <c r="K659" s="11">
        <v>0.1</v>
      </c>
      <c r="L659" s="9">
        <v>282.515999999999</v>
      </c>
      <c r="M659" s="7" t="s">
        <v>23</v>
      </c>
      <c r="N659" t="str">
        <v>Normal Order</v>
      </c>
    </row>
    <row r="660" spans="1:14">
      <c r="A660" s="7" t="s">
        <v>1183</v>
      </c>
      <c r="B660" s="7" t="s">
        <v>1184</v>
      </c>
      <c r="C660" s="8">
        <v>41356</v>
      </c>
      <c r="D660" s="7" t="s">
        <v>1185</v>
      </c>
      <c r="E660" s="7"/>
      <c r="F660" s="7" t="s">
        <v>63</v>
      </c>
      <c r="G660" s="7" t="s">
        <v>28</v>
      </c>
      <c r="H660" s="7" t="s">
        <v>2656</v>
      </c>
      <c r="I660" s="9">
        <v>943.86599999999999</v>
      </c>
      <c r="J660" s="7">
        <v>7</v>
      </c>
      <c r="K660" s="11">
        <v>0.1</v>
      </c>
      <c r="L660" s="9">
        <v>209.70599999999899</v>
      </c>
      <c r="M660" s="7" t="s">
        <v>1186</v>
      </c>
      <c r="N660" t="str">
        <v>Bulk Order</v>
      </c>
    </row>
    <row r="661" spans="1:14">
      <c r="A661" s="7"/>
      <c r="B661" s="8">
        <v>42148</v>
      </c>
      <c r="C661" s="8">
        <v>42153</v>
      </c>
      <c r="D661" s="7" t="s">
        <v>205</v>
      </c>
      <c r="E661" s="7" t="s">
        <v>58</v>
      </c>
      <c r="F661" s="7" t="s">
        <v>81</v>
      </c>
      <c r="G661" s="7" t="s">
        <v>28</v>
      </c>
      <c r="H661" s="7" t="s">
        <v>2664</v>
      </c>
      <c r="I661" s="9">
        <v>1447.44</v>
      </c>
      <c r="J661" s="7">
        <v>4</v>
      </c>
      <c r="K661" s="11">
        <v>0</v>
      </c>
      <c r="L661" s="9">
        <v>43.32</v>
      </c>
      <c r="M661" s="7" t="s">
        <v>17</v>
      </c>
      <c r="N661" t="str">
        <v>Normal Order</v>
      </c>
    </row>
    <row r="662" spans="1:14">
      <c r="A662" s="7" t="s">
        <v>1187</v>
      </c>
      <c r="B662" s="8">
        <v>41804</v>
      </c>
      <c r="C662" s="8">
        <v>41806</v>
      </c>
      <c r="D662" s="7" t="s">
        <v>618</v>
      </c>
      <c r="E662" s="7" t="s">
        <v>67</v>
      </c>
      <c r="F662" s="7" t="s">
        <v>68</v>
      </c>
      <c r="G662" s="7" t="s">
        <v>16</v>
      </c>
      <c r="H662" s="7" t="s">
        <v>2663</v>
      </c>
      <c r="I662" s="9">
        <v>1552.5</v>
      </c>
      <c r="J662" s="7">
        <v>6</v>
      </c>
      <c r="K662" s="11">
        <v>0</v>
      </c>
      <c r="L662" s="9">
        <v>62.1</v>
      </c>
      <c r="M662" s="7" t="s">
        <v>17</v>
      </c>
      <c r="N662" t="str">
        <v>Bulk Order</v>
      </c>
    </row>
    <row r="663" spans="1:14">
      <c r="A663" s="7" t="s">
        <v>1188</v>
      </c>
      <c r="B663" s="8">
        <v>40972</v>
      </c>
      <c r="C663" s="8">
        <v>40975</v>
      </c>
      <c r="D663" s="7" t="s">
        <v>207</v>
      </c>
      <c r="E663" s="7" t="s">
        <v>35</v>
      </c>
      <c r="F663" s="7" t="s">
        <v>102</v>
      </c>
      <c r="G663" s="7" t="s">
        <v>16</v>
      </c>
      <c r="H663" s="7" t="s">
        <v>2663</v>
      </c>
      <c r="I663" s="9">
        <v>479.97</v>
      </c>
      <c r="J663" s="7">
        <v>3</v>
      </c>
      <c r="K663" s="11">
        <v>0</v>
      </c>
      <c r="L663" s="9">
        <v>177.5889</v>
      </c>
      <c r="M663" s="7" t="s">
        <v>17</v>
      </c>
      <c r="N663" t="str">
        <v>Normal Order</v>
      </c>
    </row>
    <row r="664" spans="1:14">
      <c r="A664" s="7" t="s">
        <v>1188</v>
      </c>
      <c r="B664" s="8">
        <v>40972</v>
      </c>
      <c r="C664" s="8">
        <v>40975</v>
      </c>
      <c r="D664" s="7" t="s">
        <v>207</v>
      </c>
      <c r="E664" s="7" t="s">
        <v>35</v>
      </c>
      <c r="F664" s="7"/>
      <c r="G664" s="7" t="s">
        <v>154</v>
      </c>
      <c r="H664" s="7" t="s">
        <v>2654</v>
      </c>
      <c r="I664" s="9">
        <v>97.82</v>
      </c>
      <c r="J664" s="7">
        <v>2</v>
      </c>
      <c r="K664" s="11"/>
      <c r="L664" s="9">
        <v>45.975399999999901</v>
      </c>
      <c r="M664" s="7" t="s">
        <v>17</v>
      </c>
      <c r="N664" t="str">
        <v>Normal Order</v>
      </c>
    </row>
    <row r="665" spans="1:14">
      <c r="A665" s="7" t="s">
        <v>1188</v>
      </c>
      <c r="B665" s="8">
        <v>40972</v>
      </c>
      <c r="C665" s="8">
        <v>40975</v>
      </c>
      <c r="D665" s="7" t="s">
        <v>207</v>
      </c>
      <c r="E665" s="7" t="s">
        <v>35</v>
      </c>
      <c r="F665" s="7" t="s">
        <v>102</v>
      </c>
      <c r="G665" s="7" t="s">
        <v>39</v>
      </c>
      <c r="H665" s="7" t="s">
        <v>2657</v>
      </c>
      <c r="I665" s="9">
        <v>59.519999999999897</v>
      </c>
      <c r="J665" s="7">
        <v>3</v>
      </c>
      <c r="K665" s="11">
        <v>0</v>
      </c>
      <c r="L665" s="9">
        <v>15.475199999999999</v>
      </c>
      <c r="M665" s="7" t="s">
        <v>17</v>
      </c>
      <c r="N665" t="str">
        <v>Normal Order</v>
      </c>
    </row>
    <row r="666" spans="1:14">
      <c r="A666" s="7"/>
      <c r="B666" s="8">
        <v>41982</v>
      </c>
      <c r="C666" s="8">
        <v>41984</v>
      </c>
      <c r="D666" s="7"/>
      <c r="E666" s="7" t="s">
        <v>52</v>
      </c>
      <c r="F666" s="7" t="s">
        <v>53</v>
      </c>
      <c r="G666" s="7" t="s">
        <v>28</v>
      </c>
      <c r="H666" s="7" t="s">
        <v>2661</v>
      </c>
      <c r="I666" s="9">
        <v>919.25999999999897</v>
      </c>
      <c r="J666" s="7">
        <v>3</v>
      </c>
      <c r="K666" s="11"/>
      <c r="L666" s="9">
        <v>266.58</v>
      </c>
      <c r="M666" s="7" t="s">
        <v>23</v>
      </c>
      <c r="N666" t="str">
        <v>Normal Order</v>
      </c>
    </row>
    <row r="667" spans="1:14">
      <c r="A667" s="7" t="s">
        <v>1189</v>
      </c>
      <c r="B667" s="10">
        <v>41892</v>
      </c>
      <c r="C667" s="8">
        <v>41926</v>
      </c>
      <c r="D667" s="7" t="s">
        <v>1134</v>
      </c>
      <c r="E667" s="7" t="s">
        <v>88</v>
      </c>
      <c r="F667" s="7" t="s">
        <v>89</v>
      </c>
      <c r="G667" s="7" t="s">
        <v>16</v>
      </c>
      <c r="H667" s="7" t="s">
        <v>2655</v>
      </c>
      <c r="I667" s="9">
        <v>3045.8399999999901</v>
      </c>
      <c r="J667" s="7"/>
      <c r="K667" s="11">
        <v>0</v>
      </c>
      <c r="L667" s="9">
        <v>1035.58</v>
      </c>
      <c r="M667" s="7" t="s">
        <v>32</v>
      </c>
      <c r="N667" t="str">
        <v>Normal Order</v>
      </c>
    </row>
    <row r="668" spans="1:14">
      <c r="A668" s="7" t="s">
        <v>1190</v>
      </c>
      <c r="B668" s="8">
        <v>41928</v>
      </c>
      <c r="C668" s="8">
        <v>41930</v>
      </c>
      <c r="D668" s="7" t="s">
        <v>1191</v>
      </c>
      <c r="E668" s="7" t="s">
        <v>14</v>
      </c>
      <c r="F668" s="7" t="s">
        <v>15</v>
      </c>
      <c r="G668" s="7" t="s">
        <v>16</v>
      </c>
      <c r="H668" s="7" t="s">
        <v>2655</v>
      </c>
      <c r="I668" s="9">
        <v>766.87199999999996</v>
      </c>
      <c r="J668" s="7"/>
      <c r="K668" s="11">
        <v>0.4</v>
      </c>
      <c r="L668" s="9">
        <v>114.971999999999</v>
      </c>
      <c r="M668" s="7" t="s">
        <v>32</v>
      </c>
      <c r="N668" t="str">
        <v>Normal Order</v>
      </c>
    </row>
    <row r="669" spans="1:14">
      <c r="A669" s="7" t="s">
        <v>1192</v>
      </c>
      <c r="B669" s="7"/>
      <c r="C669" s="8">
        <v>41270</v>
      </c>
      <c r="D669" s="7" t="s">
        <v>1193</v>
      </c>
      <c r="E669" s="7" t="s">
        <v>221</v>
      </c>
      <c r="F669" s="7" t="s">
        <v>222</v>
      </c>
      <c r="G669" s="7" t="s">
        <v>28</v>
      </c>
      <c r="H669" s="7" t="s">
        <v>2656</v>
      </c>
      <c r="I669" s="9">
        <v>2880.18</v>
      </c>
      <c r="J669" s="7">
        <v>6</v>
      </c>
      <c r="K669" s="11">
        <v>0</v>
      </c>
      <c r="L669" s="9">
        <v>115.2</v>
      </c>
      <c r="M669" s="7" t="s">
        <v>17</v>
      </c>
      <c r="N669" t="str">
        <v>Bulk Order</v>
      </c>
    </row>
    <row r="670" spans="1:14">
      <c r="A670" s="7" t="s">
        <v>1194</v>
      </c>
      <c r="B670" s="8">
        <v>41745</v>
      </c>
      <c r="C670" s="8">
        <v>41748</v>
      </c>
      <c r="D670" s="7" t="s">
        <v>1195</v>
      </c>
      <c r="E670" s="7" t="s">
        <v>52</v>
      </c>
      <c r="F670" s="7" t="s">
        <v>53</v>
      </c>
      <c r="G670" s="7" t="s">
        <v>39</v>
      </c>
      <c r="H670" s="7" t="s">
        <v>2656</v>
      </c>
      <c r="I670" s="9">
        <v>1403.36</v>
      </c>
      <c r="J670" s="7">
        <v>4</v>
      </c>
      <c r="K670" s="11">
        <v>0</v>
      </c>
      <c r="L670" s="9">
        <v>449.039999999999</v>
      </c>
      <c r="M670" s="7" t="s">
        <v>773</v>
      </c>
      <c r="N670" t="str">
        <v>Normal Order</v>
      </c>
    </row>
    <row r="671" spans="1:14">
      <c r="A671" s="7" t="s">
        <v>431</v>
      </c>
      <c r="B671" s="8">
        <v>41129</v>
      </c>
      <c r="C671" s="8">
        <v>41129</v>
      </c>
      <c r="D671" s="7" t="s">
        <v>432</v>
      </c>
      <c r="E671" s="7" t="s">
        <v>110</v>
      </c>
      <c r="F671" s="7" t="s">
        <v>111</v>
      </c>
      <c r="G671" s="7" t="s">
        <v>39</v>
      </c>
      <c r="H671" s="7" t="s">
        <v>2658</v>
      </c>
      <c r="I671" s="9">
        <v>1819.104</v>
      </c>
      <c r="J671" s="7"/>
      <c r="K671" s="11">
        <v>0.2</v>
      </c>
      <c r="L671" s="9">
        <v>500.183999999999</v>
      </c>
      <c r="M671" s="7" t="s">
        <v>32</v>
      </c>
      <c r="N671" t="str">
        <v>Normal Order</v>
      </c>
    </row>
    <row r="672" spans="1:14">
      <c r="A672" s="7" t="s">
        <v>1188</v>
      </c>
      <c r="B672" s="8">
        <v>40972</v>
      </c>
      <c r="C672" s="8">
        <v>40975</v>
      </c>
      <c r="D672" s="7" t="s">
        <v>207</v>
      </c>
      <c r="E672" s="7" t="s">
        <v>35</v>
      </c>
      <c r="F672" s="7" t="s">
        <v>102</v>
      </c>
      <c r="G672" s="7" t="s">
        <v>39</v>
      </c>
      <c r="H672" s="7" t="s">
        <v>2661</v>
      </c>
      <c r="I672" s="9">
        <v>49.631999999999998</v>
      </c>
      <c r="J672" s="7">
        <v>6</v>
      </c>
      <c r="K672" s="11">
        <v>0.2</v>
      </c>
      <c r="L672" s="9">
        <v>16.750799999999899</v>
      </c>
      <c r="M672" s="7" t="s">
        <v>17</v>
      </c>
      <c r="N672" t="str">
        <v>Bulk Order</v>
      </c>
    </row>
    <row r="673" spans="1:14">
      <c r="A673" s="7" t="s">
        <v>1196</v>
      </c>
      <c r="B673" s="8">
        <v>41200</v>
      </c>
      <c r="C673" s="8">
        <v>41205</v>
      </c>
      <c r="D673" s="7" t="s">
        <v>551</v>
      </c>
      <c r="E673" s="7" t="s">
        <v>58</v>
      </c>
      <c r="F673" s="7" t="s">
        <v>81</v>
      </c>
      <c r="G673" s="7" t="s">
        <v>28</v>
      </c>
      <c r="H673" s="7" t="s">
        <v>2661</v>
      </c>
      <c r="I673" s="9">
        <v>2018.3309999999999</v>
      </c>
      <c r="J673" s="7">
        <v>9</v>
      </c>
      <c r="K673" s="11">
        <v>0.3</v>
      </c>
      <c r="L673" s="9">
        <v>-576.90899999999999</v>
      </c>
      <c r="M673" s="7" t="s">
        <v>943</v>
      </c>
      <c r="N673" t="str">
        <v>Bulk Order</v>
      </c>
    </row>
    <row r="674" spans="1:14">
      <c r="A674" s="7"/>
      <c r="B674" s="8">
        <v>40962</v>
      </c>
      <c r="C674" s="8">
        <v>40965</v>
      </c>
      <c r="D674" s="7" t="s">
        <v>780</v>
      </c>
      <c r="E674" s="7" t="s">
        <v>105</v>
      </c>
      <c r="F674" s="7" t="s">
        <v>106</v>
      </c>
      <c r="G674" s="7" t="s">
        <v>28</v>
      </c>
      <c r="H674" s="7" t="s">
        <v>2654</v>
      </c>
      <c r="I674" s="9">
        <v>2065.5</v>
      </c>
      <c r="J674" s="7">
        <v>5</v>
      </c>
      <c r="K674" s="11">
        <v>0</v>
      </c>
      <c r="L674" s="9">
        <v>41.25</v>
      </c>
      <c r="M674" s="7" t="s">
        <v>32</v>
      </c>
      <c r="N674" t="str">
        <v>Normal Order</v>
      </c>
    </row>
    <row r="675" spans="1:14">
      <c r="A675" s="7"/>
      <c r="B675" s="7" t="s">
        <v>1197</v>
      </c>
      <c r="C675" s="10">
        <v>41216</v>
      </c>
      <c r="D675" s="7" t="s">
        <v>565</v>
      </c>
      <c r="E675" s="7" t="s">
        <v>58</v>
      </c>
      <c r="F675" s="7" t="s">
        <v>59</v>
      </c>
      <c r="G675" s="7" t="s">
        <v>16</v>
      </c>
      <c r="H675" s="7" t="s">
        <v>2658</v>
      </c>
      <c r="I675" s="9"/>
      <c r="J675" s="7">
        <v>4</v>
      </c>
      <c r="K675" s="11">
        <v>0</v>
      </c>
      <c r="L675" s="9">
        <v>382.2</v>
      </c>
      <c r="M675" s="7" t="s">
        <v>23</v>
      </c>
      <c r="N675" t="str">
        <v>Normal Order</v>
      </c>
    </row>
    <row r="676" spans="1:14">
      <c r="A676" s="7" t="s">
        <v>1198</v>
      </c>
      <c r="B676" s="8">
        <v>42029</v>
      </c>
      <c r="C676" s="8">
        <v>42033</v>
      </c>
      <c r="D676" s="7" t="s">
        <v>1199</v>
      </c>
      <c r="E676" s="7" t="s">
        <v>105</v>
      </c>
      <c r="F676" s="7" t="s">
        <v>106</v>
      </c>
      <c r="G676" s="7" t="s">
        <v>28</v>
      </c>
      <c r="H676" s="7" t="s">
        <v>2663</v>
      </c>
      <c r="I676" s="9">
        <v>2485.6199999999899</v>
      </c>
      <c r="J676" s="7">
        <v>6</v>
      </c>
      <c r="K676" s="11">
        <v>0</v>
      </c>
      <c r="L676" s="9">
        <v>795.24</v>
      </c>
      <c r="M676" s="7" t="s">
        <v>17</v>
      </c>
      <c r="N676" t="str">
        <v>Bulk Order</v>
      </c>
    </row>
    <row r="677" spans="1:14">
      <c r="A677" s="7" t="s">
        <v>1200</v>
      </c>
      <c r="B677" s="8">
        <v>42173</v>
      </c>
      <c r="C677" s="8">
        <v>42173</v>
      </c>
      <c r="D677" s="7" t="s">
        <v>1201</v>
      </c>
      <c r="E677" s="7" t="s">
        <v>84</v>
      </c>
      <c r="F677" s="7" t="s">
        <v>85</v>
      </c>
      <c r="G677" s="7" t="s">
        <v>1095</v>
      </c>
      <c r="H677" s="7" t="s">
        <v>2657</v>
      </c>
      <c r="I677" s="9">
        <v>1560.23999999999</v>
      </c>
      <c r="J677" s="7">
        <v>3</v>
      </c>
      <c r="K677" s="11">
        <v>0</v>
      </c>
      <c r="L677" s="9">
        <v>421.19999999999902</v>
      </c>
      <c r="M677" s="7" t="s">
        <v>32</v>
      </c>
      <c r="N677" t="str">
        <v>Normal Order</v>
      </c>
    </row>
    <row r="678" spans="1:14">
      <c r="A678" s="7" t="s">
        <v>1202</v>
      </c>
      <c r="B678" s="8">
        <v>41266</v>
      </c>
      <c r="C678" s="8">
        <v>41272</v>
      </c>
      <c r="D678" s="7" t="s">
        <v>1147</v>
      </c>
      <c r="E678" s="7" t="s">
        <v>725</v>
      </c>
      <c r="F678" s="7"/>
      <c r="G678" s="7" t="s">
        <v>16</v>
      </c>
      <c r="H678" s="7" t="s">
        <v>2663</v>
      </c>
      <c r="I678" s="9">
        <v>3271.2</v>
      </c>
      <c r="J678" s="7">
        <v>5</v>
      </c>
      <c r="K678" s="11">
        <v>0</v>
      </c>
      <c r="L678" s="9">
        <v>1341.15</v>
      </c>
      <c r="M678" s="7" t="s">
        <v>17</v>
      </c>
      <c r="N678" t="str">
        <v>Normal Order</v>
      </c>
    </row>
    <row r="679" spans="1:14">
      <c r="A679" s="7" t="s">
        <v>1203</v>
      </c>
      <c r="B679" s="8">
        <v>41647</v>
      </c>
      <c r="C679" s="8">
        <v>41650</v>
      </c>
      <c r="D679" s="7" t="s">
        <v>1204</v>
      </c>
      <c r="E679" s="7" t="s">
        <v>88</v>
      </c>
      <c r="F679" s="7" t="s">
        <v>89</v>
      </c>
      <c r="G679" s="7" t="s">
        <v>28</v>
      </c>
      <c r="H679" s="7" t="s">
        <v>2661</v>
      </c>
      <c r="I679" s="9">
        <v>751.48799999999903</v>
      </c>
      <c r="J679" s="7"/>
      <c r="K679" s="11">
        <v>0.2</v>
      </c>
      <c r="L679" s="9">
        <v>-112.752</v>
      </c>
      <c r="M679" s="7" t="s">
        <v>23</v>
      </c>
      <c r="N679" t="str">
        <v>Normal Order</v>
      </c>
    </row>
    <row r="680" spans="1:14">
      <c r="A680" s="7" t="s">
        <v>1206</v>
      </c>
      <c r="B680" s="8">
        <v>41643</v>
      </c>
      <c r="C680" s="8">
        <v>41649</v>
      </c>
      <c r="D680" s="7" t="s">
        <v>354</v>
      </c>
      <c r="E680" s="7" t="s">
        <v>346</v>
      </c>
      <c r="F680" s="7" t="s">
        <v>89</v>
      </c>
      <c r="G680" s="7" t="s">
        <v>16</v>
      </c>
      <c r="H680" s="7" t="s">
        <v>2656</v>
      </c>
      <c r="I680" s="9">
        <v>2120.8000000000002</v>
      </c>
      <c r="J680" s="7">
        <v>5</v>
      </c>
      <c r="K680" s="11">
        <v>0</v>
      </c>
      <c r="L680" s="9">
        <v>275.7</v>
      </c>
      <c r="M680" s="7" t="s">
        <v>17</v>
      </c>
      <c r="N680" t="str">
        <v>Normal Order</v>
      </c>
    </row>
    <row r="681" spans="1:14">
      <c r="A681" s="7" t="s">
        <v>1207</v>
      </c>
      <c r="B681" s="8">
        <v>42035</v>
      </c>
      <c r="C681" s="8">
        <v>42039</v>
      </c>
      <c r="D681" s="7" t="s">
        <v>825</v>
      </c>
      <c r="E681" s="7" t="s">
        <v>62</v>
      </c>
      <c r="F681" s="7" t="s">
        <v>63</v>
      </c>
      <c r="G681" s="7" t="s">
        <v>16</v>
      </c>
      <c r="H681" s="7" t="s">
        <v>2655</v>
      </c>
      <c r="I681" s="9">
        <v>2102.8319999999999</v>
      </c>
      <c r="J681" s="7">
        <v>8</v>
      </c>
      <c r="K681" s="11">
        <v>0.15</v>
      </c>
      <c r="L681" s="9">
        <v>2270.15770744771</v>
      </c>
      <c r="M681" s="7" t="s">
        <v>32</v>
      </c>
      <c r="N681" t="str">
        <v>Bulk Order</v>
      </c>
    </row>
    <row r="682" spans="1:14">
      <c r="A682" s="7" t="s">
        <v>1208</v>
      </c>
      <c r="B682" s="8">
        <v>41216</v>
      </c>
      <c r="C682" s="8">
        <v>41218</v>
      </c>
      <c r="D682" s="7"/>
      <c r="E682" s="7" t="s">
        <v>62</v>
      </c>
      <c r="F682" s="7" t="s">
        <v>63</v>
      </c>
      <c r="G682" s="7" t="s">
        <v>16</v>
      </c>
      <c r="H682" s="7" t="s">
        <v>2656</v>
      </c>
      <c r="I682" s="9">
        <v>820.48800000000006</v>
      </c>
      <c r="J682" s="7">
        <v>8</v>
      </c>
      <c r="K682" s="11">
        <v>0.15</v>
      </c>
      <c r="L682" s="9">
        <v>183.28799999999899</v>
      </c>
      <c r="M682" s="7" t="s">
        <v>23</v>
      </c>
      <c r="N682" t="str">
        <v>Bulk Order</v>
      </c>
    </row>
    <row r="683" spans="1:14">
      <c r="A683" s="7"/>
      <c r="B683" s="8">
        <v>42252</v>
      </c>
      <c r="C683" s="8">
        <v>42256</v>
      </c>
      <c r="D683" s="7" t="s">
        <v>207</v>
      </c>
      <c r="E683" s="7" t="s">
        <v>35</v>
      </c>
      <c r="F683" s="7" t="s">
        <v>102</v>
      </c>
      <c r="G683" s="7" t="s">
        <v>16</v>
      </c>
      <c r="H683" s="7" t="s">
        <v>2662</v>
      </c>
      <c r="I683" s="9">
        <v>91.96</v>
      </c>
      <c r="J683" s="7">
        <v>4</v>
      </c>
      <c r="K683" s="11">
        <v>0</v>
      </c>
      <c r="L683" s="9">
        <v>39.5428</v>
      </c>
      <c r="M683" s="7" t="s">
        <v>17</v>
      </c>
      <c r="N683" t="str">
        <v>Normal Order</v>
      </c>
    </row>
    <row r="684" spans="1:14">
      <c r="A684" s="7" t="s">
        <v>1209</v>
      </c>
      <c r="B684" s="8">
        <v>41906</v>
      </c>
      <c r="C684" s="10">
        <v>41906</v>
      </c>
      <c r="D684" s="7" t="s">
        <v>1210</v>
      </c>
      <c r="E684" s="7" t="s">
        <v>74</v>
      </c>
      <c r="F684" s="7" t="s">
        <v>75</v>
      </c>
      <c r="G684" s="7" t="s">
        <v>39</v>
      </c>
      <c r="H684" s="7" t="s">
        <v>2662</v>
      </c>
      <c r="I684" s="9">
        <v>553.44000000000005</v>
      </c>
      <c r="J684" s="7">
        <v>8</v>
      </c>
      <c r="K684" s="11">
        <v>0</v>
      </c>
      <c r="L684" s="9">
        <v>16.559999999999999</v>
      </c>
      <c r="M684" s="7" t="s">
        <v>23</v>
      </c>
      <c r="N684" t="str">
        <v>Bulk Order</v>
      </c>
    </row>
    <row r="685" spans="1:14">
      <c r="A685" s="7" t="s">
        <v>1211</v>
      </c>
      <c r="B685" s="7"/>
      <c r="C685" s="8">
        <v>41086</v>
      </c>
      <c r="D685" s="7" t="s">
        <v>1212</v>
      </c>
      <c r="E685" s="7" t="s">
        <v>14</v>
      </c>
      <c r="F685" s="7" t="s">
        <v>15</v>
      </c>
      <c r="G685" s="7" t="s">
        <v>16</v>
      </c>
      <c r="H685" s="7" t="s">
        <v>2655</v>
      </c>
      <c r="I685" s="9">
        <v>1718.172</v>
      </c>
      <c r="J685" s="7">
        <v>6</v>
      </c>
      <c r="K685" s="11">
        <v>0.1</v>
      </c>
      <c r="L685" s="9">
        <v>610.81200000000001</v>
      </c>
      <c r="M685" s="7" t="s">
        <v>32</v>
      </c>
      <c r="N685" t="str">
        <v>Bulk Order</v>
      </c>
    </row>
    <row r="686" spans="1:14">
      <c r="A686" s="7" t="s">
        <v>1213</v>
      </c>
      <c r="B686" s="8">
        <v>41516</v>
      </c>
      <c r="C686" s="8">
        <v>41519</v>
      </c>
      <c r="D686" s="7" t="s">
        <v>1214</v>
      </c>
      <c r="E686" s="7" t="s">
        <v>20</v>
      </c>
      <c r="F686" s="7" t="s">
        <v>63</v>
      </c>
      <c r="G686" s="7" t="s">
        <v>28</v>
      </c>
      <c r="H686" s="7" t="s">
        <v>2657</v>
      </c>
      <c r="I686" s="9">
        <v>2794.2525000000001</v>
      </c>
      <c r="J686" s="7">
        <v>5</v>
      </c>
      <c r="K686" s="11">
        <v>0.35</v>
      </c>
      <c r="L686" s="9">
        <v>515.75250000000005</v>
      </c>
      <c r="M686" s="7" t="s">
        <v>17</v>
      </c>
      <c r="N686" t="str">
        <v>Normal Order</v>
      </c>
    </row>
    <row r="687" spans="1:14">
      <c r="A687" s="7" t="s">
        <v>833</v>
      </c>
      <c r="B687" s="8">
        <v>41807</v>
      </c>
      <c r="C687" s="8">
        <v>41809</v>
      </c>
      <c r="D687" s="7" t="s">
        <v>712</v>
      </c>
      <c r="E687" s="7" t="s">
        <v>62</v>
      </c>
      <c r="F687" s="7" t="s">
        <v>1215</v>
      </c>
      <c r="G687" s="7"/>
      <c r="H687" s="7" t="s">
        <v>2661</v>
      </c>
      <c r="I687" s="9">
        <v>1242.54</v>
      </c>
      <c r="J687" s="7">
        <v>3</v>
      </c>
      <c r="K687" s="11">
        <v>0.1</v>
      </c>
      <c r="L687" s="9">
        <v>345.15</v>
      </c>
      <c r="M687" s="7" t="s">
        <v>32</v>
      </c>
      <c r="N687" t="str">
        <v>Normal Order</v>
      </c>
    </row>
    <row r="688" spans="1:14">
      <c r="A688" s="7" t="s">
        <v>1216</v>
      </c>
      <c r="B688" s="8">
        <v>42328</v>
      </c>
      <c r="C688" s="8">
        <v>42330</v>
      </c>
      <c r="D688" s="7" t="s">
        <v>207</v>
      </c>
      <c r="E688" s="7"/>
      <c r="F688" s="7" t="s">
        <v>36</v>
      </c>
      <c r="G688" s="7" t="s">
        <v>39</v>
      </c>
      <c r="H688" s="7" t="s">
        <v>2658</v>
      </c>
      <c r="I688" s="9">
        <v>99.135999999999996</v>
      </c>
      <c r="J688" s="7">
        <v>4</v>
      </c>
      <c r="K688" s="11">
        <v>0.2</v>
      </c>
      <c r="L688" s="9">
        <v>8.6743999999999897</v>
      </c>
      <c r="M688" s="7" t="s">
        <v>17</v>
      </c>
      <c r="N688" t="str">
        <v>Normal Order</v>
      </c>
    </row>
    <row r="689" spans="1:14">
      <c r="A689" s="7"/>
      <c r="B689" s="7"/>
      <c r="C689" s="8">
        <v>41630</v>
      </c>
      <c r="D689" s="7" t="s">
        <v>657</v>
      </c>
      <c r="E689" s="7" t="s">
        <v>58</v>
      </c>
      <c r="F689" s="7" t="s">
        <v>81</v>
      </c>
      <c r="G689" s="7" t="s">
        <v>16</v>
      </c>
      <c r="H689" s="7" t="s">
        <v>2655</v>
      </c>
      <c r="I689" s="9">
        <v>1274.7</v>
      </c>
      <c r="J689" s="7">
        <v>2</v>
      </c>
      <c r="K689" s="11">
        <v>0</v>
      </c>
      <c r="L689" s="9">
        <v>165.66</v>
      </c>
      <c r="M689" s="7" t="s">
        <v>32</v>
      </c>
      <c r="N689" t="str">
        <v>Normal Order</v>
      </c>
    </row>
    <row r="690" spans="1:14">
      <c r="A690" s="7" t="s">
        <v>1217</v>
      </c>
      <c r="B690" s="8">
        <v>41907</v>
      </c>
      <c r="C690" s="8">
        <v>41913</v>
      </c>
      <c r="D690" s="7" t="s">
        <v>1218</v>
      </c>
      <c r="E690" s="7" t="s">
        <v>1219</v>
      </c>
      <c r="F690" s="7" t="s">
        <v>222</v>
      </c>
      <c r="G690" s="7" t="s">
        <v>16</v>
      </c>
      <c r="H690" s="7" t="s">
        <v>2656</v>
      </c>
      <c r="I690" s="9"/>
      <c r="J690" s="7">
        <v>6</v>
      </c>
      <c r="K690" s="11">
        <v>0</v>
      </c>
      <c r="L690" s="9">
        <v>730.26</v>
      </c>
      <c r="M690" s="7" t="s">
        <v>65</v>
      </c>
      <c r="N690" t="str">
        <v>Bulk Order</v>
      </c>
    </row>
    <row r="691" spans="1:14">
      <c r="A691" s="7" t="s">
        <v>1220</v>
      </c>
      <c r="B691" s="8">
        <v>42087</v>
      </c>
      <c r="C691" s="8">
        <v>42091</v>
      </c>
      <c r="D691" s="7" t="s">
        <v>244</v>
      </c>
      <c r="E691" s="7" t="s">
        <v>88</v>
      </c>
      <c r="F691" s="7" t="s">
        <v>89</v>
      </c>
      <c r="G691" s="7" t="s">
        <v>28</v>
      </c>
      <c r="H691" s="7" t="s">
        <v>2656</v>
      </c>
      <c r="I691" s="9">
        <v>2205.5680000000002</v>
      </c>
      <c r="J691" s="7">
        <v>8</v>
      </c>
      <c r="K691" s="11">
        <v>0.2</v>
      </c>
      <c r="L691" s="9">
        <v>689.08799999999997</v>
      </c>
      <c r="M691" s="7" t="s">
        <v>32</v>
      </c>
      <c r="N691" t="str">
        <v>Bulk Order</v>
      </c>
    </row>
    <row r="692" spans="1:14">
      <c r="A692" s="7" t="s">
        <v>1221</v>
      </c>
      <c r="B692" s="8">
        <v>41670</v>
      </c>
      <c r="C692" s="8">
        <v>41672</v>
      </c>
      <c r="D692" s="7"/>
      <c r="E692" s="7" t="s">
        <v>35</v>
      </c>
      <c r="F692" s="7" t="s">
        <v>1031</v>
      </c>
      <c r="G692" s="7" t="s">
        <v>39</v>
      </c>
      <c r="H692" s="7" t="s">
        <v>2654</v>
      </c>
      <c r="I692" s="9">
        <v>15.552</v>
      </c>
      <c r="J692" s="7">
        <v>3</v>
      </c>
      <c r="K692" s="11"/>
      <c r="L692" s="9">
        <v>5.4432</v>
      </c>
      <c r="M692" s="7" t="s">
        <v>23</v>
      </c>
      <c r="N692" t="str">
        <v>Normal Order</v>
      </c>
    </row>
    <row r="693" spans="1:14">
      <c r="A693" s="7" t="s">
        <v>1222</v>
      </c>
      <c r="B693" s="8">
        <v>41245</v>
      </c>
      <c r="C693" s="8">
        <v>41245</v>
      </c>
      <c r="D693" s="7" t="s">
        <v>1223</v>
      </c>
      <c r="E693" s="7" t="s">
        <v>20</v>
      </c>
      <c r="F693" s="7" t="s">
        <v>63</v>
      </c>
      <c r="G693" s="7" t="s">
        <v>16</v>
      </c>
      <c r="H693" s="7" t="s">
        <v>2658</v>
      </c>
      <c r="I693" s="9"/>
      <c r="J693" s="7">
        <v>5</v>
      </c>
      <c r="K693" s="11">
        <v>0</v>
      </c>
      <c r="L693" s="9">
        <v>742.35</v>
      </c>
      <c r="M693" s="7" t="s">
        <v>17</v>
      </c>
      <c r="N693" t="str">
        <v>Normal Order</v>
      </c>
    </row>
    <row r="694" spans="1:14">
      <c r="A694" s="7" t="s">
        <v>1224</v>
      </c>
      <c r="B694" s="8">
        <v>42152</v>
      </c>
      <c r="C694" s="8">
        <v>42156</v>
      </c>
      <c r="D694" s="7" t="s">
        <v>414</v>
      </c>
      <c r="E694" s="7" t="s">
        <v>105</v>
      </c>
      <c r="F694" s="7" t="s">
        <v>106</v>
      </c>
      <c r="G694" s="7" t="s">
        <v>28</v>
      </c>
      <c r="H694" s="7" t="s">
        <v>2659</v>
      </c>
      <c r="I694" s="9">
        <v>1394.99999999999</v>
      </c>
      <c r="J694" s="7">
        <v>3</v>
      </c>
      <c r="K694" s="11">
        <v>0</v>
      </c>
      <c r="L694" s="9">
        <v>237.15</v>
      </c>
      <c r="M694" s="7" t="s">
        <v>32</v>
      </c>
      <c r="N694" t="str">
        <v>Normal Order</v>
      </c>
    </row>
    <row r="695" spans="1:14">
      <c r="A695" s="7" t="s">
        <v>1225</v>
      </c>
      <c r="B695" s="10">
        <v>42169</v>
      </c>
      <c r="C695" s="8">
        <v>42172</v>
      </c>
      <c r="D695" s="7" t="s">
        <v>1226</v>
      </c>
      <c r="E695" s="7" t="s">
        <v>20</v>
      </c>
      <c r="F695" s="7" t="s">
        <v>63</v>
      </c>
      <c r="G695" s="7" t="s">
        <v>28</v>
      </c>
      <c r="H695" s="7" t="s">
        <v>2656</v>
      </c>
      <c r="I695" s="9">
        <v>2291.835</v>
      </c>
      <c r="J695" s="7">
        <v>7</v>
      </c>
      <c r="K695" s="11">
        <v>0.35</v>
      </c>
      <c r="L695" s="9">
        <v>-1128.4349999999999</v>
      </c>
      <c r="M695" s="7" t="s">
        <v>32</v>
      </c>
      <c r="N695" t="str">
        <v>Bulk Order</v>
      </c>
    </row>
    <row r="696" spans="1:14">
      <c r="A696" s="7" t="s">
        <v>1227</v>
      </c>
      <c r="B696" s="8">
        <v>41224</v>
      </c>
      <c r="C696" s="8">
        <v>41228</v>
      </c>
      <c r="D696" s="7" t="s">
        <v>1228</v>
      </c>
      <c r="E696" s="7" t="s">
        <v>1229</v>
      </c>
      <c r="F696" s="7" t="s">
        <v>121</v>
      </c>
      <c r="G696" s="7" t="s">
        <v>28</v>
      </c>
      <c r="H696" s="7" t="s">
        <v>2655</v>
      </c>
      <c r="I696" s="9">
        <v>1660.79999999999</v>
      </c>
      <c r="J696" s="7">
        <v>4</v>
      </c>
      <c r="K696" s="11">
        <v>0</v>
      </c>
      <c r="L696" s="9">
        <v>83.039999999999907</v>
      </c>
      <c r="M696" s="7" t="s">
        <v>32</v>
      </c>
      <c r="N696" t="str">
        <v>Normal Order</v>
      </c>
    </row>
    <row r="697" spans="1:14">
      <c r="A697" s="7" t="s">
        <v>1230</v>
      </c>
      <c r="B697" s="8">
        <v>41790</v>
      </c>
      <c r="C697" s="8">
        <v>41795</v>
      </c>
      <c r="D697" s="7" t="s">
        <v>136</v>
      </c>
      <c r="E697" s="7" t="s">
        <v>58</v>
      </c>
      <c r="F697" s="7" t="s">
        <v>81</v>
      </c>
      <c r="G697" s="7" t="s">
        <v>28</v>
      </c>
      <c r="H697" s="7" t="s">
        <v>2658</v>
      </c>
      <c r="I697" s="9">
        <v>2436.672</v>
      </c>
      <c r="J697" s="7">
        <v>4</v>
      </c>
      <c r="K697" s="11">
        <v>0.3</v>
      </c>
      <c r="L697" s="9">
        <v>-487.36799999999999</v>
      </c>
      <c r="M697" s="7" t="s">
        <v>32</v>
      </c>
      <c r="N697" t="str">
        <v>Normal Order</v>
      </c>
    </row>
    <row r="698" spans="1:14">
      <c r="A698" s="7" t="s">
        <v>1188</v>
      </c>
      <c r="B698" s="8">
        <v>40972</v>
      </c>
      <c r="C698" s="8">
        <v>40975</v>
      </c>
      <c r="D698" s="7" t="s">
        <v>207</v>
      </c>
      <c r="E698" s="7" t="s">
        <v>35</v>
      </c>
      <c r="F698" s="7" t="s">
        <v>102</v>
      </c>
      <c r="G698" s="7" t="s">
        <v>39</v>
      </c>
      <c r="H698" s="7" t="s">
        <v>2663</v>
      </c>
      <c r="I698" s="9">
        <v>18.62</v>
      </c>
      <c r="J698" s="7">
        <v>2</v>
      </c>
      <c r="K698" s="11">
        <v>0</v>
      </c>
      <c r="L698" s="9">
        <v>5.3997999999999902</v>
      </c>
      <c r="M698" s="7" t="s">
        <v>17</v>
      </c>
      <c r="N698" t="str">
        <v>Normal Order</v>
      </c>
    </row>
    <row r="699" spans="1:14">
      <c r="A699" s="7" t="s">
        <v>1231</v>
      </c>
      <c r="B699" s="8">
        <v>41137</v>
      </c>
      <c r="C699" s="8">
        <v>41139</v>
      </c>
      <c r="D699" s="7" t="s">
        <v>716</v>
      </c>
      <c r="E699" s="7" t="s">
        <v>452</v>
      </c>
      <c r="F699" s="7" t="s">
        <v>78</v>
      </c>
      <c r="G699" s="7" t="s">
        <v>28</v>
      </c>
      <c r="H699" s="7" t="s">
        <v>2658</v>
      </c>
      <c r="I699" s="9">
        <v>954.6</v>
      </c>
      <c r="J699" s="7">
        <v>10</v>
      </c>
      <c r="K699" s="11">
        <v>0</v>
      </c>
      <c r="L699" s="9">
        <v>152.69999999999999</v>
      </c>
      <c r="M699" s="7" t="s">
        <v>23</v>
      </c>
      <c r="N699" t="str">
        <v>Bulk Order</v>
      </c>
    </row>
    <row r="700" spans="1:14">
      <c r="A700" s="7" t="s">
        <v>1233</v>
      </c>
      <c r="B700" s="8">
        <v>41339</v>
      </c>
      <c r="C700" s="8">
        <v>41344</v>
      </c>
      <c r="D700" s="7" t="s">
        <v>1234</v>
      </c>
      <c r="E700" s="7" t="s">
        <v>92</v>
      </c>
      <c r="F700" s="7" t="s">
        <v>89</v>
      </c>
      <c r="G700" s="7" t="s">
        <v>39</v>
      </c>
      <c r="H700" s="7" t="s">
        <v>2655</v>
      </c>
      <c r="I700" s="9">
        <v>1903</v>
      </c>
      <c r="J700" s="7">
        <v>5</v>
      </c>
      <c r="K700" s="11">
        <v>0</v>
      </c>
      <c r="L700" s="9">
        <v>57</v>
      </c>
      <c r="M700" s="7" t="s">
        <v>32</v>
      </c>
      <c r="N700" t="str">
        <v>Normal Order</v>
      </c>
    </row>
    <row r="701" spans="1:14">
      <c r="A701" s="7" t="s">
        <v>1216</v>
      </c>
      <c r="B701" s="8">
        <v>42328</v>
      </c>
      <c r="C701" s="8">
        <v>42330</v>
      </c>
      <c r="D701" s="7" t="s">
        <v>207</v>
      </c>
      <c r="E701" s="7" t="s">
        <v>35</v>
      </c>
      <c r="F701" s="7" t="s">
        <v>36</v>
      </c>
      <c r="G701" s="7" t="s">
        <v>39</v>
      </c>
      <c r="H701" s="7" t="s">
        <v>2655</v>
      </c>
      <c r="I701" s="9">
        <v>16.896000000000001</v>
      </c>
      <c r="J701" s="7">
        <v>4</v>
      </c>
      <c r="K701" s="11">
        <v>0.2</v>
      </c>
      <c r="L701" s="9">
        <v>5.2799999999999896</v>
      </c>
      <c r="M701" s="7" t="s">
        <v>17</v>
      </c>
      <c r="N701" t="str">
        <v>Normal Order</v>
      </c>
    </row>
    <row r="702" spans="1:14">
      <c r="A702" s="7" t="s">
        <v>1235</v>
      </c>
      <c r="B702" s="8">
        <v>42222</v>
      </c>
      <c r="C702" s="8">
        <v>42222</v>
      </c>
      <c r="D702" s="7" t="s">
        <v>255</v>
      </c>
      <c r="E702" s="7" t="s">
        <v>1236</v>
      </c>
      <c r="F702" s="7" t="s">
        <v>85</v>
      </c>
      <c r="G702" s="7" t="s">
        <v>16</v>
      </c>
      <c r="H702" s="7" t="s">
        <v>2661</v>
      </c>
      <c r="I702" s="9">
        <v>1590.9</v>
      </c>
      <c r="J702" s="7">
        <v>5</v>
      </c>
      <c r="K702" s="11">
        <v>0</v>
      </c>
      <c r="L702" s="9">
        <v>508.94999999999902</v>
      </c>
      <c r="M702" s="7" t="s">
        <v>17</v>
      </c>
      <c r="N702" t="str">
        <v>Normal Order</v>
      </c>
    </row>
    <row r="703" spans="1:14">
      <c r="A703" s="7" t="s">
        <v>1237</v>
      </c>
      <c r="B703" s="8">
        <v>42173</v>
      </c>
      <c r="C703" s="8">
        <v>42176</v>
      </c>
      <c r="D703" s="7" t="s">
        <v>1238</v>
      </c>
      <c r="E703" s="7" t="s">
        <v>840</v>
      </c>
      <c r="F703" s="7" t="s">
        <v>49</v>
      </c>
      <c r="G703" s="7" t="s">
        <v>28</v>
      </c>
      <c r="H703" s="7" t="s">
        <v>2655</v>
      </c>
      <c r="I703" s="9">
        <v>1467.36</v>
      </c>
      <c r="J703" s="7">
        <v>4</v>
      </c>
      <c r="K703" s="11">
        <v>0</v>
      </c>
      <c r="L703" s="9">
        <v>469.43999999999897</v>
      </c>
      <c r="M703" s="7" t="s">
        <v>32</v>
      </c>
      <c r="N703" t="str">
        <v>Normal Order</v>
      </c>
    </row>
    <row r="704" spans="1:14">
      <c r="A704" s="7" t="s">
        <v>1239</v>
      </c>
      <c r="B704" s="8">
        <v>42369</v>
      </c>
      <c r="C704" s="8">
        <v>42370</v>
      </c>
      <c r="D704" s="7" t="s">
        <v>1240</v>
      </c>
      <c r="E704" s="7" t="s">
        <v>131</v>
      </c>
      <c r="F704" s="7" t="s">
        <v>132</v>
      </c>
      <c r="G704" s="7" t="s">
        <v>28</v>
      </c>
      <c r="H704" s="7" t="s">
        <v>2657</v>
      </c>
      <c r="I704" s="9">
        <v>1091.28059999999</v>
      </c>
      <c r="J704" s="7">
        <v>3</v>
      </c>
      <c r="K704" s="11">
        <v>7.0000000000000007E-2</v>
      </c>
      <c r="L704" s="9">
        <v>46.920599999999901</v>
      </c>
      <c r="M704" s="7" t="s">
        <v>32</v>
      </c>
      <c r="N704" t="str">
        <v>Normal Order</v>
      </c>
    </row>
    <row r="705" spans="1:14">
      <c r="A705" s="7" t="s">
        <v>1241</v>
      </c>
      <c r="B705" s="8">
        <v>41541</v>
      </c>
      <c r="C705" s="8">
        <v>41545</v>
      </c>
      <c r="D705" s="7" t="s">
        <v>1242</v>
      </c>
      <c r="E705" s="7" t="s">
        <v>200</v>
      </c>
      <c r="F705" s="7" t="s">
        <v>89</v>
      </c>
      <c r="G705" s="7" t="s">
        <v>16</v>
      </c>
      <c r="H705" s="7" t="s">
        <v>2663</v>
      </c>
      <c r="I705" s="9">
        <v>2014.3632</v>
      </c>
      <c r="J705" s="7"/>
      <c r="K705" s="11">
        <v>2E-3</v>
      </c>
      <c r="L705" s="9">
        <v>419.80319999999898</v>
      </c>
      <c r="M705" s="7" t="s">
        <v>17</v>
      </c>
      <c r="N705" t="str">
        <v>Normal Order</v>
      </c>
    </row>
    <row r="706" spans="1:14">
      <c r="A706" s="7" t="s">
        <v>1243</v>
      </c>
      <c r="B706" s="8">
        <v>41688</v>
      </c>
      <c r="C706" s="8">
        <v>41693</v>
      </c>
      <c r="D706" s="7" t="s">
        <v>658</v>
      </c>
      <c r="E706" s="7" t="s">
        <v>120</v>
      </c>
      <c r="F706" s="7" t="s">
        <v>121</v>
      </c>
      <c r="G706" s="7" t="s">
        <v>28</v>
      </c>
      <c r="H706" s="7" t="s">
        <v>2663</v>
      </c>
      <c r="I706" s="9">
        <v>3877.68</v>
      </c>
      <c r="J706" s="7">
        <v>8</v>
      </c>
      <c r="K706" s="11">
        <v>0</v>
      </c>
      <c r="L706" s="9">
        <v>930.48</v>
      </c>
      <c r="M706" s="7" t="s">
        <v>17</v>
      </c>
      <c r="N706" t="str">
        <v>Bulk Order</v>
      </c>
    </row>
    <row r="707" spans="1:14">
      <c r="A707" s="7" t="s">
        <v>1216</v>
      </c>
      <c r="B707" s="8">
        <v>42328</v>
      </c>
      <c r="C707" s="8">
        <v>42330</v>
      </c>
      <c r="D707" s="7" t="s">
        <v>207</v>
      </c>
      <c r="E707" s="7" t="s">
        <v>35</v>
      </c>
      <c r="F707" s="7" t="s">
        <v>36</v>
      </c>
      <c r="G707" s="7" t="s">
        <v>39</v>
      </c>
      <c r="H707" s="7" t="s">
        <v>2657</v>
      </c>
      <c r="I707" s="9">
        <v>6.6719999999999997</v>
      </c>
      <c r="J707" s="7">
        <v>1</v>
      </c>
      <c r="K707" s="11"/>
      <c r="L707" s="9">
        <v>0.50039999999999996</v>
      </c>
      <c r="M707" s="7" t="s">
        <v>17</v>
      </c>
      <c r="N707" t="str">
        <v>Normal Order</v>
      </c>
    </row>
    <row r="708" spans="1:14">
      <c r="A708" s="7" t="s">
        <v>1216</v>
      </c>
      <c r="B708" s="8">
        <v>42328</v>
      </c>
      <c r="C708" s="8">
        <v>42330</v>
      </c>
      <c r="D708" s="7"/>
      <c r="E708" s="7" t="s">
        <v>35</v>
      </c>
      <c r="F708" s="7" t="s">
        <v>36</v>
      </c>
      <c r="G708" s="7" t="s">
        <v>28</v>
      </c>
      <c r="H708" s="7" t="s">
        <v>2658</v>
      </c>
      <c r="I708" s="9">
        <v>15.9919999999999</v>
      </c>
      <c r="J708" s="7">
        <v>2</v>
      </c>
      <c r="K708" s="11">
        <v>0.6</v>
      </c>
      <c r="L708" s="9">
        <v>-13.992999999999901</v>
      </c>
      <c r="M708" s="7" t="s">
        <v>17</v>
      </c>
      <c r="N708" t="str">
        <v>Normal Order</v>
      </c>
    </row>
    <row r="709" spans="1:14">
      <c r="A709" s="7" t="s">
        <v>1244</v>
      </c>
      <c r="B709" s="8">
        <v>42332</v>
      </c>
      <c r="C709" s="8">
        <v>42334</v>
      </c>
      <c r="D709" s="7" t="s">
        <v>1245</v>
      </c>
      <c r="E709" s="7" t="s">
        <v>14</v>
      </c>
      <c r="F709" s="7" t="s">
        <v>15</v>
      </c>
      <c r="G709" s="7" t="s">
        <v>16</v>
      </c>
      <c r="H709" s="7" t="s">
        <v>2658</v>
      </c>
      <c r="I709" s="9">
        <v>2863.35</v>
      </c>
      <c r="J709" s="7">
        <v>5</v>
      </c>
      <c r="K709" s="11">
        <v>0.1</v>
      </c>
      <c r="L709" s="9">
        <v>858.9</v>
      </c>
      <c r="M709" s="7" t="s">
        <v>17</v>
      </c>
      <c r="N709" t="str">
        <v>Normal Order</v>
      </c>
    </row>
    <row r="710" spans="1:14">
      <c r="A710" s="7"/>
      <c r="B710" s="8">
        <v>42270</v>
      </c>
      <c r="C710" s="7"/>
      <c r="D710" s="7" t="s">
        <v>1246</v>
      </c>
      <c r="E710" s="7" t="s">
        <v>239</v>
      </c>
      <c r="F710" s="7" t="s">
        <v>132</v>
      </c>
      <c r="G710" s="7" t="s">
        <v>28</v>
      </c>
      <c r="H710" s="7" t="s">
        <v>2663</v>
      </c>
      <c r="I710" s="9">
        <v>2841.6599999999899</v>
      </c>
      <c r="J710" s="7">
        <v>8</v>
      </c>
      <c r="K710" s="11">
        <v>0.25</v>
      </c>
      <c r="L710" s="9">
        <v>189.42</v>
      </c>
      <c r="M710" s="7" t="s">
        <v>17</v>
      </c>
      <c r="N710" t="str">
        <v>Bulk Order</v>
      </c>
    </row>
    <row r="711" spans="1:14">
      <c r="A711" s="7" t="s">
        <v>1247</v>
      </c>
      <c r="B711" s="8">
        <v>42312</v>
      </c>
      <c r="C711" s="8">
        <v>42315</v>
      </c>
      <c r="D711" s="7" t="s">
        <v>1248</v>
      </c>
      <c r="E711" s="7" t="s">
        <v>62</v>
      </c>
      <c r="F711" s="7" t="s">
        <v>63</v>
      </c>
      <c r="G711" s="7" t="s">
        <v>16</v>
      </c>
      <c r="H711" s="7" t="s">
        <v>2656</v>
      </c>
      <c r="I711" s="9">
        <v>765.45899999999995</v>
      </c>
      <c r="J711" s="7">
        <v>3</v>
      </c>
      <c r="K711" s="11">
        <v>0.15</v>
      </c>
      <c r="L711" s="9">
        <v>-36.081000000000003</v>
      </c>
      <c r="M711" s="7" t="s">
        <v>23</v>
      </c>
      <c r="N711" t="str">
        <v>Normal Order</v>
      </c>
    </row>
    <row r="712" spans="1:14">
      <c r="A712" s="7" t="s">
        <v>1249</v>
      </c>
      <c r="B712" s="8">
        <v>42248</v>
      </c>
      <c r="C712" s="8">
        <v>42251</v>
      </c>
      <c r="D712" s="7" t="s">
        <v>94</v>
      </c>
      <c r="E712" s="7" t="s">
        <v>14</v>
      </c>
      <c r="F712" s="7" t="s">
        <v>15</v>
      </c>
      <c r="G712" s="7" t="s">
        <v>39</v>
      </c>
      <c r="H712" s="7" t="s">
        <v>2655</v>
      </c>
      <c r="I712" s="9">
        <v>1887.84</v>
      </c>
      <c r="J712" s="7">
        <v>4</v>
      </c>
      <c r="K712" s="11">
        <v>0.1</v>
      </c>
      <c r="L712" s="9">
        <v>0</v>
      </c>
      <c r="M712" s="7" t="s">
        <v>17</v>
      </c>
      <c r="N712" t="str">
        <v>Normal Order</v>
      </c>
    </row>
    <row r="713" spans="1:14">
      <c r="A713" s="7" t="s">
        <v>1250</v>
      </c>
      <c r="B713" s="8">
        <v>41527</v>
      </c>
      <c r="C713" s="8">
        <v>41532</v>
      </c>
      <c r="D713" s="7" t="s">
        <v>207</v>
      </c>
      <c r="E713" s="7" t="s">
        <v>35</v>
      </c>
      <c r="F713" s="7"/>
      <c r="G713" s="7" t="s">
        <v>39</v>
      </c>
      <c r="H713" s="7" t="s">
        <v>2662</v>
      </c>
      <c r="I713" s="9">
        <v>14.94</v>
      </c>
      <c r="J713" s="7">
        <v>3</v>
      </c>
      <c r="K713" s="11">
        <v>0</v>
      </c>
      <c r="L713" s="9">
        <v>7.0217999999999998</v>
      </c>
      <c r="M713" s="7" t="s">
        <v>32</v>
      </c>
      <c r="N713" t="str">
        <v>Normal Order</v>
      </c>
    </row>
    <row r="714" spans="1:14">
      <c r="A714" s="7" t="s">
        <v>1251</v>
      </c>
      <c r="B714" s="8">
        <v>41660</v>
      </c>
      <c r="C714" s="8">
        <v>41660</v>
      </c>
      <c r="D714" s="7" t="s">
        <v>1252</v>
      </c>
      <c r="E714" s="7" t="s">
        <v>438</v>
      </c>
      <c r="F714" s="7" t="s">
        <v>438</v>
      </c>
      <c r="G714" s="7" t="s">
        <v>39</v>
      </c>
      <c r="H714" s="7" t="s">
        <v>2661</v>
      </c>
      <c r="I714" s="9">
        <v>410.87999999999897</v>
      </c>
      <c r="J714" s="7">
        <v>8</v>
      </c>
      <c r="K714" s="11">
        <v>0</v>
      </c>
      <c r="L714" s="9">
        <v>78</v>
      </c>
      <c r="M714" s="7" t="s">
        <v>32</v>
      </c>
      <c r="N714" t="str">
        <v>Bulk Order</v>
      </c>
    </row>
    <row r="715" spans="1:14">
      <c r="A715" s="7" t="s">
        <v>1254</v>
      </c>
      <c r="B715" s="8">
        <v>42111</v>
      </c>
      <c r="C715" s="8">
        <v>42114</v>
      </c>
      <c r="D715" s="7" t="s">
        <v>364</v>
      </c>
      <c r="E715" s="7" t="s">
        <v>558</v>
      </c>
      <c r="F715" s="7" t="s">
        <v>111</v>
      </c>
      <c r="G715" s="7" t="s">
        <v>39</v>
      </c>
      <c r="H715" s="7" t="s">
        <v>2656</v>
      </c>
      <c r="I715" s="9" t="s">
        <v>152</v>
      </c>
      <c r="J715" s="7">
        <v>5</v>
      </c>
      <c r="K715" s="11">
        <v>0</v>
      </c>
      <c r="L715" s="9">
        <v>180.1</v>
      </c>
      <c r="M715" s="7" t="s">
        <v>17</v>
      </c>
      <c r="N715" t="str">
        <v>Normal Order</v>
      </c>
    </row>
    <row r="716" spans="1:14">
      <c r="A716" s="7" t="s">
        <v>143</v>
      </c>
      <c r="B716" s="8">
        <v>41706</v>
      </c>
      <c r="C716" s="8">
        <v>41706</v>
      </c>
      <c r="D716" s="7" t="s">
        <v>480</v>
      </c>
      <c r="E716" s="7" t="s">
        <v>62</v>
      </c>
      <c r="F716" s="7" t="s">
        <v>63</v>
      </c>
      <c r="G716" s="7" t="s">
        <v>16</v>
      </c>
      <c r="H716" s="7" t="s">
        <v>2661</v>
      </c>
      <c r="I716" s="9">
        <v>779.28</v>
      </c>
      <c r="J716" s="7">
        <v>5</v>
      </c>
      <c r="K716" s="11">
        <v>0.15</v>
      </c>
      <c r="L716" s="9">
        <v>-0.119999999999976</v>
      </c>
      <c r="M716" s="7" t="s">
        <v>23</v>
      </c>
      <c r="N716" t="str">
        <v>Normal Order</v>
      </c>
    </row>
    <row r="717" spans="1:14">
      <c r="A717" s="7" t="s">
        <v>1255</v>
      </c>
      <c r="B717" s="8">
        <v>40964</v>
      </c>
      <c r="C717" s="8">
        <v>40964</v>
      </c>
      <c r="D717" s="7" t="s">
        <v>280</v>
      </c>
      <c r="E717" s="7" t="s">
        <v>1256</v>
      </c>
      <c r="F717" s="7" t="s">
        <v>222</v>
      </c>
      <c r="G717" s="7" t="s">
        <v>16</v>
      </c>
      <c r="H717" s="7" t="s">
        <v>2661</v>
      </c>
      <c r="I717" s="9">
        <v>613.26</v>
      </c>
      <c r="J717" s="7">
        <v>2</v>
      </c>
      <c r="K717" s="11">
        <v>0</v>
      </c>
      <c r="L717" s="9">
        <v>202.32</v>
      </c>
      <c r="M717" s="7" t="s">
        <v>23</v>
      </c>
      <c r="N717" t="str">
        <v>Normal Order</v>
      </c>
    </row>
    <row r="718" spans="1:14">
      <c r="A718" s="7" t="s">
        <v>1257</v>
      </c>
      <c r="B718" s="8">
        <v>41361</v>
      </c>
      <c r="C718" s="8">
        <v>41366</v>
      </c>
      <c r="D718" s="7" t="s">
        <v>1252</v>
      </c>
      <c r="E718" s="7" t="s">
        <v>35</v>
      </c>
      <c r="F718" s="7" t="s">
        <v>234</v>
      </c>
      <c r="G718" s="7" t="s">
        <v>16</v>
      </c>
      <c r="H718" s="7" t="s">
        <v>2656</v>
      </c>
      <c r="I718" s="9">
        <v>166.24</v>
      </c>
      <c r="J718" s="7">
        <v>1</v>
      </c>
      <c r="K718" s="11">
        <v>0</v>
      </c>
      <c r="L718" s="9">
        <v>24.936</v>
      </c>
      <c r="M718" s="7" t="s">
        <v>17</v>
      </c>
      <c r="N718" t="str">
        <v>Normal Order</v>
      </c>
    </row>
    <row r="719" spans="1:14">
      <c r="A719" s="7" t="s">
        <v>1258</v>
      </c>
      <c r="B719" s="8">
        <v>42263</v>
      </c>
      <c r="C719" s="8">
        <v>42267</v>
      </c>
      <c r="D719" s="7" t="s">
        <v>1259</v>
      </c>
      <c r="E719" s="7" t="s">
        <v>14</v>
      </c>
      <c r="F719" s="7" t="s">
        <v>15</v>
      </c>
      <c r="G719" s="7" t="s">
        <v>28</v>
      </c>
      <c r="H719" s="7" t="s">
        <v>2662</v>
      </c>
      <c r="I719" s="9">
        <v>1837.5599999999899</v>
      </c>
      <c r="J719" s="7">
        <v>4</v>
      </c>
      <c r="K719" s="11">
        <v>0</v>
      </c>
      <c r="L719" s="9">
        <v>275.52</v>
      </c>
      <c r="M719" s="7" t="s">
        <v>17</v>
      </c>
      <c r="N719" t="str">
        <v>Normal Order</v>
      </c>
    </row>
    <row r="720" spans="1:14">
      <c r="A720" s="7" t="s">
        <v>1260</v>
      </c>
      <c r="B720" s="8">
        <v>41828</v>
      </c>
      <c r="C720" s="8">
        <v>41831</v>
      </c>
      <c r="D720" s="7" t="s">
        <v>877</v>
      </c>
      <c r="E720" s="7"/>
      <c r="F720" s="7" t="s">
        <v>68</v>
      </c>
      <c r="G720" s="7" t="s">
        <v>39</v>
      </c>
      <c r="H720" s="7" t="s">
        <v>2656</v>
      </c>
      <c r="I720" s="9">
        <v>3979.29</v>
      </c>
      <c r="J720" s="7">
        <v>7</v>
      </c>
      <c r="K720" s="11">
        <v>0</v>
      </c>
      <c r="L720" s="9">
        <v>1989.53999999999</v>
      </c>
      <c r="M720" s="7" t="s">
        <v>17</v>
      </c>
      <c r="N720" t="str">
        <v>Bulk Order</v>
      </c>
    </row>
    <row r="721" spans="1:14">
      <c r="A721" s="7" t="s">
        <v>1261</v>
      </c>
      <c r="B721" s="7" t="s">
        <v>1262</v>
      </c>
      <c r="C721" s="8">
        <v>41456</v>
      </c>
      <c r="D721" s="7" t="s">
        <v>1252</v>
      </c>
      <c r="E721" s="7" t="s">
        <v>35</v>
      </c>
      <c r="F721" s="7" t="s">
        <v>38</v>
      </c>
      <c r="G721" s="7" t="s">
        <v>39</v>
      </c>
      <c r="H721" s="7" t="s">
        <v>2655</v>
      </c>
      <c r="I721" s="9">
        <v>304.23</v>
      </c>
      <c r="J721" s="7">
        <v>3</v>
      </c>
      <c r="K721" s="11">
        <v>0</v>
      </c>
      <c r="L721" s="9"/>
      <c r="M721" s="7" t="s">
        <v>17</v>
      </c>
      <c r="N721" t="str">
        <v>Normal Order</v>
      </c>
    </row>
    <row r="722" spans="1:14">
      <c r="A722" s="7" t="s">
        <v>1263</v>
      </c>
      <c r="B722" s="8">
        <v>42004</v>
      </c>
      <c r="C722" s="8">
        <v>42005</v>
      </c>
      <c r="D722" s="7" t="s">
        <v>1264</v>
      </c>
      <c r="E722" s="7" t="s">
        <v>200</v>
      </c>
      <c r="F722" s="7" t="s">
        <v>89</v>
      </c>
      <c r="G722" s="7" t="s">
        <v>16</v>
      </c>
      <c r="H722" s="7" t="s">
        <v>2661</v>
      </c>
      <c r="I722" s="9">
        <v>1198.2986000000001</v>
      </c>
      <c r="J722" s="7">
        <v>5</v>
      </c>
      <c r="K722" s="11">
        <v>2E-3</v>
      </c>
      <c r="L722" s="9">
        <v>165.5986</v>
      </c>
      <c r="M722" s="7" t="s">
        <v>32</v>
      </c>
      <c r="N722" t="str">
        <v>Normal Order</v>
      </c>
    </row>
    <row r="723" spans="1:14">
      <c r="A723" s="7" t="s">
        <v>1266</v>
      </c>
      <c r="B723" s="7" t="s">
        <v>116</v>
      </c>
      <c r="C723" s="7"/>
      <c r="D723" s="7" t="s">
        <v>1252</v>
      </c>
      <c r="E723" s="7" t="s">
        <v>35</v>
      </c>
      <c r="F723" s="7" t="s">
        <v>142</v>
      </c>
      <c r="G723" s="7" t="s">
        <v>39</v>
      </c>
      <c r="H723" s="7" t="s">
        <v>2662</v>
      </c>
      <c r="I723" s="9">
        <v>163.96</v>
      </c>
      <c r="J723" s="7">
        <v>5</v>
      </c>
      <c r="K723" s="11">
        <v>0.2</v>
      </c>
      <c r="L723" s="9">
        <v>59.435499999999998</v>
      </c>
      <c r="M723" s="7" t="s">
        <v>17</v>
      </c>
      <c r="N723" t="str">
        <v>Normal Order</v>
      </c>
    </row>
    <row r="724" spans="1:14">
      <c r="A724" s="7" t="s">
        <v>1267</v>
      </c>
      <c r="B724" s="8">
        <v>42033</v>
      </c>
      <c r="C724" s="7"/>
      <c r="D724" s="7" t="s">
        <v>1268</v>
      </c>
      <c r="E724" s="7" t="s">
        <v>14</v>
      </c>
      <c r="F724" s="7" t="s">
        <v>15</v>
      </c>
      <c r="G724" s="7" t="s">
        <v>28</v>
      </c>
      <c r="H724" s="7" t="s">
        <v>2657</v>
      </c>
      <c r="I724" s="9">
        <v>1864.2149999999899</v>
      </c>
      <c r="J724" s="7">
        <v>5</v>
      </c>
      <c r="K724" s="11"/>
      <c r="L724" s="9">
        <v>455.56499999999897</v>
      </c>
      <c r="M724" s="7" t="s">
        <v>32</v>
      </c>
      <c r="N724" t="str">
        <v>Normal Order</v>
      </c>
    </row>
    <row r="725" spans="1:14">
      <c r="A725" s="7" t="s">
        <v>1269</v>
      </c>
      <c r="B725" s="8">
        <v>41159</v>
      </c>
      <c r="C725" s="8">
        <v>41161</v>
      </c>
      <c r="D725" s="7" t="s">
        <v>506</v>
      </c>
      <c r="E725" s="7" t="s">
        <v>576</v>
      </c>
      <c r="F725" s="7" t="s">
        <v>49</v>
      </c>
      <c r="G725" s="7" t="s">
        <v>28</v>
      </c>
      <c r="H725" s="7" t="s">
        <v>2658</v>
      </c>
      <c r="I725" s="9">
        <v>1142.6399999999901</v>
      </c>
      <c r="J725" s="7">
        <v>6</v>
      </c>
      <c r="K725" s="11">
        <v>0.6</v>
      </c>
      <c r="L725" s="9"/>
      <c r="M725" s="7" t="s">
        <v>23</v>
      </c>
      <c r="N725" t="str">
        <v>Bulk Order</v>
      </c>
    </row>
    <row r="726" spans="1:14">
      <c r="A726" s="7" t="s">
        <v>1270</v>
      </c>
      <c r="B726" s="8">
        <v>42052</v>
      </c>
      <c r="C726" s="8">
        <v>42056</v>
      </c>
      <c r="D726" s="7" t="s">
        <v>1271</v>
      </c>
      <c r="E726" s="7" t="s">
        <v>62</v>
      </c>
      <c r="F726" s="7" t="s">
        <v>63</v>
      </c>
      <c r="G726" s="7" t="s">
        <v>28</v>
      </c>
      <c r="H726" s="7" t="s">
        <v>2663</v>
      </c>
      <c r="I726" s="9">
        <v>1630.79999999999</v>
      </c>
      <c r="J726" s="7">
        <v>5</v>
      </c>
      <c r="K726" s="11">
        <v>0.1</v>
      </c>
      <c r="L726" s="9"/>
      <c r="M726" s="7" t="s">
        <v>32</v>
      </c>
      <c r="N726" t="str">
        <v>Normal Order</v>
      </c>
    </row>
    <row r="727" spans="1:14">
      <c r="A727" s="7"/>
      <c r="B727" s="8">
        <v>41424</v>
      </c>
      <c r="C727" s="8">
        <v>41427</v>
      </c>
      <c r="D727" s="7" t="s">
        <v>1272</v>
      </c>
      <c r="E727" s="7" t="s">
        <v>492</v>
      </c>
      <c r="F727" s="7" t="s">
        <v>85</v>
      </c>
      <c r="G727" s="7" t="s">
        <v>16</v>
      </c>
      <c r="H727" s="7" t="s">
        <v>2655</v>
      </c>
      <c r="I727" s="9">
        <v>1172.664</v>
      </c>
      <c r="J727" s="7">
        <v>6</v>
      </c>
      <c r="K727" s="11">
        <v>0.7</v>
      </c>
      <c r="L727" s="9">
        <v>-1172.7359999999901</v>
      </c>
      <c r="M727" s="7" t="s">
        <v>32</v>
      </c>
      <c r="N727" t="str">
        <v>Bulk Order</v>
      </c>
    </row>
    <row r="728" spans="1:14">
      <c r="A728" s="7" t="s">
        <v>1273</v>
      </c>
      <c r="B728" s="8">
        <v>41641</v>
      </c>
      <c r="C728" s="8">
        <v>41643</v>
      </c>
      <c r="D728" s="7" t="s">
        <v>1274</v>
      </c>
      <c r="E728" s="7" t="s">
        <v>157</v>
      </c>
      <c r="F728" s="7" t="s">
        <v>106</v>
      </c>
      <c r="G728" s="7" t="s">
        <v>16</v>
      </c>
      <c r="H728" s="7" t="s">
        <v>2663</v>
      </c>
      <c r="I728" s="9">
        <v>2021.88</v>
      </c>
      <c r="J728" s="7">
        <v>14</v>
      </c>
      <c r="K728" s="11">
        <v>0</v>
      </c>
      <c r="L728" s="9">
        <v>323.39999999999998</v>
      </c>
      <c r="M728" s="7" t="s">
        <v>32</v>
      </c>
      <c r="N728" t="str">
        <v>Bulk Order</v>
      </c>
    </row>
    <row r="729" spans="1:14">
      <c r="A729" s="7" t="s">
        <v>1275</v>
      </c>
      <c r="B729" s="8">
        <v>41601</v>
      </c>
      <c r="C729" s="8">
        <v>41603</v>
      </c>
      <c r="D729" s="7" t="s">
        <v>1276</v>
      </c>
      <c r="E729" s="7" t="s">
        <v>88</v>
      </c>
      <c r="F729" s="7" t="s">
        <v>89</v>
      </c>
      <c r="G729" s="7" t="s">
        <v>28</v>
      </c>
      <c r="H729" s="7" t="s">
        <v>2656</v>
      </c>
      <c r="I729" s="9">
        <v>836.92799999999897</v>
      </c>
      <c r="J729" s="7"/>
      <c r="K729" s="11">
        <v>0.2</v>
      </c>
      <c r="L729" s="9">
        <v>230.12799999999999</v>
      </c>
      <c r="M729" s="7" t="s">
        <v>32</v>
      </c>
      <c r="N729" t="str">
        <v>Normal Order</v>
      </c>
    </row>
    <row r="730" spans="1:14">
      <c r="A730" s="7" t="s">
        <v>1277</v>
      </c>
      <c r="B730" s="8">
        <v>42105</v>
      </c>
      <c r="C730" s="8">
        <v>42111</v>
      </c>
      <c r="D730" s="7" t="s">
        <v>170</v>
      </c>
      <c r="E730" s="7" t="s">
        <v>1278</v>
      </c>
      <c r="F730" s="7" t="s">
        <v>49</v>
      </c>
      <c r="G730" s="7" t="s">
        <v>16</v>
      </c>
      <c r="H730" s="7" t="s">
        <v>2656</v>
      </c>
      <c r="I730" s="9">
        <v>1302.78</v>
      </c>
      <c r="J730" s="7">
        <v>2</v>
      </c>
      <c r="K730" s="11">
        <v>0</v>
      </c>
      <c r="L730" s="9">
        <v>286.56</v>
      </c>
      <c r="M730" s="7" t="s">
        <v>65</v>
      </c>
      <c r="N730" t="str">
        <v>Normal Order</v>
      </c>
    </row>
    <row r="731" spans="1:14">
      <c r="A731" s="7" t="s">
        <v>1279</v>
      </c>
      <c r="B731" s="8">
        <v>41489</v>
      </c>
      <c r="C731" s="8">
        <v>41493</v>
      </c>
      <c r="D731" s="7" t="s">
        <v>1195</v>
      </c>
      <c r="E731" s="7" t="s">
        <v>476</v>
      </c>
      <c r="F731" s="7" t="s">
        <v>222</v>
      </c>
      <c r="G731" s="7" t="s">
        <v>154</v>
      </c>
      <c r="H731" s="7" t="s">
        <v>2663</v>
      </c>
      <c r="I731" s="9">
        <v>2243.88</v>
      </c>
      <c r="J731" s="7">
        <v>4</v>
      </c>
      <c r="K731" s="11">
        <v>0</v>
      </c>
      <c r="L731" s="9">
        <v>246.719999999999</v>
      </c>
      <c r="M731" s="7" t="s">
        <v>17</v>
      </c>
      <c r="N731" t="str">
        <v>Normal Order</v>
      </c>
    </row>
    <row r="732" spans="1:14">
      <c r="A732" s="7" t="s">
        <v>1280</v>
      </c>
      <c r="B732" s="8">
        <v>42326</v>
      </c>
      <c r="C732" s="7" t="s">
        <v>1281</v>
      </c>
      <c r="D732" s="7" t="s">
        <v>782</v>
      </c>
      <c r="E732" s="7" t="s">
        <v>14</v>
      </c>
      <c r="F732" s="7" t="s">
        <v>15</v>
      </c>
      <c r="G732" s="7" t="s">
        <v>16</v>
      </c>
      <c r="H732" s="7" t="s">
        <v>2656</v>
      </c>
      <c r="I732" s="9">
        <v>1221.5609999999999</v>
      </c>
      <c r="J732" s="7">
        <v>11</v>
      </c>
      <c r="K732" s="11">
        <v>0.1</v>
      </c>
      <c r="L732" s="9">
        <v>325.61099999999999</v>
      </c>
      <c r="M732" s="7" t="s">
        <v>32</v>
      </c>
      <c r="N732" t="str">
        <v>Bulk Order</v>
      </c>
    </row>
    <row r="733" spans="1:14">
      <c r="A733" s="7" t="s">
        <v>1282</v>
      </c>
      <c r="B733" s="10">
        <v>41255</v>
      </c>
      <c r="C733" s="8">
        <v>41259</v>
      </c>
      <c r="D733" s="7" t="s">
        <v>1066</v>
      </c>
      <c r="E733" s="7" t="s">
        <v>58</v>
      </c>
      <c r="F733" s="7" t="s">
        <v>81</v>
      </c>
      <c r="G733" s="7" t="s">
        <v>1095</v>
      </c>
      <c r="H733" s="7" t="s">
        <v>2661</v>
      </c>
      <c r="I733" s="9">
        <v>1609.29</v>
      </c>
      <c r="J733" s="7">
        <v>3</v>
      </c>
      <c r="K733" s="11">
        <v>0</v>
      </c>
      <c r="L733" s="9">
        <v>241.38</v>
      </c>
      <c r="M733" s="7" t="s">
        <v>32</v>
      </c>
      <c r="N733" t="str">
        <v>Normal Order</v>
      </c>
    </row>
    <row r="734" spans="1:14">
      <c r="A734" s="7" t="s">
        <v>1283</v>
      </c>
      <c r="B734" s="8">
        <v>42175</v>
      </c>
      <c r="C734" s="8">
        <v>42178</v>
      </c>
      <c r="D734" s="7" t="s">
        <v>1284</v>
      </c>
      <c r="E734" s="7" t="s">
        <v>14</v>
      </c>
      <c r="F734" s="7" t="s">
        <v>15</v>
      </c>
      <c r="G734" s="7" t="s">
        <v>16</v>
      </c>
      <c r="H734" s="7" t="s">
        <v>2656</v>
      </c>
      <c r="I734" s="9">
        <v>1596.50999999999</v>
      </c>
      <c r="J734" s="7">
        <v>6</v>
      </c>
      <c r="K734" s="11">
        <v>0.1</v>
      </c>
      <c r="L734" s="9">
        <v>-53.37</v>
      </c>
      <c r="M734" s="7" t="s">
        <v>17</v>
      </c>
      <c r="N734" t="str">
        <v>Bulk Order</v>
      </c>
    </row>
    <row r="735" spans="1:14">
      <c r="A735" s="7" t="s">
        <v>1285</v>
      </c>
      <c r="B735" s="8">
        <v>42109</v>
      </c>
      <c r="C735" s="8">
        <v>42112</v>
      </c>
      <c r="D735" s="7" t="s">
        <v>1286</v>
      </c>
      <c r="E735" s="7" t="s">
        <v>35</v>
      </c>
      <c r="F735" s="7" t="s">
        <v>102</v>
      </c>
      <c r="G735" s="7" t="s">
        <v>39</v>
      </c>
      <c r="H735" s="7" t="s">
        <v>2661</v>
      </c>
      <c r="I735" s="9">
        <v>89.855999999999995</v>
      </c>
      <c r="J735" s="7">
        <v>3</v>
      </c>
      <c r="K735" s="11">
        <v>0.2</v>
      </c>
      <c r="L735" s="9">
        <v>21.340800000000002</v>
      </c>
      <c r="M735" s="7" t="s">
        <v>17</v>
      </c>
      <c r="N735" t="str">
        <v>Normal Order</v>
      </c>
    </row>
    <row r="736" spans="1:14">
      <c r="A736" s="7" t="s">
        <v>1287</v>
      </c>
      <c r="B736" s="8">
        <v>41780</v>
      </c>
      <c r="C736" s="8">
        <v>41784</v>
      </c>
      <c r="D736" s="7" t="s">
        <v>465</v>
      </c>
      <c r="E736" s="7" t="s">
        <v>58</v>
      </c>
      <c r="F736" s="7" t="s">
        <v>81</v>
      </c>
      <c r="G736" s="7" t="s">
        <v>16</v>
      </c>
      <c r="H736" s="7" t="s">
        <v>2657</v>
      </c>
      <c r="I736" s="9">
        <v>2018.88</v>
      </c>
      <c r="J736" s="7">
        <v>12</v>
      </c>
      <c r="K736" s="11">
        <v>0</v>
      </c>
      <c r="L736" s="9">
        <v>928.44</v>
      </c>
      <c r="M736" s="7" t="s">
        <v>17</v>
      </c>
      <c r="N736" t="str">
        <v>Bulk Order</v>
      </c>
    </row>
    <row r="737" spans="1:14">
      <c r="A737" s="7" t="s">
        <v>1288</v>
      </c>
      <c r="B737" s="8">
        <v>42280</v>
      </c>
      <c r="C737" s="8">
        <v>42284</v>
      </c>
      <c r="D737" s="7" t="s">
        <v>1289</v>
      </c>
      <c r="E737" s="7" t="s">
        <v>425</v>
      </c>
      <c r="F737" s="7" t="s">
        <v>426</v>
      </c>
      <c r="G737" s="7" t="s">
        <v>16</v>
      </c>
      <c r="H737" s="7" t="s">
        <v>2655</v>
      </c>
      <c r="I737" s="9">
        <v>1885.32</v>
      </c>
      <c r="J737" s="7">
        <v>6</v>
      </c>
      <c r="K737" s="11">
        <v>0</v>
      </c>
      <c r="L737" s="9">
        <v>18.72</v>
      </c>
      <c r="M737" s="7" t="s">
        <v>32</v>
      </c>
      <c r="N737" t="str">
        <v>Bulk Order</v>
      </c>
    </row>
    <row r="738" spans="1:14">
      <c r="A738" s="7" t="s">
        <v>1290</v>
      </c>
      <c r="B738" s="8">
        <v>41268</v>
      </c>
      <c r="C738" s="8">
        <v>41273</v>
      </c>
      <c r="D738" s="7" t="s">
        <v>949</v>
      </c>
      <c r="E738" s="7" t="s">
        <v>84</v>
      </c>
      <c r="F738" s="7" t="s">
        <v>85</v>
      </c>
      <c r="G738" s="7" t="s">
        <v>28</v>
      </c>
      <c r="H738" s="7" t="s">
        <v>2657</v>
      </c>
      <c r="I738" s="9">
        <v>3119.34</v>
      </c>
      <c r="J738" s="7">
        <v>7</v>
      </c>
      <c r="K738" s="11">
        <v>0</v>
      </c>
      <c r="L738" s="9">
        <v>1528.38</v>
      </c>
      <c r="M738" s="7" t="s">
        <v>17</v>
      </c>
      <c r="N738" t="str">
        <v>Bulk Order</v>
      </c>
    </row>
    <row r="739" spans="1:14">
      <c r="A739" s="7" t="s">
        <v>1291</v>
      </c>
      <c r="B739" s="8">
        <v>42271</v>
      </c>
      <c r="C739" s="8">
        <v>42278</v>
      </c>
      <c r="D739" s="7" t="s">
        <v>1292</v>
      </c>
      <c r="E739" s="7" t="s">
        <v>20</v>
      </c>
      <c r="F739" s="7" t="s">
        <v>63</v>
      </c>
      <c r="G739" s="7" t="s">
        <v>28</v>
      </c>
      <c r="H739" s="7" t="s">
        <v>2662</v>
      </c>
      <c r="I739" s="9">
        <v>1964.25</v>
      </c>
      <c r="J739" s="7">
        <v>6</v>
      </c>
      <c r="K739" s="11">
        <v>0.1</v>
      </c>
      <c r="L739" s="9">
        <v>21.689999999999898</v>
      </c>
      <c r="M739" s="7" t="s">
        <v>65</v>
      </c>
      <c r="N739" t="str">
        <v>Bulk Order</v>
      </c>
    </row>
    <row r="740" spans="1:14">
      <c r="A740" s="7" t="s">
        <v>1261</v>
      </c>
      <c r="B740" s="8">
        <v>41450</v>
      </c>
      <c r="C740" s="8">
        <v>41456</v>
      </c>
      <c r="D740" s="7" t="s">
        <v>1252</v>
      </c>
      <c r="E740" s="7" t="s">
        <v>35</v>
      </c>
      <c r="F740" s="7" t="s">
        <v>38</v>
      </c>
      <c r="G740" s="7" t="s">
        <v>39</v>
      </c>
      <c r="H740" s="7" t="s">
        <v>2658</v>
      </c>
      <c r="I740" s="9">
        <v>88.751999999999995</v>
      </c>
      <c r="J740" s="7">
        <v>3</v>
      </c>
      <c r="K740" s="11">
        <v>0.2</v>
      </c>
      <c r="L740" s="9">
        <v>27.7349999999999</v>
      </c>
      <c r="M740" s="7" t="s">
        <v>17</v>
      </c>
      <c r="N740" t="str">
        <v>Normal Order</v>
      </c>
    </row>
    <row r="741" spans="1:14">
      <c r="A741" s="7" t="s">
        <v>1293</v>
      </c>
      <c r="B741" s="8">
        <v>42242</v>
      </c>
      <c r="C741" s="8">
        <v>42244</v>
      </c>
      <c r="D741" s="7" t="s">
        <v>692</v>
      </c>
      <c r="E741" s="7" t="s">
        <v>14</v>
      </c>
      <c r="F741" s="7" t="s">
        <v>15</v>
      </c>
      <c r="G741" s="7" t="s">
        <v>28</v>
      </c>
      <c r="H741" s="7" t="s">
        <v>2663</v>
      </c>
      <c r="I741" s="9">
        <v>1653.8039999999901</v>
      </c>
      <c r="J741" s="7">
        <v>6</v>
      </c>
      <c r="K741" s="11">
        <v>0.4</v>
      </c>
      <c r="L741" s="9">
        <v>-689.25599999999895</v>
      </c>
      <c r="M741" s="7" t="s">
        <v>32</v>
      </c>
      <c r="N741" t="str">
        <v>Bulk Order</v>
      </c>
    </row>
    <row r="742" spans="1:14">
      <c r="A742" s="7" t="s">
        <v>1294</v>
      </c>
      <c r="B742" s="8">
        <v>42326</v>
      </c>
      <c r="C742" s="8">
        <v>42329</v>
      </c>
      <c r="D742" s="7" t="s">
        <v>1295</v>
      </c>
      <c r="E742" s="7" t="s">
        <v>48</v>
      </c>
      <c r="F742" s="7" t="s">
        <v>49</v>
      </c>
      <c r="G742" s="7" t="s">
        <v>16</v>
      </c>
      <c r="H742" s="7" t="s">
        <v>2658</v>
      </c>
      <c r="I742" s="9">
        <v>621</v>
      </c>
      <c r="J742" s="7">
        <v>2</v>
      </c>
      <c r="K742" s="11">
        <v>0</v>
      </c>
      <c r="L742" s="9">
        <v>180.06</v>
      </c>
      <c r="M742" s="7" t="s">
        <v>23</v>
      </c>
      <c r="N742" t="str">
        <v>Normal Order</v>
      </c>
    </row>
    <row r="743" spans="1:14">
      <c r="A743" s="7" t="s">
        <v>1296</v>
      </c>
      <c r="B743" s="7"/>
      <c r="C743" s="8">
        <v>41615</v>
      </c>
      <c r="D743" s="7" t="s">
        <v>172</v>
      </c>
      <c r="E743" s="7" t="s">
        <v>105</v>
      </c>
      <c r="F743" s="7" t="s">
        <v>158</v>
      </c>
      <c r="G743" s="7" t="s">
        <v>16</v>
      </c>
      <c r="H743" s="7" t="s">
        <v>2655</v>
      </c>
      <c r="I743" s="9">
        <v>2673.81</v>
      </c>
      <c r="J743" s="7">
        <v>9</v>
      </c>
      <c r="K743" s="11">
        <v>0</v>
      </c>
      <c r="L743" s="9">
        <v>26.729999999999901</v>
      </c>
      <c r="M743" s="7" t="s">
        <v>17</v>
      </c>
      <c r="N743" t="str">
        <v>Bulk Order</v>
      </c>
    </row>
    <row r="744" spans="1:14">
      <c r="A744" s="7" t="s">
        <v>1297</v>
      </c>
      <c r="B744" s="8">
        <v>42253</v>
      </c>
      <c r="C744" s="8">
        <v>42253</v>
      </c>
      <c r="D744" s="7" t="s">
        <v>1128</v>
      </c>
      <c r="E744" s="7" t="s">
        <v>67</v>
      </c>
      <c r="F744" s="7" t="s">
        <v>68</v>
      </c>
      <c r="G744" s="7" t="s">
        <v>28</v>
      </c>
      <c r="H744" s="7" t="s">
        <v>2662</v>
      </c>
      <c r="I744" s="9">
        <v>1307.97</v>
      </c>
      <c r="J744" s="7"/>
      <c r="K744" s="11">
        <v>0</v>
      </c>
      <c r="L744" s="9">
        <v>536.22</v>
      </c>
      <c r="M744" s="7" t="s">
        <v>32</v>
      </c>
      <c r="N744" t="str">
        <v>Normal Order</v>
      </c>
    </row>
    <row r="745" spans="1:14">
      <c r="A745" s="7" t="s">
        <v>1298</v>
      </c>
      <c r="B745" s="8">
        <v>42277</v>
      </c>
      <c r="C745" s="8">
        <v>42279</v>
      </c>
      <c r="D745" s="7" t="s">
        <v>148</v>
      </c>
      <c r="E745" s="7" t="s">
        <v>67</v>
      </c>
      <c r="F745" s="7" t="s">
        <v>68</v>
      </c>
      <c r="G745" s="7" t="s">
        <v>16</v>
      </c>
      <c r="H745" s="7" t="s">
        <v>2657</v>
      </c>
      <c r="I745" s="9">
        <v>1145.232</v>
      </c>
      <c r="J745" s="7">
        <v>3</v>
      </c>
      <c r="K745" s="11">
        <v>0.4</v>
      </c>
      <c r="L745" s="9">
        <v>-706.24800000000005</v>
      </c>
      <c r="M745" s="7" t="s">
        <v>23</v>
      </c>
      <c r="N745" t="str">
        <v>Normal Order</v>
      </c>
    </row>
    <row r="746" spans="1:14">
      <c r="A746" s="7" t="s">
        <v>1299</v>
      </c>
      <c r="B746" s="8">
        <v>42094</v>
      </c>
      <c r="C746" s="8">
        <v>42096</v>
      </c>
      <c r="D746" s="7" t="s">
        <v>1252</v>
      </c>
      <c r="E746" s="7" t="s">
        <v>35</v>
      </c>
      <c r="F746" s="7" t="s">
        <v>234</v>
      </c>
      <c r="G746" s="7" t="s">
        <v>28</v>
      </c>
      <c r="H746" s="7" t="s">
        <v>2663</v>
      </c>
      <c r="I746" s="9">
        <v>94.2</v>
      </c>
      <c r="J746" s="7">
        <v>5</v>
      </c>
      <c r="K746" s="11">
        <v>0</v>
      </c>
      <c r="L746" s="9">
        <v>39.564</v>
      </c>
      <c r="M746" s="7" t="s">
        <v>17</v>
      </c>
      <c r="N746" t="str">
        <v>Normal Order</v>
      </c>
    </row>
    <row r="747" spans="1:14">
      <c r="A747" s="7" t="s">
        <v>1300</v>
      </c>
      <c r="B747" s="8">
        <v>41543</v>
      </c>
      <c r="C747" s="8">
        <v>41545</v>
      </c>
      <c r="D747" s="7" t="s">
        <v>459</v>
      </c>
      <c r="E747" s="7" t="s">
        <v>346</v>
      </c>
      <c r="F747" s="7" t="s">
        <v>89</v>
      </c>
      <c r="G747" s="7" t="s">
        <v>16</v>
      </c>
      <c r="H747" s="7" t="s">
        <v>2656</v>
      </c>
      <c r="I747" s="9">
        <v>1902.10816</v>
      </c>
      <c r="J747" s="7">
        <v>8</v>
      </c>
      <c r="K747" s="11">
        <v>2E-3</v>
      </c>
      <c r="L747" s="9">
        <v>872.82816000000003</v>
      </c>
      <c r="M747" s="7" t="s">
        <v>17</v>
      </c>
      <c r="N747" t="str">
        <v>Bulk Order</v>
      </c>
    </row>
    <row r="748" spans="1:14">
      <c r="A748" s="7" t="s">
        <v>1301</v>
      </c>
      <c r="B748" s="8">
        <v>42368</v>
      </c>
      <c r="C748" s="8">
        <v>42371</v>
      </c>
      <c r="D748" s="7" t="s">
        <v>1302</v>
      </c>
      <c r="E748" s="7" t="s">
        <v>891</v>
      </c>
      <c r="F748" s="7" t="s">
        <v>63</v>
      </c>
      <c r="G748" s="7" t="s">
        <v>16</v>
      </c>
      <c r="H748" s="7" t="s">
        <v>2658</v>
      </c>
      <c r="I748" s="9">
        <v>1913.3999999999901</v>
      </c>
      <c r="J748" s="7">
        <v>10</v>
      </c>
      <c r="K748" s="11">
        <v>0</v>
      </c>
      <c r="L748" s="9">
        <v>899.099999999999</v>
      </c>
      <c r="M748" s="7" t="s">
        <v>23</v>
      </c>
      <c r="N748" t="str">
        <v>Bulk Order</v>
      </c>
    </row>
    <row r="749" spans="1:14">
      <c r="A749" s="7" t="s">
        <v>1303</v>
      </c>
      <c r="B749" s="8">
        <v>42024</v>
      </c>
      <c r="C749" s="8">
        <v>42029</v>
      </c>
      <c r="D749" s="7"/>
      <c r="E749" s="7" t="s">
        <v>162</v>
      </c>
      <c r="F749" s="7" t="s">
        <v>75</v>
      </c>
      <c r="G749" s="7" t="s">
        <v>28</v>
      </c>
      <c r="H749" s="7" t="s">
        <v>2657</v>
      </c>
      <c r="I749" s="9">
        <v>1854.71999999999</v>
      </c>
      <c r="J749" s="7">
        <v>4</v>
      </c>
      <c r="K749" s="11">
        <v>0</v>
      </c>
      <c r="L749" s="9">
        <v>778.92</v>
      </c>
      <c r="M749" s="7" t="s">
        <v>17</v>
      </c>
      <c r="N749" t="str">
        <v>Normal Order</v>
      </c>
    </row>
    <row r="750" spans="1:14">
      <c r="A750" s="7" t="s">
        <v>1304</v>
      </c>
      <c r="B750" s="8">
        <v>41835</v>
      </c>
      <c r="C750" s="8">
        <v>41838</v>
      </c>
      <c r="D750" s="7"/>
      <c r="E750" s="7" t="s">
        <v>62</v>
      </c>
      <c r="F750" s="7" t="s">
        <v>63</v>
      </c>
      <c r="G750" s="7" t="s">
        <v>28</v>
      </c>
      <c r="H750" s="7" t="s">
        <v>2657</v>
      </c>
      <c r="I750" s="9">
        <v>2958.9839999999999</v>
      </c>
      <c r="J750" s="7">
        <v>7</v>
      </c>
      <c r="K750" s="11">
        <v>0.1</v>
      </c>
      <c r="L750" s="9">
        <v>953.27399999999898</v>
      </c>
      <c r="M750" s="7" t="s">
        <v>17</v>
      </c>
      <c r="N750" t="str">
        <v>Bulk Order</v>
      </c>
    </row>
    <row r="751" spans="1:14">
      <c r="A751" s="7" t="s">
        <v>1305</v>
      </c>
      <c r="B751" s="8">
        <v>40967</v>
      </c>
      <c r="C751" s="8">
        <v>40970</v>
      </c>
      <c r="D751" s="7" t="s">
        <v>869</v>
      </c>
      <c r="E751" s="7" t="s">
        <v>1306</v>
      </c>
      <c r="F751" s="7" t="s">
        <v>81</v>
      </c>
      <c r="G751" s="7" t="s">
        <v>39</v>
      </c>
      <c r="H751" s="7" t="s">
        <v>2655</v>
      </c>
      <c r="I751" s="9">
        <v>810.72</v>
      </c>
      <c r="J751" s="7">
        <v>3</v>
      </c>
      <c r="K751" s="11">
        <v>0.5</v>
      </c>
      <c r="L751" s="9">
        <v>-599.94000000000005</v>
      </c>
      <c r="M751" s="7" t="s">
        <v>23</v>
      </c>
      <c r="N751" t="str">
        <v>Normal Order</v>
      </c>
    </row>
    <row r="752" spans="1:14">
      <c r="A752" s="7" t="s">
        <v>1307</v>
      </c>
      <c r="B752" s="8">
        <v>42094</v>
      </c>
      <c r="C752" s="8">
        <v>42094</v>
      </c>
      <c r="D752" s="7" t="s">
        <v>1308</v>
      </c>
      <c r="E752" s="7" t="s">
        <v>62</v>
      </c>
      <c r="F752" s="7" t="s">
        <v>63</v>
      </c>
      <c r="G752" s="7" t="s">
        <v>28</v>
      </c>
      <c r="H752" s="7" t="s">
        <v>2655</v>
      </c>
      <c r="I752" s="9">
        <v>2953.5839999999998</v>
      </c>
      <c r="J752" s="7">
        <v>8</v>
      </c>
      <c r="K752" s="11">
        <v>0.1</v>
      </c>
      <c r="L752" s="9">
        <v>754.70399999999904</v>
      </c>
      <c r="M752" s="7" t="s">
        <v>17</v>
      </c>
      <c r="N752" t="str">
        <v>Bulk Order</v>
      </c>
    </row>
    <row r="753" spans="1:14">
      <c r="A753" s="7" t="s">
        <v>1309</v>
      </c>
      <c r="B753" s="8">
        <v>41793</v>
      </c>
      <c r="C753" s="8">
        <v>41796</v>
      </c>
      <c r="D753" s="7" t="s">
        <v>1071</v>
      </c>
      <c r="E753" s="7" t="s">
        <v>67</v>
      </c>
      <c r="F753" s="7" t="s">
        <v>68</v>
      </c>
      <c r="G753" s="7" t="s">
        <v>39</v>
      </c>
      <c r="H753" s="7" t="s">
        <v>2661</v>
      </c>
      <c r="I753" s="9">
        <v>2593.8000000000002</v>
      </c>
      <c r="J753" s="7">
        <v>5</v>
      </c>
      <c r="K753" s="11">
        <v>0</v>
      </c>
      <c r="L753" s="9">
        <v>1141.2</v>
      </c>
      <c r="M753" s="7" t="s">
        <v>32</v>
      </c>
      <c r="N753" t="str">
        <v>Normal Order</v>
      </c>
    </row>
    <row r="754" spans="1:14">
      <c r="A754" s="7" t="s">
        <v>1311</v>
      </c>
      <c r="B754" s="8">
        <v>41703</v>
      </c>
      <c r="C754" s="8">
        <v>41710</v>
      </c>
      <c r="D754" s="7"/>
      <c r="E754" s="7" t="s">
        <v>131</v>
      </c>
      <c r="F754" s="7" t="s">
        <v>132</v>
      </c>
      <c r="G754" s="7" t="s">
        <v>39</v>
      </c>
      <c r="H754" s="7" t="s">
        <v>2663</v>
      </c>
      <c r="I754" s="9">
        <v>2051.0129999999899</v>
      </c>
      <c r="J754" s="7"/>
      <c r="K754" s="11">
        <v>0.17</v>
      </c>
      <c r="L754" s="9">
        <v>667.11300000000006</v>
      </c>
      <c r="M754" s="7" t="s">
        <v>1312</v>
      </c>
      <c r="N754" t="str">
        <v>Normal Order</v>
      </c>
    </row>
    <row r="755" spans="1:14">
      <c r="A755" s="7" t="s">
        <v>1313</v>
      </c>
      <c r="B755" s="8">
        <v>41228</v>
      </c>
      <c r="C755" s="8">
        <v>41232</v>
      </c>
      <c r="D755" s="7" t="s">
        <v>1252</v>
      </c>
      <c r="E755" s="7" t="s">
        <v>35</v>
      </c>
      <c r="F755" s="7" t="s">
        <v>36</v>
      </c>
      <c r="G755" s="7" t="s">
        <v>28</v>
      </c>
      <c r="H755" s="7" t="s">
        <v>2661</v>
      </c>
      <c r="I755" s="9">
        <v>37.295999999999999</v>
      </c>
      <c r="J755" s="7"/>
      <c r="K755" s="11">
        <v>0.3</v>
      </c>
      <c r="L755" s="9">
        <v>-1.0656000000000001</v>
      </c>
      <c r="M755" s="7" t="s">
        <v>32</v>
      </c>
      <c r="N755" t="str">
        <v>Normal Order</v>
      </c>
    </row>
    <row r="756" spans="1:14">
      <c r="A756" s="7" t="s">
        <v>734</v>
      </c>
      <c r="B756" s="8">
        <v>42292</v>
      </c>
      <c r="C756" s="8">
        <v>42294</v>
      </c>
      <c r="D756" s="7" t="s">
        <v>735</v>
      </c>
      <c r="E756" s="7" t="s">
        <v>245</v>
      </c>
      <c r="F756" s="7" t="s">
        <v>63</v>
      </c>
      <c r="G756" s="7" t="s">
        <v>16</v>
      </c>
      <c r="H756" s="7" t="s">
        <v>2661</v>
      </c>
      <c r="I756" s="9" t="s">
        <v>152</v>
      </c>
      <c r="J756" s="7">
        <v>5</v>
      </c>
      <c r="K756" s="11">
        <v>0</v>
      </c>
      <c r="L756" s="9">
        <v>567</v>
      </c>
      <c r="M756" s="7" t="s">
        <v>23</v>
      </c>
      <c r="N756" t="str">
        <v>Normal Order</v>
      </c>
    </row>
    <row r="757" spans="1:14">
      <c r="A757" s="7" t="s">
        <v>1314</v>
      </c>
      <c r="B757" s="8">
        <v>41051</v>
      </c>
      <c r="C757" s="8">
        <v>41051</v>
      </c>
      <c r="D757" s="7" t="s">
        <v>832</v>
      </c>
      <c r="E757" s="7" t="s">
        <v>677</v>
      </c>
      <c r="F757" s="7" t="s">
        <v>132</v>
      </c>
      <c r="G757" s="7" t="s">
        <v>16</v>
      </c>
      <c r="H757" s="7" t="s">
        <v>2661</v>
      </c>
      <c r="I757" s="9">
        <v>1120.77</v>
      </c>
      <c r="J757" s="7">
        <v>9</v>
      </c>
      <c r="K757" s="11"/>
      <c r="L757" s="9">
        <v>55.889999999999901</v>
      </c>
      <c r="M757" s="7" t="s">
        <v>32</v>
      </c>
      <c r="N757" t="str">
        <v>Bulk Order</v>
      </c>
    </row>
    <row r="758" spans="1:14">
      <c r="A758" s="7" t="s">
        <v>1315</v>
      </c>
      <c r="B758" s="7"/>
      <c r="C758" s="8">
        <v>41409</v>
      </c>
      <c r="D758" s="7" t="s">
        <v>1252</v>
      </c>
      <c r="E758" s="7" t="s">
        <v>322</v>
      </c>
      <c r="F758" s="7" t="s">
        <v>38</v>
      </c>
      <c r="G758" s="7" t="s">
        <v>612</v>
      </c>
      <c r="H758" s="7" t="s">
        <v>2657</v>
      </c>
      <c r="I758" s="9">
        <v>46.688000000000002</v>
      </c>
      <c r="J758" s="7">
        <v>4</v>
      </c>
      <c r="K758" s="11"/>
      <c r="L758" s="9">
        <v>-2.9180000000000001</v>
      </c>
      <c r="M758" s="7" t="s">
        <v>17</v>
      </c>
      <c r="N758" t="str">
        <v>Normal Order</v>
      </c>
    </row>
    <row r="759" spans="1:14">
      <c r="A759" s="7" t="s">
        <v>1316</v>
      </c>
      <c r="B759" s="8">
        <v>42245</v>
      </c>
      <c r="C759" s="8">
        <v>42250</v>
      </c>
      <c r="D759" s="7" t="s">
        <v>1317</v>
      </c>
      <c r="E759" s="7" t="s">
        <v>52</v>
      </c>
      <c r="F759" s="7" t="s">
        <v>53</v>
      </c>
      <c r="G759" s="7" t="s">
        <v>39</v>
      </c>
      <c r="H759" s="7" t="s">
        <v>2656</v>
      </c>
      <c r="I759" s="9">
        <v>3044.8</v>
      </c>
      <c r="J759" s="7">
        <v>8</v>
      </c>
      <c r="K759" s="11">
        <v>0</v>
      </c>
      <c r="L759" s="9">
        <v>91.2</v>
      </c>
      <c r="M759" s="7" t="s">
        <v>17</v>
      </c>
      <c r="N759" t="str">
        <v>Bulk Order</v>
      </c>
    </row>
    <row r="760" spans="1:14">
      <c r="A760" s="7" t="s">
        <v>1318</v>
      </c>
      <c r="B760" s="8">
        <v>42176</v>
      </c>
      <c r="C760" s="8">
        <v>42177</v>
      </c>
      <c r="D760" s="7" t="s">
        <v>501</v>
      </c>
      <c r="E760" s="7" t="s">
        <v>62</v>
      </c>
      <c r="F760" s="7" t="s">
        <v>63</v>
      </c>
      <c r="G760" s="7" t="s">
        <v>28</v>
      </c>
      <c r="H760" s="7" t="s">
        <v>2656</v>
      </c>
      <c r="I760" s="9">
        <v>656.85599999999999</v>
      </c>
      <c r="J760" s="7">
        <v>2</v>
      </c>
      <c r="K760" s="11">
        <v>0.1</v>
      </c>
      <c r="L760" s="9">
        <v>94.835999999999899</v>
      </c>
      <c r="M760" s="7" t="s">
        <v>23</v>
      </c>
      <c r="N760" t="str">
        <v>Normal Order</v>
      </c>
    </row>
    <row r="761" spans="1:14">
      <c r="A761" s="7" t="s">
        <v>1319</v>
      </c>
      <c r="B761" s="8">
        <v>42132</v>
      </c>
      <c r="C761" s="8">
        <v>42137</v>
      </c>
      <c r="D761" s="7" t="s">
        <v>1193</v>
      </c>
      <c r="E761" s="7" t="s">
        <v>84</v>
      </c>
      <c r="F761" s="7" t="s">
        <v>754</v>
      </c>
      <c r="G761" s="7" t="s">
        <v>16</v>
      </c>
      <c r="H761" s="7" t="s">
        <v>2661</v>
      </c>
      <c r="I761" s="9">
        <v>2518.9499999999998</v>
      </c>
      <c r="J761" s="7">
        <v>7</v>
      </c>
      <c r="K761" s="11">
        <v>0</v>
      </c>
      <c r="L761" s="9">
        <v>1032.57</v>
      </c>
      <c r="M761" s="7" t="s">
        <v>17</v>
      </c>
      <c r="N761" t="str">
        <v>Bulk Order</v>
      </c>
    </row>
    <row r="762" spans="1:14">
      <c r="A762" s="7" t="s">
        <v>1320</v>
      </c>
      <c r="B762" s="8">
        <v>41870</v>
      </c>
      <c r="C762" s="8">
        <v>41871</v>
      </c>
      <c r="D762" s="7" t="s">
        <v>501</v>
      </c>
      <c r="E762" s="7" t="s">
        <v>1321</v>
      </c>
      <c r="F762" s="7" t="s">
        <v>22</v>
      </c>
      <c r="G762" s="7" t="s">
        <v>28</v>
      </c>
      <c r="H762" s="7" t="s">
        <v>2663</v>
      </c>
      <c r="I762" s="9">
        <v>1669.248</v>
      </c>
      <c r="J762" s="7">
        <v>12</v>
      </c>
      <c r="K762" s="11">
        <v>0.7</v>
      </c>
      <c r="L762" s="9">
        <v>-1558.15199999999</v>
      </c>
      <c r="M762" s="7" t="s">
        <v>17</v>
      </c>
      <c r="N762" t="str">
        <v>Bulk Order</v>
      </c>
    </row>
    <row r="763" spans="1:14">
      <c r="A763" s="7" t="s">
        <v>1322</v>
      </c>
      <c r="B763" s="8">
        <v>41817</v>
      </c>
      <c r="C763" s="8">
        <v>41817</v>
      </c>
      <c r="D763" s="7" t="s">
        <v>1323</v>
      </c>
      <c r="E763" s="7" t="s">
        <v>186</v>
      </c>
      <c r="F763" s="7" t="s">
        <v>68</v>
      </c>
      <c r="G763" s="7" t="s">
        <v>28</v>
      </c>
      <c r="H763" s="7" t="s">
        <v>2657</v>
      </c>
      <c r="I763" s="9">
        <v>2476.08</v>
      </c>
      <c r="J763" s="7">
        <v>6</v>
      </c>
      <c r="K763" s="11">
        <v>0</v>
      </c>
      <c r="L763" s="9">
        <v>1015.02</v>
      </c>
      <c r="M763" s="7" t="s">
        <v>32</v>
      </c>
      <c r="N763" t="str">
        <v>Bulk Order</v>
      </c>
    </row>
    <row r="764" spans="1:14">
      <c r="A764" s="7" t="s">
        <v>1324</v>
      </c>
      <c r="B764" s="8">
        <v>40932</v>
      </c>
      <c r="C764" s="8">
        <v>40932</v>
      </c>
      <c r="D764" s="7" t="s">
        <v>77</v>
      </c>
      <c r="E764" s="7" t="s">
        <v>1325</v>
      </c>
      <c r="F764" s="7" t="s">
        <v>85</v>
      </c>
      <c r="G764" s="7" t="s">
        <v>16</v>
      </c>
      <c r="H764" s="7" t="s">
        <v>2655</v>
      </c>
      <c r="I764" s="9">
        <v>1302.78</v>
      </c>
      <c r="J764" s="7">
        <v>2</v>
      </c>
      <c r="K764" s="11">
        <v>0</v>
      </c>
      <c r="L764" s="9">
        <v>286.56</v>
      </c>
      <c r="M764" s="7" t="s">
        <v>17</v>
      </c>
      <c r="N764" t="str">
        <v>Normal Order</v>
      </c>
    </row>
    <row r="765" spans="1:14">
      <c r="A765" s="7" t="s">
        <v>1257</v>
      </c>
      <c r="B765" s="8">
        <v>41361</v>
      </c>
      <c r="C765" s="8">
        <v>41366</v>
      </c>
      <c r="D765" s="7" t="s">
        <v>1252</v>
      </c>
      <c r="E765" s="7" t="s">
        <v>35</v>
      </c>
      <c r="F765" s="7" t="s">
        <v>38</v>
      </c>
      <c r="G765" s="7" t="s">
        <v>39</v>
      </c>
      <c r="H765" s="7" t="s">
        <v>2663</v>
      </c>
      <c r="I765" s="9">
        <v>33.4</v>
      </c>
      <c r="J765" s="7"/>
      <c r="K765" s="11">
        <v>0</v>
      </c>
      <c r="L765" s="9">
        <v>16.032</v>
      </c>
      <c r="M765" s="7" t="s">
        <v>17</v>
      </c>
      <c r="N765" t="str">
        <v>Normal Order</v>
      </c>
    </row>
    <row r="766" spans="1:14">
      <c r="A766" s="7" t="s">
        <v>1326</v>
      </c>
      <c r="B766" s="8">
        <v>42342</v>
      </c>
      <c r="C766" s="8">
        <v>42346</v>
      </c>
      <c r="D766" s="7" t="s">
        <v>869</v>
      </c>
      <c r="E766" s="7" t="s">
        <v>14</v>
      </c>
      <c r="F766" s="7" t="s">
        <v>15</v>
      </c>
      <c r="G766" s="7" t="s">
        <v>28</v>
      </c>
      <c r="H766" s="7" t="s">
        <v>2654</v>
      </c>
      <c r="I766" s="9">
        <v>2125.3199999999902</v>
      </c>
      <c r="J766" s="7">
        <v>4</v>
      </c>
      <c r="K766" s="11">
        <v>0</v>
      </c>
      <c r="L766" s="9">
        <v>148.68</v>
      </c>
      <c r="M766" s="7" t="s">
        <v>17</v>
      </c>
      <c r="N766" t="str">
        <v>Normal Order</v>
      </c>
    </row>
    <row r="767" spans="1:14">
      <c r="A767" s="7" t="s">
        <v>1327</v>
      </c>
      <c r="B767" s="8">
        <v>41818</v>
      </c>
      <c r="C767" s="8">
        <v>41824</v>
      </c>
      <c r="D767" s="7" t="s">
        <v>1177</v>
      </c>
      <c r="E767" s="7" t="s">
        <v>84</v>
      </c>
      <c r="F767" s="7" t="s">
        <v>85</v>
      </c>
      <c r="G767" s="7" t="s">
        <v>16</v>
      </c>
      <c r="H767" s="7" t="s">
        <v>2656</v>
      </c>
      <c r="I767" s="9">
        <v>1954.44</v>
      </c>
      <c r="J767" s="7">
        <v>3</v>
      </c>
      <c r="K767" s="11">
        <v>0</v>
      </c>
      <c r="L767" s="9">
        <v>781.74</v>
      </c>
      <c r="M767" s="7" t="s">
        <v>65</v>
      </c>
      <c r="N767" t="str">
        <v>Normal Order</v>
      </c>
    </row>
    <row r="768" spans="1:14">
      <c r="A768" s="7" t="s">
        <v>1328</v>
      </c>
      <c r="B768" s="10">
        <v>41418</v>
      </c>
      <c r="C768" s="8">
        <v>41420</v>
      </c>
      <c r="D768" s="7" t="s">
        <v>1226</v>
      </c>
      <c r="E768" s="7" t="s">
        <v>52</v>
      </c>
      <c r="F768" s="7" t="s">
        <v>1329</v>
      </c>
      <c r="G768" s="7" t="s">
        <v>16</v>
      </c>
      <c r="H768" s="7" t="s">
        <v>2658</v>
      </c>
      <c r="I768" s="9">
        <v>856.92</v>
      </c>
      <c r="J768" s="7">
        <v>2</v>
      </c>
      <c r="K768" s="11">
        <v>0</v>
      </c>
      <c r="L768" s="9">
        <v>222.76</v>
      </c>
      <c r="M768" s="7" t="s">
        <v>23</v>
      </c>
      <c r="N768" t="str">
        <v>Normal Order</v>
      </c>
    </row>
    <row r="769" spans="1:14">
      <c r="A769" s="7" t="s">
        <v>1330</v>
      </c>
      <c r="B769" s="8">
        <v>42346</v>
      </c>
      <c r="C769" s="7" t="s">
        <v>1331</v>
      </c>
      <c r="D769" s="7" t="s">
        <v>1332</v>
      </c>
      <c r="E769" s="7"/>
      <c r="F769" s="7" t="s">
        <v>132</v>
      </c>
      <c r="G769" s="7" t="s">
        <v>16</v>
      </c>
      <c r="H769" s="7" t="s">
        <v>2656</v>
      </c>
      <c r="I769" s="9">
        <v>3696.0315000000001</v>
      </c>
      <c r="J769" s="7">
        <v>7</v>
      </c>
      <c r="K769" s="11"/>
      <c r="L769" s="9">
        <v>756.87149999999997</v>
      </c>
      <c r="M769" s="7" t="s">
        <v>17</v>
      </c>
      <c r="N769" t="str">
        <v>Bulk Order</v>
      </c>
    </row>
    <row r="770" spans="1:14">
      <c r="A770" s="7" t="s">
        <v>1334</v>
      </c>
      <c r="B770" s="8">
        <v>41619</v>
      </c>
      <c r="C770" s="8">
        <v>41623</v>
      </c>
      <c r="D770" s="7" t="s">
        <v>1335</v>
      </c>
      <c r="E770" s="7" t="s">
        <v>1336</v>
      </c>
      <c r="F770" s="7" t="s">
        <v>106</v>
      </c>
      <c r="G770" s="7" t="s">
        <v>16</v>
      </c>
      <c r="H770" s="7" t="s">
        <v>2656</v>
      </c>
      <c r="I770" s="9">
        <v>1302.96</v>
      </c>
      <c r="J770" s="7">
        <v>2</v>
      </c>
      <c r="K770" s="11">
        <v>0</v>
      </c>
      <c r="L770" s="9">
        <v>182.39999999999901</v>
      </c>
      <c r="M770" s="7" t="s">
        <v>32</v>
      </c>
      <c r="N770" t="str">
        <v>Normal Order</v>
      </c>
    </row>
    <row r="771" spans="1:14">
      <c r="A771" s="7" t="s">
        <v>1337</v>
      </c>
      <c r="B771" s="8">
        <v>42068</v>
      </c>
      <c r="C771" s="8">
        <v>42070</v>
      </c>
      <c r="D771" s="7" t="s">
        <v>393</v>
      </c>
      <c r="E771" s="7" t="s">
        <v>576</v>
      </c>
      <c r="F771" s="7" t="s">
        <v>1338</v>
      </c>
      <c r="G771" s="7" t="s">
        <v>28</v>
      </c>
      <c r="H771" s="7" t="s">
        <v>2656</v>
      </c>
      <c r="I771" s="9">
        <v>1136.66399999999</v>
      </c>
      <c r="J771" s="7">
        <v>6</v>
      </c>
      <c r="K771" s="11">
        <v>0.6</v>
      </c>
      <c r="L771" s="9">
        <v>-880.95599999999899</v>
      </c>
      <c r="M771" s="7" t="s">
        <v>32</v>
      </c>
      <c r="N771" t="str">
        <v>Bulk Order</v>
      </c>
    </row>
    <row r="772" spans="1:14">
      <c r="A772" s="7" t="s">
        <v>1339</v>
      </c>
      <c r="B772" s="8">
        <v>41815</v>
      </c>
      <c r="C772" s="8">
        <v>41819</v>
      </c>
      <c r="D772" s="7" t="s">
        <v>1069</v>
      </c>
      <c r="E772" s="7" t="s">
        <v>14</v>
      </c>
      <c r="F772" s="7" t="s">
        <v>15</v>
      </c>
      <c r="G772" s="7" t="s">
        <v>16</v>
      </c>
      <c r="H772" s="7" t="s">
        <v>2656</v>
      </c>
      <c r="I772" s="9"/>
      <c r="J772" s="7">
        <v>6</v>
      </c>
      <c r="K772" s="11">
        <v>0.1</v>
      </c>
      <c r="L772" s="9">
        <v>382.17599999999999</v>
      </c>
      <c r="M772" s="7" t="s">
        <v>32</v>
      </c>
      <c r="N772" t="str">
        <v>Bulk Order</v>
      </c>
    </row>
    <row r="773" spans="1:14">
      <c r="A773" s="7" t="s">
        <v>1340</v>
      </c>
      <c r="B773" s="8">
        <v>42157</v>
      </c>
      <c r="C773" s="8">
        <v>42159</v>
      </c>
      <c r="D773" s="7" t="s">
        <v>1341</v>
      </c>
      <c r="E773" s="7" t="s">
        <v>131</v>
      </c>
      <c r="F773" s="7" t="s">
        <v>132</v>
      </c>
      <c r="G773" s="7" t="s">
        <v>16</v>
      </c>
      <c r="H773" s="7" t="s">
        <v>2655</v>
      </c>
      <c r="I773" s="9">
        <v>1043.9304</v>
      </c>
      <c r="J773" s="7">
        <v>8</v>
      </c>
      <c r="K773" s="11">
        <v>0.47</v>
      </c>
      <c r="L773" s="9">
        <v>-295.50959999999998</v>
      </c>
      <c r="M773" s="7" t="s">
        <v>17</v>
      </c>
      <c r="N773" t="str">
        <v>Bulk Order</v>
      </c>
    </row>
    <row r="774" spans="1:14">
      <c r="A774" s="7" t="s">
        <v>1342</v>
      </c>
      <c r="B774" s="8">
        <v>41178</v>
      </c>
      <c r="C774" s="8">
        <v>41184</v>
      </c>
      <c r="D774" s="7" t="s">
        <v>914</v>
      </c>
      <c r="E774" s="7"/>
      <c r="F774" s="7" t="s">
        <v>22</v>
      </c>
      <c r="G774" s="7" t="s">
        <v>16</v>
      </c>
      <c r="H774" s="7" t="s">
        <v>2654</v>
      </c>
      <c r="I774" s="9"/>
      <c r="J774" s="7">
        <v>4</v>
      </c>
      <c r="K774" s="11">
        <v>0</v>
      </c>
      <c r="L774" s="9">
        <v>200.52</v>
      </c>
      <c r="M774" s="7" t="s">
        <v>65</v>
      </c>
      <c r="N774" t="str">
        <v>Normal Order</v>
      </c>
    </row>
    <row r="775" spans="1:14">
      <c r="A775" s="7" t="s">
        <v>1343</v>
      </c>
      <c r="B775" s="8">
        <v>41795</v>
      </c>
      <c r="C775" s="8">
        <v>41799</v>
      </c>
      <c r="D775" s="7" t="s">
        <v>1344</v>
      </c>
      <c r="E775" s="7" t="s">
        <v>1345</v>
      </c>
      <c r="F775" s="7" t="s">
        <v>1346</v>
      </c>
      <c r="G775" s="7" t="s">
        <v>39</v>
      </c>
      <c r="H775" s="7" t="s">
        <v>2657</v>
      </c>
      <c r="I775" s="9">
        <v>2180.2439999999901</v>
      </c>
      <c r="J775" s="7">
        <v>11</v>
      </c>
      <c r="K775" s="11">
        <v>0.4</v>
      </c>
      <c r="L775" s="9">
        <v>-690.53599999999904</v>
      </c>
      <c r="M775" s="7" t="s">
        <v>216</v>
      </c>
      <c r="N775" t="str">
        <v>Bulk Order</v>
      </c>
    </row>
    <row r="776" spans="1:14">
      <c r="A776" s="7" t="s">
        <v>1347</v>
      </c>
      <c r="B776" s="8">
        <v>41928</v>
      </c>
      <c r="C776" s="8">
        <v>41930</v>
      </c>
      <c r="D776" s="7" t="s">
        <v>267</v>
      </c>
      <c r="E776" s="7" t="s">
        <v>62</v>
      </c>
      <c r="F776" s="7" t="s">
        <v>63</v>
      </c>
      <c r="G776" s="7" t="s">
        <v>1008</v>
      </c>
      <c r="H776" s="7" t="s">
        <v>2662</v>
      </c>
      <c r="I776" s="9">
        <v>1306.4670000000001</v>
      </c>
      <c r="J776" s="7">
        <v>6</v>
      </c>
      <c r="K776" s="11">
        <v>0.15</v>
      </c>
      <c r="L776" s="9">
        <v>107.486999999999</v>
      </c>
      <c r="M776" s="7" t="s">
        <v>32</v>
      </c>
      <c r="N776" t="str">
        <v>Bulk Order</v>
      </c>
    </row>
    <row r="777" spans="1:14">
      <c r="A777" s="7" t="s">
        <v>1348</v>
      </c>
      <c r="B777" s="8">
        <v>42344</v>
      </c>
      <c r="C777" s="8">
        <v>42348</v>
      </c>
      <c r="D777" s="7" t="s">
        <v>1252</v>
      </c>
      <c r="E777" s="7" t="s">
        <v>322</v>
      </c>
      <c r="F777" s="7" t="s">
        <v>38</v>
      </c>
      <c r="G777" s="7" t="s">
        <v>1095</v>
      </c>
      <c r="H777" s="7" t="s">
        <v>2661</v>
      </c>
      <c r="I777" s="9">
        <v>24.815999999999999</v>
      </c>
      <c r="J777" s="7">
        <v>3</v>
      </c>
      <c r="K777" s="11">
        <v>0.2</v>
      </c>
      <c r="L777" s="9">
        <v>8.3753999999999902</v>
      </c>
      <c r="M777" s="7" t="s">
        <v>17</v>
      </c>
      <c r="N777" t="str">
        <v>Normal Order</v>
      </c>
    </row>
    <row r="778" spans="1:14">
      <c r="A778" s="7" t="s">
        <v>1261</v>
      </c>
      <c r="B778" s="8">
        <v>41450</v>
      </c>
      <c r="C778" s="8">
        <v>41456</v>
      </c>
      <c r="D778" s="7" t="s">
        <v>1252</v>
      </c>
      <c r="E778" s="7" t="s">
        <v>35</v>
      </c>
      <c r="F778" s="7" t="s">
        <v>38</v>
      </c>
      <c r="G778" s="7" t="s">
        <v>39</v>
      </c>
      <c r="H778" s="7" t="s">
        <v>2662</v>
      </c>
      <c r="I778" s="9">
        <v>20.96</v>
      </c>
      <c r="J778" s="7">
        <v>2</v>
      </c>
      <c r="K778" s="11">
        <v>0</v>
      </c>
      <c r="L778" s="9">
        <v>5.24</v>
      </c>
      <c r="M778" s="7" t="s">
        <v>17</v>
      </c>
      <c r="N778" t="str">
        <v>Normal Order</v>
      </c>
    </row>
    <row r="779" spans="1:14">
      <c r="A779" s="7" t="s">
        <v>1349</v>
      </c>
      <c r="B779" s="8">
        <v>42329</v>
      </c>
      <c r="C779" s="8">
        <v>42330</v>
      </c>
      <c r="D779" s="7" t="s">
        <v>278</v>
      </c>
      <c r="E779" s="7" t="s">
        <v>88</v>
      </c>
      <c r="F779" s="7" t="s">
        <v>89</v>
      </c>
      <c r="G779" s="7" t="s">
        <v>28</v>
      </c>
      <c r="H779" s="7" t="s">
        <v>2664</v>
      </c>
      <c r="I779" s="9">
        <v>775.53599999999994</v>
      </c>
      <c r="J779" s="7">
        <v>3</v>
      </c>
      <c r="K779" s="11">
        <v>0.2</v>
      </c>
      <c r="L779" s="9">
        <v>213.21599999999901</v>
      </c>
      <c r="M779" s="7" t="s">
        <v>32</v>
      </c>
      <c r="N779" t="str">
        <v>Normal Order</v>
      </c>
    </row>
    <row r="780" spans="1:14">
      <c r="A780" s="7" t="s">
        <v>1350</v>
      </c>
      <c r="B780" s="8">
        <v>41588</v>
      </c>
      <c r="C780" s="8">
        <v>41591</v>
      </c>
      <c r="D780" s="7" t="s">
        <v>1351</v>
      </c>
      <c r="E780" s="7" t="s">
        <v>62</v>
      </c>
      <c r="F780" s="7" t="s">
        <v>63</v>
      </c>
      <c r="G780" s="7" t="s">
        <v>28</v>
      </c>
      <c r="H780" s="7" t="s">
        <v>2664</v>
      </c>
      <c r="I780" s="9">
        <v>2012.049</v>
      </c>
      <c r="J780" s="7">
        <v>6</v>
      </c>
      <c r="K780" s="11">
        <v>0.35</v>
      </c>
      <c r="L780" s="9">
        <v>-1021.67099999999</v>
      </c>
      <c r="M780" s="7" t="s">
        <v>17</v>
      </c>
      <c r="N780" t="str">
        <v>Bulk Order</v>
      </c>
    </row>
    <row r="781" spans="1:14">
      <c r="A781" s="7" t="s">
        <v>1353</v>
      </c>
      <c r="B781" s="7" t="s">
        <v>1354</v>
      </c>
      <c r="C781" s="8">
        <v>41072</v>
      </c>
      <c r="D781" s="7" t="s">
        <v>1355</v>
      </c>
      <c r="E781" s="7" t="s">
        <v>131</v>
      </c>
      <c r="F781" s="7" t="s">
        <v>132</v>
      </c>
      <c r="G781" s="7" t="s">
        <v>16</v>
      </c>
      <c r="H781" s="7" t="s">
        <v>2658</v>
      </c>
      <c r="I781" s="9">
        <v>2166.8975999999998</v>
      </c>
      <c r="J781" s="7">
        <v>4</v>
      </c>
      <c r="K781" s="11">
        <v>0.17</v>
      </c>
      <c r="L781" s="9">
        <v>391.49759999999901</v>
      </c>
      <c r="M781" s="7" t="s">
        <v>17</v>
      </c>
      <c r="N781" t="str">
        <v>Normal Order</v>
      </c>
    </row>
    <row r="782" spans="1:14">
      <c r="A782" s="7"/>
      <c r="B782" s="8">
        <v>42101</v>
      </c>
      <c r="C782" s="8">
        <v>42106</v>
      </c>
      <c r="D782" s="7" t="s">
        <v>582</v>
      </c>
      <c r="E782" s="7" t="s">
        <v>105</v>
      </c>
      <c r="F782" s="7" t="s">
        <v>106</v>
      </c>
      <c r="G782" s="7" t="s">
        <v>16</v>
      </c>
      <c r="H782" s="7" t="s">
        <v>2658</v>
      </c>
      <c r="I782" s="9">
        <v>3271.2</v>
      </c>
      <c r="J782" s="7">
        <v>5</v>
      </c>
      <c r="K782" s="11">
        <v>0</v>
      </c>
      <c r="L782" s="9">
        <v>1341.15</v>
      </c>
      <c r="M782" s="7" t="s">
        <v>773</v>
      </c>
      <c r="N782" t="str">
        <v>Normal Order</v>
      </c>
    </row>
    <row r="783" spans="1:14">
      <c r="A783" s="7" t="s">
        <v>1356</v>
      </c>
      <c r="B783" s="8">
        <v>41199</v>
      </c>
      <c r="C783" s="8">
        <v>41202</v>
      </c>
      <c r="D783" s="7" t="s">
        <v>1344</v>
      </c>
      <c r="E783" s="7" t="s">
        <v>558</v>
      </c>
      <c r="F783" s="7" t="s">
        <v>111</v>
      </c>
      <c r="G783" s="7" t="s">
        <v>16</v>
      </c>
      <c r="H783" s="7" t="s">
        <v>2656</v>
      </c>
      <c r="I783" s="9"/>
      <c r="J783" s="7">
        <v>3</v>
      </c>
      <c r="K783" s="11">
        <v>2E-3</v>
      </c>
      <c r="L783" s="9">
        <v>195.34536</v>
      </c>
      <c r="M783" s="7" t="s">
        <v>23</v>
      </c>
      <c r="N783" t="str">
        <v>Normal Order</v>
      </c>
    </row>
    <row r="784" spans="1:14">
      <c r="A784" s="7" t="s">
        <v>1357</v>
      </c>
      <c r="B784" s="8">
        <v>41389</v>
      </c>
      <c r="C784" s="8">
        <v>41394</v>
      </c>
      <c r="D784" s="7" t="s">
        <v>1124</v>
      </c>
      <c r="E784" s="7" t="s">
        <v>425</v>
      </c>
      <c r="F784" s="7" t="s">
        <v>426</v>
      </c>
      <c r="G784" s="7" t="s">
        <v>28</v>
      </c>
      <c r="H784" s="7" t="s">
        <v>2656</v>
      </c>
      <c r="I784" s="9">
        <v>2182.6799999999998</v>
      </c>
      <c r="J784" s="7">
        <v>6</v>
      </c>
      <c r="K784" s="11">
        <v>0</v>
      </c>
      <c r="L784" s="9">
        <v>327.24</v>
      </c>
      <c r="M784" s="7" t="s">
        <v>17</v>
      </c>
      <c r="N784" t="str">
        <v>Bulk Order</v>
      </c>
    </row>
    <row r="785" spans="1:14">
      <c r="A785" s="7" t="s">
        <v>1358</v>
      </c>
      <c r="B785" s="8">
        <v>41517</v>
      </c>
      <c r="C785" s="8">
        <v>41519</v>
      </c>
      <c r="D785" s="7" t="s">
        <v>188</v>
      </c>
      <c r="E785" s="7" t="s">
        <v>808</v>
      </c>
      <c r="F785" s="7" t="s">
        <v>81</v>
      </c>
      <c r="G785" s="7" t="s">
        <v>16</v>
      </c>
      <c r="H785" s="7" t="s">
        <v>2657</v>
      </c>
      <c r="I785" s="9">
        <v>1285.56</v>
      </c>
      <c r="J785" s="7">
        <v>2</v>
      </c>
      <c r="K785" s="11">
        <v>0</v>
      </c>
      <c r="L785" s="9">
        <v>51.42</v>
      </c>
      <c r="M785" s="7" t="s">
        <v>23</v>
      </c>
      <c r="N785" t="str">
        <v>Normal Order</v>
      </c>
    </row>
    <row r="786" spans="1:14">
      <c r="A786" s="7" t="s">
        <v>1359</v>
      </c>
      <c r="B786" s="8">
        <v>41382</v>
      </c>
      <c r="C786" s="8">
        <v>41385</v>
      </c>
      <c r="D786" s="7" t="s">
        <v>806</v>
      </c>
      <c r="E786" s="7" t="s">
        <v>346</v>
      </c>
      <c r="F786" s="7" t="s">
        <v>1360</v>
      </c>
      <c r="G786" s="7" t="s">
        <v>16</v>
      </c>
      <c r="H786" s="7" t="s">
        <v>2663</v>
      </c>
      <c r="I786" s="9">
        <v>1479.36</v>
      </c>
      <c r="J786" s="7">
        <v>12</v>
      </c>
      <c r="K786" s="11">
        <v>0</v>
      </c>
      <c r="L786" s="9">
        <v>103.439999999999</v>
      </c>
      <c r="M786" s="7" t="s">
        <v>1361</v>
      </c>
      <c r="N786" t="str">
        <v>Bulk Order</v>
      </c>
    </row>
    <row r="787" spans="1:14">
      <c r="A787" s="7" t="s">
        <v>1362</v>
      </c>
      <c r="B787" s="8">
        <v>41993</v>
      </c>
      <c r="C787" s="8">
        <v>41995</v>
      </c>
      <c r="D787" s="7" t="s">
        <v>13</v>
      </c>
      <c r="E787" s="7" t="s">
        <v>52</v>
      </c>
      <c r="F787" s="7" t="s">
        <v>53</v>
      </c>
      <c r="G787" s="7" t="s">
        <v>28</v>
      </c>
      <c r="H787" s="7" t="s">
        <v>2656</v>
      </c>
      <c r="I787" s="9">
        <v>740.18399999999997</v>
      </c>
      <c r="J787" s="7">
        <v>3</v>
      </c>
      <c r="K787" s="11">
        <v>0.6</v>
      </c>
      <c r="L787" s="9">
        <v>-407.135999999999</v>
      </c>
      <c r="M787" s="7" t="s">
        <v>23</v>
      </c>
      <c r="N787" t="str">
        <v>Normal Order</v>
      </c>
    </row>
    <row r="788" spans="1:14">
      <c r="A788" s="7" t="s">
        <v>1363</v>
      </c>
      <c r="B788" s="8">
        <v>41794</v>
      </c>
      <c r="C788" s="8">
        <v>41798</v>
      </c>
      <c r="D788" s="7" t="s">
        <v>1364</v>
      </c>
      <c r="E788" s="7" t="s">
        <v>1236</v>
      </c>
      <c r="F788" s="7" t="s">
        <v>85</v>
      </c>
      <c r="G788" s="7" t="s">
        <v>16</v>
      </c>
      <c r="H788" s="7" t="s">
        <v>2656</v>
      </c>
      <c r="I788" s="9"/>
      <c r="J788" s="7">
        <v>5</v>
      </c>
      <c r="K788" s="11">
        <v>0</v>
      </c>
      <c r="L788" s="9">
        <v>505.79999999999899</v>
      </c>
      <c r="M788" s="7" t="s">
        <v>32</v>
      </c>
      <c r="N788" t="str">
        <v>Normal Order</v>
      </c>
    </row>
    <row r="789" spans="1:14">
      <c r="A789" s="7" t="s">
        <v>1365</v>
      </c>
      <c r="B789" s="8">
        <v>41450</v>
      </c>
      <c r="C789" s="8">
        <v>41456</v>
      </c>
      <c r="D789" s="7" t="s">
        <v>753</v>
      </c>
      <c r="E789" s="7" t="s">
        <v>48</v>
      </c>
      <c r="F789" s="7" t="s">
        <v>49</v>
      </c>
      <c r="G789" s="7" t="s">
        <v>28</v>
      </c>
      <c r="H789" s="7" t="s">
        <v>2658</v>
      </c>
      <c r="I789" s="9">
        <v>2563.9199999999901</v>
      </c>
      <c r="J789" s="7">
        <v>8</v>
      </c>
      <c r="K789" s="11">
        <v>0</v>
      </c>
      <c r="L789" s="9"/>
      <c r="M789" s="7" t="s">
        <v>17</v>
      </c>
      <c r="N789" t="str">
        <v>Bulk Order</v>
      </c>
    </row>
    <row r="790" spans="1:14">
      <c r="A790" s="7" t="s">
        <v>1366</v>
      </c>
      <c r="B790" s="8">
        <v>41502</v>
      </c>
      <c r="C790" s="8">
        <v>41506</v>
      </c>
      <c r="D790" s="7" t="s">
        <v>1005</v>
      </c>
      <c r="E790" s="7" t="s">
        <v>1367</v>
      </c>
      <c r="F790" s="7" t="s">
        <v>15</v>
      </c>
      <c r="G790" s="7" t="s">
        <v>16</v>
      </c>
      <c r="H790" s="7" t="s">
        <v>2662</v>
      </c>
      <c r="I790" s="9">
        <v>2897.91</v>
      </c>
      <c r="J790" s="7">
        <v>5</v>
      </c>
      <c r="K790" s="11">
        <v>0.1</v>
      </c>
      <c r="L790" s="9">
        <v>901.56</v>
      </c>
      <c r="M790" s="7" t="s">
        <v>17</v>
      </c>
      <c r="N790" t="str">
        <v>Normal Order</v>
      </c>
    </row>
    <row r="791" spans="1:14">
      <c r="A791" s="7" t="s">
        <v>1368</v>
      </c>
      <c r="B791" s="8">
        <v>42230</v>
      </c>
      <c r="C791" s="8">
        <v>42234</v>
      </c>
      <c r="D791" s="7" t="s">
        <v>1369</v>
      </c>
      <c r="E791" s="7" t="s">
        <v>701</v>
      </c>
      <c r="F791" s="7" t="s">
        <v>106</v>
      </c>
      <c r="G791" s="7" t="s">
        <v>154</v>
      </c>
      <c r="H791" s="7" t="s">
        <v>2658</v>
      </c>
      <c r="I791" s="9">
        <v>1582.11</v>
      </c>
      <c r="J791" s="7">
        <v>6</v>
      </c>
      <c r="K791" s="11">
        <v>0.5</v>
      </c>
      <c r="L791" s="9">
        <v>-886.05</v>
      </c>
      <c r="M791" s="7" t="s">
        <v>32</v>
      </c>
      <c r="N791" t="str">
        <v>Bulk Order</v>
      </c>
    </row>
    <row r="792" spans="1:14">
      <c r="A792" s="7" t="s">
        <v>1285</v>
      </c>
      <c r="B792" s="8">
        <v>42109</v>
      </c>
      <c r="C792" s="7"/>
      <c r="D792" s="7" t="s">
        <v>1252</v>
      </c>
      <c r="E792" s="7" t="s">
        <v>35</v>
      </c>
      <c r="F792" s="7" t="s">
        <v>102</v>
      </c>
      <c r="G792" s="7" t="s">
        <v>1371</v>
      </c>
      <c r="H792" s="7" t="s">
        <v>2656</v>
      </c>
      <c r="I792" s="9">
        <v>14.592000000000001</v>
      </c>
      <c r="J792" s="7"/>
      <c r="K792" s="11">
        <v>0.2</v>
      </c>
      <c r="L792" s="9">
        <v>2.5535999999999901</v>
      </c>
      <c r="M792" s="7" t="s">
        <v>17</v>
      </c>
      <c r="N792" t="str">
        <v>Normal Order</v>
      </c>
    </row>
    <row r="793" spans="1:14">
      <c r="A793" s="7" t="s">
        <v>1372</v>
      </c>
      <c r="B793" s="8">
        <v>41885</v>
      </c>
      <c r="C793" s="8">
        <v>41891</v>
      </c>
      <c r="D793" s="7" t="s">
        <v>1373</v>
      </c>
      <c r="E793" s="7" t="s">
        <v>346</v>
      </c>
      <c r="F793" s="7" t="s">
        <v>89</v>
      </c>
      <c r="G793" s="7" t="s">
        <v>16</v>
      </c>
      <c r="H793" s="7" t="s">
        <v>2661</v>
      </c>
      <c r="I793" s="9">
        <v>2616.96</v>
      </c>
      <c r="J793" s="7">
        <v>6</v>
      </c>
      <c r="K793" s="11">
        <v>0</v>
      </c>
      <c r="L793" s="9">
        <v>26.16</v>
      </c>
      <c r="M793" s="7" t="s">
        <v>17</v>
      </c>
      <c r="N793" t="str">
        <v>Bulk Order</v>
      </c>
    </row>
    <row r="794" spans="1:14">
      <c r="A794" s="7" t="s">
        <v>1374</v>
      </c>
      <c r="B794" s="8">
        <v>42153</v>
      </c>
      <c r="C794" s="7"/>
      <c r="D794" s="7" t="s">
        <v>1375</v>
      </c>
      <c r="E794" s="7"/>
      <c r="F794" s="7" t="s">
        <v>85</v>
      </c>
      <c r="G794" s="7" t="s">
        <v>28</v>
      </c>
      <c r="H794" s="7" t="s">
        <v>2663</v>
      </c>
      <c r="I794" s="9" t="s">
        <v>152</v>
      </c>
      <c r="J794" s="7">
        <v>3</v>
      </c>
      <c r="K794" s="11">
        <v>0.1</v>
      </c>
      <c r="L794" s="9">
        <v>108.783</v>
      </c>
      <c r="M794" s="7" t="s">
        <v>23</v>
      </c>
      <c r="N794" t="str">
        <v>Normal Order</v>
      </c>
    </row>
    <row r="795" spans="1:14">
      <c r="A795" s="7" t="s">
        <v>1376</v>
      </c>
      <c r="B795" s="8">
        <v>41814</v>
      </c>
      <c r="C795" s="8">
        <v>41821</v>
      </c>
      <c r="D795" s="7" t="s">
        <v>1284</v>
      </c>
      <c r="E795" s="7" t="s">
        <v>891</v>
      </c>
      <c r="F795" s="7" t="s">
        <v>63</v>
      </c>
      <c r="G795" s="7" t="s">
        <v>16</v>
      </c>
      <c r="H795" s="7" t="s">
        <v>2656</v>
      </c>
      <c r="I795" s="9">
        <v>3421.71</v>
      </c>
      <c r="J795" s="7">
        <v>9</v>
      </c>
      <c r="K795" s="11">
        <v>0</v>
      </c>
      <c r="L795" s="9">
        <v>1060.56</v>
      </c>
      <c r="M795" s="7" t="s">
        <v>17</v>
      </c>
      <c r="N795" t="str">
        <v>Bulk Order</v>
      </c>
    </row>
    <row r="796" spans="1:14">
      <c r="A796" s="7" t="s">
        <v>1285</v>
      </c>
      <c r="B796" s="8">
        <v>42109</v>
      </c>
      <c r="C796" s="10">
        <v>55261</v>
      </c>
      <c r="D796" s="7" t="s">
        <v>1252</v>
      </c>
      <c r="E796" s="7" t="s">
        <v>35</v>
      </c>
      <c r="F796" s="7" t="s">
        <v>102</v>
      </c>
      <c r="G796" s="7" t="s">
        <v>1377</v>
      </c>
      <c r="H796" s="7" t="s">
        <v>2658</v>
      </c>
      <c r="I796" s="9">
        <v>13.872</v>
      </c>
      <c r="J796" s="7">
        <v>3</v>
      </c>
      <c r="K796" s="11">
        <v>1.5857943638652301</v>
      </c>
      <c r="L796" s="9">
        <v>5.0286</v>
      </c>
      <c r="M796" s="7" t="s">
        <v>17</v>
      </c>
      <c r="N796" t="str">
        <v>Normal Order</v>
      </c>
    </row>
    <row r="797" spans="1:14">
      <c r="A797" s="7" t="s">
        <v>1378</v>
      </c>
      <c r="B797" s="8">
        <v>42132</v>
      </c>
      <c r="C797" s="8">
        <v>42134</v>
      </c>
      <c r="D797" s="7" t="s">
        <v>1379</v>
      </c>
      <c r="E797" s="7" t="s">
        <v>1380</v>
      </c>
      <c r="F797" s="7" t="s">
        <v>53</v>
      </c>
      <c r="G797" s="7" t="s">
        <v>16</v>
      </c>
      <c r="H797" s="7" t="s">
        <v>2657</v>
      </c>
      <c r="I797" s="9">
        <v>820.08</v>
      </c>
      <c r="J797" s="7">
        <v>9</v>
      </c>
      <c r="K797" s="11">
        <v>0</v>
      </c>
      <c r="L797" s="9">
        <v>98.28</v>
      </c>
      <c r="M797" s="7" t="s">
        <v>23</v>
      </c>
      <c r="N797" t="str">
        <v>Bulk Order</v>
      </c>
    </row>
    <row r="798" spans="1:14">
      <c r="A798" s="7" t="s">
        <v>1348</v>
      </c>
      <c r="B798" s="8">
        <v>42344</v>
      </c>
      <c r="C798" s="8">
        <v>42348</v>
      </c>
      <c r="D798" s="7" t="s">
        <v>1252</v>
      </c>
      <c r="E798" s="7" t="s">
        <v>35</v>
      </c>
      <c r="F798" s="7" t="s">
        <v>38</v>
      </c>
      <c r="G798" s="7" t="s">
        <v>39</v>
      </c>
      <c r="H798" s="7" t="s">
        <v>2656</v>
      </c>
      <c r="I798" s="9">
        <v>14.976000000000001</v>
      </c>
      <c r="J798" s="7">
        <v>6</v>
      </c>
      <c r="K798" s="11">
        <v>0.2</v>
      </c>
      <c r="L798" s="9">
        <v>5.4287999999999901</v>
      </c>
      <c r="M798" s="7" t="s">
        <v>17</v>
      </c>
      <c r="N798" t="str">
        <v>Bulk Order</v>
      </c>
    </row>
    <row r="799" spans="1:14">
      <c r="A799" s="7" t="s">
        <v>1381</v>
      </c>
      <c r="B799" s="8">
        <v>42048</v>
      </c>
      <c r="C799" s="8">
        <v>42049</v>
      </c>
      <c r="D799" s="7" t="s">
        <v>1382</v>
      </c>
      <c r="E799" s="7" t="s">
        <v>157</v>
      </c>
      <c r="F799" s="7" t="s">
        <v>106</v>
      </c>
      <c r="G799" s="7" t="s">
        <v>28</v>
      </c>
      <c r="H799" s="7" t="s">
        <v>2656</v>
      </c>
      <c r="I799" s="9">
        <v>1198.56</v>
      </c>
      <c r="J799" s="7">
        <v>8</v>
      </c>
      <c r="K799" s="11">
        <v>0</v>
      </c>
      <c r="L799" s="9">
        <v>359.52</v>
      </c>
      <c r="M799" s="7" t="s">
        <v>32</v>
      </c>
      <c r="N799" t="str">
        <v>Bulk Order</v>
      </c>
    </row>
    <row r="800" spans="1:14">
      <c r="A800" s="7" t="s">
        <v>1383</v>
      </c>
      <c r="B800" s="7"/>
      <c r="C800" s="8">
        <v>42343</v>
      </c>
      <c r="D800" s="7"/>
      <c r="E800" s="7" t="s">
        <v>14</v>
      </c>
      <c r="F800" s="7" t="s">
        <v>15</v>
      </c>
      <c r="G800" s="7" t="s">
        <v>28</v>
      </c>
      <c r="H800" s="7" t="s">
        <v>2658</v>
      </c>
      <c r="I800" s="9">
        <v>1832.60699999999</v>
      </c>
      <c r="J800" s="7">
        <v>3</v>
      </c>
      <c r="K800" s="11">
        <v>0.3</v>
      </c>
      <c r="L800" s="9">
        <v>-445.113</v>
      </c>
      <c r="M800" s="7" t="s">
        <v>65</v>
      </c>
      <c r="N800" t="str">
        <v>Normal Order</v>
      </c>
    </row>
    <row r="801" spans="1:14">
      <c r="A801" s="7" t="s">
        <v>1384</v>
      </c>
      <c r="B801" s="7"/>
      <c r="C801" s="8">
        <v>41515</v>
      </c>
      <c r="D801" s="7" t="s">
        <v>877</v>
      </c>
      <c r="E801" s="7" t="s">
        <v>20</v>
      </c>
      <c r="F801" s="7" t="s">
        <v>63</v>
      </c>
      <c r="G801" s="7" t="s">
        <v>28</v>
      </c>
      <c r="H801" s="7" t="s">
        <v>2663</v>
      </c>
      <c r="I801" s="9">
        <v>1857.06</v>
      </c>
      <c r="J801" s="7">
        <v>5</v>
      </c>
      <c r="K801" s="11"/>
      <c r="L801" s="9">
        <v>639.51</v>
      </c>
      <c r="M801" s="7" t="s">
        <v>32</v>
      </c>
      <c r="N801" t="str">
        <v>Normal Order</v>
      </c>
    </row>
    <row r="802" spans="1:14">
      <c r="A802" s="7" t="s">
        <v>1385</v>
      </c>
      <c r="B802" s="8">
        <v>42218</v>
      </c>
      <c r="C802" s="8">
        <v>42224</v>
      </c>
      <c r="D802" s="7" t="s">
        <v>1386</v>
      </c>
      <c r="E802" s="7" t="s">
        <v>120</v>
      </c>
      <c r="F802" s="7" t="s">
        <v>121</v>
      </c>
      <c r="G802" s="7" t="s">
        <v>28</v>
      </c>
      <c r="H802" s="7" t="s">
        <v>2658</v>
      </c>
      <c r="I802" s="9">
        <v>1752.6</v>
      </c>
      <c r="J802" s="7">
        <v>4</v>
      </c>
      <c r="K802" s="11">
        <v>0</v>
      </c>
      <c r="L802" s="9">
        <v>455.64</v>
      </c>
      <c r="M802" s="7" t="s">
        <v>65</v>
      </c>
      <c r="N802" t="str">
        <v>Normal Order</v>
      </c>
    </row>
    <row r="803" spans="1:14">
      <c r="A803" s="7" t="s">
        <v>1387</v>
      </c>
      <c r="B803" s="8">
        <v>41971</v>
      </c>
      <c r="C803" s="8">
        <v>41973</v>
      </c>
      <c r="D803" s="7" t="s">
        <v>1388</v>
      </c>
      <c r="E803" s="7" t="s">
        <v>105</v>
      </c>
      <c r="F803" s="7" t="s">
        <v>106</v>
      </c>
      <c r="G803" s="7" t="s">
        <v>28</v>
      </c>
      <c r="H803" s="7" t="s">
        <v>2663</v>
      </c>
      <c r="I803" s="9">
        <v>1850.45999999999</v>
      </c>
      <c r="J803" s="7">
        <v>2</v>
      </c>
      <c r="K803" s="11">
        <v>0</v>
      </c>
      <c r="L803" s="9">
        <v>259.02</v>
      </c>
      <c r="M803" s="7" t="s">
        <v>1389</v>
      </c>
      <c r="N803" t="str">
        <v>Normal Order</v>
      </c>
    </row>
    <row r="804" spans="1:14">
      <c r="A804" s="7" t="s">
        <v>1390</v>
      </c>
      <c r="B804" s="8">
        <v>41139</v>
      </c>
      <c r="C804" s="8">
        <v>41143</v>
      </c>
      <c r="D804" s="7" t="s">
        <v>188</v>
      </c>
      <c r="E804" s="7" t="s">
        <v>58</v>
      </c>
      <c r="F804" s="7" t="s">
        <v>81</v>
      </c>
      <c r="G804" s="7" t="s">
        <v>28</v>
      </c>
      <c r="H804" s="7" t="s">
        <v>2663</v>
      </c>
      <c r="I804" s="9">
        <v>2337.1499999999901</v>
      </c>
      <c r="J804" s="7">
        <v>5</v>
      </c>
      <c r="K804" s="11">
        <v>0</v>
      </c>
      <c r="L804" s="9">
        <v>1098.45</v>
      </c>
      <c r="M804" s="7" t="s">
        <v>17</v>
      </c>
      <c r="N804" t="str">
        <v>Normal Order</v>
      </c>
    </row>
    <row r="805" spans="1:14">
      <c r="A805" s="7" t="s">
        <v>1391</v>
      </c>
      <c r="B805" s="8">
        <v>42076</v>
      </c>
      <c r="C805" s="8">
        <v>42076</v>
      </c>
      <c r="D805" s="7" t="s">
        <v>1392</v>
      </c>
      <c r="E805" s="7" t="s">
        <v>84</v>
      </c>
      <c r="F805" s="7" t="s">
        <v>85</v>
      </c>
      <c r="G805" s="7" t="s">
        <v>28</v>
      </c>
      <c r="H805" s="7" t="s">
        <v>2658</v>
      </c>
      <c r="I805" s="9">
        <v>788.4</v>
      </c>
      <c r="J805" s="7">
        <v>4</v>
      </c>
      <c r="K805" s="11">
        <v>0</v>
      </c>
      <c r="L805" s="9">
        <v>291.60000000000002</v>
      </c>
      <c r="M805" s="7" t="s">
        <v>17</v>
      </c>
      <c r="N805" t="str">
        <v>Normal Order</v>
      </c>
    </row>
    <row r="806" spans="1:14">
      <c r="A806" s="7" t="s">
        <v>1393</v>
      </c>
      <c r="B806" s="8">
        <v>41733</v>
      </c>
      <c r="C806" s="8">
        <v>41736</v>
      </c>
      <c r="D806" s="7"/>
      <c r="E806" s="7" t="s">
        <v>62</v>
      </c>
      <c r="F806" s="7" t="s">
        <v>63</v>
      </c>
      <c r="G806" s="7" t="s">
        <v>16</v>
      </c>
      <c r="H806" s="7" t="s">
        <v>2655</v>
      </c>
      <c r="I806" s="9">
        <v>715.53</v>
      </c>
      <c r="J806" s="7">
        <v>5</v>
      </c>
      <c r="K806" s="11">
        <v>0.15</v>
      </c>
      <c r="L806" s="9">
        <v>100.979999999999</v>
      </c>
      <c r="M806" s="7" t="s">
        <v>23</v>
      </c>
      <c r="N806" t="str">
        <v>Normal Order</v>
      </c>
    </row>
    <row r="807" spans="1:14">
      <c r="A807" s="7" t="s">
        <v>1394</v>
      </c>
      <c r="B807" s="8">
        <v>42027</v>
      </c>
      <c r="C807" s="8">
        <v>42032</v>
      </c>
      <c r="D807" s="7" t="s">
        <v>361</v>
      </c>
      <c r="E807" s="7" t="s">
        <v>35</v>
      </c>
      <c r="F807" s="7" t="s">
        <v>1395</v>
      </c>
      <c r="G807" s="7" t="s">
        <v>16</v>
      </c>
      <c r="H807" s="7" t="s">
        <v>2663</v>
      </c>
      <c r="I807" s="9">
        <v>2999.95</v>
      </c>
      <c r="J807" s="7">
        <v>5</v>
      </c>
      <c r="K807" s="11">
        <v>0</v>
      </c>
      <c r="L807" s="9">
        <v>1379.9769999999901</v>
      </c>
      <c r="M807" s="7" t="s">
        <v>17</v>
      </c>
      <c r="N807" t="str">
        <v>Normal Order</v>
      </c>
    </row>
    <row r="808" spans="1:14">
      <c r="A808" s="7" t="s">
        <v>1396</v>
      </c>
      <c r="B808" s="8">
        <v>42141</v>
      </c>
      <c r="C808" s="8">
        <v>42146</v>
      </c>
      <c r="D808" s="7" t="s">
        <v>1397</v>
      </c>
      <c r="E808" s="7" t="s">
        <v>105</v>
      </c>
      <c r="F808" s="7" t="s">
        <v>106</v>
      </c>
      <c r="G808" s="7" t="s">
        <v>28</v>
      </c>
      <c r="H808" s="7" t="s">
        <v>2662</v>
      </c>
      <c r="I808" s="9">
        <v>3094.56</v>
      </c>
      <c r="J808" s="7">
        <v>6</v>
      </c>
      <c r="K808" s="11">
        <v>0</v>
      </c>
      <c r="L808" s="9">
        <v>1423.44</v>
      </c>
      <c r="M808" s="7" t="s">
        <v>17</v>
      </c>
      <c r="N808" t="str">
        <v>Bulk Order</v>
      </c>
    </row>
    <row r="809" spans="1:14">
      <c r="A809" s="7" t="s">
        <v>1398</v>
      </c>
      <c r="B809" s="8">
        <v>41752</v>
      </c>
      <c r="C809" s="8">
        <v>41754</v>
      </c>
      <c r="D809" s="7" t="s">
        <v>1399</v>
      </c>
      <c r="E809" s="7" t="s">
        <v>346</v>
      </c>
      <c r="F809" s="7" t="s">
        <v>89</v>
      </c>
      <c r="G809" s="7" t="s">
        <v>16</v>
      </c>
      <c r="H809" s="7" t="s">
        <v>2658</v>
      </c>
      <c r="I809" s="9">
        <v>882.03239999999903</v>
      </c>
      <c r="J809" s="7">
        <v>9</v>
      </c>
      <c r="K809" s="11">
        <v>2E-3</v>
      </c>
      <c r="L809" s="9">
        <v>148.35239999999999</v>
      </c>
      <c r="M809" s="7" t="s">
        <v>32</v>
      </c>
      <c r="N809" t="str">
        <v>Bulk Order</v>
      </c>
    </row>
    <row r="810" spans="1:14">
      <c r="A810" s="7" t="s">
        <v>1394</v>
      </c>
      <c r="B810" s="8">
        <v>42027</v>
      </c>
      <c r="C810" s="8">
        <v>42032</v>
      </c>
      <c r="D810" s="7" t="s">
        <v>361</v>
      </c>
      <c r="E810" s="7" t="s">
        <v>35</v>
      </c>
      <c r="F810" s="7" t="s">
        <v>38</v>
      </c>
      <c r="G810" s="7" t="s">
        <v>39</v>
      </c>
      <c r="H810" s="7" t="s">
        <v>2658</v>
      </c>
      <c r="I810" s="9">
        <v>1126.02</v>
      </c>
      <c r="J810" s="7">
        <v>3</v>
      </c>
      <c r="K810" s="11"/>
      <c r="L810" s="9">
        <v>56.300999999999902</v>
      </c>
      <c r="M810" s="7" t="s">
        <v>17</v>
      </c>
      <c r="N810" t="str">
        <v>Normal Order</v>
      </c>
    </row>
    <row r="811" spans="1:14">
      <c r="A811" s="7" t="s">
        <v>1400</v>
      </c>
      <c r="B811" s="8">
        <v>41531</v>
      </c>
      <c r="C811" s="8">
        <v>41533</v>
      </c>
      <c r="D811" s="7" t="s">
        <v>1401</v>
      </c>
      <c r="E811" s="7" t="s">
        <v>14</v>
      </c>
      <c r="F811" s="7" t="s">
        <v>15</v>
      </c>
      <c r="G811" s="7" t="s">
        <v>28</v>
      </c>
      <c r="H811" s="7" t="s">
        <v>2657</v>
      </c>
      <c r="I811" s="9"/>
      <c r="J811" s="7">
        <v>3</v>
      </c>
      <c r="K811" s="11">
        <v>0.3</v>
      </c>
      <c r="L811" s="9">
        <v>-81.810000000000102</v>
      </c>
      <c r="M811" s="7" t="s">
        <v>32</v>
      </c>
      <c r="N811" t="str">
        <v>Normal Order</v>
      </c>
    </row>
    <row r="812" spans="1:14">
      <c r="A812" s="7" t="s">
        <v>135</v>
      </c>
      <c r="B812" s="8">
        <v>42273</v>
      </c>
      <c r="C812" s="8">
        <v>42275</v>
      </c>
      <c r="D812" s="7" t="s">
        <v>136</v>
      </c>
      <c r="E812" s="7" t="s">
        <v>105</v>
      </c>
      <c r="F812" s="7" t="s">
        <v>106</v>
      </c>
      <c r="G812" s="7" t="s">
        <v>28</v>
      </c>
      <c r="H812" s="7" t="s">
        <v>2657</v>
      </c>
      <c r="I812" s="9">
        <v>2871.54</v>
      </c>
      <c r="J812" s="7">
        <v>7</v>
      </c>
      <c r="K812" s="11">
        <v>0</v>
      </c>
      <c r="L812" s="9">
        <v>57.33</v>
      </c>
      <c r="M812" s="7" t="s">
        <v>17</v>
      </c>
      <c r="N812" t="str">
        <v>Bulk Order</v>
      </c>
    </row>
    <row r="813" spans="1:14">
      <c r="A813" s="7" t="s">
        <v>1402</v>
      </c>
      <c r="B813" s="8">
        <v>41552</v>
      </c>
      <c r="C813" s="8">
        <v>41556</v>
      </c>
      <c r="D813" s="7" t="s">
        <v>1403</v>
      </c>
      <c r="E813" s="7" t="s">
        <v>105</v>
      </c>
      <c r="F813" s="7" t="s">
        <v>106</v>
      </c>
      <c r="G813" s="7" t="s">
        <v>16</v>
      </c>
      <c r="H813" s="7" t="s">
        <v>2658</v>
      </c>
      <c r="I813" s="9">
        <v>2544.6</v>
      </c>
      <c r="J813" s="7">
        <v>4</v>
      </c>
      <c r="K813" s="11">
        <v>0</v>
      </c>
      <c r="L813" s="9">
        <v>865.08</v>
      </c>
      <c r="M813" s="7" t="s">
        <v>17</v>
      </c>
      <c r="N813" t="str">
        <v>Normal Order</v>
      </c>
    </row>
    <row r="814" spans="1:14">
      <c r="A814" s="7" t="s">
        <v>1404</v>
      </c>
      <c r="B814" s="8">
        <v>42306</v>
      </c>
      <c r="C814" s="8">
        <v>42308</v>
      </c>
      <c r="D814" s="7" t="s">
        <v>532</v>
      </c>
      <c r="E814" s="7" t="s">
        <v>131</v>
      </c>
      <c r="F814" s="7" t="s">
        <v>132</v>
      </c>
      <c r="G814" s="7" t="s">
        <v>16</v>
      </c>
      <c r="H814" s="7" t="s">
        <v>2663</v>
      </c>
      <c r="I814" s="9">
        <v>886.14120000000003</v>
      </c>
      <c r="J814" s="7">
        <v>4</v>
      </c>
      <c r="K814" s="11">
        <v>0.17</v>
      </c>
      <c r="L814" s="9">
        <v>106.741199999999</v>
      </c>
      <c r="M814" s="7" t="s">
        <v>32</v>
      </c>
      <c r="N814" t="str">
        <v>Normal Order</v>
      </c>
    </row>
    <row r="815" spans="1:14">
      <c r="A815" s="7" t="s">
        <v>1405</v>
      </c>
      <c r="B815" s="8">
        <v>41235</v>
      </c>
      <c r="C815" s="8">
        <v>41237</v>
      </c>
      <c r="D815" s="7" t="s">
        <v>1406</v>
      </c>
      <c r="E815" s="7" t="s">
        <v>131</v>
      </c>
      <c r="F815" s="7" t="s">
        <v>132</v>
      </c>
      <c r="G815" s="7" t="s">
        <v>212</v>
      </c>
      <c r="H815" s="7" t="s">
        <v>2656</v>
      </c>
      <c r="I815" s="9">
        <v>473.84699999999998</v>
      </c>
      <c r="J815" s="7">
        <v>5</v>
      </c>
      <c r="K815" s="11"/>
      <c r="L815" s="9">
        <v>-5.85299999999999</v>
      </c>
      <c r="M815" s="7" t="s">
        <v>23</v>
      </c>
      <c r="N815" t="str">
        <v>Normal Order</v>
      </c>
    </row>
    <row r="816" spans="1:14">
      <c r="A816" s="7" t="s">
        <v>1407</v>
      </c>
      <c r="B816" s="8">
        <v>42348</v>
      </c>
      <c r="C816" s="8">
        <v>42351</v>
      </c>
      <c r="D816" s="7" t="s">
        <v>712</v>
      </c>
      <c r="E816" s="7"/>
      <c r="F816" s="7"/>
      <c r="G816" s="7" t="s">
        <v>16</v>
      </c>
      <c r="H816" s="7" t="s">
        <v>2662</v>
      </c>
      <c r="I816" s="9">
        <v>1767.6</v>
      </c>
      <c r="J816" s="7"/>
      <c r="K816" s="11">
        <v>0</v>
      </c>
      <c r="L816" s="9">
        <v>0</v>
      </c>
      <c r="M816" s="7" t="s">
        <v>23</v>
      </c>
      <c r="N816" t="str">
        <v>Normal Order</v>
      </c>
    </row>
    <row r="817" spans="1:14">
      <c r="A817" s="7" t="s">
        <v>1408</v>
      </c>
      <c r="B817" s="8">
        <v>41251</v>
      </c>
      <c r="C817" s="8">
        <v>41252</v>
      </c>
      <c r="D817" s="7" t="s">
        <v>101</v>
      </c>
      <c r="E817" s="7" t="s">
        <v>88</v>
      </c>
      <c r="F817" s="7" t="s">
        <v>89</v>
      </c>
      <c r="G817" s="7" t="s">
        <v>28</v>
      </c>
      <c r="H817" s="7" t="s">
        <v>2662</v>
      </c>
      <c r="I817" s="9">
        <v>780.60799999999995</v>
      </c>
      <c r="J817" s="7">
        <v>4</v>
      </c>
      <c r="K817" s="11">
        <v>0.2</v>
      </c>
      <c r="L817" s="9">
        <v>-3.20000000000163E-2</v>
      </c>
      <c r="M817" s="7" t="s">
        <v>32</v>
      </c>
      <c r="N817" t="str">
        <v>Normal Order</v>
      </c>
    </row>
    <row r="818" spans="1:14">
      <c r="A818" s="7"/>
      <c r="B818" s="8">
        <v>41268</v>
      </c>
      <c r="C818" s="7"/>
      <c r="D818" s="7" t="s">
        <v>361</v>
      </c>
      <c r="E818" s="7" t="s">
        <v>35</v>
      </c>
      <c r="F818" s="7" t="s">
        <v>36</v>
      </c>
      <c r="G818" s="7" t="s">
        <v>28</v>
      </c>
      <c r="H818" s="7" t="s">
        <v>2657</v>
      </c>
      <c r="I818" s="9">
        <v>600.55799999999999</v>
      </c>
      <c r="J818" s="7">
        <v>3</v>
      </c>
      <c r="K818" s="11">
        <v>0.3</v>
      </c>
      <c r="L818" s="9">
        <v>-8.5794000000000707</v>
      </c>
      <c r="M818" s="7" t="s">
        <v>32</v>
      </c>
      <c r="N818" t="str">
        <v>Normal Order</v>
      </c>
    </row>
    <row r="819" spans="1:14">
      <c r="A819" s="7" t="s">
        <v>1409</v>
      </c>
      <c r="B819" s="8">
        <v>41990</v>
      </c>
      <c r="C819" s="8">
        <v>41990</v>
      </c>
      <c r="D819" s="7" t="s">
        <v>1410</v>
      </c>
      <c r="E819" s="7" t="s">
        <v>186</v>
      </c>
      <c r="F819" s="7" t="s">
        <v>68</v>
      </c>
      <c r="G819" s="7" t="s">
        <v>39</v>
      </c>
      <c r="H819" s="7" t="s">
        <v>2663</v>
      </c>
      <c r="I819" s="9">
        <v>2711.7</v>
      </c>
      <c r="J819" s="7">
        <v>5</v>
      </c>
      <c r="K819" s="11">
        <v>0</v>
      </c>
      <c r="L819" s="9">
        <v>1220.25</v>
      </c>
      <c r="M819" s="7" t="s">
        <v>32</v>
      </c>
      <c r="N819" t="str">
        <v>Normal Order</v>
      </c>
    </row>
    <row r="820" spans="1:14">
      <c r="A820" s="7" t="s">
        <v>1411</v>
      </c>
      <c r="B820" s="8">
        <v>42108</v>
      </c>
      <c r="C820" s="8">
        <v>42112</v>
      </c>
      <c r="D820" s="7"/>
      <c r="E820" s="7" t="s">
        <v>84</v>
      </c>
      <c r="F820" s="7" t="s">
        <v>85</v>
      </c>
      <c r="G820" s="7" t="s">
        <v>39</v>
      </c>
      <c r="H820" s="7" t="s">
        <v>2658</v>
      </c>
      <c r="I820" s="9">
        <v>2111.9699999999998</v>
      </c>
      <c r="J820" s="7">
        <v>7</v>
      </c>
      <c r="K820" s="11">
        <v>0</v>
      </c>
      <c r="L820" s="9"/>
      <c r="M820" s="7" t="s">
        <v>17</v>
      </c>
      <c r="N820" t="str">
        <v>Bulk Order</v>
      </c>
    </row>
    <row r="821" spans="1:14">
      <c r="A821" s="7" t="s">
        <v>1412</v>
      </c>
      <c r="B821" s="8">
        <v>42358</v>
      </c>
      <c r="C821" s="8">
        <v>42362</v>
      </c>
      <c r="D821" s="7" t="s">
        <v>1089</v>
      </c>
      <c r="E821" s="7" t="s">
        <v>239</v>
      </c>
      <c r="F821" s="7" t="s">
        <v>132</v>
      </c>
      <c r="G821" s="7" t="s">
        <v>28</v>
      </c>
      <c r="H821" s="7" t="s">
        <v>2661</v>
      </c>
      <c r="I821" s="9">
        <v>1189.28249999999</v>
      </c>
      <c r="J821" s="7"/>
      <c r="K821" s="11">
        <v>0.25</v>
      </c>
      <c r="L821" s="9"/>
      <c r="M821" s="7" t="s">
        <v>32</v>
      </c>
      <c r="N821" t="str">
        <v>Normal Order</v>
      </c>
    </row>
    <row r="822" spans="1:14">
      <c r="A822" s="7" t="s">
        <v>1413</v>
      </c>
      <c r="B822" s="8">
        <v>41899</v>
      </c>
      <c r="C822" s="8">
        <v>41902</v>
      </c>
      <c r="D822" s="7" t="s">
        <v>1414</v>
      </c>
      <c r="E822" s="7" t="s">
        <v>105</v>
      </c>
      <c r="F822" s="7" t="s">
        <v>106</v>
      </c>
      <c r="G822" s="7" t="s">
        <v>16</v>
      </c>
      <c r="H822" s="7" t="s">
        <v>2661</v>
      </c>
      <c r="I822" s="9">
        <v>1908.45</v>
      </c>
      <c r="J822" s="7">
        <v>3</v>
      </c>
      <c r="K822" s="11">
        <v>0</v>
      </c>
      <c r="L822" s="9">
        <v>534.32999999999902</v>
      </c>
      <c r="M822" s="7" t="s">
        <v>32</v>
      </c>
      <c r="N822" t="str">
        <v>Normal Order</v>
      </c>
    </row>
    <row r="823" spans="1:14">
      <c r="A823" s="7"/>
      <c r="B823" s="8">
        <v>42340</v>
      </c>
      <c r="C823" s="8">
        <v>42345</v>
      </c>
      <c r="D823" s="7"/>
      <c r="E823" s="7" t="s">
        <v>35</v>
      </c>
      <c r="F823" s="7" t="s">
        <v>102</v>
      </c>
      <c r="G823" s="7" t="s">
        <v>28</v>
      </c>
      <c r="H823" s="7" t="s">
        <v>2655</v>
      </c>
      <c r="I823" s="9">
        <v>897.15</v>
      </c>
      <c r="J823" s="7">
        <v>3</v>
      </c>
      <c r="K823" s="11">
        <v>0</v>
      </c>
      <c r="L823" s="9">
        <v>251.202</v>
      </c>
      <c r="M823" s="7" t="s">
        <v>17</v>
      </c>
      <c r="N823" t="str">
        <v>Normal Order</v>
      </c>
    </row>
    <row r="824" spans="1:14">
      <c r="A824" s="7" t="s">
        <v>1415</v>
      </c>
      <c r="B824" s="8">
        <v>42125</v>
      </c>
      <c r="C824" s="7" t="s">
        <v>1416</v>
      </c>
      <c r="D824" s="7"/>
      <c r="E824" s="7" t="s">
        <v>641</v>
      </c>
      <c r="F824" s="7" t="s">
        <v>38</v>
      </c>
      <c r="G824" s="7" t="s">
        <v>154</v>
      </c>
      <c r="H824" s="7" t="s">
        <v>2656</v>
      </c>
      <c r="I824" s="9">
        <v>163.96</v>
      </c>
      <c r="J824" s="7">
        <v>4</v>
      </c>
      <c r="K824" s="11"/>
      <c r="L824" s="9">
        <v>80.340400000000002</v>
      </c>
      <c r="M824" s="7" t="s">
        <v>17</v>
      </c>
      <c r="N824" t="str">
        <v>Normal Order</v>
      </c>
    </row>
    <row r="825" spans="1:14">
      <c r="A825" s="7" t="s">
        <v>1419</v>
      </c>
      <c r="B825" s="7"/>
      <c r="C825" s="8">
        <v>41636</v>
      </c>
      <c r="D825" s="7" t="s">
        <v>1420</v>
      </c>
      <c r="E825" s="7" t="s">
        <v>898</v>
      </c>
      <c r="F825" s="7" t="s">
        <v>645</v>
      </c>
      <c r="G825" s="7" t="s">
        <v>28</v>
      </c>
      <c r="H825" s="7" t="s">
        <v>2659</v>
      </c>
      <c r="I825" s="9">
        <v>1854.9296999999999</v>
      </c>
      <c r="J825" s="7">
        <v>9</v>
      </c>
      <c r="K825" s="11"/>
      <c r="L825" s="9">
        <v>-1294.3503000000001</v>
      </c>
      <c r="M825" s="7" t="s">
        <v>32</v>
      </c>
      <c r="N825" t="str">
        <v>Bulk Order</v>
      </c>
    </row>
    <row r="826" spans="1:14">
      <c r="A826" s="7" t="s">
        <v>1421</v>
      </c>
      <c r="B826" s="8">
        <v>41923</v>
      </c>
      <c r="C826" s="8">
        <v>41926</v>
      </c>
      <c r="D826" s="7" t="s">
        <v>1292</v>
      </c>
      <c r="E826" s="7" t="s">
        <v>58</v>
      </c>
      <c r="F826" s="7" t="s">
        <v>81</v>
      </c>
      <c r="G826" s="7" t="s">
        <v>16</v>
      </c>
      <c r="H826" s="7" t="s">
        <v>2664</v>
      </c>
      <c r="I826" s="9">
        <v>924.66</v>
      </c>
      <c r="J826" s="7">
        <v>3</v>
      </c>
      <c r="K826" s="11">
        <v>0</v>
      </c>
      <c r="L826" s="9">
        <v>397.53</v>
      </c>
      <c r="M826" s="7" t="s">
        <v>23</v>
      </c>
      <c r="N826" t="str">
        <v>Normal Order</v>
      </c>
    </row>
    <row r="827" spans="1:14">
      <c r="A827" s="7" t="s">
        <v>1422</v>
      </c>
      <c r="B827" s="8">
        <v>41389</v>
      </c>
      <c r="C827" s="8">
        <v>41391</v>
      </c>
      <c r="D827" s="7" t="s">
        <v>1423</v>
      </c>
      <c r="E827" s="7" t="s">
        <v>58</v>
      </c>
      <c r="F827" s="7" t="s">
        <v>81</v>
      </c>
      <c r="G827" s="7" t="s">
        <v>28</v>
      </c>
      <c r="H827" s="7" t="s">
        <v>2658</v>
      </c>
      <c r="I827" s="9">
        <v>1760.43</v>
      </c>
      <c r="J827" s="7">
        <v>5</v>
      </c>
      <c r="K827" s="11">
        <v>2.7619086270447899</v>
      </c>
      <c r="L827" s="9">
        <v>-326.97000000000003</v>
      </c>
      <c r="M827" s="7" t="s">
        <v>32</v>
      </c>
      <c r="N827" t="str">
        <v>Normal Order</v>
      </c>
    </row>
    <row r="828" spans="1:14">
      <c r="A828" s="7" t="s">
        <v>1424</v>
      </c>
      <c r="B828" s="8">
        <v>42178</v>
      </c>
      <c r="C828" s="8">
        <v>42178</v>
      </c>
      <c r="D828" s="7" t="s">
        <v>1089</v>
      </c>
      <c r="E828" s="7" t="s">
        <v>452</v>
      </c>
      <c r="F828" s="7" t="s">
        <v>78</v>
      </c>
      <c r="G828" s="7" t="s">
        <v>16</v>
      </c>
      <c r="H828" s="7" t="s">
        <v>2662</v>
      </c>
      <c r="I828" s="9">
        <v>827.28</v>
      </c>
      <c r="J828" s="7">
        <v>6</v>
      </c>
      <c r="K828" s="11">
        <v>0</v>
      </c>
      <c r="L828" s="9">
        <v>397.07999999999902</v>
      </c>
      <c r="M828" s="7" t="s">
        <v>32</v>
      </c>
      <c r="N828" t="str">
        <v>Bulk Order</v>
      </c>
    </row>
    <row r="829" spans="1:14">
      <c r="A829" s="7" t="s">
        <v>1425</v>
      </c>
      <c r="B829" s="8">
        <v>41606</v>
      </c>
      <c r="C829" s="8">
        <v>41611</v>
      </c>
      <c r="D829" s="7" t="s">
        <v>1426</v>
      </c>
      <c r="E829" s="7" t="s">
        <v>110</v>
      </c>
      <c r="F829" s="7" t="s">
        <v>111</v>
      </c>
      <c r="G829" s="7" t="s">
        <v>39</v>
      </c>
      <c r="H829" s="7" t="s">
        <v>2658</v>
      </c>
      <c r="I829" s="9">
        <v>1510.96</v>
      </c>
      <c r="J829" s="7">
        <v>5</v>
      </c>
      <c r="K829" s="11">
        <v>0.2</v>
      </c>
      <c r="L829" s="9">
        <v>509.86</v>
      </c>
      <c r="M829" s="7" t="s">
        <v>32</v>
      </c>
      <c r="N829" t="str">
        <v>Normal Order</v>
      </c>
    </row>
    <row r="830" spans="1:14">
      <c r="A830" s="7" t="s">
        <v>1427</v>
      </c>
      <c r="B830" s="8">
        <v>42182</v>
      </c>
      <c r="C830" s="8">
        <v>42187</v>
      </c>
      <c r="D830" s="7" t="s">
        <v>442</v>
      </c>
      <c r="E830" s="7" t="s">
        <v>105</v>
      </c>
      <c r="F830" s="7" t="s">
        <v>106</v>
      </c>
      <c r="G830" s="7" t="s">
        <v>16</v>
      </c>
      <c r="H830" s="7" t="s">
        <v>2656</v>
      </c>
      <c r="I830" s="9">
        <v>2098.3200000000002</v>
      </c>
      <c r="J830" s="7">
        <v>8</v>
      </c>
      <c r="K830" s="11">
        <v>0</v>
      </c>
      <c r="L830" s="9">
        <v>860.16</v>
      </c>
      <c r="M830" s="7" t="s">
        <v>17</v>
      </c>
      <c r="N830" t="str">
        <v>Bulk Order</v>
      </c>
    </row>
    <row r="831" spans="1:14">
      <c r="A831" s="7" t="s">
        <v>1428</v>
      </c>
      <c r="B831" s="8">
        <v>42181</v>
      </c>
      <c r="C831" s="8">
        <v>42183</v>
      </c>
      <c r="D831" s="7" t="s">
        <v>1429</v>
      </c>
      <c r="E831" s="7" t="s">
        <v>52</v>
      </c>
      <c r="F831" s="7" t="s">
        <v>53</v>
      </c>
      <c r="G831" s="7" t="s">
        <v>28</v>
      </c>
      <c r="H831" s="7" t="s">
        <v>2661</v>
      </c>
      <c r="I831" s="9">
        <v>1938.23999999999</v>
      </c>
      <c r="J831" s="7">
        <v>4</v>
      </c>
      <c r="K831" s="11">
        <v>0.2</v>
      </c>
      <c r="L831" s="9">
        <v>-96.959999999999894</v>
      </c>
      <c r="M831" s="7" t="s">
        <v>17</v>
      </c>
      <c r="N831" t="str">
        <v>Normal Order</v>
      </c>
    </row>
    <row r="832" spans="1:14">
      <c r="A832" s="7" t="s">
        <v>1430</v>
      </c>
      <c r="B832" s="8">
        <v>41534</v>
      </c>
      <c r="C832" s="8">
        <v>41536</v>
      </c>
      <c r="D832" s="7" t="s">
        <v>1431</v>
      </c>
      <c r="E832" s="7" t="s">
        <v>67</v>
      </c>
      <c r="F832" s="7" t="s">
        <v>68</v>
      </c>
      <c r="G832" s="7" t="s">
        <v>16</v>
      </c>
      <c r="H832" s="7" t="s">
        <v>2657</v>
      </c>
      <c r="I832" s="9">
        <v>803.52</v>
      </c>
      <c r="J832" s="7">
        <v>5</v>
      </c>
      <c r="K832" s="11">
        <v>0.4</v>
      </c>
      <c r="L832" s="9">
        <v>-495.63</v>
      </c>
      <c r="M832" s="7" t="s">
        <v>32</v>
      </c>
      <c r="N832" t="str">
        <v>Normal Order</v>
      </c>
    </row>
    <row r="833" spans="1:14">
      <c r="A833" s="7" t="s">
        <v>1432</v>
      </c>
      <c r="B833" s="8">
        <v>41971</v>
      </c>
      <c r="C833" s="8">
        <v>41975</v>
      </c>
      <c r="D833" s="7" t="s">
        <v>1351</v>
      </c>
      <c r="E833" s="7" t="s">
        <v>105</v>
      </c>
      <c r="F833" s="7" t="s">
        <v>106</v>
      </c>
      <c r="G833" s="7" t="s">
        <v>28</v>
      </c>
      <c r="H833" s="7" t="s">
        <v>2658</v>
      </c>
      <c r="I833" s="9">
        <v>1391.75999999999</v>
      </c>
      <c r="J833" s="7">
        <v>3</v>
      </c>
      <c r="K833" s="11"/>
      <c r="L833" s="9">
        <v>97.38</v>
      </c>
      <c r="M833" s="7" t="s">
        <v>32</v>
      </c>
      <c r="N833" t="str">
        <v>Normal Order</v>
      </c>
    </row>
    <row r="834" spans="1:14">
      <c r="A834" s="7" t="s">
        <v>1433</v>
      </c>
      <c r="B834" s="8">
        <v>42322</v>
      </c>
      <c r="C834" s="8">
        <v>42327</v>
      </c>
      <c r="D834" s="7" t="s">
        <v>361</v>
      </c>
      <c r="E834" s="7" t="s">
        <v>35</v>
      </c>
      <c r="F834" s="7" t="s">
        <v>102</v>
      </c>
      <c r="G834" s="7" t="s">
        <v>16</v>
      </c>
      <c r="H834" s="7" t="s">
        <v>2662</v>
      </c>
      <c r="I834" s="9">
        <v>163.96</v>
      </c>
      <c r="J834" s="7">
        <v>4</v>
      </c>
      <c r="K834" s="11">
        <v>0</v>
      </c>
      <c r="L834" s="9">
        <v>70.502799999999993</v>
      </c>
      <c r="M834" s="7" t="s">
        <v>17</v>
      </c>
      <c r="N834" t="str">
        <v>Normal Order</v>
      </c>
    </row>
    <row r="835" spans="1:14">
      <c r="A835" s="7" t="s">
        <v>1434</v>
      </c>
      <c r="B835" s="8">
        <v>42208</v>
      </c>
      <c r="C835" s="8">
        <v>42210</v>
      </c>
      <c r="D835" s="7"/>
      <c r="E835" s="7" t="s">
        <v>14</v>
      </c>
      <c r="F835" s="7" t="s">
        <v>15</v>
      </c>
      <c r="G835" s="7" t="s">
        <v>39</v>
      </c>
      <c r="H835" s="7" t="s">
        <v>2655</v>
      </c>
      <c r="I835" s="9"/>
      <c r="J835" s="7">
        <v>5</v>
      </c>
      <c r="K835" s="11">
        <v>0.1</v>
      </c>
      <c r="L835" s="9">
        <v>-53.01</v>
      </c>
      <c r="M835" s="7"/>
      <c r="N835" t="str">
        <v>Normal Order</v>
      </c>
    </row>
    <row r="836" spans="1:14">
      <c r="A836" s="7" t="s">
        <v>1435</v>
      </c>
      <c r="B836" s="8">
        <v>42251</v>
      </c>
      <c r="C836" s="8">
        <v>42255</v>
      </c>
      <c r="D836" s="7" t="s">
        <v>1436</v>
      </c>
      <c r="E836" s="7" t="s">
        <v>67</v>
      </c>
      <c r="F836" s="7" t="s">
        <v>68</v>
      </c>
      <c r="G836" s="7" t="s">
        <v>28</v>
      </c>
      <c r="H836" s="7" t="s">
        <v>2661</v>
      </c>
      <c r="I836" s="9">
        <v>2927.2799999999902</v>
      </c>
      <c r="J836" s="7">
        <v>8</v>
      </c>
      <c r="K836" s="11">
        <v>0</v>
      </c>
      <c r="L836" s="9">
        <v>146.16</v>
      </c>
      <c r="M836" s="7" t="s">
        <v>17</v>
      </c>
      <c r="N836" t="str">
        <v>Bulk Order</v>
      </c>
    </row>
    <row r="837" spans="1:14">
      <c r="A837" s="7" t="s">
        <v>1437</v>
      </c>
      <c r="B837" s="8">
        <v>41439</v>
      </c>
      <c r="C837" s="7" t="s">
        <v>1438</v>
      </c>
      <c r="D837" s="7" t="s">
        <v>361</v>
      </c>
      <c r="E837" s="7" t="s">
        <v>35</v>
      </c>
      <c r="F837" s="7" t="s">
        <v>102</v>
      </c>
      <c r="G837" s="7" t="s">
        <v>28</v>
      </c>
      <c r="H837" s="7" t="s">
        <v>2664</v>
      </c>
      <c r="I837" s="9">
        <v>51.072000000000003</v>
      </c>
      <c r="J837" s="7">
        <v>6</v>
      </c>
      <c r="K837" s="11">
        <v>0.2</v>
      </c>
      <c r="L837" s="9">
        <v>5.1071999999999997</v>
      </c>
      <c r="M837" s="7" t="s">
        <v>32</v>
      </c>
      <c r="N837" t="str">
        <v>Bulk Order</v>
      </c>
    </row>
    <row r="838" spans="1:14">
      <c r="A838" s="7" t="s">
        <v>1394</v>
      </c>
      <c r="B838" s="8">
        <v>42027</v>
      </c>
      <c r="C838" s="8">
        <v>42032</v>
      </c>
      <c r="D838" s="7" t="s">
        <v>361</v>
      </c>
      <c r="E838" s="7" t="s">
        <v>35</v>
      </c>
      <c r="F838" s="7" t="s">
        <v>38</v>
      </c>
      <c r="G838" s="7" t="s">
        <v>39</v>
      </c>
      <c r="H838" s="7" t="s">
        <v>2663</v>
      </c>
      <c r="I838" s="9">
        <v>51.449999999999903</v>
      </c>
      <c r="J838" s="7">
        <v>3</v>
      </c>
      <c r="K838" s="11">
        <v>0</v>
      </c>
      <c r="L838" s="9">
        <v>13.891499999999899</v>
      </c>
      <c r="M838" s="7" t="s">
        <v>17</v>
      </c>
      <c r="N838" t="str">
        <v>Normal Order</v>
      </c>
    </row>
    <row r="839" spans="1:14">
      <c r="A839" s="7" t="s">
        <v>1439</v>
      </c>
      <c r="B839" s="8">
        <v>42340</v>
      </c>
      <c r="C839" s="8">
        <v>42345</v>
      </c>
      <c r="D839" s="7" t="s">
        <v>361</v>
      </c>
      <c r="E839" s="7" t="s">
        <v>35</v>
      </c>
      <c r="F839" s="7" t="s">
        <v>102</v>
      </c>
      <c r="G839" s="7" t="s">
        <v>39</v>
      </c>
      <c r="H839" s="7" t="s">
        <v>2654</v>
      </c>
      <c r="I839" s="9">
        <v>19.440000000000001</v>
      </c>
      <c r="J839" s="7">
        <v>3</v>
      </c>
      <c r="K839" s="11">
        <v>0</v>
      </c>
      <c r="L839" s="9">
        <v>9.3312000000000008</v>
      </c>
      <c r="M839" s="7" t="s">
        <v>17</v>
      </c>
      <c r="N839" t="str">
        <v>Normal Order</v>
      </c>
    </row>
    <row r="840" spans="1:14">
      <c r="A840" s="7" t="s">
        <v>1440</v>
      </c>
      <c r="B840" s="8">
        <v>42022</v>
      </c>
      <c r="C840" s="8">
        <v>42026</v>
      </c>
      <c r="D840" s="7" t="s">
        <v>1441</v>
      </c>
      <c r="E840" s="7" t="s">
        <v>701</v>
      </c>
      <c r="F840" s="7" t="s">
        <v>106</v>
      </c>
      <c r="G840" s="7" t="s">
        <v>39</v>
      </c>
      <c r="H840" s="7" t="s">
        <v>2657</v>
      </c>
      <c r="I840" s="9">
        <v>2117.2199999999998</v>
      </c>
      <c r="J840" s="7">
        <v>14</v>
      </c>
      <c r="K840" s="11">
        <v>0.5</v>
      </c>
      <c r="L840" s="9">
        <v>-1736.27999999999</v>
      </c>
      <c r="M840" s="7" t="s">
        <v>32</v>
      </c>
      <c r="N840" t="str">
        <v>Bulk Order</v>
      </c>
    </row>
    <row r="841" spans="1:14">
      <c r="A841" s="7" t="s">
        <v>1442</v>
      </c>
      <c r="B841" s="8">
        <v>42181</v>
      </c>
      <c r="C841" s="8">
        <v>42186</v>
      </c>
      <c r="D841" s="7" t="s">
        <v>47</v>
      </c>
      <c r="E841" s="7" t="s">
        <v>677</v>
      </c>
      <c r="F841" s="7" t="s">
        <v>132</v>
      </c>
      <c r="G841" s="7" t="s">
        <v>28</v>
      </c>
      <c r="H841" s="7" t="s">
        <v>2661</v>
      </c>
      <c r="I841" s="9">
        <v>2747.7</v>
      </c>
      <c r="J841" s="7">
        <v>6</v>
      </c>
      <c r="K841" s="11">
        <v>0</v>
      </c>
      <c r="L841" s="9">
        <v>82.26</v>
      </c>
      <c r="M841" s="7" t="s">
        <v>17</v>
      </c>
      <c r="N841" t="str">
        <v>Bulk Order</v>
      </c>
    </row>
    <row r="842" spans="1:14">
      <c r="A842" s="7" t="s">
        <v>1443</v>
      </c>
      <c r="B842" s="8">
        <v>41299</v>
      </c>
      <c r="C842" s="8">
        <v>41299</v>
      </c>
      <c r="D842" s="7" t="s">
        <v>156</v>
      </c>
      <c r="E842" s="7" t="s">
        <v>677</v>
      </c>
      <c r="F842" s="7"/>
      <c r="G842" s="7" t="s">
        <v>28</v>
      </c>
      <c r="H842" s="7" t="s">
        <v>2657</v>
      </c>
      <c r="I842" s="9">
        <v>1014.72</v>
      </c>
      <c r="J842" s="7">
        <v>7</v>
      </c>
      <c r="K842" s="11">
        <v>0</v>
      </c>
      <c r="L842" s="9">
        <v>141.96</v>
      </c>
      <c r="M842" s="7" t="s">
        <v>32</v>
      </c>
      <c r="N842" t="str">
        <v>Bulk Order</v>
      </c>
    </row>
    <row r="843" spans="1:14">
      <c r="A843" s="7" t="s">
        <v>1444</v>
      </c>
      <c r="B843" s="8">
        <v>41462</v>
      </c>
      <c r="C843" s="8">
        <v>41467</v>
      </c>
      <c r="D843" s="7" t="s">
        <v>1445</v>
      </c>
      <c r="E843" s="7" t="s">
        <v>1446</v>
      </c>
      <c r="F843" s="7" t="s">
        <v>158</v>
      </c>
      <c r="G843" s="7" t="s">
        <v>16</v>
      </c>
      <c r="H843" s="7" t="s">
        <v>2655</v>
      </c>
      <c r="I843" s="9">
        <v>1591.56</v>
      </c>
      <c r="J843" s="7">
        <v>12</v>
      </c>
      <c r="K843" s="11">
        <v>0</v>
      </c>
      <c r="L843" s="9">
        <v>79.56</v>
      </c>
      <c r="M843" s="7" t="s">
        <v>17</v>
      </c>
      <c r="N843" t="str">
        <v>Bulk Order</v>
      </c>
    </row>
    <row r="844" spans="1:14">
      <c r="A844" s="7" t="s">
        <v>1447</v>
      </c>
      <c r="B844" s="8">
        <v>41240</v>
      </c>
      <c r="C844" s="7" t="s">
        <v>116</v>
      </c>
      <c r="D844" s="7"/>
      <c r="E844" s="7" t="s">
        <v>88</v>
      </c>
      <c r="F844" s="7" t="s">
        <v>89</v>
      </c>
      <c r="G844" s="7" t="s">
        <v>612</v>
      </c>
      <c r="H844" s="7" t="s">
        <v>2663</v>
      </c>
      <c r="I844" s="9">
        <v>533.22</v>
      </c>
      <c r="J844" s="7">
        <v>3</v>
      </c>
      <c r="K844" s="11">
        <v>0</v>
      </c>
      <c r="L844" s="9">
        <v>69.3</v>
      </c>
      <c r="M844" s="7" t="s">
        <v>23</v>
      </c>
      <c r="N844" t="str">
        <v>Normal Order</v>
      </c>
    </row>
    <row r="845" spans="1:14">
      <c r="A845" s="7" t="s">
        <v>1448</v>
      </c>
      <c r="B845" s="8">
        <v>42335</v>
      </c>
      <c r="C845" s="8">
        <v>42339</v>
      </c>
      <c r="D845" s="7" t="s">
        <v>802</v>
      </c>
      <c r="E845" s="7" t="s">
        <v>52</v>
      </c>
      <c r="F845" s="7" t="s">
        <v>53</v>
      </c>
      <c r="G845" s="7" t="s">
        <v>16</v>
      </c>
      <c r="H845" s="7" t="s">
        <v>2656</v>
      </c>
      <c r="I845" s="9">
        <v>2124.5</v>
      </c>
      <c r="J845" s="7">
        <v>5</v>
      </c>
      <c r="K845" s="11">
        <v>0</v>
      </c>
      <c r="L845" s="9">
        <v>488.6</v>
      </c>
      <c r="M845" s="7" t="s">
        <v>32</v>
      </c>
      <c r="N845" t="str">
        <v>Normal Order</v>
      </c>
    </row>
    <row r="846" spans="1:14">
      <c r="A846" s="7" t="s">
        <v>1449</v>
      </c>
      <c r="B846" s="8">
        <v>41615</v>
      </c>
      <c r="C846" s="8">
        <v>41617</v>
      </c>
      <c r="D846" s="7" t="s">
        <v>886</v>
      </c>
      <c r="E846" s="7" t="s">
        <v>131</v>
      </c>
      <c r="F846" s="7" t="s">
        <v>132</v>
      </c>
      <c r="G846" s="7" t="s">
        <v>39</v>
      </c>
      <c r="H846" s="7" t="s">
        <v>2662</v>
      </c>
      <c r="I846" s="9">
        <v>1053.8676</v>
      </c>
      <c r="J846" s="7">
        <v>6</v>
      </c>
      <c r="K846" s="11">
        <v>0.17</v>
      </c>
      <c r="L846" s="9">
        <v>-152.49239999999901</v>
      </c>
      <c r="M846" s="7" t="s">
        <v>32</v>
      </c>
      <c r="N846" t="str">
        <v>Bulk Order</v>
      </c>
    </row>
    <row r="847" spans="1:14">
      <c r="A847" s="7" t="s">
        <v>1450</v>
      </c>
      <c r="B847" s="8">
        <v>41231</v>
      </c>
      <c r="C847" s="8">
        <v>41234</v>
      </c>
      <c r="D847" s="7" t="s">
        <v>361</v>
      </c>
      <c r="E847" s="7" t="s">
        <v>35</v>
      </c>
      <c r="F847" s="7" t="s">
        <v>102</v>
      </c>
      <c r="G847" s="7" t="s">
        <v>39</v>
      </c>
      <c r="H847" s="7" t="s">
        <v>2656</v>
      </c>
      <c r="I847" s="9">
        <v>5.88</v>
      </c>
      <c r="J847" s="7">
        <v>1</v>
      </c>
      <c r="K847" s="11">
        <v>0.2</v>
      </c>
      <c r="L847" s="9">
        <v>1.9844999999999899</v>
      </c>
      <c r="M847" s="7" t="s">
        <v>17</v>
      </c>
      <c r="N847" t="str">
        <v>Normal Order</v>
      </c>
    </row>
    <row r="848" spans="1:14">
      <c r="A848" s="7" t="s">
        <v>1451</v>
      </c>
      <c r="B848" s="8">
        <v>41625</v>
      </c>
      <c r="C848" s="8">
        <v>41629</v>
      </c>
      <c r="D848" s="7" t="s">
        <v>1452</v>
      </c>
      <c r="E848" s="7" t="s">
        <v>84</v>
      </c>
      <c r="F848" s="7" t="s">
        <v>85</v>
      </c>
      <c r="G848" s="7" t="s">
        <v>16</v>
      </c>
      <c r="H848" s="7" t="s">
        <v>2664</v>
      </c>
      <c r="I848" s="9">
        <v>1248.8399999999999</v>
      </c>
      <c r="J848" s="7">
        <v>4</v>
      </c>
      <c r="K848" s="11">
        <v>0</v>
      </c>
      <c r="L848" s="9">
        <v>249.719999999999</v>
      </c>
      <c r="M848" s="7" t="s">
        <v>32</v>
      </c>
      <c r="N848" t="str">
        <v>Normal Order</v>
      </c>
    </row>
    <row r="849" spans="1:14">
      <c r="A849" s="7" t="s">
        <v>1453</v>
      </c>
      <c r="B849" s="8">
        <v>41962</v>
      </c>
      <c r="C849" s="8">
        <v>41968</v>
      </c>
      <c r="D849" s="7" t="s">
        <v>685</v>
      </c>
      <c r="E849" s="7" t="s">
        <v>346</v>
      </c>
      <c r="F849" s="7" t="s">
        <v>89</v>
      </c>
      <c r="G849" s="7" t="s">
        <v>28</v>
      </c>
      <c r="H849" s="7" t="s">
        <v>2659</v>
      </c>
      <c r="I849" s="9">
        <v>2040.92</v>
      </c>
      <c r="J849" s="7">
        <v>7</v>
      </c>
      <c r="K849" s="11">
        <v>0</v>
      </c>
      <c r="L849" s="9">
        <v>959.14</v>
      </c>
      <c r="M849" s="7" t="s">
        <v>65</v>
      </c>
      <c r="N849" t="str">
        <v>Bulk Order</v>
      </c>
    </row>
    <row r="850" spans="1:14">
      <c r="A850" s="7" t="s">
        <v>1454</v>
      </c>
      <c r="B850" s="8">
        <v>42249</v>
      </c>
      <c r="C850" s="8">
        <v>42251</v>
      </c>
      <c r="D850" s="7" t="s">
        <v>1388</v>
      </c>
      <c r="E850" s="7" t="s">
        <v>62</v>
      </c>
      <c r="F850" s="7" t="s">
        <v>63</v>
      </c>
      <c r="G850" s="7" t="s">
        <v>1455</v>
      </c>
      <c r="H850" s="7" t="s">
        <v>2662</v>
      </c>
      <c r="I850" s="9">
        <v>1068.7139999999999</v>
      </c>
      <c r="J850" s="7">
        <v>6</v>
      </c>
      <c r="K850" s="11">
        <v>0.1</v>
      </c>
      <c r="L850" s="9">
        <v>-0.126000000000004</v>
      </c>
      <c r="M850" s="7" t="s">
        <v>32</v>
      </c>
      <c r="N850" t="str">
        <v>Bulk Order</v>
      </c>
    </row>
    <row r="851" spans="1:14">
      <c r="A851" s="7" t="s">
        <v>1456</v>
      </c>
      <c r="B851" s="8">
        <v>42140</v>
      </c>
      <c r="C851" s="8">
        <v>42140</v>
      </c>
      <c r="D851" s="7" t="s">
        <v>780</v>
      </c>
      <c r="E851" s="7" t="s">
        <v>52</v>
      </c>
      <c r="F851" s="7" t="s">
        <v>53</v>
      </c>
      <c r="G851" s="7" t="s">
        <v>28</v>
      </c>
      <c r="H851" s="7" t="s">
        <v>2663</v>
      </c>
      <c r="I851" s="9">
        <v>875.22</v>
      </c>
      <c r="J851" s="7">
        <v>3</v>
      </c>
      <c r="K851" s="11">
        <v>0</v>
      </c>
      <c r="L851" s="9">
        <v>139.97999999999999</v>
      </c>
      <c r="M851" s="7" t="s">
        <v>32</v>
      </c>
      <c r="N851" t="str">
        <v>Normal Order</v>
      </c>
    </row>
    <row r="852" spans="1:14">
      <c r="A852" s="7"/>
      <c r="B852" s="8">
        <v>41948</v>
      </c>
      <c r="C852" s="7"/>
      <c r="D852" s="7" t="s">
        <v>1457</v>
      </c>
      <c r="E852" s="7" t="s">
        <v>14</v>
      </c>
      <c r="F852" s="7" t="s">
        <v>15</v>
      </c>
      <c r="G852" s="7" t="s">
        <v>16</v>
      </c>
      <c r="H852" s="7" t="s">
        <v>2664</v>
      </c>
      <c r="I852" s="9">
        <v>1403.0819999999901</v>
      </c>
      <c r="J852" s="7"/>
      <c r="K852" s="11">
        <v>0.1</v>
      </c>
      <c r="L852" s="9">
        <v>296.08199999999999</v>
      </c>
      <c r="M852" s="7" t="s">
        <v>32</v>
      </c>
      <c r="N852" t="str">
        <v>Normal Order</v>
      </c>
    </row>
    <row r="853" spans="1:14">
      <c r="A853" s="7" t="s">
        <v>1458</v>
      </c>
      <c r="B853" s="8">
        <v>41219</v>
      </c>
      <c r="C853" s="7"/>
      <c r="D853" s="7" t="s">
        <v>1459</v>
      </c>
      <c r="E853" s="7" t="s">
        <v>1460</v>
      </c>
      <c r="F853" s="7" t="s">
        <v>78</v>
      </c>
      <c r="G853" s="7" t="s">
        <v>28</v>
      </c>
      <c r="H853" s="7" t="s">
        <v>2663</v>
      </c>
      <c r="I853" s="9">
        <v>1743.96</v>
      </c>
      <c r="J853" s="7">
        <v>4</v>
      </c>
      <c r="K853" s="11"/>
      <c r="L853" s="9">
        <v>714.96</v>
      </c>
      <c r="M853" s="7" t="s">
        <v>17</v>
      </c>
      <c r="N853" t="str">
        <v>Normal Order</v>
      </c>
    </row>
    <row r="854" spans="1:14">
      <c r="A854" s="7" t="s">
        <v>1461</v>
      </c>
      <c r="B854" s="7"/>
      <c r="C854" s="8">
        <v>41740</v>
      </c>
      <c r="D854" s="7" t="s">
        <v>1284</v>
      </c>
      <c r="E854" s="7" t="s">
        <v>840</v>
      </c>
      <c r="F854" s="7" t="s">
        <v>49</v>
      </c>
      <c r="G854" s="7" t="s">
        <v>16</v>
      </c>
      <c r="H854" s="7" t="s">
        <v>2654</v>
      </c>
      <c r="I854" s="9">
        <v>1071.8399999999999</v>
      </c>
      <c r="J854" s="7">
        <v>4</v>
      </c>
      <c r="K854" s="11">
        <v>0</v>
      </c>
      <c r="L854" s="9"/>
      <c r="M854" s="7" t="s">
        <v>32</v>
      </c>
      <c r="N854" t="str">
        <v>Normal Order</v>
      </c>
    </row>
    <row r="855" spans="1:14">
      <c r="A855" s="7"/>
      <c r="B855" s="8">
        <v>42167</v>
      </c>
      <c r="C855" s="8">
        <v>42168</v>
      </c>
      <c r="D855" s="7" t="s">
        <v>1462</v>
      </c>
      <c r="E855" s="7" t="s">
        <v>67</v>
      </c>
      <c r="F855" s="7" t="s">
        <v>68</v>
      </c>
      <c r="G855" s="7" t="s">
        <v>16</v>
      </c>
      <c r="H855" s="7" t="s">
        <v>2663</v>
      </c>
      <c r="I855" s="9">
        <v>925.02</v>
      </c>
      <c r="J855" s="7">
        <v>5</v>
      </c>
      <c r="K855" s="11">
        <v>0.4</v>
      </c>
      <c r="L855" s="9">
        <v>-447.18</v>
      </c>
      <c r="M855" s="7" t="s">
        <v>32</v>
      </c>
      <c r="N855" t="str">
        <v>Normal Order</v>
      </c>
    </row>
    <row r="856" spans="1:14">
      <c r="A856" s="7" t="s">
        <v>1463</v>
      </c>
      <c r="B856" s="8">
        <v>41800</v>
      </c>
      <c r="C856" s="8">
        <v>41805</v>
      </c>
      <c r="D856" s="7" t="s">
        <v>1464</v>
      </c>
      <c r="E856" s="7" t="s">
        <v>499</v>
      </c>
      <c r="F856" s="7" t="s">
        <v>53</v>
      </c>
      <c r="G856" s="7" t="s">
        <v>28</v>
      </c>
      <c r="H856" s="7" t="s">
        <v>2662</v>
      </c>
      <c r="I856" s="9">
        <v>1682.74799999999</v>
      </c>
      <c r="J856" s="7">
        <v>9</v>
      </c>
      <c r="K856" s="11">
        <v>0.4</v>
      </c>
      <c r="L856" s="9">
        <v>-813.49199999999905</v>
      </c>
      <c r="M856" s="7" t="s">
        <v>32</v>
      </c>
      <c r="N856" t="str">
        <v>Bulk Order</v>
      </c>
    </row>
    <row r="857" spans="1:14">
      <c r="A857" s="7" t="s">
        <v>1465</v>
      </c>
      <c r="B857" s="8">
        <v>42190</v>
      </c>
      <c r="C857" s="8">
        <v>42194</v>
      </c>
      <c r="D857" s="7" t="s">
        <v>1185</v>
      </c>
      <c r="E857" s="7"/>
      <c r="F857" s="7" t="s">
        <v>81</v>
      </c>
      <c r="G857" s="7" t="s">
        <v>28</v>
      </c>
      <c r="H857" s="7" t="s">
        <v>2662</v>
      </c>
      <c r="I857" s="9"/>
      <c r="J857" s="7">
        <v>5</v>
      </c>
      <c r="K857" s="11">
        <v>0</v>
      </c>
      <c r="L857" s="9">
        <v>291.60000000000002</v>
      </c>
      <c r="M857" s="7" t="s">
        <v>17</v>
      </c>
      <c r="N857" t="str">
        <v>Normal Order</v>
      </c>
    </row>
    <row r="858" spans="1:14">
      <c r="A858" s="7" t="s">
        <v>1466</v>
      </c>
      <c r="B858" s="7" t="s">
        <v>1467</v>
      </c>
      <c r="C858" s="8">
        <v>41764</v>
      </c>
      <c r="D858" s="7"/>
      <c r="E858" s="7" t="s">
        <v>105</v>
      </c>
      <c r="F858" s="7" t="s">
        <v>106</v>
      </c>
      <c r="G858" s="7" t="s">
        <v>16</v>
      </c>
      <c r="H858" s="7" t="s">
        <v>2655</v>
      </c>
      <c r="I858" s="9">
        <v>3040.8</v>
      </c>
      <c r="J858" s="7"/>
      <c r="K858" s="11">
        <v>0</v>
      </c>
      <c r="L858" s="9">
        <v>1155.3599999999999</v>
      </c>
      <c r="M858" s="7" t="s">
        <v>17</v>
      </c>
      <c r="N858" t="str">
        <v>Normal Order</v>
      </c>
    </row>
    <row r="859" spans="1:14">
      <c r="A859" s="7" t="s">
        <v>1468</v>
      </c>
      <c r="B859" s="8">
        <v>41459</v>
      </c>
      <c r="C859" s="8">
        <v>41463</v>
      </c>
      <c r="D859" s="7" t="s">
        <v>361</v>
      </c>
      <c r="E859" s="7" t="s">
        <v>35</v>
      </c>
      <c r="F859" s="7" t="s">
        <v>102</v>
      </c>
      <c r="G859" s="7" t="s">
        <v>39</v>
      </c>
      <c r="H859" s="7" t="s">
        <v>2663</v>
      </c>
      <c r="I859" s="9">
        <v>15.48</v>
      </c>
      <c r="J859" s="7">
        <v>3</v>
      </c>
      <c r="K859" s="11">
        <v>0</v>
      </c>
      <c r="L859" s="9">
        <v>4.4891999999999896</v>
      </c>
      <c r="M859" s="7" t="s">
        <v>17</v>
      </c>
      <c r="N859" t="str">
        <v>Normal Order</v>
      </c>
    </row>
    <row r="860" spans="1:14">
      <c r="A860" s="7" t="s">
        <v>1469</v>
      </c>
      <c r="B860" s="8">
        <v>41584</v>
      </c>
      <c r="C860" s="8">
        <v>41586</v>
      </c>
      <c r="D860" s="7" t="s">
        <v>1470</v>
      </c>
      <c r="E860" s="7" t="s">
        <v>88</v>
      </c>
      <c r="F860" s="7" t="s">
        <v>89</v>
      </c>
      <c r="G860" s="7" t="s">
        <v>16</v>
      </c>
      <c r="H860" s="7" t="s">
        <v>2657</v>
      </c>
      <c r="I860" s="9">
        <v>1003.34928</v>
      </c>
      <c r="J860" s="7">
        <v>4</v>
      </c>
      <c r="K860" s="11">
        <v>2E-3</v>
      </c>
      <c r="L860" s="9">
        <v>178.94927999999999</v>
      </c>
      <c r="M860" s="7" t="s">
        <v>209</v>
      </c>
      <c r="N860" t="str">
        <v>Normal Order</v>
      </c>
    </row>
    <row r="861" spans="1:14">
      <c r="A861" s="7" t="s">
        <v>1394</v>
      </c>
      <c r="B861" s="8">
        <v>42027</v>
      </c>
      <c r="C861" s="8">
        <v>42032</v>
      </c>
      <c r="D861" s="7" t="s">
        <v>361</v>
      </c>
      <c r="E861" s="7" t="s">
        <v>35</v>
      </c>
      <c r="F861" s="7" t="s">
        <v>38</v>
      </c>
      <c r="G861" s="7" t="s">
        <v>39</v>
      </c>
      <c r="H861" s="7" t="s">
        <v>2662</v>
      </c>
      <c r="I861" s="9">
        <v>11.96</v>
      </c>
      <c r="J861" s="7">
        <v>2</v>
      </c>
      <c r="K861" s="11"/>
      <c r="L861" s="9">
        <v>5.3819999999999997</v>
      </c>
      <c r="M861" s="7" t="s">
        <v>17</v>
      </c>
      <c r="N861" t="str">
        <v>Normal Order</v>
      </c>
    </row>
    <row r="862" spans="1:14">
      <c r="A862" s="7" t="s">
        <v>1471</v>
      </c>
      <c r="B862" s="8">
        <v>41166</v>
      </c>
      <c r="C862" s="8">
        <v>41169</v>
      </c>
      <c r="D862" s="7" t="s">
        <v>1472</v>
      </c>
      <c r="E862" s="7"/>
      <c r="F862" s="7" t="s">
        <v>15</v>
      </c>
      <c r="G862" s="7" t="s">
        <v>39</v>
      </c>
      <c r="H862" s="7" t="s">
        <v>2657</v>
      </c>
      <c r="I862" s="9">
        <v>808.73099999999999</v>
      </c>
      <c r="J862" s="7">
        <v>7</v>
      </c>
      <c r="K862" s="11">
        <v>0.1</v>
      </c>
      <c r="L862" s="9">
        <v>-0.18900000000002101</v>
      </c>
      <c r="M862" s="7" t="s">
        <v>23</v>
      </c>
      <c r="N862" t="str">
        <v>Bulk Order</v>
      </c>
    </row>
    <row r="863" spans="1:14">
      <c r="A863" s="7" t="s">
        <v>1473</v>
      </c>
      <c r="B863" s="8">
        <v>41999</v>
      </c>
      <c r="C863" s="8">
        <v>42005</v>
      </c>
      <c r="D863" s="7" t="s">
        <v>1474</v>
      </c>
      <c r="E863" s="7" t="s">
        <v>62</v>
      </c>
      <c r="F863" s="7" t="s">
        <v>63</v>
      </c>
      <c r="G863" s="7" t="s">
        <v>16</v>
      </c>
      <c r="H863" s="7" t="s">
        <v>2663</v>
      </c>
      <c r="I863" s="9">
        <v>2764.3274999999999</v>
      </c>
      <c r="J863" s="7">
        <v>11</v>
      </c>
      <c r="K863" s="11">
        <v>0.15</v>
      </c>
      <c r="L863" s="9">
        <v>-195.4425</v>
      </c>
      <c r="M863" s="7" t="s">
        <v>17</v>
      </c>
      <c r="N863" t="str">
        <v>Bulk Order</v>
      </c>
    </row>
    <row r="864" spans="1:14">
      <c r="A864" s="7" t="s">
        <v>1475</v>
      </c>
      <c r="B864" s="8">
        <v>41992</v>
      </c>
      <c r="C864" s="8">
        <v>41994</v>
      </c>
      <c r="D864" s="7" t="s">
        <v>1476</v>
      </c>
      <c r="E864" s="7" t="s">
        <v>35</v>
      </c>
      <c r="F864" s="7" t="s">
        <v>142</v>
      </c>
      <c r="G864" s="7" t="s">
        <v>39</v>
      </c>
      <c r="H864" s="7" t="s">
        <v>2664</v>
      </c>
      <c r="I864" s="9">
        <v>961.48</v>
      </c>
      <c r="J864" s="7">
        <v>5</v>
      </c>
      <c r="K864" s="11">
        <v>0.2</v>
      </c>
      <c r="L864" s="9">
        <v>-204.31449999999899</v>
      </c>
      <c r="M864" s="7" t="s">
        <v>17</v>
      </c>
      <c r="N864" t="str">
        <v>Normal Order</v>
      </c>
    </row>
    <row r="865" spans="1:14">
      <c r="A865" s="7" t="s">
        <v>1477</v>
      </c>
      <c r="B865" s="8">
        <v>42249</v>
      </c>
      <c r="C865" s="8">
        <v>42251</v>
      </c>
      <c r="D865" s="7" t="s">
        <v>1478</v>
      </c>
      <c r="E865" s="7" t="s">
        <v>1479</v>
      </c>
      <c r="F865" s="7" t="s">
        <v>78</v>
      </c>
      <c r="G865" s="7" t="s">
        <v>28</v>
      </c>
      <c r="H865" s="7" t="s">
        <v>2657</v>
      </c>
      <c r="I865" s="9">
        <v>457.13999999999902</v>
      </c>
      <c r="J865" s="7">
        <v>1</v>
      </c>
      <c r="K865" s="11">
        <v>0</v>
      </c>
      <c r="L865" s="9">
        <v>169.14</v>
      </c>
      <c r="M865" s="7" t="s">
        <v>23</v>
      </c>
      <c r="N865" t="str">
        <v>Normal Order</v>
      </c>
    </row>
    <row r="866" spans="1:14">
      <c r="A866" s="7" t="s">
        <v>1480</v>
      </c>
      <c r="B866" s="8">
        <v>41992</v>
      </c>
      <c r="C866" s="8">
        <v>41994</v>
      </c>
      <c r="D866" s="7" t="s">
        <v>1476</v>
      </c>
      <c r="E866" s="7" t="s">
        <v>35</v>
      </c>
      <c r="F866" s="7" t="s">
        <v>142</v>
      </c>
      <c r="G866" s="7" t="s">
        <v>39</v>
      </c>
      <c r="H866" s="7" t="s">
        <v>2655</v>
      </c>
      <c r="I866" s="9">
        <v>254.05799999999999</v>
      </c>
      <c r="J866" s="7">
        <v>7</v>
      </c>
      <c r="K866" s="11">
        <v>0.7</v>
      </c>
      <c r="L866" s="9">
        <v>-169.37199999999899</v>
      </c>
      <c r="M866" s="7" t="s">
        <v>17</v>
      </c>
      <c r="N866" t="str">
        <v>Bulk Order</v>
      </c>
    </row>
    <row r="867" spans="1:14">
      <c r="A867" s="7" t="s">
        <v>1339</v>
      </c>
      <c r="B867" s="7"/>
      <c r="C867" s="8">
        <v>41819</v>
      </c>
      <c r="D867" s="7" t="s">
        <v>1069</v>
      </c>
      <c r="E867" s="7" t="s">
        <v>14</v>
      </c>
      <c r="F867" s="7" t="s">
        <v>1481</v>
      </c>
      <c r="G867" s="7" t="s">
        <v>16</v>
      </c>
      <c r="H867" s="7" t="s">
        <v>2655</v>
      </c>
      <c r="I867" s="9">
        <v>1933.2</v>
      </c>
      <c r="J867" s="7"/>
      <c r="K867" s="11">
        <v>0.1</v>
      </c>
      <c r="L867" s="9">
        <v>-128.88</v>
      </c>
      <c r="M867" s="7" t="s">
        <v>32</v>
      </c>
      <c r="N867" t="str">
        <v>Normal Order</v>
      </c>
    </row>
    <row r="868" spans="1:14">
      <c r="A868" s="7" t="s">
        <v>1482</v>
      </c>
      <c r="B868" s="8">
        <v>41085</v>
      </c>
      <c r="C868" s="8">
        <v>41087</v>
      </c>
      <c r="D868" s="7"/>
      <c r="E868" s="7" t="s">
        <v>62</v>
      </c>
      <c r="F868" s="7" t="s">
        <v>63</v>
      </c>
      <c r="G868" s="7" t="s">
        <v>28</v>
      </c>
      <c r="H868" s="7" t="s">
        <v>2657</v>
      </c>
      <c r="I868" s="9">
        <v>704.05200000000002</v>
      </c>
      <c r="J868" s="7">
        <v>2</v>
      </c>
      <c r="K868" s="11">
        <v>0.1</v>
      </c>
      <c r="L868" s="9"/>
      <c r="M868" s="7" t="s">
        <v>23</v>
      </c>
      <c r="N868" t="str">
        <v>Normal Order</v>
      </c>
    </row>
    <row r="869" spans="1:14">
      <c r="A869" s="7" t="s">
        <v>1483</v>
      </c>
      <c r="B869" s="8">
        <v>42271</v>
      </c>
      <c r="C869" s="8">
        <v>42273</v>
      </c>
      <c r="D869" s="7" t="s">
        <v>618</v>
      </c>
      <c r="E869" s="7" t="s">
        <v>1484</v>
      </c>
      <c r="F869" s="7" t="s">
        <v>63</v>
      </c>
      <c r="G869" s="7" t="s">
        <v>39</v>
      </c>
      <c r="H869" s="7" t="s">
        <v>2662</v>
      </c>
      <c r="I869" s="9">
        <v>1355.13</v>
      </c>
      <c r="J869" s="7">
        <v>5</v>
      </c>
      <c r="K869" s="11">
        <v>0.1</v>
      </c>
      <c r="L869" s="9">
        <v>-60.269999999999897</v>
      </c>
      <c r="M869" s="7" t="s">
        <v>32</v>
      </c>
      <c r="N869" t="str">
        <v>Normal Order</v>
      </c>
    </row>
    <row r="870" spans="1:14">
      <c r="A870" s="7" t="s">
        <v>1486</v>
      </c>
      <c r="B870" s="8">
        <v>41338</v>
      </c>
      <c r="C870" s="8">
        <v>41340</v>
      </c>
      <c r="D870" s="7"/>
      <c r="E870" s="7" t="s">
        <v>35</v>
      </c>
      <c r="F870" s="7" t="s">
        <v>102</v>
      </c>
      <c r="G870" s="7" t="s">
        <v>28</v>
      </c>
      <c r="H870" s="7" t="s">
        <v>2663</v>
      </c>
      <c r="I870" s="9">
        <v>99.372</v>
      </c>
      <c r="J870" s="7">
        <v>2</v>
      </c>
      <c r="K870" s="11"/>
      <c r="L870" s="9">
        <v>-7.0979999999999901</v>
      </c>
      <c r="M870" s="7" t="s">
        <v>32</v>
      </c>
      <c r="N870" t="str">
        <v>Normal Order</v>
      </c>
    </row>
    <row r="871" spans="1:14">
      <c r="A871" s="7" t="s">
        <v>1475</v>
      </c>
      <c r="B871" s="8">
        <v>41992</v>
      </c>
      <c r="C871" s="8">
        <v>41994</v>
      </c>
      <c r="D871" s="7" t="s">
        <v>1476</v>
      </c>
      <c r="E871" s="7" t="s">
        <v>35</v>
      </c>
      <c r="F871" s="7" t="s">
        <v>142</v>
      </c>
      <c r="G871" s="7" t="s">
        <v>39</v>
      </c>
      <c r="H871" s="7" t="s">
        <v>2661</v>
      </c>
      <c r="I871" s="9">
        <v>194.52799999999999</v>
      </c>
      <c r="J871" s="7">
        <v>2</v>
      </c>
      <c r="K871" s="11">
        <v>0.2</v>
      </c>
      <c r="L871" s="9">
        <v>24.315999999999899</v>
      </c>
      <c r="M871" s="7" t="s">
        <v>17</v>
      </c>
      <c r="N871" t="str">
        <v>Normal Order</v>
      </c>
    </row>
    <row r="872" spans="1:14">
      <c r="A872" s="7" t="s">
        <v>1487</v>
      </c>
      <c r="B872" s="8">
        <v>41916</v>
      </c>
      <c r="C872" s="8">
        <v>41920</v>
      </c>
      <c r="D872" s="7" t="s">
        <v>57</v>
      </c>
      <c r="E872" s="7" t="s">
        <v>58</v>
      </c>
      <c r="F872" s="7" t="s">
        <v>81</v>
      </c>
      <c r="G872" s="7" t="s">
        <v>28</v>
      </c>
      <c r="H872" s="7" t="s">
        <v>2663</v>
      </c>
      <c r="I872" s="9">
        <v>2819.51999999999</v>
      </c>
      <c r="J872" s="7">
        <v>6</v>
      </c>
      <c r="K872" s="11">
        <v>0</v>
      </c>
      <c r="L872" s="9">
        <v>338.219999999999</v>
      </c>
      <c r="M872" s="7" t="s">
        <v>17</v>
      </c>
      <c r="N872" t="str">
        <v>Bulk Order</v>
      </c>
    </row>
    <row r="873" spans="1:14">
      <c r="A873" s="7" t="s">
        <v>1488</v>
      </c>
      <c r="B873" s="7" t="s">
        <v>116</v>
      </c>
      <c r="C873" s="8">
        <v>41593</v>
      </c>
      <c r="D873" s="7" t="s">
        <v>625</v>
      </c>
      <c r="E873" s="7" t="s">
        <v>58</v>
      </c>
      <c r="F873" s="7" t="s">
        <v>81</v>
      </c>
      <c r="G873" s="7" t="s">
        <v>16</v>
      </c>
      <c r="H873" s="7" t="s">
        <v>2656</v>
      </c>
      <c r="I873" s="9">
        <v>2571.12</v>
      </c>
      <c r="J873" s="7">
        <v>4</v>
      </c>
      <c r="K873" s="11">
        <v>0</v>
      </c>
      <c r="L873" s="9">
        <v>102.84</v>
      </c>
      <c r="M873" s="7" t="s">
        <v>65</v>
      </c>
      <c r="N873" t="str">
        <v>Normal Order</v>
      </c>
    </row>
    <row r="874" spans="1:14">
      <c r="A874" s="7" t="s">
        <v>1489</v>
      </c>
      <c r="B874" s="7"/>
      <c r="C874" s="8">
        <v>41303</v>
      </c>
      <c r="D874" s="7" t="s">
        <v>1490</v>
      </c>
      <c r="E874" s="7" t="s">
        <v>1491</v>
      </c>
      <c r="F874" s="7" t="s">
        <v>121</v>
      </c>
      <c r="G874" s="7" t="s">
        <v>16</v>
      </c>
      <c r="H874" s="7" t="s">
        <v>2655</v>
      </c>
      <c r="I874" s="9">
        <v>976.08</v>
      </c>
      <c r="J874" s="7">
        <v>4</v>
      </c>
      <c r="K874" s="11">
        <v>0</v>
      </c>
      <c r="L874" s="9">
        <v>292.79999999999899</v>
      </c>
      <c r="M874" s="7" t="s">
        <v>23</v>
      </c>
      <c r="N874" t="str">
        <v>Normal Order</v>
      </c>
    </row>
    <row r="875" spans="1:14">
      <c r="A875" s="7" t="s">
        <v>1492</v>
      </c>
      <c r="B875" s="8">
        <v>41627</v>
      </c>
      <c r="C875" s="8">
        <v>41630</v>
      </c>
      <c r="D875" s="7" t="s">
        <v>1164</v>
      </c>
      <c r="E875" s="7" t="s">
        <v>814</v>
      </c>
      <c r="F875" s="7" t="s">
        <v>15</v>
      </c>
      <c r="G875" s="7" t="s">
        <v>16</v>
      </c>
      <c r="H875" s="7" t="s">
        <v>2656</v>
      </c>
      <c r="I875" s="9"/>
      <c r="J875" s="7"/>
      <c r="K875" s="11">
        <v>0</v>
      </c>
      <c r="L875" s="9">
        <v>115.32</v>
      </c>
      <c r="M875" s="7" t="s">
        <v>23</v>
      </c>
      <c r="N875" t="str">
        <v>Normal Order</v>
      </c>
    </row>
    <row r="876" spans="1:14">
      <c r="A876" s="7" t="s">
        <v>1493</v>
      </c>
      <c r="B876" s="8">
        <v>41129</v>
      </c>
      <c r="C876" s="8">
        <v>41133</v>
      </c>
      <c r="D876" s="7" t="s">
        <v>1476</v>
      </c>
      <c r="E876" s="7" t="s">
        <v>438</v>
      </c>
      <c r="F876" s="7" t="s">
        <v>438</v>
      </c>
      <c r="G876" s="7" t="s">
        <v>39</v>
      </c>
      <c r="H876" s="7" t="s">
        <v>2654</v>
      </c>
      <c r="I876" s="9">
        <v>87.84</v>
      </c>
      <c r="J876" s="7">
        <v>6</v>
      </c>
      <c r="K876" s="11">
        <v>0</v>
      </c>
      <c r="L876" s="9">
        <v>29.6999999999999</v>
      </c>
      <c r="M876" s="7" t="s">
        <v>17</v>
      </c>
      <c r="N876" t="str">
        <v>Bulk Order</v>
      </c>
    </row>
    <row r="877" spans="1:14">
      <c r="A877" s="7" t="s">
        <v>1486</v>
      </c>
      <c r="B877" s="8">
        <v>41338</v>
      </c>
      <c r="C877" s="8">
        <v>41340</v>
      </c>
      <c r="D877" s="7" t="s">
        <v>1476</v>
      </c>
      <c r="E877" s="7" t="s">
        <v>35</v>
      </c>
      <c r="F877" s="7" t="s">
        <v>102</v>
      </c>
      <c r="G877" s="7" t="s">
        <v>28</v>
      </c>
      <c r="H877" s="7" t="s">
        <v>2656</v>
      </c>
      <c r="I877" s="9">
        <v>33.567999999999998</v>
      </c>
      <c r="J877" s="7">
        <v>2</v>
      </c>
      <c r="K877" s="11">
        <v>0.2</v>
      </c>
      <c r="L877" s="9">
        <v>-5.4547999999999996</v>
      </c>
      <c r="M877" s="7" t="s">
        <v>32</v>
      </c>
      <c r="N877" t="str">
        <v>Normal Order</v>
      </c>
    </row>
    <row r="878" spans="1:14">
      <c r="A878" s="7" t="s">
        <v>1494</v>
      </c>
      <c r="B878" s="8">
        <v>42355</v>
      </c>
      <c r="C878" s="8">
        <v>42359</v>
      </c>
      <c r="D878" s="7" t="s">
        <v>1274</v>
      </c>
      <c r="E878" s="7" t="s">
        <v>88</v>
      </c>
      <c r="F878" s="7" t="s">
        <v>89</v>
      </c>
      <c r="G878" s="7" t="s">
        <v>28</v>
      </c>
      <c r="H878" s="7" t="s">
        <v>2655</v>
      </c>
      <c r="I878" s="9">
        <v>1697.5839999999901</v>
      </c>
      <c r="J878" s="7">
        <v>7</v>
      </c>
      <c r="K878" s="11">
        <v>0.2</v>
      </c>
      <c r="L878" s="9">
        <v>-63.755999999999801</v>
      </c>
      <c r="M878" s="7" t="s">
        <v>32</v>
      </c>
      <c r="N878" t="str">
        <v>Bulk Order</v>
      </c>
    </row>
    <row r="879" spans="1:14">
      <c r="A879" s="7" t="s">
        <v>1495</v>
      </c>
      <c r="B879" s="8">
        <v>41228</v>
      </c>
      <c r="C879" s="8">
        <v>41234</v>
      </c>
      <c r="D879" s="7" t="s">
        <v>1086</v>
      </c>
      <c r="E879" s="7" t="s">
        <v>58</v>
      </c>
      <c r="F879" s="7" t="s">
        <v>81</v>
      </c>
      <c r="G879" s="7" t="s">
        <v>28</v>
      </c>
      <c r="H879" s="7" t="s">
        <v>2654</v>
      </c>
      <c r="I879" s="9">
        <v>2063.4</v>
      </c>
      <c r="J879" s="7"/>
      <c r="K879" s="11"/>
      <c r="L879" s="9">
        <v>123.75</v>
      </c>
      <c r="M879" s="7" t="s">
        <v>65</v>
      </c>
      <c r="N879" t="str">
        <v>Normal Order</v>
      </c>
    </row>
    <row r="880" spans="1:14">
      <c r="A880" s="7" t="s">
        <v>1496</v>
      </c>
      <c r="B880" s="8">
        <v>41930</v>
      </c>
      <c r="C880" s="8">
        <v>41932</v>
      </c>
      <c r="D880" s="7" t="s">
        <v>34</v>
      </c>
      <c r="E880" s="7" t="s">
        <v>62</v>
      </c>
      <c r="F880" s="7" t="s">
        <v>63</v>
      </c>
      <c r="G880" s="7" t="s">
        <v>16</v>
      </c>
      <c r="H880" s="7" t="s">
        <v>2655</v>
      </c>
      <c r="I880" s="9">
        <v>632.04300000000001</v>
      </c>
      <c r="J880" s="7">
        <v>6</v>
      </c>
      <c r="K880" s="11">
        <v>0.15</v>
      </c>
      <c r="L880" s="9">
        <v>7.2629999999999697</v>
      </c>
      <c r="M880" s="7" t="s">
        <v>23</v>
      </c>
      <c r="N880" t="str">
        <v>Bulk Order</v>
      </c>
    </row>
    <row r="881" spans="1:14">
      <c r="A881" s="7"/>
      <c r="B881" s="7"/>
      <c r="C881" s="8">
        <v>42290</v>
      </c>
      <c r="D881" s="7" t="s">
        <v>992</v>
      </c>
      <c r="E881" s="7" t="s">
        <v>58</v>
      </c>
      <c r="F881" s="7" t="s">
        <v>81</v>
      </c>
      <c r="G881" s="7" t="s">
        <v>28</v>
      </c>
      <c r="H881" s="7" t="s">
        <v>2663</v>
      </c>
      <c r="I881" s="9">
        <v>2906.3999999999901</v>
      </c>
      <c r="J881" s="7">
        <v>7</v>
      </c>
      <c r="K881" s="11">
        <v>0</v>
      </c>
      <c r="L881" s="9">
        <v>1220.52</v>
      </c>
      <c r="M881" s="7" t="s">
        <v>32</v>
      </c>
      <c r="N881" t="str">
        <v>Bulk Order</v>
      </c>
    </row>
    <row r="882" spans="1:14">
      <c r="A882" s="7" t="s">
        <v>1497</v>
      </c>
      <c r="B882" s="8">
        <v>42087</v>
      </c>
      <c r="C882" s="7" t="s">
        <v>1498</v>
      </c>
      <c r="D882" s="7" t="s">
        <v>818</v>
      </c>
      <c r="E882" s="7" t="s">
        <v>105</v>
      </c>
      <c r="F882" s="7" t="s">
        <v>158</v>
      </c>
      <c r="G882" s="7" t="s">
        <v>28</v>
      </c>
      <c r="H882" s="7" t="s">
        <v>2657</v>
      </c>
      <c r="I882" s="9">
        <v>2572.7399999999998</v>
      </c>
      <c r="J882" s="7">
        <v>3</v>
      </c>
      <c r="K882" s="11">
        <v>0</v>
      </c>
      <c r="L882" s="9"/>
      <c r="M882" s="7" t="s">
        <v>17</v>
      </c>
      <c r="N882" t="str">
        <v>Normal Order</v>
      </c>
    </row>
    <row r="883" spans="1:14">
      <c r="A883" s="7" t="s">
        <v>1499</v>
      </c>
      <c r="B883" s="8">
        <v>42314</v>
      </c>
      <c r="C883" s="8">
        <v>42316</v>
      </c>
      <c r="D883" s="7" t="s">
        <v>1476</v>
      </c>
      <c r="E883" s="7" t="s">
        <v>35</v>
      </c>
      <c r="F883" s="7" t="s">
        <v>36</v>
      </c>
      <c r="G883" s="7" t="s">
        <v>39</v>
      </c>
      <c r="H883" s="7" t="s">
        <v>2663</v>
      </c>
      <c r="I883" s="9">
        <v>16.029999999999902</v>
      </c>
      <c r="J883" s="7">
        <v>5</v>
      </c>
      <c r="K883" s="11">
        <v>0.8</v>
      </c>
      <c r="L883" s="9">
        <v>-25.648</v>
      </c>
      <c r="M883" s="7" t="s">
        <v>23</v>
      </c>
      <c r="N883" t="str">
        <v>Normal Order</v>
      </c>
    </row>
    <row r="884" spans="1:14">
      <c r="A884" s="7" t="s">
        <v>1500</v>
      </c>
      <c r="B884" s="8">
        <v>41639</v>
      </c>
      <c r="C884" s="8">
        <v>41642</v>
      </c>
      <c r="D884" s="7" t="s">
        <v>1048</v>
      </c>
      <c r="E884" s="7" t="s">
        <v>695</v>
      </c>
      <c r="F884" s="7" t="s">
        <v>63</v>
      </c>
      <c r="G884" s="7" t="s">
        <v>39</v>
      </c>
      <c r="H884" s="7" t="s">
        <v>2658</v>
      </c>
      <c r="I884" s="9">
        <v>1583.8199999999899</v>
      </c>
      <c r="J884" s="7"/>
      <c r="K884" s="11">
        <v>0</v>
      </c>
      <c r="L884" s="9"/>
      <c r="M884" s="7" t="s">
        <v>17</v>
      </c>
      <c r="N884" t="str">
        <v>Normal Order</v>
      </c>
    </row>
    <row r="885" spans="1:14">
      <c r="A885" s="7" t="s">
        <v>1501</v>
      </c>
      <c r="B885" s="8">
        <v>42241</v>
      </c>
      <c r="C885" s="8">
        <v>42246</v>
      </c>
      <c r="D885" s="7"/>
      <c r="E885" s="7" t="s">
        <v>35</v>
      </c>
      <c r="F885" s="7" t="s">
        <v>102</v>
      </c>
      <c r="G885" s="7" t="s">
        <v>39</v>
      </c>
      <c r="H885" s="7" t="s">
        <v>2659</v>
      </c>
      <c r="I885" s="9">
        <v>24.672000000000001</v>
      </c>
      <c r="J885" s="7">
        <v>4</v>
      </c>
      <c r="K885" s="11">
        <v>0.2</v>
      </c>
      <c r="L885" s="9"/>
      <c r="M885" s="7" t="s">
        <v>17</v>
      </c>
      <c r="N885" t="str">
        <v>Normal Order</v>
      </c>
    </row>
    <row r="886" spans="1:14">
      <c r="A886" s="7"/>
      <c r="B886" s="8">
        <v>42241</v>
      </c>
      <c r="C886" s="7" t="s">
        <v>1502</v>
      </c>
      <c r="D886" s="7" t="s">
        <v>1476</v>
      </c>
      <c r="E886" s="7" t="s">
        <v>35</v>
      </c>
      <c r="F886" s="7" t="s">
        <v>102</v>
      </c>
      <c r="G886" s="7" t="s">
        <v>1095</v>
      </c>
      <c r="H886" s="7" t="s">
        <v>2661</v>
      </c>
      <c r="I886" s="9">
        <v>3.74399999999999</v>
      </c>
      <c r="J886" s="7"/>
      <c r="K886" s="11">
        <v>0.2</v>
      </c>
      <c r="L886" s="9">
        <v>1.3104</v>
      </c>
      <c r="M886" s="7" t="s">
        <v>17</v>
      </c>
      <c r="N886" t="str">
        <v>Normal Order</v>
      </c>
    </row>
    <row r="887" spans="1:14">
      <c r="A887" s="7" t="s">
        <v>1503</v>
      </c>
      <c r="B887" s="8">
        <v>42251</v>
      </c>
      <c r="C887" s="8">
        <v>42107</v>
      </c>
      <c r="D887" s="7" t="s">
        <v>1504</v>
      </c>
      <c r="E887" s="7" t="s">
        <v>14</v>
      </c>
      <c r="F887" s="7" t="s">
        <v>15</v>
      </c>
      <c r="G887" s="7" t="s">
        <v>28</v>
      </c>
      <c r="H887" s="7" t="s">
        <v>2655</v>
      </c>
      <c r="I887" s="9">
        <v>1656.71999999999</v>
      </c>
      <c r="J887" s="7">
        <v>4</v>
      </c>
      <c r="K887" s="11">
        <v>0.1</v>
      </c>
      <c r="L887" s="9">
        <v>-110.519999999999</v>
      </c>
      <c r="M887" s="7" t="s">
        <v>32</v>
      </c>
      <c r="N887" t="str">
        <v>Normal Order</v>
      </c>
    </row>
    <row r="888" spans="1:14">
      <c r="A888" s="7" t="s">
        <v>1506</v>
      </c>
      <c r="B888" s="8">
        <v>42281</v>
      </c>
      <c r="C888" s="8">
        <v>42282</v>
      </c>
      <c r="D888" s="7"/>
      <c r="E888" s="7" t="s">
        <v>14</v>
      </c>
      <c r="F888" s="7" t="s">
        <v>15</v>
      </c>
      <c r="G888" s="7" t="s">
        <v>16</v>
      </c>
      <c r="H888" s="7" t="s">
        <v>2661</v>
      </c>
      <c r="I888" s="9">
        <v>2015.4960000000001</v>
      </c>
      <c r="J888" s="7">
        <v>7</v>
      </c>
      <c r="K888" s="11">
        <v>0.1</v>
      </c>
      <c r="L888" s="9">
        <v>850.83600000000001</v>
      </c>
      <c r="M888" s="7" t="s">
        <v>17</v>
      </c>
      <c r="N888" t="str">
        <v>Bulk Order</v>
      </c>
    </row>
    <row r="889" spans="1:14">
      <c r="A889" s="7" t="s">
        <v>1507</v>
      </c>
      <c r="B889" s="8">
        <v>41588</v>
      </c>
      <c r="C889" s="8">
        <v>41595</v>
      </c>
      <c r="D889" s="7" t="s">
        <v>207</v>
      </c>
      <c r="E889" s="7" t="s">
        <v>186</v>
      </c>
      <c r="F889" s="7" t="s">
        <v>1508</v>
      </c>
      <c r="G889" s="7" t="s">
        <v>16</v>
      </c>
      <c r="H889" s="7" t="s">
        <v>2655</v>
      </c>
      <c r="I889" s="9">
        <v>2219.1840000000002</v>
      </c>
      <c r="J889" s="7">
        <v>8</v>
      </c>
      <c r="K889" s="11"/>
      <c r="L889" s="9">
        <v>24.623999999999999</v>
      </c>
      <c r="M889" s="7" t="s">
        <v>17</v>
      </c>
      <c r="N889" t="str">
        <v>Bulk Order</v>
      </c>
    </row>
    <row r="890" spans="1:14">
      <c r="A890" s="7" t="s">
        <v>1509</v>
      </c>
      <c r="B890" s="8">
        <v>42294</v>
      </c>
      <c r="C890" s="7" t="s">
        <v>1510</v>
      </c>
      <c r="D890" s="7" t="s">
        <v>1511</v>
      </c>
      <c r="E890" s="7" t="s">
        <v>27</v>
      </c>
      <c r="F890" s="7" t="s">
        <v>15</v>
      </c>
      <c r="G890" s="7" t="s">
        <v>16</v>
      </c>
      <c r="H890" s="7" t="s">
        <v>2657</v>
      </c>
      <c r="I890" s="9"/>
      <c r="J890" s="7">
        <v>8</v>
      </c>
      <c r="K890" s="11">
        <v>0</v>
      </c>
      <c r="L890" s="9"/>
      <c r="M890" s="7" t="s">
        <v>17</v>
      </c>
      <c r="N890" t="str">
        <v>Bulk Order</v>
      </c>
    </row>
    <row r="891" spans="1:14">
      <c r="A891" s="7" t="s">
        <v>1512</v>
      </c>
      <c r="B891" s="8">
        <v>42342</v>
      </c>
      <c r="C891" s="8">
        <v>42345</v>
      </c>
      <c r="D891" s="7" t="s">
        <v>1513</v>
      </c>
      <c r="E891" s="7" t="s">
        <v>88</v>
      </c>
      <c r="F891" s="7" t="s">
        <v>89</v>
      </c>
      <c r="G891" s="7" t="s">
        <v>28</v>
      </c>
      <c r="H891" s="7" t="s">
        <v>2662</v>
      </c>
      <c r="I891" s="9">
        <v>1410.3999999999901</v>
      </c>
      <c r="J891" s="7">
        <v>5</v>
      </c>
      <c r="K891" s="11">
        <v>0.2</v>
      </c>
      <c r="L891" s="9">
        <v>-88.199999999999903</v>
      </c>
      <c r="M891" s="7" t="s">
        <v>23</v>
      </c>
      <c r="N891" t="str">
        <v>Normal Order</v>
      </c>
    </row>
    <row r="892" spans="1:14">
      <c r="A892" s="7"/>
      <c r="B892" s="8">
        <v>41572</v>
      </c>
      <c r="C892" s="8">
        <v>41572</v>
      </c>
      <c r="D892" s="7" t="s">
        <v>847</v>
      </c>
      <c r="E892" s="7" t="s">
        <v>542</v>
      </c>
      <c r="F892" s="7" t="s">
        <v>81</v>
      </c>
      <c r="G892" s="7" t="s">
        <v>28</v>
      </c>
      <c r="H892" s="7" t="s">
        <v>2657</v>
      </c>
      <c r="I892" s="9">
        <v>1773.72</v>
      </c>
      <c r="J892" s="7">
        <v>5</v>
      </c>
      <c r="K892" s="11">
        <v>0.2</v>
      </c>
      <c r="L892" s="9">
        <v>44.219999999999899</v>
      </c>
      <c r="M892" s="7" t="s">
        <v>32</v>
      </c>
      <c r="N892" t="str">
        <v>Normal Order</v>
      </c>
    </row>
    <row r="893" spans="1:14">
      <c r="A893" s="7" t="s">
        <v>1514</v>
      </c>
      <c r="B893" s="8">
        <v>41172</v>
      </c>
      <c r="C893" s="8">
        <v>41177</v>
      </c>
      <c r="D893" s="7" t="s">
        <v>1397</v>
      </c>
      <c r="E893" s="7" t="s">
        <v>1515</v>
      </c>
      <c r="F893" s="7" t="s">
        <v>22</v>
      </c>
      <c r="G893" s="7" t="s">
        <v>16</v>
      </c>
      <c r="H893" s="7" t="s">
        <v>2658</v>
      </c>
      <c r="I893" s="9">
        <v>1377.8999999999901</v>
      </c>
      <c r="J893" s="7">
        <v>10</v>
      </c>
      <c r="K893" s="11">
        <v>0</v>
      </c>
      <c r="L893" s="9">
        <v>289.2</v>
      </c>
      <c r="M893" s="7" t="s">
        <v>32</v>
      </c>
      <c r="N893" t="str">
        <v>Bulk Order</v>
      </c>
    </row>
    <row r="894" spans="1:14">
      <c r="A894" s="7" t="s">
        <v>1516</v>
      </c>
      <c r="B894" s="8">
        <v>41223</v>
      </c>
      <c r="C894" s="8">
        <v>41230</v>
      </c>
      <c r="D894" s="7" t="s">
        <v>721</v>
      </c>
      <c r="E894" s="7" t="s">
        <v>88</v>
      </c>
      <c r="F894" s="7" t="s">
        <v>89</v>
      </c>
      <c r="G894" s="7" t="s">
        <v>16</v>
      </c>
      <c r="H894" s="7" t="s">
        <v>2658</v>
      </c>
      <c r="I894" s="9">
        <v>2582.16</v>
      </c>
      <c r="J894" s="7">
        <v>6</v>
      </c>
      <c r="K894" s="11">
        <v>0</v>
      </c>
      <c r="L894" s="9">
        <v>516.36</v>
      </c>
      <c r="M894" s="7" t="s">
        <v>17</v>
      </c>
      <c r="N894" t="str">
        <v>Bulk Order</v>
      </c>
    </row>
    <row r="895" spans="1:14">
      <c r="A895" s="7" t="s">
        <v>1517</v>
      </c>
      <c r="B895" s="8">
        <v>41615</v>
      </c>
      <c r="C895" s="8">
        <v>41617</v>
      </c>
      <c r="D895" s="7"/>
      <c r="E895" s="7" t="s">
        <v>35</v>
      </c>
      <c r="F895" s="7" t="s">
        <v>102</v>
      </c>
      <c r="G895" s="7" t="s">
        <v>16</v>
      </c>
      <c r="H895" s="7" t="s">
        <v>2656</v>
      </c>
      <c r="I895" s="9">
        <v>773.94</v>
      </c>
      <c r="J895" s="7">
        <v>6</v>
      </c>
      <c r="K895" s="11">
        <v>0</v>
      </c>
      <c r="L895" s="9">
        <v>224.4426</v>
      </c>
      <c r="M895" s="7" t="s">
        <v>17</v>
      </c>
      <c r="N895" t="str">
        <v>Bulk Order</v>
      </c>
    </row>
    <row r="896" spans="1:14">
      <c r="A896" s="7" t="s">
        <v>1518</v>
      </c>
      <c r="B896" s="8">
        <v>41346</v>
      </c>
      <c r="C896" s="8">
        <v>41348</v>
      </c>
      <c r="D896" s="7" t="s">
        <v>919</v>
      </c>
      <c r="E896" s="7" t="s">
        <v>62</v>
      </c>
      <c r="F896" s="7" t="s">
        <v>63</v>
      </c>
      <c r="G896" s="7" t="s">
        <v>16</v>
      </c>
      <c r="H896" s="7" t="s">
        <v>2656</v>
      </c>
      <c r="I896" s="9">
        <v>1257.4559999999999</v>
      </c>
      <c r="J896" s="7">
        <v>8</v>
      </c>
      <c r="K896" s="11">
        <v>0.15</v>
      </c>
      <c r="L896" s="9">
        <v>-29.664000000000001</v>
      </c>
      <c r="M896" s="7" t="s">
        <v>32</v>
      </c>
      <c r="N896" t="str">
        <v>Bulk Order</v>
      </c>
    </row>
    <row r="897" spans="1:14">
      <c r="A897" s="7" t="s">
        <v>1519</v>
      </c>
      <c r="B897" s="8">
        <v>42363</v>
      </c>
      <c r="C897" s="8">
        <v>42370</v>
      </c>
      <c r="D897" s="7" t="s">
        <v>1195</v>
      </c>
      <c r="E897" s="7" t="s">
        <v>35</v>
      </c>
      <c r="F897" s="7" t="s">
        <v>38</v>
      </c>
      <c r="G897" s="7" t="s">
        <v>39</v>
      </c>
      <c r="H897" s="7" t="s">
        <v>2655</v>
      </c>
      <c r="I897" s="9">
        <v>1003.62</v>
      </c>
      <c r="J897" s="7">
        <v>6</v>
      </c>
      <c r="K897" s="11">
        <v>0</v>
      </c>
      <c r="L897" s="9">
        <v>0</v>
      </c>
      <c r="M897" s="7" t="s">
        <v>65</v>
      </c>
      <c r="N897" t="str">
        <v>Bulk Order</v>
      </c>
    </row>
    <row r="898" spans="1:14">
      <c r="A898" s="7" t="s">
        <v>1520</v>
      </c>
      <c r="B898" s="8">
        <v>41271</v>
      </c>
      <c r="C898" s="8">
        <v>41273</v>
      </c>
      <c r="D898" s="7" t="s">
        <v>1521</v>
      </c>
      <c r="E898" s="7" t="s">
        <v>200</v>
      </c>
      <c r="F898" s="7" t="s">
        <v>89</v>
      </c>
      <c r="G898" s="7" t="s">
        <v>28</v>
      </c>
      <c r="H898" s="7" t="s">
        <v>2656</v>
      </c>
      <c r="I898" s="9">
        <v>2429.4399999999901</v>
      </c>
      <c r="J898" s="7">
        <v>8</v>
      </c>
      <c r="K898" s="11">
        <v>0</v>
      </c>
      <c r="L898" s="9">
        <v>534.4</v>
      </c>
      <c r="M898" s="7" t="s">
        <v>17</v>
      </c>
      <c r="N898" t="str">
        <v>Bulk Order</v>
      </c>
    </row>
    <row r="899" spans="1:14">
      <c r="A899" s="7" t="s">
        <v>1522</v>
      </c>
      <c r="B899" s="8">
        <v>42291</v>
      </c>
      <c r="C899" s="8">
        <v>42293</v>
      </c>
      <c r="D899" s="7" t="s">
        <v>1195</v>
      </c>
      <c r="E899" s="7" t="s">
        <v>35</v>
      </c>
      <c r="F899" s="7" t="s">
        <v>142</v>
      </c>
      <c r="G899" s="7" t="s">
        <v>39</v>
      </c>
      <c r="H899" s="7" t="s">
        <v>2656</v>
      </c>
      <c r="I899" s="9">
        <v>348.56</v>
      </c>
      <c r="J899" s="7">
        <v>8</v>
      </c>
      <c r="K899" s="11">
        <v>0</v>
      </c>
      <c r="L899" s="9">
        <v>104.567999999999</v>
      </c>
      <c r="M899" s="7" t="s">
        <v>32</v>
      </c>
      <c r="N899" t="str">
        <v>Bulk Order</v>
      </c>
    </row>
    <row r="900" spans="1:14">
      <c r="A900" s="7" t="s">
        <v>1523</v>
      </c>
      <c r="B900" s="8">
        <v>42032</v>
      </c>
      <c r="C900" s="7"/>
      <c r="D900" s="7" t="s">
        <v>1524</v>
      </c>
      <c r="E900" s="7" t="s">
        <v>62</v>
      </c>
      <c r="F900" s="7" t="s">
        <v>63</v>
      </c>
      <c r="G900" s="7" t="s">
        <v>28</v>
      </c>
      <c r="H900" s="7" t="s">
        <v>2655</v>
      </c>
      <c r="I900" s="9">
        <v>977.02200000000005</v>
      </c>
      <c r="J900" s="7">
        <v>3</v>
      </c>
      <c r="K900" s="11">
        <v>0.1</v>
      </c>
      <c r="L900" s="9">
        <v>271.33199999999999</v>
      </c>
      <c r="M900" s="7" t="s">
        <v>65</v>
      </c>
      <c r="N900" t="str">
        <v>Normal Order</v>
      </c>
    </row>
    <row r="901" spans="1:14">
      <c r="A901" s="7" t="s">
        <v>1525</v>
      </c>
      <c r="B901" s="8">
        <v>41956</v>
      </c>
      <c r="C901" s="8">
        <v>41961</v>
      </c>
      <c r="D901" s="7" t="s">
        <v>1526</v>
      </c>
      <c r="E901" s="7" t="s">
        <v>62</v>
      </c>
      <c r="F901" s="7" t="s">
        <v>63</v>
      </c>
      <c r="G901" s="7" t="s">
        <v>28</v>
      </c>
      <c r="H901" s="7" t="s">
        <v>2656</v>
      </c>
      <c r="I901" s="9">
        <v>2891.6999999999898</v>
      </c>
      <c r="J901" s="7">
        <v>7</v>
      </c>
      <c r="K901" s="11">
        <v>0.1</v>
      </c>
      <c r="L901" s="9">
        <v>1188.81</v>
      </c>
      <c r="M901" s="7" t="s">
        <v>17</v>
      </c>
      <c r="N901" t="str">
        <v>Bulk Order</v>
      </c>
    </row>
    <row r="902" spans="1:14">
      <c r="A902" s="7" t="s">
        <v>1527</v>
      </c>
      <c r="B902" s="8">
        <v>42250</v>
      </c>
      <c r="C902" s="8">
        <v>42254</v>
      </c>
      <c r="D902" s="7" t="s">
        <v>1195</v>
      </c>
      <c r="E902" s="7" t="s">
        <v>35</v>
      </c>
      <c r="F902" s="7" t="s">
        <v>142</v>
      </c>
      <c r="G902" s="7" t="s">
        <v>39</v>
      </c>
      <c r="H902" s="7" t="s">
        <v>2663</v>
      </c>
      <c r="I902" s="9">
        <v>1577.94</v>
      </c>
      <c r="J902" s="7">
        <v>3</v>
      </c>
      <c r="K902" s="11">
        <v>0</v>
      </c>
      <c r="L902" s="9">
        <v>757.41120000000001</v>
      </c>
      <c r="M902" s="7" t="s">
        <v>17</v>
      </c>
      <c r="N902" t="str">
        <v>Normal Order</v>
      </c>
    </row>
    <row r="903" spans="1:14">
      <c r="A903" s="7" t="s">
        <v>1528</v>
      </c>
      <c r="B903" s="8">
        <v>41501</v>
      </c>
      <c r="C903" s="8">
        <v>41505</v>
      </c>
      <c r="D903" s="7" t="s">
        <v>1529</v>
      </c>
      <c r="E903" s="7" t="s">
        <v>14</v>
      </c>
      <c r="F903" s="7" t="s">
        <v>15</v>
      </c>
      <c r="G903" s="7" t="s">
        <v>16</v>
      </c>
      <c r="H903" s="7" t="s">
        <v>2655</v>
      </c>
      <c r="I903" s="9">
        <v>2042.82</v>
      </c>
      <c r="J903" s="7">
        <v>6</v>
      </c>
      <c r="K903" s="11">
        <v>0.1</v>
      </c>
      <c r="L903" s="9">
        <v>-136.26</v>
      </c>
      <c r="M903" s="7" t="s">
        <v>32</v>
      </c>
      <c r="N903" t="str">
        <v>Bulk Order</v>
      </c>
    </row>
    <row r="904" spans="1:14">
      <c r="A904" s="7" t="s">
        <v>1530</v>
      </c>
      <c r="B904" s="8">
        <v>42199</v>
      </c>
      <c r="C904" s="8">
        <v>42201</v>
      </c>
      <c r="D904" s="7" t="s">
        <v>113</v>
      </c>
      <c r="E904" s="7" t="s">
        <v>52</v>
      </c>
      <c r="F904" s="7" t="s">
        <v>53</v>
      </c>
      <c r="G904" s="7" t="s">
        <v>16</v>
      </c>
      <c r="H904" s="7" t="s">
        <v>2661</v>
      </c>
      <c r="I904" s="9">
        <v>997.80039999999894</v>
      </c>
      <c r="J904" s="7">
        <v>5</v>
      </c>
      <c r="K904" s="11">
        <v>2E-3</v>
      </c>
      <c r="L904" s="9">
        <v>327.90039999999999</v>
      </c>
      <c r="M904" s="7" t="s">
        <v>32</v>
      </c>
      <c r="N904" t="str">
        <v>Normal Order</v>
      </c>
    </row>
    <row r="905" spans="1:14">
      <c r="A905" s="7" t="s">
        <v>1531</v>
      </c>
      <c r="B905" s="8">
        <v>41286</v>
      </c>
      <c r="C905" s="8">
        <v>41291</v>
      </c>
      <c r="D905" s="7" t="s">
        <v>1089</v>
      </c>
      <c r="E905" s="7" t="s">
        <v>14</v>
      </c>
      <c r="F905" s="7" t="s">
        <v>15</v>
      </c>
      <c r="G905" s="7" t="s">
        <v>16</v>
      </c>
      <c r="H905" s="7" t="s">
        <v>2657</v>
      </c>
      <c r="I905" s="9">
        <v>1411.3440000000001</v>
      </c>
      <c r="J905" s="7"/>
      <c r="K905" s="11">
        <v>0.1</v>
      </c>
      <c r="L905" s="9">
        <v>486.05399999999901</v>
      </c>
      <c r="M905" s="7" t="s">
        <v>32</v>
      </c>
      <c r="N905" t="str">
        <v>Normal Order</v>
      </c>
    </row>
    <row r="906" spans="1:14">
      <c r="A906" s="7" t="s">
        <v>1532</v>
      </c>
      <c r="B906" s="8">
        <v>41389</v>
      </c>
      <c r="C906" s="8">
        <v>41389</v>
      </c>
      <c r="D906" s="7" t="s">
        <v>832</v>
      </c>
      <c r="E906" s="7" t="s">
        <v>157</v>
      </c>
      <c r="F906" s="7" t="s">
        <v>106</v>
      </c>
      <c r="G906" s="7" t="s">
        <v>28</v>
      </c>
      <c r="H906" s="7" t="s">
        <v>2657</v>
      </c>
      <c r="I906" s="9">
        <v>1647</v>
      </c>
      <c r="J906" s="7">
        <v>4</v>
      </c>
      <c r="K906" s="11">
        <v>0</v>
      </c>
      <c r="L906" s="9">
        <v>625.79999999999995</v>
      </c>
      <c r="M906" s="7" t="s">
        <v>32</v>
      </c>
      <c r="N906" t="str">
        <v>Normal Order</v>
      </c>
    </row>
    <row r="907" spans="1:14">
      <c r="A907" s="7" t="s">
        <v>1533</v>
      </c>
      <c r="B907" s="10">
        <v>41653</v>
      </c>
      <c r="C907" s="8">
        <v>41929</v>
      </c>
      <c r="D907" s="7" t="s">
        <v>1268</v>
      </c>
      <c r="E907" s="7" t="s">
        <v>14</v>
      </c>
      <c r="F907" s="7" t="s">
        <v>15</v>
      </c>
      <c r="G907" s="7" t="s">
        <v>28</v>
      </c>
      <c r="H907" s="7" t="s">
        <v>2662</v>
      </c>
      <c r="I907" s="9">
        <v>1313.712</v>
      </c>
      <c r="J907" s="7">
        <v>4</v>
      </c>
      <c r="K907" s="11"/>
      <c r="L907" s="9">
        <v>102.072</v>
      </c>
      <c r="M907" s="7" t="s">
        <v>17</v>
      </c>
      <c r="N907" t="str">
        <v>Normal Order</v>
      </c>
    </row>
    <row r="908" spans="1:14">
      <c r="A908" s="7" t="s">
        <v>1534</v>
      </c>
      <c r="B908" s="8">
        <v>41460</v>
      </c>
      <c r="C908" s="8">
        <v>41404</v>
      </c>
      <c r="D908" s="7" t="s">
        <v>302</v>
      </c>
      <c r="E908" s="7" t="s">
        <v>14</v>
      </c>
      <c r="F908" s="7" t="s">
        <v>15</v>
      </c>
      <c r="G908" s="7" t="s">
        <v>16</v>
      </c>
      <c r="H908" s="7" t="s">
        <v>2663</v>
      </c>
      <c r="I908" s="9">
        <v>972.56700000000001</v>
      </c>
      <c r="J908" s="7">
        <v>3</v>
      </c>
      <c r="K908" s="11"/>
      <c r="L908" s="9">
        <v>194.42699999999999</v>
      </c>
      <c r="M908" s="7" t="s">
        <v>32</v>
      </c>
      <c r="N908" t="str">
        <v>Normal Order</v>
      </c>
    </row>
    <row r="909" spans="1:14">
      <c r="A909" s="7" t="s">
        <v>1535</v>
      </c>
      <c r="B909" s="8">
        <v>41128</v>
      </c>
      <c r="C909" s="8">
        <v>41128</v>
      </c>
      <c r="D909" s="7" t="s">
        <v>852</v>
      </c>
      <c r="E909" s="7" t="s">
        <v>58</v>
      </c>
      <c r="F909" s="7" t="s">
        <v>81</v>
      </c>
      <c r="G909" s="7" t="s">
        <v>16</v>
      </c>
      <c r="H909" s="7" t="s">
        <v>2657</v>
      </c>
      <c r="I909" s="9">
        <v>1273.56</v>
      </c>
      <c r="J909" s="7">
        <v>4</v>
      </c>
      <c r="K909" s="11">
        <v>0</v>
      </c>
      <c r="L909" s="9">
        <v>573</v>
      </c>
      <c r="M909" s="7" t="s">
        <v>17</v>
      </c>
      <c r="N909" t="str">
        <v>Normal Order</v>
      </c>
    </row>
    <row r="910" spans="1:14">
      <c r="A910" s="7" t="s">
        <v>1536</v>
      </c>
      <c r="B910" s="8">
        <v>41259</v>
      </c>
      <c r="C910" s="8">
        <v>41263</v>
      </c>
      <c r="D910" s="7" t="s">
        <v>1537</v>
      </c>
      <c r="E910" s="7" t="s">
        <v>20</v>
      </c>
      <c r="F910" s="7" t="s">
        <v>63</v>
      </c>
      <c r="G910" s="7" t="s">
        <v>16</v>
      </c>
      <c r="H910" s="7" t="s">
        <v>2663</v>
      </c>
      <c r="I910" s="9">
        <v>1908.18</v>
      </c>
      <c r="J910" s="7">
        <v>3</v>
      </c>
      <c r="K910" s="11">
        <v>0</v>
      </c>
      <c r="L910" s="9">
        <v>820.44</v>
      </c>
      <c r="M910" s="7" t="s">
        <v>17</v>
      </c>
      <c r="N910" t="str">
        <v>Normal Order</v>
      </c>
    </row>
    <row r="911" spans="1:14">
      <c r="A911" s="7" t="s">
        <v>1538</v>
      </c>
      <c r="B911" s="7"/>
      <c r="C911" s="8">
        <v>42336</v>
      </c>
      <c r="D911" s="7" t="s">
        <v>1195</v>
      </c>
      <c r="E911" s="7" t="s">
        <v>35</v>
      </c>
      <c r="F911" s="7" t="s">
        <v>36</v>
      </c>
      <c r="G911" s="7" t="s">
        <v>16</v>
      </c>
      <c r="H911" s="7" t="s">
        <v>2657</v>
      </c>
      <c r="I911" s="9">
        <v>195.96</v>
      </c>
      <c r="J911" s="7">
        <v>5</v>
      </c>
      <c r="K911" s="11">
        <v>0.2</v>
      </c>
      <c r="L911" s="9">
        <v>19.596</v>
      </c>
      <c r="M911" s="7" t="s">
        <v>32</v>
      </c>
      <c r="N911" t="str">
        <v>Normal Order</v>
      </c>
    </row>
    <row r="912" spans="1:14">
      <c r="A912" s="7" t="s">
        <v>1539</v>
      </c>
      <c r="B912" s="8">
        <v>41227</v>
      </c>
      <c r="C912" s="8">
        <v>41231</v>
      </c>
      <c r="D912" s="7" t="s">
        <v>1540</v>
      </c>
      <c r="E912" s="7" t="s">
        <v>14</v>
      </c>
      <c r="F912" s="7" t="s">
        <v>15</v>
      </c>
      <c r="G912" s="7" t="s">
        <v>28</v>
      </c>
      <c r="H912" s="7" t="s">
        <v>2656</v>
      </c>
      <c r="I912" s="9">
        <v>2398.3739999999998</v>
      </c>
      <c r="J912" s="7">
        <v>11</v>
      </c>
      <c r="K912" s="11">
        <v>0.4</v>
      </c>
      <c r="L912" s="9">
        <v>-1479.126</v>
      </c>
      <c r="M912" s="7"/>
      <c r="N912" t="str">
        <v>Bulk Order</v>
      </c>
    </row>
    <row r="913" spans="1:14">
      <c r="A913" s="7" t="s">
        <v>1541</v>
      </c>
      <c r="B913" s="8">
        <v>41583</v>
      </c>
      <c r="C913" s="8">
        <v>41586</v>
      </c>
      <c r="D913" s="7" t="s">
        <v>1542</v>
      </c>
      <c r="E913" s="7" t="s">
        <v>193</v>
      </c>
      <c r="F913" s="7" t="s">
        <v>78</v>
      </c>
      <c r="G913" s="7" t="s">
        <v>612</v>
      </c>
      <c r="H913" s="7" t="s">
        <v>2658</v>
      </c>
      <c r="I913" s="9">
        <v>680.28</v>
      </c>
      <c r="J913" s="7">
        <v>4</v>
      </c>
      <c r="K913" s="11">
        <v>0</v>
      </c>
      <c r="L913" s="9">
        <v>231.24</v>
      </c>
      <c r="M913" s="7" t="s">
        <v>23</v>
      </c>
      <c r="N913" t="str">
        <v>Normal Order</v>
      </c>
    </row>
    <row r="914" spans="1:14">
      <c r="A914" s="7" t="s">
        <v>1543</v>
      </c>
      <c r="B914" s="8">
        <v>41280</v>
      </c>
      <c r="C914" s="8">
        <v>41283</v>
      </c>
      <c r="D914" s="7" t="s">
        <v>545</v>
      </c>
      <c r="E914" s="7" t="s">
        <v>1236</v>
      </c>
      <c r="F914" s="7" t="s">
        <v>85</v>
      </c>
      <c r="G914" s="7" t="s">
        <v>16</v>
      </c>
      <c r="H914" s="7" t="s">
        <v>2663</v>
      </c>
      <c r="I914" s="9">
        <v>964.07999999999902</v>
      </c>
      <c r="J914" s="7">
        <v>3</v>
      </c>
      <c r="K914" s="11">
        <v>0</v>
      </c>
      <c r="L914" s="9">
        <v>337.409999999999</v>
      </c>
      <c r="M914" s="7" t="s">
        <v>17</v>
      </c>
      <c r="N914" t="str">
        <v>Normal Order</v>
      </c>
    </row>
    <row r="915" spans="1:14">
      <c r="A915" s="7" t="s">
        <v>1544</v>
      </c>
      <c r="B915" s="8">
        <v>41241</v>
      </c>
      <c r="C915" s="8">
        <v>41248</v>
      </c>
      <c r="D915" s="7" t="s">
        <v>1195</v>
      </c>
      <c r="E915" s="7" t="s">
        <v>35</v>
      </c>
      <c r="F915" s="7" t="s">
        <v>38</v>
      </c>
      <c r="G915" s="7" t="s">
        <v>16</v>
      </c>
      <c r="H915" s="7" t="s">
        <v>2662</v>
      </c>
      <c r="I915" s="9">
        <v>575.91999999999996</v>
      </c>
      <c r="J915" s="7"/>
      <c r="K915" s="11">
        <v>0.2</v>
      </c>
      <c r="L915" s="9">
        <v>71.989999999999895</v>
      </c>
      <c r="M915" s="7" t="s">
        <v>17</v>
      </c>
      <c r="N915" t="str">
        <v>Normal Order</v>
      </c>
    </row>
    <row r="916" spans="1:14">
      <c r="A916" s="7" t="s">
        <v>1545</v>
      </c>
      <c r="B916" s="8">
        <v>41174</v>
      </c>
      <c r="C916" s="8">
        <v>41178</v>
      </c>
      <c r="D916" s="7" t="s">
        <v>1546</v>
      </c>
      <c r="E916" s="7" t="s">
        <v>14</v>
      </c>
      <c r="F916" s="7" t="s">
        <v>1547</v>
      </c>
      <c r="G916" s="7" t="s">
        <v>16</v>
      </c>
      <c r="H916" s="7" t="s">
        <v>2657</v>
      </c>
      <c r="I916" s="9"/>
      <c r="J916" s="7">
        <v>5</v>
      </c>
      <c r="K916" s="11">
        <v>0.1</v>
      </c>
      <c r="L916" s="9">
        <v>588.73500000000001</v>
      </c>
      <c r="M916" s="7" t="s">
        <v>32</v>
      </c>
      <c r="N916" t="str">
        <v>Normal Order</v>
      </c>
    </row>
    <row r="917" spans="1:14">
      <c r="A917" s="7" t="s">
        <v>1548</v>
      </c>
      <c r="B917" s="8">
        <v>41514</v>
      </c>
      <c r="C917" s="8">
        <v>41516</v>
      </c>
      <c r="D917" s="7" t="s">
        <v>947</v>
      </c>
      <c r="E917" s="7" t="s">
        <v>840</v>
      </c>
      <c r="F917" s="7" t="s">
        <v>49</v>
      </c>
      <c r="G917" s="7" t="s">
        <v>28</v>
      </c>
      <c r="H917" s="7" t="s">
        <v>2662</v>
      </c>
      <c r="I917" s="9">
        <v>929.34</v>
      </c>
      <c r="J917" s="7"/>
      <c r="K917" s="11">
        <v>0</v>
      </c>
      <c r="L917" s="9">
        <v>65.039999999999907</v>
      </c>
      <c r="M917" s="7" t="s">
        <v>17</v>
      </c>
      <c r="N917" t="str">
        <v>Normal Order</v>
      </c>
    </row>
    <row r="918" spans="1:14">
      <c r="A918" s="7" t="s">
        <v>1549</v>
      </c>
      <c r="B918" s="8">
        <v>42072</v>
      </c>
      <c r="C918" s="8">
        <v>42079</v>
      </c>
      <c r="D918" s="7" t="s">
        <v>1195</v>
      </c>
      <c r="E918" s="7" t="s">
        <v>35</v>
      </c>
      <c r="F918" s="7" t="s">
        <v>38</v>
      </c>
      <c r="G918" s="7" t="s">
        <v>39</v>
      </c>
      <c r="H918" s="7" t="s">
        <v>2657</v>
      </c>
      <c r="I918" s="9">
        <v>171.2</v>
      </c>
      <c r="J918" s="7">
        <v>5</v>
      </c>
      <c r="K918" s="11">
        <v>0.2</v>
      </c>
      <c r="L918" s="9">
        <v>64.199999999999903</v>
      </c>
      <c r="M918" s="7" t="s">
        <v>17</v>
      </c>
      <c r="N918" t="str">
        <v>Normal Order</v>
      </c>
    </row>
    <row r="919" spans="1:14">
      <c r="A919" s="7" t="s">
        <v>1550</v>
      </c>
      <c r="B919" s="8">
        <v>41588</v>
      </c>
      <c r="C919" s="8">
        <v>41593</v>
      </c>
      <c r="D919" s="7" t="s">
        <v>1195</v>
      </c>
      <c r="E919" s="7" t="s">
        <v>35</v>
      </c>
      <c r="F919" s="7" t="s">
        <v>38</v>
      </c>
      <c r="G919" s="7" t="s">
        <v>16</v>
      </c>
      <c r="H919" s="7" t="s">
        <v>2658</v>
      </c>
      <c r="I919" s="9">
        <v>79.900000000000006</v>
      </c>
      <c r="J919" s="7">
        <v>2</v>
      </c>
      <c r="K919" s="11">
        <v>0</v>
      </c>
      <c r="L919" s="9">
        <v>35.155999999999999</v>
      </c>
      <c r="M919" s="7" t="s">
        <v>17</v>
      </c>
      <c r="N919" t="str">
        <v>Normal Order</v>
      </c>
    </row>
    <row r="920" spans="1:14">
      <c r="A920" s="7" t="s">
        <v>1551</v>
      </c>
      <c r="B920" s="7"/>
      <c r="C920" s="8">
        <v>42176</v>
      </c>
      <c r="D920" s="7" t="s">
        <v>1552</v>
      </c>
      <c r="E920" s="7" t="s">
        <v>14</v>
      </c>
      <c r="F920" s="7" t="s">
        <v>15</v>
      </c>
      <c r="G920" s="7" t="s">
        <v>16</v>
      </c>
      <c r="H920" s="7" t="s">
        <v>2654</v>
      </c>
      <c r="I920" s="9">
        <v>2383.857</v>
      </c>
      <c r="J920" s="7">
        <v>7</v>
      </c>
      <c r="K920" s="11"/>
      <c r="L920" s="9">
        <v>794.577</v>
      </c>
      <c r="M920" s="7" t="s">
        <v>32</v>
      </c>
      <c r="N920" t="str">
        <v>Bulk Order</v>
      </c>
    </row>
    <row r="921" spans="1:14">
      <c r="A921" s="7" t="s">
        <v>1553</v>
      </c>
      <c r="B921" s="8">
        <v>41430</v>
      </c>
      <c r="C921" s="8">
        <v>41436</v>
      </c>
      <c r="D921" s="7" t="s">
        <v>1554</v>
      </c>
      <c r="E921" s="7" t="s">
        <v>84</v>
      </c>
      <c r="F921" s="7" t="s">
        <v>85</v>
      </c>
      <c r="G921" s="7" t="s">
        <v>16</v>
      </c>
      <c r="H921" s="7" t="s">
        <v>2657</v>
      </c>
      <c r="I921" s="9">
        <v>1891.5</v>
      </c>
      <c r="J921" s="7">
        <v>5</v>
      </c>
      <c r="K921" s="11">
        <v>0</v>
      </c>
      <c r="L921" s="9">
        <v>832.2</v>
      </c>
      <c r="M921" s="7" t="s">
        <v>17</v>
      </c>
      <c r="N921" t="str">
        <v>Normal Order</v>
      </c>
    </row>
    <row r="922" spans="1:14">
      <c r="A922" s="7" t="s">
        <v>1555</v>
      </c>
      <c r="B922" s="8">
        <v>41762</v>
      </c>
      <c r="C922" s="8">
        <v>41763</v>
      </c>
      <c r="D922" s="7" t="s">
        <v>391</v>
      </c>
      <c r="E922" s="7" t="s">
        <v>110</v>
      </c>
      <c r="F922" s="7" t="s">
        <v>111</v>
      </c>
      <c r="G922" s="7" t="s">
        <v>39</v>
      </c>
      <c r="H922" s="7" t="s">
        <v>2657</v>
      </c>
      <c r="I922" s="9">
        <v>912.24</v>
      </c>
      <c r="J922" s="7">
        <v>3</v>
      </c>
      <c r="K922" s="11">
        <v>0.2</v>
      </c>
      <c r="L922" s="9">
        <v>68.400000000000006</v>
      </c>
      <c r="M922" s="7" t="s">
        <v>32</v>
      </c>
      <c r="N922" t="str">
        <v>Normal Order</v>
      </c>
    </row>
    <row r="923" spans="1:14">
      <c r="A923" s="7" t="s">
        <v>1556</v>
      </c>
      <c r="B923" s="8">
        <v>41914</v>
      </c>
      <c r="C923" s="8">
        <v>41917</v>
      </c>
      <c r="D923" s="7" t="s">
        <v>1557</v>
      </c>
      <c r="E923" s="7" t="s">
        <v>200</v>
      </c>
      <c r="F923" s="7" t="s">
        <v>89</v>
      </c>
      <c r="G923" s="7" t="s">
        <v>16</v>
      </c>
      <c r="H923" s="7" t="s">
        <v>2657</v>
      </c>
      <c r="I923" s="9">
        <v>947.22176000000002</v>
      </c>
      <c r="J923" s="7">
        <v>4</v>
      </c>
      <c r="K923" s="11">
        <v>2E-3</v>
      </c>
      <c r="L923" s="9">
        <v>377.70175999999998</v>
      </c>
      <c r="M923" s="7" t="s">
        <v>32</v>
      </c>
      <c r="N923" t="str">
        <v>Normal Order</v>
      </c>
    </row>
    <row r="924" spans="1:14">
      <c r="A924" s="7" t="s">
        <v>1558</v>
      </c>
      <c r="B924" s="7" t="s">
        <v>116</v>
      </c>
      <c r="C924" s="8">
        <v>41261</v>
      </c>
      <c r="D924" s="7" t="s">
        <v>1559</v>
      </c>
      <c r="E924" s="7" t="s">
        <v>84</v>
      </c>
      <c r="F924" s="7" t="s">
        <v>85</v>
      </c>
      <c r="G924" s="7" t="s">
        <v>28</v>
      </c>
      <c r="H924" s="7" t="s">
        <v>2661</v>
      </c>
      <c r="I924" s="9">
        <v>1983.0149999999901</v>
      </c>
      <c r="J924" s="7">
        <v>5</v>
      </c>
      <c r="K924" s="11">
        <v>0.1</v>
      </c>
      <c r="L924" s="9">
        <v>616.81500000000005</v>
      </c>
      <c r="M924" s="7" t="s">
        <v>32</v>
      </c>
      <c r="N924" t="str">
        <v>Normal Order</v>
      </c>
    </row>
    <row r="925" spans="1:14">
      <c r="A925" s="7" t="s">
        <v>1560</v>
      </c>
      <c r="B925" s="8">
        <v>41572</v>
      </c>
      <c r="C925" s="8">
        <v>41576</v>
      </c>
      <c r="D925" s="7" t="s">
        <v>1542</v>
      </c>
      <c r="E925" s="7" t="s">
        <v>200</v>
      </c>
      <c r="F925" s="7" t="s">
        <v>89</v>
      </c>
      <c r="G925" s="7" t="s">
        <v>16</v>
      </c>
      <c r="H925" s="7" t="s">
        <v>2657</v>
      </c>
      <c r="I925" s="9">
        <v>2146.6</v>
      </c>
      <c r="J925" s="7">
        <v>5</v>
      </c>
      <c r="K925" s="11">
        <v>0</v>
      </c>
      <c r="L925" s="9">
        <v>429.3</v>
      </c>
      <c r="M925" s="7" t="s">
        <v>17</v>
      </c>
      <c r="N925" t="str">
        <v>Normal Order</v>
      </c>
    </row>
    <row r="926" spans="1:14">
      <c r="A926" s="7" t="s">
        <v>1561</v>
      </c>
      <c r="B926" s="8">
        <v>41688</v>
      </c>
      <c r="C926" s="8">
        <v>41695</v>
      </c>
      <c r="D926" s="7" t="s">
        <v>1562</v>
      </c>
      <c r="E926" s="7" t="s">
        <v>186</v>
      </c>
      <c r="F926" s="7" t="s">
        <v>68</v>
      </c>
      <c r="G926" s="7" t="s">
        <v>16</v>
      </c>
      <c r="H926" s="7" t="s">
        <v>2663</v>
      </c>
      <c r="I926" s="9">
        <v>2879.82</v>
      </c>
      <c r="J926" s="7">
        <v>9</v>
      </c>
      <c r="K926" s="11">
        <v>0</v>
      </c>
      <c r="L926" s="9">
        <v>1295.73</v>
      </c>
      <c r="M926" s="7" t="s">
        <v>17</v>
      </c>
      <c r="N926" t="str">
        <v>Bulk Order</v>
      </c>
    </row>
    <row r="927" spans="1:14">
      <c r="A927" s="7" t="s">
        <v>1563</v>
      </c>
      <c r="B927" s="8">
        <v>42258</v>
      </c>
      <c r="C927" s="8">
        <v>42259</v>
      </c>
      <c r="D927" s="7" t="s">
        <v>1046</v>
      </c>
      <c r="E927" s="7" t="s">
        <v>62</v>
      </c>
      <c r="F927" s="7" t="s">
        <v>63</v>
      </c>
      <c r="G927" s="7" t="s">
        <v>28</v>
      </c>
      <c r="H927" s="7" t="s">
        <v>2656</v>
      </c>
      <c r="I927" s="9">
        <v>1622.01</v>
      </c>
      <c r="J927" s="7">
        <v>5</v>
      </c>
      <c r="K927" s="11">
        <v>0.35</v>
      </c>
      <c r="L927" s="9">
        <v>-623.94000000000005</v>
      </c>
      <c r="M927" s="7" t="s">
        <v>32</v>
      </c>
      <c r="N927" t="str">
        <v>Normal Order</v>
      </c>
    </row>
    <row r="928" spans="1:14">
      <c r="A928" s="7" t="s">
        <v>1564</v>
      </c>
      <c r="B928" s="8">
        <v>41927</v>
      </c>
      <c r="C928" s="8">
        <v>41931</v>
      </c>
      <c r="D928" s="7" t="s">
        <v>828</v>
      </c>
      <c r="E928" s="7"/>
      <c r="F928" s="7" t="s">
        <v>63</v>
      </c>
      <c r="G928" s="7" t="s">
        <v>39</v>
      </c>
      <c r="H928" s="7" t="s">
        <v>2657</v>
      </c>
      <c r="I928" s="9">
        <v>1503.68399999999</v>
      </c>
      <c r="J928" s="7">
        <v>6</v>
      </c>
      <c r="K928" s="11">
        <v>0.1</v>
      </c>
      <c r="L928" s="9">
        <v>284.003999999999</v>
      </c>
      <c r="M928" s="7" t="s">
        <v>32</v>
      </c>
      <c r="N928" t="str">
        <v>Bulk Order</v>
      </c>
    </row>
    <row r="929" spans="1:14">
      <c r="A929" s="7" t="s">
        <v>1517</v>
      </c>
      <c r="B929" s="8">
        <v>41615</v>
      </c>
      <c r="C929" s="8">
        <v>41617</v>
      </c>
      <c r="D929" s="7" t="s">
        <v>1195</v>
      </c>
      <c r="E929" s="7" t="s">
        <v>35</v>
      </c>
      <c r="F929" s="7" t="s">
        <v>102</v>
      </c>
      <c r="G929" s="7" t="s">
        <v>39</v>
      </c>
      <c r="H929" s="7" t="s">
        <v>2658</v>
      </c>
      <c r="I929" s="9">
        <v>21.36</v>
      </c>
      <c r="J929" s="7">
        <v>5</v>
      </c>
      <c r="K929" s="11">
        <v>0.2</v>
      </c>
      <c r="L929" s="9">
        <v>7.2089999999999996</v>
      </c>
      <c r="M929" s="7" t="s">
        <v>17</v>
      </c>
      <c r="N929" t="str">
        <v>Normal Order</v>
      </c>
    </row>
    <row r="930" spans="1:14">
      <c r="A930" s="7" t="s">
        <v>1565</v>
      </c>
      <c r="B930" s="8">
        <v>41928</v>
      </c>
      <c r="C930" s="8">
        <v>41930</v>
      </c>
      <c r="D930" s="7"/>
      <c r="E930" s="7" t="s">
        <v>131</v>
      </c>
      <c r="F930" s="7" t="s">
        <v>132</v>
      </c>
      <c r="G930" s="7" t="s">
        <v>39</v>
      </c>
      <c r="H930" s="7" t="s">
        <v>2661</v>
      </c>
      <c r="I930" s="9">
        <v>893.56139999999903</v>
      </c>
      <c r="J930" s="7">
        <v>2</v>
      </c>
      <c r="K930" s="11"/>
      <c r="L930" s="9">
        <v>247.60140000000001</v>
      </c>
      <c r="M930" s="7" t="s">
        <v>23</v>
      </c>
      <c r="N930" t="str">
        <v>Normal Order</v>
      </c>
    </row>
    <row r="931" spans="1:14">
      <c r="A931" s="7"/>
      <c r="B931" s="8">
        <v>42074</v>
      </c>
      <c r="C931" s="8">
        <v>42077</v>
      </c>
      <c r="D931" s="7" t="s">
        <v>875</v>
      </c>
      <c r="E931" s="7" t="s">
        <v>558</v>
      </c>
      <c r="F931" s="7" t="s">
        <v>111</v>
      </c>
      <c r="G931" s="7" t="s">
        <v>28</v>
      </c>
      <c r="H931" s="7" t="s">
        <v>2655</v>
      </c>
      <c r="I931" s="9">
        <v>1143.44</v>
      </c>
      <c r="J931" s="7">
        <v>2</v>
      </c>
      <c r="K931" s="11">
        <v>0</v>
      </c>
      <c r="L931" s="9">
        <v>320.16000000000003</v>
      </c>
      <c r="M931" s="7" t="s">
        <v>23</v>
      </c>
      <c r="N931" t="str">
        <v>Normal Order</v>
      </c>
    </row>
    <row r="932" spans="1:14">
      <c r="A932" s="7" t="s">
        <v>1566</v>
      </c>
      <c r="B932" s="8">
        <v>42264</v>
      </c>
      <c r="C932" s="8">
        <v>42268</v>
      </c>
      <c r="D932" s="7" t="s">
        <v>551</v>
      </c>
      <c r="E932" s="7" t="s">
        <v>221</v>
      </c>
      <c r="F932" s="7" t="s">
        <v>222</v>
      </c>
      <c r="G932" s="7" t="s">
        <v>16</v>
      </c>
      <c r="H932" s="7" t="s">
        <v>2661</v>
      </c>
      <c r="I932" s="9"/>
      <c r="J932" s="7">
        <v>6</v>
      </c>
      <c r="K932" s="11">
        <v>0</v>
      </c>
      <c r="L932" s="9"/>
      <c r="M932" s="7" t="s">
        <v>17</v>
      </c>
      <c r="N932" t="str">
        <v>Bulk Order</v>
      </c>
    </row>
    <row r="933" spans="1:14">
      <c r="A933" s="7" t="s">
        <v>1567</v>
      </c>
      <c r="B933" s="8">
        <v>41216</v>
      </c>
      <c r="C933" s="8">
        <v>41218</v>
      </c>
      <c r="D933" s="7" t="s">
        <v>188</v>
      </c>
      <c r="E933" s="7" t="s">
        <v>1568</v>
      </c>
      <c r="F933" s="7" t="s">
        <v>53</v>
      </c>
      <c r="G933" s="7" t="s">
        <v>39</v>
      </c>
      <c r="H933" s="7" t="s">
        <v>2658</v>
      </c>
      <c r="I933" s="9">
        <v>1401.84</v>
      </c>
      <c r="J933" s="7">
        <v>4</v>
      </c>
      <c r="K933" s="11">
        <v>0</v>
      </c>
      <c r="L933" s="9">
        <v>126.16</v>
      </c>
      <c r="M933" s="7" t="s">
        <v>32</v>
      </c>
      <c r="N933" t="str">
        <v>Normal Order</v>
      </c>
    </row>
    <row r="934" spans="1:14">
      <c r="A934" s="7" t="s">
        <v>1569</v>
      </c>
      <c r="B934" s="8">
        <v>42276</v>
      </c>
      <c r="C934" s="8">
        <v>42283</v>
      </c>
      <c r="D934" s="7" t="s">
        <v>435</v>
      </c>
      <c r="E934" s="7" t="s">
        <v>20</v>
      </c>
      <c r="F934" s="7" t="s">
        <v>63</v>
      </c>
      <c r="G934" s="7" t="s">
        <v>16</v>
      </c>
      <c r="H934" s="7" t="s">
        <v>2657</v>
      </c>
      <c r="I934" s="9">
        <v>2088.2399999999998</v>
      </c>
      <c r="J934" s="7">
        <v>8</v>
      </c>
      <c r="K934" s="11">
        <v>0</v>
      </c>
      <c r="L934" s="9">
        <v>83.52</v>
      </c>
      <c r="M934" s="7" t="s">
        <v>65</v>
      </c>
      <c r="N934" t="str">
        <v>Bulk Order</v>
      </c>
    </row>
    <row r="935" spans="1:14">
      <c r="A935" s="7" t="s">
        <v>1570</v>
      </c>
      <c r="B935" s="8">
        <v>42194</v>
      </c>
      <c r="C935" s="8">
        <v>42198</v>
      </c>
      <c r="D935" s="7" t="s">
        <v>1571</v>
      </c>
      <c r="E935" s="7" t="s">
        <v>105</v>
      </c>
      <c r="F935" s="7" t="s">
        <v>158</v>
      </c>
      <c r="G935" s="7" t="s">
        <v>28</v>
      </c>
      <c r="H935" s="7" t="s">
        <v>2661</v>
      </c>
      <c r="I935" s="9">
        <v>2194.5300000000002</v>
      </c>
      <c r="J935" s="7">
        <v>13</v>
      </c>
      <c r="K935" s="11">
        <v>0</v>
      </c>
      <c r="L935" s="9">
        <v>438.75</v>
      </c>
      <c r="M935" s="7" t="s">
        <v>32</v>
      </c>
      <c r="N935" t="str">
        <v>Bulk Order</v>
      </c>
    </row>
    <row r="936" spans="1:14">
      <c r="A936" s="7" t="s">
        <v>1572</v>
      </c>
      <c r="B936" s="8">
        <v>41352</v>
      </c>
      <c r="C936" s="8">
        <v>41352</v>
      </c>
      <c r="D936" s="7" t="s">
        <v>949</v>
      </c>
      <c r="E936" s="7" t="s">
        <v>20</v>
      </c>
      <c r="F936" s="7" t="s">
        <v>63</v>
      </c>
      <c r="G936" s="7" t="s">
        <v>39</v>
      </c>
      <c r="H936" s="7" t="s">
        <v>2662</v>
      </c>
      <c r="I936" s="9">
        <v>1527.12</v>
      </c>
      <c r="J936" s="7">
        <v>8</v>
      </c>
      <c r="K936" s="11">
        <v>0.1</v>
      </c>
      <c r="L936" s="9"/>
      <c r="M936" s="7" t="s">
        <v>32</v>
      </c>
      <c r="N936" t="str">
        <v>Bulk Order</v>
      </c>
    </row>
    <row r="937" spans="1:14">
      <c r="A937" s="7" t="s">
        <v>1573</v>
      </c>
      <c r="B937" s="8">
        <v>41803</v>
      </c>
      <c r="C937" s="8">
        <v>41805</v>
      </c>
      <c r="D937" s="7" t="s">
        <v>859</v>
      </c>
      <c r="E937" s="7" t="s">
        <v>542</v>
      </c>
      <c r="F937" s="7" t="s">
        <v>81</v>
      </c>
      <c r="G937" s="7" t="s">
        <v>39</v>
      </c>
      <c r="H937" s="7" t="s">
        <v>2663</v>
      </c>
      <c r="I937" s="9"/>
      <c r="J937" s="7">
        <v>7</v>
      </c>
      <c r="K937" s="11">
        <v>0.5</v>
      </c>
      <c r="L937" s="9">
        <v>-486.46499999999997</v>
      </c>
      <c r="M937" s="7" t="s">
        <v>23</v>
      </c>
      <c r="N937" t="str">
        <v>Bulk Order</v>
      </c>
    </row>
    <row r="938" spans="1:14">
      <c r="A938" s="7" t="s">
        <v>178</v>
      </c>
      <c r="B938" s="8">
        <v>41882</v>
      </c>
      <c r="C938" s="8">
        <v>41885</v>
      </c>
      <c r="D938" s="7" t="s">
        <v>179</v>
      </c>
      <c r="E938" s="7" t="s">
        <v>20</v>
      </c>
      <c r="F938" s="7" t="s">
        <v>63</v>
      </c>
      <c r="G938" s="7" t="s">
        <v>16</v>
      </c>
      <c r="H938" s="7" t="s">
        <v>2664</v>
      </c>
      <c r="I938" s="9">
        <v>794.7</v>
      </c>
      <c r="J938" s="7">
        <v>3</v>
      </c>
      <c r="K938" s="11">
        <v>0</v>
      </c>
      <c r="L938" s="9">
        <v>174.78</v>
      </c>
      <c r="M938" s="7" t="s">
        <v>23</v>
      </c>
      <c r="N938" t="str">
        <v>Normal Order</v>
      </c>
    </row>
    <row r="939" spans="1:14">
      <c r="A939" s="7" t="s">
        <v>1574</v>
      </c>
      <c r="B939" s="8">
        <v>41783</v>
      </c>
      <c r="C939" s="8">
        <v>41787</v>
      </c>
      <c r="D939" s="7" t="s">
        <v>289</v>
      </c>
      <c r="E939" s="7" t="s">
        <v>677</v>
      </c>
      <c r="F939" s="7" t="s">
        <v>132</v>
      </c>
      <c r="G939" s="7" t="s">
        <v>28</v>
      </c>
      <c r="H939" s="7" t="s">
        <v>2661</v>
      </c>
      <c r="I939" s="9">
        <v>2761.2</v>
      </c>
      <c r="J939" s="7">
        <v>6</v>
      </c>
      <c r="K939" s="11">
        <v>0</v>
      </c>
      <c r="L939" s="9">
        <v>110.34</v>
      </c>
      <c r="M939" s="7" t="s">
        <v>17</v>
      </c>
      <c r="N939" t="str">
        <v>Bulk Order</v>
      </c>
    </row>
    <row r="940" spans="1:14">
      <c r="A940" s="7" t="s">
        <v>1575</v>
      </c>
      <c r="B940" s="8">
        <v>41088</v>
      </c>
      <c r="C940" s="8">
        <v>41093</v>
      </c>
      <c r="D940" s="7" t="s">
        <v>1576</v>
      </c>
      <c r="E940" s="7" t="s">
        <v>452</v>
      </c>
      <c r="F940" s="7" t="s">
        <v>78</v>
      </c>
      <c r="G940" s="7" t="s">
        <v>28</v>
      </c>
      <c r="H940" s="7" t="s">
        <v>2662</v>
      </c>
      <c r="I940" s="9"/>
      <c r="J940" s="7">
        <v>8</v>
      </c>
      <c r="K940" s="11">
        <v>0</v>
      </c>
      <c r="L940" s="9">
        <v>1622.88</v>
      </c>
      <c r="M940" s="7" t="s">
        <v>17</v>
      </c>
      <c r="N940" t="str">
        <v>Bulk Order</v>
      </c>
    </row>
    <row r="941" spans="1:14">
      <c r="A941" s="7" t="s">
        <v>1577</v>
      </c>
      <c r="B941" s="8">
        <v>41256</v>
      </c>
      <c r="C941" s="7"/>
      <c r="D941" s="7"/>
      <c r="E941" s="7" t="s">
        <v>88</v>
      </c>
      <c r="F941" s="7" t="s">
        <v>89</v>
      </c>
      <c r="G941" s="7" t="s">
        <v>28</v>
      </c>
      <c r="H941" s="7" t="s">
        <v>2655</v>
      </c>
      <c r="I941" s="9">
        <v>825.79200000000003</v>
      </c>
      <c r="J941" s="7">
        <v>4</v>
      </c>
      <c r="K941" s="11">
        <v>0.2</v>
      </c>
      <c r="L941" s="9">
        <v>41.231999999999999</v>
      </c>
      <c r="M941" s="7" t="s">
        <v>23</v>
      </c>
      <c r="N941" t="str">
        <v>Normal Order</v>
      </c>
    </row>
    <row r="942" spans="1:14">
      <c r="A942" s="7" t="s">
        <v>1544</v>
      </c>
      <c r="B942" s="8">
        <v>41241</v>
      </c>
      <c r="C942" s="8">
        <v>41248</v>
      </c>
      <c r="D942" s="7" t="s">
        <v>1195</v>
      </c>
      <c r="E942" s="7" t="s">
        <v>35</v>
      </c>
      <c r="F942" s="7" t="s">
        <v>38</v>
      </c>
      <c r="G942" s="7" t="s">
        <v>39</v>
      </c>
      <c r="H942" s="7" t="s">
        <v>2663</v>
      </c>
      <c r="I942" s="9">
        <v>30.4</v>
      </c>
      <c r="J942" s="7">
        <v>5</v>
      </c>
      <c r="K942" s="11">
        <v>0</v>
      </c>
      <c r="L942" s="9">
        <v>15.2</v>
      </c>
      <c r="M942" s="7" t="s">
        <v>17</v>
      </c>
      <c r="N942" t="str">
        <v>Normal Order</v>
      </c>
    </row>
    <row r="943" spans="1:14">
      <c r="A943" s="7"/>
      <c r="B943" s="8">
        <v>41863</v>
      </c>
      <c r="C943" s="8">
        <v>41868</v>
      </c>
      <c r="D943" s="7" t="s">
        <v>1234</v>
      </c>
      <c r="E943" s="7" t="s">
        <v>105</v>
      </c>
      <c r="F943" s="7" t="s">
        <v>106</v>
      </c>
      <c r="G943" s="7" t="s">
        <v>16</v>
      </c>
      <c r="H943" s="7" t="s">
        <v>2663</v>
      </c>
      <c r="I943" s="9">
        <v>3180.3</v>
      </c>
      <c r="J943" s="7">
        <v>5</v>
      </c>
      <c r="K943" s="11">
        <v>0</v>
      </c>
      <c r="L943" s="9">
        <v>381.6</v>
      </c>
      <c r="M943" s="7" t="s">
        <v>17</v>
      </c>
      <c r="N943" t="str">
        <v>Normal Order</v>
      </c>
    </row>
    <row r="944" spans="1:14">
      <c r="A944" s="7" t="s">
        <v>1578</v>
      </c>
      <c r="B944" s="8">
        <v>41527</v>
      </c>
      <c r="C944" s="8">
        <v>41529</v>
      </c>
      <c r="D944" s="7" t="s">
        <v>1579</v>
      </c>
      <c r="E944" s="7" t="s">
        <v>58</v>
      </c>
      <c r="F944" s="7" t="s">
        <v>81</v>
      </c>
      <c r="G944" s="7" t="s">
        <v>28</v>
      </c>
      <c r="H944" s="7" t="s">
        <v>2659</v>
      </c>
      <c r="I944" s="9">
        <v>1859.99999999999</v>
      </c>
      <c r="J944" s="7">
        <v>4</v>
      </c>
      <c r="K944" s="11">
        <v>0</v>
      </c>
      <c r="L944" s="9">
        <v>316.2</v>
      </c>
      <c r="M944" s="7" t="s">
        <v>32</v>
      </c>
      <c r="N944" t="str">
        <v>Normal Order</v>
      </c>
    </row>
    <row r="945" spans="1:14">
      <c r="A945" s="7" t="s">
        <v>1580</v>
      </c>
      <c r="B945" s="8">
        <v>41801</v>
      </c>
      <c r="C945" s="8">
        <v>41807</v>
      </c>
      <c r="D945" s="7" t="s">
        <v>177</v>
      </c>
      <c r="E945" s="7"/>
      <c r="F945" s="7" t="s">
        <v>106</v>
      </c>
      <c r="G945" s="7" t="s">
        <v>16</v>
      </c>
      <c r="H945" s="7" t="s">
        <v>2656</v>
      </c>
      <c r="I945" s="9">
        <v>2582.16</v>
      </c>
      <c r="J945" s="7">
        <v>4</v>
      </c>
      <c r="K945" s="11"/>
      <c r="L945" s="9">
        <v>361.44</v>
      </c>
      <c r="M945" s="7" t="s">
        <v>17</v>
      </c>
      <c r="N945" t="str">
        <v>Normal Order</v>
      </c>
    </row>
    <row r="946" spans="1:14">
      <c r="A946" s="7" t="s">
        <v>1581</v>
      </c>
      <c r="B946" s="8">
        <v>41936</v>
      </c>
      <c r="C946" s="8">
        <v>41936</v>
      </c>
      <c r="D946" s="7" t="s">
        <v>393</v>
      </c>
      <c r="E946" s="7" t="s">
        <v>677</v>
      </c>
      <c r="F946" s="7" t="s">
        <v>132</v>
      </c>
      <c r="G946" s="7" t="s">
        <v>16</v>
      </c>
      <c r="H946" s="7" t="s">
        <v>2655</v>
      </c>
      <c r="I946" s="9">
        <v>881.1</v>
      </c>
      <c r="J946" s="7">
        <v>5</v>
      </c>
      <c r="K946" s="11">
        <v>0</v>
      </c>
      <c r="L946" s="9">
        <v>184.95</v>
      </c>
      <c r="M946" s="7" t="s">
        <v>32</v>
      </c>
      <c r="N946" t="str">
        <v>Normal Order</v>
      </c>
    </row>
    <row r="947" spans="1:14">
      <c r="A947" s="7" t="s">
        <v>1582</v>
      </c>
      <c r="B947" s="8">
        <v>41801</v>
      </c>
      <c r="C947" s="8">
        <v>41805</v>
      </c>
      <c r="D947" s="7" t="s">
        <v>1011</v>
      </c>
      <c r="E947" s="7" t="s">
        <v>62</v>
      </c>
      <c r="F947" s="7" t="s">
        <v>98</v>
      </c>
      <c r="G947" s="7" t="s">
        <v>16</v>
      </c>
      <c r="H947" s="7" t="s">
        <v>2656</v>
      </c>
      <c r="I947" s="9">
        <v>1622.1824999999999</v>
      </c>
      <c r="J947" s="7">
        <v>3</v>
      </c>
      <c r="K947" s="11">
        <v>0.15</v>
      </c>
      <c r="L947" s="9">
        <v>324.38249999999903</v>
      </c>
      <c r="M947" s="7" t="s">
        <v>32</v>
      </c>
      <c r="N947" t="str">
        <v>Normal Order</v>
      </c>
    </row>
    <row r="948" spans="1:14">
      <c r="A948" s="7" t="s">
        <v>206</v>
      </c>
      <c r="B948" s="8">
        <v>41537</v>
      </c>
      <c r="C948" s="8">
        <v>41539</v>
      </c>
      <c r="D948" s="7" t="s">
        <v>207</v>
      </c>
      <c r="E948" s="7" t="s">
        <v>84</v>
      </c>
      <c r="F948" s="7" t="s">
        <v>85</v>
      </c>
      <c r="G948" s="7" t="s">
        <v>16</v>
      </c>
      <c r="H948" s="7" t="s">
        <v>2656</v>
      </c>
      <c r="I948" s="9">
        <v>1677.1859999999999</v>
      </c>
      <c r="J948" s="7">
        <v>6</v>
      </c>
      <c r="K948" s="11">
        <v>0.1</v>
      </c>
      <c r="L948" s="9">
        <v>521.76599999999996</v>
      </c>
      <c r="M948" s="7" t="s">
        <v>32</v>
      </c>
      <c r="N948" t="str">
        <v>Bulk Order</v>
      </c>
    </row>
    <row r="949" spans="1:14">
      <c r="A949" s="7" t="s">
        <v>1584</v>
      </c>
      <c r="B949" s="8">
        <v>42139</v>
      </c>
      <c r="C949" s="8">
        <v>42141</v>
      </c>
      <c r="D949" s="7" t="s">
        <v>1585</v>
      </c>
      <c r="E949" s="7" t="s">
        <v>542</v>
      </c>
      <c r="F949" s="7" t="s">
        <v>81</v>
      </c>
      <c r="G949" s="7" t="s">
        <v>16</v>
      </c>
      <c r="H949" s="7" t="s">
        <v>2656</v>
      </c>
      <c r="I949" s="9">
        <v>1001.88</v>
      </c>
      <c r="J949" s="7"/>
      <c r="K949" s="11">
        <v>0</v>
      </c>
      <c r="L949" s="9">
        <v>230.4</v>
      </c>
      <c r="M949" s="7" t="s">
        <v>23</v>
      </c>
      <c r="N949" t="str">
        <v>Normal Order</v>
      </c>
    </row>
    <row r="950" spans="1:14">
      <c r="A950" s="7" t="s">
        <v>1586</v>
      </c>
      <c r="B950" s="8">
        <v>41690</v>
      </c>
      <c r="C950" s="8">
        <v>41697</v>
      </c>
      <c r="D950" s="7" t="s">
        <v>1195</v>
      </c>
      <c r="E950" s="7" t="s">
        <v>35</v>
      </c>
      <c r="F950" s="7" t="s">
        <v>142</v>
      </c>
      <c r="G950" s="7" t="s">
        <v>39</v>
      </c>
      <c r="H950" s="7" t="s">
        <v>2662</v>
      </c>
      <c r="I950" s="9">
        <v>16.495999999999999</v>
      </c>
      <c r="J950" s="7">
        <v>2</v>
      </c>
      <c r="K950" s="11">
        <v>0.2</v>
      </c>
      <c r="L950" s="9">
        <v>5.5673999999999904</v>
      </c>
      <c r="M950" s="7" t="s">
        <v>17</v>
      </c>
      <c r="N950" t="str">
        <v>Normal Order</v>
      </c>
    </row>
    <row r="951" spans="1:14">
      <c r="A951" s="7" t="s">
        <v>1587</v>
      </c>
      <c r="B951" s="8">
        <v>41252</v>
      </c>
      <c r="C951" s="8">
        <v>41255</v>
      </c>
      <c r="D951" s="7"/>
      <c r="E951" s="7" t="s">
        <v>84</v>
      </c>
      <c r="F951" s="7" t="s">
        <v>85</v>
      </c>
      <c r="G951" s="7" t="s">
        <v>39</v>
      </c>
      <c r="H951" s="7" t="s">
        <v>2656</v>
      </c>
      <c r="I951" s="9"/>
      <c r="J951" s="7">
        <v>2</v>
      </c>
      <c r="K951" s="11">
        <v>0.1</v>
      </c>
      <c r="L951" s="9">
        <v>-5.4000000000001998E-2</v>
      </c>
      <c r="M951" s="7" t="s">
        <v>396</v>
      </c>
      <c r="N951" t="str">
        <v>Normal Order</v>
      </c>
    </row>
    <row r="952" spans="1:14">
      <c r="A952" s="7" t="s">
        <v>1588</v>
      </c>
      <c r="B952" s="8">
        <v>41930</v>
      </c>
      <c r="C952" s="8">
        <v>41934</v>
      </c>
      <c r="D952" s="7" t="s">
        <v>527</v>
      </c>
      <c r="E952" s="7" t="s">
        <v>92</v>
      </c>
      <c r="F952" s="7" t="s">
        <v>89</v>
      </c>
      <c r="G952" s="7" t="s">
        <v>16</v>
      </c>
      <c r="H952" s="7" t="s">
        <v>2662</v>
      </c>
      <c r="I952" s="9">
        <v>2120.8000000000002</v>
      </c>
      <c r="J952" s="7">
        <v>5</v>
      </c>
      <c r="K952" s="11">
        <v>0</v>
      </c>
      <c r="L952" s="9">
        <v>275.7</v>
      </c>
      <c r="M952" s="7" t="s">
        <v>32</v>
      </c>
      <c r="N952" t="str">
        <v>Normal Order</v>
      </c>
    </row>
    <row r="953" spans="1:14">
      <c r="A953" s="7" t="s">
        <v>1589</v>
      </c>
      <c r="B953" s="8">
        <v>41972</v>
      </c>
      <c r="C953" s="8">
        <v>41977</v>
      </c>
      <c r="D953" s="7" t="s">
        <v>716</v>
      </c>
      <c r="E953" s="7" t="s">
        <v>157</v>
      </c>
      <c r="F953" s="7" t="s">
        <v>1590</v>
      </c>
      <c r="G953" s="7" t="s">
        <v>16</v>
      </c>
      <c r="H953" s="7" t="s">
        <v>2661</v>
      </c>
      <c r="I953" s="9">
        <v>1531.2</v>
      </c>
      <c r="J953" s="7">
        <v>10</v>
      </c>
      <c r="K953" s="11">
        <v>0</v>
      </c>
      <c r="L953" s="9">
        <v>45.9</v>
      </c>
      <c r="M953" s="7" t="s">
        <v>32</v>
      </c>
      <c r="N953" t="str">
        <v>Bulk Order</v>
      </c>
    </row>
    <row r="954" spans="1:14">
      <c r="A954" s="7" t="s">
        <v>1142</v>
      </c>
      <c r="B954" s="7"/>
      <c r="C954" s="8">
        <v>42366</v>
      </c>
      <c r="D954" s="7" t="s">
        <v>1143</v>
      </c>
      <c r="E954" s="7" t="s">
        <v>1591</v>
      </c>
      <c r="F954" s="7" t="s">
        <v>49</v>
      </c>
      <c r="G954" s="7" t="s">
        <v>16</v>
      </c>
      <c r="H954" s="7" t="s">
        <v>2656</v>
      </c>
      <c r="I954" s="9">
        <v>1572.84</v>
      </c>
      <c r="J954" s="7">
        <v>6</v>
      </c>
      <c r="K954" s="11">
        <v>0</v>
      </c>
      <c r="L954" s="9">
        <v>141.47999999999999</v>
      </c>
      <c r="M954" s="7" t="s">
        <v>32</v>
      </c>
      <c r="N954" t="str">
        <v>Bulk Order</v>
      </c>
    </row>
    <row r="955" spans="1:14">
      <c r="A955" s="7" t="s">
        <v>1592</v>
      </c>
      <c r="B955" s="8">
        <v>41310</v>
      </c>
      <c r="C955" s="8">
        <v>41315</v>
      </c>
      <c r="D955" s="7" t="s">
        <v>1593</v>
      </c>
      <c r="E955" s="7" t="s">
        <v>105</v>
      </c>
      <c r="F955" s="7" t="s">
        <v>106</v>
      </c>
      <c r="G955" s="7" t="s">
        <v>28</v>
      </c>
      <c r="H955" s="7" t="s">
        <v>2656</v>
      </c>
      <c r="I955" s="9">
        <v>1236.33</v>
      </c>
      <c r="J955" s="7">
        <v>3</v>
      </c>
      <c r="K955" s="11">
        <v>0</v>
      </c>
      <c r="L955" s="9">
        <v>519.21</v>
      </c>
      <c r="M955" s="7" t="s">
        <v>32</v>
      </c>
      <c r="N955" t="str">
        <v>Normal Order</v>
      </c>
    </row>
    <row r="956" spans="1:14">
      <c r="A956" s="7" t="s">
        <v>1517</v>
      </c>
      <c r="B956" s="8">
        <v>41615</v>
      </c>
      <c r="C956" s="8">
        <v>41617</v>
      </c>
      <c r="D956" s="7" t="s">
        <v>1195</v>
      </c>
      <c r="E956" s="7" t="s">
        <v>35</v>
      </c>
      <c r="F956" s="7" t="s">
        <v>102</v>
      </c>
      <c r="G956" s="7" t="s">
        <v>39</v>
      </c>
      <c r="H956" s="7" t="s">
        <v>2657</v>
      </c>
      <c r="I956" s="9">
        <v>6.6879999999999997</v>
      </c>
      <c r="J956" s="7">
        <v>2</v>
      </c>
      <c r="K956" s="11">
        <v>0.2</v>
      </c>
      <c r="L956" s="9">
        <v>2.34079999999999</v>
      </c>
      <c r="M956" s="7" t="s">
        <v>17</v>
      </c>
      <c r="N956" t="str">
        <v>Normal Order</v>
      </c>
    </row>
    <row r="957" spans="1:14">
      <c r="A957" s="7" t="s">
        <v>145</v>
      </c>
      <c r="B957" s="8">
        <v>42244</v>
      </c>
      <c r="C957" s="8">
        <v>42245</v>
      </c>
      <c r="D957" s="7" t="s">
        <v>146</v>
      </c>
      <c r="E957" s="7" t="s">
        <v>58</v>
      </c>
      <c r="F957" s="7" t="s">
        <v>59</v>
      </c>
      <c r="G957" s="7" t="s">
        <v>16</v>
      </c>
      <c r="H957" s="7" t="s">
        <v>2663</v>
      </c>
      <c r="I957" s="9">
        <v>759.66</v>
      </c>
      <c r="J957" s="7">
        <v>2</v>
      </c>
      <c r="K957" s="11">
        <v>0</v>
      </c>
      <c r="L957" s="9">
        <v>311.45999999999998</v>
      </c>
      <c r="M957" s="7" t="s">
        <v>32</v>
      </c>
      <c r="N957" t="str">
        <v>Normal Order</v>
      </c>
    </row>
    <row r="958" spans="1:14">
      <c r="A958" s="7" t="s">
        <v>1594</v>
      </c>
      <c r="B958" s="8">
        <v>41679</v>
      </c>
      <c r="C958" s="8">
        <v>41685</v>
      </c>
      <c r="D958" s="7" t="s">
        <v>305</v>
      </c>
      <c r="E958" s="7" t="s">
        <v>14</v>
      </c>
      <c r="F958" s="7" t="s">
        <v>15</v>
      </c>
      <c r="G958" s="7" t="s">
        <v>28</v>
      </c>
      <c r="H958" s="7" t="s">
        <v>2656</v>
      </c>
      <c r="I958" s="9">
        <v>2951.991</v>
      </c>
      <c r="J958" s="7">
        <v>9</v>
      </c>
      <c r="K958" s="11">
        <v>0.3</v>
      </c>
      <c r="L958" s="9">
        <v>-632.79899999999895</v>
      </c>
      <c r="M958" s="7" t="s">
        <v>17</v>
      </c>
      <c r="N958" t="str">
        <v>Bulk Order</v>
      </c>
    </row>
    <row r="959" spans="1:14">
      <c r="A959" s="7" t="s">
        <v>1549</v>
      </c>
      <c r="B959" s="8">
        <v>42072</v>
      </c>
      <c r="C959" s="8">
        <v>42079</v>
      </c>
      <c r="D959" s="7" t="s">
        <v>1195</v>
      </c>
      <c r="E959" s="7" t="s">
        <v>35</v>
      </c>
      <c r="F959" s="7" t="s">
        <v>38</v>
      </c>
      <c r="G959" s="7" t="s">
        <v>39</v>
      </c>
      <c r="H959" s="7" t="s">
        <v>2657</v>
      </c>
      <c r="I959" s="9">
        <v>3.36</v>
      </c>
      <c r="J959" s="7">
        <v>2</v>
      </c>
      <c r="K959" s="11">
        <v>0</v>
      </c>
      <c r="L959" s="9">
        <v>0.87360000000000004</v>
      </c>
      <c r="M959" s="7" t="s">
        <v>17</v>
      </c>
      <c r="N959" t="str">
        <v>Normal Order</v>
      </c>
    </row>
    <row r="960" spans="1:14">
      <c r="A960" s="7" t="s">
        <v>1595</v>
      </c>
      <c r="B960" s="8">
        <v>41040</v>
      </c>
      <c r="C960" s="8">
        <v>41042</v>
      </c>
      <c r="D960" s="7" t="s">
        <v>326</v>
      </c>
      <c r="E960" s="7" t="s">
        <v>62</v>
      </c>
      <c r="F960" s="7" t="s">
        <v>63</v>
      </c>
      <c r="G960" s="7" t="s">
        <v>28</v>
      </c>
      <c r="H960" s="7" t="s">
        <v>2658</v>
      </c>
      <c r="I960" s="9">
        <v>627.27599999999995</v>
      </c>
      <c r="J960" s="7">
        <v>2</v>
      </c>
      <c r="K960" s="11">
        <v>0.35</v>
      </c>
      <c r="L960" s="9">
        <v>-135.14399999999901</v>
      </c>
      <c r="M960" s="7" t="s">
        <v>23</v>
      </c>
      <c r="N960" t="str">
        <v>Normal Order</v>
      </c>
    </row>
    <row r="961" spans="1:14">
      <c r="A961" s="7" t="s">
        <v>1596</v>
      </c>
      <c r="B961" s="8">
        <v>41199</v>
      </c>
      <c r="C961" s="8">
        <v>41201</v>
      </c>
      <c r="D961" s="7" t="s">
        <v>1597</v>
      </c>
      <c r="E961" s="7" t="s">
        <v>322</v>
      </c>
      <c r="F961" s="7" t="s">
        <v>142</v>
      </c>
      <c r="G961" s="7" t="s">
        <v>16</v>
      </c>
      <c r="H961" s="7" t="s">
        <v>2655</v>
      </c>
      <c r="I961" s="9">
        <v>1394.95</v>
      </c>
      <c r="J961" s="7">
        <v>5</v>
      </c>
      <c r="K961" s="11">
        <v>0</v>
      </c>
      <c r="L961" s="9"/>
      <c r="M961" s="7" t="s">
        <v>17</v>
      </c>
      <c r="N961" t="str">
        <v>Normal Order</v>
      </c>
    </row>
    <row r="962" spans="1:14">
      <c r="A962" s="7" t="s">
        <v>1598</v>
      </c>
      <c r="B962" s="8">
        <v>41863</v>
      </c>
      <c r="C962" s="8">
        <v>41865</v>
      </c>
      <c r="D962" s="7" t="s">
        <v>1599</v>
      </c>
      <c r="E962" s="7" t="s">
        <v>893</v>
      </c>
      <c r="F962" s="7" t="s">
        <v>68</v>
      </c>
      <c r="G962" s="7" t="s">
        <v>16</v>
      </c>
      <c r="H962" s="7" t="s">
        <v>2658</v>
      </c>
      <c r="I962" s="9">
        <v>553.91999999999996</v>
      </c>
      <c r="J962" s="7">
        <v>4</v>
      </c>
      <c r="K962" s="11">
        <v>0</v>
      </c>
      <c r="L962" s="9">
        <v>22.08</v>
      </c>
      <c r="M962" s="7" t="s">
        <v>23</v>
      </c>
      <c r="N962" t="str">
        <v>Normal Order</v>
      </c>
    </row>
    <row r="963" spans="1:14">
      <c r="A963" s="7" t="s">
        <v>1600</v>
      </c>
      <c r="B963" s="8">
        <v>42179</v>
      </c>
      <c r="C963" s="8">
        <v>42185</v>
      </c>
      <c r="D963" s="7" t="s">
        <v>616</v>
      </c>
      <c r="E963" s="7" t="s">
        <v>20</v>
      </c>
      <c r="F963" s="7" t="s">
        <v>63</v>
      </c>
      <c r="G963" s="7" t="s">
        <v>16</v>
      </c>
      <c r="H963" s="7" t="s">
        <v>2665</v>
      </c>
      <c r="I963" s="9">
        <v>3873.24</v>
      </c>
      <c r="J963" s="7">
        <v>6</v>
      </c>
      <c r="K963" s="11">
        <v>0</v>
      </c>
      <c r="L963" s="9">
        <v>890.81999999999903</v>
      </c>
      <c r="M963" s="7" t="s">
        <v>17</v>
      </c>
      <c r="N963" t="str">
        <v>Bulk Order</v>
      </c>
    </row>
    <row r="964" spans="1:14">
      <c r="A964" s="7" t="s">
        <v>1601</v>
      </c>
      <c r="B964" s="8">
        <v>42035</v>
      </c>
      <c r="C964" s="8">
        <v>42036</v>
      </c>
      <c r="D964" s="7" t="s">
        <v>109</v>
      </c>
      <c r="E964" s="7" t="s">
        <v>58</v>
      </c>
      <c r="F964" s="7" t="s">
        <v>81</v>
      </c>
      <c r="G964" s="7" t="s">
        <v>16</v>
      </c>
      <c r="H964" s="7" t="s">
        <v>2656</v>
      </c>
      <c r="I964" s="9">
        <v>791.19</v>
      </c>
      <c r="J964" s="7">
        <v>3</v>
      </c>
      <c r="K964" s="11">
        <v>0</v>
      </c>
      <c r="L964" s="9">
        <v>126.539999999999</v>
      </c>
      <c r="M964" s="7" t="s">
        <v>23</v>
      </c>
      <c r="N964" t="str">
        <v>Normal Order</v>
      </c>
    </row>
    <row r="965" spans="1:14">
      <c r="A965" s="7" t="s">
        <v>1602</v>
      </c>
      <c r="B965" s="8">
        <v>42150</v>
      </c>
      <c r="C965" s="8">
        <v>42154</v>
      </c>
      <c r="D965" s="7"/>
      <c r="E965" s="7" t="s">
        <v>58</v>
      </c>
      <c r="F965" s="7" t="s">
        <v>81</v>
      </c>
      <c r="G965" s="7" t="s">
        <v>28</v>
      </c>
      <c r="H965" s="7" t="s">
        <v>2656</v>
      </c>
      <c r="I965" s="9">
        <v>2470.5</v>
      </c>
      <c r="J965" s="7">
        <v>6</v>
      </c>
      <c r="K965" s="11">
        <v>0</v>
      </c>
      <c r="L965" s="9">
        <v>518.76</v>
      </c>
      <c r="M965" s="7" t="s">
        <v>17</v>
      </c>
      <c r="N965" t="str">
        <v>Bulk Order</v>
      </c>
    </row>
    <row r="966" spans="1:14">
      <c r="A966" s="7" t="s">
        <v>1603</v>
      </c>
      <c r="B966" s="8">
        <v>41207</v>
      </c>
      <c r="C966" s="8">
        <v>41209</v>
      </c>
      <c r="D966" s="7" t="s">
        <v>1423</v>
      </c>
      <c r="E966" s="7" t="s">
        <v>88</v>
      </c>
      <c r="F966" s="7" t="s">
        <v>89</v>
      </c>
      <c r="G966" s="7" t="s">
        <v>16</v>
      </c>
      <c r="H966" s="7" t="s">
        <v>2657</v>
      </c>
      <c r="I966" s="9">
        <v>2120.6999999999998</v>
      </c>
      <c r="J966" s="7"/>
      <c r="K966" s="11">
        <v>0</v>
      </c>
      <c r="L966" s="9">
        <v>63.6</v>
      </c>
      <c r="M966" s="7" t="s">
        <v>32</v>
      </c>
      <c r="N966" t="str">
        <v>Normal Order</v>
      </c>
    </row>
    <row r="967" spans="1:14">
      <c r="A967" s="7" t="s">
        <v>1604</v>
      </c>
      <c r="B967" s="8">
        <v>42032</v>
      </c>
      <c r="C967" s="8">
        <v>42034</v>
      </c>
      <c r="D967" s="7" t="s">
        <v>1605</v>
      </c>
      <c r="E967" s="7" t="s">
        <v>589</v>
      </c>
      <c r="F967" s="7" t="s">
        <v>15</v>
      </c>
      <c r="G967" s="7" t="s">
        <v>28</v>
      </c>
      <c r="H967" s="7" t="s">
        <v>2663</v>
      </c>
      <c r="I967" s="9">
        <v>759.06</v>
      </c>
      <c r="J967" s="7">
        <v>6</v>
      </c>
      <c r="K967" s="11">
        <v>0</v>
      </c>
      <c r="L967" s="9">
        <v>15.12</v>
      </c>
      <c r="M967" s="7" t="s">
        <v>23</v>
      </c>
      <c r="N967" t="str">
        <v>Bulk Order</v>
      </c>
    </row>
    <row r="968" spans="1:14">
      <c r="A968" s="7" t="s">
        <v>1607</v>
      </c>
      <c r="B968" s="8">
        <v>41781</v>
      </c>
      <c r="C968" s="8">
        <v>41783</v>
      </c>
      <c r="D968" s="7"/>
      <c r="E968" s="7" t="s">
        <v>58</v>
      </c>
      <c r="F968" s="7" t="s">
        <v>81</v>
      </c>
      <c r="G968" s="7" t="s">
        <v>39</v>
      </c>
      <c r="H968" s="7" t="s">
        <v>2656</v>
      </c>
      <c r="I968" s="9">
        <v>1581.03</v>
      </c>
      <c r="J968" s="7">
        <v>3</v>
      </c>
      <c r="K968" s="11">
        <v>0</v>
      </c>
      <c r="L968" s="9">
        <v>790.47</v>
      </c>
      <c r="M968" s="7" t="s">
        <v>23</v>
      </c>
      <c r="N968" t="str">
        <v>Normal Order</v>
      </c>
    </row>
    <row r="969" spans="1:14">
      <c r="A969" s="7" t="s">
        <v>1608</v>
      </c>
      <c r="B969" s="8">
        <v>41132</v>
      </c>
      <c r="C969" s="8">
        <v>41135</v>
      </c>
      <c r="D969" s="7" t="s">
        <v>1609</v>
      </c>
      <c r="E969" s="7" t="s">
        <v>730</v>
      </c>
      <c r="F969" s="7" t="s">
        <v>132</v>
      </c>
      <c r="G969" s="7" t="s">
        <v>16</v>
      </c>
      <c r="H969" s="7" t="s">
        <v>2663</v>
      </c>
      <c r="I969" s="9">
        <v>1161.1971000000001</v>
      </c>
      <c r="J969" s="7">
        <v>7</v>
      </c>
      <c r="K969" s="11">
        <v>0.37</v>
      </c>
      <c r="L969" s="9">
        <v>-147.52289999999999</v>
      </c>
      <c r="M969" s="7" t="s">
        <v>32</v>
      </c>
      <c r="N969" t="str">
        <v>Bulk Order</v>
      </c>
    </row>
    <row r="970" spans="1:14">
      <c r="A970" s="7" t="s">
        <v>1610</v>
      </c>
      <c r="B970" s="8">
        <v>41031</v>
      </c>
      <c r="C970" s="8">
        <v>41033</v>
      </c>
      <c r="D970" s="7" t="s">
        <v>1611</v>
      </c>
      <c r="E970" s="7" t="s">
        <v>74</v>
      </c>
      <c r="F970" s="7" t="s">
        <v>75</v>
      </c>
      <c r="G970" s="7" t="s">
        <v>16</v>
      </c>
      <c r="H970" s="7" t="s">
        <v>2661</v>
      </c>
      <c r="I970" s="9">
        <v>642.719999999999</v>
      </c>
      <c r="J970" s="7">
        <v>2</v>
      </c>
      <c r="K970" s="11">
        <v>0</v>
      </c>
      <c r="L970" s="9">
        <v>224.94</v>
      </c>
      <c r="M970" s="7" t="s">
        <v>23</v>
      </c>
      <c r="N970" t="str">
        <v>Normal Order</v>
      </c>
    </row>
    <row r="971" spans="1:14">
      <c r="A971" s="7" t="s">
        <v>1612</v>
      </c>
      <c r="B971" s="8">
        <v>41877</v>
      </c>
      <c r="C971" s="8">
        <v>41878</v>
      </c>
      <c r="D971" s="7" t="s">
        <v>1613</v>
      </c>
      <c r="E971" s="7" t="s">
        <v>88</v>
      </c>
      <c r="F971" s="7" t="s">
        <v>89</v>
      </c>
      <c r="G971" s="7" t="s">
        <v>16</v>
      </c>
      <c r="H971" s="7" t="s">
        <v>2657</v>
      </c>
      <c r="I971" s="9">
        <v>1308.48</v>
      </c>
      <c r="J971" s="7">
        <v>3</v>
      </c>
      <c r="K971" s="11">
        <v>0</v>
      </c>
      <c r="L971" s="9">
        <v>13.08</v>
      </c>
      <c r="M971" s="7" t="s">
        <v>773</v>
      </c>
      <c r="N971" t="str">
        <v>Normal Order</v>
      </c>
    </row>
    <row r="972" spans="1:14">
      <c r="A972" s="7" t="s">
        <v>1614</v>
      </c>
      <c r="B972" s="8">
        <v>41284</v>
      </c>
      <c r="C972" s="8">
        <v>41554</v>
      </c>
      <c r="D972" s="7" t="s">
        <v>620</v>
      </c>
      <c r="E972" s="7" t="s">
        <v>105</v>
      </c>
      <c r="F972" s="7" t="s">
        <v>106</v>
      </c>
      <c r="G972" s="7" t="s">
        <v>28</v>
      </c>
      <c r="H972" s="7" t="s">
        <v>2657</v>
      </c>
      <c r="I972" s="9">
        <v>3547.44</v>
      </c>
      <c r="J972" s="7">
        <v>8</v>
      </c>
      <c r="K972" s="11">
        <v>0</v>
      </c>
      <c r="L972" s="9">
        <v>780.24</v>
      </c>
      <c r="M972" s="7" t="s">
        <v>17</v>
      </c>
      <c r="N972" t="str">
        <v>Bulk Order</v>
      </c>
    </row>
    <row r="973" spans="1:14">
      <c r="A973" s="7" t="s">
        <v>1615</v>
      </c>
      <c r="B973" s="8">
        <v>41815</v>
      </c>
      <c r="C973" s="8">
        <v>41816</v>
      </c>
      <c r="D973" s="7" t="s">
        <v>1052</v>
      </c>
      <c r="E973" s="7" t="s">
        <v>58</v>
      </c>
      <c r="F973" s="7" t="s">
        <v>81</v>
      </c>
      <c r="G973" s="7" t="s">
        <v>28</v>
      </c>
      <c r="H973" s="7" t="s">
        <v>2656</v>
      </c>
      <c r="I973" s="9">
        <v>724.8</v>
      </c>
      <c r="J973" s="7"/>
      <c r="K973" s="11">
        <v>0</v>
      </c>
      <c r="L973" s="9">
        <v>333.36</v>
      </c>
      <c r="M973" s="7" t="s">
        <v>32</v>
      </c>
      <c r="N973" t="str">
        <v>Normal Order</v>
      </c>
    </row>
    <row r="974" spans="1:14">
      <c r="A974" s="7" t="s">
        <v>1617</v>
      </c>
      <c r="B974" s="8">
        <v>42265</v>
      </c>
      <c r="C974" s="8">
        <v>42269</v>
      </c>
      <c r="D974" s="7" t="s">
        <v>196</v>
      </c>
      <c r="E974" s="7"/>
      <c r="F974" s="7" t="s">
        <v>234</v>
      </c>
      <c r="G974" s="7" t="s">
        <v>28</v>
      </c>
      <c r="H974" s="7" t="s">
        <v>2658</v>
      </c>
      <c r="I974" s="9">
        <v>1292.94</v>
      </c>
      <c r="J974" s="7">
        <v>3</v>
      </c>
      <c r="K974" s="11">
        <v>0</v>
      </c>
      <c r="L974" s="9">
        <v>77.576399999999893</v>
      </c>
      <c r="M974" s="7" t="s">
        <v>17</v>
      </c>
      <c r="N974" t="str">
        <v>Normal Order</v>
      </c>
    </row>
    <row r="975" spans="1:14">
      <c r="A975" s="7" t="s">
        <v>1618</v>
      </c>
      <c r="B975" s="8">
        <v>42115</v>
      </c>
      <c r="C975" s="8">
        <v>42118</v>
      </c>
      <c r="D975" s="7"/>
      <c r="E975" s="7" t="s">
        <v>1619</v>
      </c>
      <c r="F975" s="7" t="s">
        <v>53</v>
      </c>
      <c r="G975" s="7" t="s">
        <v>28</v>
      </c>
      <c r="H975" s="7" t="s">
        <v>2663</v>
      </c>
      <c r="I975" s="9">
        <v>803.52</v>
      </c>
      <c r="J975" s="7">
        <v>9</v>
      </c>
      <c r="K975" s="11">
        <v>0</v>
      </c>
      <c r="L975" s="9">
        <v>80.28</v>
      </c>
      <c r="M975" s="7" t="s">
        <v>32</v>
      </c>
      <c r="N975" t="str">
        <v>Bulk Order</v>
      </c>
    </row>
    <row r="976" spans="1:14">
      <c r="A976" s="7" t="s">
        <v>1596</v>
      </c>
      <c r="B976" s="8">
        <v>41199</v>
      </c>
      <c r="C976" s="8">
        <v>41201</v>
      </c>
      <c r="D976" s="7"/>
      <c r="E976" s="7" t="s">
        <v>35</v>
      </c>
      <c r="F976" s="7" t="s">
        <v>142</v>
      </c>
      <c r="G976" s="7" t="s">
        <v>39</v>
      </c>
      <c r="H976" s="7" t="s">
        <v>2655</v>
      </c>
      <c r="I976" s="9">
        <v>275.969999999999</v>
      </c>
      <c r="J976" s="7">
        <v>3</v>
      </c>
      <c r="K976" s="11">
        <v>0</v>
      </c>
      <c r="L976" s="9">
        <v>11.038799999999901</v>
      </c>
      <c r="M976" s="7" t="s">
        <v>17</v>
      </c>
      <c r="N976" t="str">
        <v>Normal Order</v>
      </c>
    </row>
    <row r="977" spans="1:14">
      <c r="A977" s="7" t="s">
        <v>1620</v>
      </c>
      <c r="B977" s="8">
        <v>42091</v>
      </c>
      <c r="C977" s="8">
        <v>42093</v>
      </c>
      <c r="D977" s="7" t="s">
        <v>1373</v>
      </c>
      <c r="E977" s="7" t="s">
        <v>88</v>
      </c>
      <c r="F977" s="7" t="s">
        <v>89</v>
      </c>
      <c r="G977" s="7" t="s">
        <v>28</v>
      </c>
      <c r="H977" s="7" t="s">
        <v>2655</v>
      </c>
      <c r="I977" s="9">
        <v>1011.69599999999</v>
      </c>
      <c r="J977" s="7">
        <v>7</v>
      </c>
      <c r="K977" s="11">
        <v>0.2</v>
      </c>
      <c r="L977" s="9">
        <v>126.335999999999</v>
      </c>
      <c r="M977" s="7" t="s">
        <v>32</v>
      </c>
      <c r="N977" t="str">
        <v>Bulk Order</v>
      </c>
    </row>
    <row r="978" spans="1:14">
      <c r="A978" s="7" t="s">
        <v>1621</v>
      </c>
      <c r="B978" s="8">
        <v>42255</v>
      </c>
      <c r="C978" s="8">
        <v>42259</v>
      </c>
      <c r="D978" s="7" t="s">
        <v>1622</v>
      </c>
      <c r="E978" s="7" t="s">
        <v>558</v>
      </c>
      <c r="F978" s="7" t="s">
        <v>1067</v>
      </c>
      <c r="G978" s="7" t="s">
        <v>28</v>
      </c>
      <c r="H978" s="7" t="s">
        <v>2657</v>
      </c>
      <c r="I978" s="9">
        <v>2419.1999999999998</v>
      </c>
      <c r="J978" s="7">
        <v>7</v>
      </c>
      <c r="K978" s="11">
        <v>0</v>
      </c>
      <c r="L978" s="9">
        <v>411.18</v>
      </c>
      <c r="M978" s="7" t="s">
        <v>32</v>
      </c>
      <c r="N978" t="str">
        <v>Bulk Order</v>
      </c>
    </row>
    <row r="979" spans="1:14">
      <c r="A979" s="7" t="s">
        <v>1623</v>
      </c>
      <c r="B979" s="7" t="s">
        <v>1624</v>
      </c>
      <c r="C979" s="8">
        <v>41963</v>
      </c>
      <c r="D979" s="7" t="s">
        <v>733</v>
      </c>
      <c r="E979" s="7" t="s">
        <v>110</v>
      </c>
      <c r="F979" s="7" t="s">
        <v>111</v>
      </c>
      <c r="G979" s="7" t="s">
        <v>39</v>
      </c>
      <c r="H979" s="7" t="s">
        <v>2658</v>
      </c>
      <c r="I979" s="9">
        <v>803.04</v>
      </c>
      <c r="J979" s="7">
        <v>5</v>
      </c>
      <c r="K979" s="11"/>
      <c r="L979" s="9">
        <v>180.64</v>
      </c>
      <c r="M979" s="7" t="s">
        <v>32</v>
      </c>
      <c r="N979" t="str">
        <v>Normal Order</v>
      </c>
    </row>
    <row r="980" spans="1:14">
      <c r="A980" s="7" t="s">
        <v>1625</v>
      </c>
      <c r="B980" s="8">
        <v>42294</v>
      </c>
      <c r="C980" s="8">
        <v>42297</v>
      </c>
      <c r="D980" s="7" t="s">
        <v>956</v>
      </c>
      <c r="E980" s="7" t="s">
        <v>1626</v>
      </c>
      <c r="F980" s="7" t="s">
        <v>111</v>
      </c>
      <c r="G980" s="7" t="s">
        <v>28</v>
      </c>
      <c r="H980" s="7" t="s">
        <v>2658</v>
      </c>
      <c r="I980" s="9">
        <v>1773.71999999999</v>
      </c>
      <c r="J980" s="7">
        <v>6</v>
      </c>
      <c r="K980" s="11">
        <v>0</v>
      </c>
      <c r="L980" s="9">
        <v>212.76</v>
      </c>
      <c r="M980" s="7" t="s">
        <v>32</v>
      </c>
      <c r="N980" t="str">
        <v>Bulk Order</v>
      </c>
    </row>
    <row r="981" spans="1:14">
      <c r="A981" s="7" t="s">
        <v>1627</v>
      </c>
      <c r="B981" s="8">
        <v>41340</v>
      </c>
      <c r="C981" s="8">
        <v>41345</v>
      </c>
      <c r="D981" s="7" t="s">
        <v>349</v>
      </c>
      <c r="E981" s="7" t="s">
        <v>84</v>
      </c>
      <c r="F981" s="7" t="s">
        <v>85</v>
      </c>
      <c r="G981" s="7" t="s">
        <v>16</v>
      </c>
      <c r="H981" s="7" t="s">
        <v>2661</v>
      </c>
      <c r="I981" s="9">
        <v>1893.3</v>
      </c>
      <c r="J981" s="7">
        <v>5</v>
      </c>
      <c r="K981" s="11">
        <v>0</v>
      </c>
      <c r="L981" s="9">
        <v>927.6</v>
      </c>
      <c r="M981" s="7" t="s">
        <v>17</v>
      </c>
      <c r="N981" t="str">
        <v>Normal Order</v>
      </c>
    </row>
    <row r="982" spans="1:14">
      <c r="A982" s="7" t="s">
        <v>1000</v>
      </c>
      <c r="B982" s="8">
        <v>42110</v>
      </c>
      <c r="C982" s="7"/>
      <c r="D982" s="7"/>
      <c r="E982" s="7"/>
      <c r="F982" s="7" t="s">
        <v>85</v>
      </c>
      <c r="G982" s="7" t="s">
        <v>16</v>
      </c>
      <c r="H982" s="7" t="s">
        <v>2658</v>
      </c>
      <c r="I982" s="9">
        <v>777.24</v>
      </c>
      <c r="J982" s="7">
        <v>4</v>
      </c>
      <c r="K982" s="11">
        <v>0</v>
      </c>
      <c r="L982" s="9">
        <v>170.88</v>
      </c>
      <c r="M982" s="7" t="s">
        <v>396</v>
      </c>
      <c r="N982" t="str">
        <v>Normal Order</v>
      </c>
    </row>
    <row r="983" spans="1:14">
      <c r="A983" s="7" t="s">
        <v>1628</v>
      </c>
      <c r="B983" s="7"/>
      <c r="C983" s="8">
        <v>41445</v>
      </c>
      <c r="D983" s="7" t="s">
        <v>1629</v>
      </c>
      <c r="E983" s="7" t="s">
        <v>14</v>
      </c>
      <c r="F983" s="7" t="s">
        <v>15</v>
      </c>
      <c r="G983" s="7" t="s">
        <v>39</v>
      </c>
      <c r="H983" s="7" t="s">
        <v>2657</v>
      </c>
      <c r="I983" s="9">
        <v>689.09399999999903</v>
      </c>
      <c r="J983" s="7">
        <v>14</v>
      </c>
      <c r="K983" s="11">
        <v>0.1</v>
      </c>
      <c r="L983" s="9">
        <v>-53.885999999999903</v>
      </c>
      <c r="M983" s="7" t="s">
        <v>23</v>
      </c>
      <c r="N983" t="str">
        <v>Bulk Order</v>
      </c>
    </row>
    <row r="984" spans="1:14">
      <c r="A984" s="7" t="s">
        <v>752</v>
      </c>
      <c r="B984" s="8">
        <v>41103</v>
      </c>
      <c r="C984" s="8">
        <v>41104</v>
      </c>
      <c r="D984" s="7" t="s">
        <v>753</v>
      </c>
      <c r="E984" s="7" t="s">
        <v>84</v>
      </c>
      <c r="F984" s="7" t="s">
        <v>85</v>
      </c>
      <c r="G984" s="7" t="s">
        <v>16</v>
      </c>
      <c r="H984" s="7" t="s">
        <v>2657</v>
      </c>
      <c r="I984" s="9">
        <v>737.91</v>
      </c>
      <c r="J984" s="7">
        <v>6</v>
      </c>
      <c r="K984" s="11">
        <v>0.1</v>
      </c>
      <c r="L984" s="9">
        <v>-8.3699999999999992</v>
      </c>
      <c r="M984" s="7" t="s">
        <v>23</v>
      </c>
      <c r="N984" t="str">
        <v>Bulk Order</v>
      </c>
    </row>
    <row r="985" spans="1:14">
      <c r="A985" s="7" t="s">
        <v>1630</v>
      </c>
      <c r="B985" s="8">
        <v>41789</v>
      </c>
      <c r="C985" s="8">
        <v>41794</v>
      </c>
      <c r="D985" s="7" t="s">
        <v>1631</v>
      </c>
      <c r="E985" s="7" t="s">
        <v>20</v>
      </c>
      <c r="F985" s="7" t="s">
        <v>63</v>
      </c>
      <c r="G985" s="7" t="s">
        <v>16</v>
      </c>
      <c r="H985" s="7" t="s">
        <v>2664</v>
      </c>
      <c r="I985" s="9">
        <v>2570.7599999999902</v>
      </c>
      <c r="J985" s="7">
        <v>4</v>
      </c>
      <c r="K985" s="11">
        <v>0</v>
      </c>
      <c r="L985" s="9">
        <v>976.8</v>
      </c>
      <c r="M985" s="7" t="s">
        <v>17</v>
      </c>
      <c r="N985" t="str">
        <v>Normal Order</v>
      </c>
    </row>
    <row r="986" spans="1:14">
      <c r="A986" s="7" t="s">
        <v>1632</v>
      </c>
      <c r="B986" s="8">
        <v>41807</v>
      </c>
      <c r="C986" s="8">
        <v>41810</v>
      </c>
      <c r="D986" s="7" t="s">
        <v>465</v>
      </c>
      <c r="E986" s="7" t="s">
        <v>84</v>
      </c>
      <c r="F986" s="7" t="s">
        <v>85</v>
      </c>
      <c r="G986" s="7" t="s">
        <v>16</v>
      </c>
      <c r="H986" s="7" t="s">
        <v>2656</v>
      </c>
      <c r="I986" s="9">
        <v>1199.76</v>
      </c>
      <c r="J986" s="7">
        <v>4</v>
      </c>
      <c r="K986" s="11">
        <v>0</v>
      </c>
      <c r="L986" s="9">
        <v>479.88</v>
      </c>
      <c r="M986" s="7" t="s">
        <v>17</v>
      </c>
      <c r="N986" t="str">
        <v>Normal Order</v>
      </c>
    </row>
    <row r="987" spans="1:14">
      <c r="A987" s="7"/>
      <c r="B987" s="7"/>
      <c r="C987" s="8">
        <v>42092</v>
      </c>
      <c r="D987" s="7" t="s">
        <v>1633</v>
      </c>
      <c r="E987" s="7" t="s">
        <v>58</v>
      </c>
      <c r="F987" s="7" t="s">
        <v>81</v>
      </c>
      <c r="G987" s="7" t="s">
        <v>16</v>
      </c>
      <c r="H987" s="7" t="s">
        <v>2656</v>
      </c>
      <c r="I987" s="9">
        <v>3216.24</v>
      </c>
      <c r="J987" s="7">
        <v>9</v>
      </c>
      <c r="K987" s="11">
        <v>0</v>
      </c>
      <c r="L987" s="9">
        <v>96.389999999999901</v>
      </c>
      <c r="M987" s="7" t="s">
        <v>32</v>
      </c>
      <c r="N987" t="str">
        <v>Bulk Order</v>
      </c>
    </row>
    <row r="988" spans="1:14">
      <c r="A988" s="7" t="s">
        <v>1634</v>
      </c>
      <c r="B988" s="8">
        <v>41166</v>
      </c>
      <c r="C988" s="8">
        <v>41168</v>
      </c>
      <c r="D988" s="7" t="s">
        <v>1490</v>
      </c>
      <c r="E988" s="7" t="s">
        <v>52</v>
      </c>
      <c r="F988" s="7" t="s">
        <v>53</v>
      </c>
      <c r="G988" s="7" t="s">
        <v>28</v>
      </c>
      <c r="H988" s="7" t="s">
        <v>2657</v>
      </c>
      <c r="I988" s="9">
        <v>1274.24</v>
      </c>
      <c r="J988" s="7"/>
      <c r="K988" s="11"/>
      <c r="L988" s="9">
        <v>-127.46</v>
      </c>
      <c r="M988" s="7" t="s">
        <v>32</v>
      </c>
      <c r="N988" t="str">
        <v>Normal Order</v>
      </c>
    </row>
    <row r="989" spans="1:14">
      <c r="A989" s="7" t="s">
        <v>1635</v>
      </c>
      <c r="B989" s="8">
        <v>41537</v>
      </c>
      <c r="C989" s="8">
        <v>41542</v>
      </c>
      <c r="D989" s="7" t="s">
        <v>1414</v>
      </c>
      <c r="E989" s="7" t="s">
        <v>707</v>
      </c>
      <c r="F989" s="7" t="s">
        <v>404</v>
      </c>
      <c r="G989" s="7" t="s">
        <v>39</v>
      </c>
      <c r="H989" s="7" t="s">
        <v>2657</v>
      </c>
      <c r="I989" s="9">
        <v>2145.7199999999998</v>
      </c>
      <c r="J989" s="7">
        <v>4</v>
      </c>
      <c r="K989" s="11">
        <v>0</v>
      </c>
      <c r="L989" s="9">
        <v>364.68</v>
      </c>
      <c r="M989" s="7" t="s">
        <v>17</v>
      </c>
      <c r="N989" t="str">
        <v>Normal Order</v>
      </c>
    </row>
    <row r="990" spans="1:14">
      <c r="A990" s="7" t="s">
        <v>1596</v>
      </c>
      <c r="B990" s="8">
        <v>41199</v>
      </c>
      <c r="C990" s="8">
        <v>41201</v>
      </c>
      <c r="D990" s="7" t="s">
        <v>196</v>
      </c>
      <c r="E990" s="7" t="s">
        <v>35</v>
      </c>
      <c r="F990" s="7" t="s">
        <v>142</v>
      </c>
      <c r="G990" s="7" t="s">
        <v>28</v>
      </c>
      <c r="H990" s="7" t="s">
        <v>2658</v>
      </c>
      <c r="I990" s="9"/>
      <c r="J990" s="7">
        <v>6</v>
      </c>
      <c r="K990" s="11">
        <v>0</v>
      </c>
      <c r="L990" s="9">
        <v>70.964399999999898</v>
      </c>
      <c r="M990" s="7" t="s">
        <v>17</v>
      </c>
      <c r="N990" t="str">
        <v>Bulk Order</v>
      </c>
    </row>
    <row r="991" spans="1:14">
      <c r="A991" s="7" t="s">
        <v>93</v>
      </c>
      <c r="B991" s="8">
        <v>41259</v>
      </c>
      <c r="C991" s="8">
        <v>41262</v>
      </c>
      <c r="D991" s="7" t="s">
        <v>94</v>
      </c>
      <c r="E991" s="7" t="s">
        <v>1636</v>
      </c>
      <c r="F991" s="7" t="s">
        <v>81</v>
      </c>
      <c r="G991" s="7" t="s">
        <v>28</v>
      </c>
      <c r="H991" s="7" t="s">
        <v>2661</v>
      </c>
      <c r="I991" s="9">
        <v>882.15</v>
      </c>
      <c r="J991" s="7">
        <v>5</v>
      </c>
      <c r="K991" s="11">
        <v>0</v>
      </c>
      <c r="L991" s="9">
        <v>114.6</v>
      </c>
      <c r="M991" s="7"/>
      <c r="N991" t="str">
        <v>Normal Order</v>
      </c>
    </row>
    <row r="992" spans="1:14">
      <c r="A992" s="7" t="s">
        <v>1617</v>
      </c>
      <c r="B992" s="8">
        <v>42265</v>
      </c>
      <c r="C992" s="8">
        <v>42269</v>
      </c>
      <c r="D992" s="7" t="s">
        <v>196</v>
      </c>
      <c r="E992" s="7" t="s">
        <v>35</v>
      </c>
      <c r="F992" s="7" t="s">
        <v>38</v>
      </c>
      <c r="G992" s="7" t="s">
        <v>39</v>
      </c>
      <c r="H992" s="7" t="s">
        <v>2659</v>
      </c>
      <c r="I992" s="9">
        <v>164.88</v>
      </c>
      <c r="J992" s="7">
        <v>3</v>
      </c>
      <c r="K992" s="11">
        <v>0</v>
      </c>
      <c r="L992" s="9">
        <v>446.49793718379902</v>
      </c>
      <c r="M992" s="7" t="s">
        <v>17</v>
      </c>
      <c r="N992" t="str">
        <v>Normal Order</v>
      </c>
    </row>
    <row r="993" spans="1:14">
      <c r="A993" s="7" t="s">
        <v>1637</v>
      </c>
      <c r="B993" s="8">
        <v>41141</v>
      </c>
      <c r="C993" s="8">
        <v>41141</v>
      </c>
      <c r="D993" s="7" t="s">
        <v>1638</v>
      </c>
      <c r="E993" s="7" t="s">
        <v>62</v>
      </c>
      <c r="F993" s="7" t="s">
        <v>63</v>
      </c>
      <c r="G993" s="7" t="s">
        <v>39</v>
      </c>
      <c r="H993" s="7" t="s">
        <v>2655</v>
      </c>
      <c r="I993" s="9">
        <v>895.05</v>
      </c>
      <c r="J993" s="7">
        <v>5</v>
      </c>
      <c r="K993" s="11">
        <v>0.1</v>
      </c>
      <c r="L993" s="9">
        <v>178.95</v>
      </c>
      <c r="M993" s="7" t="s">
        <v>32</v>
      </c>
      <c r="N993" t="str">
        <v>Normal Order</v>
      </c>
    </row>
    <row r="994" spans="1:14">
      <c r="A994" s="7" t="s">
        <v>1639</v>
      </c>
      <c r="B994" s="8">
        <v>41541</v>
      </c>
      <c r="C994" s="10">
        <v>41545</v>
      </c>
      <c r="D994" s="7" t="s">
        <v>305</v>
      </c>
      <c r="E994" s="7" t="s">
        <v>1640</v>
      </c>
      <c r="F994" s="7" t="s">
        <v>1641</v>
      </c>
      <c r="G994" s="7" t="s">
        <v>16</v>
      </c>
      <c r="H994" s="7" t="s">
        <v>2659</v>
      </c>
      <c r="I994" s="9">
        <v>1570.1759999999999</v>
      </c>
      <c r="J994" s="7">
        <v>4</v>
      </c>
      <c r="K994" s="11">
        <v>0.4</v>
      </c>
      <c r="L994" s="9"/>
      <c r="M994" s="7" t="s">
        <v>32</v>
      </c>
      <c r="N994" t="str">
        <v>Normal Order</v>
      </c>
    </row>
    <row r="995" spans="1:14">
      <c r="A995" s="7" t="s">
        <v>1642</v>
      </c>
      <c r="B995" s="8">
        <v>42095</v>
      </c>
      <c r="C995" s="8">
        <v>42099</v>
      </c>
      <c r="D995" s="7" t="s">
        <v>1193</v>
      </c>
      <c r="E995" s="7" t="s">
        <v>58</v>
      </c>
      <c r="F995" s="7" t="s">
        <v>81</v>
      </c>
      <c r="G995" s="7" t="s">
        <v>28</v>
      </c>
      <c r="H995" s="7" t="s">
        <v>2664</v>
      </c>
      <c r="I995" s="9">
        <v>2614.6889999999898</v>
      </c>
      <c r="J995" s="7">
        <v>7</v>
      </c>
      <c r="K995" s="11">
        <v>0.3</v>
      </c>
      <c r="L995" s="9">
        <v>-821.96099999999899</v>
      </c>
      <c r="M995" s="7" t="s">
        <v>17</v>
      </c>
      <c r="N995" t="str">
        <v>Bulk Order</v>
      </c>
    </row>
    <row r="996" spans="1:14">
      <c r="A996" s="7" t="s">
        <v>1643</v>
      </c>
      <c r="B996" s="8">
        <v>42347</v>
      </c>
      <c r="C996" s="8">
        <v>42351</v>
      </c>
      <c r="D996" s="7" t="s">
        <v>196</v>
      </c>
      <c r="E996" s="7"/>
      <c r="F996" s="7" t="s">
        <v>38</v>
      </c>
      <c r="G996" s="7"/>
      <c r="H996" s="7" t="s">
        <v>2656</v>
      </c>
      <c r="I996" s="9">
        <v>69.48</v>
      </c>
      <c r="J996" s="7">
        <v>1</v>
      </c>
      <c r="K996" s="11">
        <v>0</v>
      </c>
      <c r="L996" s="9">
        <v>20.843999999999902</v>
      </c>
      <c r="M996" s="7" t="s">
        <v>32</v>
      </c>
      <c r="N996" t="str">
        <v>Normal Order</v>
      </c>
    </row>
    <row r="997" spans="1:14">
      <c r="A997" s="7" t="s">
        <v>1118</v>
      </c>
      <c r="B997" s="8">
        <v>41929</v>
      </c>
      <c r="C997" s="8">
        <v>41931</v>
      </c>
      <c r="D997" s="7" t="s">
        <v>1119</v>
      </c>
      <c r="E997" s="7" t="s">
        <v>27</v>
      </c>
      <c r="F997" s="7" t="s">
        <v>15</v>
      </c>
      <c r="G997" s="7" t="s">
        <v>16</v>
      </c>
      <c r="H997" s="7" t="s">
        <v>2658</v>
      </c>
      <c r="I997" s="9">
        <v>636.78</v>
      </c>
      <c r="J997" s="7">
        <v>2</v>
      </c>
      <c r="K997" s="11">
        <v>0</v>
      </c>
      <c r="L997" s="9">
        <v>286.5</v>
      </c>
      <c r="M997" s="7" t="s">
        <v>23</v>
      </c>
      <c r="N997" t="str">
        <v>Normal Order</v>
      </c>
    </row>
    <row r="998" spans="1:14">
      <c r="A998" s="7" t="s">
        <v>1644</v>
      </c>
      <c r="B998" s="7" t="s">
        <v>1645</v>
      </c>
      <c r="C998" s="8">
        <v>41665</v>
      </c>
      <c r="D998" s="7" t="s">
        <v>962</v>
      </c>
      <c r="E998" s="7" t="s">
        <v>52</v>
      </c>
      <c r="F998" s="7" t="s">
        <v>1646</v>
      </c>
      <c r="G998" s="7" t="s">
        <v>28</v>
      </c>
      <c r="H998" s="7" t="s">
        <v>2661</v>
      </c>
      <c r="I998" s="9">
        <v>2751.2</v>
      </c>
      <c r="J998" s="7">
        <v>10</v>
      </c>
      <c r="K998" s="11"/>
      <c r="L998" s="9">
        <v>110</v>
      </c>
      <c r="M998" s="7" t="s">
        <v>17</v>
      </c>
      <c r="N998" t="str">
        <v>Bulk Order</v>
      </c>
    </row>
    <row r="999" spans="1:14">
      <c r="A999" s="7" t="s">
        <v>1648</v>
      </c>
      <c r="B999" s="8">
        <v>42348</v>
      </c>
      <c r="C999" s="8">
        <v>42352</v>
      </c>
      <c r="D999" s="7" t="s">
        <v>1218</v>
      </c>
      <c r="E999" s="7" t="s">
        <v>310</v>
      </c>
      <c r="F999" s="7" t="s">
        <v>132</v>
      </c>
      <c r="G999" s="7" t="s">
        <v>16</v>
      </c>
      <c r="H999" s="7" t="s">
        <v>2657</v>
      </c>
      <c r="I999" s="9">
        <v>1587.0014999999901</v>
      </c>
      <c r="J999" s="7">
        <v>3</v>
      </c>
      <c r="K999" s="11">
        <v>0.17</v>
      </c>
      <c r="L999" s="9">
        <v>-76.558499999999896</v>
      </c>
      <c r="M999" s="7" t="s">
        <v>17</v>
      </c>
      <c r="N999" t="str">
        <v>Normal Order</v>
      </c>
    </row>
    <row r="1000" spans="1:14">
      <c r="A1000" s="7"/>
      <c r="B1000" s="10">
        <v>41060</v>
      </c>
      <c r="C1000" s="8">
        <v>41062</v>
      </c>
      <c r="D1000" s="7" t="s">
        <v>264</v>
      </c>
      <c r="E1000" s="7" t="s">
        <v>131</v>
      </c>
      <c r="F1000" s="7" t="s">
        <v>132</v>
      </c>
      <c r="G1000" s="7" t="s">
        <v>28</v>
      </c>
      <c r="H1000" s="7" t="s">
        <v>2663</v>
      </c>
      <c r="I1000" s="9">
        <v>1037.7095999999999</v>
      </c>
      <c r="J1000" s="7">
        <v>8</v>
      </c>
      <c r="K1000" s="11">
        <v>0.27</v>
      </c>
      <c r="L1000" s="9">
        <v>298.50959999999901</v>
      </c>
      <c r="M1000" s="7" t="s">
        <v>17</v>
      </c>
      <c r="N1000" t="str">
        <v>Bulk Order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C54C-14D1-4DD9-AA5B-F083F92431CC}">
  <dimension ref="C4:R22"/>
  <sheetViews>
    <sheetView tabSelected="1" workbookViewId="0">
      <selection activeCell="M15" sqref="M15"/>
    </sheetView>
  </sheetViews>
  <sheetFormatPr defaultRowHeight="15"/>
  <sheetData>
    <row r="4" spans="3:18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3:18" ht="15.75">
      <c r="C5" s="5" t="s">
        <v>2670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1"/>
    </row>
    <row r="6" spans="3:18" ht="15.75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21"/>
    </row>
    <row r="7" spans="3:18" ht="15.75">
      <c r="C7" s="5" t="s">
        <v>2671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21"/>
    </row>
    <row r="8" spans="3:18" ht="15.75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21"/>
    </row>
    <row r="9" spans="3:18" ht="15.75">
      <c r="C9" s="5" t="s">
        <v>2672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21"/>
    </row>
    <row r="10" spans="3:18" ht="15.7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21"/>
    </row>
    <row r="11" spans="3:18" ht="15.75">
      <c r="C11" s="5" t="s">
        <v>2673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21"/>
    </row>
    <row r="12" spans="3:18" ht="15.7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21"/>
    </row>
    <row r="13" spans="3:18" ht="15.7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21"/>
    </row>
    <row r="14" spans="3:18" ht="15.7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21"/>
    </row>
    <row r="15" spans="3:18" ht="15.75"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3:18">
      <c r="E16" s="4"/>
    </row>
    <row r="18" spans="5:5">
      <c r="E18" s="4"/>
    </row>
    <row r="20" spans="5:5">
      <c r="E20" s="4"/>
    </row>
    <row r="22" spans="5:5">
      <c r="E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Dataset cleaning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Sivasri S</cp:lastModifiedBy>
  <dcterms:created xsi:type="dcterms:W3CDTF">2025-06-05T16:15:03Z</dcterms:created>
  <dcterms:modified xsi:type="dcterms:W3CDTF">2026-06-28T10:37:05Z</dcterms:modified>
</cp:coreProperties>
</file>