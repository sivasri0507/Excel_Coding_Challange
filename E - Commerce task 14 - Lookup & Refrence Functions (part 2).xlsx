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1066" documentId="8_{8C88C624-D8D3-436F-B17D-02148EF94C35}" xr6:coauthVersionLast="47" xr6:coauthVersionMax="47" xr10:uidLastSave="{4B30C111-42E4-4798-8BB4-C3A90BEA56B6}"/>
  <bookViews>
    <workbookView xWindow="-120" yWindow="-120" windowWidth="20730" windowHeight="11040" firstSheet="2" activeTab="3" xr2:uid="{3BC30A1A-068A-4F53-B0CA-C34CE1B7B5BE}"/>
  </bookViews>
  <sheets>
    <sheet name="orders" sheetId="1" r:id="rId1"/>
    <sheet name="Dataset cleaning" sheetId="5" r:id="rId2"/>
    <sheet name="LOOKUP" sheetId="6" r:id="rId3"/>
    <sheet name="Observation" sheetId="7" r:id="rId4"/>
  </sheets>
  <externalReferences>
    <externalReference r:id="rId5"/>
  </externalReference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79" i="5" l="1"/>
  <c r="AE878" i="5"/>
  <c r="AE877" i="5"/>
  <c r="AE876" i="5"/>
  <c r="AE875" i="5"/>
  <c r="AE874" i="5"/>
  <c r="AE873" i="5"/>
  <c r="AE872" i="5"/>
  <c r="AE871" i="5"/>
  <c r="AE870" i="5"/>
  <c r="AE869" i="5"/>
  <c r="AE868" i="5"/>
  <c r="AE867" i="5"/>
  <c r="AE866" i="5"/>
  <c r="AE865" i="5"/>
  <c r="AE864" i="5"/>
  <c r="AE863" i="5"/>
  <c r="AE862" i="5"/>
  <c r="AE861" i="5"/>
  <c r="AE860" i="5"/>
  <c r="AE859" i="5"/>
  <c r="AE858" i="5"/>
  <c r="AE857" i="5"/>
  <c r="AE856" i="5"/>
  <c r="AE855" i="5"/>
  <c r="AE854" i="5"/>
  <c r="AE853" i="5"/>
  <c r="AE852" i="5"/>
  <c r="AE851" i="5"/>
  <c r="AE850" i="5"/>
  <c r="AE849" i="5"/>
  <c r="AE848" i="5"/>
  <c r="AE847" i="5"/>
  <c r="AE846" i="5"/>
  <c r="AE845" i="5"/>
  <c r="AE844" i="5"/>
  <c r="AE843" i="5"/>
  <c r="AE842" i="5"/>
  <c r="AE841" i="5"/>
  <c r="AE840" i="5"/>
  <c r="AE839" i="5"/>
  <c r="AE838" i="5"/>
  <c r="AE837" i="5"/>
  <c r="AE836" i="5"/>
  <c r="AE835" i="5"/>
  <c r="AE834" i="5"/>
  <c r="AE833" i="5"/>
  <c r="AE832" i="5"/>
  <c r="AE831" i="5"/>
  <c r="AE830" i="5"/>
  <c r="AE829" i="5"/>
  <c r="AE828" i="5"/>
  <c r="AE827" i="5"/>
  <c r="AE826" i="5"/>
  <c r="AE825" i="5"/>
  <c r="AE824" i="5"/>
  <c r="AE823" i="5"/>
  <c r="AE822" i="5"/>
  <c r="AE821" i="5"/>
  <c r="AE820" i="5"/>
  <c r="AE819" i="5"/>
  <c r="AE818" i="5"/>
  <c r="AE817" i="5"/>
  <c r="AE816" i="5"/>
  <c r="AE815" i="5"/>
  <c r="AE814" i="5"/>
  <c r="AE813" i="5"/>
  <c r="AE812" i="5"/>
  <c r="AE811" i="5"/>
  <c r="AE810" i="5"/>
  <c r="AE809" i="5"/>
  <c r="AE808" i="5"/>
  <c r="AE807" i="5"/>
  <c r="AE806" i="5"/>
  <c r="AE805" i="5"/>
  <c r="AE804" i="5"/>
  <c r="AE803" i="5"/>
  <c r="AE802" i="5"/>
  <c r="AE801" i="5"/>
  <c r="AE800" i="5"/>
  <c r="AE799" i="5"/>
  <c r="AE798" i="5"/>
  <c r="AE797" i="5"/>
  <c r="AE796" i="5"/>
  <c r="AE795" i="5"/>
  <c r="AE794" i="5"/>
  <c r="AE793" i="5"/>
  <c r="AE792" i="5"/>
  <c r="AE791" i="5"/>
  <c r="AE790" i="5"/>
  <c r="AE789" i="5"/>
  <c r="AE788" i="5"/>
  <c r="AE787" i="5"/>
  <c r="AE786" i="5"/>
  <c r="AE785" i="5"/>
  <c r="AE784" i="5"/>
  <c r="AE783" i="5"/>
  <c r="AE782" i="5"/>
  <c r="AE781" i="5"/>
  <c r="AE780" i="5"/>
  <c r="AE779" i="5"/>
  <c r="AE778" i="5"/>
  <c r="AE777" i="5"/>
  <c r="AE776" i="5"/>
  <c r="AE775" i="5"/>
  <c r="AE774" i="5"/>
  <c r="AE773" i="5"/>
  <c r="AE772" i="5"/>
  <c r="AE771" i="5"/>
  <c r="AE770" i="5"/>
  <c r="AE769" i="5"/>
  <c r="AE768" i="5"/>
  <c r="AE767" i="5"/>
  <c r="AE766" i="5"/>
  <c r="AE765" i="5"/>
  <c r="AE764" i="5"/>
  <c r="AE763" i="5"/>
  <c r="AE762" i="5"/>
  <c r="AE761" i="5"/>
  <c r="AE760" i="5"/>
  <c r="AE759" i="5"/>
  <c r="AE758" i="5"/>
  <c r="AE757" i="5"/>
  <c r="AE756" i="5"/>
  <c r="AE755" i="5"/>
  <c r="AE754" i="5"/>
  <c r="AE753" i="5"/>
  <c r="AE752" i="5"/>
  <c r="AE751" i="5"/>
  <c r="AE750" i="5"/>
  <c r="AE749" i="5"/>
  <c r="AE748" i="5"/>
  <c r="AE747" i="5"/>
  <c r="AE746" i="5"/>
  <c r="AE745" i="5"/>
  <c r="AE744" i="5"/>
  <c r="AE743" i="5"/>
  <c r="AE742" i="5"/>
  <c r="AE741" i="5"/>
  <c r="AE740" i="5"/>
  <c r="AE739" i="5"/>
  <c r="AE738" i="5"/>
  <c r="AE737" i="5"/>
  <c r="AE736" i="5"/>
  <c r="AE735" i="5"/>
  <c r="AE734" i="5"/>
  <c r="AE733" i="5"/>
  <c r="AE732" i="5"/>
  <c r="AE731" i="5"/>
  <c r="AE730" i="5"/>
  <c r="AE729" i="5"/>
  <c r="AE728" i="5"/>
  <c r="AE727" i="5"/>
  <c r="AE726" i="5"/>
  <c r="AE725" i="5"/>
  <c r="AE724" i="5"/>
  <c r="AE723" i="5"/>
  <c r="AE722" i="5"/>
  <c r="AE721" i="5"/>
  <c r="AE720" i="5"/>
  <c r="AE719" i="5"/>
  <c r="AE718" i="5"/>
  <c r="AE717" i="5"/>
  <c r="AE716" i="5"/>
  <c r="AE715" i="5"/>
  <c r="AE714" i="5"/>
  <c r="AE713" i="5"/>
  <c r="AE712" i="5"/>
  <c r="AE711" i="5"/>
  <c r="AE710" i="5"/>
  <c r="AE709" i="5"/>
  <c r="AE708" i="5"/>
  <c r="AE707" i="5"/>
  <c r="AE706" i="5"/>
  <c r="AE705" i="5"/>
  <c r="AE704" i="5"/>
  <c r="AE703" i="5"/>
  <c r="AE702" i="5"/>
  <c r="AE701" i="5"/>
  <c r="AE700" i="5"/>
  <c r="AE699" i="5"/>
  <c r="AE698" i="5"/>
  <c r="AE697" i="5"/>
  <c r="AE696" i="5"/>
  <c r="AE695" i="5"/>
  <c r="AE694" i="5"/>
  <c r="AE693" i="5"/>
  <c r="AE692" i="5"/>
  <c r="AE691" i="5"/>
  <c r="AE690" i="5"/>
  <c r="AE689" i="5"/>
  <c r="AE688" i="5"/>
  <c r="AE687" i="5"/>
  <c r="AE686" i="5"/>
  <c r="AE685" i="5"/>
  <c r="AE684" i="5"/>
  <c r="AE683" i="5"/>
  <c r="AE682" i="5"/>
  <c r="AE681" i="5"/>
  <c r="AE680" i="5"/>
  <c r="AE679" i="5"/>
  <c r="AE678" i="5"/>
  <c r="AE677" i="5"/>
  <c r="AE676" i="5"/>
  <c r="AE675" i="5"/>
  <c r="AE674" i="5"/>
  <c r="AE673" i="5"/>
  <c r="AE672" i="5"/>
  <c r="AE671" i="5"/>
  <c r="AE670" i="5"/>
  <c r="AE669" i="5"/>
  <c r="AE668" i="5"/>
  <c r="AE667" i="5"/>
  <c r="AE666" i="5"/>
  <c r="AE665" i="5"/>
  <c r="AE664" i="5"/>
  <c r="AE663" i="5"/>
  <c r="AE662" i="5"/>
  <c r="AE661" i="5"/>
  <c r="AE660" i="5"/>
  <c r="AE659" i="5"/>
  <c r="AE658" i="5"/>
  <c r="AE657" i="5"/>
  <c r="AE656" i="5"/>
  <c r="AE655" i="5"/>
  <c r="AE654" i="5"/>
  <c r="AE653" i="5"/>
  <c r="AE652" i="5"/>
  <c r="AE651" i="5"/>
  <c r="AE650" i="5"/>
  <c r="AE649" i="5"/>
  <c r="AE648" i="5"/>
  <c r="AE647" i="5"/>
  <c r="AE646" i="5"/>
  <c r="AE645" i="5"/>
  <c r="AE644" i="5"/>
  <c r="AE643" i="5"/>
  <c r="AE642" i="5"/>
  <c r="AE641" i="5"/>
  <c r="AE640" i="5"/>
  <c r="AE639" i="5"/>
  <c r="AE638" i="5"/>
  <c r="AE637" i="5"/>
  <c r="AE636" i="5"/>
  <c r="AE635" i="5"/>
  <c r="AE634" i="5"/>
  <c r="AE633" i="5"/>
  <c r="AE632" i="5"/>
  <c r="AE631" i="5"/>
  <c r="AE630" i="5"/>
  <c r="AE629" i="5"/>
  <c r="AE628" i="5"/>
  <c r="AE627" i="5"/>
  <c r="AE626" i="5"/>
  <c r="AE625" i="5"/>
  <c r="AE624" i="5"/>
  <c r="AE623" i="5"/>
  <c r="AE622" i="5"/>
  <c r="AE621" i="5"/>
  <c r="AE620" i="5"/>
  <c r="AE619" i="5"/>
  <c r="AE618" i="5"/>
  <c r="AE617" i="5"/>
  <c r="AE616" i="5"/>
  <c r="AE615" i="5"/>
  <c r="AE614" i="5"/>
  <c r="AE613" i="5"/>
  <c r="AE612" i="5"/>
  <c r="AE611" i="5"/>
  <c r="AE610" i="5"/>
  <c r="AE609" i="5"/>
  <c r="AE608" i="5"/>
  <c r="AE607" i="5"/>
  <c r="AE606" i="5"/>
  <c r="AE605" i="5"/>
  <c r="AE604" i="5"/>
  <c r="AE603" i="5"/>
  <c r="AE602" i="5"/>
  <c r="AE601" i="5"/>
  <c r="AE600" i="5"/>
  <c r="AE599" i="5"/>
  <c r="AE598" i="5"/>
  <c r="AE597" i="5"/>
  <c r="AE596" i="5"/>
  <c r="AE595" i="5"/>
  <c r="AE594" i="5"/>
  <c r="AE593" i="5"/>
  <c r="AE592" i="5"/>
  <c r="AE591" i="5"/>
  <c r="AE590" i="5"/>
  <c r="AE589" i="5"/>
  <c r="AE588" i="5"/>
  <c r="AE587" i="5"/>
  <c r="AE586" i="5"/>
  <c r="AE585" i="5"/>
  <c r="AE584" i="5"/>
  <c r="AE583" i="5"/>
  <c r="AE582" i="5"/>
  <c r="AE581" i="5"/>
  <c r="AE580" i="5"/>
  <c r="AE579" i="5"/>
  <c r="AE578" i="5"/>
  <c r="AE577" i="5"/>
  <c r="AE576" i="5"/>
  <c r="AE575" i="5"/>
  <c r="AE574" i="5"/>
  <c r="AE573" i="5"/>
  <c r="AE572" i="5"/>
  <c r="AE571" i="5"/>
  <c r="AE570" i="5"/>
  <c r="AE569" i="5"/>
  <c r="AE568" i="5"/>
  <c r="AE567" i="5"/>
  <c r="AE566" i="5"/>
  <c r="AE565" i="5"/>
  <c r="AE564" i="5"/>
  <c r="AE563" i="5"/>
  <c r="AE562" i="5"/>
  <c r="AE561" i="5"/>
  <c r="AE560" i="5"/>
  <c r="AE559" i="5"/>
  <c r="AE558" i="5"/>
  <c r="AE557" i="5"/>
  <c r="AE556" i="5"/>
  <c r="AE555" i="5"/>
  <c r="AE554" i="5"/>
  <c r="AE553" i="5"/>
  <c r="AE552" i="5"/>
  <c r="AE551" i="5"/>
  <c r="AE550" i="5"/>
  <c r="AE549" i="5"/>
  <c r="AE548" i="5"/>
  <c r="AE547" i="5"/>
  <c r="AE546" i="5"/>
  <c r="AE545" i="5"/>
  <c r="AE544" i="5"/>
  <c r="AE543" i="5"/>
  <c r="AE542" i="5"/>
  <c r="AE541" i="5"/>
  <c r="AE540" i="5"/>
  <c r="AE539" i="5"/>
  <c r="AE538" i="5"/>
  <c r="AE537" i="5"/>
  <c r="AE536" i="5"/>
  <c r="AE535" i="5"/>
  <c r="AE534" i="5"/>
  <c r="AE533" i="5"/>
  <c r="AE532" i="5"/>
  <c r="AE531" i="5"/>
  <c r="AE530" i="5"/>
  <c r="AE529" i="5"/>
  <c r="AE528" i="5"/>
  <c r="AE527" i="5"/>
  <c r="AE526" i="5"/>
  <c r="AE525" i="5"/>
  <c r="AE524" i="5"/>
  <c r="AE523" i="5"/>
  <c r="AE522" i="5"/>
  <c r="AE521" i="5"/>
  <c r="AE520" i="5"/>
  <c r="AE519" i="5"/>
  <c r="AE518" i="5"/>
  <c r="AE517" i="5"/>
  <c r="AE516" i="5"/>
  <c r="AE515" i="5"/>
  <c r="AE514" i="5"/>
  <c r="AE513" i="5"/>
  <c r="AE512" i="5"/>
  <c r="AE511" i="5"/>
  <c r="AE510" i="5"/>
  <c r="AE509" i="5"/>
  <c r="AE508" i="5"/>
  <c r="AE507" i="5"/>
  <c r="AE506" i="5"/>
  <c r="AE505" i="5"/>
  <c r="AE504" i="5"/>
  <c r="AE503" i="5"/>
  <c r="AE502" i="5"/>
  <c r="AE501" i="5"/>
  <c r="AE500" i="5"/>
  <c r="AE499" i="5"/>
  <c r="AE498" i="5"/>
  <c r="AE497" i="5"/>
  <c r="AE496" i="5"/>
  <c r="AE495" i="5"/>
  <c r="AE494" i="5"/>
  <c r="AE493" i="5"/>
  <c r="AE492" i="5"/>
  <c r="AE491" i="5"/>
  <c r="AE490" i="5"/>
  <c r="AE489" i="5"/>
  <c r="AE488" i="5"/>
  <c r="AE487" i="5"/>
  <c r="AE486" i="5"/>
  <c r="AE485" i="5"/>
  <c r="AE484" i="5"/>
  <c r="AE483" i="5"/>
  <c r="AE482" i="5"/>
  <c r="AE481" i="5"/>
  <c r="AE480" i="5"/>
  <c r="AE479" i="5"/>
  <c r="AE478" i="5"/>
  <c r="AE477" i="5"/>
  <c r="AE476" i="5"/>
  <c r="AE475" i="5"/>
  <c r="AE474" i="5"/>
  <c r="AE473" i="5"/>
  <c r="AE472" i="5"/>
  <c r="AE471" i="5"/>
  <c r="AE470" i="5"/>
  <c r="AE469" i="5"/>
  <c r="AE468" i="5"/>
  <c r="AE467" i="5"/>
  <c r="AE466" i="5"/>
  <c r="AE465" i="5"/>
  <c r="AE464" i="5"/>
  <c r="AE463" i="5"/>
  <c r="AE462" i="5"/>
  <c r="AE461" i="5"/>
  <c r="AE460" i="5"/>
  <c r="AE459" i="5"/>
  <c r="AE458" i="5"/>
  <c r="AE457" i="5"/>
  <c r="AE456" i="5"/>
  <c r="AE455" i="5"/>
  <c r="AE454" i="5"/>
  <c r="AE453" i="5"/>
  <c r="AE452" i="5"/>
  <c r="AE451" i="5"/>
  <c r="AE450" i="5"/>
  <c r="AE449" i="5"/>
  <c r="AE448" i="5"/>
  <c r="AE447" i="5"/>
  <c r="AE446" i="5"/>
  <c r="AE445" i="5"/>
  <c r="AE444" i="5"/>
  <c r="AE443" i="5"/>
  <c r="AE442" i="5"/>
  <c r="AE441" i="5"/>
  <c r="AE440" i="5"/>
  <c r="AE439" i="5"/>
  <c r="AE438" i="5"/>
  <c r="AE437" i="5"/>
  <c r="AE436" i="5"/>
  <c r="AE435" i="5"/>
  <c r="AE434" i="5"/>
  <c r="AE433" i="5"/>
  <c r="AE432" i="5"/>
  <c r="AE431" i="5"/>
  <c r="AE430" i="5"/>
  <c r="AE429" i="5"/>
  <c r="AE428" i="5"/>
  <c r="AE427" i="5"/>
  <c r="AE426" i="5"/>
  <c r="AE425" i="5"/>
  <c r="AE424" i="5"/>
  <c r="AE423" i="5"/>
  <c r="AE422" i="5"/>
  <c r="AE421" i="5"/>
  <c r="AE420" i="5"/>
  <c r="AE419" i="5"/>
  <c r="AE418" i="5"/>
  <c r="AE417" i="5"/>
  <c r="AE416" i="5"/>
  <c r="AE415" i="5"/>
  <c r="AE414" i="5"/>
  <c r="AE413" i="5"/>
  <c r="AE412" i="5"/>
  <c r="AE411" i="5"/>
  <c r="AE410" i="5"/>
  <c r="AE409" i="5"/>
  <c r="AE408" i="5"/>
  <c r="AE407" i="5"/>
  <c r="AE406" i="5"/>
  <c r="AE405" i="5"/>
  <c r="AE404" i="5"/>
  <c r="AE403" i="5"/>
  <c r="AE402" i="5"/>
  <c r="AE401" i="5"/>
  <c r="AE400" i="5"/>
  <c r="AE399" i="5"/>
  <c r="AE398" i="5"/>
  <c r="AE397" i="5"/>
  <c r="AE396" i="5"/>
  <c r="AE395" i="5"/>
  <c r="AE394" i="5"/>
  <c r="AE393" i="5"/>
  <c r="AE392" i="5"/>
  <c r="AE391" i="5"/>
  <c r="AE390" i="5"/>
  <c r="AE389" i="5"/>
  <c r="AE388" i="5"/>
  <c r="AE387" i="5"/>
  <c r="AE386" i="5"/>
  <c r="AE385" i="5"/>
  <c r="AE384" i="5"/>
  <c r="AE383" i="5"/>
  <c r="AE382" i="5"/>
  <c r="AE381" i="5"/>
  <c r="AE380" i="5"/>
  <c r="AE379" i="5"/>
  <c r="AE378" i="5"/>
  <c r="AE377" i="5"/>
  <c r="AE376" i="5"/>
  <c r="AE375" i="5"/>
  <c r="AE374" i="5"/>
  <c r="AE373" i="5"/>
  <c r="AE372" i="5"/>
  <c r="AE371" i="5"/>
  <c r="AE370" i="5"/>
  <c r="AE369" i="5"/>
  <c r="AE368" i="5"/>
  <c r="AE367" i="5"/>
  <c r="AE366" i="5"/>
  <c r="AE365" i="5"/>
  <c r="AE364" i="5"/>
  <c r="AE363" i="5"/>
  <c r="AE362" i="5"/>
  <c r="AE361" i="5"/>
  <c r="AE360" i="5"/>
  <c r="AE359" i="5"/>
  <c r="AE358" i="5"/>
  <c r="AE357" i="5"/>
  <c r="AE356" i="5"/>
  <c r="AE355" i="5"/>
  <c r="AE354" i="5"/>
  <c r="AE353" i="5"/>
  <c r="AE352" i="5"/>
  <c r="AE351" i="5"/>
  <c r="AE350" i="5"/>
  <c r="AE349" i="5"/>
  <c r="AE348" i="5"/>
  <c r="AE347" i="5"/>
  <c r="AE346" i="5"/>
  <c r="AE345" i="5"/>
  <c r="AE344" i="5"/>
  <c r="AE343" i="5"/>
  <c r="AE342" i="5"/>
  <c r="AE341" i="5"/>
  <c r="AE340" i="5"/>
  <c r="AE339" i="5"/>
  <c r="AE338" i="5"/>
  <c r="AE337" i="5"/>
  <c r="AE336" i="5"/>
  <c r="AE335" i="5"/>
  <c r="AE334" i="5"/>
  <c r="AE333" i="5"/>
  <c r="AE332" i="5"/>
  <c r="AE331" i="5"/>
  <c r="AE330" i="5"/>
  <c r="AE329" i="5"/>
  <c r="AE328" i="5"/>
  <c r="AE327" i="5"/>
  <c r="AE326" i="5"/>
  <c r="AE325" i="5"/>
  <c r="AE324" i="5"/>
  <c r="AE323" i="5"/>
  <c r="AE322" i="5"/>
  <c r="AE321" i="5"/>
  <c r="AE320" i="5"/>
  <c r="AE319" i="5"/>
  <c r="AE318" i="5"/>
  <c r="AE317" i="5"/>
  <c r="AE316" i="5"/>
  <c r="AE315" i="5"/>
  <c r="AE314" i="5"/>
  <c r="AE313" i="5"/>
  <c r="AE312" i="5"/>
  <c r="AE311" i="5"/>
  <c r="AE310" i="5"/>
  <c r="AE309" i="5"/>
  <c r="AE308" i="5"/>
  <c r="AE307" i="5"/>
  <c r="AE306" i="5"/>
  <c r="AE305" i="5"/>
  <c r="AE304" i="5"/>
  <c r="AE303" i="5"/>
  <c r="AE302" i="5"/>
  <c r="AE301" i="5"/>
  <c r="AE300" i="5"/>
  <c r="AE299" i="5"/>
  <c r="AE298" i="5"/>
  <c r="AE297" i="5"/>
  <c r="AE296" i="5"/>
  <c r="AE295" i="5"/>
  <c r="AE294" i="5"/>
  <c r="AE293" i="5"/>
  <c r="AE292" i="5"/>
  <c r="AE291" i="5"/>
  <c r="AE290" i="5"/>
  <c r="AE289" i="5"/>
  <c r="AE288" i="5"/>
  <c r="AE287" i="5"/>
  <c r="AE286" i="5"/>
  <c r="AE285" i="5"/>
  <c r="AE284" i="5"/>
  <c r="AE283" i="5"/>
  <c r="AE282" i="5"/>
  <c r="AE281" i="5"/>
  <c r="AE280" i="5"/>
  <c r="AE279" i="5"/>
  <c r="AE278" i="5"/>
  <c r="AE277" i="5"/>
  <c r="AE276" i="5"/>
  <c r="AE275" i="5"/>
  <c r="AE274" i="5"/>
  <c r="AE273" i="5"/>
  <c r="AE272" i="5"/>
  <c r="AE271" i="5"/>
  <c r="AE270" i="5"/>
  <c r="AE269" i="5"/>
  <c r="AE268" i="5"/>
  <c r="AE267" i="5"/>
  <c r="AE266" i="5"/>
  <c r="AE265" i="5"/>
  <c r="AE264" i="5"/>
  <c r="AE263" i="5"/>
  <c r="AE262" i="5"/>
  <c r="AE261" i="5"/>
  <c r="AE260" i="5"/>
  <c r="AE259" i="5"/>
  <c r="AE258" i="5"/>
  <c r="AE257" i="5"/>
  <c r="AE256" i="5"/>
  <c r="AE255" i="5"/>
  <c r="AE254" i="5"/>
  <c r="AE253" i="5"/>
  <c r="AE252" i="5"/>
  <c r="AE251" i="5"/>
  <c r="AE250" i="5"/>
  <c r="AE249" i="5"/>
  <c r="AE248" i="5"/>
  <c r="AE247" i="5"/>
  <c r="AE246" i="5"/>
  <c r="AE245" i="5"/>
  <c r="AE244" i="5"/>
  <c r="AE243" i="5"/>
  <c r="AE242" i="5"/>
  <c r="AE241" i="5"/>
  <c r="AE240" i="5"/>
  <c r="AE239" i="5"/>
  <c r="AE238" i="5"/>
  <c r="AE237" i="5"/>
  <c r="AE236" i="5"/>
  <c r="AE235" i="5"/>
  <c r="AE234" i="5"/>
  <c r="AE233" i="5"/>
  <c r="AE232" i="5"/>
  <c r="AE231" i="5"/>
  <c r="AE230" i="5"/>
  <c r="AE229" i="5"/>
  <c r="AE228" i="5"/>
  <c r="AE227" i="5"/>
  <c r="AE226" i="5"/>
  <c r="AE225" i="5"/>
  <c r="AE224" i="5"/>
  <c r="AE223" i="5"/>
  <c r="AE222" i="5"/>
  <c r="AE221" i="5"/>
  <c r="AE220" i="5"/>
  <c r="AE219" i="5"/>
  <c r="AE218" i="5"/>
  <c r="AE217" i="5"/>
  <c r="AE216" i="5"/>
  <c r="AE215" i="5"/>
  <c r="AE214" i="5"/>
  <c r="AE213" i="5"/>
  <c r="AE212" i="5"/>
  <c r="AE211" i="5"/>
  <c r="AE210" i="5"/>
  <c r="AE209" i="5"/>
  <c r="AE208" i="5"/>
  <c r="AE207" i="5"/>
  <c r="AE206" i="5"/>
  <c r="AE205" i="5"/>
  <c r="AE204" i="5"/>
  <c r="AE203" i="5"/>
  <c r="AE202" i="5"/>
  <c r="AE201" i="5"/>
  <c r="AE200" i="5"/>
  <c r="AE199" i="5"/>
  <c r="AE198" i="5"/>
  <c r="AE197" i="5"/>
  <c r="AE196" i="5"/>
  <c r="AE195" i="5"/>
  <c r="AE194" i="5"/>
  <c r="AE193" i="5"/>
  <c r="AE192" i="5"/>
  <c r="AE191" i="5"/>
  <c r="AE190" i="5"/>
  <c r="AE189" i="5"/>
  <c r="AE188" i="5"/>
  <c r="AE187" i="5"/>
  <c r="AE186" i="5"/>
  <c r="AE185" i="5"/>
  <c r="AE184" i="5"/>
  <c r="AE183" i="5"/>
  <c r="AE182" i="5"/>
  <c r="AE181" i="5"/>
  <c r="AE180" i="5"/>
  <c r="AE179" i="5"/>
  <c r="AE178" i="5"/>
  <c r="AE177" i="5"/>
  <c r="AE176" i="5"/>
  <c r="AE175" i="5"/>
  <c r="AE174" i="5"/>
  <c r="AE173" i="5"/>
  <c r="AE172" i="5"/>
  <c r="AE171" i="5"/>
  <c r="AE170" i="5"/>
  <c r="AE169" i="5"/>
  <c r="AE168" i="5"/>
  <c r="AE167" i="5"/>
  <c r="AE166" i="5"/>
  <c r="AE165" i="5"/>
  <c r="AE164" i="5"/>
  <c r="AE163" i="5"/>
  <c r="AE162" i="5"/>
  <c r="AE161" i="5"/>
  <c r="AE160" i="5"/>
  <c r="AE159" i="5"/>
  <c r="AE158" i="5"/>
  <c r="AE157" i="5"/>
  <c r="AE156" i="5"/>
  <c r="AE155" i="5"/>
  <c r="AE154" i="5"/>
  <c r="AE153" i="5"/>
  <c r="AE152" i="5"/>
  <c r="AE151" i="5"/>
  <c r="AE150" i="5"/>
  <c r="AE149" i="5"/>
  <c r="AE148" i="5"/>
  <c r="AE147" i="5"/>
  <c r="AE146" i="5"/>
  <c r="AE145" i="5"/>
  <c r="AE144" i="5"/>
  <c r="AE143" i="5"/>
  <c r="AE142" i="5"/>
  <c r="AE141" i="5"/>
  <c r="AE140" i="5"/>
  <c r="AE139" i="5"/>
  <c r="AE138" i="5"/>
  <c r="AE137" i="5"/>
  <c r="AE136" i="5"/>
  <c r="AE135" i="5"/>
  <c r="AE134" i="5"/>
  <c r="AE133" i="5"/>
  <c r="AE132" i="5"/>
  <c r="AE131" i="5"/>
  <c r="AE130" i="5"/>
  <c r="AE129" i="5"/>
  <c r="AE128" i="5"/>
  <c r="AE127" i="5"/>
  <c r="AE126" i="5"/>
  <c r="AE125" i="5"/>
  <c r="AE124" i="5"/>
  <c r="AE123" i="5"/>
  <c r="AE122" i="5"/>
  <c r="AE121" i="5"/>
  <c r="AE120" i="5"/>
  <c r="AE119" i="5"/>
  <c r="AE118" i="5"/>
  <c r="AE117" i="5"/>
  <c r="AE116" i="5"/>
  <c r="AE115" i="5"/>
  <c r="AE114" i="5"/>
  <c r="AE113" i="5"/>
  <c r="AE112" i="5"/>
  <c r="AE111" i="5"/>
  <c r="AE110" i="5"/>
  <c r="AE109" i="5"/>
  <c r="AE108" i="5"/>
  <c r="AE107" i="5"/>
  <c r="AE106" i="5"/>
  <c r="AE105" i="5"/>
  <c r="AE104" i="5"/>
  <c r="AE103" i="5"/>
  <c r="AE102" i="5"/>
  <c r="AE101" i="5"/>
  <c r="AE100" i="5"/>
  <c r="AE99" i="5"/>
  <c r="AE98" i="5"/>
  <c r="AE97" i="5"/>
  <c r="AE96" i="5"/>
  <c r="AE95" i="5"/>
  <c r="AE94" i="5"/>
  <c r="AE93" i="5"/>
  <c r="AE92" i="5"/>
  <c r="AE91" i="5"/>
  <c r="AE90" i="5"/>
  <c r="AE89" i="5"/>
  <c r="AE88" i="5"/>
  <c r="AE87" i="5"/>
  <c r="AE86" i="5"/>
  <c r="AE85" i="5"/>
  <c r="AE84" i="5"/>
  <c r="AE83" i="5"/>
  <c r="AE82" i="5"/>
  <c r="AE81" i="5"/>
  <c r="AE80" i="5"/>
  <c r="AE79" i="5"/>
  <c r="AE78" i="5"/>
  <c r="AE77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49" i="5"/>
  <c r="AE48" i="5"/>
  <c r="AE47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E3" i="5"/>
  <c r="AE2" i="5"/>
  <c r="K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L2" i="6"/>
  <c r="M2" i="6"/>
  <c r="N2" i="6"/>
  <c r="U2" i="6"/>
  <c r="V2" i="6"/>
  <c r="W2" i="6"/>
  <c r="X2" i="6"/>
  <c r="Y2" i="6"/>
  <c r="C2" i="6"/>
  <c r="D2" i="6"/>
  <c r="E2" i="6"/>
  <c r="F2" i="6"/>
  <c r="G2" i="6"/>
  <c r="H2" i="6"/>
  <c r="I2" i="6"/>
  <c r="J2" i="6"/>
  <c r="B2" i="6"/>
  <c r="AD2" i="5"/>
  <c r="AD2" i="6" s="1"/>
  <c r="AD3" i="5"/>
  <c r="AD3" i="6" s="1"/>
  <c r="AD4" i="5"/>
  <c r="AD4" i="6" s="1"/>
  <c r="AD5" i="5"/>
  <c r="AD5" i="6" s="1"/>
  <c r="AD6" i="5"/>
  <c r="AD6" i="6" s="1"/>
  <c r="AD7" i="5"/>
  <c r="AD7" i="6" s="1"/>
  <c r="AD8" i="5"/>
  <c r="AD8" i="6" s="1"/>
  <c r="AD9" i="5"/>
  <c r="AD9" i="6" s="1"/>
  <c r="AD10" i="5"/>
  <c r="AD10" i="6" s="1"/>
  <c r="AD11" i="5"/>
  <c r="AD11" i="6" s="1"/>
  <c r="AD12" i="5"/>
  <c r="AD12" i="6" s="1"/>
  <c r="AD13" i="5"/>
  <c r="AD13" i="6" s="1"/>
  <c r="AD14" i="5"/>
  <c r="AD14" i="6" s="1"/>
  <c r="AD15" i="5"/>
  <c r="AD15" i="6" s="1"/>
  <c r="AD16" i="5"/>
  <c r="AD16" i="6" s="1"/>
  <c r="AD17" i="5"/>
  <c r="AD17" i="6" s="1"/>
  <c r="AD18" i="5"/>
  <c r="AD18" i="6" s="1"/>
  <c r="AD19" i="5"/>
  <c r="AD19" i="6" s="1"/>
  <c r="AD20" i="5"/>
  <c r="AD20" i="6" s="1"/>
  <c r="AD21" i="5"/>
  <c r="AD21" i="6" s="1"/>
  <c r="AD22" i="5"/>
  <c r="AD22" i="6" s="1"/>
  <c r="AD23" i="5"/>
  <c r="AD23" i="6" s="1"/>
  <c r="AD24" i="5"/>
  <c r="AD24" i="6" s="1"/>
  <c r="AD25" i="5"/>
  <c r="AD25" i="6" s="1"/>
  <c r="AD26" i="5"/>
  <c r="AD26" i="6" s="1"/>
  <c r="AD27" i="5"/>
  <c r="AD27" i="6" s="1"/>
  <c r="AD28" i="5"/>
  <c r="AD28" i="6" s="1"/>
  <c r="AD29" i="5"/>
  <c r="AD29" i="6" s="1"/>
  <c r="AD30" i="5"/>
  <c r="AD30" i="6" s="1"/>
  <c r="AD31" i="5"/>
  <c r="AD31" i="6" s="1"/>
  <c r="AD32" i="5"/>
  <c r="AD32" i="6" s="1"/>
  <c r="AD33" i="5"/>
  <c r="AD33" i="6" s="1"/>
  <c r="AD34" i="5"/>
  <c r="AD34" i="6" s="1"/>
  <c r="AD35" i="5"/>
  <c r="AD35" i="6" s="1"/>
  <c r="AD36" i="5"/>
  <c r="AD36" i="6" s="1"/>
  <c r="AD37" i="5"/>
  <c r="AD37" i="6" s="1"/>
  <c r="AD38" i="5"/>
  <c r="AD38" i="6" s="1"/>
  <c r="AD39" i="5"/>
  <c r="AD39" i="6" s="1"/>
  <c r="AD40" i="5"/>
  <c r="AD40" i="6" s="1"/>
  <c r="AD41" i="5"/>
  <c r="AD41" i="6" s="1"/>
  <c r="AD42" i="5"/>
  <c r="AD42" i="6" s="1"/>
  <c r="AD43" i="5"/>
  <c r="AD43" i="6" s="1"/>
  <c r="AD44" i="5"/>
  <c r="AD44" i="6" s="1"/>
  <c r="AD45" i="5"/>
  <c r="AD45" i="6" s="1"/>
  <c r="AD46" i="5"/>
  <c r="AD46" i="6" s="1"/>
  <c r="AD47" i="5"/>
  <c r="AD47" i="6" s="1"/>
  <c r="AD48" i="5"/>
  <c r="AD48" i="6" s="1"/>
  <c r="AD49" i="5"/>
  <c r="AD49" i="6" s="1"/>
  <c r="AD50" i="5"/>
  <c r="AD50" i="6" s="1"/>
  <c r="AD51" i="5"/>
  <c r="AD51" i="6" s="1"/>
  <c r="AD52" i="5"/>
  <c r="AD52" i="6" s="1"/>
  <c r="AD53" i="5"/>
  <c r="AD53" i="6" s="1"/>
  <c r="AD54" i="5"/>
  <c r="AD54" i="6" s="1"/>
  <c r="AD55" i="5"/>
  <c r="AD55" i="6" s="1"/>
  <c r="AD56" i="5"/>
  <c r="AD56" i="6" s="1"/>
  <c r="AD57" i="5"/>
  <c r="AD57" i="6" s="1"/>
  <c r="AD58" i="5"/>
  <c r="AD58" i="6" s="1"/>
  <c r="AD59" i="5"/>
  <c r="AD59" i="6" s="1"/>
  <c r="AD60" i="5"/>
  <c r="AD60" i="6" s="1"/>
  <c r="AD61" i="5"/>
  <c r="AD61" i="6" s="1"/>
  <c r="AD62" i="5"/>
  <c r="AD62" i="6" s="1"/>
  <c r="AD63" i="5"/>
  <c r="AD63" i="6" s="1"/>
  <c r="AD64" i="5"/>
  <c r="AD64" i="6" s="1"/>
  <c r="AD65" i="5"/>
  <c r="AD65" i="6" s="1"/>
  <c r="AD66" i="5"/>
  <c r="AD66" i="6" s="1"/>
  <c r="AD67" i="5"/>
  <c r="AD67" i="6" s="1"/>
  <c r="AD68" i="5"/>
  <c r="AD68" i="6" s="1"/>
  <c r="AD69" i="5"/>
  <c r="AD69" i="6" s="1"/>
  <c r="AD70" i="5"/>
  <c r="AD70" i="6" s="1"/>
  <c r="AD71" i="5"/>
  <c r="AD71" i="6" s="1"/>
  <c r="AD72" i="5"/>
  <c r="AD72" i="6" s="1"/>
  <c r="AD73" i="5"/>
  <c r="AD73" i="6" s="1"/>
  <c r="AD74" i="5"/>
  <c r="AD74" i="6" s="1"/>
  <c r="AD75" i="5"/>
  <c r="AD75" i="6" s="1"/>
  <c r="AD76" i="5"/>
  <c r="AD76" i="6" s="1"/>
  <c r="AD77" i="5"/>
  <c r="AD77" i="6" s="1"/>
  <c r="AD78" i="5"/>
  <c r="AD78" i="6" s="1"/>
  <c r="AD79" i="5"/>
  <c r="AD79" i="6" s="1"/>
  <c r="AD80" i="5"/>
  <c r="AD80" i="6" s="1"/>
  <c r="AD81" i="5"/>
  <c r="AD81" i="6" s="1"/>
  <c r="AD82" i="5"/>
  <c r="AD82" i="6" s="1"/>
  <c r="AD83" i="5"/>
  <c r="AD83" i="6" s="1"/>
  <c r="AD84" i="5"/>
  <c r="AD84" i="6" s="1"/>
  <c r="AD85" i="5"/>
  <c r="AD85" i="6" s="1"/>
  <c r="AD86" i="5"/>
  <c r="AD86" i="6" s="1"/>
  <c r="AD87" i="5"/>
  <c r="AD87" i="6" s="1"/>
  <c r="AD88" i="5"/>
  <c r="AD88" i="6" s="1"/>
  <c r="AD89" i="5"/>
  <c r="AD89" i="6" s="1"/>
  <c r="AD90" i="5"/>
  <c r="AD90" i="6" s="1"/>
  <c r="AD91" i="5"/>
  <c r="AD91" i="6" s="1"/>
  <c r="AD92" i="5"/>
  <c r="AD92" i="6" s="1"/>
  <c r="AD93" i="5"/>
  <c r="AD93" i="6" s="1"/>
  <c r="AD94" i="5"/>
  <c r="AD94" i="6" s="1"/>
  <c r="AD95" i="5"/>
  <c r="AD95" i="6" s="1"/>
  <c r="AD96" i="5"/>
  <c r="AD96" i="6" s="1"/>
  <c r="AD97" i="5"/>
  <c r="AD97" i="6" s="1"/>
  <c r="AD98" i="5"/>
  <c r="AD98" i="6" s="1"/>
  <c r="AD99" i="5"/>
  <c r="AD99" i="6" s="1"/>
  <c r="AD100" i="5"/>
  <c r="AD100" i="6" s="1"/>
  <c r="AD101" i="5"/>
  <c r="AD101" i="6" s="1"/>
  <c r="AD102" i="5"/>
  <c r="AD102" i="6" s="1"/>
  <c r="AD103" i="5"/>
  <c r="AD103" i="6" s="1"/>
  <c r="AD104" i="5"/>
  <c r="AD104" i="6" s="1"/>
  <c r="AD105" i="5"/>
  <c r="AD105" i="6" s="1"/>
  <c r="AD106" i="5"/>
  <c r="AD106" i="6" s="1"/>
  <c r="AD107" i="5"/>
  <c r="AD107" i="6" s="1"/>
  <c r="AD108" i="5"/>
  <c r="AD108" i="6" s="1"/>
  <c r="AD109" i="5"/>
  <c r="AD109" i="6" s="1"/>
  <c r="AD110" i="5"/>
  <c r="AD110" i="6" s="1"/>
  <c r="AD111" i="5"/>
  <c r="AD111" i="6" s="1"/>
  <c r="AD112" i="5"/>
  <c r="AD112" i="6" s="1"/>
  <c r="AD113" i="5"/>
  <c r="AD113" i="6" s="1"/>
  <c r="AD114" i="5"/>
  <c r="AD114" i="6" s="1"/>
  <c r="AD115" i="5"/>
  <c r="AD115" i="6" s="1"/>
  <c r="AD116" i="5"/>
  <c r="AD116" i="6" s="1"/>
  <c r="AD117" i="5"/>
  <c r="AD117" i="6" s="1"/>
  <c r="AD118" i="5"/>
  <c r="AD118" i="6" s="1"/>
  <c r="AD119" i="5"/>
  <c r="AD119" i="6" s="1"/>
  <c r="AD120" i="5"/>
  <c r="AD120" i="6" s="1"/>
  <c r="AD121" i="5"/>
  <c r="AD121" i="6" s="1"/>
  <c r="AD122" i="5"/>
  <c r="AD122" i="6" s="1"/>
  <c r="AD123" i="5"/>
  <c r="AD123" i="6" s="1"/>
  <c r="AD124" i="5"/>
  <c r="AD124" i="6" s="1"/>
  <c r="AD125" i="5"/>
  <c r="AD125" i="6" s="1"/>
  <c r="AD126" i="5"/>
  <c r="AD126" i="6" s="1"/>
  <c r="AD127" i="5"/>
  <c r="AD127" i="6" s="1"/>
  <c r="AD128" i="5"/>
  <c r="AD128" i="6" s="1"/>
  <c r="AD129" i="5"/>
  <c r="AD129" i="6" s="1"/>
  <c r="AD130" i="5"/>
  <c r="AD130" i="6" s="1"/>
  <c r="AD131" i="5"/>
  <c r="AD131" i="6" s="1"/>
  <c r="AD132" i="5"/>
  <c r="AD132" i="6" s="1"/>
  <c r="AD133" i="5"/>
  <c r="AD133" i="6" s="1"/>
  <c r="AD134" i="5"/>
  <c r="AD134" i="6" s="1"/>
  <c r="AD135" i="5"/>
  <c r="AD135" i="6" s="1"/>
  <c r="AD136" i="5"/>
  <c r="AD136" i="6" s="1"/>
  <c r="AD137" i="5"/>
  <c r="AD137" i="6" s="1"/>
  <c r="AD138" i="5"/>
  <c r="AD138" i="6" s="1"/>
  <c r="AD139" i="5"/>
  <c r="AD139" i="6" s="1"/>
  <c r="AD140" i="5"/>
  <c r="AD140" i="6" s="1"/>
  <c r="AD141" i="5"/>
  <c r="AD141" i="6" s="1"/>
  <c r="AD142" i="5"/>
  <c r="AD142" i="6" s="1"/>
  <c r="AD143" i="5"/>
  <c r="AD143" i="6" s="1"/>
  <c r="AD144" i="5"/>
  <c r="AD144" i="6" s="1"/>
  <c r="AD145" i="5"/>
  <c r="AD145" i="6" s="1"/>
  <c r="AD146" i="5"/>
  <c r="AD146" i="6" s="1"/>
  <c r="AD147" i="5"/>
  <c r="AD147" i="6" s="1"/>
  <c r="AD148" i="5"/>
  <c r="AD148" i="6" s="1"/>
  <c r="AD149" i="5"/>
  <c r="AD149" i="6" s="1"/>
  <c r="AD150" i="5"/>
  <c r="AD150" i="6" s="1"/>
  <c r="AD151" i="5"/>
  <c r="AD151" i="6" s="1"/>
  <c r="AD152" i="5"/>
  <c r="AD152" i="6" s="1"/>
  <c r="AD153" i="5"/>
  <c r="AD153" i="6" s="1"/>
  <c r="AD154" i="5"/>
  <c r="AD154" i="6" s="1"/>
  <c r="AD155" i="5"/>
  <c r="AD155" i="6" s="1"/>
  <c r="AD156" i="5"/>
  <c r="AD156" i="6" s="1"/>
  <c r="AD157" i="5"/>
  <c r="AD157" i="6" s="1"/>
  <c r="AD158" i="5"/>
  <c r="AD158" i="6" s="1"/>
  <c r="AD159" i="5"/>
  <c r="AD159" i="6" s="1"/>
  <c r="AD160" i="5"/>
  <c r="AD160" i="6" s="1"/>
  <c r="AD161" i="5"/>
  <c r="AD161" i="6" s="1"/>
  <c r="AD162" i="5"/>
  <c r="AD162" i="6" s="1"/>
  <c r="AD163" i="5"/>
  <c r="AD163" i="6" s="1"/>
  <c r="AD164" i="5"/>
  <c r="AD164" i="6" s="1"/>
  <c r="AD165" i="5"/>
  <c r="AD165" i="6" s="1"/>
  <c r="AD166" i="5"/>
  <c r="AD166" i="6" s="1"/>
  <c r="AD167" i="5"/>
  <c r="AD167" i="6" s="1"/>
  <c r="AD168" i="5"/>
  <c r="AD168" i="6" s="1"/>
  <c r="AD169" i="5"/>
  <c r="AD169" i="6" s="1"/>
  <c r="AD170" i="5"/>
  <c r="AD170" i="6" s="1"/>
  <c r="AD171" i="5"/>
  <c r="AD171" i="6" s="1"/>
  <c r="AD172" i="5"/>
  <c r="AD172" i="6" s="1"/>
  <c r="AD173" i="5"/>
  <c r="AD173" i="6" s="1"/>
  <c r="AD174" i="5"/>
  <c r="AD174" i="6" s="1"/>
  <c r="AD175" i="5"/>
  <c r="AD175" i="6" s="1"/>
  <c r="AD176" i="5"/>
  <c r="AD176" i="6" s="1"/>
  <c r="AD177" i="5"/>
  <c r="AD177" i="6" s="1"/>
  <c r="AD178" i="5"/>
  <c r="AD178" i="6" s="1"/>
  <c r="AD179" i="5"/>
  <c r="AD179" i="6" s="1"/>
  <c r="AD180" i="5"/>
  <c r="AD180" i="6" s="1"/>
  <c r="AD181" i="5"/>
  <c r="AD181" i="6" s="1"/>
  <c r="AD182" i="5"/>
  <c r="AD182" i="6" s="1"/>
  <c r="AD183" i="5"/>
  <c r="AD183" i="6" s="1"/>
  <c r="AD184" i="5"/>
  <c r="AD184" i="6" s="1"/>
  <c r="AD185" i="5"/>
  <c r="AD185" i="6" s="1"/>
  <c r="AD186" i="5"/>
  <c r="AD186" i="6" s="1"/>
  <c r="AD187" i="5"/>
  <c r="AD187" i="6" s="1"/>
  <c r="AD188" i="5"/>
  <c r="AD188" i="6" s="1"/>
  <c r="AD189" i="5"/>
  <c r="AD189" i="6" s="1"/>
  <c r="AD190" i="5"/>
  <c r="AD190" i="6" s="1"/>
  <c r="AD191" i="5"/>
  <c r="AD191" i="6" s="1"/>
  <c r="AD192" i="5"/>
  <c r="AD192" i="6" s="1"/>
  <c r="AD193" i="5"/>
  <c r="AD193" i="6" s="1"/>
  <c r="AD194" i="5"/>
  <c r="AD194" i="6" s="1"/>
  <c r="AD195" i="5"/>
  <c r="AD195" i="6" s="1"/>
  <c r="AD196" i="5"/>
  <c r="AD196" i="6" s="1"/>
  <c r="AD197" i="5"/>
  <c r="AD197" i="6" s="1"/>
  <c r="AD198" i="5"/>
  <c r="AD198" i="6" s="1"/>
  <c r="AD199" i="5"/>
  <c r="AD199" i="6" s="1"/>
  <c r="AD200" i="5"/>
  <c r="AD200" i="6" s="1"/>
  <c r="AD201" i="5"/>
  <c r="AD201" i="6" s="1"/>
  <c r="AD202" i="5"/>
  <c r="AD202" i="6" s="1"/>
  <c r="AD203" i="5"/>
  <c r="AD203" i="6" s="1"/>
  <c r="AD204" i="5"/>
  <c r="AD204" i="6" s="1"/>
  <c r="AD205" i="5"/>
  <c r="AD205" i="6" s="1"/>
  <c r="AD206" i="5"/>
  <c r="AD206" i="6" s="1"/>
  <c r="AD207" i="5"/>
  <c r="AD207" i="6" s="1"/>
  <c r="AD208" i="5"/>
  <c r="AD208" i="6" s="1"/>
  <c r="AD209" i="5"/>
  <c r="AD209" i="6" s="1"/>
  <c r="AD210" i="5"/>
  <c r="AD210" i="6" s="1"/>
  <c r="AD211" i="5"/>
  <c r="AD211" i="6" s="1"/>
  <c r="AD212" i="5"/>
  <c r="AD212" i="6" s="1"/>
  <c r="AD213" i="5"/>
  <c r="AD213" i="6" s="1"/>
  <c r="AD214" i="5"/>
  <c r="AD214" i="6" s="1"/>
  <c r="AD215" i="5"/>
  <c r="AD215" i="6" s="1"/>
  <c r="AD216" i="5"/>
  <c r="AD216" i="6" s="1"/>
  <c r="AD217" i="5"/>
  <c r="AD217" i="6" s="1"/>
  <c r="AD218" i="5"/>
  <c r="AD218" i="6" s="1"/>
  <c r="AD219" i="5"/>
  <c r="AD219" i="6" s="1"/>
  <c r="AD220" i="5"/>
  <c r="AD220" i="6" s="1"/>
  <c r="AD221" i="5"/>
  <c r="AD221" i="6" s="1"/>
  <c r="AD222" i="5"/>
  <c r="AD222" i="6" s="1"/>
  <c r="AD223" i="5"/>
  <c r="AD223" i="6" s="1"/>
  <c r="AD224" i="5"/>
  <c r="AD224" i="6" s="1"/>
  <c r="AD225" i="5"/>
  <c r="AD225" i="6" s="1"/>
  <c r="AD226" i="5"/>
  <c r="AD226" i="6" s="1"/>
  <c r="AD227" i="5"/>
  <c r="AD227" i="6" s="1"/>
  <c r="AD228" i="5"/>
  <c r="AD228" i="6" s="1"/>
  <c r="AD229" i="5"/>
  <c r="AD229" i="6" s="1"/>
  <c r="AD230" i="5"/>
  <c r="AD230" i="6" s="1"/>
  <c r="AD231" i="5"/>
  <c r="AD231" i="6" s="1"/>
  <c r="AD232" i="5"/>
  <c r="AD232" i="6" s="1"/>
  <c r="AD233" i="5"/>
  <c r="AD233" i="6" s="1"/>
  <c r="AD234" i="5"/>
  <c r="AD234" i="6" s="1"/>
  <c r="AD235" i="5"/>
  <c r="AD235" i="6" s="1"/>
  <c r="AD236" i="5"/>
  <c r="AD236" i="6" s="1"/>
  <c r="AD237" i="5"/>
  <c r="AD237" i="6" s="1"/>
  <c r="AD238" i="5"/>
  <c r="AD238" i="6" s="1"/>
  <c r="AD239" i="5"/>
  <c r="AD239" i="6" s="1"/>
  <c r="AD240" i="5"/>
  <c r="AD240" i="6" s="1"/>
  <c r="AD241" i="5"/>
  <c r="AD241" i="6" s="1"/>
  <c r="AD242" i="5"/>
  <c r="AD242" i="6" s="1"/>
  <c r="AD243" i="5"/>
  <c r="AD243" i="6" s="1"/>
  <c r="AD244" i="5"/>
  <c r="AD244" i="6" s="1"/>
  <c r="AD245" i="5"/>
  <c r="AD245" i="6" s="1"/>
  <c r="AD246" i="5"/>
  <c r="AD246" i="6" s="1"/>
  <c r="AD247" i="5"/>
  <c r="AD247" i="6" s="1"/>
  <c r="AD248" i="5"/>
  <c r="AD248" i="6" s="1"/>
  <c r="AD249" i="5"/>
  <c r="AD249" i="6" s="1"/>
  <c r="AD250" i="5"/>
  <c r="AD250" i="6" s="1"/>
  <c r="AD251" i="5"/>
  <c r="AD251" i="6" s="1"/>
  <c r="AD252" i="5"/>
  <c r="AD252" i="6" s="1"/>
  <c r="AD253" i="5"/>
  <c r="AD253" i="6" s="1"/>
  <c r="AD254" i="5"/>
  <c r="AD254" i="6" s="1"/>
  <c r="AD255" i="5"/>
  <c r="AD255" i="6" s="1"/>
  <c r="AD256" i="5"/>
  <c r="AD256" i="6" s="1"/>
  <c r="AD257" i="5"/>
  <c r="AD257" i="6" s="1"/>
  <c r="AD258" i="5"/>
  <c r="AD258" i="6" s="1"/>
  <c r="AD259" i="5"/>
  <c r="AD259" i="6" s="1"/>
  <c r="AD260" i="5"/>
  <c r="AD260" i="6" s="1"/>
  <c r="AD261" i="5"/>
  <c r="AD261" i="6" s="1"/>
  <c r="AD262" i="5"/>
  <c r="AD262" i="6" s="1"/>
  <c r="AD263" i="5"/>
  <c r="AD263" i="6" s="1"/>
  <c r="AD264" i="5"/>
  <c r="AD264" i="6" s="1"/>
  <c r="AD265" i="5"/>
  <c r="AD265" i="6" s="1"/>
  <c r="AD266" i="5"/>
  <c r="AD266" i="6" s="1"/>
  <c r="AD267" i="5"/>
  <c r="AD267" i="6" s="1"/>
  <c r="AD268" i="5"/>
  <c r="AD268" i="6" s="1"/>
  <c r="AD269" i="5"/>
  <c r="AD269" i="6" s="1"/>
  <c r="AD270" i="5"/>
  <c r="AD270" i="6" s="1"/>
  <c r="AD271" i="5"/>
  <c r="AD271" i="6" s="1"/>
  <c r="AD272" i="5"/>
  <c r="AD272" i="6" s="1"/>
  <c r="AD273" i="5"/>
  <c r="AD273" i="6" s="1"/>
  <c r="AD274" i="5"/>
  <c r="AD274" i="6" s="1"/>
  <c r="AD275" i="5"/>
  <c r="AD275" i="6" s="1"/>
  <c r="AD276" i="5"/>
  <c r="AD276" i="6" s="1"/>
  <c r="AD277" i="5"/>
  <c r="AD277" i="6" s="1"/>
  <c r="AD278" i="5"/>
  <c r="AD278" i="6" s="1"/>
  <c r="AD279" i="5"/>
  <c r="AD279" i="6" s="1"/>
  <c r="AD280" i="5"/>
  <c r="AD280" i="6" s="1"/>
  <c r="AD281" i="5"/>
  <c r="AD281" i="6" s="1"/>
  <c r="AD282" i="5"/>
  <c r="AD282" i="6" s="1"/>
  <c r="AD283" i="5"/>
  <c r="AD283" i="6" s="1"/>
  <c r="AD284" i="5"/>
  <c r="AD284" i="6" s="1"/>
  <c r="AD285" i="5"/>
  <c r="AD285" i="6" s="1"/>
  <c r="AD286" i="5"/>
  <c r="AD286" i="6" s="1"/>
  <c r="AD287" i="5"/>
  <c r="AD287" i="6" s="1"/>
  <c r="AD288" i="5"/>
  <c r="AD288" i="6" s="1"/>
  <c r="AD289" i="5"/>
  <c r="AD289" i="6" s="1"/>
  <c r="AD290" i="5"/>
  <c r="AD290" i="6" s="1"/>
  <c r="AD291" i="5"/>
  <c r="AD291" i="6" s="1"/>
  <c r="AD292" i="5"/>
  <c r="AD292" i="6" s="1"/>
  <c r="AD293" i="5"/>
  <c r="AD293" i="6" s="1"/>
  <c r="AD294" i="5"/>
  <c r="AD294" i="6" s="1"/>
  <c r="AD295" i="5"/>
  <c r="AD295" i="6" s="1"/>
  <c r="AD296" i="5"/>
  <c r="AD296" i="6" s="1"/>
  <c r="AD297" i="5"/>
  <c r="AD297" i="6" s="1"/>
  <c r="AD298" i="5"/>
  <c r="AD298" i="6" s="1"/>
  <c r="AD299" i="5"/>
  <c r="AD299" i="6" s="1"/>
  <c r="AD300" i="5"/>
  <c r="AD300" i="6" s="1"/>
  <c r="AD301" i="5"/>
  <c r="AD301" i="6" s="1"/>
  <c r="AD302" i="5"/>
  <c r="AD302" i="6" s="1"/>
  <c r="AD303" i="5"/>
  <c r="AD303" i="6" s="1"/>
  <c r="AD304" i="5"/>
  <c r="AD304" i="6" s="1"/>
  <c r="AD305" i="5"/>
  <c r="AD305" i="6" s="1"/>
  <c r="AD306" i="5"/>
  <c r="AD306" i="6" s="1"/>
  <c r="AD307" i="5"/>
  <c r="AD307" i="6" s="1"/>
  <c r="AD308" i="5"/>
  <c r="AD308" i="6" s="1"/>
  <c r="AD309" i="5"/>
  <c r="AD309" i="6" s="1"/>
  <c r="AD310" i="5"/>
  <c r="AD310" i="6" s="1"/>
  <c r="AD311" i="5"/>
  <c r="AD311" i="6" s="1"/>
  <c r="AD312" i="5"/>
  <c r="AD312" i="6" s="1"/>
  <c r="AD313" i="5"/>
  <c r="AD313" i="6" s="1"/>
  <c r="AD314" i="5"/>
  <c r="AD314" i="6" s="1"/>
  <c r="AD315" i="5"/>
  <c r="AD315" i="6" s="1"/>
  <c r="AD316" i="5"/>
  <c r="AD316" i="6" s="1"/>
  <c r="AD317" i="5"/>
  <c r="AD317" i="6" s="1"/>
  <c r="AD318" i="5"/>
  <c r="AD318" i="6" s="1"/>
  <c r="AD319" i="5"/>
  <c r="AD319" i="6" s="1"/>
  <c r="AD320" i="5"/>
  <c r="AD320" i="6" s="1"/>
  <c r="AD321" i="5"/>
  <c r="AD321" i="6" s="1"/>
  <c r="AD322" i="5"/>
  <c r="AD322" i="6" s="1"/>
  <c r="AD323" i="5"/>
  <c r="AD323" i="6" s="1"/>
  <c r="AD324" i="5"/>
  <c r="AD324" i="6" s="1"/>
  <c r="AD325" i="5"/>
  <c r="AD325" i="6" s="1"/>
  <c r="AD326" i="5"/>
  <c r="AD326" i="6" s="1"/>
  <c r="AD327" i="5"/>
  <c r="AD327" i="6" s="1"/>
  <c r="AD328" i="5"/>
  <c r="AD328" i="6" s="1"/>
  <c r="AD329" i="5"/>
  <c r="AD329" i="6" s="1"/>
  <c r="AD330" i="5"/>
  <c r="AD330" i="6" s="1"/>
  <c r="AD331" i="5"/>
  <c r="AD331" i="6" s="1"/>
  <c r="AD332" i="5"/>
  <c r="AD332" i="6" s="1"/>
  <c r="AD333" i="5"/>
  <c r="AD333" i="6" s="1"/>
  <c r="AD334" i="5"/>
  <c r="AD334" i="6" s="1"/>
  <c r="AD335" i="5"/>
  <c r="AD335" i="6" s="1"/>
  <c r="AD336" i="5"/>
  <c r="AD336" i="6" s="1"/>
  <c r="AD337" i="5"/>
  <c r="AD337" i="6" s="1"/>
  <c r="AD338" i="5"/>
  <c r="AD338" i="6" s="1"/>
  <c r="AD339" i="5"/>
  <c r="AD339" i="6" s="1"/>
  <c r="AD340" i="5"/>
  <c r="AD340" i="6" s="1"/>
  <c r="AD341" i="5"/>
  <c r="AD341" i="6" s="1"/>
  <c r="AD342" i="5"/>
  <c r="AD342" i="6" s="1"/>
  <c r="AD343" i="5"/>
  <c r="AD343" i="6" s="1"/>
  <c r="AD344" i="5"/>
  <c r="AD344" i="6" s="1"/>
  <c r="AD345" i="5"/>
  <c r="AD345" i="6" s="1"/>
  <c r="AD346" i="5"/>
  <c r="AD346" i="6" s="1"/>
  <c r="AD347" i="5"/>
  <c r="AD347" i="6" s="1"/>
  <c r="AD348" i="5"/>
  <c r="AD348" i="6" s="1"/>
  <c r="AD349" i="5"/>
  <c r="AD349" i="6" s="1"/>
  <c r="AD350" i="5"/>
  <c r="AD350" i="6" s="1"/>
  <c r="AD351" i="5"/>
  <c r="AD351" i="6" s="1"/>
  <c r="AD352" i="5"/>
  <c r="AD352" i="6" s="1"/>
  <c r="AD353" i="5"/>
  <c r="AD353" i="6" s="1"/>
  <c r="AD354" i="5"/>
  <c r="AD354" i="6" s="1"/>
  <c r="AD355" i="5"/>
  <c r="AD355" i="6" s="1"/>
  <c r="AD356" i="5"/>
  <c r="AD356" i="6" s="1"/>
  <c r="AD357" i="5"/>
  <c r="AD357" i="6" s="1"/>
  <c r="AD358" i="5"/>
  <c r="AD358" i="6" s="1"/>
  <c r="AD359" i="5"/>
  <c r="AD359" i="6" s="1"/>
  <c r="AD360" i="5"/>
  <c r="AD360" i="6" s="1"/>
  <c r="AD361" i="5"/>
  <c r="AD361" i="6" s="1"/>
  <c r="AD362" i="5"/>
  <c r="AD362" i="6" s="1"/>
  <c r="AD363" i="5"/>
  <c r="AD363" i="6" s="1"/>
  <c r="AD364" i="5"/>
  <c r="AD364" i="6" s="1"/>
  <c r="AD365" i="5"/>
  <c r="AD365" i="6" s="1"/>
  <c r="AD366" i="5"/>
  <c r="AD366" i="6" s="1"/>
  <c r="AD367" i="5"/>
  <c r="AD367" i="6" s="1"/>
  <c r="AD368" i="5"/>
  <c r="AD368" i="6" s="1"/>
  <c r="AD369" i="5"/>
  <c r="AD369" i="6" s="1"/>
  <c r="AD370" i="5"/>
  <c r="AD370" i="6" s="1"/>
  <c r="AD371" i="5"/>
  <c r="AD371" i="6" s="1"/>
  <c r="AD372" i="5"/>
  <c r="AD372" i="6" s="1"/>
  <c r="AD373" i="5"/>
  <c r="AD373" i="6" s="1"/>
  <c r="AD374" i="5"/>
  <c r="AD374" i="6" s="1"/>
  <c r="AD375" i="5"/>
  <c r="AD375" i="6" s="1"/>
  <c r="AD376" i="5"/>
  <c r="AD376" i="6" s="1"/>
  <c r="AD377" i="5"/>
  <c r="AD377" i="6" s="1"/>
  <c r="AD378" i="5"/>
  <c r="AD378" i="6" s="1"/>
  <c r="AD379" i="5"/>
  <c r="AD379" i="6" s="1"/>
  <c r="AD380" i="5"/>
  <c r="AD380" i="6" s="1"/>
  <c r="AD381" i="5"/>
  <c r="AD381" i="6" s="1"/>
  <c r="AD382" i="5"/>
  <c r="AD382" i="6" s="1"/>
  <c r="AD383" i="5"/>
  <c r="AD383" i="6" s="1"/>
  <c r="AD384" i="5"/>
  <c r="AD384" i="6" s="1"/>
  <c r="AD385" i="5"/>
  <c r="AD385" i="6" s="1"/>
  <c r="AD386" i="5"/>
  <c r="AD386" i="6" s="1"/>
  <c r="AD387" i="5"/>
  <c r="AD387" i="6" s="1"/>
  <c r="AD388" i="5"/>
  <c r="AD388" i="6" s="1"/>
  <c r="AD389" i="5"/>
  <c r="AD389" i="6" s="1"/>
  <c r="AD390" i="5"/>
  <c r="AD390" i="6" s="1"/>
  <c r="AD391" i="5"/>
  <c r="AD391" i="6" s="1"/>
  <c r="AD392" i="5"/>
  <c r="AD392" i="6" s="1"/>
  <c r="AD393" i="5"/>
  <c r="AD393" i="6" s="1"/>
  <c r="AD394" i="5"/>
  <c r="AD394" i="6" s="1"/>
  <c r="AD395" i="5"/>
  <c r="AD395" i="6" s="1"/>
  <c r="AD396" i="5"/>
  <c r="AD396" i="6" s="1"/>
  <c r="AD397" i="5"/>
  <c r="AD397" i="6" s="1"/>
  <c r="AD398" i="5"/>
  <c r="AD398" i="6" s="1"/>
  <c r="AD399" i="5"/>
  <c r="AD399" i="6" s="1"/>
  <c r="AD400" i="5"/>
  <c r="AD400" i="6" s="1"/>
  <c r="AD401" i="5"/>
  <c r="AD401" i="6" s="1"/>
  <c r="AD402" i="5"/>
  <c r="AD402" i="6" s="1"/>
  <c r="AD403" i="5"/>
  <c r="AD403" i="6" s="1"/>
  <c r="AD404" i="5"/>
  <c r="AD404" i="6" s="1"/>
  <c r="AD405" i="5"/>
  <c r="AD405" i="6" s="1"/>
  <c r="AD406" i="5"/>
  <c r="AD406" i="6" s="1"/>
  <c r="AD407" i="5"/>
  <c r="AD407" i="6" s="1"/>
  <c r="AD408" i="5"/>
  <c r="AD408" i="6" s="1"/>
  <c r="AD409" i="5"/>
  <c r="AD409" i="6" s="1"/>
  <c r="AD410" i="5"/>
  <c r="AD410" i="6" s="1"/>
  <c r="AD411" i="5"/>
  <c r="AD411" i="6" s="1"/>
  <c r="AD412" i="5"/>
  <c r="AD412" i="6" s="1"/>
  <c r="AD413" i="5"/>
  <c r="AD413" i="6" s="1"/>
  <c r="AD414" i="5"/>
  <c r="AD414" i="6" s="1"/>
  <c r="AD415" i="5"/>
  <c r="AD415" i="6" s="1"/>
  <c r="AD416" i="5"/>
  <c r="AD416" i="6" s="1"/>
  <c r="AD417" i="5"/>
  <c r="AD417" i="6" s="1"/>
  <c r="AD418" i="5"/>
  <c r="AD418" i="6" s="1"/>
  <c r="AD419" i="5"/>
  <c r="AD419" i="6" s="1"/>
  <c r="AD420" i="5"/>
  <c r="AD420" i="6" s="1"/>
  <c r="AD421" i="5"/>
  <c r="AD421" i="6" s="1"/>
  <c r="AD422" i="5"/>
  <c r="AD422" i="6" s="1"/>
  <c r="AD423" i="5"/>
  <c r="AD423" i="6" s="1"/>
  <c r="AD424" i="5"/>
  <c r="AD424" i="6" s="1"/>
  <c r="AD425" i="5"/>
  <c r="AD425" i="6" s="1"/>
  <c r="AD426" i="5"/>
  <c r="AD426" i="6" s="1"/>
  <c r="AD427" i="5"/>
  <c r="AD427" i="6" s="1"/>
  <c r="AD428" i="5"/>
  <c r="AD428" i="6" s="1"/>
  <c r="AD429" i="5"/>
  <c r="AD429" i="6" s="1"/>
  <c r="AD430" i="5"/>
  <c r="AD430" i="6" s="1"/>
  <c r="AD431" i="5"/>
  <c r="AD431" i="6" s="1"/>
  <c r="AD432" i="5"/>
  <c r="AD432" i="6" s="1"/>
  <c r="AD433" i="5"/>
  <c r="AD433" i="6" s="1"/>
  <c r="AD434" i="5"/>
  <c r="AD434" i="6" s="1"/>
  <c r="AD435" i="5"/>
  <c r="AD435" i="6" s="1"/>
  <c r="AD436" i="5"/>
  <c r="AD436" i="6" s="1"/>
  <c r="AD437" i="5"/>
  <c r="AD437" i="6" s="1"/>
  <c r="AD438" i="5"/>
  <c r="AD438" i="6" s="1"/>
  <c r="AD439" i="5"/>
  <c r="AD439" i="6" s="1"/>
  <c r="AD440" i="5"/>
  <c r="AD440" i="6" s="1"/>
  <c r="AD441" i="5"/>
  <c r="AD441" i="6" s="1"/>
  <c r="AD442" i="5"/>
  <c r="AD442" i="6" s="1"/>
  <c r="AD443" i="5"/>
  <c r="AD443" i="6" s="1"/>
  <c r="AD444" i="5"/>
  <c r="AD444" i="6" s="1"/>
  <c r="AD445" i="5"/>
  <c r="AD445" i="6" s="1"/>
  <c r="AD446" i="5"/>
  <c r="AD446" i="6" s="1"/>
  <c r="AD447" i="5"/>
  <c r="AD447" i="6" s="1"/>
  <c r="AD448" i="5"/>
  <c r="AD448" i="6" s="1"/>
  <c r="AD449" i="5"/>
  <c r="AD449" i="6" s="1"/>
  <c r="AD450" i="5"/>
  <c r="AD450" i="6" s="1"/>
  <c r="AD451" i="5"/>
  <c r="AD451" i="6" s="1"/>
  <c r="AD452" i="5"/>
  <c r="AD452" i="6" s="1"/>
  <c r="AD453" i="5"/>
  <c r="AD453" i="6" s="1"/>
  <c r="AD454" i="5"/>
  <c r="AD454" i="6" s="1"/>
  <c r="AD455" i="5"/>
  <c r="AD455" i="6" s="1"/>
  <c r="AD456" i="5"/>
  <c r="AD456" i="6" s="1"/>
  <c r="AD457" i="5"/>
  <c r="AD457" i="6" s="1"/>
  <c r="AD458" i="5"/>
  <c r="AD458" i="6" s="1"/>
  <c r="AD459" i="5"/>
  <c r="AD459" i="6" s="1"/>
  <c r="AD460" i="5"/>
  <c r="AD460" i="6" s="1"/>
  <c r="AD461" i="5"/>
  <c r="AD461" i="6" s="1"/>
  <c r="AD462" i="5"/>
  <c r="AD462" i="6" s="1"/>
  <c r="AD463" i="5"/>
  <c r="AD463" i="6" s="1"/>
  <c r="AD464" i="5"/>
  <c r="AD464" i="6" s="1"/>
  <c r="AD465" i="5"/>
  <c r="AD465" i="6" s="1"/>
  <c r="AD466" i="5"/>
  <c r="AD466" i="6" s="1"/>
  <c r="AD467" i="5"/>
  <c r="AD467" i="6" s="1"/>
  <c r="AD468" i="5"/>
  <c r="AD468" i="6" s="1"/>
  <c r="AD469" i="5"/>
  <c r="AD469" i="6" s="1"/>
  <c r="AD470" i="5"/>
  <c r="AD470" i="6" s="1"/>
  <c r="AD471" i="5"/>
  <c r="AD471" i="6" s="1"/>
  <c r="AD472" i="5"/>
  <c r="AD472" i="6" s="1"/>
  <c r="AD473" i="5"/>
  <c r="AD473" i="6" s="1"/>
  <c r="AD474" i="5"/>
  <c r="AD474" i="6" s="1"/>
  <c r="AD475" i="5"/>
  <c r="AD475" i="6" s="1"/>
  <c r="AD476" i="5"/>
  <c r="AD476" i="6" s="1"/>
  <c r="AD477" i="5"/>
  <c r="AD477" i="6" s="1"/>
  <c r="AD478" i="5"/>
  <c r="AD478" i="6" s="1"/>
  <c r="AD479" i="5"/>
  <c r="AD479" i="6" s="1"/>
  <c r="AD480" i="5"/>
  <c r="AD480" i="6" s="1"/>
  <c r="AD481" i="5"/>
  <c r="AD481" i="6" s="1"/>
  <c r="AD482" i="5"/>
  <c r="AD482" i="6" s="1"/>
  <c r="AD483" i="5"/>
  <c r="AD483" i="6" s="1"/>
  <c r="AD484" i="5"/>
  <c r="AD484" i="6" s="1"/>
  <c r="AD485" i="5"/>
  <c r="AD485" i="6" s="1"/>
  <c r="AD486" i="5"/>
  <c r="AD486" i="6" s="1"/>
  <c r="AD487" i="5"/>
  <c r="AD487" i="6" s="1"/>
  <c r="AD488" i="5"/>
  <c r="AD488" i="6" s="1"/>
  <c r="AD489" i="5"/>
  <c r="AD489" i="6" s="1"/>
  <c r="AD490" i="5"/>
  <c r="AD490" i="6" s="1"/>
  <c r="AD491" i="5"/>
  <c r="AD491" i="6" s="1"/>
  <c r="AD492" i="5"/>
  <c r="AD492" i="6" s="1"/>
  <c r="AD493" i="5"/>
  <c r="AD493" i="6" s="1"/>
  <c r="AD494" i="5"/>
  <c r="AD494" i="6" s="1"/>
  <c r="AD495" i="5"/>
  <c r="AD495" i="6" s="1"/>
  <c r="AD496" i="5"/>
  <c r="AD496" i="6" s="1"/>
  <c r="AD497" i="5"/>
  <c r="AD497" i="6" s="1"/>
  <c r="AD498" i="5"/>
  <c r="AD498" i="6" s="1"/>
  <c r="AD499" i="5"/>
  <c r="AD499" i="6" s="1"/>
  <c r="AD500" i="5"/>
  <c r="AD500" i="6" s="1"/>
  <c r="AD501" i="5"/>
  <c r="AD501" i="6" s="1"/>
  <c r="AD502" i="5"/>
  <c r="AD502" i="6" s="1"/>
  <c r="AD503" i="5"/>
  <c r="AD503" i="6" s="1"/>
  <c r="AD504" i="5"/>
  <c r="AD504" i="6" s="1"/>
  <c r="AD505" i="5"/>
  <c r="AD505" i="6" s="1"/>
  <c r="AD506" i="5"/>
  <c r="AD506" i="6" s="1"/>
  <c r="AD507" i="5"/>
  <c r="AD507" i="6" s="1"/>
  <c r="AD508" i="5"/>
  <c r="AD508" i="6" s="1"/>
  <c r="AD509" i="5"/>
  <c r="AD509" i="6" s="1"/>
  <c r="AD510" i="5"/>
  <c r="AD510" i="6" s="1"/>
  <c r="AD511" i="5"/>
  <c r="AD511" i="6" s="1"/>
  <c r="AD512" i="5"/>
  <c r="AD512" i="6" s="1"/>
  <c r="AD513" i="5"/>
  <c r="AD513" i="6" s="1"/>
  <c r="AD514" i="5"/>
  <c r="AD514" i="6" s="1"/>
  <c r="AD515" i="5"/>
  <c r="AD515" i="6" s="1"/>
  <c r="AD516" i="5"/>
  <c r="AD516" i="6" s="1"/>
  <c r="AD517" i="5"/>
  <c r="AD517" i="6" s="1"/>
  <c r="AD518" i="5"/>
  <c r="AD518" i="6" s="1"/>
  <c r="AD519" i="5"/>
  <c r="AD519" i="6" s="1"/>
  <c r="AD520" i="5"/>
  <c r="AD520" i="6" s="1"/>
  <c r="AD521" i="5"/>
  <c r="AD521" i="6" s="1"/>
  <c r="AD522" i="5"/>
  <c r="AD522" i="6" s="1"/>
  <c r="AD523" i="5"/>
  <c r="AD523" i="6" s="1"/>
  <c r="AD524" i="5"/>
  <c r="AD524" i="6" s="1"/>
  <c r="AD525" i="5"/>
  <c r="AD525" i="6" s="1"/>
  <c r="AD526" i="5"/>
  <c r="AD526" i="6" s="1"/>
  <c r="AD527" i="5"/>
  <c r="AD527" i="6" s="1"/>
  <c r="AD528" i="5"/>
  <c r="AD528" i="6" s="1"/>
  <c r="AD529" i="5"/>
  <c r="AD529" i="6" s="1"/>
  <c r="AD530" i="5"/>
  <c r="AD530" i="6" s="1"/>
  <c r="AD531" i="5"/>
  <c r="AD531" i="6" s="1"/>
  <c r="AD532" i="5"/>
  <c r="AD532" i="6" s="1"/>
  <c r="AD533" i="5"/>
  <c r="AD533" i="6" s="1"/>
  <c r="AD534" i="5"/>
  <c r="AD534" i="6" s="1"/>
  <c r="AD535" i="5"/>
  <c r="AD535" i="6" s="1"/>
  <c r="AD536" i="5"/>
  <c r="AD536" i="6" s="1"/>
  <c r="AD537" i="5"/>
  <c r="AD537" i="6" s="1"/>
  <c r="AD538" i="5"/>
  <c r="AD538" i="6" s="1"/>
  <c r="AD539" i="5"/>
  <c r="AD539" i="6" s="1"/>
  <c r="AD540" i="5"/>
  <c r="AD540" i="6" s="1"/>
  <c r="AD541" i="5"/>
  <c r="AD541" i="6" s="1"/>
  <c r="AD542" i="5"/>
  <c r="AD542" i="6" s="1"/>
  <c r="AD543" i="5"/>
  <c r="AD543" i="6" s="1"/>
  <c r="AD544" i="5"/>
  <c r="AD544" i="6" s="1"/>
  <c r="AD545" i="5"/>
  <c r="AD545" i="6" s="1"/>
  <c r="AD546" i="5"/>
  <c r="AD546" i="6" s="1"/>
  <c r="AD547" i="5"/>
  <c r="AD547" i="6" s="1"/>
  <c r="AD548" i="5"/>
  <c r="AD548" i="6" s="1"/>
  <c r="AD549" i="5"/>
  <c r="AD549" i="6" s="1"/>
  <c r="AD550" i="5"/>
  <c r="AD550" i="6" s="1"/>
  <c r="AD551" i="5"/>
  <c r="AD551" i="6" s="1"/>
  <c r="AD552" i="5"/>
  <c r="AD552" i="6" s="1"/>
  <c r="AD553" i="5"/>
  <c r="AD553" i="6" s="1"/>
  <c r="AD554" i="5"/>
  <c r="AD554" i="6" s="1"/>
  <c r="AD555" i="5"/>
  <c r="AD555" i="6" s="1"/>
  <c r="AD556" i="5"/>
  <c r="AD556" i="6" s="1"/>
  <c r="AD557" i="5"/>
  <c r="AD557" i="6" s="1"/>
  <c r="AD558" i="5"/>
  <c r="AD558" i="6" s="1"/>
  <c r="AD559" i="5"/>
  <c r="AD559" i="6" s="1"/>
  <c r="AD560" i="5"/>
  <c r="AD560" i="6" s="1"/>
  <c r="AD561" i="5"/>
  <c r="AD561" i="6" s="1"/>
  <c r="AD562" i="5"/>
  <c r="AD562" i="6" s="1"/>
  <c r="AD563" i="5"/>
  <c r="AD563" i="6" s="1"/>
  <c r="AD564" i="5"/>
  <c r="AD564" i="6" s="1"/>
  <c r="AD565" i="5"/>
  <c r="AD565" i="6" s="1"/>
  <c r="AD566" i="5"/>
  <c r="AD566" i="6" s="1"/>
  <c r="AD567" i="5"/>
  <c r="AD567" i="6" s="1"/>
  <c r="AD568" i="5"/>
  <c r="AD568" i="6" s="1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D678" i="5"/>
  <c r="AD679" i="5"/>
  <c r="AD680" i="5"/>
  <c r="AD681" i="5"/>
  <c r="AD682" i="5"/>
  <c r="AD683" i="5"/>
  <c r="AD684" i="5"/>
  <c r="AD685" i="5"/>
  <c r="AD686" i="5"/>
  <c r="AD687" i="5"/>
  <c r="AD688" i="5"/>
  <c r="AD689" i="5"/>
  <c r="AD690" i="5"/>
  <c r="AD691" i="5"/>
  <c r="AD692" i="5"/>
  <c r="AD693" i="5"/>
  <c r="AD694" i="5"/>
  <c r="AD695" i="5"/>
  <c r="AD696" i="5"/>
  <c r="AD697" i="5"/>
  <c r="AD698" i="5"/>
  <c r="AD699" i="5"/>
  <c r="AD700" i="5"/>
  <c r="AD701" i="5"/>
  <c r="AD702" i="5"/>
  <c r="AD703" i="5"/>
  <c r="AD704" i="5"/>
  <c r="AD705" i="5"/>
  <c r="AD706" i="5"/>
  <c r="AD707" i="5"/>
  <c r="AD708" i="5"/>
  <c r="AD709" i="5"/>
  <c r="AD710" i="5"/>
  <c r="AD711" i="5"/>
  <c r="AD712" i="5"/>
  <c r="AD713" i="5"/>
  <c r="AD714" i="5"/>
  <c r="AD715" i="5"/>
  <c r="AD716" i="5"/>
  <c r="AD717" i="5"/>
  <c r="AD718" i="5"/>
  <c r="AD719" i="5"/>
  <c r="AD720" i="5"/>
  <c r="AD721" i="5"/>
  <c r="AD722" i="5"/>
  <c r="AD723" i="5"/>
  <c r="AD724" i="5"/>
  <c r="AD725" i="5"/>
  <c r="AD726" i="5"/>
  <c r="AD727" i="5"/>
  <c r="AD728" i="5"/>
  <c r="AD729" i="5"/>
  <c r="AD730" i="5"/>
  <c r="AD731" i="5"/>
  <c r="AD732" i="5"/>
  <c r="AD733" i="5"/>
  <c r="AD734" i="5"/>
  <c r="AD735" i="5"/>
  <c r="AD736" i="5"/>
  <c r="AD737" i="5"/>
  <c r="AD738" i="5"/>
  <c r="AD739" i="5"/>
  <c r="AD740" i="5"/>
  <c r="AD741" i="5"/>
  <c r="AD742" i="5"/>
  <c r="AD743" i="5"/>
  <c r="AD744" i="5"/>
  <c r="AD745" i="5"/>
  <c r="AD746" i="5"/>
  <c r="AD747" i="5"/>
  <c r="AD748" i="5"/>
  <c r="AD749" i="5"/>
  <c r="AD750" i="5"/>
  <c r="AD751" i="5"/>
  <c r="AD752" i="5"/>
  <c r="AD753" i="5"/>
  <c r="AD754" i="5"/>
  <c r="AD755" i="5"/>
  <c r="AD756" i="5"/>
  <c r="AD757" i="5"/>
  <c r="AD758" i="5"/>
  <c r="AD759" i="5"/>
  <c r="AD760" i="5"/>
  <c r="AD761" i="5"/>
  <c r="AD762" i="5"/>
  <c r="AD763" i="5"/>
  <c r="AD764" i="5"/>
  <c r="AD765" i="5"/>
  <c r="AD766" i="5"/>
  <c r="AD767" i="5"/>
  <c r="AD768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789" i="5"/>
  <c r="AD790" i="5"/>
  <c r="AD791" i="5"/>
  <c r="AD792" i="5"/>
  <c r="AD793" i="5"/>
  <c r="AD794" i="5"/>
  <c r="AD795" i="5"/>
  <c r="AD796" i="5"/>
  <c r="AD797" i="5"/>
  <c r="AD798" i="5"/>
  <c r="AD799" i="5"/>
  <c r="AD800" i="5"/>
  <c r="AD801" i="5"/>
  <c r="AD802" i="5"/>
  <c r="AD803" i="5"/>
  <c r="AD804" i="5"/>
  <c r="AD805" i="5"/>
  <c r="AD806" i="5"/>
  <c r="AD807" i="5"/>
  <c r="AD808" i="5"/>
  <c r="AD809" i="5"/>
  <c r="AD810" i="5"/>
  <c r="AD811" i="5"/>
  <c r="AD812" i="5"/>
  <c r="AD813" i="5"/>
  <c r="AD814" i="5"/>
  <c r="AD815" i="5"/>
  <c r="AD816" i="5"/>
  <c r="AD817" i="5"/>
  <c r="AD818" i="5"/>
  <c r="AD819" i="5"/>
  <c r="AD820" i="5"/>
  <c r="AD821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862" i="5"/>
  <c r="AD863" i="5"/>
  <c r="AD864" i="5"/>
  <c r="AD865" i="5"/>
  <c r="AD866" i="5"/>
  <c r="AD867" i="5"/>
  <c r="AD868" i="5"/>
  <c r="AD869" i="5"/>
  <c r="AD870" i="5"/>
  <c r="AD871" i="5"/>
  <c r="AD872" i="5"/>
  <c r="AD873" i="5"/>
  <c r="AD874" i="5"/>
  <c r="AD875" i="5"/>
  <c r="AD876" i="5"/>
  <c r="AD877" i="5"/>
  <c r="AD878" i="5"/>
  <c r="AD879" i="5"/>
  <c r="AC2" i="5"/>
  <c r="AC2" i="6" s="1"/>
  <c r="AC3" i="5"/>
  <c r="AC3" i="6" s="1"/>
  <c r="AC4" i="5"/>
  <c r="AC4" i="6" s="1"/>
  <c r="AC5" i="5"/>
  <c r="AC5" i="6" s="1"/>
  <c r="AC6" i="5"/>
  <c r="AC6" i="6" s="1"/>
  <c r="AC7" i="5"/>
  <c r="AC7" i="6" s="1"/>
  <c r="AC8" i="5"/>
  <c r="AC8" i="6" s="1"/>
  <c r="AC9" i="5"/>
  <c r="AC9" i="6" s="1"/>
  <c r="AC10" i="5"/>
  <c r="AC10" i="6" s="1"/>
  <c r="AC11" i="5"/>
  <c r="AC11" i="6" s="1"/>
  <c r="AC12" i="5"/>
  <c r="AC12" i="6" s="1"/>
  <c r="AC13" i="5"/>
  <c r="AC13" i="6" s="1"/>
  <c r="AC14" i="5"/>
  <c r="AC14" i="6" s="1"/>
  <c r="AC15" i="5"/>
  <c r="AC15" i="6" s="1"/>
  <c r="AC16" i="5"/>
  <c r="AC16" i="6" s="1"/>
  <c r="AC17" i="5"/>
  <c r="AC17" i="6" s="1"/>
  <c r="AC18" i="5"/>
  <c r="AC18" i="6" s="1"/>
  <c r="AC19" i="5"/>
  <c r="AC19" i="6" s="1"/>
  <c r="AC20" i="5"/>
  <c r="AC20" i="6" s="1"/>
  <c r="AC21" i="5"/>
  <c r="AC21" i="6" s="1"/>
  <c r="AC22" i="5"/>
  <c r="AC22" i="6" s="1"/>
  <c r="AC23" i="5"/>
  <c r="AC23" i="6" s="1"/>
  <c r="AC24" i="5"/>
  <c r="AC24" i="6" s="1"/>
  <c r="AC25" i="5"/>
  <c r="AC25" i="6" s="1"/>
  <c r="AC26" i="5"/>
  <c r="AC26" i="6" s="1"/>
  <c r="AC27" i="5"/>
  <c r="AC27" i="6" s="1"/>
  <c r="AC28" i="5"/>
  <c r="AC28" i="6" s="1"/>
  <c r="AC29" i="5"/>
  <c r="AC29" i="6" s="1"/>
  <c r="AC30" i="5"/>
  <c r="AC30" i="6" s="1"/>
  <c r="AC31" i="5"/>
  <c r="AC31" i="6" s="1"/>
  <c r="AC32" i="5"/>
  <c r="AC32" i="6" s="1"/>
  <c r="AC33" i="5"/>
  <c r="AC33" i="6" s="1"/>
  <c r="AC34" i="5"/>
  <c r="AC34" i="6" s="1"/>
  <c r="AC35" i="5"/>
  <c r="AC35" i="6" s="1"/>
  <c r="AC36" i="5"/>
  <c r="AC36" i="6" s="1"/>
  <c r="AC37" i="5"/>
  <c r="AC37" i="6" s="1"/>
  <c r="AC38" i="5"/>
  <c r="AC38" i="6" s="1"/>
  <c r="AC39" i="5"/>
  <c r="AC39" i="6" s="1"/>
  <c r="AC40" i="5"/>
  <c r="AC40" i="6" s="1"/>
  <c r="AC41" i="5"/>
  <c r="AC41" i="6" s="1"/>
  <c r="AC42" i="5"/>
  <c r="AC42" i="6" s="1"/>
  <c r="AC43" i="5"/>
  <c r="AC43" i="6" s="1"/>
  <c r="AC44" i="5"/>
  <c r="AC44" i="6" s="1"/>
  <c r="AC45" i="5"/>
  <c r="AC45" i="6" s="1"/>
  <c r="AC46" i="5"/>
  <c r="AC46" i="6" s="1"/>
  <c r="AC47" i="5"/>
  <c r="AC47" i="6" s="1"/>
  <c r="AC48" i="5"/>
  <c r="AC48" i="6" s="1"/>
  <c r="AC49" i="5"/>
  <c r="AC49" i="6" s="1"/>
  <c r="AC50" i="5"/>
  <c r="AC50" i="6" s="1"/>
  <c r="AC51" i="5"/>
  <c r="AC51" i="6" s="1"/>
  <c r="AC52" i="5"/>
  <c r="AC52" i="6" s="1"/>
  <c r="AC53" i="5"/>
  <c r="AC53" i="6" s="1"/>
  <c r="AC54" i="5"/>
  <c r="AC54" i="6" s="1"/>
  <c r="AC55" i="5"/>
  <c r="AC55" i="6" s="1"/>
  <c r="AC56" i="5"/>
  <c r="AC56" i="6" s="1"/>
  <c r="AC57" i="5"/>
  <c r="AC57" i="6" s="1"/>
  <c r="AC58" i="5"/>
  <c r="AC58" i="6" s="1"/>
  <c r="AC59" i="5"/>
  <c r="AC59" i="6" s="1"/>
  <c r="AC60" i="5"/>
  <c r="AC60" i="6" s="1"/>
  <c r="AC61" i="5"/>
  <c r="AC61" i="6" s="1"/>
  <c r="AC62" i="5"/>
  <c r="AC62" i="6" s="1"/>
  <c r="AC63" i="5"/>
  <c r="AC63" i="6" s="1"/>
  <c r="AC64" i="5"/>
  <c r="AC64" i="6" s="1"/>
  <c r="AC65" i="5"/>
  <c r="AC65" i="6" s="1"/>
  <c r="AC66" i="5"/>
  <c r="AC66" i="6" s="1"/>
  <c r="AC67" i="5"/>
  <c r="AC67" i="6" s="1"/>
  <c r="AC68" i="5"/>
  <c r="AC68" i="6" s="1"/>
  <c r="AC69" i="5"/>
  <c r="AC69" i="6" s="1"/>
  <c r="AC70" i="5"/>
  <c r="AC70" i="6" s="1"/>
  <c r="AC71" i="5"/>
  <c r="AC71" i="6" s="1"/>
  <c r="AC72" i="5"/>
  <c r="AC72" i="6" s="1"/>
  <c r="AC73" i="5"/>
  <c r="AC73" i="6" s="1"/>
  <c r="AC74" i="5"/>
  <c r="AC74" i="6" s="1"/>
  <c r="AC75" i="5"/>
  <c r="AC75" i="6" s="1"/>
  <c r="AC76" i="5"/>
  <c r="AC76" i="6" s="1"/>
  <c r="AC77" i="5"/>
  <c r="AC77" i="6" s="1"/>
  <c r="AC78" i="5"/>
  <c r="AC78" i="6" s="1"/>
  <c r="AC79" i="5"/>
  <c r="AC79" i="6" s="1"/>
  <c r="AC80" i="5"/>
  <c r="AC80" i="6" s="1"/>
  <c r="AC81" i="5"/>
  <c r="AC81" i="6" s="1"/>
  <c r="AC82" i="5"/>
  <c r="AC82" i="6" s="1"/>
  <c r="AC83" i="5"/>
  <c r="AC83" i="6" s="1"/>
  <c r="AC84" i="5"/>
  <c r="AC84" i="6" s="1"/>
  <c r="AC85" i="5"/>
  <c r="AC85" i="6" s="1"/>
  <c r="AC86" i="5"/>
  <c r="AC86" i="6" s="1"/>
  <c r="AC87" i="5"/>
  <c r="AC87" i="6" s="1"/>
  <c r="AC88" i="5"/>
  <c r="AC88" i="6" s="1"/>
  <c r="AC89" i="5"/>
  <c r="AC89" i="6" s="1"/>
  <c r="AC90" i="5"/>
  <c r="AC90" i="6" s="1"/>
  <c r="AC91" i="5"/>
  <c r="AC91" i="6" s="1"/>
  <c r="AC92" i="5"/>
  <c r="AC92" i="6" s="1"/>
  <c r="AC93" i="5"/>
  <c r="AC93" i="6" s="1"/>
  <c r="AC94" i="5"/>
  <c r="AC94" i="6" s="1"/>
  <c r="AC95" i="5"/>
  <c r="AC95" i="6" s="1"/>
  <c r="AC96" i="5"/>
  <c r="AC96" i="6" s="1"/>
  <c r="AC97" i="5"/>
  <c r="AC97" i="6" s="1"/>
  <c r="AC98" i="5"/>
  <c r="AC98" i="6" s="1"/>
  <c r="AC99" i="5"/>
  <c r="AC99" i="6" s="1"/>
  <c r="AC100" i="5"/>
  <c r="AC100" i="6" s="1"/>
  <c r="AC101" i="5"/>
  <c r="AC101" i="6" s="1"/>
  <c r="AC102" i="5"/>
  <c r="AC102" i="6" s="1"/>
  <c r="AC103" i="5"/>
  <c r="AC103" i="6" s="1"/>
  <c r="AC104" i="5"/>
  <c r="AC104" i="6" s="1"/>
  <c r="AC105" i="5"/>
  <c r="AC105" i="6" s="1"/>
  <c r="AC106" i="5"/>
  <c r="AC106" i="6" s="1"/>
  <c r="AC107" i="5"/>
  <c r="AC107" i="6" s="1"/>
  <c r="AC108" i="5"/>
  <c r="AC108" i="6" s="1"/>
  <c r="AC109" i="5"/>
  <c r="AC109" i="6" s="1"/>
  <c r="AC110" i="5"/>
  <c r="AC110" i="6" s="1"/>
  <c r="AC111" i="5"/>
  <c r="AC111" i="6" s="1"/>
  <c r="AC112" i="5"/>
  <c r="AC112" i="6" s="1"/>
  <c r="AC113" i="5"/>
  <c r="AC113" i="6" s="1"/>
  <c r="AC114" i="5"/>
  <c r="AC114" i="6" s="1"/>
  <c r="AC115" i="5"/>
  <c r="AC115" i="6" s="1"/>
  <c r="AC116" i="5"/>
  <c r="AC116" i="6" s="1"/>
  <c r="AC117" i="5"/>
  <c r="AC117" i="6" s="1"/>
  <c r="AC118" i="5"/>
  <c r="AC118" i="6" s="1"/>
  <c r="AC119" i="5"/>
  <c r="AC119" i="6" s="1"/>
  <c r="AC120" i="5"/>
  <c r="AC120" i="6" s="1"/>
  <c r="AC121" i="5"/>
  <c r="AC121" i="6" s="1"/>
  <c r="AC122" i="5"/>
  <c r="AC122" i="6" s="1"/>
  <c r="AC123" i="5"/>
  <c r="AC123" i="6" s="1"/>
  <c r="AC124" i="5"/>
  <c r="AC124" i="6" s="1"/>
  <c r="AC125" i="5"/>
  <c r="AC125" i="6" s="1"/>
  <c r="AC126" i="5"/>
  <c r="AC126" i="6" s="1"/>
  <c r="AC127" i="5"/>
  <c r="AC127" i="6" s="1"/>
  <c r="AC128" i="5"/>
  <c r="AC128" i="6" s="1"/>
  <c r="AC129" i="5"/>
  <c r="AC129" i="6" s="1"/>
  <c r="AC130" i="5"/>
  <c r="AC130" i="6" s="1"/>
  <c r="AC131" i="5"/>
  <c r="AC131" i="6" s="1"/>
  <c r="AC132" i="5"/>
  <c r="AC132" i="6" s="1"/>
  <c r="AC133" i="5"/>
  <c r="AC133" i="6" s="1"/>
  <c r="AC134" i="5"/>
  <c r="AC134" i="6" s="1"/>
  <c r="AC135" i="5"/>
  <c r="AC135" i="6" s="1"/>
  <c r="AC136" i="5"/>
  <c r="AC136" i="6" s="1"/>
  <c r="AC137" i="5"/>
  <c r="AC137" i="6" s="1"/>
  <c r="AC138" i="5"/>
  <c r="AC138" i="6" s="1"/>
  <c r="AC139" i="5"/>
  <c r="AC139" i="6" s="1"/>
  <c r="AC140" i="5"/>
  <c r="AC140" i="6" s="1"/>
  <c r="AC141" i="5"/>
  <c r="AC141" i="6" s="1"/>
  <c r="AC142" i="5"/>
  <c r="AC142" i="6" s="1"/>
  <c r="AC143" i="5"/>
  <c r="AC143" i="6" s="1"/>
  <c r="AC144" i="5"/>
  <c r="AC144" i="6" s="1"/>
  <c r="AC145" i="5"/>
  <c r="AC145" i="6" s="1"/>
  <c r="AC146" i="5"/>
  <c r="AC146" i="6" s="1"/>
  <c r="AC147" i="5"/>
  <c r="AC147" i="6" s="1"/>
  <c r="AC148" i="5"/>
  <c r="AC148" i="6" s="1"/>
  <c r="AC149" i="5"/>
  <c r="AC149" i="6" s="1"/>
  <c r="AC150" i="5"/>
  <c r="AC150" i="6" s="1"/>
  <c r="AC151" i="5"/>
  <c r="AC151" i="6" s="1"/>
  <c r="AC152" i="5"/>
  <c r="AC152" i="6" s="1"/>
  <c r="AC153" i="5"/>
  <c r="AC153" i="6" s="1"/>
  <c r="AC154" i="5"/>
  <c r="AC154" i="6" s="1"/>
  <c r="AC155" i="5"/>
  <c r="AC155" i="6" s="1"/>
  <c r="AC156" i="5"/>
  <c r="AC156" i="6" s="1"/>
  <c r="AC157" i="5"/>
  <c r="AC157" i="6" s="1"/>
  <c r="AC158" i="5"/>
  <c r="AC158" i="6" s="1"/>
  <c r="AC159" i="5"/>
  <c r="AC159" i="6" s="1"/>
  <c r="AC160" i="5"/>
  <c r="AC160" i="6" s="1"/>
  <c r="AC161" i="5"/>
  <c r="AC161" i="6" s="1"/>
  <c r="AC162" i="5"/>
  <c r="AC162" i="6" s="1"/>
  <c r="AC163" i="5"/>
  <c r="AC163" i="6" s="1"/>
  <c r="AC164" i="5"/>
  <c r="AC164" i="6" s="1"/>
  <c r="AC165" i="5"/>
  <c r="AC165" i="6" s="1"/>
  <c r="AC166" i="5"/>
  <c r="AC166" i="6" s="1"/>
  <c r="AC167" i="5"/>
  <c r="AC167" i="6" s="1"/>
  <c r="AC168" i="5"/>
  <c r="AC168" i="6" s="1"/>
  <c r="AC169" i="5"/>
  <c r="AC169" i="6" s="1"/>
  <c r="AC170" i="5"/>
  <c r="AC170" i="6" s="1"/>
  <c r="AC171" i="5"/>
  <c r="AC171" i="6" s="1"/>
  <c r="AC172" i="5"/>
  <c r="AC172" i="6" s="1"/>
  <c r="AC173" i="5"/>
  <c r="AC173" i="6" s="1"/>
  <c r="AC174" i="5"/>
  <c r="AC174" i="6" s="1"/>
  <c r="AC175" i="5"/>
  <c r="AC175" i="6" s="1"/>
  <c r="AC176" i="5"/>
  <c r="AC176" i="6" s="1"/>
  <c r="AC177" i="5"/>
  <c r="AC177" i="6" s="1"/>
  <c r="AC178" i="5"/>
  <c r="AC178" i="6" s="1"/>
  <c r="AC179" i="5"/>
  <c r="AC179" i="6" s="1"/>
  <c r="AC180" i="5"/>
  <c r="AC180" i="6" s="1"/>
  <c r="AC181" i="5"/>
  <c r="AC181" i="6" s="1"/>
  <c r="AC182" i="5"/>
  <c r="AC182" i="6" s="1"/>
  <c r="AC183" i="5"/>
  <c r="AC183" i="6" s="1"/>
  <c r="AC184" i="5"/>
  <c r="AC184" i="6" s="1"/>
  <c r="AC185" i="5"/>
  <c r="AC185" i="6" s="1"/>
  <c r="AC186" i="5"/>
  <c r="AC186" i="6" s="1"/>
  <c r="AC187" i="5"/>
  <c r="AC187" i="6" s="1"/>
  <c r="AC188" i="5"/>
  <c r="AC188" i="6" s="1"/>
  <c r="AC189" i="5"/>
  <c r="AC189" i="6" s="1"/>
  <c r="AC190" i="5"/>
  <c r="AC190" i="6" s="1"/>
  <c r="AC191" i="5"/>
  <c r="AC191" i="6" s="1"/>
  <c r="AC192" i="5"/>
  <c r="AC192" i="6" s="1"/>
  <c r="AC193" i="5"/>
  <c r="AC193" i="6" s="1"/>
  <c r="AC194" i="5"/>
  <c r="AC194" i="6" s="1"/>
  <c r="AC195" i="5"/>
  <c r="AC195" i="6" s="1"/>
  <c r="AC196" i="5"/>
  <c r="AC196" i="6" s="1"/>
  <c r="AC197" i="5"/>
  <c r="AC197" i="6" s="1"/>
  <c r="AC198" i="5"/>
  <c r="AC198" i="6" s="1"/>
  <c r="AC199" i="5"/>
  <c r="AC199" i="6" s="1"/>
  <c r="AC200" i="5"/>
  <c r="AC200" i="6" s="1"/>
  <c r="AC201" i="5"/>
  <c r="AC201" i="6" s="1"/>
  <c r="AC202" i="5"/>
  <c r="AC202" i="6" s="1"/>
  <c r="AC203" i="5"/>
  <c r="AC203" i="6" s="1"/>
  <c r="AC204" i="5"/>
  <c r="AC204" i="6" s="1"/>
  <c r="AC205" i="5"/>
  <c r="AC205" i="6" s="1"/>
  <c r="AC206" i="5"/>
  <c r="AC206" i="6" s="1"/>
  <c r="AC207" i="5"/>
  <c r="AC207" i="6" s="1"/>
  <c r="AC208" i="5"/>
  <c r="AC208" i="6" s="1"/>
  <c r="AC209" i="5"/>
  <c r="AC209" i="6" s="1"/>
  <c r="AC210" i="5"/>
  <c r="AC210" i="6" s="1"/>
  <c r="AC211" i="5"/>
  <c r="AC211" i="6" s="1"/>
  <c r="AC212" i="5"/>
  <c r="AC212" i="6" s="1"/>
  <c r="AC213" i="5"/>
  <c r="AC213" i="6" s="1"/>
  <c r="AC214" i="5"/>
  <c r="AC214" i="6" s="1"/>
  <c r="AC215" i="5"/>
  <c r="AC215" i="6" s="1"/>
  <c r="AC216" i="5"/>
  <c r="AC216" i="6" s="1"/>
  <c r="AC217" i="5"/>
  <c r="AC217" i="6" s="1"/>
  <c r="AC218" i="5"/>
  <c r="AC218" i="6" s="1"/>
  <c r="AC219" i="5"/>
  <c r="AC219" i="6" s="1"/>
  <c r="AC220" i="5"/>
  <c r="AC220" i="6" s="1"/>
  <c r="AC221" i="5"/>
  <c r="AC221" i="6" s="1"/>
  <c r="AC222" i="5"/>
  <c r="AC222" i="6" s="1"/>
  <c r="AC223" i="5"/>
  <c r="AC223" i="6" s="1"/>
  <c r="AC224" i="5"/>
  <c r="AC224" i="6" s="1"/>
  <c r="AC225" i="5"/>
  <c r="AC225" i="6" s="1"/>
  <c r="AC226" i="5"/>
  <c r="AC226" i="6" s="1"/>
  <c r="AC227" i="5"/>
  <c r="AC227" i="6" s="1"/>
  <c r="AC228" i="5"/>
  <c r="AC228" i="6" s="1"/>
  <c r="AC229" i="5"/>
  <c r="AC229" i="6" s="1"/>
  <c r="AC230" i="5"/>
  <c r="AC230" i="6" s="1"/>
  <c r="AC231" i="5"/>
  <c r="AC231" i="6" s="1"/>
  <c r="AC232" i="5"/>
  <c r="AC232" i="6" s="1"/>
  <c r="AC233" i="5"/>
  <c r="AC233" i="6" s="1"/>
  <c r="AC234" i="5"/>
  <c r="AC234" i="6" s="1"/>
  <c r="AC235" i="5"/>
  <c r="AC235" i="6" s="1"/>
  <c r="AC236" i="5"/>
  <c r="AC236" i="6" s="1"/>
  <c r="AC237" i="5"/>
  <c r="AC237" i="6" s="1"/>
  <c r="AC238" i="5"/>
  <c r="AC238" i="6" s="1"/>
  <c r="AC239" i="5"/>
  <c r="AC239" i="6" s="1"/>
  <c r="AC240" i="5"/>
  <c r="AC240" i="6" s="1"/>
  <c r="AC241" i="5"/>
  <c r="AC241" i="6" s="1"/>
  <c r="AC242" i="5"/>
  <c r="AC242" i="6" s="1"/>
  <c r="AC243" i="5"/>
  <c r="AC243" i="6" s="1"/>
  <c r="AC244" i="5"/>
  <c r="AC244" i="6" s="1"/>
  <c r="AC245" i="5"/>
  <c r="AC245" i="6" s="1"/>
  <c r="AC246" i="5"/>
  <c r="AC246" i="6" s="1"/>
  <c r="AC247" i="5"/>
  <c r="AC247" i="6" s="1"/>
  <c r="AC248" i="5"/>
  <c r="AC248" i="6" s="1"/>
  <c r="AC249" i="5"/>
  <c r="AC249" i="6" s="1"/>
  <c r="AC250" i="5"/>
  <c r="AC250" i="6" s="1"/>
  <c r="AC251" i="5"/>
  <c r="AC251" i="6" s="1"/>
  <c r="AC252" i="5"/>
  <c r="AC252" i="6" s="1"/>
  <c r="AC253" i="5"/>
  <c r="AC253" i="6" s="1"/>
  <c r="AC254" i="5"/>
  <c r="AC254" i="6" s="1"/>
  <c r="AC255" i="5"/>
  <c r="AC255" i="6" s="1"/>
  <c r="AC256" i="5"/>
  <c r="AC256" i="6" s="1"/>
  <c r="AC257" i="5"/>
  <c r="AC257" i="6" s="1"/>
  <c r="AC258" i="5"/>
  <c r="AC258" i="6" s="1"/>
  <c r="AC259" i="5"/>
  <c r="AC259" i="6" s="1"/>
  <c r="AC260" i="5"/>
  <c r="AC260" i="6" s="1"/>
  <c r="AC261" i="5"/>
  <c r="AC261" i="6" s="1"/>
  <c r="AC262" i="5"/>
  <c r="AC262" i="6" s="1"/>
  <c r="AC263" i="5"/>
  <c r="AC263" i="6" s="1"/>
  <c r="AC264" i="5"/>
  <c r="AC264" i="6" s="1"/>
  <c r="AC265" i="5"/>
  <c r="AC265" i="6" s="1"/>
  <c r="AC266" i="5"/>
  <c r="AC266" i="6" s="1"/>
  <c r="AC267" i="5"/>
  <c r="AC267" i="6" s="1"/>
  <c r="AC268" i="5"/>
  <c r="AC268" i="6" s="1"/>
  <c r="AC269" i="5"/>
  <c r="AC269" i="6" s="1"/>
  <c r="AC270" i="5"/>
  <c r="AC270" i="6" s="1"/>
  <c r="AC271" i="5"/>
  <c r="AC271" i="6" s="1"/>
  <c r="AC272" i="5"/>
  <c r="AC272" i="6" s="1"/>
  <c r="AC273" i="5"/>
  <c r="AC273" i="6" s="1"/>
  <c r="AC274" i="5"/>
  <c r="AC274" i="6" s="1"/>
  <c r="AC275" i="5"/>
  <c r="AC275" i="6" s="1"/>
  <c r="AC276" i="5"/>
  <c r="AC276" i="6" s="1"/>
  <c r="AC277" i="5"/>
  <c r="AC277" i="6" s="1"/>
  <c r="AC278" i="5"/>
  <c r="AC278" i="6" s="1"/>
  <c r="AC279" i="5"/>
  <c r="AC279" i="6" s="1"/>
  <c r="AC280" i="5"/>
  <c r="AC280" i="6" s="1"/>
  <c r="AC281" i="5"/>
  <c r="AC281" i="6" s="1"/>
  <c r="AC282" i="5"/>
  <c r="AC282" i="6" s="1"/>
  <c r="AC283" i="5"/>
  <c r="AC283" i="6" s="1"/>
  <c r="AC284" i="5"/>
  <c r="AC284" i="6" s="1"/>
  <c r="AC285" i="5"/>
  <c r="AC285" i="6" s="1"/>
  <c r="AC286" i="5"/>
  <c r="AC286" i="6" s="1"/>
  <c r="AC287" i="5"/>
  <c r="AC287" i="6" s="1"/>
  <c r="AC288" i="5"/>
  <c r="AC288" i="6" s="1"/>
  <c r="AC289" i="5"/>
  <c r="AC289" i="6" s="1"/>
  <c r="AC290" i="5"/>
  <c r="AC290" i="6" s="1"/>
  <c r="AC291" i="5"/>
  <c r="AC291" i="6" s="1"/>
  <c r="AC292" i="5"/>
  <c r="AC292" i="6" s="1"/>
  <c r="AC293" i="5"/>
  <c r="AC293" i="6" s="1"/>
  <c r="AC294" i="5"/>
  <c r="AC294" i="6" s="1"/>
  <c r="AC295" i="5"/>
  <c r="AC295" i="6" s="1"/>
  <c r="AC296" i="5"/>
  <c r="AC296" i="6" s="1"/>
  <c r="AC297" i="5"/>
  <c r="AC297" i="6" s="1"/>
  <c r="AC298" i="5"/>
  <c r="AC298" i="6" s="1"/>
  <c r="AC299" i="5"/>
  <c r="AC299" i="6" s="1"/>
  <c r="AC300" i="5"/>
  <c r="AC300" i="6" s="1"/>
  <c r="AC301" i="5"/>
  <c r="AC301" i="6" s="1"/>
  <c r="AC302" i="5"/>
  <c r="AC302" i="6" s="1"/>
  <c r="AC303" i="5"/>
  <c r="AC303" i="6" s="1"/>
  <c r="AC304" i="5"/>
  <c r="AC304" i="6" s="1"/>
  <c r="AC305" i="5"/>
  <c r="AC305" i="6" s="1"/>
  <c r="AC306" i="5"/>
  <c r="AC306" i="6" s="1"/>
  <c r="AC307" i="5"/>
  <c r="AC307" i="6" s="1"/>
  <c r="AC308" i="5"/>
  <c r="AC308" i="6" s="1"/>
  <c r="AC309" i="5"/>
  <c r="AC309" i="6" s="1"/>
  <c r="AC310" i="5"/>
  <c r="AC310" i="6" s="1"/>
  <c r="AC311" i="5"/>
  <c r="AC311" i="6" s="1"/>
  <c r="AC312" i="5"/>
  <c r="AC312" i="6" s="1"/>
  <c r="AC313" i="5"/>
  <c r="AC313" i="6" s="1"/>
  <c r="AC314" i="5"/>
  <c r="AC314" i="6" s="1"/>
  <c r="AC315" i="5"/>
  <c r="AC315" i="6" s="1"/>
  <c r="AC316" i="5"/>
  <c r="AC316" i="6" s="1"/>
  <c r="AC317" i="5"/>
  <c r="AC317" i="6" s="1"/>
  <c r="AC318" i="5"/>
  <c r="AC318" i="6" s="1"/>
  <c r="AC319" i="5"/>
  <c r="AC319" i="6" s="1"/>
  <c r="AC320" i="5"/>
  <c r="AC320" i="6" s="1"/>
  <c r="AC321" i="5"/>
  <c r="AC321" i="6" s="1"/>
  <c r="AC322" i="5"/>
  <c r="AC322" i="6" s="1"/>
  <c r="AC323" i="5"/>
  <c r="AC323" i="6" s="1"/>
  <c r="AC324" i="5"/>
  <c r="AC324" i="6" s="1"/>
  <c r="AC325" i="5"/>
  <c r="AC325" i="6" s="1"/>
  <c r="AC326" i="5"/>
  <c r="AC326" i="6" s="1"/>
  <c r="AC327" i="5"/>
  <c r="AC327" i="6" s="1"/>
  <c r="AC328" i="5"/>
  <c r="AC328" i="6" s="1"/>
  <c r="AC329" i="5"/>
  <c r="AC329" i="6" s="1"/>
  <c r="AC330" i="5"/>
  <c r="AC330" i="6" s="1"/>
  <c r="AC331" i="5"/>
  <c r="AC331" i="6" s="1"/>
  <c r="AC332" i="5"/>
  <c r="AC332" i="6" s="1"/>
  <c r="AC333" i="5"/>
  <c r="AC333" i="6" s="1"/>
  <c r="AC334" i="5"/>
  <c r="AC334" i="6" s="1"/>
  <c r="AC335" i="5"/>
  <c r="AC335" i="6" s="1"/>
  <c r="AC336" i="5"/>
  <c r="AC336" i="6" s="1"/>
  <c r="AC337" i="5"/>
  <c r="AC337" i="6" s="1"/>
  <c r="AC338" i="5"/>
  <c r="AC338" i="6" s="1"/>
  <c r="AC339" i="5"/>
  <c r="AC339" i="6" s="1"/>
  <c r="AC340" i="5"/>
  <c r="AC340" i="6" s="1"/>
  <c r="AC341" i="5"/>
  <c r="AC341" i="6" s="1"/>
  <c r="AC342" i="5"/>
  <c r="AC342" i="6" s="1"/>
  <c r="AC343" i="5"/>
  <c r="AC343" i="6" s="1"/>
  <c r="AC344" i="5"/>
  <c r="AC344" i="6" s="1"/>
  <c r="AC345" i="5"/>
  <c r="AC345" i="6" s="1"/>
  <c r="AC346" i="5"/>
  <c r="AC346" i="6" s="1"/>
  <c r="AC347" i="5"/>
  <c r="AC347" i="6" s="1"/>
  <c r="AC348" i="5"/>
  <c r="AC348" i="6" s="1"/>
  <c r="AC349" i="5"/>
  <c r="AC349" i="6" s="1"/>
  <c r="AC350" i="5"/>
  <c r="AC350" i="6" s="1"/>
  <c r="AC351" i="5"/>
  <c r="AC351" i="6" s="1"/>
  <c r="AC352" i="5"/>
  <c r="AC352" i="6" s="1"/>
  <c r="AC353" i="5"/>
  <c r="AC353" i="6" s="1"/>
  <c r="AC354" i="5"/>
  <c r="AC354" i="6" s="1"/>
  <c r="AC355" i="5"/>
  <c r="AC355" i="6" s="1"/>
  <c r="AC356" i="5"/>
  <c r="AC356" i="6" s="1"/>
  <c r="AC357" i="5"/>
  <c r="AC357" i="6" s="1"/>
  <c r="AC358" i="5"/>
  <c r="AC358" i="6" s="1"/>
  <c r="AC359" i="5"/>
  <c r="AC359" i="6" s="1"/>
  <c r="AC360" i="5"/>
  <c r="AC360" i="6" s="1"/>
  <c r="AC361" i="5"/>
  <c r="AC361" i="6" s="1"/>
  <c r="AC362" i="5"/>
  <c r="AC362" i="6" s="1"/>
  <c r="AC363" i="5"/>
  <c r="AC363" i="6" s="1"/>
  <c r="AC364" i="5"/>
  <c r="AC364" i="6" s="1"/>
  <c r="AC365" i="5"/>
  <c r="AC365" i="6" s="1"/>
  <c r="AC366" i="5"/>
  <c r="AC366" i="6" s="1"/>
  <c r="AC367" i="5"/>
  <c r="AC367" i="6" s="1"/>
  <c r="AC368" i="5"/>
  <c r="AC368" i="6" s="1"/>
  <c r="AC369" i="5"/>
  <c r="AC369" i="6" s="1"/>
  <c r="AC370" i="5"/>
  <c r="AC370" i="6" s="1"/>
  <c r="AC371" i="5"/>
  <c r="AC371" i="6" s="1"/>
  <c r="AC372" i="5"/>
  <c r="AC372" i="6" s="1"/>
  <c r="AC373" i="5"/>
  <c r="AC373" i="6" s="1"/>
  <c r="AC374" i="5"/>
  <c r="AC374" i="6" s="1"/>
  <c r="AC375" i="5"/>
  <c r="AC375" i="6" s="1"/>
  <c r="AC376" i="5"/>
  <c r="AC376" i="6" s="1"/>
  <c r="AC377" i="5"/>
  <c r="AC377" i="6" s="1"/>
  <c r="AC378" i="5"/>
  <c r="AC378" i="6" s="1"/>
  <c r="AC379" i="5"/>
  <c r="AC379" i="6" s="1"/>
  <c r="AC380" i="5"/>
  <c r="AC380" i="6" s="1"/>
  <c r="AC381" i="5"/>
  <c r="AC381" i="6" s="1"/>
  <c r="AC382" i="5"/>
  <c r="AC382" i="6" s="1"/>
  <c r="AC383" i="5"/>
  <c r="AC383" i="6" s="1"/>
  <c r="AC384" i="5"/>
  <c r="AC384" i="6" s="1"/>
  <c r="AC385" i="5"/>
  <c r="AC385" i="6" s="1"/>
  <c r="AC386" i="5"/>
  <c r="AC386" i="6" s="1"/>
  <c r="AC387" i="5"/>
  <c r="AC387" i="6" s="1"/>
  <c r="AC388" i="5"/>
  <c r="AC388" i="6" s="1"/>
  <c r="AC389" i="5"/>
  <c r="AC389" i="6" s="1"/>
  <c r="AC390" i="5"/>
  <c r="AC390" i="6" s="1"/>
  <c r="AC391" i="5"/>
  <c r="AC391" i="6" s="1"/>
  <c r="AC392" i="5"/>
  <c r="AC392" i="6" s="1"/>
  <c r="AC393" i="5"/>
  <c r="AC393" i="6" s="1"/>
  <c r="AC394" i="5"/>
  <c r="AC394" i="6" s="1"/>
  <c r="AC395" i="5"/>
  <c r="AC395" i="6" s="1"/>
  <c r="AC396" i="5"/>
  <c r="AC396" i="6" s="1"/>
  <c r="AC397" i="5"/>
  <c r="AC397" i="6" s="1"/>
  <c r="AC398" i="5"/>
  <c r="AC398" i="6" s="1"/>
  <c r="AC399" i="5"/>
  <c r="AC399" i="6" s="1"/>
  <c r="AC400" i="5"/>
  <c r="AC400" i="6" s="1"/>
  <c r="AC401" i="5"/>
  <c r="AC401" i="6" s="1"/>
  <c r="AC402" i="5"/>
  <c r="AC402" i="6" s="1"/>
  <c r="AC403" i="5"/>
  <c r="AC403" i="6" s="1"/>
  <c r="AC404" i="5"/>
  <c r="AC404" i="6" s="1"/>
  <c r="AC405" i="5"/>
  <c r="AC405" i="6" s="1"/>
  <c r="AC406" i="5"/>
  <c r="AC406" i="6" s="1"/>
  <c r="AC407" i="5"/>
  <c r="AC407" i="6" s="1"/>
  <c r="AC408" i="5"/>
  <c r="AC408" i="6" s="1"/>
  <c r="AC409" i="5"/>
  <c r="AC409" i="6" s="1"/>
  <c r="AC410" i="5"/>
  <c r="AC410" i="6" s="1"/>
  <c r="AC411" i="5"/>
  <c r="AC411" i="6" s="1"/>
  <c r="AC412" i="5"/>
  <c r="AC412" i="6" s="1"/>
  <c r="AC413" i="5"/>
  <c r="AC413" i="6" s="1"/>
  <c r="AC414" i="5"/>
  <c r="AC414" i="6" s="1"/>
  <c r="AC415" i="5"/>
  <c r="AC415" i="6" s="1"/>
  <c r="AC416" i="5"/>
  <c r="AC416" i="6" s="1"/>
  <c r="AC417" i="5"/>
  <c r="AC417" i="6" s="1"/>
  <c r="AC418" i="5"/>
  <c r="AC418" i="6" s="1"/>
  <c r="AC419" i="5"/>
  <c r="AC419" i="6" s="1"/>
  <c r="AC420" i="5"/>
  <c r="AC420" i="6" s="1"/>
  <c r="AC421" i="5"/>
  <c r="AC421" i="6" s="1"/>
  <c r="AC422" i="5"/>
  <c r="AC422" i="6" s="1"/>
  <c r="AC423" i="5"/>
  <c r="AC423" i="6" s="1"/>
  <c r="AC424" i="5"/>
  <c r="AC424" i="6" s="1"/>
  <c r="AC425" i="5"/>
  <c r="AC425" i="6" s="1"/>
  <c r="AC426" i="5"/>
  <c r="AC426" i="6" s="1"/>
  <c r="AC427" i="5"/>
  <c r="AC427" i="6" s="1"/>
  <c r="AC428" i="5"/>
  <c r="AC428" i="6" s="1"/>
  <c r="AC429" i="5"/>
  <c r="AC429" i="6" s="1"/>
  <c r="AC430" i="5"/>
  <c r="AC430" i="6" s="1"/>
  <c r="AC431" i="5"/>
  <c r="AC431" i="6" s="1"/>
  <c r="AC432" i="5"/>
  <c r="AC432" i="6" s="1"/>
  <c r="AC433" i="5"/>
  <c r="AC433" i="6" s="1"/>
  <c r="AC434" i="5"/>
  <c r="AC434" i="6" s="1"/>
  <c r="AC435" i="5"/>
  <c r="AC435" i="6" s="1"/>
  <c r="AC436" i="5"/>
  <c r="AC436" i="6" s="1"/>
  <c r="AC437" i="5"/>
  <c r="AC437" i="6" s="1"/>
  <c r="AC438" i="5"/>
  <c r="AC438" i="6" s="1"/>
  <c r="AC439" i="5"/>
  <c r="AC439" i="6" s="1"/>
  <c r="AC440" i="5"/>
  <c r="AC440" i="6" s="1"/>
  <c r="AC441" i="5"/>
  <c r="AC441" i="6" s="1"/>
  <c r="AC442" i="5"/>
  <c r="AC442" i="6" s="1"/>
  <c r="AC443" i="5"/>
  <c r="AC443" i="6" s="1"/>
  <c r="AC444" i="5"/>
  <c r="AC444" i="6" s="1"/>
  <c r="AC445" i="5"/>
  <c r="AC445" i="6" s="1"/>
  <c r="AC446" i="5"/>
  <c r="AC446" i="6" s="1"/>
  <c r="AC447" i="5"/>
  <c r="AC447" i="6" s="1"/>
  <c r="AC448" i="5"/>
  <c r="AC448" i="6" s="1"/>
  <c r="AC449" i="5"/>
  <c r="AC449" i="6" s="1"/>
  <c r="AC450" i="5"/>
  <c r="AC450" i="6" s="1"/>
  <c r="AC451" i="5"/>
  <c r="AC451" i="6" s="1"/>
  <c r="AC452" i="5"/>
  <c r="AC452" i="6" s="1"/>
  <c r="AC453" i="5"/>
  <c r="AC453" i="6" s="1"/>
  <c r="AC454" i="5"/>
  <c r="AC454" i="6" s="1"/>
  <c r="AC455" i="5"/>
  <c r="AC455" i="6" s="1"/>
  <c r="AC456" i="5"/>
  <c r="AC456" i="6" s="1"/>
  <c r="AC457" i="5"/>
  <c r="AC457" i="6" s="1"/>
  <c r="AC458" i="5"/>
  <c r="AC458" i="6" s="1"/>
  <c r="AC459" i="5"/>
  <c r="AC459" i="6" s="1"/>
  <c r="AC460" i="5"/>
  <c r="AC460" i="6" s="1"/>
  <c r="AC461" i="5"/>
  <c r="AC461" i="6" s="1"/>
  <c r="AC462" i="5"/>
  <c r="AC462" i="6" s="1"/>
  <c r="AC463" i="5"/>
  <c r="AC463" i="6" s="1"/>
  <c r="AC464" i="5"/>
  <c r="AC464" i="6" s="1"/>
  <c r="AC465" i="5"/>
  <c r="AC465" i="6" s="1"/>
  <c r="AC466" i="5"/>
  <c r="AC466" i="6" s="1"/>
  <c r="AC467" i="5"/>
  <c r="AC467" i="6" s="1"/>
  <c r="AC468" i="5"/>
  <c r="AC468" i="6" s="1"/>
  <c r="AC469" i="5"/>
  <c r="AC469" i="6" s="1"/>
  <c r="AC470" i="5"/>
  <c r="AC470" i="6" s="1"/>
  <c r="AC471" i="5"/>
  <c r="AC471" i="6" s="1"/>
  <c r="AC472" i="5"/>
  <c r="AC472" i="6" s="1"/>
  <c r="AC473" i="5"/>
  <c r="AC473" i="6" s="1"/>
  <c r="AC474" i="5"/>
  <c r="AC474" i="6" s="1"/>
  <c r="AC475" i="5"/>
  <c r="AC475" i="6" s="1"/>
  <c r="AC476" i="5"/>
  <c r="AC476" i="6" s="1"/>
  <c r="AC477" i="5"/>
  <c r="AC477" i="6" s="1"/>
  <c r="AC478" i="5"/>
  <c r="AC478" i="6" s="1"/>
  <c r="AC479" i="5"/>
  <c r="AC479" i="6" s="1"/>
  <c r="AC480" i="5"/>
  <c r="AC480" i="6" s="1"/>
  <c r="AC481" i="5"/>
  <c r="AC481" i="6" s="1"/>
  <c r="AC482" i="5"/>
  <c r="AC482" i="6" s="1"/>
  <c r="AC483" i="5"/>
  <c r="AC483" i="6" s="1"/>
  <c r="AC484" i="5"/>
  <c r="AC484" i="6" s="1"/>
  <c r="AC485" i="5"/>
  <c r="AC485" i="6" s="1"/>
  <c r="AC486" i="5"/>
  <c r="AC486" i="6" s="1"/>
  <c r="AC487" i="5"/>
  <c r="AC487" i="6" s="1"/>
  <c r="AC488" i="5"/>
  <c r="AC488" i="6" s="1"/>
  <c r="AC489" i="5"/>
  <c r="AC489" i="6" s="1"/>
  <c r="AC490" i="5"/>
  <c r="AC490" i="6" s="1"/>
  <c r="AC491" i="5"/>
  <c r="AC491" i="6" s="1"/>
  <c r="AC492" i="5"/>
  <c r="AC492" i="6" s="1"/>
  <c r="AC493" i="5"/>
  <c r="AC493" i="6" s="1"/>
  <c r="AC494" i="5"/>
  <c r="AC494" i="6" s="1"/>
  <c r="AC495" i="5"/>
  <c r="AC495" i="6" s="1"/>
  <c r="AC496" i="5"/>
  <c r="AC496" i="6" s="1"/>
  <c r="AC497" i="5"/>
  <c r="AC497" i="6" s="1"/>
  <c r="AC498" i="5"/>
  <c r="AC498" i="6" s="1"/>
  <c r="AC499" i="5"/>
  <c r="AC499" i="6" s="1"/>
  <c r="AC500" i="5"/>
  <c r="AC500" i="6" s="1"/>
  <c r="AC501" i="5"/>
  <c r="AC501" i="6" s="1"/>
  <c r="AC502" i="5"/>
  <c r="AC502" i="6" s="1"/>
  <c r="AC503" i="5"/>
  <c r="AC503" i="6" s="1"/>
  <c r="AC504" i="5"/>
  <c r="AC504" i="6" s="1"/>
  <c r="AC505" i="5"/>
  <c r="AC505" i="6" s="1"/>
  <c r="AC506" i="5"/>
  <c r="AC506" i="6" s="1"/>
  <c r="AC507" i="5"/>
  <c r="AC507" i="6" s="1"/>
  <c r="AC508" i="5"/>
  <c r="AC508" i="6" s="1"/>
  <c r="AC509" i="5"/>
  <c r="AC509" i="6" s="1"/>
  <c r="AC510" i="5"/>
  <c r="AC510" i="6" s="1"/>
  <c r="AC511" i="5"/>
  <c r="AC511" i="6" s="1"/>
  <c r="AC512" i="5"/>
  <c r="AC512" i="6" s="1"/>
  <c r="AC513" i="5"/>
  <c r="AC513" i="6" s="1"/>
  <c r="AC514" i="5"/>
  <c r="AC514" i="6" s="1"/>
  <c r="AC515" i="5"/>
  <c r="AC515" i="6" s="1"/>
  <c r="AC516" i="5"/>
  <c r="AC516" i="6" s="1"/>
  <c r="AC517" i="5"/>
  <c r="AC517" i="6" s="1"/>
  <c r="AC518" i="5"/>
  <c r="AC518" i="6" s="1"/>
  <c r="AC519" i="5"/>
  <c r="AC519" i="6" s="1"/>
  <c r="AC520" i="5"/>
  <c r="AC520" i="6" s="1"/>
  <c r="AC521" i="5"/>
  <c r="AC521" i="6" s="1"/>
  <c r="AC522" i="5"/>
  <c r="AC522" i="6" s="1"/>
  <c r="AC523" i="5"/>
  <c r="AC523" i="6" s="1"/>
  <c r="AC524" i="5"/>
  <c r="AC524" i="6" s="1"/>
  <c r="AC525" i="5"/>
  <c r="AC525" i="6" s="1"/>
  <c r="AC526" i="5"/>
  <c r="AC526" i="6" s="1"/>
  <c r="AC527" i="5"/>
  <c r="AC527" i="6" s="1"/>
  <c r="AC528" i="5"/>
  <c r="AC528" i="6" s="1"/>
  <c r="AC529" i="5"/>
  <c r="AC529" i="6" s="1"/>
  <c r="AC530" i="5"/>
  <c r="AC530" i="6" s="1"/>
  <c r="AC531" i="5"/>
  <c r="AC531" i="6" s="1"/>
  <c r="AC532" i="5"/>
  <c r="AC532" i="6" s="1"/>
  <c r="AC533" i="5"/>
  <c r="AC533" i="6" s="1"/>
  <c r="AC534" i="5"/>
  <c r="AC534" i="6" s="1"/>
  <c r="AC535" i="5"/>
  <c r="AC535" i="6" s="1"/>
  <c r="AC536" i="5"/>
  <c r="AC536" i="6" s="1"/>
  <c r="AC537" i="5"/>
  <c r="AC537" i="6" s="1"/>
  <c r="AC538" i="5"/>
  <c r="AC538" i="6" s="1"/>
  <c r="AC539" i="5"/>
  <c r="AC539" i="6" s="1"/>
  <c r="AC540" i="5"/>
  <c r="AC540" i="6" s="1"/>
  <c r="AC541" i="5"/>
  <c r="AC541" i="6" s="1"/>
  <c r="AC542" i="5"/>
  <c r="AC542" i="6" s="1"/>
  <c r="AC543" i="5"/>
  <c r="AC543" i="6" s="1"/>
  <c r="AC544" i="5"/>
  <c r="AC544" i="6" s="1"/>
  <c r="AC545" i="5"/>
  <c r="AC545" i="6" s="1"/>
  <c r="AC546" i="5"/>
  <c r="AC546" i="6" s="1"/>
  <c r="AC547" i="5"/>
  <c r="AC547" i="6" s="1"/>
  <c r="AC548" i="5"/>
  <c r="AC548" i="6" s="1"/>
  <c r="AC549" i="5"/>
  <c r="AC549" i="6" s="1"/>
  <c r="AC550" i="5"/>
  <c r="AC550" i="6" s="1"/>
  <c r="AC551" i="5"/>
  <c r="AC551" i="6" s="1"/>
  <c r="AC552" i="5"/>
  <c r="AC552" i="6" s="1"/>
  <c r="AC553" i="5"/>
  <c r="AC553" i="6" s="1"/>
  <c r="AC554" i="5"/>
  <c r="AC554" i="6" s="1"/>
  <c r="AC555" i="5"/>
  <c r="AC555" i="6" s="1"/>
  <c r="AC556" i="5"/>
  <c r="AC556" i="6" s="1"/>
  <c r="AC557" i="5"/>
  <c r="AC557" i="6" s="1"/>
  <c r="AC558" i="5"/>
  <c r="AC558" i="6" s="1"/>
  <c r="AC559" i="5"/>
  <c r="AC559" i="6" s="1"/>
  <c r="AC560" i="5"/>
  <c r="AC560" i="6" s="1"/>
  <c r="AC561" i="5"/>
  <c r="AC561" i="6" s="1"/>
  <c r="AC562" i="5"/>
  <c r="AC562" i="6" s="1"/>
  <c r="AC563" i="5"/>
  <c r="AC563" i="6" s="1"/>
  <c r="AC564" i="5"/>
  <c r="AC564" i="6" s="1"/>
  <c r="AC565" i="5"/>
  <c r="AC565" i="6" s="1"/>
  <c r="AC566" i="5"/>
  <c r="AC566" i="6" s="1"/>
  <c r="AC567" i="5"/>
  <c r="AC567" i="6" s="1"/>
  <c r="AC568" i="5"/>
  <c r="AC568" i="6" s="1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B2" i="5"/>
  <c r="AB2" i="6" s="1"/>
  <c r="AB3" i="5"/>
  <c r="AB3" i="6" s="1"/>
  <c r="AB4" i="5"/>
  <c r="AB4" i="6" s="1"/>
  <c r="AB5" i="5"/>
  <c r="AB5" i="6" s="1"/>
  <c r="AB6" i="5"/>
  <c r="AB6" i="6" s="1"/>
  <c r="AB7" i="5"/>
  <c r="AB7" i="6" s="1"/>
  <c r="AB8" i="5"/>
  <c r="AB8" i="6" s="1"/>
  <c r="AB9" i="5"/>
  <c r="AB9" i="6" s="1"/>
  <c r="AB10" i="5"/>
  <c r="AB10" i="6" s="1"/>
  <c r="AB11" i="5"/>
  <c r="AB11" i="6" s="1"/>
  <c r="AB12" i="5"/>
  <c r="AB12" i="6" s="1"/>
  <c r="AB13" i="5"/>
  <c r="AB13" i="6" s="1"/>
  <c r="AB14" i="5"/>
  <c r="AB14" i="6" s="1"/>
  <c r="AB15" i="5"/>
  <c r="AB15" i="6" s="1"/>
  <c r="AB16" i="5"/>
  <c r="AB16" i="6" s="1"/>
  <c r="AB17" i="5"/>
  <c r="AB17" i="6" s="1"/>
  <c r="AB18" i="5"/>
  <c r="AB18" i="6" s="1"/>
  <c r="AB19" i="5"/>
  <c r="AB19" i="6" s="1"/>
  <c r="AB20" i="5"/>
  <c r="AB20" i="6" s="1"/>
  <c r="AB21" i="5"/>
  <c r="AB21" i="6" s="1"/>
  <c r="AB22" i="5"/>
  <c r="AB22" i="6" s="1"/>
  <c r="AB23" i="5"/>
  <c r="AB23" i="6" s="1"/>
  <c r="AB24" i="5"/>
  <c r="AB24" i="6" s="1"/>
  <c r="AB25" i="5"/>
  <c r="AB25" i="6" s="1"/>
  <c r="AB26" i="5"/>
  <c r="AB26" i="6" s="1"/>
  <c r="AB27" i="5"/>
  <c r="AB27" i="6" s="1"/>
  <c r="AB28" i="5"/>
  <c r="AB28" i="6" s="1"/>
  <c r="AB29" i="5"/>
  <c r="AB29" i="6" s="1"/>
  <c r="AB30" i="5"/>
  <c r="AB30" i="6" s="1"/>
  <c r="AB31" i="5"/>
  <c r="AB31" i="6" s="1"/>
  <c r="AB32" i="5"/>
  <c r="AB32" i="6" s="1"/>
  <c r="AB33" i="5"/>
  <c r="AB33" i="6" s="1"/>
  <c r="AB34" i="5"/>
  <c r="AB34" i="6" s="1"/>
  <c r="AB35" i="5"/>
  <c r="AB35" i="6" s="1"/>
  <c r="AB36" i="5"/>
  <c r="AB36" i="6" s="1"/>
  <c r="AB37" i="5"/>
  <c r="AB37" i="6" s="1"/>
  <c r="AB38" i="5"/>
  <c r="AB38" i="6" s="1"/>
  <c r="AB39" i="5"/>
  <c r="AB39" i="6" s="1"/>
  <c r="AB40" i="5"/>
  <c r="AB40" i="6" s="1"/>
  <c r="AB41" i="5"/>
  <c r="AB41" i="6" s="1"/>
  <c r="AB42" i="5"/>
  <c r="AB42" i="6" s="1"/>
  <c r="AB43" i="5"/>
  <c r="AB43" i="6" s="1"/>
  <c r="AB44" i="5"/>
  <c r="AB44" i="6" s="1"/>
  <c r="AB45" i="5"/>
  <c r="AB45" i="6" s="1"/>
  <c r="AB46" i="5"/>
  <c r="AB46" i="6" s="1"/>
  <c r="AB47" i="5"/>
  <c r="AB47" i="6" s="1"/>
  <c r="AB48" i="5"/>
  <c r="AB48" i="6" s="1"/>
  <c r="AB49" i="5"/>
  <c r="AB49" i="6" s="1"/>
  <c r="AB50" i="5"/>
  <c r="AB50" i="6" s="1"/>
  <c r="AB51" i="5"/>
  <c r="AB51" i="6" s="1"/>
  <c r="AB52" i="5"/>
  <c r="AB52" i="6" s="1"/>
  <c r="AB53" i="5"/>
  <c r="AB53" i="6" s="1"/>
  <c r="AB54" i="5"/>
  <c r="AB54" i="6" s="1"/>
  <c r="AB55" i="5"/>
  <c r="AB55" i="6" s="1"/>
  <c r="AB56" i="5"/>
  <c r="AB56" i="6" s="1"/>
  <c r="AB57" i="5"/>
  <c r="AB57" i="6" s="1"/>
  <c r="AB58" i="5"/>
  <c r="AB58" i="6" s="1"/>
  <c r="AB59" i="5"/>
  <c r="AB59" i="6" s="1"/>
  <c r="AB60" i="5"/>
  <c r="AB60" i="6" s="1"/>
  <c r="AB61" i="5"/>
  <c r="AB61" i="6" s="1"/>
  <c r="AB62" i="5"/>
  <c r="AB62" i="6" s="1"/>
  <c r="AB63" i="5"/>
  <c r="AB63" i="6" s="1"/>
  <c r="AB64" i="5"/>
  <c r="AB64" i="6" s="1"/>
  <c r="AB65" i="5"/>
  <c r="AB65" i="6" s="1"/>
  <c r="AB66" i="5"/>
  <c r="AB66" i="6" s="1"/>
  <c r="AB67" i="5"/>
  <c r="AB67" i="6" s="1"/>
  <c r="AB68" i="5"/>
  <c r="AB68" i="6" s="1"/>
  <c r="AB69" i="5"/>
  <c r="AB69" i="6" s="1"/>
  <c r="AB70" i="5"/>
  <c r="AB70" i="6" s="1"/>
  <c r="AB71" i="5"/>
  <c r="AB71" i="6" s="1"/>
  <c r="AB72" i="5"/>
  <c r="AB72" i="6" s="1"/>
  <c r="AB73" i="5"/>
  <c r="AB73" i="6" s="1"/>
  <c r="AB74" i="5"/>
  <c r="AB74" i="6" s="1"/>
  <c r="AB75" i="5"/>
  <c r="AB75" i="6" s="1"/>
  <c r="AB76" i="5"/>
  <c r="AB76" i="6" s="1"/>
  <c r="AB77" i="5"/>
  <c r="AB77" i="6" s="1"/>
  <c r="AB78" i="5"/>
  <c r="AB78" i="6" s="1"/>
  <c r="AB79" i="5"/>
  <c r="AB79" i="6" s="1"/>
  <c r="AB80" i="5"/>
  <c r="AB80" i="6" s="1"/>
  <c r="AB81" i="5"/>
  <c r="AB81" i="6" s="1"/>
  <c r="AB82" i="5"/>
  <c r="AB82" i="6" s="1"/>
  <c r="AB83" i="5"/>
  <c r="AB83" i="6" s="1"/>
  <c r="AB84" i="5"/>
  <c r="AB84" i="6" s="1"/>
  <c r="AB85" i="5"/>
  <c r="AB85" i="6" s="1"/>
  <c r="AB86" i="5"/>
  <c r="AB86" i="6" s="1"/>
  <c r="AB87" i="5"/>
  <c r="AB87" i="6" s="1"/>
  <c r="AB88" i="5"/>
  <c r="AB88" i="6" s="1"/>
  <c r="AB89" i="5"/>
  <c r="AB89" i="6" s="1"/>
  <c r="AB90" i="5"/>
  <c r="AB90" i="6" s="1"/>
  <c r="AB91" i="5"/>
  <c r="AB91" i="6" s="1"/>
  <c r="AB92" i="5"/>
  <c r="AB92" i="6" s="1"/>
  <c r="AB93" i="5"/>
  <c r="AB93" i="6" s="1"/>
  <c r="AB94" i="5"/>
  <c r="AB94" i="6" s="1"/>
  <c r="AB95" i="5"/>
  <c r="AB95" i="6" s="1"/>
  <c r="AB96" i="5"/>
  <c r="AB96" i="6" s="1"/>
  <c r="AB97" i="5"/>
  <c r="AB97" i="6" s="1"/>
  <c r="AB98" i="5"/>
  <c r="AB98" i="6" s="1"/>
  <c r="AB99" i="5"/>
  <c r="AB99" i="6" s="1"/>
  <c r="AB100" i="5"/>
  <c r="AB100" i="6" s="1"/>
  <c r="AB101" i="5"/>
  <c r="AB101" i="6" s="1"/>
  <c r="AB102" i="5"/>
  <c r="AB102" i="6" s="1"/>
  <c r="AB103" i="5"/>
  <c r="AB103" i="6" s="1"/>
  <c r="AB104" i="5"/>
  <c r="AB104" i="6" s="1"/>
  <c r="AB105" i="5"/>
  <c r="AB105" i="6" s="1"/>
  <c r="AB106" i="5"/>
  <c r="AB106" i="6" s="1"/>
  <c r="AB107" i="5"/>
  <c r="AB107" i="6" s="1"/>
  <c r="AB108" i="5"/>
  <c r="AB108" i="6" s="1"/>
  <c r="AB109" i="5"/>
  <c r="AB109" i="6" s="1"/>
  <c r="AB110" i="5"/>
  <c r="AB110" i="6" s="1"/>
  <c r="AB111" i="5"/>
  <c r="AB111" i="6" s="1"/>
  <c r="AB112" i="5"/>
  <c r="AB112" i="6" s="1"/>
  <c r="AB113" i="5"/>
  <c r="AB113" i="6" s="1"/>
  <c r="AB114" i="5"/>
  <c r="AB114" i="6" s="1"/>
  <c r="AB115" i="5"/>
  <c r="AB115" i="6" s="1"/>
  <c r="AB116" i="5"/>
  <c r="AB116" i="6" s="1"/>
  <c r="AB117" i="5"/>
  <c r="AB117" i="6" s="1"/>
  <c r="AB118" i="5"/>
  <c r="AB118" i="6" s="1"/>
  <c r="AB119" i="5"/>
  <c r="AB119" i="6" s="1"/>
  <c r="AB120" i="5"/>
  <c r="AB120" i="6" s="1"/>
  <c r="AB121" i="5"/>
  <c r="AB121" i="6" s="1"/>
  <c r="AB122" i="5"/>
  <c r="AB122" i="6" s="1"/>
  <c r="AB123" i="5"/>
  <c r="AB123" i="6" s="1"/>
  <c r="AB124" i="5"/>
  <c r="AB124" i="6" s="1"/>
  <c r="AB125" i="5"/>
  <c r="AB125" i="6" s="1"/>
  <c r="AB126" i="5"/>
  <c r="AB126" i="6" s="1"/>
  <c r="AB127" i="5"/>
  <c r="AB127" i="6" s="1"/>
  <c r="AB128" i="5"/>
  <c r="AB128" i="6" s="1"/>
  <c r="AB129" i="5"/>
  <c r="AB129" i="6" s="1"/>
  <c r="AB130" i="5"/>
  <c r="AB130" i="6" s="1"/>
  <c r="AB131" i="5"/>
  <c r="AB131" i="6" s="1"/>
  <c r="AB132" i="5"/>
  <c r="AB132" i="6" s="1"/>
  <c r="AB133" i="5"/>
  <c r="AB133" i="6" s="1"/>
  <c r="AB134" i="5"/>
  <c r="AB134" i="6" s="1"/>
  <c r="AB135" i="5"/>
  <c r="AB135" i="6" s="1"/>
  <c r="AB136" i="5"/>
  <c r="AB136" i="6" s="1"/>
  <c r="AB137" i="5"/>
  <c r="AB137" i="6" s="1"/>
  <c r="AB138" i="5"/>
  <c r="AB138" i="6" s="1"/>
  <c r="AB139" i="5"/>
  <c r="AB139" i="6" s="1"/>
  <c r="AB140" i="5"/>
  <c r="AB140" i="6" s="1"/>
  <c r="AB141" i="5"/>
  <c r="AB141" i="6" s="1"/>
  <c r="AB142" i="5"/>
  <c r="AB142" i="6" s="1"/>
  <c r="AB143" i="5"/>
  <c r="AB143" i="6" s="1"/>
  <c r="AB144" i="5"/>
  <c r="AB144" i="6" s="1"/>
  <c r="AB145" i="5"/>
  <c r="AB145" i="6" s="1"/>
  <c r="AB146" i="5"/>
  <c r="AB146" i="6" s="1"/>
  <c r="AB147" i="5"/>
  <c r="AB147" i="6" s="1"/>
  <c r="AB148" i="5"/>
  <c r="AB148" i="6" s="1"/>
  <c r="AB149" i="5"/>
  <c r="AB149" i="6" s="1"/>
  <c r="AB150" i="5"/>
  <c r="AB150" i="6" s="1"/>
  <c r="AB151" i="5"/>
  <c r="AB151" i="6" s="1"/>
  <c r="AB152" i="5"/>
  <c r="AB152" i="6" s="1"/>
  <c r="AB153" i="5"/>
  <c r="AB153" i="6" s="1"/>
  <c r="AB154" i="5"/>
  <c r="AB154" i="6" s="1"/>
  <c r="AB155" i="5"/>
  <c r="AB155" i="6" s="1"/>
  <c r="AB156" i="5"/>
  <c r="AB156" i="6" s="1"/>
  <c r="AB157" i="5"/>
  <c r="AB157" i="6" s="1"/>
  <c r="AB158" i="5"/>
  <c r="AB158" i="6" s="1"/>
  <c r="AB159" i="5"/>
  <c r="AB159" i="6" s="1"/>
  <c r="AB160" i="5"/>
  <c r="AB160" i="6" s="1"/>
  <c r="AB161" i="5"/>
  <c r="AB161" i="6" s="1"/>
  <c r="AB162" i="5"/>
  <c r="AB162" i="6" s="1"/>
  <c r="AB163" i="5"/>
  <c r="AB163" i="6" s="1"/>
  <c r="AB164" i="5"/>
  <c r="AB164" i="6" s="1"/>
  <c r="AB165" i="5"/>
  <c r="AB165" i="6" s="1"/>
  <c r="AB166" i="5"/>
  <c r="AB166" i="6" s="1"/>
  <c r="AB167" i="5"/>
  <c r="AB167" i="6" s="1"/>
  <c r="AB168" i="5"/>
  <c r="AB168" i="6" s="1"/>
  <c r="AB169" i="5"/>
  <c r="AB169" i="6" s="1"/>
  <c r="AB170" i="5"/>
  <c r="AB170" i="6" s="1"/>
  <c r="AB171" i="5"/>
  <c r="AB171" i="6" s="1"/>
  <c r="AB172" i="5"/>
  <c r="AB172" i="6" s="1"/>
  <c r="AB173" i="5"/>
  <c r="AB173" i="6" s="1"/>
  <c r="AB174" i="5"/>
  <c r="AB174" i="6" s="1"/>
  <c r="AB175" i="5"/>
  <c r="AB175" i="6" s="1"/>
  <c r="AB176" i="5"/>
  <c r="AB176" i="6" s="1"/>
  <c r="AB177" i="5"/>
  <c r="AB177" i="6" s="1"/>
  <c r="AB178" i="5"/>
  <c r="AB178" i="6" s="1"/>
  <c r="AB179" i="5"/>
  <c r="AB179" i="6" s="1"/>
  <c r="AB180" i="5"/>
  <c r="AB180" i="6" s="1"/>
  <c r="AB181" i="5"/>
  <c r="AB181" i="6" s="1"/>
  <c r="AB182" i="5"/>
  <c r="AB182" i="6" s="1"/>
  <c r="AB183" i="5"/>
  <c r="AB183" i="6" s="1"/>
  <c r="AB184" i="5"/>
  <c r="AB184" i="6" s="1"/>
  <c r="AB185" i="5"/>
  <c r="AB185" i="6" s="1"/>
  <c r="AB186" i="5"/>
  <c r="AB186" i="6" s="1"/>
  <c r="AB187" i="5"/>
  <c r="AB187" i="6" s="1"/>
  <c r="AB188" i="5"/>
  <c r="AB188" i="6" s="1"/>
  <c r="AB189" i="5"/>
  <c r="AB189" i="6" s="1"/>
  <c r="AB190" i="5"/>
  <c r="AB190" i="6" s="1"/>
  <c r="AB191" i="5"/>
  <c r="AB191" i="6" s="1"/>
  <c r="AB192" i="5"/>
  <c r="AB192" i="6" s="1"/>
  <c r="AB193" i="5"/>
  <c r="AB193" i="6" s="1"/>
  <c r="AB194" i="5"/>
  <c r="AB194" i="6" s="1"/>
  <c r="AB195" i="5"/>
  <c r="AB195" i="6" s="1"/>
  <c r="AB196" i="5"/>
  <c r="AB196" i="6" s="1"/>
  <c r="AB197" i="5"/>
  <c r="AB197" i="6" s="1"/>
  <c r="AB198" i="5"/>
  <c r="AB198" i="6" s="1"/>
  <c r="AB199" i="5"/>
  <c r="AB199" i="6" s="1"/>
  <c r="AB200" i="5"/>
  <c r="AB200" i="6" s="1"/>
  <c r="AB201" i="5"/>
  <c r="AB201" i="6" s="1"/>
  <c r="AB202" i="5"/>
  <c r="AB202" i="6" s="1"/>
  <c r="AB203" i="5"/>
  <c r="AB203" i="6" s="1"/>
  <c r="AB204" i="5"/>
  <c r="AB204" i="6" s="1"/>
  <c r="AB205" i="5"/>
  <c r="AB205" i="6" s="1"/>
  <c r="AB206" i="5"/>
  <c r="AB206" i="6" s="1"/>
  <c r="AB207" i="5"/>
  <c r="AB207" i="6" s="1"/>
  <c r="AB208" i="5"/>
  <c r="AB208" i="6" s="1"/>
  <c r="AB209" i="5"/>
  <c r="AB209" i="6" s="1"/>
  <c r="AB210" i="5"/>
  <c r="AB210" i="6" s="1"/>
  <c r="AB211" i="5"/>
  <c r="AB211" i="6" s="1"/>
  <c r="AB212" i="5"/>
  <c r="AB212" i="6" s="1"/>
  <c r="AB213" i="5"/>
  <c r="AB213" i="6" s="1"/>
  <c r="AB214" i="5"/>
  <c r="AB214" i="6" s="1"/>
  <c r="AB215" i="5"/>
  <c r="AB215" i="6" s="1"/>
  <c r="AB216" i="5"/>
  <c r="AB216" i="6" s="1"/>
  <c r="AB217" i="5"/>
  <c r="AB217" i="6" s="1"/>
  <c r="AB218" i="5"/>
  <c r="AB218" i="6" s="1"/>
  <c r="AB219" i="5"/>
  <c r="AB219" i="6" s="1"/>
  <c r="AB220" i="5"/>
  <c r="AB220" i="6" s="1"/>
  <c r="AB221" i="5"/>
  <c r="AB221" i="6" s="1"/>
  <c r="AB222" i="5"/>
  <c r="AB222" i="6" s="1"/>
  <c r="AB223" i="5"/>
  <c r="AB223" i="6" s="1"/>
  <c r="AB224" i="5"/>
  <c r="AB224" i="6" s="1"/>
  <c r="AB225" i="5"/>
  <c r="AB225" i="6" s="1"/>
  <c r="AB226" i="5"/>
  <c r="AB226" i="6" s="1"/>
  <c r="AB227" i="5"/>
  <c r="AB227" i="6" s="1"/>
  <c r="AB228" i="5"/>
  <c r="AB228" i="6" s="1"/>
  <c r="AB229" i="5"/>
  <c r="AB229" i="6" s="1"/>
  <c r="AB230" i="5"/>
  <c r="AB230" i="6" s="1"/>
  <c r="AB231" i="5"/>
  <c r="AB231" i="6" s="1"/>
  <c r="AB232" i="5"/>
  <c r="AB232" i="6" s="1"/>
  <c r="AB233" i="5"/>
  <c r="AB233" i="6" s="1"/>
  <c r="AB234" i="5"/>
  <c r="AB234" i="6" s="1"/>
  <c r="AB235" i="5"/>
  <c r="AB235" i="6" s="1"/>
  <c r="AB236" i="5"/>
  <c r="AB236" i="6" s="1"/>
  <c r="AB237" i="5"/>
  <c r="AB237" i="6" s="1"/>
  <c r="AB238" i="5"/>
  <c r="AB238" i="6" s="1"/>
  <c r="AB239" i="5"/>
  <c r="AB239" i="6" s="1"/>
  <c r="AB240" i="5"/>
  <c r="AB240" i="6" s="1"/>
  <c r="AB241" i="5"/>
  <c r="AB241" i="6" s="1"/>
  <c r="AB242" i="5"/>
  <c r="AB242" i="6" s="1"/>
  <c r="AB243" i="5"/>
  <c r="AB243" i="6" s="1"/>
  <c r="AB244" i="5"/>
  <c r="AB244" i="6" s="1"/>
  <c r="AB245" i="5"/>
  <c r="AB245" i="6" s="1"/>
  <c r="AB246" i="5"/>
  <c r="AB246" i="6" s="1"/>
  <c r="AB247" i="5"/>
  <c r="AB247" i="6" s="1"/>
  <c r="AB248" i="5"/>
  <c r="AB248" i="6" s="1"/>
  <c r="AB249" i="5"/>
  <c r="AB249" i="6" s="1"/>
  <c r="AB250" i="5"/>
  <c r="AB250" i="6" s="1"/>
  <c r="AB251" i="5"/>
  <c r="AB251" i="6" s="1"/>
  <c r="AB252" i="5"/>
  <c r="AB252" i="6" s="1"/>
  <c r="AB253" i="5"/>
  <c r="AB253" i="6" s="1"/>
  <c r="AB254" i="5"/>
  <c r="AB254" i="6" s="1"/>
  <c r="AB255" i="5"/>
  <c r="AB255" i="6" s="1"/>
  <c r="AB256" i="5"/>
  <c r="AB256" i="6" s="1"/>
  <c r="AB257" i="5"/>
  <c r="AB257" i="6" s="1"/>
  <c r="AB258" i="5"/>
  <c r="AB258" i="6" s="1"/>
  <c r="AB259" i="5"/>
  <c r="AB259" i="6" s="1"/>
  <c r="AB260" i="5"/>
  <c r="AB260" i="6" s="1"/>
  <c r="AB261" i="5"/>
  <c r="AB261" i="6" s="1"/>
  <c r="AB262" i="5"/>
  <c r="AB262" i="6" s="1"/>
  <c r="AB263" i="5"/>
  <c r="AB263" i="6" s="1"/>
  <c r="AB264" i="5"/>
  <c r="AB264" i="6" s="1"/>
  <c r="AB265" i="5"/>
  <c r="AB265" i="6" s="1"/>
  <c r="AB266" i="5"/>
  <c r="AB266" i="6" s="1"/>
  <c r="AB267" i="5"/>
  <c r="AB267" i="6" s="1"/>
  <c r="AB268" i="5"/>
  <c r="AB268" i="6" s="1"/>
  <c r="AB269" i="5"/>
  <c r="AB269" i="6" s="1"/>
  <c r="AB270" i="5"/>
  <c r="AB270" i="6" s="1"/>
  <c r="AB271" i="5"/>
  <c r="AB271" i="6" s="1"/>
  <c r="AB272" i="5"/>
  <c r="AB272" i="6" s="1"/>
  <c r="AB273" i="5"/>
  <c r="AB273" i="6" s="1"/>
  <c r="AB274" i="5"/>
  <c r="AB274" i="6" s="1"/>
  <c r="AB275" i="5"/>
  <c r="AB275" i="6" s="1"/>
  <c r="AB276" i="5"/>
  <c r="AB276" i="6" s="1"/>
  <c r="AB277" i="5"/>
  <c r="AB277" i="6" s="1"/>
  <c r="AB278" i="5"/>
  <c r="AB278" i="6" s="1"/>
  <c r="AB279" i="5"/>
  <c r="AB279" i="6" s="1"/>
  <c r="AB280" i="5"/>
  <c r="AB280" i="6" s="1"/>
  <c r="AB281" i="5"/>
  <c r="AB281" i="6" s="1"/>
  <c r="AB282" i="5"/>
  <c r="AB282" i="6" s="1"/>
  <c r="AB283" i="5"/>
  <c r="AB283" i="6" s="1"/>
  <c r="AB284" i="5"/>
  <c r="AB284" i="6" s="1"/>
  <c r="AB285" i="5"/>
  <c r="AB285" i="6" s="1"/>
  <c r="AB286" i="5"/>
  <c r="AB286" i="6" s="1"/>
  <c r="AB287" i="5"/>
  <c r="AB287" i="6" s="1"/>
  <c r="AB288" i="5"/>
  <c r="AB288" i="6" s="1"/>
  <c r="AB289" i="5"/>
  <c r="AB289" i="6" s="1"/>
  <c r="AB290" i="5"/>
  <c r="AB290" i="6" s="1"/>
  <c r="AB291" i="5"/>
  <c r="AB291" i="6" s="1"/>
  <c r="AB292" i="5"/>
  <c r="AB292" i="6" s="1"/>
  <c r="AB293" i="5"/>
  <c r="AB293" i="6" s="1"/>
  <c r="AB294" i="5"/>
  <c r="AB294" i="6" s="1"/>
  <c r="AB295" i="5"/>
  <c r="AB295" i="6" s="1"/>
  <c r="AB296" i="5"/>
  <c r="AB296" i="6" s="1"/>
  <c r="AB297" i="5"/>
  <c r="AB297" i="6" s="1"/>
  <c r="AB298" i="5"/>
  <c r="AB298" i="6" s="1"/>
  <c r="AB299" i="5"/>
  <c r="AB299" i="6" s="1"/>
  <c r="AB300" i="5"/>
  <c r="AB300" i="6" s="1"/>
  <c r="AB301" i="5"/>
  <c r="AB301" i="6" s="1"/>
  <c r="AB302" i="5"/>
  <c r="AB302" i="6" s="1"/>
  <c r="AB303" i="5"/>
  <c r="AB303" i="6" s="1"/>
  <c r="AB304" i="5"/>
  <c r="AB304" i="6" s="1"/>
  <c r="AB305" i="5"/>
  <c r="AB305" i="6" s="1"/>
  <c r="AB306" i="5"/>
  <c r="AB306" i="6" s="1"/>
  <c r="AB307" i="5"/>
  <c r="AB307" i="6" s="1"/>
  <c r="AB308" i="5"/>
  <c r="AB308" i="6" s="1"/>
  <c r="AB309" i="5"/>
  <c r="AB309" i="6" s="1"/>
  <c r="AB310" i="5"/>
  <c r="AB310" i="6" s="1"/>
  <c r="AB311" i="5"/>
  <c r="AB311" i="6" s="1"/>
  <c r="AB312" i="5"/>
  <c r="AB312" i="6" s="1"/>
  <c r="AB313" i="5"/>
  <c r="AB313" i="6" s="1"/>
  <c r="AB314" i="5"/>
  <c r="AB314" i="6" s="1"/>
  <c r="AB315" i="5"/>
  <c r="AB315" i="6" s="1"/>
  <c r="AB316" i="5"/>
  <c r="AB316" i="6" s="1"/>
  <c r="AB317" i="5"/>
  <c r="AB317" i="6" s="1"/>
  <c r="AB318" i="5"/>
  <c r="AB318" i="6" s="1"/>
  <c r="AB319" i="5"/>
  <c r="AB319" i="6" s="1"/>
  <c r="AB320" i="5"/>
  <c r="AB320" i="6" s="1"/>
  <c r="AB321" i="5"/>
  <c r="AB321" i="6" s="1"/>
  <c r="AB322" i="5"/>
  <c r="AB322" i="6" s="1"/>
  <c r="AB323" i="5"/>
  <c r="AB323" i="6" s="1"/>
  <c r="AB324" i="5"/>
  <c r="AB324" i="6" s="1"/>
  <c r="AB325" i="5"/>
  <c r="AB325" i="6" s="1"/>
  <c r="AB326" i="5"/>
  <c r="AB326" i="6" s="1"/>
  <c r="AB327" i="5"/>
  <c r="AB327" i="6" s="1"/>
  <c r="AB328" i="5"/>
  <c r="AB328" i="6" s="1"/>
  <c r="AB329" i="5"/>
  <c r="AB329" i="6" s="1"/>
  <c r="AB330" i="5"/>
  <c r="AB330" i="6" s="1"/>
  <c r="AB331" i="5"/>
  <c r="AB331" i="6" s="1"/>
  <c r="AB332" i="5"/>
  <c r="AB332" i="6" s="1"/>
  <c r="AB333" i="5"/>
  <c r="AB333" i="6" s="1"/>
  <c r="AB334" i="5"/>
  <c r="AB334" i="6" s="1"/>
  <c r="AB335" i="5"/>
  <c r="AB335" i="6" s="1"/>
  <c r="AB336" i="5"/>
  <c r="AB336" i="6" s="1"/>
  <c r="AB337" i="5"/>
  <c r="AB337" i="6" s="1"/>
  <c r="AB338" i="5"/>
  <c r="AB338" i="6" s="1"/>
  <c r="AB339" i="5"/>
  <c r="AB339" i="6" s="1"/>
  <c r="AB340" i="5"/>
  <c r="AB340" i="6" s="1"/>
  <c r="AB341" i="5"/>
  <c r="AB341" i="6" s="1"/>
  <c r="AB342" i="5"/>
  <c r="AB342" i="6" s="1"/>
  <c r="AB343" i="5"/>
  <c r="AB343" i="6" s="1"/>
  <c r="AB344" i="5"/>
  <c r="AB344" i="6" s="1"/>
  <c r="AB345" i="5"/>
  <c r="AB345" i="6" s="1"/>
  <c r="AB346" i="5"/>
  <c r="AB346" i="6" s="1"/>
  <c r="AB347" i="5"/>
  <c r="AB347" i="6" s="1"/>
  <c r="AB348" i="5"/>
  <c r="AB348" i="6" s="1"/>
  <c r="AB349" i="5"/>
  <c r="AB349" i="6" s="1"/>
  <c r="AB350" i="5"/>
  <c r="AB350" i="6" s="1"/>
  <c r="AB351" i="5"/>
  <c r="AB351" i="6" s="1"/>
  <c r="AB352" i="5"/>
  <c r="AB352" i="6" s="1"/>
  <c r="AB353" i="5"/>
  <c r="AB353" i="6" s="1"/>
  <c r="AB354" i="5"/>
  <c r="AB354" i="6" s="1"/>
  <c r="AB355" i="5"/>
  <c r="AB355" i="6" s="1"/>
  <c r="AB356" i="5"/>
  <c r="AB356" i="6" s="1"/>
  <c r="AB357" i="5"/>
  <c r="AB357" i="6" s="1"/>
  <c r="AB358" i="5"/>
  <c r="AB358" i="6" s="1"/>
  <c r="AB359" i="5"/>
  <c r="AB359" i="6" s="1"/>
  <c r="AB360" i="5"/>
  <c r="AB360" i="6" s="1"/>
  <c r="AB361" i="5"/>
  <c r="AB361" i="6" s="1"/>
  <c r="AB362" i="5"/>
  <c r="AB362" i="6" s="1"/>
  <c r="AB363" i="5"/>
  <c r="AB363" i="6" s="1"/>
  <c r="AB364" i="5"/>
  <c r="AB364" i="6" s="1"/>
  <c r="AB365" i="5"/>
  <c r="AB365" i="6" s="1"/>
  <c r="AB366" i="5"/>
  <c r="AB366" i="6" s="1"/>
  <c r="AB367" i="5"/>
  <c r="AB367" i="6" s="1"/>
  <c r="AB368" i="5"/>
  <c r="AB368" i="6" s="1"/>
  <c r="AB369" i="5"/>
  <c r="AB369" i="6" s="1"/>
  <c r="AB370" i="5"/>
  <c r="AB370" i="6" s="1"/>
  <c r="AB371" i="5"/>
  <c r="AB371" i="6" s="1"/>
  <c r="AB372" i="5"/>
  <c r="AB372" i="6" s="1"/>
  <c r="AB373" i="5"/>
  <c r="AB373" i="6" s="1"/>
  <c r="AB374" i="5"/>
  <c r="AB374" i="6" s="1"/>
  <c r="AB375" i="5"/>
  <c r="AB375" i="6" s="1"/>
  <c r="AB376" i="5"/>
  <c r="AB376" i="6" s="1"/>
  <c r="AB377" i="5"/>
  <c r="AB377" i="6" s="1"/>
  <c r="AB378" i="5"/>
  <c r="AB378" i="6" s="1"/>
  <c r="AB379" i="5"/>
  <c r="AB379" i="6" s="1"/>
  <c r="AB380" i="5"/>
  <c r="AB380" i="6" s="1"/>
  <c r="AB381" i="5"/>
  <c r="AB381" i="6" s="1"/>
  <c r="AB382" i="5"/>
  <c r="AB382" i="6" s="1"/>
  <c r="AB383" i="5"/>
  <c r="AB383" i="6" s="1"/>
  <c r="AB384" i="5"/>
  <c r="AB384" i="6" s="1"/>
  <c r="AB385" i="5"/>
  <c r="AB385" i="6" s="1"/>
  <c r="AB386" i="5"/>
  <c r="AB386" i="6" s="1"/>
  <c r="AB387" i="5"/>
  <c r="AB387" i="6" s="1"/>
  <c r="AB388" i="5"/>
  <c r="AB388" i="6" s="1"/>
  <c r="AB389" i="5"/>
  <c r="AB389" i="6" s="1"/>
  <c r="AB390" i="5"/>
  <c r="AB390" i="6" s="1"/>
  <c r="AB391" i="5"/>
  <c r="AB391" i="6" s="1"/>
  <c r="AB392" i="5"/>
  <c r="AB392" i="6" s="1"/>
  <c r="AB393" i="5"/>
  <c r="AB393" i="6" s="1"/>
  <c r="AB394" i="5"/>
  <c r="AB394" i="6" s="1"/>
  <c r="AB395" i="5"/>
  <c r="AB395" i="6" s="1"/>
  <c r="AB396" i="5"/>
  <c r="AB396" i="6" s="1"/>
  <c r="AB397" i="5"/>
  <c r="AB397" i="6" s="1"/>
  <c r="AB398" i="5"/>
  <c r="AB398" i="6" s="1"/>
  <c r="AB399" i="5"/>
  <c r="AB399" i="6" s="1"/>
  <c r="AB400" i="5"/>
  <c r="AB400" i="6" s="1"/>
  <c r="AB401" i="5"/>
  <c r="AB401" i="6" s="1"/>
  <c r="AB402" i="5"/>
  <c r="AB402" i="6" s="1"/>
  <c r="AB403" i="5"/>
  <c r="AB403" i="6" s="1"/>
  <c r="AB404" i="5"/>
  <c r="AB404" i="6" s="1"/>
  <c r="AB405" i="5"/>
  <c r="AB405" i="6" s="1"/>
  <c r="AB406" i="5"/>
  <c r="AB406" i="6" s="1"/>
  <c r="AB407" i="5"/>
  <c r="AB407" i="6" s="1"/>
  <c r="AB408" i="5"/>
  <c r="AB408" i="6" s="1"/>
  <c r="AB409" i="5"/>
  <c r="AB409" i="6" s="1"/>
  <c r="AB410" i="5"/>
  <c r="AB410" i="6" s="1"/>
  <c r="AB411" i="5"/>
  <c r="AB411" i="6" s="1"/>
  <c r="AB412" i="5"/>
  <c r="AB412" i="6" s="1"/>
  <c r="AB413" i="5"/>
  <c r="AB413" i="6" s="1"/>
  <c r="AB414" i="5"/>
  <c r="AB414" i="6" s="1"/>
  <c r="AB415" i="5"/>
  <c r="AB415" i="6" s="1"/>
  <c r="AB416" i="5"/>
  <c r="AB416" i="6" s="1"/>
  <c r="AB417" i="5"/>
  <c r="AB417" i="6" s="1"/>
  <c r="AB418" i="5"/>
  <c r="AB418" i="6" s="1"/>
  <c r="AB419" i="5"/>
  <c r="AB419" i="6" s="1"/>
  <c r="AB420" i="5"/>
  <c r="AB420" i="6" s="1"/>
  <c r="AB421" i="5"/>
  <c r="AB421" i="6" s="1"/>
  <c r="AB422" i="5"/>
  <c r="AB422" i="6" s="1"/>
  <c r="AB423" i="5"/>
  <c r="AB423" i="6" s="1"/>
  <c r="AB424" i="5"/>
  <c r="AB424" i="6" s="1"/>
  <c r="AB425" i="5"/>
  <c r="AB425" i="6" s="1"/>
  <c r="AB426" i="5"/>
  <c r="AB426" i="6" s="1"/>
  <c r="AB427" i="5"/>
  <c r="AB427" i="6" s="1"/>
  <c r="AB428" i="5"/>
  <c r="AB428" i="6" s="1"/>
  <c r="AB429" i="5"/>
  <c r="AB429" i="6" s="1"/>
  <c r="AB430" i="5"/>
  <c r="AB430" i="6" s="1"/>
  <c r="AB431" i="5"/>
  <c r="AB431" i="6" s="1"/>
  <c r="AB432" i="5"/>
  <c r="AB432" i="6" s="1"/>
  <c r="AB433" i="5"/>
  <c r="AB433" i="6" s="1"/>
  <c r="AB434" i="5"/>
  <c r="AB434" i="6" s="1"/>
  <c r="AB435" i="5"/>
  <c r="AB435" i="6" s="1"/>
  <c r="AB436" i="5"/>
  <c r="AB436" i="6" s="1"/>
  <c r="AB437" i="5"/>
  <c r="AB437" i="6" s="1"/>
  <c r="AB438" i="5"/>
  <c r="AB438" i="6" s="1"/>
  <c r="AB439" i="5"/>
  <c r="AB439" i="6" s="1"/>
  <c r="AB440" i="5"/>
  <c r="AB440" i="6" s="1"/>
  <c r="AB441" i="5"/>
  <c r="AB441" i="6" s="1"/>
  <c r="AB442" i="5"/>
  <c r="AB442" i="6" s="1"/>
  <c r="AB443" i="5"/>
  <c r="AB443" i="6" s="1"/>
  <c r="AB444" i="5"/>
  <c r="AB444" i="6" s="1"/>
  <c r="AB445" i="5"/>
  <c r="AB445" i="6" s="1"/>
  <c r="AB446" i="5"/>
  <c r="AB446" i="6" s="1"/>
  <c r="AB447" i="5"/>
  <c r="AB447" i="6" s="1"/>
  <c r="AB448" i="5"/>
  <c r="AB448" i="6" s="1"/>
  <c r="AB449" i="5"/>
  <c r="AB449" i="6" s="1"/>
  <c r="AB450" i="5"/>
  <c r="AB450" i="6" s="1"/>
  <c r="AB451" i="5"/>
  <c r="AB451" i="6" s="1"/>
  <c r="AB452" i="5"/>
  <c r="AB452" i="6" s="1"/>
  <c r="AB453" i="5"/>
  <c r="AB453" i="6" s="1"/>
  <c r="AB454" i="5"/>
  <c r="AB454" i="6" s="1"/>
  <c r="AB455" i="5"/>
  <c r="AB455" i="6" s="1"/>
  <c r="AB456" i="5"/>
  <c r="AB456" i="6" s="1"/>
  <c r="AB457" i="5"/>
  <c r="AB457" i="6" s="1"/>
  <c r="AB458" i="5"/>
  <c r="AB458" i="6" s="1"/>
  <c r="AB459" i="5"/>
  <c r="AB459" i="6" s="1"/>
  <c r="AB460" i="5"/>
  <c r="AB460" i="6" s="1"/>
  <c r="AB461" i="5"/>
  <c r="AB461" i="6" s="1"/>
  <c r="AB462" i="5"/>
  <c r="AB462" i="6" s="1"/>
  <c r="AB463" i="5"/>
  <c r="AB463" i="6" s="1"/>
  <c r="AB464" i="5"/>
  <c r="AB464" i="6" s="1"/>
  <c r="AB465" i="5"/>
  <c r="AB465" i="6" s="1"/>
  <c r="AB466" i="5"/>
  <c r="AB466" i="6" s="1"/>
  <c r="AB467" i="5"/>
  <c r="AB467" i="6" s="1"/>
  <c r="AB468" i="5"/>
  <c r="AB468" i="6" s="1"/>
  <c r="AB469" i="5"/>
  <c r="AB469" i="6" s="1"/>
  <c r="AB470" i="5"/>
  <c r="AB470" i="6" s="1"/>
  <c r="AB471" i="5"/>
  <c r="AB471" i="6" s="1"/>
  <c r="AB472" i="5"/>
  <c r="AB472" i="6" s="1"/>
  <c r="AB473" i="5"/>
  <c r="AB473" i="6" s="1"/>
  <c r="AB474" i="5"/>
  <c r="AB474" i="6" s="1"/>
  <c r="AB475" i="5"/>
  <c r="AB475" i="6" s="1"/>
  <c r="AB476" i="5"/>
  <c r="AB476" i="6" s="1"/>
  <c r="AB477" i="5"/>
  <c r="AB477" i="6" s="1"/>
  <c r="AB478" i="5"/>
  <c r="AB478" i="6" s="1"/>
  <c r="AB479" i="5"/>
  <c r="AB479" i="6" s="1"/>
  <c r="AB480" i="5"/>
  <c r="AB480" i="6" s="1"/>
  <c r="AB481" i="5"/>
  <c r="AB481" i="6" s="1"/>
  <c r="AB482" i="5"/>
  <c r="AB482" i="6" s="1"/>
  <c r="AB483" i="5"/>
  <c r="AB483" i="6" s="1"/>
  <c r="AB484" i="5"/>
  <c r="AB484" i="6" s="1"/>
  <c r="AB485" i="5"/>
  <c r="AB485" i="6" s="1"/>
  <c r="AB486" i="5"/>
  <c r="AB486" i="6" s="1"/>
  <c r="AB487" i="5"/>
  <c r="AB487" i="6" s="1"/>
  <c r="AB488" i="5"/>
  <c r="AB488" i="6" s="1"/>
  <c r="AB489" i="5"/>
  <c r="AB489" i="6" s="1"/>
  <c r="AB490" i="5"/>
  <c r="AB490" i="6" s="1"/>
  <c r="AB491" i="5"/>
  <c r="AB491" i="6" s="1"/>
  <c r="AB492" i="5"/>
  <c r="AB492" i="6" s="1"/>
  <c r="AB493" i="5"/>
  <c r="AB493" i="6" s="1"/>
  <c r="AB494" i="5"/>
  <c r="AB494" i="6" s="1"/>
  <c r="AB495" i="5"/>
  <c r="AB495" i="6" s="1"/>
  <c r="AB496" i="5"/>
  <c r="AB496" i="6" s="1"/>
  <c r="AB497" i="5"/>
  <c r="AB497" i="6" s="1"/>
  <c r="AB498" i="5"/>
  <c r="AB498" i="6" s="1"/>
  <c r="AB499" i="5"/>
  <c r="AB499" i="6" s="1"/>
  <c r="AB500" i="5"/>
  <c r="AB500" i="6" s="1"/>
  <c r="AB501" i="5"/>
  <c r="AB501" i="6" s="1"/>
  <c r="AB502" i="5"/>
  <c r="AB502" i="6" s="1"/>
  <c r="AB503" i="5"/>
  <c r="AB503" i="6" s="1"/>
  <c r="AB504" i="5"/>
  <c r="AB504" i="6" s="1"/>
  <c r="AB505" i="5"/>
  <c r="AB505" i="6" s="1"/>
  <c r="AB506" i="5"/>
  <c r="AB506" i="6" s="1"/>
  <c r="AB507" i="5"/>
  <c r="AB507" i="6" s="1"/>
  <c r="AB508" i="5"/>
  <c r="AB508" i="6" s="1"/>
  <c r="AB509" i="5"/>
  <c r="AB509" i="6" s="1"/>
  <c r="AB510" i="5"/>
  <c r="AB510" i="6" s="1"/>
  <c r="AB511" i="5"/>
  <c r="AB511" i="6" s="1"/>
  <c r="AB512" i="5"/>
  <c r="AB512" i="6" s="1"/>
  <c r="AB513" i="5"/>
  <c r="AB513" i="6" s="1"/>
  <c r="AB514" i="5"/>
  <c r="AB514" i="6" s="1"/>
  <c r="AB515" i="5"/>
  <c r="AB515" i="6" s="1"/>
  <c r="AB516" i="5"/>
  <c r="AB516" i="6" s="1"/>
  <c r="AB517" i="5"/>
  <c r="AB517" i="6" s="1"/>
  <c r="AB518" i="5"/>
  <c r="AB518" i="6" s="1"/>
  <c r="AB519" i="5"/>
  <c r="AB519" i="6" s="1"/>
  <c r="AB520" i="5"/>
  <c r="AB520" i="6" s="1"/>
  <c r="AB521" i="5"/>
  <c r="AB521" i="6" s="1"/>
  <c r="AB522" i="5"/>
  <c r="AB522" i="6" s="1"/>
  <c r="AB523" i="5"/>
  <c r="AB523" i="6" s="1"/>
  <c r="AB524" i="5"/>
  <c r="AB524" i="6" s="1"/>
  <c r="AB525" i="5"/>
  <c r="AB525" i="6" s="1"/>
  <c r="AB526" i="5"/>
  <c r="AB526" i="6" s="1"/>
  <c r="AB527" i="5"/>
  <c r="AB527" i="6" s="1"/>
  <c r="AB528" i="5"/>
  <c r="AB528" i="6" s="1"/>
  <c r="AB529" i="5"/>
  <c r="AB529" i="6" s="1"/>
  <c r="AB530" i="5"/>
  <c r="AB530" i="6" s="1"/>
  <c r="AB531" i="5"/>
  <c r="AB531" i="6" s="1"/>
  <c r="AB532" i="5"/>
  <c r="AB532" i="6" s="1"/>
  <c r="AB533" i="5"/>
  <c r="AB533" i="6" s="1"/>
  <c r="AB534" i="5"/>
  <c r="AB534" i="6" s="1"/>
  <c r="AB535" i="5"/>
  <c r="AB535" i="6" s="1"/>
  <c r="AB536" i="5"/>
  <c r="AB536" i="6" s="1"/>
  <c r="AB537" i="5"/>
  <c r="AB537" i="6" s="1"/>
  <c r="AB538" i="5"/>
  <c r="AB538" i="6" s="1"/>
  <c r="AB539" i="5"/>
  <c r="AB539" i="6" s="1"/>
  <c r="AB540" i="5"/>
  <c r="AB540" i="6" s="1"/>
  <c r="AB541" i="5"/>
  <c r="AB541" i="6" s="1"/>
  <c r="AB542" i="5"/>
  <c r="AB542" i="6" s="1"/>
  <c r="AB543" i="5"/>
  <c r="AB543" i="6" s="1"/>
  <c r="AB544" i="5"/>
  <c r="AB544" i="6" s="1"/>
  <c r="AB545" i="5"/>
  <c r="AB545" i="6" s="1"/>
  <c r="AB546" i="5"/>
  <c r="AB546" i="6" s="1"/>
  <c r="AB547" i="5"/>
  <c r="AB547" i="6" s="1"/>
  <c r="AB548" i="5"/>
  <c r="AB548" i="6" s="1"/>
  <c r="AB549" i="5"/>
  <c r="AB549" i="6" s="1"/>
  <c r="AB550" i="5"/>
  <c r="AB550" i="6" s="1"/>
  <c r="AB551" i="5"/>
  <c r="AB551" i="6" s="1"/>
  <c r="AB552" i="5"/>
  <c r="AB552" i="6" s="1"/>
  <c r="AB553" i="5"/>
  <c r="AB553" i="6" s="1"/>
  <c r="AB554" i="5"/>
  <c r="AB554" i="6" s="1"/>
  <c r="AB555" i="5"/>
  <c r="AB555" i="6" s="1"/>
  <c r="AB556" i="5"/>
  <c r="AB556" i="6" s="1"/>
  <c r="AB557" i="5"/>
  <c r="AB557" i="6" s="1"/>
  <c r="AB558" i="5"/>
  <c r="AB558" i="6" s="1"/>
  <c r="AB559" i="5"/>
  <c r="AB559" i="6" s="1"/>
  <c r="AB560" i="5"/>
  <c r="AB560" i="6" s="1"/>
  <c r="AB561" i="5"/>
  <c r="AB561" i="6" s="1"/>
  <c r="AB562" i="5"/>
  <c r="AB562" i="6" s="1"/>
  <c r="AB563" i="5"/>
  <c r="AB563" i="6" s="1"/>
  <c r="AB564" i="5"/>
  <c r="AB564" i="6" s="1"/>
  <c r="AB565" i="5"/>
  <c r="AB565" i="6" s="1"/>
  <c r="AB566" i="5"/>
  <c r="AB566" i="6" s="1"/>
  <c r="AB567" i="5"/>
  <c r="AB567" i="6" s="1"/>
  <c r="AB568" i="5"/>
  <c r="AB568" i="6" s="1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A2" i="5"/>
  <c r="AA2" i="6" s="1"/>
  <c r="AA3" i="5"/>
  <c r="AA3" i="6" s="1"/>
  <c r="AA4" i="5"/>
  <c r="AA4" i="6" s="1"/>
  <c r="AA5" i="5"/>
  <c r="AA5" i="6" s="1"/>
  <c r="AA6" i="5"/>
  <c r="AA6" i="6" s="1"/>
  <c r="AA7" i="5"/>
  <c r="AA7" i="6" s="1"/>
  <c r="AA8" i="5"/>
  <c r="AA8" i="6" s="1"/>
  <c r="AA9" i="5"/>
  <c r="AA9" i="6" s="1"/>
  <c r="AA10" i="5"/>
  <c r="AA10" i="6" s="1"/>
  <c r="AA11" i="5"/>
  <c r="AA11" i="6" s="1"/>
  <c r="AA12" i="5"/>
  <c r="AA12" i="6" s="1"/>
  <c r="AA13" i="5"/>
  <c r="AA13" i="6" s="1"/>
  <c r="AA14" i="5"/>
  <c r="AA14" i="6" s="1"/>
  <c r="AA15" i="5"/>
  <c r="AA15" i="6" s="1"/>
  <c r="AA16" i="5"/>
  <c r="AA16" i="6" s="1"/>
  <c r="AA17" i="5"/>
  <c r="AA17" i="6" s="1"/>
  <c r="AA18" i="5"/>
  <c r="AA18" i="6" s="1"/>
  <c r="AA19" i="5"/>
  <c r="AA19" i="6" s="1"/>
  <c r="AA20" i="5"/>
  <c r="AA20" i="6" s="1"/>
  <c r="AA21" i="5"/>
  <c r="AA21" i="6" s="1"/>
  <c r="AA22" i="5"/>
  <c r="AA22" i="6" s="1"/>
  <c r="AA23" i="5"/>
  <c r="AA23" i="6" s="1"/>
  <c r="AA24" i="5"/>
  <c r="AA24" i="6" s="1"/>
  <c r="AA25" i="5"/>
  <c r="AA25" i="6" s="1"/>
  <c r="AA26" i="5"/>
  <c r="AA26" i="6" s="1"/>
  <c r="AA27" i="5"/>
  <c r="AA27" i="6" s="1"/>
  <c r="AA28" i="5"/>
  <c r="AA28" i="6" s="1"/>
  <c r="AA29" i="5"/>
  <c r="AA29" i="6" s="1"/>
  <c r="AA30" i="5"/>
  <c r="AA30" i="6" s="1"/>
  <c r="AA31" i="5"/>
  <c r="AA31" i="6" s="1"/>
  <c r="AA32" i="5"/>
  <c r="AA32" i="6" s="1"/>
  <c r="AA33" i="5"/>
  <c r="AA33" i="6" s="1"/>
  <c r="AA34" i="5"/>
  <c r="AA34" i="6" s="1"/>
  <c r="AA35" i="5"/>
  <c r="AA35" i="6" s="1"/>
  <c r="AA36" i="5"/>
  <c r="AA36" i="6" s="1"/>
  <c r="AA37" i="5"/>
  <c r="AA37" i="6" s="1"/>
  <c r="AA38" i="5"/>
  <c r="AA38" i="6" s="1"/>
  <c r="AA39" i="5"/>
  <c r="AA39" i="6" s="1"/>
  <c r="AA40" i="5"/>
  <c r="AA40" i="6" s="1"/>
  <c r="AA41" i="5"/>
  <c r="AA41" i="6" s="1"/>
  <c r="AA42" i="5"/>
  <c r="AA42" i="6" s="1"/>
  <c r="AA43" i="5"/>
  <c r="AA43" i="6" s="1"/>
  <c r="AA44" i="5"/>
  <c r="AA44" i="6" s="1"/>
  <c r="AA45" i="5"/>
  <c r="AA45" i="6" s="1"/>
  <c r="AA46" i="5"/>
  <c r="AA46" i="6" s="1"/>
  <c r="AA47" i="5"/>
  <c r="AA47" i="6" s="1"/>
  <c r="AA48" i="5"/>
  <c r="AA48" i="6" s="1"/>
  <c r="AA49" i="5"/>
  <c r="AA49" i="6" s="1"/>
  <c r="AA50" i="5"/>
  <c r="AA50" i="6" s="1"/>
  <c r="AA51" i="5"/>
  <c r="AA51" i="6" s="1"/>
  <c r="AA52" i="5"/>
  <c r="AA52" i="6" s="1"/>
  <c r="AA53" i="5"/>
  <c r="AA53" i="6" s="1"/>
  <c r="AA54" i="5"/>
  <c r="AA54" i="6" s="1"/>
  <c r="AA55" i="5"/>
  <c r="AA55" i="6" s="1"/>
  <c r="AA56" i="5"/>
  <c r="AA56" i="6" s="1"/>
  <c r="AA57" i="5"/>
  <c r="AA57" i="6" s="1"/>
  <c r="AA58" i="5"/>
  <c r="AA58" i="6" s="1"/>
  <c r="AA59" i="5"/>
  <c r="AA59" i="6" s="1"/>
  <c r="AA60" i="5"/>
  <c r="AA60" i="6" s="1"/>
  <c r="AA61" i="5"/>
  <c r="AA61" i="6" s="1"/>
  <c r="AA62" i="5"/>
  <c r="AA62" i="6" s="1"/>
  <c r="AA63" i="5"/>
  <c r="AA63" i="6" s="1"/>
  <c r="AA64" i="5"/>
  <c r="AA64" i="6" s="1"/>
  <c r="AA65" i="5"/>
  <c r="AA65" i="6" s="1"/>
  <c r="AA66" i="5"/>
  <c r="AA66" i="6" s="1"/>
  <c r="AA67" i="5"/>
  <c r="AA67" i="6" s="1"/>
  <c r="AA68" i="5"/>
  <c r="AA68" i="6" s="1"/>
  <c r="AA69" i="5"/>
  <c r="AA69" i="6" s="1"/>
  <c r="AA70" i="5"/>
  <c r="AA70" i="6" s="1"/>
  <c r="AA71" i="5"/>
  <c r="AA71" i="6" s="1"/>
  <c r="AA72" i="5"/>
  <c r="AA72" i="6" s="1"/>
  <c r="AA73" i="5"/>
  <c r="AA73" i="6" s="1"/>
  <c r="AA74" i="5"/>
  <c r="AA74" i="6" s="1"/>
  <c r="AA75" i="5"/>
  <c r="AA75" i="6" s="1"/>
  <c r="AA76" i="5"/>
  <c r="AA76" i="6" s="1"/>
  <c r="AA77" i="5"/>
  <c r="AA77" i="6" s="1"/>
  <c r="AA78" i="5"/>
  <c r="AA78" i="6" s="1"/>
  <c r="AA79" i="5"/>
  <c r="AA79" i="6" s="1"/>
  <c r="AA80" i="5"/>
  <c r="AA80" i="6" s="1"/>
  <c r="AA81" i="5"/>
  <c r="AA81" i="6" s="1"/>
  <c r="AA82" i="5"/>
  <c r="AA82" i="6" s="1"/>
  <c r="AA83" i="5"/>
  <c r="AA83" i="6" s="1"/>
  <c r="AA84" i="5"/>
  <c r="AA84" i="6" s="1"/>
  <c r="AA85" i="5"/>
  <c r="AA85" i="6" s="1"/>
  <c r="AA86" i="5"/>
  <c r="AA86" i="6" s="1"/>
  <c r="AA87" i="5"/>
  <c r="AA87" i="6" s="1"/>
  <c r="AA88" i="5"/>
  <c r="AA88" i="6" s="1"/>
  <c r="AA89" i="5"/>
  <c r="AA89" i="6" s="1"/>
  <c r="AA90" i="5"/>
  <c r="AA90" i="6" s="1"/>
  <c r="AA91" i="5"/>
  <c r="AA91" i="6" s="1"/>
  <c r="AA92" i="5"/>
  <c r="AA92" i="6" s="1"/>
  <c r="AA93" i="5"/>
  <c r="AA93" i="6" s="1"/>
  <c r="AA94" i="5"/>
  <c r="AA94" i="6" s="1"/>
  <c r="AA95" i="5"/>
  <c r="AA95" i="6" s="1"/>
  <c r="AA96" i="5"/>
  <c r="AA96" i="6" s="1"/>
  <c r="AA97" i="5"/>
  <c r="AA97" i="6" s="1"/>
  <c r="AA98" i="5"/>
  <c r="AA98" i="6" s="1"/>
  <c r="AA99" i="5"/>
  <c r="AA99" i="6" s="1"/>
  <c r="AA100" i="5"/>
  <c r="AA100" i="6" s="1"/>
  <c r="AA101" i="5"/>
  <c r="AA101" i="6" s="1"/>
  <c r="AA102" i="5"/>
  <c r="AA102" i="6" s="1"/>
  <c r="AA103" i="5"/>
  <c r="AA103" i="6" s="1"/>
  <c r="AA104" i="5"/>
  <c r="AA104" i="6" s="1"/>
  <c r="AA105" i="5"/>
  <c r="AA105" i="6" s="1"/>
  <c r="AA106" i="5"/>
  <c r="AA106" i="6" s="1"/>
  <c r="AA107" i="5"/>
  <c r="AA107" i="6" s="1"/>
  <c r="AA108" i="5"/>
  <c r="AA108" i="6" s="1"/>
  <c r="AA109" i="5"/>
  <c r="AA109" i="6" s="1"/>
  <c r="AA110" i="5"/>
  <c r="AA110" i="6" s="1"/>
  <c r="AA111" i="5"/>
  <c r="AA111" i="6" s="1"/>
  <c r="AA112" i="5"/>
  <c r="AA112" i="6" s="1"/>
  <c r="AA113" i="5"/>
  <c r="AA113" i="6" s="1"/>
  <c r="AA114" i="5"/>
  <c r="AA114" i="6" s="1"/>
  <c r="AA115" i="5"/>
  <c r="AA115" i="6" s="1"/>
  <c r="AA116" i="5"/>
  <c r="AA116" i="6" s="1"/>
  <c r="AA117" i="5"/>
  <c r="AA117" i="6" s="1"/>
  <c r="AA118" i="5"/>
  <c r="AA118" i="6" s="1"/>
  <c r="AA119" i="5"/>
  <c r="AA119" i="6" s="1"/>
  <c r="AA120" i="5"/>
  <c r="AA120" i="6" s="1"/>
  <c r="AA121" i="5"/>
  <c r="AA121" i="6" s="1"/>
  <c r="AA122" i="5"/>
  <c r="AA122" i="6" s="1"/>
  <c r="AA123" i="5"/>
  <c r="AA123" i="6" s="1"/>
  <c r="AA124" i="5"/>
  <c r="AA124" i="6" s="1"/>
  <c r="AA125" i="5"/>
  <c r="AA125" i="6" s="1"/>
  <c r="AA126" i="5"/>
  <c r="AA126" i="6" s="1"/>
  <c r="AA127" i="5"/>
  <c r="AA127" i="6" s="1"/>
  <c r="AA128" i="5"/>
  <c r="AA128" i="6" s="1"/>
  <c r="AA129" i="5"/>
  <c r="AA129" i="6" s="1"/>
  <c r="AA130" i="5"/>
  <c r="AA130" i="6" s="1"/>
  <c r="AA131" i="5"/>
  <c r="AA131" i="6" s="1"/>
  <c r="AA132" i="5"/>
  <c r="AA132" i="6" s="1"/>
  <c r="AA133" i="5"/>
  <c r="AA133" i="6" s="1"/>
  <c r="AA134" i="5"/>
  <c r="AA134" i="6" s="1"/>
  <c r="AA135" i="5"/>
  <c r="AA135" i="6" s="1"/>
  <c r="AA136" i="5"/>
  <c r="AA136" i="6" s="1"/>
  <c r="AA137" i="5"/>
  <c r="AA137" i="6" s="1"/>
  <c r="AA138" i="5"/>
  <c r="AA138" i="6" s="1"/>
  <c r="AA139" i="5"/>
  <c r="AA139" i="6" s="1"/>
  <c r="AA140" i="5"/>
  <c r="AA140" i="6" s="1"/>
  <c r="AA141" i="5"/>
  <c r="AA141" i="6" s="1"/>
  <c r="AA142" i="5"/>
  <c r="AA142" i="6" s="1"/>
  <c r="AA143" i="5"/>
  <c r="AA143" i="6" s="1"/>
  <c r="AA144" i="5"/>
  <c r="AA144" i="6" s="1"/>
  <c r="AA145" i="5"/>
  <c r="AA145" i="6" s="1"/>
  <c r="AA146" i="5"/>
  <c r="AA146" i="6" s="1"/>
  <c r="AA147" i="5"/>
  <c r="AA147" i="6" s="1"/>
  <c r="AA148" i="5"/>
  <c r="AA148" i="6" s="1"/>
  <c r="AA149" i="5"/>
  <c r="AA149" i="6" s="1"/>
  <c r="AA150" i="5"/>
  <c r="AA150" i="6" s="1"/>
  <c r="AA151" i="5"/>
  <c r="AA151" i="6" s="1"/>
  <c r="AA152" i="5"/>
  <c r="AA152" i="6" s="1"/>
  <c r="AA153" i="5"/>
  <c r="AA153" i="6" s="1"/>
  <c r="AA154" i="5"/>
  <c r="AA154" i="6" s="1"/>
  <c r="AA155" i="5"/>
  <c r="AA155" i="6" s="1"/>
  <c r="AA156" i="5"/>
  <c r="AA156" i="6" s="1"/>
  <c r="AA157" i="5"/>
  <c r="AA157" i="6" s="1"/>
  <c r="AA158" i="5"/>
  <c r="AA158" i="6" s="1"/>
  <c r="AA159" i="5"/>
  <c r="AA159" i="6" s="1"/>
  <c r="AA160" i="5"/>
  <c r="AA160" i="6" s="1"/>
  <c r="AA161" i="5"/>
  <c r="AA161" i="6" s="1"/>
  <c r="AA162" i="5"/>
  <c r="AA162" i="6" s="1"/>
  <c r="AA163" i="5"/>
  <c r="AA163" i="6" s="1"/>
  <c r="AA164" i="5"/>
  <c r="AA164" i="6" s="1"/>
  <c r="AA165" i="5"/>
  <c r="AA165" i="6" s="1"/>
  <c r="AA166" i="5"/>
  <c r="AA166" i="6" s="1"/>
  <c r="AA167" i="5"/>
  <c r="AA167" i="6" s="1"/>
  <c r="AA168" i="5"/>
  <c r="AA168" i="6" s="1"/>
  <c r="AA169" i="5"/>
  <c r="AA169" i="6" s="1"/>
  <c r="AA170" i="5"/>
  <c r="AA170" i="6" s="1"/>
  <c r="AA171" i="5"/>
  <c r="AA171" i="6" s="1"/>
  <c r="AA172" i="5"/>
  <c r="AA172" i="6" s="1"/>
  <c r="AA173" i="5"/>
  <c r="AA173" i="6" s="1"/>
  <c r="AA174" i="5"/>
  <c r="AA174" i="6" s="1"/>
  <c r="AA175" i="5"/>
  <c r="AA175" i="6" s="1"/>
  <c r="AA176" i="5"/>
  <c r="AA176" i="6" s="1"/>
  <c r="AA177" i="5"/>
  <c r="AA177" i="6" s="1"/>
  <c r="AA178" i="5"/>
  <c r="AA178" i="6" s="1"/>
  <c r="AA179" i="5"/>
  <c r="AA179" i="6" s="1"/>
  <c r="AA180" i="5"/>
  <c r="AA180" i="6" s="1"/>
  <c r="AA181" i="5"/>
  <c r="AA181" i="6" s="1"/>
  <c r="AA182" i="5"/>
  <c r="AA182" i="6" s="1"/>
  <c r="AA183" i="5"/>
  <c r="AA183" i="6" s="1"/>
  <c r="AA184" i="5"/>
  <c r="AA184" i="6" s="1"/>
  <c r="AA185" i="5"/>
  <c r="AA185" i="6" s="1"/>
  <c r="AA186" i="5"/>
  <c r="AA186" i="6" s="1"/>
  <c r="AA187" i="5"/>
  <c r="AA187" i="6" s="1"/>
  <c r="AA188" i="5"/>
  <c r="AA188" i="6" s="1"/>
  <c r="AA189" i="5"/>
  <c r="AA189" i="6" s="1"/>
  <c r="AA190" i="5"/>
  <c r="AA190" i="6" s="1"/>
  <c r="AA191" i="5"/>
  <c r="AA191" i="6" s="1"/>
  <c r="AA192" i="5"/>
  <c r="AA192" i="6" s="1"/>
  <c r="AA193" i="5"/>
  <c r="AA193" i="6" s="1"/>
  <c r="AA194" i="5"/>
  <c r="AA194" i="6" s="1"/>
  <c r="AA195" i="5"/>
  <c r="AA195" i="6" s="1"/>
  <c r="AA196" i="5"/>
  <c r="AA196" i="6" s="1"/>
  <c r="AA197" i="5"/>
  <c r="AA197" i="6" s="1"/>
  <c r="AA198" i="5"/>
  <c r="AA198" i="6" s="1"/>
  <c r="AA199" i="5"/>
  <c r="AA199" i="6" s="1"/>
  <c r="AA200" i="5"/>
  <c r="AA200" i="6" s="1"/>
  <c r="AA201" i="5"/>
  <c r="AA201" i="6" s="1"/>
  <c r="AA202" i="5"/>
  <c r="AA202" i="6" s="1"/>
  <c r="AA203" i="5"/>
  <c r="AA203" i="6" s="1"/>
  <c r="AA204" i="5"/>
  <c r="AA204" i="6" s="1"/>
  <c r="AA205" i="5"/>
  <c r="AA205" i="6" s="1"/>
  <c r="AA206" i="5"/>
  <c r="AA206" i="6" s="1"/>
  <c r="AA207" i="5"/>
  <c r="AA207" i="6" s="1"/>
  <c r="AA208" i="5"/>
  <c r="AA208" i="6" s="1"/>
  <c r="AA209" i="5"/>
  <c r="AA209" i="6" s="1"/>
  <c r="AA210" i="5"/>
  <c r="AA210" i="6" s="1"/>
  <c r="AA211" i="5"/>
  <c r="AA211" i="6" s="1"/>
  <c r="AA212" i="5"/>
  <c r="AA212" i="6" s="1"/>
  <c r="AA213" i="5"/>
  <c r="AA213" i="6" s="1"/>
  <c r="AA214" i="5"/>
  <c r="AA214" i="6" s="1"/>
  <c r="AA215" i="5"/>
  <c r="AA215" i="6" s="1"/>
  <c r="AA216" i="5"/>
  <c r="AA216" i="6" s="1"/>
  <c r="AA217" i="5"/>
  <c r="AA217" i="6" s="1"/>
  <c r="AA218" i="5"/>
  <c r="AA218" i="6" s="1"/>
  <c r="AA219" i="5"/>
  <c r="AA219" i="6" s="1"/>
  <c r="AA220" i="5"/>
  <c r="AA220" i="6" s="1"/>
  <c r="AA221" i="5"/>
  <c r="AA221" i="6" s="1"/>
  <c r="AA222" i="5"/>
  <c r="AA222" i="6" s="1"/>
  <c r="AA223" i="5"/>
  <c r="AA223" i="6" s="1"/>
  <c r="AA224" i="5"/>
  <c r="AA224" i="6" s="1"/>
  <c r="AA225" i="5"/>
  <c r="AA225" i="6" s="1"/>
  <c r="AA226" i="5"/>
  <c r="AA226" i="6" s="1"/>
  <c r="AA227" i="5"/>
  <c r="AA227" i="6" s="1"/>
  <c r="AA228" i="5"/>
  <c r="AA228" i="6" s="1"/>
  <c r="AA229" i="5"/>
  <c r="AA229" i="6" s="1"/>
  <c r="AA230" i="5"/>
  <c r="AA230" i="6" s="1"/>
  <c r="AA231" i="5"/>
  <c r="AA231" i="6" s="1"/>
  <c r="AA232" i="5"/>
  <c r="AA232" i="6" s="1"/>
  <c r="AA233" i="5"/>
  <c r="AA233" i="6" s="1"/>
  <c r="AA234" i="5"/>
  <c r="AA234" i="6" s="1"/>
  <c r="AA235" i="5"/>
  <c r="AA235" i="6" s="1"/>
  <c r="AA236" i="5"/>
  <c r="AA236" i="6" s="1"/>
  <c r="AA237" i="5"/>
  <c r="AA237" i="6" s="1"/>
  <c r="AA238" i="5"/>
  <c r="AA238" i="6" s="1"/>
  <c r="AA239" i="5"/>
  <c r="AA239" i="6" s="1"/>
  <c r="AA240" i="5"/>
  <c r="AA240" i="6" s="1"/>
  <c r="AA241" i="5"/>
  <c r="AA241" i="6" s="1"/>
  <c r="AA242" i="5"/>
  <c r="AA242" i="6" s="1"/>
  <c r="AA243" i="5"/>
  <c r="AA243" i="6" s="1"/>
  <c r="AA244" i="5"/>
  <c r="AA244" i="6" s="1"/>
  <c r="AA245" i="5"/>
  <c r="AA245" i="6" s="1"/>
  <c r="AA246" i="5"/>
  <c r="AA246" i="6" s="1"/>
  <c r="AA247" i="5"/>
  <c r="AA247" i="6" s="1"/>
  <c r="AA248" i="5"/>
  <c r="AA248" i="6" s="1"/>
  <c r="AA249" i="5"/>
  <c r="AA249" i="6" s="1"/>
  <c r="AA250" i="5"/>
  <c r="AA250" i="6" s="1"/>
  <c r="AA251" i="5"/>
  <c r="AA251" i="6" s="1"/>
  <c r="AA252" i="5"/>
  <c r="AA252" i="6" s="1"/>
  <c r="AA253" i="5"/>
  <c r="AA253" i="6" s="1"/>
  <c r="AA254" i="5"/>
  <c r="AA254" i="6" s="1"/>
  <c r="AA255" i="5"/>
  <c r="AA255" i="6" s="1"/>
  <c r="AA256" i="5"/>
  <c r="AA256" i="6" s="1"/>
  <c r="AA257" i="5"/>
  <c r="AA257" i="6" s="1"/>
  <c r="AA258" i="5"/>
  <c r="AA258" i="6" s="1"/>
  <c r="AA259" i="5"/>
  <c r="AA259" i="6" s="1"/>
  <c r="AA260" i="5"/>
  <c r="AA260" i="6" s="1"/>
  <c r="AA261" i="5"/>
  <c r="AA261" i="6" s="1"/>
  <c r="AA262" i="5"/>
  <c r="AA262" i="6" s="1"/>
  <c r="AA263" i="5"/>
  <c r="AA263" i="6" s="1"/>
  <c r="AA264" i="5"/>
  <c r="AA264" i="6" s="1"/>
  <c r="AA265" i="5"/>
  <c r="AA265" i="6" s="1"/>
  <c r="AA266" i="5"/>
  <c r="AA266" i="6" s="1"/>
  <c r="AA267" i="5"/>
  <c r="AA267" i="6" s="1"/>
  <c r="AA268" i="5"/>
  <c r="AA268" i="6" s="1"/>
  <c r="AA269" i="5"/>
  <c r="AA269" i="6" s="1"/>
  <c r="AA270" i="5"/>
  <c r="AA270" i="6" s="1"/>
  <c r="AA271" i="5"/>
  <c r="AA271" i="6" s="1"/>
  <c r="AA272" i="5"/>
  <c r="AA272" i="6" s="1"/>
  <c r="AA273" i="5"/>
  <c r="AA273" i="6" s="1"/>
  <c r="AA274" i="5"/>
  <c r="AA274" i="6" s="1"/>
  <c r="AA275" i="5"/>
  <c r="AA275" i="6" s="1"/>
  <c r="AA276" i="5"/>
  <c r="AA276" i="6" s="1"/>
  <c r="AA277" i="5"/>
  <c r="AA277" i="6" s="1"/>
  <c r="AA278" i="5"/>
  <c r="AA278" i="6" s="1"/>
  <c r="AA279" i="5"/>
  <c r="AA279" i="6" s="1"/>
  <c r="AA280" i="5"/>
  <c r="AA280" i="6" s="1"/>
  <c r="AA281" i="5"/>
  <c r="AA281" i="6" s="1"/>
  <c r="AA282" i="5"/>
  <c r="AA282" i="6" s="1"/>
  <c r="AA283" i="5"/>
  <c r="AA283" i="6" s="1"/>
  <c r="AA284" i="5"/>
  <c r="AA284" i="6" s="1"/>
  <c r="AA285" i="5"/>
  <c r="AA285" i="6" s="1"/>
  <c r="AA286" i="5"/>
  <c r="AA286" i="6" s="1"/>
  <c r="AA287" i="5"/>
  <c r="AA287" i="6" s="1"/>
  <c r="AA288" i="5"/>
  <c r="AA288" i="6" s="1"/>
  <c r="AA289" i="5"/>
  <c r="AA289" i="6" s="1"/>
  <c r="AA290" i="5"/>
  <c r="AA290" i="6" s="1"/>
  <c r="AA291" i="5"/>
  <c r="AA291" i="6" s="1"/>
  <c r="AA292" i="5"/>
  <c r="AA292" i="6" s="1"/>
  <c r="AA293" i="5"/>
  <c r="AA293" i="6" s="1"/>
  <c r="AA294" i="5"/>
  <c r="AA294" i="6" s="1"/>
  <c r="AA295" i="5"/>
  <c r="AA295" i="6" s="1"/>
  <c r="AA296" i="5"/>
  <c r="AA296" i="6" s="1"/>
  <c r="AA297" i="5"/>
  <c r="AA297" i="6" s="1"/>
  <c r="AA298" i="5"/>
  <c r="AA298" i="6" s="1"/>
  <c r="AA299" i="5"/>
  <c r="AA299" i="6" s="1"/>
  <c r="AA300" i="5"/>
  <c r="AA300" i="6" s="1"/>
  <c r="AA301" i="5"/>
  <c r="AA301" i="6" s="1"/>
  <c r="AA302" i="5"/>
  <c r="AA302" i="6" s="1"/>
  <c r="AA303" i="5"/>
  <c r="AA303" i="6" s="1"/>
  <c r="AA304" i="5"/>
  <c r="AA304" i="6" s="1"/>
  <c r="AA305" i="5"/>
  <c r="AA305" i="6" s="1"/>
  <c r="AA306" i="5"/>
  <c r="AA306" i="6" s="1"/>
  <c r="AA307" i="5"/>
  <c r="AA307" i="6" s="1"/>
  <c r="AA308" i="5"/>
  <c r="AA308" i="6" s="1"/>
  <c r="AA309" i="5"/>
  <c r="AA309" i="6" s="1"/>
  <c r="AA310" i="5"/>
  <c r="AA310" i="6" s="1"/>
  <c r="AA311" i="5"/>
  <c r="AA311" i="6" s="1"/>
  <c r="AA312" i="5"/>
  <c r="AA312" i="6" s="1"/>
  <c r="AA313" i="5"/>
  <c r="AA313" i="6" s="1"/>
  <c r="AA314" i="5"/>
  <c r="AA314" i="6" s="1"/>
  <c r="AA315" i="5"/>
  <c r="AA315" i="6" s="1"/>
  <c r="AA316" i="5"/>
  <c r="AA316" i="6" s="1"/>
  <c r="AA317" i="5"/>
  <c r="AA317" i="6" s="1"/>
  <c r="AA318" i="5"/>
  <c r="AA318" i="6" s="1"/>
  <c r="AA319" i="5"/>
  <c r="AA319" i="6" s="1"/>
  <c r="AA320" i="5"/>
  <c r="AA320" i="6" s="1"/>
  <c r="AA321" i="5"/>
  <c r="AA321" i="6" s="1"/>
  <c r="AA322" i="5"/>
  <c r="AA322" i="6" s="1"/>
  <c r="AA323" i="5"/>
  <c r="AA323" i="6" s="1"/>
  <c r="AA324" i="5"/>
  <c r="AA324" i="6" s="1"/>
  <c r="AA325" i="5"/>
  <c r="AA325" i="6" s="1"/>
  <c r="AA326" i="5"/>
  <c r="AA326" i="6" s="1"/>
  <c r="AA327" i="5"/>
  <c r="AA327" i="6" s="1"/>
  <c r="AA328" i="5"/>
  <c r="AA328" i="6" s="1"/>
  <c r="AA329" i="5"/>
  <c r="AA329" i="6" s="1"/>
  <c r="AA330" i="5"/>
  <c r="AA330" i="6" s="1"/>
  <c r="AA331" i="5"/>
  <c r="AA331" i="6" s="1"/>
  <c r="AA332" i="5"/>
  <c r="AA332" i="6" s="1"/>
  <c r="AA333" i="5"/>
  <c r="AA333" i="6" s="1"/>
  <c r="AA334" i="5"/>
  <c r="AA334" i="6" s="1"/>
  <c r="AA335" i="5"/>
  <c r="AA335" i="6" s="1"/>
  <c r="AA336" i="5"/>
  <c r="AA336" i="6" s="1"/>
  <c r="AA337" i="5"/>
  <c r="AA337" i="6" s="1"/>
  <c r="AA338" i="5"/>
  <c r="AA338" i="6" s="1"/>
  <c r="AA339" i="5"/>
  <c r="AA339" i="6" s="1"/>
  <c r="AA340" i="5"/>
  <c r="AA340" i="6" s="1"/>
  <c r="AA341" i="5"/>
  <c r="AA341" i="6" s="1"/>
  <c r="AA342" i="5"/>
  <c r="AA342" i="6" s="1"/>
  <c r="AA343" i="5"/>
  <c r="AA343" i="6" s="1"/>
  <c r="AA344" i="5"/>
  <c r="AA344" i="6" s="1"/>
  <c r="AA345" i="5"/>
  <c r="AA345" i="6" s="1"/>
  <c r="AA346" i="5"/>
  <c r="AA346" i="6" s="1"/>
  <c r="AA347" i="5"/>
  <c r="AA347" i="6" s="1"/>
  <c r="AA348" i="5"/>
  <c r="AA348" i="6" s="1"/>
  <c r="AA349" i="5"/>
  <c r="AA349" i="6" s="1"/>
  <c r="AA350" i="5"/>
  <c r="AA350" i="6" s="1"/>
  <c r="AA351" i="5"/>
  <c r="AA351" i="6" s="1"/>
  <c r="AA352" i="5"/>
  <c r="AA352" i="6" s="1"/>
  <c r="AA353" i="5"/>
  <c r="AA353" i="6" s="1"/>
  <c r="AA354" i="5"/>
  <c r="AA354" i="6" s="1"/>
  <c r="AA355" i="5"/>
  <c r="AA355" i="6" s="1"/>
  <c r="AA356" i="5"/>
  <c r="AA356" i="6" s="1"/>
  <c r="AA357" i="5"/>
  <c r="AA357" i="6" s="1"/>
  <c r="AA358" i="5"/>
  <c r="AA358" i="6" s="1"/>
  <c r="AA359" i="5"/>
  <c r="AA359" i="6" s="1"/>
  <c r="AA360" i="5"/>
  <c r="AA360" i="6" s="1"/>
  <c r="AA361" i="5"/>
  <c r="AA361" i="6" s="1"/>
  <c r="AA362" i="5"/>
  <c r="AA362" i="6" s="1"/>
  <c r="AA363" i="5"/>
  <c r="AA363" i="6" s="1"/>
  <c r="AA364" i="5"/>
  <c r="AA364" i="6" s="1"/>
  <c r="AA365" i="5"/>
  <c r="AA365" i="6" s="1"/>
  <c r="AA366" i="5"/>
  <c r="AA366" i="6" s="1"/>
  <c r="AA367" i="5"/>
  <c r="AA367" i="6" s="1"/>
  <c r="AA368" i="5"/>
  <c r="AA368" i="6" s="1"/>
  <c r="AA369" i="5"/>
  <c r="AA369" i="6" s="1"/>
  <c r="AA370" i="5"/>
  <c r="AA370" i="6" s="1"/>
  <c r="AA371" i="5"/>
  <c r="AA371" i="6" s="1"/>
  <c r="AA372" i="5"/>
  <c r="AA372" i="6" s="1"/>
  <c r="AA373" i="5"/>
  <c r="AA373" i="6" s="1"/>
  <c r="AA374" i="5"/>
  <c r="AA374" i="6" s="1"/>
  <c r="AA375" i="5"/>
  <c r="AA375" i="6" s="1"/>
  <c r="AA376" i="5"/>
  <c r="AA376" i="6" s="1"/>
  <c r="AA377" i="5"/>
  <c r="AA377" i="6" s="1"/>
  <c r="AA378" i="5"/>
  <c r="AA378" i="6" s="1"/>
  <c r="AA379" i="5"/>
  <c r="AA379" i="6" s="1"/>
  <c r="AA380" i="5"/>
  <c r="AA380" i="6" s="1"/>
  <c r="AA381" i="5"/>
  <c r="AA381" i="6" s="1"/>
  <c r="AA382" i="5"/>
  <c r="AA382" i="6" s="1"/>
  <c r="AA383" i="5"/>
  <c r="AA383" i="6" s="1"/>
  <c r="AA384" i="5"/>
  <c r="AA384" i="6" s="1"/>
  <c r="AA385" i="5"/>
  <c r="AA385" i="6" s="1"/>
  <c r="AA386" i="5"/>
  <c r="AA386" i="6" s="1"/>
  <c r="AA387" i="5"/>
  <c r="AA387" i="6" s="1"/>
  <c r="AA388" i="5"/>
  <c r="AA388" i="6" s="1"/>
  <c r="AA389" i="5"/>
  <c r="AA389" i="6" s="1"/>
  <c r="AA390" i="5"/>
  <c r="AA390" i="6" s="1"/>
  <c r="AA391" i="5"/>
  <c r="AA391" i="6" s="1"/>
  <c r="AA392" i="5"/>
  <c r="AA392" i="6" s="1"/>
  <c r="AA393" i="5"/>
  <c r="AA393" i="6" s="1"/>
  <c r="AA394" i="5"/>
  <c r="AA394" i="6" s="1"/>
  <c r="AA395" i="5"/>
  <c r="AA395" i="6" s="1"/>
  <c r="AA396" i="5"/>
  <c r="AA396" i="6" s="1"/>
  <c r="AA397" i="5"/>
  <c r="AA397" i="6" s="1"/>
  <c r="AA398" i="5"/>
  <c r="AA398" i="6" s="1"/>
  <c r="AA399" i="5"/>
  <c r="AA399" i="6" s="1"/>
  <c r="AA400" i="5"/>
  <c r="AA400" i="6" s="1"/>
  <c r="AA401" i="5"/>
  <c r="AA401" i="6" s="1"/>
  <c r="AA402" i="5"/>
  <c r="AA402" i="6" s="1"/>
  <c r="AA403" i="5"/>
  <c r="AA403" i="6" s="1"/>
  <c r="AA404" i="5"/>
  <c r="AA404" i="6" s="1"/>
  <c r="AA405" i="5"/>
  <c r="AA405" i="6" s="1"/>
  <c r="AA406" i="5"/>
  <c r="AA406" i="6" s="1"/>
  <c r="AA407" i="5"/>
  <c r="AA407" i="6" s="1"/>
  <c r="AA408" i="5"/>
  <c r="AA408" i="6" s="1"/>
  <c r="AA409" i="5"/>
  <c r="AA409" i="6" s="1"/>
  <c r="AA410" i="5"/>
  <c r="AA410" i="6" s="1"/>
  <c r="AA411" i="5"/>
  <c r="AA411" i="6" s="1"/>
  <c r="AA412" i="5"/>
  <c r="AA412" i="6" s="1"/>
  <c r="AA413" i="5"/>
  <c r="AA413" i="6" s="1"/>
  <c r="AA414" i="5"/>
  <c r="AA414" i="6" s="1"/>
  <c r="AA415" i="5"/>
  <c r="AA415" i="6" s="1"/>
  <c r="AA416" i="5"/>
  <c r="AA416" i="6" s="1"/>
  <c r="AA417" i="5"/>
  <c r="AA417" i="6" s="1"/>
  <c r="AA418" i="5"/>
  <c r="AA418" i="6" s="1"/>
  <c r="AA419" i="5"/>
  <c r="AA419" i="6" s="1"/>
  <c r="AA420" i="5"/>
  <c r="AA420" i="6" s="1"/>
  <c r="AA421" i="5"/>
  <c r="AA421" i="6" s="1"/>
  <c r="AA422" i="5"/>
  <c r="AA422" i="6" s="1"/>
  <c r="AA423" i="5"/>
  <c r="AA423" i="6" s="1"/>
  <c r="AA424" i="5"/>
  <c r="AA424" i="6" s="1"/>
  <c r="AA425" i="5"/>
  <c r="AA425" i="6" s="1"/>
  <c r="AA426" i="5"/>
  <c r="AA426" i="6" s="1"/>
  <c r="AA427" i="5"/>
  <c r="AA427" i="6" s="1"/>
  <c r="AA428" i="5"/>
  <c r="AA428" i="6" s="1"/>
  <c r="AA429" i="5"/>
  <c r="AA429" i="6" s="1"/>
  <c r="AA430" i="5"/>
  <c r="AA430" i="6" s="1"/>
  <c r="AA431" i="5"/>
  <c r="AA431" i="6" s="1"/>
  <c r="AA432" i="5"/>
  <c r="AA432" i="6" s="1"/>
  <c r="AA433" i="5"/>
  <c r="AA433" i="6" s="1"/>
  <c r="AA434" i="5"/>
  <c r="AA434" i="6" s="1"/>
  <c r="AA435" i="5"/>
  <c r="AA435" i="6" s="1"/>
  <c r="AA436" i="5"/>
  <c r="AA436" i="6" s="1"/>
  <c r="AA437" i="5"/>
  <c r="AA437" i="6" s="1"/>
  <c r="AA438" i="5"/>
  <c r="AA438" i="6" s="1"/>
  <c r="AA439" i="5"/>
  <c r="AA439" i="6" s="1"/>
  <c r="AA440" i="5"/>
  <c r="AA440" i="6" s="1"/>
  <c r="AA441" i="5"/>
  <c r="AA441" i="6" s="1"/>
  <c r="AA442" i="5"/>
  <c r="AA442" i="6" s="1"/>
  <c r="AA443" i="5"/>
  <c r="AA443" i="6" s="1"/>
  <c r="AA444" i="5"/>
  <c r="AA444" i="6" s="1"/>
  <c r="AA445" i="5"/>
  <c r="AA445" i="6" s="1"/>
  <c r="AA446" i="5"/>
  <c r="AA446" i="6" s="1"/>
  <c r="AA447" i="5"/>
  <c r="AA447" i="6" s="1"/>
  <c r="AA448" i="5"/>
  <c r="AA448" i="6" s="1"/>
  <c r="AA449" i="5"/>
  <c r="AA449" i="6" s="1"/>
  <c r="AA450" i="5"/>
  <c r="AA450" i="6" s="1"/>
  <c r="AA451" i="5"/>
  <c r="AA451" i="6" s="1"/>
  <c r="AA452" i="5"/>
  <c r="AA452" i="6" s="1"/>
  <c r="AA453" i="5"/>
  <c r="AA453" i="6" s="1"/>
  <c r="AA454" i="5"/>
  <c r="AA454" i="6" s="1"/>
  <c r="AA455" i="5"/>
  <c r="AA455" i="6" s="1"/>
  <c r="AA456" i="5"/>
  <c r="AA456" i="6" s="1"/>
  <c r="AA457" i="5"/>
  <c r="AA457" i="6" s="1"/>
  <c r="AA458" i="5"/>
  <c r="AA458" i="6" s="1"/>
  <c r="AA459" i="5"/>
  <c r="AA459" i="6" s="1"/>
  <c r="AA460" i="5"/>
  <c r="AA460" i="6" s="1"/>
  <c r="AA461" i="5"/>
  <c r="AA461" i="6" s="1"/>
  <c r="AA462" i="5"/>
  <c r="AA462" i="6" s="1"/>
  <c r="AA463" i="5"/>
  <c r="AA463" i="6" s="1"/>
  <c r="AA464" i="5"/>
  <c r="AA464" i="6" s="1"/>
  <c r="AA465" i="5"/>
  <c r="AA465" i="6" s="1"/>
  <c r="AA466" i="5"/>
  <c r="AA466" i="6" s="1"/>
  <c r="AA467" i="5"/>
  <c r="AA467" i="6" s="1"/>
  <c r="AA468" i="5"/>
  <c r="AA468" i="6" s="1"/>
  <c r="AA469" i="5"/>
  <c r="AA469" i="6" s="1"/>
  <c r="AA470" i="5"/>
  <c r="AA470" i="6" s="1"/>
  <c r="AA471" i="5"/>
  <c r="AA471" i="6" s="1"/>
  <c r="AA472" i="5"/>
  <c r="AA472" i="6" s="1"/>
  <c r="AA473" i="5"/>
  <c r="AA473" i="6" s="1"/>
  <c r="AA474" i="5"/>
  <c r="AA474" i="6" s="1"/>
  <c r="AA475" i="5"/>
  <c r="AA475" i="6" s="1"/>
  <c r="AA476" i="5"/>
  <c r="AA476" i="6" s="1"/>
  <c r="AA477" i="5"/>
  <c r="AA477" i="6" s="1"/>
  <c r="AA478" i="5"/>
  <c r="AA478" i="6" s="1"/>
  <c r="AA479" i="5"/>
  <c r="AA479" i="6" s="1"/>
  <c r="AA480" i="5"/>
  <c r="AA480" i="6" s="1"/>
  <c r="AA481" i="5"/>
  <c r="AA481" i="6" s="1"/>
  <c r="AA482" i="5"/>
  <c r="AA482" i="6" s="1"/>
  <c r="AA483" i="5"/>
  <c r="AA483" i="6" s="1"/>
  <c r="AA484" i="5"/>
  <c r="AA484" i="6" s="1"/>
  <c r="AA485" i="5"/>
  <c r="AA485" i="6" s="1"/>
  <c r="AA486" i="5"/>
  <c r="AA486" i="6" s="1"/>
  <c r="AA487" i="5"/>
  <c r="AA487" i="6" s="1"/>
  <c r="AA488" i="5"/>
  <c r="AA488" i="6" s="1"/>
  <c r="AA489" i="5"/>
  <c r="AA489" i="6" s="1"/>
  <c r="AA490" i="5"/>
  <c r="AA490" i="6" s="1"/>
  <c r="AA491" i="5"/>
  <c r="AA491" i="6" s="1"/>
  <c r="AA492" i="5"/>
  <c r="AA492" i="6" s="1"/>
  <c r="AA493" i="5"/>
  <c r="AA493" i="6" s="1"/>
  <c r="AA494" i="5"/>
  <c r="AA494" i="6" s="1"/>
  <c r="AA495" i="5"/>
  <c r="AA495" i="6" s="1"/>
  <c r="AA496" i="5"/>
  <c r="AA496" i="6" s="1"/>
  <c r="AA497" i="5"/>
  <c r="AA497" i="6" s="1"/>
  <c r="AA498" i="5"/>
  <c r="AA498" i="6" s="1"/>
  <c r="AA499" i="5"/>
  <c r="AA499" i="6" s="1"/>
  <c r="AA500" i="5"/>
  <c r="AA500" i="6" s="1"/>
  <c r="AA501" i="5"/>
  <c r="AA501" i="6" s="1"/>
  <c r="AA502" i="5"/>
  <c r="AA502" i="6" s="1"/>
  <c r="AA503" i="5"/>
  <c r="AA503" i="6" s="1"/>
  <c r="AA504" i="5"/>
  <c r="AA504" i="6" s="1"/>
  <c r="AA505" i="5"/>
  <c r="AA505" i="6" s="1"/>
  <c r="AA506" i="5"/>
  <c r="AA506" i="6" s="1"/>
  <c r="AA507" i="5"/>
  <c r="AA507" i="6" s="1"/>
  <c r="AA508" i="5"/>
  <c r="AA508" i="6" s="1"/>
  <c r="AA509" i="5"/>
  <c r="AA509" i="6" s="1"/>
  <c r="AA510" i="5"/>
  <c r="AA510" i="6" s="1"/>
  <c r="AA511" i="5"/>
  <c r="AA511" i="6" s="1"/>
  <c r="AA512" i="5"/>
  <c r="AA512" i="6" s="1"/>
  <c r="AA513" i="5"/>
  <c r="AA513" i="6" s="1"/>
  <c r="AA514" i="5"/>
  <c r="AA514" i="6" s="1"/>
  <c r="AA515" i="5"/>
  <c r="AA515" i="6" s="1"/>
  <c r="AA516" i="5"/>
  <c r="AA516" i="6" s="1"/>
  <c r="AA517" i="5"/>
  <c r="AA517" i="6" s="1"/>
  <c r="AA518" i="5"/>
  <c r="AA518" i="6" s="1"/>
  <c r="AA519" i="5"/>
  <c r="AA519" i="6" s="1"/>
  <c r="AA520" i="5"/>
  <c r="AA520" i="6" s="1"/>
  <c r="AA521" i="5"/>
  <c r="AA521" i="6" s="1"/>
  <c r="AA522" i="5"/>
  <c r="AA522" i="6" s="1"/>
  <c r="AA523" i="5"/>
  <c r="AA523" i="6" s="1"/>
  <c r="AA524" i="5"/>
  <c r="AA524" i="6" s="1"/>
  <c r="AA525" i="5"/>
  <c r="AA525" i="6" s="1"/>
  <c r="AA526" i="5"/>
  <c r="AA526" i="6" s="1"/>
  <c r="AA527" i="5"/>
  <c r="AA527" i="6" s="1"/>
  <c r="AA528" i="5"/>
  <c r="AA528" i="6" s="1"/>
  <c r="AA529" i="5"/>
  <c r="AA529" i="6" s="1"/>
  <c r="AA530" i="5"/>
  <c r="AA530" i="6" s="1"/>
  <c r="AA531" i="5"/>
  <c r="AA531" i="6" s="1"/>
  <c r="AA532" i="5"/>
  <c r="AA532" i="6" s="1"/>
  <c r="AA533" i="5"/>
  <c r="AA533" i="6" s="1"/>
  <c r="AA534" i="5"/>
  <c r="AA534" i="6" s="1"/>
  <c r="AA535" i="5"/>
  <c r="AA535" i="6" s="1"/>
  <c r="AA536" i="5"/>
  <c r="AA536" i="6" s="1"/>
  <c r="AA537" i="5"/>
  <c r="AA537" i="6" s="1"/>
  <c r="AA538" i="5"/>
  <c r="AA538" i="6" s="1"/>
  <c r="AA539" i="5"/>
  <c r="AA539" i="6" s="1"/>
  <c r="AA540" i="5"/>
  <c r="AA540" i="6" s="1"/>
  <c r="AA541" i="5"/>
  <c r="AA541" i="6" s="1"/>
  <c r="AA542" i="5"/>
  <c r="AA542" i="6" s="1"/>
  <c r="AA543" i="5"/>
  <c r="AA543" i="6" s="1"/>
  <c r="AA544" i="5"/>
  <c r="AA544" i="6" s="1"/>
  <c r="AA545" i="5"/>
  <c r="AA545" i="6" s="1"/>
  <c r="AA546" i="5"/>
  <c r="AA546" i="6" s="1"/>
  <c r="AA547" i="5"/>
  <c r="AA547" i="6" s="1"/>
  <c r="AA548" i="5"/>
  <c r="AA548" i="6" s="1"/>
  <c r="AA549" i="5"/>
  <c r="AA549" i="6" s="1"/>
  <c r="AA550" i="5"/>
  <c r="AA550" i="6" s="1"/>
  <c r="AA551" i="5"/>
  <c r="AA551" i="6" s="1"/>
  <c r="AA552" i="5"/>
  <c r="AA552" i="6" s="1"/>
  <c r="AA553" i="5"/>
  <c r="AA553" i="6" s="1"/>
  <c r="AA554" i="5"/>
  <c r="AA554" i="6" s="1"/>
  <c r="AA555" i="5"/>
  <c r="AA555" i="6" s="1"/>
  <c r="AA556" i="5"/>
  <c r="AA556" i="6" s="1"/>
  <c r="AA557" i="5"/>
  <c r="AA557" i="6" s="1"/>
  <c r="AA558" i="5"/>
  <c r="AA558" i="6" s="1"/>
  <c r="AA559" i="5"/>
  <c r="AA559" i="6" s="1"/>
  <c r="AA560" i="5"/>
  <c r="AA560" i="6" s="1"/>
  <c r="AA561" i="5"/>
  <c r="AA561" i="6" s="1"/>
  <c r="AA562" i="5"/>
  <c r="AA562" i="6" s="1"/>
  <c r="AA563" i="5"/>
  <c r="AA563" i="6" s="1"/>
  <c r="AA564" i="5"/>
  <c r="AA564" i="6" s="1"/>
  <c r="AA565" i="5"/>
  <c r="AA565" i="6" s="1"/>
  <c r="AA566" i="5"/>
  <c r="AA566" i="6" s="1"/>
  <c r="AA567" i="5"/>
  <c r="AA567" i="6" s="1"/>
  <c r="AA568" i="5"/>
  <c r="AA568" i="6" s="1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G8" i="5"/>
  <c r="AG7" i="5"/>
  <c r="AG6" i="5"/>
  <c r="Z2" i="5"/>
  <c r="Z2" i="6" s="1"/>
  <c r="Z3" i="5"/>
  <c r="Z3" i="6" s="1"/>
  <c r="Z4" i="5"/>
  <c r="Z4" i="6" s="1"/>
  <c r="Z5" i="5"/>
  <c r="Z5" i="6" s="1"/>
  <c r="Z6" i="5"/>
  <c r="Z6" i="6" s="1"/>
  <c r="Z7" i="5"/>
  <c r="Z7" i="6" s="1"/>
  <c r="Z8" i="5"/>
  <c r="Z8" i="6" s="1"/>
  <c r="Z9" i="5"/>
  <c r="Z9" i="6" s="1"/>
  <c r="Z10" i="5"/>
  <c r="Z10" i="6" s="1"/>
  <c r="Z11" i="5"/>
  <c r="Z11" i="6" s="1"/>
  <c r="Z12" i="5"/>
  <c r="Z12" i="6" s="1"/>
  <c r="Z13" i="5"/>
  <c r="Z13" i="6" s="1"/>
  <c r="Z14" i="5"/>
  <c r="Z14" i="6" s="1"/>
  <c r="Z15" i="5"/>
  <c r="Z15" i="6" s="1"/>
  <c r="Z16" i="5"/>
  <c r="Z16" i="6" s="1"/>
  <c r="Z17" i="5"/>
  <c r="Z17" i="6" s="1"/>
  <c r="Z18" i="5"/>
  <c r="Z18" i="6" s="1"/>
  <c r="Z19" i="5"/>
  <c r="Z19" i="6" s="1"/>
  <c r="Z20" i="5"/>
  <c r="Z20" i="6" s="1"/>
  <c r="Z21" i="5"/>
  <c r="Z21" i="6" s="1"/>
  <c r="Z22" i="5"/>
  <c r="Z22" i="6" s="1"/>
  <c r="Z23" i="5"/>
  <c r="Z23" i="6" s="1"/>
  <c r="Z24" i="5"/>
  <c r="Z24" i="6" s="1"/>
  <c r="Z25" i="5"/>
  <c r="Z25" i="6" s="1"/>
  <c r="Z26" i="5"/>
  <c r="Z26" i="6" s="1"/>
  <c r="Z27" i="5"/>
  <c r="Z27" i="6" s="1"/>
  <c r="Z28" i="5"/>
  <c r="Z28" i="6" s="1"/>
  <c r="Z29" i="5"/>
  <c r="Z29" i="6" s="1"/>
  <c r="Z30" i="5"/>
  <c r="Z30" i="6" s="1"/>
  <c r="Z31" i="5"/>
  <c r="Z31" i="6" s="1"/>
  <c r="Z32" i="5"/>
  <c r="Z32" i="6" s="1"/>
  <c r="Z33" i="5"/>
  <c r="Z33" i="6" s="1"/>
  <c r="Z34" i="5"/>
  <c r="Z34" i="6" s="1"/>
  <c r="Z35" i="5"/>
  <c r="Z35" i="6" s="1"/>
  <c r="Z36" i="5"/>
  <c r="Z36" i="6" s="1"/>
  <c r="Z37" i="5"/>
  <c r="Z37" i="6" s="1"/>
  <c r="Z38" i="5"/>
  <c r="Z38" i="6" s="1"/>
  <c r="Z39" i="5"/>
  <c r="Z39" i="6" s="1"/>
  <c r="Z40" i="5"/>
  <c r="Z40" i="6" s="1"/>
  <c r="Z41" i="5"/>
  <c r="Z41" i="6" s="1"/>
  <c r="Z42" i="5"/>
  <c r="Z42" i="6" s="1"/>
  <c r="Z43" i="5"/>
  <c r="Z43" i="6" s="1"/>
  <c r="Z44" i="5"/>
  <c r="Z44" i="6" s="1"/>
  <c r="Z45" i="5"/>
  <c r="Z45" i="6" s="1"/>
  <c r="Z46" i="5"/>
  <c r="Z46" i="6" s="1"/>
  <c r="Z47" i="5"/>
  <c r="Z47" i="6" s="1"/>
  <c r="Z48" i="5"/>
  <c r="Z48" i="6" s="1"/>
  <c r="Z49" i="5"/>
  <c r="Z49" i="6" s="1"/>
  <c r="Z50" i="5"/>
  <c r="Z50" i="6" s="1"/>
  <c r="Z51" i="5"/>
  <c r="Z51" i="6" s="1"/>
  <c r="Z52" i="5"/>
  <c r="Z52" i="6" s="1"/>
  <c r="Z53" i="5"/>
  <c r="Z53" i="6" s="1"/>
  <c r="Z54" i="5"/>
  <c r="Z54" i="6" s="1"/>
  <c r="Z55" i="5"/>
  <c r="Z55" i="6" s="1"/>
  <c r="Z56" i="5"/>
  <c r="Z56" i="6" s="1"/>
  <c r="Z57" i="5"/>
  <c r="Z57" i="6" s="1"/>
  <c r="Z58" i="5"/>
  <c r="Z58" i="6" s="1"/>
  <c r="Z59" i="5"/>
  <c r="Z59" i="6" s="1"/>
  <c r="Z60" i="5"/>
  <c r="Z60" i="6" s="1"/>
  <c r="Z61" i="5"/>
  <c r="Z61" i="6" s="1"/>
  <c r="Z62" i="5"/>
  <c r="Z62" i="6" s="1"/>
  <c r="Z63" i="5"/>
  <c r="Z63" i="6" s="1"/>
  <c r="Z64" i="5"/>
  <c r="Z64" i="6" s="1"/>
  <c r="Z65" i="5"/>
  <c r="Z65" i="6" s="1"/>
  <c r="Z66" i="5"/>
  <c r="Z66" i="6" s="1"/>
  <c r="Z67" i="5"/>
  <c r="Z67" i="6" s="1"/>
  <c r="Z68" i="5"/>
  <c r="Z68" i="6" s="1"/>
  <c r="Z69" i="5"/>
  <c r="Z69" i="6" s="1"/>
  <c r="Z70" i="5"/>
  <c r="Z70" i="6" s="1"/>
  <c r="Z71" i="5"/>
  <c r="Z71" i="6" s="1"/>
  <c r="Z72" i="5"/>
  <c r="Z72" i="6" s="1"/>
  <c r="Z73" i="5"/>
  <c r="Z73" i="6" s="1"/>
  <c r="Z74" i="5"/>
  <c r="Z74" i="6" s="1"/>
  <c r="Z75" i="5"/>
  <c r="Z75" i="6" s="1"/>
  <c r="Z76" i="5"/>
  <c r="Z76" i="6" s="1"/>
  <c r="Z77" i="5"/>
  <c r="Z77" i="6" s="1"/>
  <c r="Z78" i="5"/>
  <c r="Z78" i="6" s="1"/>
  <c r="Z79" i="5"/>
  <c r="Z79" i="6" s="1"/>
  <c r="Z80" i="5"/>
  <c r="Z80" i="6" s="1"/>
  <c r="Z81" i="5"/>
  <c r="Z81" i="6" s="1"/>
  <c r="Z82" i="5"/>
  <c r="Z82" i="6" s="1"/>
  <c r="Z83" i="5"/>
  <c r="Z83" i="6" s="1"/>
  <c r="Z84" i="5"/>
  <c r="Z84" i="6" s="1"/>
  <c r="Z85" i="5"/>
  <c r="Z85" i="6" s="1"/>
  <c r="Z86" i="5"/>
  <c r="Z86" i="6" s="1"/>
  <c r="Z87" i="5"/>
  <c r="Z87" i="6" s="1"/>
  <c r="Z88" i="5"/>
  <c r="Z88" i="6" s="1"/>
  <c r="Z89" i="5"/>
  <c r="Z89" i="6" s="1"/>
  <c r="Z90" i="5"/>
  <c r="Z90" i="6" s="1"/>
  <c r="Z91" i="5"/>
  <c r="Z91" i="6" s="1"/>
  <c r="Z92" i="5"/>
  <c r="Z92" i="6" s="1"/>
  <c r="Z93" i="5"/>
  <c r="Z93" i="6" s="1"/>
  <c r="Z94" i="5"/>
  <c r="Z94" i="6" s="1"/>
  <c r="Z95" i="5"/>
  <c r="Z95" i="6" s="1"/>
  <c r="Z96" i="5"/>
  <c r="Z96" i="6" s="1"/>
  <c r="Z97" i="5"/>
  <c r="Z97" i="6" s="1"/>
  <c r="Z98" i="5"/>
  <c r="Z98" i="6" s="1"/>
  <c r="Z99" i="5"/>
  <c r="Z99" i="6" s="1"/>
  <c r="Z100" i="5"/>
  <c r="Z100" i="6" s="1"/>
  <c r="Z101" i="5"/>
  <c r="Z101" i="6" s="1"/>
  <c r="Z102" i="5"/>
  <c r="Z102" i="6" s="1"/>
  <c r="Z103" i="5"/>
  <c r="Z103" i="6" s="1"/>
  <c r="Z104" i="5"/>
  <c r="Z104" i="6" s="1"/>
  <c r="Z105" i="5"/>
  <c r="Z105" i="6" s="1"/>
  <c r="Z106" i="5"/>
  <c r="Z106" i="6" s="1"/>
  <c r="Z107" i="5"/>
  <c r="Z107" i="6" s="1"/>
  <c r="Z108" i="5"/>
  <c r="Z108" i="6" s="1"/>
  <c r="Z109" i="5"/>
  <c r="Z109" i="6" s="1"/>
  <c r="Z110" i="5"/>
  <c r="Z110" i="6" s="1"/>
  <c r="Z111" i="5"/>
  <c r="Z111" i="6" s="1"/>
  <c r="Z112" i="5"/>
  <c r="Z112" i="6" s="1"/>
  <c r="Z113" i="5"/>
  <c r="Z113" i="6" s="1"/>
  <c r="Z114" i="5"/>
  <c r="Z114" i="6" s="1"/>
  <c r="Z115" i="5"/>
  <c r="Z115" i="6" s="1"/>
  <c r="Z116" i="5"/>
  <c r="Z116" i="6" s="1"/>
  <c r="Z117" i="5"/>
  <c r="Z117" i="6" s="1"/>
  <c r="Z118" i="5"/>
  <c r="Z118" i="6" s="1"/>
  <c r="Z119" i="5"/>
  <c r="Z119" i="6" s="1"/>
  <c r="Z120" i="5"/>
  <c r="Z120" i="6" s="1"/>
  <c r="Z121" i="5"/>
  <c r="Z121" i="6" s="1"/>
  <c r="Z122" i="5"/>
  <c r="Z122" i="6" s="1"/>
  <c r="Z123" i="5"/>
  <c r="Z123" i="6" s="1"/>
  <c r="Z124" i="5"/>
  <c r="Z124" i="6" s="1"/>
  <c r="Z125" i="5"/>
  <c r="Z125" i="6" s="1"/>
  <c r="Z126" i="5"/>
  <c r="Z126" i="6" s="1"/>
  <c r="Z127" i="5"/>
  <c r="Z127" i="6" s="1"/>
  <c r="Z128" i="5"/>
  <c r="Z128" i="6" s="1"/>
  <c r="Z129" i="5"/>
  <c r="Z129" i="6" s="1"/>
  <c r="Z130" i="5"/>
  <c r="Z130" i="6" s="1"/>
  <c r="Z131" i="5"/>
  <c r="Z131" i="6" s="1"/>
  <c r="Z132" i="5"/>
  <c r="Z132" i="6" s="1"/>
  <c r="Z133" i="5"/>
  <c r="Z133" i="6" s="1"/>
  <c r="Z134" i="5"/>
  <c r="Z134" i="6" s="1"/>
  <c r="Z135" i="5"/>
  <c r="Z135" i="6" s="1"/>
  <c r="Z136" i="5"/>
  <c r="Z136" i="6" s="1"/>
  <c r="Z137" i="5"/>
  <c r="Z137" i="6" s="1"/>
  <c r="Z138" i="5"/>
  <c r="Z138" i="6" s="1"/>
  <c r="Z139" i="5"/>
  <c r="Z139" i="6" s="1"/>
  <c r="Z140" i="5"/>
  <c r="Z140" i="6" s="1"/>
  <c r="Z141" i="5"/>
  <c r="Z141" i="6" s="1"/>
  <c r="Z142" i="5"/>
  <c r="Z142" i="6" s="1"/>
  <c r="Z143" i="5"/>
  <c r="Z143" i="6" s="1"/>
  <c r="Z144" i="5"/>
  <c r="Z144" i="6" s="1"/>
  <c r="Z145" i="5"/>
  <c r="Z145" i="6" s="1"/>
  <c r="Z146" i="5"/>
  <c r="Z146" i="6" s="1"/>
  <c r="Z147" i="5"/>
  <c r="Z147" i="6" s="1"/>
  <c r="Z148" i="5"/>
  <c r="Z148" i="6" s="1"/>
  <c r="Z149" i="5"/>
  <c r="Z149" i="6" s="1"/>
  <c r="Z150" i="5"/>
  <c r="Z150" i="6" s="1"/>
  <c r="Z151" i="5"/>
  <c r="Z151" i="6" s="1"/>
  <c r="Z152" i="5"/>
  <c r="Z152" i="6" s="1"/>
  <c r="Z153" i="5"/>
  <c r="Z153" i="6" s="1"/>
  <c r="Z154" i="5"/>
  <c r="Z154" i="6" s="1"/>
  <c r="Z155" i="5"/>
  <c r="Z155" i="6" s="1"/>
  <c r="Z156" i="5"/>
  <c r="Z156" i="6" s="1"/>
  <c r="Z157" i="5"/>
  <c r="Z157" i="6" s="1"/>
  <c r="Z158" i="5"/>
  <c r="Z158" i="6" s="1"/>
  <c r="Z159" i="5"/>
  <c r="Z159" i="6" s="1"/>
  <c r="Z160" i="5"/>
  <c r="Z160" i="6" s="1"/>
  <c r="Z161" i="5"/>
  <c r="Z161" i="6" s="1"/>
  <c r="Z162" i="5"/>
  <c r="Z162" i="6" s="1"/>
  <c r="Z163" i="5"/>
  <c r="Z163" i="6" s="1"/>
  <c r="Z164" i="5"/>
  <c r="Z164" i="6" s="1"/>
  <c r="Z165" i="5"/>
  <c r="Z165" i="6" s="1"/>
  <c r="Z166" i="5"/>
  <c r="Z166" i="6" s="1"/>
  <c r="Z167" i="5"/>
  <c r="Z167" i="6" s="1"/>
  <c r="Z168" i="5"/>
  <c r="Z168" i="6" s="1"/>
  <c r="Z169" i="5"/>
  <c r="Z169" i="6" s="1"/>
  <c r="Z170" i="5"/>
  <c r="Z170" i="6" s="1"/>
  <c r="Z171" i="5"/>
  <c r="Z171" i="6" s="1"/>
  <c r="Z172" i="5"/>
  <c r="Z172" i="6" s="1"/>
  <c r="Z173" i="5"/>
  <c r="Z173" i="6" s="1"/>
  <c r="Z174" i="5"/>
  <c r="Z174" i="6" s="1"/>
  <c r="Z175" i="5"/>
  <c r="Z175" i="6" s="1"/>
  <c r="Z176" i="5"/>
  <c r="Z176" i="6" s="1"/>
  <c r="Z177" i="5"/>
  <c r="Z177" i="6" s="1"/>
  <c r="Z178" i="5"/>
  <c r="Z178" i="6" s="1"/>
  <c r="Z179" i="5"/>
  <c r="Z179" i="6" s="1"/>
  <c r="Z180" i="5"/>
  <c r="Z180" i="6" s="1"/>
  <c r="Z181" i="5"/>
  <c r="Z181" i="6" s="1"/>
  <c r="Z182" i="5"/>
  <c r="Z182" i="6" s="1"/>
  <c r="Z183" i="5"/>
  <c r="Z183" i="6" s="1"/>
  <c r="Z184" i="5"/>
  <c r="Z184" i="6" s="1"/>
  <c r="Z185" i="5"/>
  <c r="Z185" i="6" s="1"/>
  <c r="Z186" i="5"/>
  <c r="Z186" i="6" s="1"/>
  <c r="Z187" i="5"/>
  <c r="Z187" i="6" s="1"/>
  <c r="Z188" i="5"/>
  <c r="Z188" i="6" s="1"/>
  <c r="Z189" i="5"/>
  <c r="Z189" i="6" s="1"/>
  <c r="Z190" i="5"/>
  <c r="Z190" i="6" s="1"/>
  <c r="Z191" i="5"/>
  <c r="Z191" i="6" s="1"/>
  <c r="Z192" i="5"/>
  <c r="Z192" i="6" s="1"/>
  <c r="Z193" i="5"/>
  <c r="Z193" i="6" s="1"/>
  <c r="Z194" i="5"/>
  <c r="Z194" i="6" s="1"/>
  <c r="Z195" i="5"/>
  <c r="Z195" i="6" s="1"/>
  <c r="Z196" i="5"/>
  <c r="Z196" i="6" s="1"/>
  <c r="Z197" i="5"/>
  <c r="Z197" i="6" s="1"/>
  <c r="Z198" i="5"/>
  <c r="Z198" i="6" s="1"/>
  <c r="Z199" i="5"/>
  <c r="Z199" i="6" s="1"/>
  <c r="Z200" i="5"/>
  <c r="Z200" i="6" s="1"/>
  <c r="Z201" i="5"/>
  <c r="Z201" i="6" s="1"/>
  <c r="Z202" i="5"/>
  <c r="Z202" i="6" s="1"/>
  <c r="Z203" i="5"/>
  <c r="Z203" i="6" s="1"/>
  <c r="Z204" i="5"/>
  <c r="Z204" i="6" s="1"/>
  <c r="Z205" i="5"/>
  <c r="Z205" i="6" s="1"/>
  <c r="Z206" i="5"/>
  <c r="Z206" i="6" s="1"/>
  <c r="Z207" i="5"/>
  <c r="Z207" i="6" s="1"/>
  <c r="Z208" i="5"/>
  <c r="Z208" i="6" s="1"/>
  <c r="Z209" i="5"/>
  <c r="Z209" i="6" s="1"/>
  <c r="Z210" i="5"/>
  <c r="Z210" i="6" s="1"/>
  <c r="Z211" i="5"/>
  <c r="Z211" i="6" s="1"/>
  <c r="Z212" i="5"/>
  <c r="Z212" i="6" s="1"/>
  <c r="Z213" i="5"/>
  <c r="Z213" i="6" s="1"/>
  <c r="Z214" i="5"/>
  <c r="Z214" i="6" s="1"/>
  <c r="Z215" i="5"/>
  <c r="Z215" i="6" s="1"/>
  <c r="Z216" i="5"/>
  <c r="Z216" i="6" s="1"/>
  <c r="Z217" i="5"/>
  <c r="Z217" i="6" s="1"/>
  <c r="Z218" i="5"/>
  <c r="Z218" i="6" s="1"/>
  <c r="Z219" i="5"/>
  <c r="Z219" i="6" s="1"/>
  <c r="Z220" i="5"/>
  <c r="Z220" i="6" s="1"/>
  <c r="Z221" i="5"/>
  <c r="Z221" i="6" s="1"/>
  <c r="Z222" i="5"/>
  <c r="Z222" i="6" s="1"/>
  <c r="Z223" i="5"/>
  <c r="Z223" i="6" s="1"/>
  <c r="Z224" i="5"/>
  <c r="Z224" i="6" s="1"/>
  <c r="Z225" i="5"/>
  <c r="Z225" i="6" s="1"/>
  <c r="Z226" i="5"/>
  <c r="Z226" i="6" s="1"/>
  <c r="Z227" i="5"/>
  <c r="Z227" i="6" s="1"/>
  <c r="Z228" i="5"/>
  <c r="Z228" i="6" s="1"/>
  <c r="Z229" i="5"/>
  <c r="Z229" i="6" s="1"/>
  <c r="Z230" i="5"/>
  <c r="Z230" i="6" s="1"/>
  <c r="Z231" i="5"/>
  <c r="Z231" i="6" s="1"/>
  <c r="Z232" i="5"/>
  <c r="Z232" i="6" s="1"/>
  <c r="Z233" i="5"/>
  <c r="Z233" i="6" s="1"/>
  <c r="Z234" i="5"/>
  <c r="Z234" i="6" s="1"/>
  <c r="Z235" i="5"/>
  <c r="Z235" i="6" s="1"/>
  <c r="Z236" i="5"/>
  <c r="Z236" i="6" s="1"/>
  <c r="Z237" i="5"/>
  <c r="Z237" i="6" s="1"/>
  <c r="Z238" i="5"/>
  <c r="Z238" i="6" s="1"/>
  <c r="Z239" i="5"/>
  <c r="Z239" i="6" s="1"/>
  <c r="Z240" i="5"/>
  <c r="Z240" i="6" s="1"/>
  <c r="Z241" i="5"/>
  <c r="Z241" i="6" s="1"/>
  <c r="Z242" i="5"/>
  <c r="Z242" i="6" s="1"/>
  <c r="Z243" i="5"/>
  <c r="Z243" i="6" s="1"/>
  <c r="Z244" i="5"/>
  <c r="Z244" i="6" s="1"/>
  <c r="Z245" i="5"/>
  <c r="Z245" i="6" s="1"/>
  <c r="Z246" i="5"/>
  <c r="Z246" i="6" s="1"/>
  <c r="Z247" i="5"/>
  <c r="Z247" i="6" s="1"/>
  <c r="Z248" i="5"/>
  <c r="Z248" i="6" s="1"/>
  <c r="Z249" i="5"/>
  <c r="Z249" i="6" s="1"/>
  <c r="Z250" i="5"/>
  <c r="Z250" i="6" s="1"/>
  <c r="Z251" i="5"/>
  <c r="Z251" i="6" s="1"/>
  <c r="Z252" i="5"/>
  <c r="Z252" i="6" s="1"/>
  <c r="Z253" i="5"/>
  <c r="Z253" i="6" s="1"/>
  <c r="Z254" i="5"/>
  <c r="Z254" i="6" s="1"/>
  <c r="Z255" i="5"/>
  <c r="Z255" i="6" s="1"/>
  <c r="Z256" i="5"/>
  <c r="Z256" i="6" s="1"/>
  <c r="Z257" i="5"/>
  <c r="Z257" i="6" s="1"/>
  <c r="Z258" i="5"/>
  <c r="Z258" i="6" s="1"/>
  <c r="Z259" i="5"/>
  <c r="Z259" i="6" s="1"/>
  <c r="Z260" i="5"/>
  <c r="Z260" i="6" s="1"/>
  <c r="Z261" i="5"/>
  <c r="Z261" i="6" s="1"/>
  <c r="Z262" i="5"/>
  <c r="Z262" i="6" s="1"/>
  <c r="Z263" i="5"/>
  <c r="Z263" i="6" s="1"/>
  <c r="Z264" i="5"/>
  <c r="Z264" i="6" s="1"/>
  <c r="Z265" i="5"/>
  <c r="Z265" i="6" s="1"/>
  <c r="Z266" i="5"/>
  <c r="Z266" i="6" s="1"/>
  <c r="Z267" i="5"/>
  <c r="Z267" i="6" s="1"/>
  <c r="Z268" i="5"/>
  <c r="Z268" i="6" s="1"/>
  <c r="Z269" i="5"/>
  <c r="Z269" i="6" s="1"/>
  <c r="Z270" i="5"/>
  <c r="Z270" i="6" s="1"/>
  <c r="Z271" i="5"/>
  <c r="Z271" i="6" s="1"/>
  <c r="Z272" i="5"/>
  <c r="Z272" i="6" s="1"/>
  <c r="Z273" i="5"/>
  <c r="Z273" i="6" s="1"/>
  <c r="Z274" i="5"/>
  <c r="Z274" i="6" s="1"/>
  <c r="Z275" i="5"/>
  <c r="Z275" i="6" s="1"/>
  <c r="Z276" i="5"/>
  <c r="Z276" i="6" s="1"/>
  <c r="Z277" i="5"/>
  <c r="Z277" i="6" s="1"/>
  <c r="Z278" i="5"/>
  <c r="Z278" i="6" s="1"/>
  <c r="Z279" i="5"/>
  <c r="Z279" i="6" s="1"/>
  <c r="Z280" i="5"/>
  <c r="Z280" i="6" s="1"/>
  <c r="Z281" i="5"/>
  <c r="Z281" i="6" s="1"/>
  <c r="Z282" i="5"/>
  <c r="Z282" i="6" s="1"/>
  <c r="Z283" i="5"/>
  <c r="Z283" i="6" s="1"/>
  <c r="Z284" i="5"/>
  <c r="Z284" i="6" s="1"/>
  <c r="Z285" i="5"/>
  <c r="Z285" i="6" s="1"/>
  <c r="Z286" i="5"/>
  <c r="Z286" i="6" s="1"/>
  <c r="Z287" i="5"/>
  <c r="Z287" i="6" s="1"/>
  <c r="Z288" i="5"/>
  <c r="Z288" i="6" s="1"/>
  <c r="Z289" i="5"/>
  <c r="Z289" i="6" s="1"/>
  <c r="Z290" i="5"/>
  <c r="Z290" i="6" s="1"/>
  <c r="Z291" i="5"/>
  <c r="Z291" i="6" s="1"/>
  <c r="Z292" i="5"/>
  <c r="Z292" i="6" s="1"/>
  <c r="Z293" i="5"/>
  <c r="Z293" i="6" s="1"/>
  <c r="Z294" i="5"/>
  <c r="Z294" i="6" s="1"/>
  <c r="Z295" i="5"/>
  <c r="Z295" i="6" s="1"/>
  <c r="Z296" i="5"/>
  <c r="Z296" i="6" s="1"/>
  <c r="Z297" i="5"/>
  <c r="Z297" i="6" s="1"/>
  <c r="Z298" i="5"/>
  <c r="Z298" i="6" s="1"/>
  <c r="Z299" i="5"/>
  <c r="Z299" i="6" s="1"/>
  <c r="Z300" i="5"/>
  <c r="Z300" i="6" s="1"/>
  <c r="Z301" i="5"/>
  <c r="Z301" i="6" s="1"/>
  <c r="Z302" i="5"/>
  <c r="Z302" i="6" s="1"/>
  <c r="Z303" i="5"/>
  <c r="Z303" i="6" s="1"/>
  <c r="Z304" i="5"/>
  <c r="Z304" i="6" s="1"/>
  <c r="Z305" i="5"/>
  <c r="Z305" i="6" s="1"/>
  <c r="Z306" i="5"/>
  <c r="Z306" i="6" s="1"/>
  <c r="Z307" i="5"/>
  <c r="Z307" i="6" s="1"/>
  <c r="Z308" i="5"/>
  <c r="Z308" i="6" s="1"/>
  <c r="Z309" i="5"/>
  <c r="Z309" i="6" s="1"/>
  <c r="Z310" i="5"/>
  <c r="Z310" i="6" s="1"/>
  <c r="Z311" i="5"/>
  <c r="Z311" i="6" s="1"/>
  <c r="Z312" i="5"/>
  <c r="Z312" i="6" s="1"/>
  <c r="Z313" i="5"/>
  <c r="Z313" i="6" s="1"/>
  <c r="Z314" i="5"/>
  <c r="Z314" i="6" s="1"/>
  <c r="Z315" i="5"/>
  <c r="Z315" i="6" s="1"/>
  <c r="Z316" i="5"/>
  <c r="Z316" i="6" s="1"/>
  <c r="Z317" i="5"/>
  <c r="Z317" i="6" s="1"/>
  <c r="Z318" i="5"/>
  <c r="Z318" i="6" s="1"/>
  <c r="Z319" i="5"/>
  <c r="Z319" i="6" s="1"/>
  <c r="Z320" i="5"/>
  <c r="Z320" i="6" s="1"/>
  <c r="Z321" i="5"/>
  <c r="Z321" i="6" s="1"/>
  <c r="Z322" i="5"/>
  <c r="Z322" i="6" s="1"/>
  <c r="Z323" i="5"/>
  <c r="Z323" i="6" s="1"/>
  <c r="Z324" i="5"/>
  <c r="Z324" i="6" s="1"/>
  <c r="Z325" i="5"/>
  <c r="Z325" i="6" s="1"/>
  <c r="Z326" i="5"/>
  <c r="Z326" i="6" s="1"/>
  <c r="Z327" i="5"/>
  <c r="Z327" i="6" s="1"/>
  <c r="Z328" i="5"/>
  <c r="Z328" i="6" s="1"/>
  <c r="Z329" i="5"/>
  <c r="Z329" i="6" s="1"/>
  <c r="Z330" i="5"/>
  <c r="Z330" i="6" s="1"/>
  <c r="Z331" i="5"/>
  <c r="Z331" i="6" s="1"/>
  <c r="Z332" i="5"/>
  <c r="Z332" i="6" s="1"/>
  <c r="Z333" i="5"/>
  <c r="Z333" i="6" s="1"/>
  <c r="Z334" i="5"/>
  <c r="Z334" i="6" s="1"/>
  <c r="Z335" i="5"/>
  <c r="Z335" i="6" s="1"/>
  <c r="Z336" i="5"/>
  <c r="Z336" i="6" s="1"/>
  <c r="Z337" i="5"/>
  <c r="Z337" i="6" s="1"/>
  <c r="Z338" i="5"/>
  <c r="Z338" i="6" s="1"/>
  <c r="Z339" i="5"/>
  <c r="Z339" i="6" s="1"/>
  <c r="Z340" i="5"/>
  <c r="Z340" i="6" s="1"/>
  <c r="Z341" i="5"/>
  <c r="Z341" i="6" s="1"/>
  <c r="Z342" i="5"/>
  <c r="Z342" i="6" s="1"/>
  <c r="Z343" i="5"/>
  <c r="Z343" i="6" s="1"/>
  <c r="Z344" i="5"/>
  <c r="Z344" i="6" s="1"/>
  <c r="Z345" i="5"/>
  <c r="Z345" i="6" s="1"/>
  <c r="Z346" i="5"/>
  <c r="Z346" i="6" s="1"/>
  <c r="Z347" i="5"/>
  <c r="Z347" i="6" s="1"/>
  <c r="Z348" i="5"/>
  <c r="Z348" i="6" s="1"/>
  <c r="Z349" i="5"/>
  <c r="Z349" i="6" s="1"/>
  <c r="Z350" i="5"/>
  <c r="Z350" i="6" s="1"/>
  <c r="Z351" i="5"/>
  <c r="Z351" i="6" s="1"/>
  <c r="Z352" i="5"/>
  <c r="Z352" i="6" s="1"/>
  <c r="Z353" i="5"/>
  <c r="Z353" i="6" s="1"/>
  <c r="Z354" i="5"/>
  <c r="Z354" i="6" s="1"/>
  <c r="Z355" i="5"/>
  <c r="Z355" i="6" s="1"/>
  <c r="Z356" i="5"/>
  <c r="Z356" i="6" s="1"/>
  <c r="Z357" i="5"/>
  <c r="Z357" i="6" s="1"/>
  <c r="Z358" i="5"/>
  <c r="Z358" i="6" s="1"/>
  <c r="Z359" i="5"/>
  <c r="Z359" i="6" s="1"/>
  <c r="Z360" i="5"/>
  <c r="Z360" i="6" s="1"/>
  <c r="Z361" i="5"/>
  <c r="Z361" i="6" s="1"/>
  <c r="Z362" i="5"/>
  <c r="Z362" i="6" s="1"/>
  <c r="Z363" i="5"/>
  <c r="Z363" i="6" s="1"/>
  <c r="Z364" i="5"/>
  <c r="Z364" i="6" s="1"/>
  <c r="Z365" i="5"/>
  <c r="Z365" i="6" s="1"/>
  <c r="Z366" i="5"/>
  <c r="Z366" i="6" s="1"/>
  <c r="Z367" i="5"/>
  <c r="Z367" i="6" s="1"/>
  <c r="Z368" i="5"/>
  <c r="Z368" i="6" s="1"/>
  <c r="Z369" i="5"/>
  <c r="Z369" i="6" s="1"/>
  <c r="Z370" i="5"/>
  <c r="Z370" i="6" s="1"/>
  <c r="Z371" i="5"/>
  <c r="Z371" i="6" s="1"/>
  <c r="Z372" i="5"/>
  <c r="Z372" i="6" s="1"/>
  <c r="Z373" i="5"/>
  <c r="Z373" i="6" s="1"/>
  <c r="Z374" i="5"/>
  <c r="Z374" i="6" s="1"/>
  <c r="Z375" i="5"/>
  <c r="Z375" i="6" s="1"/>
  <c r="Z376" i="5"/>
  <c r="Z376" i="6" s="1"/>
  <c r="Z377" i="5"/>
  <c r="Z377" i="6" s="1"/>
  <c r="Z378" i="5"/>
  <c r="Z378" i="6" s="1"/>
  <c r="Z379" i="5"/>
  <c r="Z379" i="6" s="1"/>
  <c r="Z380" i="5"/>
  <c r="Z380" i="6" s="1"/>
  <c r="Z381" i="5"/>
  <c r="Z381" i="6" s="1"/>
  <c r="Z382" i="5"/>
  <c r="Z382" i="6" s="1"/>
  <c r="Z383" i="5"/>
  <c r="Z383" i="6" s="1"/>
  <c r="Z384" i="5"/>
  <c r="Z384" i="6" s="1"/>
  <c r="Z385" i="5"/>
  <c r="Z385" i="6" s="1"/>
  <c r="Z386" i="5"/>
  <c r="Z386" i="6" s="1"/>
  <c r="Z387" i="5"/>
  <c r="Z387" i="6" s="1"/>
  <c r="Z388" i="5"/>
  <c r="Z388" i="6" s="1"/>
  <c r="Z389" i="5"/>
  <c r="Z389" i="6" s="1"/>
  <c r="Z390" i="5"/>
  <c r="Z390" i="6" s="1"/>
  <c r="Z391" i="5"/>
  <c r="Z391" i="6" s="1"/>
  <c r="Z392" i="5"/>
  <c r="Z392" i="6" s="1"/>
  <c r="Z393" i="5"/>
  <c r="Z393" i="6" s="1"/>
  <c r="Z394" i="5"/>
  <c r="Z394" i="6" s="1"/>
  <c r="Z395" i="5"/>
  <c r="Z395" i="6" s="1"/>
  <c r="Z396" i="5"/>
  <c r="Z396" i="6" s="1"/>
  <c r="Z397" i="5"/>
  <c r="Z397" i="6" s="1"/>
  <c r="Z398" i="5"/>
  <c r="Z398" i="6" s="1"/>
  <c r="Z399" i="5"/>
  <c r="Z399" i="6" s="1"/>
  <c r="Z400" i="5"/>
  <c r="Z400" i="6" s="1"/>
  <c r="Z401" i="5"/>
  <c r="Z401" i="6" s="1"/>
  <c r="Z402" i="5"/>
  <c r="Z402" i="6" s="1"/>
  <c r="Z403" i="5"/>
  <c r="Z403" i="6" s="1"/>
  <c r="Z404" i="5"/>
  <c r="Z404" i="6" s="1"/>
  <c r="Z405" i="5"/>
  <c r="Z405" i="6" s="1"/>
  <c r="Z406" i="5"/>
  <c r="Z406" i="6" s="1"/>
  <c r="Z407" i="5"/>
  <c r="Z407" i="6" s="1"/>
  <c r="Z408" i="5"/>
  <c r="Z408" i="6" s="1"/>
  <c r="Z409" i="5"/>
  <c r="Z409" i="6" s="1"/>
  <c r="Z410" i="5"/>
  <c r="Z410" i="6" s="1"/>
  <c r="Z411" i="5"/>
  <c r="Z411" i="6" s="1"/>
  <c r="Z412" i="5"/>
  <c r="Z412" i="6" s="1"/>
  <c r="Z413" i="5"/>
  <c r="Z413" i="6" s="1"/>
  <c r="Z414" i="5"/>
  <c r="Z414" i="6" s="1"/>
  <c r="Z415" i="5"/>
  <c r="Z415" i="6" s="1"/>
  <c r="Z416" i="5"/>
  <c r="Z416" i="6" s="1"/>
  <c r="Z417" i="5"/>
  <c r="Z417" i="6" s="1"/>
  <c r="Z418" i="5"/>
  <c r="Z418" i="6" s="1"/>
  <c r="Z419" i="5"/>
  <c r="Z419" i="6" s="1"/>
  <c r="Z420" i="5"/>
  <c r="Z420" i="6" s="1"/>
  <c r="Z421" i="5"/>
  <c r="Z421" i="6" s="1"/>
  <c r="Z422" i="5"/>
  <c r="Z422" i="6" s="1"/>
  <c r="Z423" i="5"/>
  <c r="Z423" i="6" s="1"/>
  <c r="Z424" i="5"/>
  <c r="Z424" i="6" s="1"/>
  <c r="Z425" i="5"/>
  <c r="Z425" i="6" s="1"/>
  <c r="Z426" i="5"/>
  <c r="Z426" i="6" s="1"/>
  <c r="Z427" i="5"/>
  <c r="Z427" i="6" s="1"/>
  <c r="Z428" i="5"/>
  <c r="Z428" i="6" s="1"/>
  <c r="Z429" i="5"/>
  <c r="Z429" i="6" s="1"/>
  <c r="Z430" i="5"/>
  <c r="Z430" i="6" s="1"/>
  <c r="Z431" i="5"/>
  <c r="Z431" i="6" s="1"/>
  <c r="Z432" i="5"/>
  <c r="Z432" i="6" s="1"/>
  <c r="Z433" i="5"/>
  <c r="Z433" i="6" s="1"/>
  <c r="Z434" i="5"/>
  <c r="Z434" i="6" s="1"/>
  <c r="Z435" i="5"/>
  <c r="Z435" i="6" s="1"/>
  <c r="Z436" i="5"/>
  <c r="Z436" i="6" s="1"/>
  <c r="Z437" i="5"/>
  <c r="Z437" i="6" s="1"/>
  <c r="Z438" i="5"/>
  <c r="Z438" i="6" s="1"/>
  <c r="Z439" i="5"/>
  <c r="Z439" i="6" s="1"/>
  <c r="Z440" i="5"/>
  <c r="Z440" i="6" s="1"/>
  <c r="Z441" i="5"/>
  <c r="Z441" i="6" s="1"/>
  <c r="Z442" i="5"/>
  <c r="Z442" i="6" s="1"/>
  <c r="Z443" i="5"/>
  <c r="Z443" i="6" s="1"/>
  <c r="Z444" i="5"/>
  <c r="Z444" i="6" s="1"/>
  <c r="Z445" i="5"/>
  <c r="Z445" i="6" s="1"/>
  <c r="Z446" i="5"/>
  <c r="Z446" i="6" s="1"/>
  <c r="Z447" i="5"/>
  <c r="Z447" i="6" s="1"/>
  <c r="Z448" i="5"/>
  <c r="Z448" i="6" s="1"/>
  <c r="Z449" i="5"/>
  <c r="Z449" i="6" s="1"/>
  <c r="Z450" i="5"/>
  <c r="Z450" i="6" s="1"/>
  <c r="Z451" i="5"/>
  <c r="Z451" i="6" s="1"/>
  <c r="Z452" i="5"/>
  <c r="Z452" i="6" s="1"/>
  <c r="Z453" i="5"/>
  <c r="Z453" i="6" s="1"/>
  <c r="Z454" i="5"/>
  <c r="Z454" i="6" s="1"/>
  <c r="Z455" i="5"/>
  <c r="Z455" i="6" s="1"/>
  <c r="Z456" i="5"/>
  <c r="Z456" i="6" s="1"/>
  <c r="Z457" i="5"/>
  <c r="Z457" i="6" s="1"/>
  <c r="Z458" i="5"/>
  <c r="Z458" i="6" s="1"/>
  <c r="Z459" i="5"/>
  <c r="Z459" i="6" s="1"/>
  <c r="Z460" i="5"/>
  <c r="Z460" i="6" s="1"/>
  <c r="Z461" i="5"/>
  <c r="Z461" i="6" s="1"/>
  <c r="Z462" i="5"/>
  <c r="Z462" i="6" s="1"/>
  <c r="Z463" i="5"/>
  <c r="Z463" i="6" s="1"/>
  <c r="Z464" i="5"/>
  <c r="Z464" i="6" s="1"/>
  <c r="Z465" i="5"/>
  <c r="Z465" i="6" s="1"/>
  <c r="Z466" i="5"/>
  <c r="Z466" i="6" s="1"/>
  <c r="Z467" i="5"/>
  <c r="Z467" i="6" s="1"/>
  <c r="Z468" i="5"/>
  <c r="Z468" i="6" s="1"/>
  <c r="Z469" i="5"/>
  <c r="Z469" i="6" s="1"/>
  <c r="Z470" i="5"/>
  <c r="Z470" i="6" s="1"/>
  <c r="Z471" i="5"/>
  <c r="Z471" i="6" s="1"/>
  <c r="Z472" i="5"/>
  <c r="Z472" i="6" s="1"/>
  <c r="Z473" i="5"/>
  <c r="Z473" i="6" s="1"/>
  <c r="Z474" i="5"/>
  <c r="Z474" i="6" s="1"/>
  <c r="Z475" i="5"/>
  <c r="Z475" i="6" s="1"/>
  <c r="Z476" i="5"/>
  <c r="Z476" i="6" s="1"/>
  <c r="Z477" i="5"/>
  <c r="Z477" i="6" s="1"/>
  <c r="Z478" i="5"/>
  <c r="Z478" i="6" s="1"/>
  <c r="Z479" i="5"/>
  <c r="Z479" i="6" s="1"/>
  <c r="Z480" i="5"/>
  <c r="Z480" i="6" s="1"/>
  <c r="Z481" i="5"/>
  <c r="Z481" i="6" s="1"/>
  <c r="Z482" i="5"/>
  <c r="Z482" i="6" s="1"/>
  <c r="Z483" i="5"/>
  <c r="Z483" i="6" s="1"/>
  <c r="Z484" i="5"/>
  <c r="Z484" i="6" s="1"/>
  <c r="Z485" i="5"/>
  <c r="Z485" i="6" s="1"/>
  <c r="Z486" i="5"/>
  <c r="Z486" i="6" s="1"/>
  <c r="Z487" i="5"/>
  <c r="Z487" i="6" s="1"/>
  <c r="Z488" i="5"/>
  <c r="Z488" i="6" s="1"/>
  <c r="Z489" i="5"/>
  <c r="Z489" i="6" s="1"/>
  <c r="Z490" i="5"/>
  <c r="Z490" i="6" s="1"/>
  <c r="Z491" i="5"/>
  <c r="Z491" i="6" s="1"/>
  <c r="Z492" i="5"/>
  <c r="Z492" i="6" s="1"/>
  <c r="Z493" i="5"/>
  <c r="Z493" i="6" s="1"/>
  <c r="Z494" i="5"/>
  <c r="Z494" i="6" s="1"/>
  <c r="Z495" i="5"/>
  <c r="Z495" i="6" s="1"/>
  <c r="Z496" i="5"/>
  <c r="Z496" i="6" s="1"/>
  <c r="Z497" i="5"/>
  <c r="Z497" i="6" s="1"/>
  <c r="Z498" i="5"/>
  <c r="Z498" i="6" s="1"/>
  <c r="Z499" i="5"/>
  <c r="Z499" i="6" s="1"/>
  <c r="Z500" i="5"/>
  <c r="Z500" i="6" s="1"/>
  <c r="Z501" i="5"/>
  <c r="Z501" i="6" s="1"/>
  <c r="Z502" i="5"/>
  <c r="Z502" i="6" s="1"/>
  <c r="Z503" i="5"/>
  <c r="Z503" i="6" s="1"/>
  <c r="Z504" i="5"/>
  <c r="Z504" i="6" s="1"/>
  <c r="Z505" i="5"/>
  <c r="Z505" i="6" s="1"/>
  <c r="Z506" i="5"/>
  <c r="Z506" i="6" s="1"/>
  <c r="Z507" i="5"/>
  <c r="Z507" i="6" s="1"/>
  <c r="Z508" i="5"/>
  <c r="Z508" i="6" s="1"/>
  <c r="Z509" i="5"/>
  <c r="Z509" i="6" s="1"/>
  <c r="Z510" i="5"/>
  <c r="Z510" i="6" s="1"/>
  <c r="Z511" i="5"/>
  <c r="Z511" i="6" s="1"/>
  <c r="Z512" i="5"/>
  <c r="Z512" i="6" s="1"/>
  <c r="Z513" i="5"/>
  <c r="Z513" i="6" s="1"/>
  <c r="Z514" i="5"/>
  <c r="Z514" i="6" s="1"/>
  <c r="Z515" i="5"/>
  <c r="Z515" i="6" s="1"/>
  <c r="Z516" i="5"/>
  <c r="Z516" i="6" s="1"/>
  <c r="Z517" i="5"/>
  <c r="Z517" i="6" s="1"/>
  <c r="Z518" i="5"/>
  <c r="Z518" i="6" s="1"/>
  <c r="Z519" i="5"/>
  <c r="Z519" i="6" s="1"/>
  <c r="Z520" i="5"/>
  <c r="Z520" i="6" s="1"/>
  <c r="Z521" i="5"/>
  <c r="Z521" i="6" s="1"/>
  <c r="Z522" i="5"/>
  <c r="Z522" i="6" s="1"/>
  <c r="Z523" i="5"/>
  <c r="Z523" i="6" s="1"/>
  <c r="Z524" i="5"/>
  <c r="Z524" i="6" s="1"/>
  <c r="Z525" i="5"/>
  <c r="Z525" i="6" s="1"/>
  <c r="Z526" i="5"/>
  <c r="Z526" i="6" s="1"/>
  <c r="Z527" i="5"/>
  <c r="Z527" i="6" s="1"/>
  <c r="Z528" i="5"/>
  <c r="Z528" i="6" s="1"/>
  <c r="Z529" i="5"/>
  <c r="Z529" i="6" s="1"/>
  <c r="Z530" i="5"/>
  <c r="Z530" i="6" s="1"/>
  <c r="Z531" i="5"/>
  <c r="Z531" i="6" s="1"/>
  <c r="Z532" i="5"/>
  <c r="Z532" i="6" s="1"/>
  <c r="Z533" i="5"/>
  <c r="Z533" i="6" s="1"/>
  <c r="Z534" i="5"/>
  <c r="Z534" i="6" s="1"/>
  <c r="Z535" i="5"/>
  <c r="Z535" i="6" s="1"/>
  <c r="Z536" i="5"/>
  <c r="Z536" i="6" s="1"/>
  <c r="Z537" i="5"/>
  <c r="Z537" i="6" s="1"/>
  <c r="Z538" i="5"/>
  <c r="Z538" i="6" s="1"/>
  <c r="Z539" i="5"/>
  <c r="Z539" i="6" s="1"/>
  <c r="Z540" i="5"/>
  <c r="Z540" i="6" s="1"/>
  <c r="Z541" i="5"/>
  <c r="Z541" i="6" s="1"/>
  <c r="Z542" i="5"/>
  <c r="Z542" i="6" s="1"/>
  <c r="Z543" i="5"/>
  <c r="Z543" i="6" s="1"/>
  <c r="Z544" i="5"/>
  <c r="Z544" i="6" s="1"/>
  <c r="Z545" i="5"/>
  <c r="Z545" i="6" s="1"/>
  <c r="Z546" i="5"/>
  <c r="Z546" i="6" s="1"/>
  <c r="Z547" i="5"/>
  <c r="Z547" i="6" s="1"/>
  <c r="Z548" i="5"/>
  <c r="Z548" i="6" s="1"/>
  <c r="Z549" i="5"/>
  <c r="Z549" i="6" s="1"/>
  <c r="Z550" i="5"/>
  <c r="Z550" i="6" s="1"/>
  <c r="Z551" i="5"/>
  <c r="Z551" i="6" s="1"/>
  <c r="Z552" i="5"/>
  <c r="Z552" i="6" s="1"/>
  <c r="Z553" i="5"/>
  <c r="Z553" i="6" s="1"/>
  <c r="Z554" i="5"/>
  <c r="Z554" i="6" s="1"/>
  <c r="Z555" i="5"/>
  <c r="Z555" i="6" s="1"/>
  <c r="Z556" i="5"/>
  <c r="Z556" i="6" s="1"/>
  <c r="Z557" i="5"/>
  <c r="Z557" i="6" s="1"/>
  <c r="Z558" i="5"/>
  <c r="Z558" i="6" s="1"/>
  <c r="Z559" i="5"/>
  <c r="Z559" i="6" s="1"/>
  <c r="Z560" i="5"/>
  <c r="Z560" i="6" s="1"/>
  <c r="Z561" i="5"/>
  <c r="Z561" i="6" s="1"/>
  <c r="Z562" i="5"/>
  <c r="Z562" i="6" s="1"/>
  <c r="Z563" i="5"/>
  <c r="Z563" i="6" s="1"/>
  <c r="Z564" i="5"/>
  <c r="Z564" i="6" s="1"/>
  <c r="Z565" i="5"/>
  <c r="Z565" i="6" s="1"/>
  <c r="Z566" i="5"/>
  <c r="Z566" i="6" s="1"/>
  <c r="Z567" i="5"/>
  <c r="Z567" i="6" s="1"/>
  <c r="Z568" i="5"/>
  <c r="Z568" i="6" s="1"/>
  <c r="P3" i="5"/>
  <c r="P3" i="6" s="1"/>
  <c r="O2" i="5"/>
  <c r="O2" i="6" s="1"/>
  <c r="O3" i="5"/>
  <c r="O3" i="6" s="1"/>
  <c r="O4" i="5"/>
  <c r="O4" i="6" s="1"/>
  <c r="O5" i="5"/>
  <c r="O5" i="6" s="1"/>
  <c r="O6" i="5"/>
  <c r="O6" i="6" s="1"/>
  <c r="O7" i="5"/>
  <c r="O7" i="6" s="1"/>
  <c r="O8" i="5"/>
  <c r="O8" i="6" s="1"/>
  <c r="O9" i="5"/>
  <c r="O9" i="6" s="1"/>
  <c r="O10" i="5"/>
  <c r="O10" i="6" s="1"/>
  <c r="O11" i="5"/>
  <c r="O11" i="6" s="1"/>
  <c r="O12" i="5"/>
  <c r="O12" i="6" s="1"/>
  <c r="O13" i="5"/>
  <c r="O13" i="6" s="1"/>
  <c r="O14" i="5"/>
  <c r="O14" i="6" s="1"/>
  <c r="O15" i="5"/>
  <c r="O15" i="6" s="1"/>
  <c r="O16" i="5"/>
  <c r="O16" i="6" s="1"/>
  <c r="O17" i="5"/>
  <c r="O17" i="6" s="1"/>
  <c r="O18" i="5"/>
  <c r="O18" i="6" s="1"/>
  <c r="O19" i="5"/>
  <c r="O19" i="6" s="1"/>
  <c r="O20" i="5"/>
  <c r="O20" i="6" s="1"/>
  <c r="O21" i="5"/>
  <c r="O21" i="6" s="1"/>
  <c r="O22" i="5"/>
  <c r="O22" i="6" s="1"/>
  <c r="O23" i="5"/>
  <c r="O23" i="6" s="1"/>
  <c r="O24" i="5"/>
  <c r="O24" i="6" s="1"/>
  <c r="O25" i="5"/>
  <c r="O25" i="6" s="1"/>
  <c r="O26" i="5"/>
  <c r="O26" i="6" s="1"/>
  <c r="O27" i="5"/>
  <c r="O27" i="6" s="1"/>
  <c r="O28" i="5"/>
  <c r="O28" i="6" s="1"/>
  <c r="O29" i="5"/>
  <c r="O29" i="6" s="1"/>
  <c r="O30" i="5"/>
  <c r="O30" i="6" s="1"/>
  <c r="O31" i="5"/>
  <c r="O31" i="6" s="1"/>
  <c r="O32" i="5"/>
  <c r="O32" i="6" s="1"/>
  <c r="O33" i="5"/>
  <c r="O33" i="6" s="1"/>
  <c r="O34" i="5"/>
  <c r="O34" i="6" s="1"/>
  <c r="O35" i="5"/>
  <c r="O35" i="6" s="1"/>
  <c r="O36" i="5"/>
  <c r="O36" i="6" s="1"/>
  <c r="O37" i="5"/>
  <c r="O37" i="6" s="1"/>
  <c r="O38" i="5"/>
  <c r="O38" i="6" s="1"/>
  <c r="O39" i="5"/>
  <c r="O39" i="6" s="1"/>
  <c r="O40" i="5"/>
  <c r="O40" i="6" s="1"/>
  <c r="O41" i="5"/>
  <c r="O41" i="6" s="1"/>
  <c r="O42" i="5"/>
  <c r="O42" i="6" s="1"/>
  <c r="O43" i="5"/>
  <c r="O43" i="6" s="1"/>
  <c r="O44" i="5"/>
  <c r="O44" i="6" s="1"/>
  <c r="O45" i="5"/>
  <c r="O45" i="6" s="1"/>
  <c r="O46" i="5"/>
  <c r="O46" i="6" s="1"/>
  <c r="O47" i="5"/>
  <c r="O47" i="6" s="1"/>
  <c r="O48" i="5"/>
  <c r="O48" i="6" s="1"/>
  <c r="O49" i="5"/>
  <c r="O49" i="6" s="1"/>
  <c r="O50" i="5"/>
  <c r="O50" i="6" s="1"/>
  <c r="O51" i="5"/>
  <c r="O51" i="6" s="1"/>
  <c r="O52" i="5"/>
  <c r="O52" i="6" s="1"/>
  <c r="O53" i="5"/>
  <c r="O53" i="6" s="1"/>
  <c r="O54" i="5"/>
  <c r="O54" i="6" s="1"/>
  <c r="O55" i="5"/>
  <c r="O55" i="6" s="1"/>
  <c r="O56" i="5"/>
  <c r="O56" i="6" s="1"/>
  <c r="O57" i="5"/>
  <c r="O57" i="6" s="1"/>
  <c r="O58" i="5"/>
  <c r="O58" i="6" s="1"/>
  <c r="O59" i="5"/>
  <c r="O59" i="6" s="1"/>
  <c r="O60" i="5"/>
  <c r="O60" i="6" s="1"/>
  <c r="O61" i="5"/>
  <c r="O61" i="6" s="1"/>
  <c r="O62" i="5"/>
  <c r="O62" i="6" s="1"/>
  <c r="O63" i="5"/>
  <c r="O63" i="6" s="1"/>
  <c r="O64" i="5"/>
  <c r="O64" i="6" s="1"/>
  <c r="O65" i="5"/>
  <c r="O65" i="6" s="1"/>
  <c r="O66" i="5"/>
  <c r="O66" i="6" s="1"/>
  <c r="O67" i="5"/>
  <c r="O67" i="6" s="1"/>
  <c r="O68" i="5"/>
  <c r="O68" i="6" s="1"/>
  <c r="O69" i="5"/>
  <c r="O69" i="6" s="1"/>
  <c r="O70" i="5"/>
  <c r="O70" i="6" s="1"/>
  <c r="O71" i="5"/>
  <c r="O71" i="6" s="1"/>
  <c r="O72" i="5"/>
  <c r="O72" i="6" s="1"/>
  <c r="O73" i="5"/>
  <c r="O73" i="6" s="1"/>
  <c r="O74" i="5"/>
  <c r="O74" i="6" s="1"/>
  <c r="O75" i="5"/>
  <c r="O75" i="6" s="1"/>
  <c r="O76" i="5"/>
  <c r="O76" i="6" s="1"/>
  <c r="O77" i="5"/>
  <c r="O77" i="6" s="1"/>
  <c r="O78" i="5"/>
  <c r="O78" i="6" s="1"/>
  <c r="O79" i="5"/>
  <c r="O79" i="6" s="1"/>
  <c r="O80" i="5"/>
  <c r="O80" i="6" s="1"/>
  <c r="O81" i="5"/>
  <c r="O81" i="6" s="1"/>
  <c r="O82" i="5"/>
  <c r="O82" i="6" s="1"/>
  <c r="O83" i="5"/>
  <c r="O83" i="6" s="1"/>
  <c r="O84" i="5"/>
  <c r="O84" i="6" s="1"/>
  <c r="O85" i="5"/>
  <c r="O85" i="6" s="1"/>
  <c r="O86" i="5"/>
  <c r="O86" i="6" s="1"/>
  <c r="O87" i="5"/>
  <c r="O87" i="6" s="1"/>
  <c r="O88" i="5"/>
  <c r="O88" i="6" s="1"/>
  <c r="O89" i="5"/>
  <c r="O89" i="6" s="1"/>
  <c r="O90" i="5"/>
  <c r="O90" i="6" s="1"/>
  <c r="O91" i="5"/>
  <c r="O91" i="6" s="1"/>
  <c r="O92" i="5"/>
  <c r="O92" i="6" s="1"/>
  <c r="O93" i="5"/>
  <c r="O93" i="6" s="1"/>
  <c r="O94" i="5"/>
  <c r="O94" i="6" s="1"/>
  <c r="O95" i="5"/>
  <c r="O95" i="6" s="1"/>
  <c r="O96" i="5"/>
  <c r="O96" i="6" s="1"/>
  <c r="O97" i="5"/>
  <c r="O97" i="6" s="1"/>
  <c r="O98" i="5"/>
  <c r="O98" i="6" s="1"/>
  <c r="O99" i="5"/>
  <c r="O99" i="6" s="1"/>
  <c r="O100" i="5"/>
  <c r="O100" i="6" s="1"/>
  <c r="O101" i="5"/>
  <c r="O101" i="6" s="1"/>
  <c r="O102" i="5"/>
  <c r="O102" i="6" s="1"/>
  <c r="O103" i="5"/>
  <c r="O103" i="6" s="1"/>
  <c r="O104" i="5"/>
  <c r="O104" i="6" s="1"/>
  <c r="O105" i="5"/>
  <c r="O105" i="6" s="1"/>
  <c r="O106" i="5"/>
  <c r="O106" i="6" s="1"/>
  <c r="O107" i="5"/>
  <c r="O107" i="6" s="1"/>
  <c r="O108" i="5"/>
  <c r="O108" i="6" s="1"/>
  <c r="O109" i="5"/>
  <c r="O109" i="6" s="1"/>
  <c r="O110" i="5"/>
  <c r="O110" i="6" s="1"/>
  <c r="O111" i="5"/>
  <c r="O111" i="6" s="1"/>
  <c r="O112" i="5"/>
  <c r="O112" i="6" s="1"/>
  <c r="O113" i="5"/>
  <c r="O113" i="6" s="1"/>
  <c r="O114" i="5"/>
  <c r="O114" i="6" s="1"/>
  <c r="O115" i="5"/>
  <c r="O115" i="6" s="1"/>
  <c r="O116" i="5"/>
  <c r="O116" i="6" s="1"/>
  <c r="O117" i="5"/>
  <c r="O117" i="6" s="1"/>
  <c r="O118" i="5"/>
  <c r="O118" i="6" s="1"/>
  <c r="O119" i="5"/>
  <c r="O119" i="6" s="1"/>
  <c r="O120" i="5"/>
  <c r="O120" i="6" s="1"/>
  <c r="O121" i="5"/>
  <c r="O121" i="6" s="1"/>
  <c r="O122" i="5"/>
  <c r="O122" i="6" s="1"/>
  <c r="O123" i="5"/>
  <c r="O123" i="6" s="1"/>
  <c r="O124" i="5"/>
  <c r="O124" i="6" s="1"/>
  <c r="O125" i="5"/>
  <c r="O125" i="6" s="1"/>
  <c r="O126" i="5"/>
  <c r="O126" i="6" s="1"/>
  <c r="O127" i="5"/>
  <c r="O127" i="6" s="1"/>
  <c r="O128" i="5"/>
  <c r="O128" i="6" s="1"/>
  <c r="O129" i="5"/>
  <c r="O129" i="6" s="1"/>
  <c r="O130" i="5"/>
  <c r="O130" i="6" s="1"/>
  <c r="O131" i="5"/>
  <c r="O131" i="6" s="1"/>
  <c r="O132" i="5"/>
  <c r="O132" i="6" s="1"/>
  <c r="O133" i="5"/>
  <c r="O133" i="6" s="1"/>
  <c r="O134" i="5"/>
  <c r="O134" i="6" s="1"/>
  <c r="O135" i="5"/>
  <c r="O135" i="6" s="1"/>
  <c r="O136" i="5"/>
  <c r="O136" i="6" s="1"/>
  <c r="O137" i="5"/>
  <c r="O137" i="6" s="1"/>
  <c r="O138" i="5"/>
  <c r="O138" i="6" s="1"/>
  <c r="O139" i="5"/>
  <c r="O139" i="6" s="1"/>
  <c r="O140" i="5"/>
  <c r="O140" i="6" s="1"/>
  <c r="O141" i="5"/>
  <c r="O141" i="6" s="1"/>
  <c r="O142" i="5"/>
  <c r="O142" i="6" s="1"/>
  <c r="O143" i="5"/>
  <c r="O143" i="6" s="1"/>
  <c r="O144" i="5"/>
  <c r="O144" i="6" s="1"/>
  <c r="O145" i="5"/>
  <c r="O145" i="6" s="1"/>
  <c r="O146" i="5"/>
  <c r="O146" i="6" s="1"/>
  <c r="O147" i="5"/>
  <c r="O147" i="6" s="1"/>
  <c r="O148" i="5"/>
  <c r="O148" i="6" s="1"/>
  <c r="O149" i="5"/>
  <c r="O149" i="6" s="1"/>
  <c r="O150" i="5"/>
  <c r="O150" i="6" s="1"/>
  <c r="O151" i="5"/>
  <c r="O151" i="6" s="1"/>
  <c r="O152" i="5"/>
  <c r="O152" i="6" s="1"/>
  <c r="O153" i="5"/>
  <c r="O153" i="6" s="1"/>
  <c r="O154" i="5"/>
  <c r="O154" i="6" s="1"/>
  <c r="O155" i="5"/>
  <c r="O155" i="6" s="1"/>
  <c r="O156" i="5"/>
  <c r="O156" i="6" s="1"/>
  <c r="O157" i="5"/>
  <c r="O157" i="6" s="1"/>
  <c r="O158" i="5"/>
  <c r="O158" i="6" s="1"/>
  <c r="O159" i="5"/>
  <c r="O159" i="6" s="1"/>
  <c r="O160" i="5"/>
  <c r="O160" i="6" s="1"/>
  <c r="O161" i="5"/>
  <c r="O161" i="6" s="1"/>
  <c r="O162" i="5"/>
  <c r="O162" i="6" s="1"/>
  <c r="O163" i="5"/>
  <c r="O163" i="6" s="1"/>
  <c r="O164" i="5"/>
  <c r="O164" i="6" s="1"/>
  <c r="O165" i="5"/>
  <c r="O165" i="6" s="1"/>
  <c r="O166" i="5"/>
  <c r="O166" i="6" s="1"/>
  <c r="O167" i="5"/>
  <c r="O167" i="6" s="1"/>
  <c r="O168" i="5"/>
  <c r="O168" i="6" s="1"/>
  <c r="O169" i="5"/>
  <c r="O169" i="6" s="1"/>
  <c r="O170" i="5"/>
  <c r="O170" i="6" s="1"/>
  <c r="O171" i="5"/>
  <c r="O171" i="6" s="1"/>
  <c r="O172" i="5"/>
  <c r="O172" i="6" s="1"/>
  <c r="O173" i="5"/>
  <c r="O173" i="6" s="1"/>
  <c r="O174" i="5"/>
  <c r="O174" i="6" s="1"/>
  <c r="O175" i="5"/>
  <c r="O175" i="6" s="1"/>
  <c r="O176" i="5"/>
  <c r="O176" i="6" s="1"/>
  <c r="O177" i="5"/>
  <c r="O177" i="6" s="1"/>
  <c r="O178" i="5"/>
  <c r="O178" i="6" s="1"/>
  <c r="O179" i="5"/>
  <c r="O179" i="6" s="1"/>
  <c r="O180" i="5"/>
  <c r="O180" i="6" s="1"/>
  <c r="O181" i="5"/>
  <c r="O181" i="6" s="1"/>
  <c r="O182" i="5"/>
  <c r="O182" i="6" s="1"/>
  <c r="O183" i="5"/>
  <c r="O183" i="6" s="1"/>
  <c r="O184" i="5"/>
  <c r="O184" i="6" s="1"/>
  <c r="O185" i="5"/>
  <c r="O185" i="6" s="1"/>
  <c r="O186" i="5"/>
  <c r="O186" i="6" s="1"/>
  <c r="O187" i="5"/>
  <c r="O187" i="6" s="1"/>
  <c r="O188" i="5"/>
  <c r="O188" i="6" s="1"/>
  <c r="O189" i="5"/>
  <c r="O189" i="6" s="1"/>
  <c r="O190" i="5"/>
  <c r="O190" i="6" s="1"/>
  <c r="O191" i="5"/>
  <c r="O191" i="6" s="1"/>
  <c r="O192" i="5"/>
  <c r="O192" i="6" s="1"/>
  <c r="O193" i="5"/>
  <c r="O193" i="6" s="1"/>
  <c r="O194" i="5"/>
  <c r="O194" i="6" s="1"/>
  <c r="O195" i="5"/>
  <c r="O195" i="6" s="1"/>
  <c r="O196" i="5"/>
  <c r="O196" i="6" s="1"/>
  <c r="O197" i="5"/>
  <c r="O197" i="6" s="1"/>
  <c r="O198" i="5"/>
  <c r="O198" i="6" s="1"/>
  <c r="O199" i="5"/>
  <c r="O199" i="6" s="1"/>
  <c r="O200" i="5"/>
  <c r="O200" i="6" s="1"/>
  <c r="O201" i="5"/>
  <c r="O201" i="6" s="1"/>
  <c r="O202" i="5"/>
  <c r="O202" i="6" s="1"/>
  <c r="O203" i="5"/>
  <c r="O203" i="6" s="1"/>
  <c r="O204" i="5"/>
  <c r="O204" i="6" s="1"/>
  <c r="O205" i="5"/>
  <c r="O205" i="6" s="1"/>
  <c r="O206" i="5"/>
  <c r="O206" i="6" s="1"/>
  <c r="O207" i="5"/>
  <c r="O207" i="6" s="1"/>
  <c r="O208" i="5"/>
  <c r="O208" i="6" s="1"/>
  <c r="O209" i="5"/>
  <c r="O209" i="6" s="1"/>
  <c r="O210" i="5"/>
  <c r="O210" i="6" s="1"/>
  <c r="O211" i="5"/>
  <c r="O211" i="6" s="1"/>
  <c r="O212" i="5"/>
  <c r="O212" i="6" s="1"/>
  <c r="O213" i="5"/>
  <c r="O213" i="6" s="1"/>
  <c r="O214" i="5"/>
  <c r="O214" i="6" s="1"/>
  <c r="O215" i="5"/>
  <c r="O215" i="6" s="1"/>
  <c r="O216" i="5"/>
  <c r="O216" i="6" s="1"/>
  <c r="O217" i="5"/>
  <c r="O217" i="6" s="1"/>
  <c r="O218" i="5"/>
  <c r="O218" i="6" s="1"/>
  <c r="O219" i="5"/>
  <c r="O219" i="6" s="1"/>
  <c r="O220" i="5"/>
  <c r="O220" i="6" s="1"/>
  <c r="O221" i="5"/>
  <c r="O221" i="6" s="1"/>
  <c r="O222" i="5"/>
  <c r="O222" i="6" s="1"/>
  <c r="O223" i="5"/>
  <c r="O223" i="6" s="1"/>
  <c r="O224" i="5"/>
  <c r="O224" i="6" s="1"/>
  <c r="O225" i="5"/>
  <c r="O225" i="6" s="1"/>
  <c r="O226" i="5"/>
  <c r="O226" i="6" s="1"/>
  <c r="O227" i="5"/>
  <c r="O227" i="6" s="1"/>
  <c r="O228" i="5"/>
  <c r="O228" i="6" s="1"/>
  <c r="O229" i="5"/>
  <c r="O229" i="6" s="1"/>
  <c r="O230" i="5"/>
  <c r="O230" i="6" s="1"/>
  <c r="O231" i="5"/>
  <c r="O231" i="6" s="1"/>
  <c r="O232" i="5"/>
  <c r="O232" i="6" s="1"/>
  <c r="O233" i="5"/>
  <c r="O233" i="6" s="1"/>
  <c r="O234" i="5"/>
  <c r="O234" i="6" s="1"/>
  <c r="O235" i="5"/>
  <c r="O235" i="6" s="1"/>
  <c r="O236" i="5"/>
  <c r="O236" i="6" s="1"/>
  <c r="O237" i="5"/>
  <c r="O237" i="6" s="1"/>
  <c r="O238" i="5"/>
  <c r="O238" i="6" s="1"/>
  <c r="O239" i="5"/>
  <c r="O239" i="6" s="1"/>
  <c r="O240" i="5"/>
  <c r="O240" i="6" s="1"/>
  <c r="O241" i="5"/>
  <c r="O241" i="6" s="1"/>
  <c r="O242" i="5"/>
  <c r="O242" i="6" s="1"/>
  <c r="O243" i="5"/>
  <c r="O243" i="6" s="1"/>
  <c r="O244" i="5"/>
  <c r="O244" i="6" s="1"/>
  <c r="O245" i="5"/>
  <c r="O245" i="6" s="1"/>
  <c r="O246" i="5"/>
  <c r="O246" i="6" s="1"/>
  <c r="O247" i="5"/>
  <c r="O247" i="6" s="1"/>
  <c r="O248" i="5"/>
  <c r="O248" i="6" s="1"/>
  <c r="O249" i="5"/>
  <c r="O249" i="6" s="1"/>
  <c r="O250" i="5"/>
  <c r="O250" i="6" s="1"/>
  <c r="O251" i="5"/>
  <c r="O251" i="6" s="1"/>
  <c r="O252" i="5"/>
  <c r="O252" i="6" s="1"/>
  <c r="O253" i="5"/>
  <c r="O253" i="6" s="1"/>
  <c r="O254" i="5"/>
  <c r="O254" i="6" s="1"/>
  <c r="O255" i="5"/>
  <c r="O255" i="6" s="1"/>
  <c r="O256" i="5"/>
  <c r="O256" i="6" s="1"/>
  <c r="O257" i="5"/>
  <c r="O257" i="6" s="1"/>
  <c r="O258" i="5"/>
  <c r="O258" i="6" s="1"/>
  <c r="O259" i="5"/>
  <c r="O259" i="6" s="1"/>
  <c r="O260" i="5"/>
  <c r="O260" i="6" s="1"/>
  <c r="O261" i="5"/>
  <c r="O261" i="6" s="1"/>
  <c r="O262" i="5"/>
  <c r="O262" i="6" s="1"/>
  <c r="O263" i="5"/>
  <c r="O263" i="6" s="1"/>
  <c r="O264" i="5"/>
  <c r="O264" i="6" s="1"/>
  <c r="O265" i="5"/>
  <c r="O265" i="6" s="1"/>
  <c r="O266" i="5"/>
  <c r="O266" i="6" s="1"/>
  <c r="O267" i="5"/>
  <c r="O267" i="6" s="1"/>
  <c r="O268" i="5"/>
  <c r="O268" i="6" s="1"/>
  <c r="O269" i="5"/>
  <c r="O269" i="6" s="1"/>
  <c r="O270" i="5"/>
  <c r="O270" i="6" s="1"/>
  <c r="O271" i="5"/>
  <c r="O271" i="6" s="1"/>
  <c r="O272" i="5"/>
  <c r="O272" i="6" s="1"/>
  <c r="O273" i="5"/>
  <c r="O273" i="6" s="1"/>
  <c r="O274" i="5"/>
  <c r="O274" i="6" s="1"/>
  <c r="O275" i="5"/>
  <c r="O275" i="6" s="1"/>
  <c r="O276" i="5"/>
  <c r="O276" i="6" s="1"/>
  <c r="O277" i="5"/>
  <c r="O277" i="6" s="1"/>
  <c r="O278" i="5"/>
  <c r="O278" i="6" s="1"/>
  <c r="O279" i="5"/>
  <c r="O279" i="6" s="1"/>
  <c r="O280" i="5"/>
  <c r="O280" i="6" s="1"/>
  <c r="O281" i="5"/>
  <c r="O281" i="6" s="1"/>
  <c r="O282" i="5"/>
  <c r="O282" i="6" s="1"/>
  <c r="O283" i="5"/>
  <c r="O283" i="6" s="1"/>
  <c r="O284" i="5"/>
  <c r="O284" i="6" s="1"/>
  <c r="O285" i="5"/>
  <c r="O285" i="6" s="1"/>
  <c r="O286" i="5"/>
  <c r="O286" i="6" s="1"/>
  <c r="O287" i="5"/>
  <c r="O287" i="6" s="1"/>
  <c r="O288" i="5"/>
  <c r="O288" i="6" s="1"/>
  <c r="O289" i="5"/>
  <c r="O289" i="6" s="1"/>
  <c r="O290" i="5"/>
  <c r="O290" i="6" s="1"/>
  <c r="O291" i="5"/>
  <c r="O291" i="6" s="1"/>
  <c r="O292" i="5"/>
  <c r="O292" i="6" s="1"/>
  <c r="O293" i="5"/>
  <c r="O293" i="6" s="1"/>
  <c r="O294" i="5"/>
  <c r="O294" i="6" s="1"/>
  <c r="O295" i="5"/>
  <c r="O295" i="6" s="1"/>
  <c r="O296" i="5"/>
  <c r="O296" i="6" s="1"/>
  <c r="O297" i="5"/>
  <c r="O297" i="6" s="1"/>
  <c r="O298" i="5"/>
  <c r="O298" i="6" s="1"/>
  <c r="O299" i="5"/>
  <c r="O299" i="6" s="1"/>
  <c r="O300" i="5"/>
  <c r="O300" i="6" s="1"/>
  <c r="O301" i="5"/>
  <c r="O301" i="6" s="1"/>
  <c r="O302" i="5"/>
  <c r="O302" i="6" s="1"/>
  <c r="O303" i="5"/>
  <c r="O303" i="6" s="1"/>
  <c r="O304" i="5"/>
  <c r="O304" i="6" s="1"/>
  <c r="O305" i="5"/>
  <c r="O305" i="6" s="1"/>
  <c r="O306" i="5"/>
  <c r="O306" i="6" s="1"/>
  <c r="O307" i="5"/>
  <c r="O307" i="6" s="1"/>
  <c r="O308" i="5"/>
  <c r="O308" i="6" s="1"/>
  <c r="O309" i="5"/>
  <c r="O309" i="6" s="1"/>
  <c r="O310" i="5"/>
  <c r="O310" i="6" s="1"/>
  <c r="O311" i="5"/>
  <c r="O311" i="6" s="1"/>
  <c r="O312" i="5"/>
  <c r="O312" i="6" s="1"/>
  <c r="O313" i="5"/>
  <c r="O313" i="6" s="1"/>
  <c r="O314" i="5"/>
  <c r="O314" i="6" s="1"/>
  <c r="O315" i="5"/>
  <c r="O315" i="6" s="1"/>
  <c r="O316" i="5"/>
  <c r="O316" i="6" s="1"/>
  <c r="O317" i="5"/>
  <c r="O317" i="6" s="1"/>
  <c r="O318" i="5"/>
  <c r="O318" i="6" s="1"/>
  <c r="O319" i="5"/>
  <c r="O319" i="6" s="1"/>
  <c r="O320" i="5"/>
  <c r="O320" i="6" s="1"/>
  <c r="O321" i="5"/>
  <c r="O321" i="6" s="1"/>
  <c r="O322" i="5"/>
  <c r="O322" i="6" s="1"/>
  <c r="O323" i="5"/>
  <c r="O323" i="6" s="1"/>
  <c r="O324" i="5"/>
  <c r="O324" i="6" s="1"/>
  <c r="O325" i="5"/>
  <c r="O325" i="6" s="1"/>
  <c r="O326" i="5"/>
  <c r="O326" i="6" s="1"/>
  <c r="O327" i="5"/>
  <c r="O327" i="6" s="1"/>
  <c r="O328" i="5"/>
  <c r="O328" i="6" s="1"/>
  <c r="O329" i="5"/>
  <c r="O329" i="6" s="1"/>
  <c r="O330" i="5"/>
  <c r="O330" i="6" s="1"/>
  <c r="O331" i="5"/>
  <c r="O331" i="6" s="1"/>
  <c r="O332" i="5"/>
  <c r="O332" i="6" s="1"/>
  <c r="O333" i="5"/>
  <c r="O333" i="6" s="1"/>
  <c r="O334" i="5"/>
  <c r="O334" i="6" s="1"/>
  <c r="O335" i="5"/>
  <c r="O335" i="6" s="1"/>
  <c r="O336" i="5"/>
  <c r="O336" i="6" s="1"/>
  <c r="O337" i="5"/>
  <c r="O337" i="6" s="1"/>
  <c r="O338" i="5"/>
  <c r="O338" i="6" s="1"/>
  <c r="O339" i="5"/>
  <c r="O339" i="6" s="1"/>
  <c r="O340" i="5"/>
  <c r="O340" i="6" s="1"/>
  <c r="O341" i="5"/>
  <c r="O341" i="6" s="1"/>
  <c r="O342" i="5"/>
  <c r="O342" i="6" s="1"/>
  <c r="O343" i="5"/>
  <c r="O343" i="6" s="1"/>
  <c r="O344" i="5"/>
  <c r="O344" i="6" s="1"/>
  <c r="O345" i="5"/>
  <c r="O345" i="6" s="1"/>
  <c r="O346" i="5"/>
  <c r="O346" i="6" s="1"/>
  <c r="O347" i="5"/>
  <c r="O347" i="6" s="1"/>
  <c r="O348" i="5"/>
  <c r="O348" i="6" s="1"/>
  <c r="O349" i="5"/>
  <c r="O349" i="6" s="1"/>
  <c r="O350" i="5"/>
  <c r="O350" i="6" s="1"/>
  <c r="O351" i="5"/>
  <c r="O351" i="6" s="1"/>
  <c r="O352" i="5"/>
  <c r="O352" i="6" s="1"/>
  <c r="O353" i="5"/>
  <c r="O353" i="6" s="1"/>
  <c r="O354" i="5"/>
  <c r="O354" i="6" s="1"/>
  <c r="O355" i="5"/>
  <c r="O355" i="6" s="1"/>
  <c r="O356" i="5"/>
  <c r="O356" i="6" s="1"/>
  <c r="O357" i="5"/>
  <c r="O357" i="6" s="1"/>
  <c r="O358" i="5"/>
  <c r="O358" i="6" s="1"/>
  <c r="O359" i="5"/>
  <c r="O359" i="6" s="1"/>
  <c r="O360" i="5"/>
  <c r="O360" i="6" s="1"/>
  <c r="O361" i="5"/>
  <c r="O361" i="6" s="1"/>
  <c r="O362" i="5"/>
  <c r="O362" i="6" s="1"/>
  <c r="O363" i="5"/>
  <c r="O363" i="6" s="1"/>
  <c r="O364" i="5"/>
  <c r="O364" i="6" s="1"/>
  <c r="O365" i="5"/>
  <c r="O365" i="6" s="1"/>
  <c r="O366" i="5"/>
  <c r="O366" i="6" s="1"/>
  <c r="O367" i="5"/>
  <c r="O367" i="6" s="1"/>
  <c r="O368" i="5"/>
  <c r="O368" i="6" s="1"/>
  <c r="O369" i="5"/>
  <c r="O369" i="6" s="1"/>
  <c r="O370" i="5"/>
  <c r="O370" i="6" s="1"/>
  <c r="O371" i="5"/>
  <c r="O371" i="6" s="1"/>
  <c r="O372" i="5"/>
  <c r="O372" i="6" s="1"/>
  <c r="O373" i="5"/>
  <c r="O373" i="6" s="1"/>
  <c r="O374" i="5"/>
  <c r="O374" i="6" s="1"/>
  <c r="O375" i="5"/>
  <c r="O375" i="6" s="1"/>
  <c r="O376" i="5"/>
  <c r="O376" i="6" s="1"/>
  <c r="O377" i="5"/>
  <c r="O377" i="6" s="1"/>
  <c r="O378" i="5"/>
  <c r="O378" i="6" s="1"/>
  <c r="O379" i="5"/>
  <c r="O379" i="6" s="1"/>
  <c r="O380" i="5"/>
  <c r="O380" i="6" s="1"/>
  <c r="O381" i="5"/>
  <c r="O381" i="6" s="1"/>
  <c r="O382" i="5"/>
  <c r="O382" i="6" s="1"/>
  <c r="O383" i="5"/>
  <c r="O383" i="6" s="1"/>
  <c r="O384" i="5"/>
  <c r="O384" i="6" s="1"/>
  <c r="O385" i="5"/>
  <c r="O385" i="6" s="1"/>
  <c r="O386" i="5"/>
  <c r="O386" i="6" s="1"/>
  <c r="O387" i="5"/>
  <c r="O387" i="6" s="1"/>
  <c r="O388" i="5"/>
  <c r="O388" i="6" s="1"/>
  <c r="O389" i="5"/>
  <c r="O389" i="6" s="1"/>
  <c r="O390" i="5"/>
  <c r="O390" i="6" s="1"/>
  <c r="O391" i="5"/>
  <c r="O391" i="6" s="1"/>
  <c r="O392" i="5"/>
  <c r="O392" i="6" s="1"/>
  <c r="O393" i="5"/>
  <c r="O393" i="6" s="1"/>
  <c r="O394" i="5"/>
  <c r="O394" i="6" s="1"/>
  <c r="O395" i="5"/>
  <c r="O395" i="6" s="1"/>
  <c r="O396" i="5"/>
  <c r="O396" i="6" s="1"/>
  <c r="O397" i="5"/>
  <c r="O397" i="6" s="1"/>
  <c r="O398" i="5"/>
  <c r="O398" i="6" s="1"/>
  <c r="O399" i="5"/>
  <c r="O399" i="6" s="1"/>
  <c r="O400" i="5"/>
  <c r="O400" i="6" s="1"/>
  <c r="O401" i="5"/>
  <c r="O401" i="6" s="1"/>
  <c r="O402" i="5"/>
  <c r="O402" i="6" s="1"/>
  <c r="O403" i="5"/>
  <c r="O403" i="6" s="1"/>
  <c r="O404" i="5"/>
  <c r="O404" i="6" s="1"/>
  <c r="O405" i="5"/>
  <c r="O405" i="6" s="1"/>
  <c r="O406" i="5"/>
  <c r="O406" i="6" s="1"/>
  <c r="O407" i="5"/>
  <c r="O407" i="6" s="1"/>
  <c r="O408" i="5"/>
  <c r="O408" i="6" s="1"/>
  <c r="O409" i="5"/>
  <c r="O409" i="6" s="1"/>
  <c r="O410" i="5"/>
  <c r="O410" i="6" s="1"/>
  <c r="O411" i="5"/>
  <c r="O411" i="6" s="1"/>
  <c r="O412" i="5"/>
  <c r="O412" i="6" s="1"/>
  <c r="O413" i="5"/>
  <c r="O413" i="6" s="1"/>
  <c r="O414" i="5"/>
  <c r="O414" i="6" s="1"/>
  <c r="O415" i="5"/>
  <c r="O415" i="6" s="1"/>
  <c r="O416" i="5"/>
  <c r="O416" i="6" s="1"/>
  <c r="O417" i="5"/>
  <c r="O417" i="6" s="1"/>
  <c r="O418" i="5"/>
  <c r="O418" i="6" s="1"/>
  <c r="O419" i="5"/>
  <c r="O419" i="6" s="1"/>
  <c r="O420" i="5"/>
  <c r="O420" i="6" s="1"/>
  <c r="O421" i="5"/>
  <c r="O421" i="6" s="1"/>
  <c r="O422" i="5"/>
  <c r="O422" i="6" s="1"/>
  <c r="O423" i="5"/>
  <c r="O423" i="6" s="1"/>
  <c r="O424" i="5"/>
  <c r="O424" i="6" s="1"/>
  <c r="O425" i="5"/>
  <c r="O425" i="6" s="1"/>
  <c r="O426" i="5"/>
  <c r="O426" i="6" s="1"/>
  <c r="O427" i="5"/>
  <c r="O427" i="6" s="1"/>
  <c r="O428" i="5"/>
  <c r="O428" i="6" s="1"/>
  <c r="O429" i="5"/>
  <c r="O429" i="6" s="1"/>
  <c r="O430" i="5"/>
  <c r="O430" i="6" s="1"/>
  <c r="O431" i="5"/>
  <c r="O431" i="6" s="1"/>
  <c r="O432" i="5"/>
  <c r="O432" i="6" s="1"/>
  <c r="O433" i="5"/>
  <c r="O433" i="6" s="1"/>
  <c r="O434" i="5"/>
  <c r="O434" i="6" s="1"/>
  <c r="O435" i="5"/>
  <c r="O435" i="6" s="1"/>
  <c r="O436" i="5"/>
  <c r="O436" i="6" s="1"/>
  <c r="O437" i="5"/>
  <c r="O437" i="6" s="1"/>
  <c r="O438" i="5"/>
  <c r="O438" i="6" s="1"/>
  <c r="O439" i="5"/>
  <c r="O439" i="6" s="1"/>
  <c r="O440" i="5"/>
  <c r="O440" i="6" s="1"/>
  <c r="O441" i="5"/>
  <c r="O441" i="6" s="1"/>
  <c r="O442" i="5"/>
  <c r="O442" i="6" s="1"/>
  <c r="O443" i="5"/>
  <c r="O443" i="6" s="1"/>
  <c r="O444" i="5"/>
  <c r="O444" i="6" s="1"/>
  <c r="O445" i="5"/>
  <c r="O445" i="6" s="1"/>
  <c r="O446" i="5"/>
  <c r="O446" i="6" s="1"/>
  <c r="O447" i="5"/>
  <c r="O447" i="6" s="1"/>
  <c r="O448" i="5"/>
  <c r="O448" i="6" s="1"/>
  <c r="O449" i="5"/>
  <c r="O449" i="6" s="1"/>
  <c r="O450" i="5"/>
  <c r="O450" i="6" s="1"/>
  <c r="O451" i="5"/>
  <c r="O451" i="6" s="1"/>
  <c r="O452" i="5"/>
  <c r="O452" i="6" s="1"/>
  <c r="O453" i="5"/>
  <c r="O453" i="6" s="1"/>
  <c r="O454" i="5"/>
  <c r="O454" i="6" s="1"/>
  <c r="O455" i="5"/>
  <c r="O455" i="6" s="1"/>
  <c r="O456" i="5"/>
  <c r="O456" i="6" s="1"/>
  <c r="O457" i="5"/>
  <c r="O457" i="6" s="1"/>
  <c r="O458" i="5"/>
  <c r="O458" i="6" s="1"/>
  <c r="O459" i="5"/>
  <c r="O459" i="6" s="1"/>
  <c r="O460" i="5"/>
  <c r="O460" i="6" s="1"/>
  <c r="O461" i="5"/>
  <c r="O461" i="6" s="1"/>
  <c r="O462" i="5"/>
  <c r="O462" i="6" s="1"/>
  <c r="O463" i="5"/>
  <c r="O463" i="6" s="1"/>
  <c r="O464" i="5"/>
  <c r="O464" i="6" s="1"/>
  <c r="O465" i="5"/>
  <c r="O465" i="6" s="1"/>
  <c r="O466" i="5"/>
  <c r="O466" i="6" s="1"/>
  <c r="O467" i="5"/>
  <c r="O467" i="6" s="1"/>
  <c r="O468" i="5"/>
  <c r="O468" i="6" s="1"/>
  <c r="O469" i="5"/>
  <c r="O469" i="6" s="1"/>
  <c r="O470" i="5"/>
  <c r="O470" i="6" s="1"/>
  <c r="O471" i="5"/>
  <c r="O471" i="6" s="1"/>
  <c r="O472" i="5"/>
  <c r="O472" i="6" s="1"/>
  <c r="O473" i="5"/>
  <c r="O473" i="6" s="1"/>
  <c r="O474" i="5"/>
  <c r="O474" i="6" s="1"/>
  <c r="O475" i="5"/>
  <c r="O475" i="6" s="1"/>
  <c r="O476" i="5"/>
  <c r="O476" i="6" s="1"/>
  <c r="O477" i="5"/>
  <c r="O477" i="6" s="1"/>
  <c r="O478" i="5"/>
  <c r="O478" i="6" s="1"/>
  <c r="O479" i="5"/>
  <c r="O479" i="6" s="1"/>
  <c r="O480" i="5"/>
  <c r="O480" i="6" s="1"/>
  <c r="O481" i="5"/>
  <c r="O481" i="6" s="1"/>
  <c r="O482" i="5"/>
  <c r="O482" i="6" s="1"/>
  <c r="O483" i="5"/>
  <c r="O483" i="6" s="1"/>
  <c r="O484" i="5"/>
  <c r="O484" i="6" s="1"/>
  <c r="O485" i="5"/>
  <c r="O485" i="6" s="1"/>
  <c r="O486" i="5"/>
  <c r="O486" i="6" s="1"/>
  <c r="O487" i="5"/>
  <c r="O487" i="6" s="1"/>
  <c r="O488" i="5"/>
  <c r="O488" i="6" s="1"/>
  <c r="O489" i="5"/>
  <c r="O489" i="6" s="1"/>
  <c r="O490" i="5"/>
  <c r="O490" i="6" s="1"/>
  <c r="O491" i="5"/>
  <c r="O491" i="6" s="1"/>
  <c r="O492" i="5"/>
  <c r="O492" i="6" s="1"/>
  <c r="O493" i="5"/>
  <c r="O493" i="6" s="1"/>
  <c r="O494" i="5"/>
  <c r="O494" i="6" s="1"/>
  <c r="O495" i="5"/>
  <c r="O495" i="6" s="1"/>
  <c r="O496" i="5"/>
  <c r="O496" i="6" s="1"/>
  <c r="O497" i="5"/>
  <c r="O497" i="6" s="1"/>
  <c r="O498" i="5"/>
  <c r="O498" i="6" s="1"/>
  <c r="O499" i="5"/>
  <c r="O499" i="6" s="1"/>
  <c r="O500" i="5"/>
  <c r="O500" i="6" s="1"/>
  <c r="O501" i="5"/>
  <c r="O501" i="6" s="1"/>
  <c r="O502" i="5"/>
  <c r="O502" i="6" s="1"/>
  <c r="O503" i="5"/>
  <c r="O503" i="6" s="1"/>
  <c r="O504" i="5"/>
  <c r="O504" i="6" s="1"/>
  <c r="O505" i="5"/>
  <c r="O505" i="6" s="1"/>
  <c r="O506" i="5"/>
  <c r="O506" i="6" s="1"/>
  <c r="O507" i="5"/>
  <c r="O507" i="6" s="1"/>
  <c r="O508" i="5"/>
  <c r="O508" i="6" s="1"/>
  <c r="O509" i="5"/>
  <c r="O509" i="6" s="1"/>
  <c r="O510" i="5"/>
  <c r="O510" i="6" s="1"/>
  <c r="O511" i="5"/>
  <c r="O511" i="6" s="1"/>
  <c r="O512" i="5"/>
  <c r="O512" i="6" s="1"/>
  <c r="O513" i="5"/>
  <c r="O513" i="6" s="1"/>
  <c r="O514" i="5"/>
  <c r="O514" i="6" s="1"/>
  <c r="O515" i="5"/>
  <c r="O515" i="6" s="1"/>
  <c r="O516" i="5"/>
  <c r="O516" i="6" s="1"/>
  <c r="O517" i="5"/>
  <c r="O517" i="6" s="1"/>
  <c r="O518" i="5"/>
  <c r="O518" i="6" s="1"/>
  <c r="O519" i="5"/>
  <c r="O519" i="6" s="1"/>
  <c r="O520" i="5"/>
  <c r="O520" i="6" s="1"/>
  <c r="O521" i="5"/>
  <c r="O521" i="6" s="1"/>
  <c r="O522" i="5"/>
  <c r="O522" i="6" s="1"/>
  <c r="O523" i="5"/>
  <c r="O523" i="6" s="1"/>
  <c r="O524" i="5"/>
  <c r="O524" i="6" s="1"/>
  <c r="O525" i="5"/>
  <c r="O525" i="6" s="1"/>
  <c r="O526" i="5"/>
  <c r="O526" i="6" s="1"/>
  <c r="O527" i="5"/>
  <c r="O527" i="6" s="1"/>
  <c r="O528" i="5"/>
  <c r="O528" i="6" s="1"/>
  <c r="O529" i="5"/>
  <c r="O529" i="6" s="1"/>
  <c r="O530" i="5"/>
  <c r="O530" i="6" s="1"/>
  <c r="O531" i="5"/>
  <c r="O531" i="6" s="1"/>
  <c r="O532" i="5"/>
  <c r="O532" i="6" s="1"/>
  <c r="O533" i="5"/>
  <c r="O533" i="6" s="1"/>
  <c r="O534" i="5"/>
  <c r="O534" i="6" s="1"/>
  <c r="O535" i="5"/>
  <c r="O535" i="6" s="1"/>
  <c r="O536" i="5"/>
  <c r="O536" i="6" s="1"/>
  <c r="O537" i="5"/>
  <c r="O537" i="6" s="1"/>
  <c r="O538" i="5"/>
  <c r="O538" i="6" s="1"/>
  <c r="O539" i="5"/>
  <c r="O539" i="6" s="1"/>
  <c r="O540" i="5"/>
  <c r="O540" i="6" s="1"/>
  <c r="O541" i="5"/>
  <c r="O541" i="6" s="1"/>
  <c r="O542" i="5"/>
  <c r="O542" i="6" s="1"/>
  <c r="O543" i="5"/>
  <c r="O543" i="6" s="1"/>
  <c r="O544" i="5"/>
  <c r="O544" i="6" s="1"/>
  <c r="O545" i="5"/>
  <c r="O545" i="6" s="1"/>
  <c r="O546" i="5"/>
  <c r="O546" i="6" s="1"/>
  <c r="O547" i="5"/>
  <c r="O547" i="6" s="1"/>
  <c r="O548" i="5"/>
  <c r="O548" i="6" s="1"/>
  <c r="O549" i="5"/>
  <c r="O549" i="6" s="1"/>
  <c r="O550" i="5"/>
  <c r="O550" i="6" s="1"/>
  <c r="O551" i="5"/>
  <c r="O551" i="6" s="1"/>
  <c r="O552" i="5"/>
  <c r="O552" i="6" s="1"/>
  <c r="O553" i="5"/>
  <c r="O553" i="6" s="1"/>
  <c r="O554" i="5"/>
  <c r="O554" i="6" s="1"/>
  <c r="O555" i="5"/>
  <c r="O555" i="6" s="1"/>
  <c r="O556" i="5"/>
  <c r="O556" i="6" s="1"/>
  <c r="O557" i="5"/>
  <c r="O557" i="6" s="1"/>
  <c r="O558" i="5"/>
  <c r="O558" i="6" s="1"/>
  <c r="O559" i="5"/>
  <c r="O559" i="6" s="1"/>
  <c r="O560" i="5"/>
  <c r="O560" i="6" s="1"/>
  <c r="O561" i="5"/>
  <c r="O561" i="6" s="1"/>
  <c r="O562" i="5"/>
  <c r="O562" i="6" s="1"/>
  <c r="O563" i="5"/>
  <c r="O563" i="6" s="1"/>
  <c r="O564" i="5"/>
  <c r="O564" i="6" s="1"/>
  <c r="O565" i="5"/>
  <c r="O565" i="6" s="1"/>
  <c r="O566" i="5"/>
  <c r="O566" i="6" s="1"/>
  <c r="O567" i="5"/>
  <c r="O567" i="6" s="1"/>
  <c r="O568" i="5"/>
  <c r="O568" i="6" s="1"/>
  <c r="T568" i="5"/>
  <c r="T568" i="6" s="1"/>
  <c r="S568" i="5"/>
  <c r="S568" i="6" s="1"/>
  <c r="R568" i="5"/>
  <c r="R568" i="6" s="1"/>
  <c r="Q568" i="5"/>
  <c r="Q568" i="6" s="1"/>
  <c r="P568" i="5"/>
  <c r="P568" i="6" s="1"/>
  <c r="T567" i="5"/>
  <c r="T567" i="6" s="1"/>
  <c r="S567" i="5"/>
  <c r="S567" i="6" s="1"/>
  <c r="R567" i="5"/>
  <c r="R567" i="6" s="1"/>
  <c r="Q567" i="5"/>
  <c r="Q567" i="6" s="1"/>
  <c r="P567" i="5"/>
  <c r="P567" i="6" s="1"/>
  <c r="T566" i="5"/>
  <c r="T566" i="6" s="1"/>
  <c r="S566" i="5"/>
  <c r="S566" i="6" s="1"/>
  <c r="R566" i="5"/>
  <c r="R566" i="6" s="1"/>
  <c r="Q566" i="5"/>
  <c r="Q566" i="6" s="1"/>
  <c r="P566" i="5"/>
  <c r="P566" i="6" s="1"/>
  <c r="T565" i="5"/>
  <c r="T565" i="6" s="1"/>
  <c r="S565" i="5"/>
  <c r="S565" i="6" s="1"/>
  <c r="R565" i="5"/>
  <c r="R565" i="6" s="1"/>
  <c r="Q565" i="5"/>
  <c r="Q565" i="6" s="1"/>
  <c r="P565" i="5"/>
  <c r="P565" i="6" s="1"/>
  <c r="T564" i="5"/>
  <c r="T564" i="6" s="1"/>
  <c r="S564" i="5"/>
  <c r="S564" i="6" s="1"/>
  <c r="R564" i="5"/>
  <c r="R564" i="6" s="1"/>
  <c r="Q564" i="5"/>
  <c r="Q564" i="6" s="1"/>
  <c r="P564" i="5"/>
  <c r="P564" i="6" s="1"/>
  <c r="T563" i="5"/>
  <c r="T563" i="6" s="1"/>
  <c r="S563" i="5"/>
  <c r="S563" i="6" s="1"/>
  <c r="R563" i="5"/>
  <c r="R563" i="6" s="1"/>
  <c r="Q563" i="5"/>
  <c r="Q563" i="6" s="1"/>
  <c r="P563" i="5"/>
  <c r="P563" i="6" s="1"/>
  <c r="T562" i="5"/>
  <c r="T562" i="6" s="1"/>
  <c r="S562" i="5"/>
  <c r="S562" i="6" s="1"/>
  <c r="R562" i="5"/>
  <c r="R562" i="6" s="1"/>
  <c r="Q562" i="5"/>
  <c r="Q562" i="6" s="1"/>
  <c r="P562" i="5"/>
  <c r="P562" i="6" s="1"/>
  <c r="T561" i="5"/>
  <c r="T561" i="6" s="1"/>
  <c r="S561" i="5"/>
  <c r="S561" i="6" s="1"/>
  <c r="R561" i="5"/>
  <c r="R561" i="6" s="1"/>
  <c r="Q561" i="5"/>
  <c r="Q561" i="6" s="1"/>
  <c r="P561" i="5"/>
  <c r="P561" i="6" s="1"/>
  <c r="T560" i="5"/>
  <c r="T560" i="6" s="1"/>
  <c r="S560" i="5"/>
  <c r="S560" i="6" s="1"/>
  <c r="R560" i="5"/>
  <c r="R560" i="6" s="1"/>
  <c r="Q560" i="5"/>
  <c r="Q560" i="6" s="1"/>
  <c r="P560" i="5"/>
  <c r="P560" i="6" s="1"/>
  <c r="T559" i="5"/>
  <c r="T559" i="6" s="1"/>
  <c r="S559" i="5"/>
  <c r="S559" i="6" s="1"/>
  <c r="R559" i="5"/>
  <c r="R559" i="6" s="1"/>
  <c r="Q559" i="5"/>
  <c r="Q559" i="6" s="1"/>
  <c r="P559" i="5"/>
  <c r="P559" i="6" s="1"/>
  <c r="T558" i="5"/>
  <c r="T558" i="6" s="1"/>
  <c r="S558" i="5"/>
  <c r="S558" i="6" s="1"/>
  <c r="R558" i="5"/>
  <c r="R558" i="6" s="1"/>
  <c r="Q558" i="5"/>
  <c r="Q558" i="6" s="1"/>
  <c r="P558" i="5"/>
  <c r="P558" i="6" s="1"/>
  <c r="T557" i="5"/>
  <c r="T557" i="6" s="1"/>
  <c r="S557" i="5"/>
  <c r="S557" i="6" s="1"/>
  <c r="R557" i="5"/>
  <c r="R557" i="6" s="1"/>
  <c r="Q557" i="5"/>
  <c r="Q557" i="6" s="1"/>
  <c r="P557" i="5"/>
  <c r="P557" i="6" s="1"/>
  <c r="T556" i="5"/>
  <c r="T556" i="6" s="1"/>
  <c r="S556" i="5"/>
  <c r="S556" i="6" s="1"/>
  <c r="R556" i="5"/>
  <c r="R556" i="6" s="1"/>
  <c r="Q556" i="5"/>
  <c r="Q556" i="6" s="1"/>
  <c r="P556" i="5"/>
  <c r="P556" i="6" s="1"/>
  <c r="T555" i="5"/>
  <c r="T555" i="6" s="1"/>
  <c r="S555" i="5"/>
  <c r="S555" i="6" s="1"/>
  <c r="R555" i="5"/>
  <c r="R555" i="6" s="1"/>
  <c r="Q555" i="5"/>
  <c r="Q555" i="6" s="1"/>
  <c r="P555" i="5"/>
  <c r="P555" i="6" s="1"/>
  <c r="T554" i="5"/>
  <c r="T554" i="6" s="1"/>
  <c r="S554" i="5"/>
  <c r="S554" i="6" s="1"/>
  <c r="R554" i="5"/>
  <c r="R554" i="6" s="1"/>
  <c r="Q554" i="5"/>
  <c r="Q554" i="6" s="1"/>
  <c r="P554" i="5"/>
  <c r="P554" i="6" s="1"/>
  <c r="T553" i="5"/>
  <c r="T553" i="6" s="1"/>
  <c r="S553" i="5"/>
  <c r="S553" i="6" s="1"/>
  <c r="R553" i="5"/>
  <c r="R553" i="6" s="1"/>
  <c r="Q553" i="5"/>
  <c r="Q553" i="6" s="1"/>
  <c r="P553" i="5"/>
  <c r="P553" i="6" s="1"/>
  <c r="T552" i="5"/>
  <c r="T552" i="6" s="1"/>
  <c r="S552" i="5"/>
  <c r="S552" i="6" s="1"/>
  <c r="R552" i="5"/>
  <c r="R552" i="6" s="1"/>
  <c r="Q552" i="5"/>
  <c r="Q552" i="6" s="1"/>
  <c r="P552" i="5"/>
  <c r="P552" i="6" s="1"/>
  <c r="T551" i="5"/>
  <c r="T551" i="6" s="1"/>
  <c r="S551" i="5"/>
  <c r="S551" i="6" s="1"/>
  <c r="R551" i="5"/>
  <c r="R551" i="6" s="1"/>
  <c r="Q551" i="5"/>
  <c r="Q551" i="6" s="1"/>
  <c r="P551" i="5"/>
  <c r="P551" i="6" s="1"/>
  <c r="T550" i="5"/>
  <c r="T550" i="6" s="1"/>
  <c r="S550" i="5"/>
  <c r="S550" i="6" s="1"/>
  <c r="R550" i="5"/>
  <c r="R550" i="6" s="1"/>
  <c r="Q550" i="5"/>
  <c r="Q550" i="6" s="1"/>
  <c r="P550" i="5"/>
  <c r="P550" i="6" s="1"/>
  <c r="T549" i="5"/>
  <c r="T549" i="6" s="1"/>
  <c r="S549" i="5"/>
  <c r="S549" i="6" s="1"/>
  <c r="R549" i="5"/>
  <c r="R549" i="6" s="1"/>
  <c r="Q549" i="5"/>
  <c r="Q549" i="6" s="1"/>
  <c r="P549" i="5"/>
  <c r="P549" i="6" s="1"/>
  <c r="T548" i="5"/>
  <c r="T548" i="6" s="1"/>
  <c r="S548" i="5"/>
  <c r="S548" i="6" s="1"/>
  <c r="R548" i="5"/>
  <c r="R548" i="6" s="1"/>
  <c r="Q548" i="5"/>
  <c r="Q548" i="6" s="1"/>
  <c r="P548" i="5"/>
  <c r="P548" i="6" s="1"/>
  <c r="T547" i="5"/>
  <c r="T547" i="6" s="1"/>
  <c r="S547" i="5"/>
  <c r="S547" i="6" s="1"/>
  <c r="R547" i="5"/>
  <c r="R547" i="6" s="1"/>
  <c r="Q547" i="5"/>
  <c r="Q547" i="6" s="1"/>
  <c r="P547" i="5"/>
  <c r="P547" i="6" s="1"/>
  <c r="T546" i="5"/>
  <c r="T546" i="6" s="1"/>
  <c r="S546" i="5"/>
  <c r="S546" i="6" s="1"/>
  <c r="R546" i="5"/>
  <c r="R546" i="6" s="1"/>
  <c r="Q546" i="5"/>
  <c r="Q546" i="6" s="1"/>
  <c r="P546" i="5"/>
  <c r="P546" i="6" s="1"/>
  <c r="T545" i="5"/>
  <c r="T545" i="6" s="1"/>
  <c r="S545" i="5"/>
  <c r="S545" i="6" s="1"/>
  <c r="R545" i="5"/>
  <c r="R545" i="6" s="1"/>
  <c r="Q545" i="5"/>
  <c r="Q545" i="6" s="1"/>
  <c r="P545" i="5"/>
  <c r="P545" i="6" s="1"/>
  <c r="T544" i="5"/>
  <c r="T544" i="6" s="1"/>
  <c r="S544" i="5"/>
  <c r="S544" i="6" s="1"/>
  <c r="R544" i="5"/>
  <c r="R544" i="6" s="1"/>
  <c r="Q544" i="5"/>
  <c r="Q544" i="6" s="1"/>
  <c r="P544" i="5"/>
  <c r="P544" i="6" s="1"/>
  <c r="T543" i="5"/>
  <c r="T543" i="6" s="1"/>
  <c r="S543" i="5"/>
  <c r="S543" i="6" s="1"/>
  <c r="R543" i="5"/>
  <c r="R543" i="6" s="1"/>
  <c r="Q543" i="5"/>
  <c r="Q543" i="6" s="1"/>
  <c r="P543" i="5"/>
  <c r="P543" i="6" s="1"/>
  <c r="T542" i="5"/>
  <c r="T542" i="6" s="1"/>
  <c r="S542" i="5"/>
  <c r="S542" i="6" s="1"/>
  <c r="R542" i="5"/>
  <c r="R542" i="6" s="1"/>
  <c r="Q542" i="5"/>
  <c r="Q542" i="6" s="1"/>
  <c r="P542" i="5"/>
  <c r="P542" i="6" s="1"/>
  <c r="T541" i="5"/>
  <c r="T541" i="6" s="1"/>
  <c r="S541" i="5"/>
  <c r="S541" i="6" s="1"/>
  <c r="R541" i="5"/>
  <c r="R541" i="6" s="1"/>
  <c r="Q541" i="5"/>
  <c r="Q541" i="6" s="1"/>
  <c r="P541" i="5"/>
  <c r="P541" i="6" s="1"/>
  <c r="T540" i="5"/>
  <c r="T540" i="6" s="1"/>
  <c r="S540" i="5"/>
  <c r="S540" i="6" s="1"/>
  <c r="R540" i="5"/>
  <c r="R540" i="6" s="1"/>
  <c r="Q540" i="5"/>
  <c r="Q540" i="6" s="1"/>
  <c r="P540" i="5"/>
  <c r="P540" i="6" s="1"/>
  <c r="T539" i="5"/>
  <c r="T539" i="6" s="1"/>
  <c r="S539" i="5"/>
  <c r="S539" i="6" s="1"/>
  <c r="R539" i="5"/>
  <c r="R539" i="6" s="1"/>
  <c r="Q539" i="5"/>
  <c r="Q539" i="6" s="1"/>
  <c r="P539" i="5"/>
  <c r="P539" i="6" s="1"/>
  <c r="T538" i="5"/>
  <c r="T538" i="6" s="1"/>
  <c r="S538" i="5"/>
  <c r="S538" i="6" s="1"/>
  <c r="R538" i="5"/>
  <c r="R538" i="6" s="1"/>
  <c r="Q538" i="5"/>
  <c r="Q538" i="6" s="1"/>
  <c r="P538" i="5"/>
  <c r="P538" i="6" s="1"/>
  <c r="T537" i="5"/>
  <c r="T537" i="6" s="1"/>
  <c r="S537" i="5"/>
  <c r="S537" i="6" s="1"/>
  <c r="R537" i="5"/>
  <c r="R537" i="6" s="1"/>
  <c r="Q537" i="5"/>
  <c r="Q537" i="6" s="1"/>
  <c r="P537" i="5"/>
  <c r="P537" i="6" s="1"/>
  <c r="T536" i="5"/>
  <c r="T536" i="6" s="1"/>
  <c r="S536" i="5"/>
  <c r="S536" i="6" s="1"/>
  <c r="R536" i="5"/>
  <c r="R536" i="6" s="1"/>
  <c r="Q536" i="5"/>
  <c r="Q536" i="6" s="1"/>
  <c r="P536" i="5"/>
  <c r="P536" i="6" s="1"/>
  <c r="T535" i="5"/>
  <c r="T535" i="6" s="1"/>
  <c r="S535" i="5"/>
  <c r="S535" i="6" s="1"/>
  <c r="R535" i="5"/>
  <c r="R535" i="6" s="1"/>
  <c r="Q535" i="5"/>
  <c r="Q535" i="6" s="1"/>
  <c r="P535" i="5"/>
  <c r="P535" i="6" s="1"/>
  <c r="T534" i="5"/>
  <c r="T534" i="6" s="1"/>
  <c r="S534" i="5"/>
  <c r="S534" i="6" s="1"/>
  <c r="R534" i="5"/>
  <c r="R534" i="6" s="1"/>
  <c r="Q534" i="5"/>
  <c r="Q534" i="6" s="1"/>
  <c r="P534" i="5"/>
  <c r="P534" i="6" s="1"/>
  <c r="T533" i="5"/>
  <c r="T533" i="6" s="1"/>
  <c r="S533" i="5"/>
  <c r="S533" i="6" s="1"/>
  <c r="R533" i="5"/>
  <c r="R533" i="6" s="1"/>
  <c r="Q533" i="5"/>
  <c r="Q533" i="6" s="1"/>
  <c r="P533" i="5"/>
  <c r="P533" i="6" s="1"/>
  <c r="T532" i="5"/>
  <c r="T532" i="6" s="1"/>
  <c r="S532" i="5"/>
  <c r="S532" i="6" s="1"/>
  <c r="R532" i="5"/>
  <c r="R532" i="6" s="1"/>
  <c r="Q532" i="5"/>
  <c r="Q532" i="6" s="1"/>
  <c r="P532" i="5"/>
  <c r="P532" i="6" s="1"/>
  <c r="T531" i="5"/>
  <c r="T531" i="6" s="1"/>
  <c r="S531" i="5"/>
  <c r="S531" i="6" s="1"/>
  <c r="R531" i="5"/>
  <c r="R531" i="6" s="1"/>
  <c r="Q531" i="5"/>
  <c r="Q531" i="6" s="1"/>
  <c r="P531" i="5"/>
  <c r="P531" i="6" s="1"/>
  <c r="T530" i="5"/>
  <c r="T530" i="6" s="1"/>
  <c r="S530" i="5"/>
  <c r="S530" i="6" s="1"/>
  <c r="R530" i="5"/>
  <c r="R530" i="6" s="1"/>
  <c r="Q530" i="5"/>
  <c r="Q530" i="6" s="1"/>
  <c r="P530" i="5"/>
  <c r="P530" i="6" s="1"/>
  <c r="T529" i="5"/>
  <c r="T529" i="6" s="1"/>
  <c r="S529" i="5"/>
  <c r="S529" i="6" s="1"/>
  <c r="R529" i="5"/>
  <c r="R529" i="6" s="1"/>
  <c r="Q529" i="5"/>
  <c r="Q529" i="6" s="1"/>
  <c r="P529" i="5"/>
  <c r="P529" i="6" s="1"/>
  <c r="T528" i="5"/>
  <c r="T528" i="6" s="1"/>
  <c r="S528" i="5"/>
  <c r="S528" i="6" s="1"/>
  <c r="R528" i="5"/>
  <c r="R528" i="6" s="1"/>
  <c r="Q528" i="5"/>
  <c r="Q528" i="6" s="1"/>
  <c r="P528" i="5"/>
  <c r="P528" i="6" s="1"/>
  <c r="T527" i="5"/>
  <c r="T527" i="6" s="1"/>
  <c r="S527" i="5"/>
  <c r="S527" i="6" s="1"/>
  <c r="R527" i="5"/>
  <c r="R527" i="6" s="1"/>
  <c r="Q527" i="5"/>
  <c r="Q527" i="6" s="1"/>
  <c r="P527" i="5"/>
  <c r="P527" i="6" s="1"/>
  <c r="T526" i="5"/>
  <c r="T526" i="6" s="1"/>
  <c r="S526" i="5"/>
  <c r="S526" i="6" s="1"/>
  <c r="R526" i="5"/>
  <c r="R526" i="6" s="1"/>
  <c r="Q526" i="5"/>
  <c r="Q526" i="6" s="1"/>
  <c r="P526" i="5"/>
  <c r="P526" i="6" s="1"/>
  <c r="T525" i="5"/>
  <c r="T525" i="6" s="1"/>
  <c r="S525" i="5"/>
  <c r="S525" i="6" s="1"/>
  <c r="R525" i="5"/>
  <c r="R525" i="6" s="1"/>
  <c r="Q525" i="5"/>
  <c r="Q525" i="6" s="1"/>
  <c r="P525" i="5"/>
  <c r="P525" i="6" s="1"/>
  <c r="T524" i="5"/>
  <c r="T524" i="6" s="1"/>
  <c r="S524" i="5"/>
  <c r="S524" i="6" s="1"/>
  <c r="R524" i="5"/>
  <c r="R524" i="6" s="1"/>
  <c r="Q524" i="5"/>
  <c r="Q524" i="6" s="1"/>
  <c r="P524" i="5"/>
  <c r="P524" i="6" s="1"/>
  <c r="T523" i="5"/>
  <c r="T523" i="6" s="1"/>
  <c r="S523" i="5"/>
  <c r="S523" i="6" s="1"/>
  <c r="R523" i="5"/>
  <c r="R523" i="6" s="1"/>
  <c r="Q523" i="5"/>
  <c r="Q523" i="6" s="1"/>
  <c r="P523" i="5"/>
  <c r="P523" i="6" s="1"/>
  <c r="T522" i="5"/>
  <c r="T522" i="6" s="1"/>
  <c r="S522" i="5"/>
  <c r="S522" i="6" s="1"/>
  <c r="R522" i="5"/>
  <c r="R522" i="6" s="1"/>
  <c r="Q522" i="5"/>
  <c r="Q522" i="6" s="1"/>
  <c r="P522" i="5"/>
  <c r="P522" i="6" s="1"/>
  <c r="T521" i="5"/>
  <c r="T521" i="6" s="1"/>
  <c r="S521" i="5"/>
  <c r="S521" i="6" s="1"/>
  <c r="R521" i="5"/>
  <c r="R521" i="6" s="1"/>
  <c r="Q521" i="5"/>
  <c r="Q521" i="6" s="1"/>
  <c r="P521" i="5"/>
  <c r="P521" i="6" s="1"/>
  <c r="T520" i="5"/>
  <c r="T520" i="6" s="1"/>
  <c r="S520" i="5"/>
  <c r="S520" i="6" s="1"/>
  <c r="R520" i="5"/>
  <c r="R520" i="6" s="1"/>
  <c r="Q520" i="5"/>
  <c r="Q520" i="6" s="1"/>
  <c r="P520" i="5"/>
  <c r="P520" i="6" s="1"/>
  <c r="T519" i="5"/>
  <c r="T519" i="6" s="1"/>
  <c r="S519" i="5"/>
  <c r="S519" i="6" s="1"/>
  <c r="R519" i="5"/>
  <c r="R519" i="6" s="1"/>
  <c r="Q519" i="5"/>
  <c r="Q519" i="6" s="1"/>
  <c r="P519" i="5"/>
  <c r="P519" i="6" s="1"/>
  <c r="T518" i="5"/>
  <c r="T518" i="6" s="1"/>
  <c r="S518" i="5"/>
  <c r="S518" i="6" s="1"/>
  <c r="R518" i="5"/>
  <c r="R518" i="6" s="1"/>
  <c r="Q518" i="5"/>
  <c r="Q518" i="6" s="1"/>
  <c r="P518" i="5"/>
  <c r="P518" i="6" s="1"/>
  <c r="T517" i="5"/>
  <c r="T517" i="6" s="1"/>
  <c r="S517" i="5"/>
  <c r="S517" i="6" s="1"/>
  <c r="R517" i="5"/>
  <c r="R517" i="6" s="1"/>
  <c r="Q517" i="5"/>
  <c r="Q517" i="6" s="1"/>
  <c r="P517" i="5"/>
  <c r="P517" i="6" s="1"/>
  <c r="T516" i="5"/>
  <c r="T516" i="6" s="1"/>
  <c r="S516" i="5"/>
  <c r="S516" i="6" s="1"/>
  <c r="R516" i="5"/>
  <c r="R516" i="6" s="1"/>
  <c r="Q516" i="5"/>
  <c r="Q516" i="6" s="1"/>
  <c r="P516" i="5"/>
  <c r="P516" i="6" s="1"/>
  <c r="T515" i="5"/>
  <c r="T515" i="6" s="1"/>
  <c r="S515" i="5"/>
  <c r="S515" i="6" s="1"/>
  <c r="R515" i="5"/>
  <c r="R515" i="6" s="1"/>
  <c r="Q515" i="5"/>
  <c r="Q515" i="6" s="1"/>
  <c r="P515" i="5"/>
  <c r="P515" i="6" s="1"/>
  <c r="T514" i="5"/>
  <c r="T514" i="6" s="1"/>
  <c r="S514" i="5"/>
  <c r="S514" i="6" s="1"/>
  <c r="R514" i="5"/>
  <c r="R514" i="6" s="1"/>
  <c r="Q514" i="5"/>
  <c r="Q514" i="6" s="1"/>
  <c r="P514" i="5"/>
  <c r="P514" i="6" s="1"/>
  <c r="T513" i="5"/>
  <c r="T513" i="6" s="1"/>
  <c r="S513" i="5"/>
  <c r="S513" i="6" s="1"/>
  <c r="R513" i="5"/>
  <c r="R513" i="6" s="1"/>
  <c r="Q513" i="5"/>
  <c r="Q513" i="6" s="1"/>
  <c r="P513" i="5"/>
  <c r="P513" i="6" s="1"/>
  <c r="T512" i="5"/>
  <c r="T512" i="6" s="1"/>
  <c r="S512" i="5"/>
  <c r="S512" i="6" s="1"/>
  <c r="R512" i="5"/>
  <c r="R512" i="6" s="1"/>
  <c r="Q512" i="5"/>
  <c r="Q512" i="6" s="1"/>
  <c r="P512" i="5"/>
  <c r="P512" i="6" s="1"/>
  <c r="T511" i="5"/>
  <c r="T511" i="6" s="1"/>
  <c r="S511" i="5"/>
  <c r="S511" i="6" s="1"/>
  <c r="R511" i="5"/>
  <c r="R511" i="6" s="1"/>
  <c r="Q511" i="5"/>
  <c r="Q511" i="6" s="1"/>
  <c r="P511" i="5"/>
  <c r="P511" i="6" s="1"/>
  <c r="T510" i="5"/>
  <c r="T510" i="6" s="1"/>
  <c r="S510" i="5"/>
  <c r="S510" i="6" s="1"/>
  <c r="R510" i="5"/>
  <c r="R510" i="6" s="1"/>
  <c r="Q510" i="5"/>
  <c r="Q510" i="6" s="1"/>
  <c r="P510" i="5"/>
  <c r="P510" i="6" s="1"/>
  <c r="T509" i="5"/>
  <c r="T509" i="6" s="1"/>
  <c r="S509" i="5"/>
  <c r="S509" i="6" s="1"/>
  <c r="R509" i="5"/>
  <c r="R509" i="6" s="1"/>
  <c r="Q509" i="5"/>
  <c r="Q509" i="6" s="1"/>
  <c r="P509" i="5"/>
  <c r="P509" i="6" s="1"/>
  <c r="T508" i="5"/>
  <c r="T508" i="6" s="1"/>
  <c r="S508" i="5"/>
  <c r="S508" i="6" s="1"/>
  <c r="R508" i="5"/>
  <c r="R508" i="6" s="1"/>
  <c r="Q508" i="5"/>
  <c r="Q508" i="6" s="1"/>
  <c r="P508" i="5"/>
  <c r="P508" i="6" s="1"/>
  <c r="T507" i="5"/>
  <c r="T507" i="6" s="1"/>
  <c r="S507" i="5"/>
  <c r="S507" i="6" s="1"/>
  <c r="R507" i="5"/>
  <c r="R507" i="6" s="1"/>
  <c r="Q507" i="5"/>
  <c r="Q507" i="6" s="1"/>
  <c r="P507" i="5"/>
  <c r="P507" i="6" s="1"/>
  <c r="T506" i="5"/>
  <c r="T506" i="6" s="1"/>
  <c r="S506" i="5"/>
  <c r="S506" i="6" s="1"/>
  <c r="R506" i="5"/>
  <c r="R506" i="6" s="1"/>
  <c r="Q506" i="5"/>
  <c r="Q506" i="6" s="1"/>
  <c r="P506" i="5"/>
  <c r="P506" i="6" s="1"/>
  <c r="T505" i="5"/>
  <c r="T505" i="6" s="1"/>
  <c r="S505" i="5"/>
  <c r="S505" i="6" s="1"/>
  <c r="R505" i="5"/>
  <c r="R505" i="6" s="1"/>
  <c r="Q505" i="5"/>
  <c r="Q505" i="6" s="1"/>
  <c r="P505" i="5"/>
  <c r="P505" i="6" s="1"/>
  <c r="T504" i="5"/>
  <c r="T504" i="6" s="1"/>
  <c r="S504" i="5"/>
  <c r="S504" i="6" s="1"/>
  <c r="R504" i="5"/>
  <c r="R504" i="6" s="1"/>
  <c r="Q504" i="5"/>
  <c r="Q504" i="6" s="1"/>
  <c r="P504" i="5"/>
  <c r="P504" i="6" s="1"/>
  <c r="T503" i="5"/>
  <c r="T503" i="6" s="1"/>
  <c r="S503" i="5"/>
  <c r="S503" i="6" s="1"/>
  <c r="R503" i="5"/>
  <c r="R503" i="6" s="1"/>
  <c r="Q503" i="5"/>
  <c r="Q503" i="6" s="1"/>
  <c r="P503" i="5"/>
  <c r="P503" i="6" s="1"/>
  <c r="T502" i="5"/>
  <c r="T502" i="6" s="1"/>
  <c r="S502" i="5"/>
  <c r="S502" i="6" s="1"/>
  <c r="R502" i="5"/>
  <c r="R502" i="6" s="1"/>
  <c r="Q502" i="5"/>
  <c r="Q502" i="6" s="1"/>
  <c r="P502" i="5"/>
  <c r="P502" i="6" s="1"/>
  <c r="T501" i="5"/>
  <c r="T501" i="6" s="1"/>
  <c r="S501" i="5"/>
  <c r="S501" i="6" s="1"/>
  <c r="R501" i="5"/>
  <c r="R501" i="6" s="1"/>
  <c r="Q501" i="5"/>
  <c r="Q501" i="6" s="1"/>
  <c r="P501" i="5"/>
  <c r="P501" i="6" s="1"/>
  <c r="T500" i="5"/>
  <c r="T500" i="6" s="1"/>
  <c r="S500" i="5"/>
  <c r="S500" i="6" s="1"/>
  <c r="R500" i="5"/>
  <c r="R500" i="6" s="1"/>
  <c r="Q500" i="5"/>
  <c r="Q500" i="6" s="1"/>
  <c r="P500" i="5"/>
  <c r="P500" i="6" s="1"/>
  <c r="T499" i="5"/>
  <c r="T499" i="6" s="1"/>
  <c r="S499" i="5"/>
  <c r="S499" i="6" s="1"/>
  <c r="R499" i="5"/>
  <c r="R499" i="6" s="1"/>
  <c r="Q499" i="5"/>
  <c r="Q499" i="6" s="1"/>
  <c r="P499" i="5"/>
  <c r="P499" i="6" s="1"/>
  <c r="T498" i="5"/>
  <c r="T498" i="6" s="1"/>
  <c r="S498" i="5"/>
  <c r="S498" i="6" s="1"/>
  <c r="R498" i="5"/>
  <c r="R498" i="6" s="1"/>
  <c r="Q498" i="5"/>
  <c r="Q498" i="6" s="1"/>
  <c r="P498" i="5"/>
  <c r="P498" i="6" s="1"/>
  <c r="T497" i="5"/>
  <c r="T497" i="6" s="1"/>
  <c r="S497" i="5"/>
  <c r="S497" i="6" s="1"/>
  <c r="R497" i="5"/>
  <c r="R497" i="6" s="1"/>
  <c r="Q497" i="5"/>
  <c r="Q497" i="6" s="1"/>
  <c r="P497" i="5"/>
  <c r="P497" i="6" s="1"/>
  <c r="T496" i="5"/>
  <c r="T496" i="6" s="1"/>
  <c r="S496" i="5"/>
  <c r="S496" i="6" s="1"/>
  <c r="R496" i="5"/>
  <c r="R496" i="6" s="1"/>
  <c r="Q496" i="5"/>
  <c r="Q496" i="6" s="1"/>
  <c r="P496" i="5"/>
  <c r="P496" i="6" s="1"/>
  <c r="T495" i="5"/>
  <c r="T495" i="6" s="1"/>
  <c r="S495" i="5"/>
  <c r="S495" i="6" s="1"/>
  <c r="R495" i="5"/>
  <c r="R495" i="6" s="1"/>
  <c r="Q495" i="5"/>
  <c r="Q495" i="6" s="1"/>
  <c r="P495" i="5"/>
  <c r="P495" i="6" s="1"/>
  <c r="T494" i="5"/>
  <c r="T494" i="6" s="1"/>
  <c r="S494" i="5"/>
  <c r="S494" i="6" s="1"/>
  <c r="R494" i="5"/>
  <c r="R494" i="6" s="1"/>
  <c r="Q494" i="5"/>
  <c r="Q494" i="6" s="1"/>
  <c r="P494" i="5"/>
  <c r="P494" i="6" s="1"/>
  <c r="T493" i="5"/>
  <c r="T493" i="6" s="1"/>
  <c r="S493" i="5"/>
  <c r="S493" i="6" s="1"/>
  <c r="R493" i="5"/>
  <c r="R493" i="6" s="1"/>
  <c r="Q493" i="5"/>
  <c r="Q493" i="6" s="1"/>
  <c r="P493" i="5"/>
  <c r="P493" i="6" s="1"/>
  <c r="T492" i="5"/>
  <c r="T492" i="6" s="1"/>
  <c r="S492" i="5"/>
  <c r="S492" i="6" s="1"/>
  <c r="R492" i="5"/>
  <c r="R492" i="6" s="1"/>
  <c r="Q492" i="5"/>
  <c r="Q492" i="6" s="1"/>
  <c r="P492" i="5"/>
  <c r="P492" i="6" s="1"/>
  <c r="T491" i="5"/>
  <c r="T491" i="6" s="1"/>
  <c r="S491" i="5"/>
  <c r="S491" i="6" s="1"/>
  <c r="R491" i="5"/>
  <c r="R491" i="6" s="1"/>
  <c r="Q491" i="5"/>
  <c r="Q491" i="6" s="1"/>
  <c r="P491" i="5"/>
  <c r="P491" i="6" s="1"/>
  <c r="T490" i="5"/>
  <c r="T490" i="6" s="1"/>
  <c r="S490" i="5"/>
  <c r="S490" i="6" s="1"/>
  <c r="R490" i="5"/>
  <c r="R490" i="6" s="1"/>
  <c r="Q490" i="5"/>
  <c r="Q490" i="6" s="1"/>
  <c r="P490" i="5"/>
  <c r="P490" i="6" s="1"/>
  <c r="T489" i="5"/>
  <c r="T489" i="6" s="1"/>
  <c r="S489" i="5"/>
  <c r="S489" i="6" s="1"/>
  <c r="R489" i="5"/>
  <c r="R489" i="6" s="1"/>
  <c r="Q489" i="5"/>
  <c r="Q489" i="6" s="1"/>
  <c r="P489" i="5"/>
  <c r="P489" i="6" s="1"/>
  <c r="T488" i="5"/>
  <c r="T488" i="6" s="1"/>
  <c r="S488" i="5"/>
  <c r="S488" i="6" s="1"/>
  <c r="R488" i="5"/>
  <c r="R488" i="6" s="1"/>
  <c r="Q488" i="5"/>
  <c r="Q488" i="6" s="1"/>
  <c r="P488" i="5"/>
  <c r="P488" i="6" s="1"/>
  <c r="T487" i="5"/>
  <c r="T487" i="6" s="1"/>
  <c r="S487" i="5"/>
  <c r="S487" i="6" s="1"/>
  <c r="R487" i="5"/>
  <c r="R487" i="6" s="1"/>
  <c r="Q487" i="5"/>
  <c r="Q487" i="6" s="1"/>
  <c r="P487" i="5"/>
  <c r="P487" i="6" s="1"/>
  <c r="T486" i="5"/>
  <c r="T486" i="6" s="1"/>
  <c r="S486" i="5"/>
  <c r="S486" i="6" s="1"/>
  <c r="R486" i="5"/>
  <c r="R486" i="6" s="1"/>
  <c r="Q486" i="5"/>
  <c r="Q486" i="6" s="1"/>
  <c r="P486" i="5"/>
  <c r="P486" i="6" s="1"/>
  <c r="T485" i="5"/>
  <c r="T485" i="6" s="1"/>
  <c r="S485" i="5"/>
  <c r="S485" i="6" s="1"/>
  <c r="R485" i="5"/>
  <c r="R485" i="6" s="1"/>
  <c r="Q485" i="5"/>
  <c r="Q485" i="6" s="1"/>
  <c r="P485" i="5"/>
  <c r="P485" i="6" s="1"/>
  <c r="T484" i="5"/>
  <c r="T484" i="6" s="1"/>
  <c r="S484" i="5"/>
  <c r="S484" i="6" s="1"/>
  <c r="R484" i="5"/>
  <c r="R484" i="6" s="1"/>
  <c r="Q484" i="5"/>
  <c r="Q484" i="6" s="1"/>
  <c r="P484" i="5"/>
  <c r="P484" i="6" s="1"/>
  <c r="T483" i="5"/>
  <c r="T483" i="6" s="1"/>
  <c r="S483" i="5"/>
  <c r="S483" i="6" s="1"/>
  <c r="R483" i="5"/>
  <c r="R483" i="6" s="1"/>
  <c r="Q483" i="5"/>
  <c r="Q483" i="6" s="1"/>
  <c r="P483" i="5"/>
  <c r="P483" i="6" s="1"/>
  <c r="T482" i="5"/>
  <c r="T482" i="6" s="1"/>
  <c r="S482" i="5"/>
  <c r="S482" i="6" s="1"/>
  <c r="R482" i="5"/>
  <c r="R482" i="6" s="1"/>
  <c r="Q482" i="5"/>
  <c r="Q482" i="6" s="1"/>
  <c r="P482" i="5"/>
  <c r="P482" i="6" s="1"/>
  <c r="T481" i="5"/>
  <c r="T481" i="6" s="1"/>
  <c r="S481" i="5"/>
  <c r="S481" i="6" s="1"/>
  <c r="R481" i="5"/>
  <c r="R481" i="6" s="1"/>
  <c r="Q481" i="5"/>
  <c r="Q481" i="6" s="1"/>
  <c r="P481" i="5"/>
  <c r="P481" i="6" s="1"/>
  <c r="T480" i="5"/>
  <c r="T480" i="6" s="1"/>
  <c r="S480" i="5"/>
  <c r="S480" i="6" s="1"/>
  <c r="R480" i="5"/>
  <c r="R480" i="6" s="1"/>
  <c r="Q480" i="5"/>
  <c r="Q480" i="6" s="1"/>
  <c r="P480" i="5"/>
  <c r="P480" i="6" s="1"/>
  <c r="T479" i="5"/>
  <c r="T479" i="6" s="1"/>
  <c r="S479" i="5"/>
  <c r="S479" i="6" s="1"/>
  <c r="R479" i="5"/>
  <c r="R479" i="6" s="1"/>
  <c r="Q479" i="5"/>
  <c r="Q479" i="6" s="1"/>
  <c r="P479" i="5"/>
  <c r="P479" i="6" s="1"/>
  <c r="T478" i="5"/>
  <c r="T478" i="6" s="1"/>
  <c r="S478" i="5"/>
  <c r="S478" i="6" s="1"/>
  <c r="R478" i="5"/>
  <c r="R478" i="6" s="1"/>
  <c r="Q478" i="5"/>
  <c r="Q478" i="6" s="1"/>
  <c r="P478" i="5"/>
  <c r="P478" i="6" s="1"/>
  <c r="T477" i="5"/>
  <c r="T477" i="6" s="1"/>
  <c r="S477" i="5"/>
  <c r="S477" i="6" s="1"/>
  <c r="R477" i="5"/>
  <c r="R477" i="6" s="1"/>
  <c r="Q477" i="5"/>
  <c r="Q477" i="6" s="1"/>
  <c r="P477" i="5"/>
  <c r="P477" i="6" s="1"/>
  <c r="T476" i="5"/>
  <c r="T476" i="6" s="1"/>
  <c r="S476" i="5"/>
  <c r="S476" i="6" s="1"/>
  <c r="R476" i="5"/>
  <c r="R476" i="6" s="1"/>
  <c r="Q476" i="5"/>
  <c r="Q476" i="6" s="1"/>
  <c r="P476" i="5"/>
  <c r="P476" i="6" s="1"/>
  <c r="T475" i="5"/>
  <c r="T475" i="6" s="1"/>
  <c r="S475" i="5"/>
  <c r="S475" i="6" s="1"/>
  <c r="R475" i="5"/>
  <c r="R475" i="6" s="1"/>
  <c r="Q475" i="5"/>
  <c r="Q475" i="6" s="1"/>
  <c r="P475" i="5"/>
  <c r="P475" i="6" s="1"/>
  <c r="T474" i="5"/>
  <c r="T474" i="6" s="1"/>
  <c r="S474" i="5"/>
  <c r="S474" i="6" s="1"/>
  <c r="R474" i="5"/>
  <c r="R474" i="6" s="1"/>
  <c r="Q474" i="5"/>
  <c r="Q474" i="6" s="1"/>
  <c r="P474" i="5"/>
  <c r="P474" i="6" s="1"/>
  <c r="T473" i="5"/>
  <c r="T473" i="6" s="1"/>
  <c r="S473" i="5"/>
  <c r="S473" i="6" s="1"/>
  <c r="R473" i="5"/>
  <c r="R473" i="6" s="1"/>
  <c r="Q473" i="5"/>
  <c r="Q473" i="6" s="1"/>
  <c r="P473" i="5"/>
  <c r="P473" i="6" s="1"/>
  <c r="T472" i="5"/>
  <c r="T472" i="6" s="1"/>
  <c r="S472" i="5"/>
  <c r="S472" i="6" s="1"/>
  <c r="R472" i="5"/>
  <c r="R472" i="6" s="1"/>
  <c r="Q472" i="5"/>
  <c r="Q472" i="6" s="1"/>
  <c r="P472" i="5"/>
  <c r="P472" i="6" s="1"/>
  <c r="T471" i="5"/>
  <c r="T471" i="6" s="1"/>
  <c r="S471" i="5"/>
  <c r="S471" i="6" s="1"/>
  <c r="R471" i="5"/>
  <c r="R471" i="6" s="1"/>
  <c r="Q471" i="5"/>
  <c r="Q471" i="6" s="1"/>
  <c r="P471" i="5"/>
  <c r="P471" i="6" s="1"/>
  <c r="T470" i="5"/>
  <c r="T470" i="6" s="1"/>
  <c r="S470" i="5"/>
  <c r="S470" i="6" s="1"/>
  <c r="R470" i="5"/>
  <c r="R470" i="6" s="1"/>
  <c r="Q470" i="5"/>
  <c r="Q470" i="6" s="1"/>
  <c r="P470" i="5"/>
  <c r="P470" i="6" s="1"/>
  <c r="T469" i="5"/>
  <c r="T469" i="6" s="1"/>
  <c r="S469" i="5"/>
  <c r="S469" i="6" s="1"/>
  <c r="R469" i="5"/>
  <c r="R469" i="6" s="1"/>
  <c r="Q469" i="5"/>
  <c r="Q469" i="6" s="1"/>
  <c r="P469" i="5"/>
  <c r="P469" i="6" s="1"/>
  <c r="T468" i="5"/>
  <c r="T468" i="6" s="1"/>
  <c r="S468" i="5"/>
  <c r="S468" i="6" s="1"/>
  <c r="R468" i="5"/>
  <c r="R468" i="6" s="1"/>
  <c r="Q468" i="5"/>
  <c r="Q468" i="6" s="1"/>
  <c r="P468" i="5"/>
  <c r="P468" i="6" s="1"/>
  <c r="T467" i="5"/>
  <c r="T467" i="6" s="1"/>
  <c r="S467" i="5"/>
  <c r="S467" i="6" s="1"/>
  <c r="R467" i="5"/>
  <c r="R467" i="6" s="1"/>
  <c r="Q467" i="5"/>
  <c r="Q467" i="6" s="1"/>
  <c r="P467" i="5"/>
  <c r="P467" i="6" s="1"/>
  <c r="T466" i="5"/>
  <c r="T466" i="6" s="1"/>
  <c r="S466" i="5"/>
  <c r="S466" i="6" s="1"/>
  <c r="R466" i="5"/>
  <c r="R466" i="6" s="1"/>
  <c r="Q466" i="5"/>
  <c r="Q466" i="6" s="1"/>
  <c r="P466" i="5"/>
  <c r="P466" i="6" s="1"/>
  <c r="T465" i="5"/>
  <c r="T465" i="6" s="1"/>
  <c r="S465" i="5"/>
  <c r="S465" i="6" s="1"/>
  <c r="R465" i="5"/>
  <c r="R465" i="6" s="1"/>
  <c r="Q465" i="5"/>
  <c r="Q465" i="6" s="1"/>
  <c r="P465" i="5"/>
  <c r="P465" i="6" s="1"/>
  <c r="T464" i="5"/>
  <c r="T464" i="6" s="1"/>
  <c r="S464" i="5"/>
  <c r="S464" i="6" s="1"/>
  <c r="R464" i="5"/>
  <c r="R464" i="6" s="1"/>
  <c r="Q464" i="5"/>
  <c r="Q464" i="6" s="1"/>
  <c r="P464" i="5"/>
  <c r="P464" i="6" s="1"/>
  <c r="T463" i="5"/>
  <c r="T463" i="6" s="1"/>
  <c r="S463" i="5"/>
  <c r="S463" i="6" s="1"/>
  <c r="R463" i="5"/>
  <c r="R463" i="6" s="1"/>
  <c r="Q463" i="5"/>
  <c r="Q463" i="6" s="1"/>
  <c r="P463" i="5"/>
  <c r="P463" i="6" s="1"/>
  <c r="T462" i="5"/>
  <c r="T462" i="6" s="1"/>
  <c r="S462" i="5"/>
  <c r="S462" i="6" s="1"/>
  <c r="R462" i="5"/>
  <c r="R462" i="6" s="1"/>
  <c r="Q462" i="5"/>
  <c r="Q462" i="6" s="1"/>
  <c r="P462" i="5"/>
  <c r="P462" i="6" s="1"/>
  <c r="T461" i="5"/>
  <c r="T461" i="6" s="1"/>
  <c r="S461" i="5"/>
  <c r="S461" i="6" s="1"/>
  <c r="R461" i="5"/>
  <c r="R461" i="6" s="1"/>
  <c r="Q461" i="5"/>
  <c r="Q461" i="6" s="1"/>
  <c r="P461" i="5"/>
  <c r="P461" i="6" s="1"/>
  <c r="T460" i="5"/>
  <c r="T460" i="6" s="1"/>
  <c r="S460" i="5"/>
  <c r="S460" i="6" s="1"/>
  <c r="R460" i="5"/>
  <c r="R460" i="6" s="1"/>
  <c r="Q460" i="5"/>
  <c r="Q460" i="6" s="1"/>
  <c r="P460" i="5"/>
  <c r="P460" i="6" s="1"/>
  <c r="T459" i="5"/>
  <c r="T459" i="6" s="1"/>
  <c r="S459" i="5"/>
  <c r="S459" i="6" s="1"/>
  <c r="R459" i="5"/>
  <c r="R459" i="6" s="1"/>
  <c r="Q459" i="5"/>
  <c r="Q459" i="6" s="1"/>
  <c r="P459" i="5"/>
  <c r="P459" i="6" s="1"/>
  <c r="T458" i="5"/>
  <c r="T458" i="6" s="1"/>
  <c r="S458" i="5"/>
  <c r="S458" i="6" s="1"/>
  <c r="R458" i="5"/>
  <c r="R458" i="6" s="1"/>
  <c r="Q458" i="5"/>
  <c r="Q458" i="6" s="1"/>
  <c r="P458" i="5"/>
  <c r="P458" i="6" s="1"/>
  <c r="T457" i="5"/>
  <c r="T457" i="6" s="1"/>
  <c r="S457" i="5"/>
  <c r="S457" i="6" s="1"/>
  <c r="R457" i="5"/>
  <c r="R457" i="6" s="1"/>
  <c r="Q457" i="5"/>
  <c r="Q457" i="6" s="1"/>
  <c r="P457" i="5"/>
  <c r="P457" i="6" s="1"/>
  <c r="T456" i="5"/>
  <c r="T456" i="6" s="1"/>
  <c r="S456" i="5"/>
  <c r="S456" i="6" s="1"/>
  <c r="R456" i="5"/>
  <c r="R456" i="6" s="1"/>
  <c r="Q456" i="5"/>
  <c r="Q456" i="6" s="1"/>
  <c r="P456" i="5"/>
  <c r="P456" i="6" s="1"/>
  <c r="T455" i="5"/>
  <c r="T455" i="6" s="1"/>
  <c r="S455" i="5"/>
  <c r="S455" i="6" s="1"/>
  <c r="R455" i="5"/>
  <c r="R455" i="6" s="1"/>
  <c r="Q455" i="5"/>
  <c r="Q455" i="6" s="1"/>
  <c r="P455" i="5"/>
  <c r="P455" i="6" s="1"/>
  <c r="T454" i="5"/>
  <c r="T454" i="6" s="1"/>
  <c r="S454" i="5"/>
  <c r="S454" i="6" s="1"/>
  <c r="R454" i="5"/>
  <c r="R454" i="6" s="1"/>
  <c r="Q454" i="5"/>
  <c r="Q454" i="6" s="1"/>
  <c r="P454" i="5"/>
  <c r="P454" i="6" s="1"/>
  <c r="T453" i="5"/>
  <c r="T453" i="6" s="1"/>
  <c r="S453" i="5"/>
  <c r="S453" i="6" s="1"/>
  <c r="R453" i="5"/>
  <c r="R453" i="6" s="1"/>
  <c r="Q453" i="5"/>
  <c r="Q453" i="6" s="1"/>
  <c r="P453" i="5"/>
  <c r="P453" i="6" s="1"/>
  <c r="T452" i="5"/>
  <c r="T452" i="6" s="1"/>
  <c r="S452" i="5"/>
  <c r="S452" i="6" s="1"/>
  <c r="R452" i="5"/>
  <c r="R452" i="6" s="1"/>
  <c r="Q452" i="5"/>
  <c r="Q452" i="6" s="1"/>
  <c r="P452" i="5"/>
  <c r="P452" i="6" s="1"/>
  <c r="T451" i="5"/>
  <c r="T451" i="6" s="1"/>
  <c r="S451" i="5"/>
  <c r="S451" i="6" s="1"/>
  <c r="R451" i="5"/>
  <c r="R451" i="6" s="1"/>
  <c r="Q451" i="5"/>
  <c r="Q451" i="6" s="1"/>
  <c r="P451" i="5"/>
  <c r="P451" i="6" s="1"/>
  <c r="T450" i="5"/>
  <c r="T450" i="6" s="1"/>
  <c r="S450" i="5"/>
  <c r="S450" i="6" s="1"/>
  <c r="R450" i="5"/>
  <c r="R450" i="6" s="1"/>
  <c r="Q450" i="5"/>
  <c r="Q450" i="6" s="1"/>
  <c r="P450" i="5"/>
  <c r="P450" i="6" s="1"/>
  <c r="T449" i="5"/>
  <c r="T449" i="6" s="1"/>
  <c r="S449" i="5"/>
  <c r="S449" i="6" s="1"/>
  <c r="R449" i="5"/>
  <c r="R449" i="6" s="1"/>
  <c r="Q449" i="5"/>
  <c r="Q449" i="6" s="1"/>
  <c r="P449" i="5"/>
  <c r="P449" i="6" s="1"/>
  <c r="T448" i="5"/>
  <c r="T448" i="6" s="1"/>
  <c r="S448" i="5"/>
  <c r="S448" i="6" s="1"/>
  <c r="R448" i="5"/>
  <c r="R448" i="6" s="1"/>
  <c r="Q448" i="5"/>
  <c r="Q448" i="6" s="1"/>
  <c r="P448" i="5"/>
  <c r="P448" i="6" s="1"/>
  <c r="T447" i="5"/>
  <c r="T447" i="6" s="1"/>
  <c r="S447" i="5"/>
  <c r="S447" i="6" s="1"/>
  <c r="R447" i="5"/>
  <c r="R447" i="6" s="1"/>
  <c r="Q447" i="5"/>
  <c r="Q447" i="6" s="1"/>
  <c r="P447" i="5"/>
  <c r="P447" i="6" s="1"/>
  <c r="T446" i="5"/>
  <c r="T446" i="6" s="1"/>
  <c r="S446" i="5"/>
  <c r="S446" i="6" s="1"/>
  <c r="R446" i="5"/>
  <c r="R446" i="6" s="1"/>
  <c r="Q446" i="5"/>
  <c r="Q446" i="6" s="1"/>
  <c r="P446" i="5"/>
  <c r="P446" i="6" s="1"/>
  <c r="T445" i="5"/>
  <c r="T445" i="6" s="1"/>
  <c r="S445" i="5"/>
  <c r="S445" i="6" s="1"/>
  <c r="R445" i="5"/>
  <c r="R445" i="6" s="1"/>
  <c r="Q445" i="5"/>
  <c r="Q445" i="6" s="1"/>
  <c r="P445" i="5"/>
  <c r="P445" i="6" s="1"/>
  <c r="T444" i="5"/>
  <c r="T444" i="6" s="1"/>
  <c r="S444" i="5"/>
  <c r="S444" i="6" s="1"/>
  <c r="R444" i="5"/>
  <c r="R444" i="6" s="1"/>
  <c r="Q444" i="5"/>
  <c r="Q444" i="6" s="1"/>
  <c r="P444" i="5"/>
  <c r="P444" i="6" s="1"/>
  <c r="T443" i="5"/>
  <c r="T443" i="6" s="1"/>
  <c r="S443" i="5"/>
  <c r="S443" i="6" s="1"/>
  <c r="R443" i="5"/>
  <c r="R443" i="6" s="1"/>
  <c r="Q443" i="5"/>
  <c r="Q443" i="6" s="1"/>
  <c r="P443" i="5"/>
  <c r="P443" i="6" s="1"/>
  <c r="T442" i="5"/>
  <c r="T442" i="6" s="1"/>
  <c r="S442" i="5"/>
  <c r="S442" i="6" s="1"/>
  <c r="R442" i="5"/>
  <c r="R442" i="6" s="1"/>
  <c r="Q442" i="5"/>
  <c r="Q442" i="6" s="1"/>
  <c r="P442" i="5"/>
  <c r="P442" i="6" s="1"/>
  <c r="T441" i="5"/>
  <c r="T441" i="6" s="1"/>
  <c r="S441" i="5"/>
  <c r="S441" i="6" s="1"/>
  <c r="R441" i="5"/>
  <c r="R441" i="6" s="1"/>
  <c r="Q441" i="5"/>
  <c r="Q441" i="6" s="1"/>
  <c r="P441" i="5"/>
  <c r="P441" i="6" s="1"/>
  <c r="T440" i="5"/>
  <c r="T440" i="6" s="1"/>
  <c r="S440" i="5"/>
  <c r="S440" i="6" s="1"/>
  <c r="R440" i="5"/>
  <c r="R440" i="6" s="1"/>
  <c r="Q440" i="5"/>
  <c r="Q440" i="6" s="1"/>
  <c r="P440" i="5"/>
  <c r="P440" i="6" s="1"/>
  <c r="T439" i="5"/>
  <c r="T439" i="6" s="1"/>
  <c r="S439" i="5"/>
  <c r="S439" i="6" s="1"/>
  <c r="R439" i="5"/>
  <c r="R439" i="6" s="1"/>
  <c r="Q439" i="5"/>
  <c r="Q439" i="6" s="1"/>
  <c r="P439" i="5"/>
  <c r="P439" i="6" s="1"/>
  <c r="T438" i="5"/>
  <c r="T438" i="6" s="1"/>
  <c r="S438" i="5"/>
  <c r="S438" i="6" s="1"/>
  <c r="R438" i="5"/>
  <c r="R438" i="6" s="1"/>
  <c r="Q438" i="5"/>
  <c r="Q438" i="6" s="1"/>
  <c r="P438" i="5"/>
  <c r="P438" i="6" s="1"/>
  <c r="T437" i="5"/>
  <c r="T437" i="6" s="1"/>
  <c r="S437" i="5"/>
  <c r="S437" i="6" s="1"/>
  <c r="R437" i="5"/>
  <c r="R437" i="6" s="1"/>
  <c r="Q437" i="5"/>
  <c r="Q437" i="6" s="1"/>
  <c r="P437" i="5"/>
  <c r="P437" i="6" s="1"/>
  <c r="T436" i="5"/>
  <c r="T436" i="6" s="1"/>
  <c r="S436" i="5"/>
  <c r="S436" i="6" s="1"/>
  <c r="R436" i="5"/>
  <c r="R436" i="6" s="1"/>
  <c r="Q436" i="5"/>
  <c r="Q436" i="6" s="1"/>
  <c r="P436" i="5"/>
  <c r="P436" i="6" s="1"/>
  <c r="T435" i="5"/>
  <c r="T435" i="6" s="1"/>
  <c r="S435" i="5"/>
  <c r="S435" i="6" s="1"/>
  <c r="R435" i="5"/>
  <c r="R435" i="6" s="1"/>
  <c r="Q435" i="5"/>
  <c r="Q435" i="6" s="1"/>
  <c r="P435" i="5"/>
  <c r="P435" i="6" s="1"/>
  <c r="T434" i="5"/>
  <c r="T434" i="6" s="1"/>
  <c r="S434" i="5"/>
  <c r="S434" i="6" s="1"/>
  <c r="R434" i="5"/>
  <c r="R434" i="6" s="1"/>
  <c r="Q434" i="5"/>
  <c r="Q434" i="6" s="1"/>
  <c r="P434" i="5"/>
  <c r="P434" i="6" s="1"/>
  <c r="T433" i="5"/>
  <c r="T433" i="6" s="1"/>
  <c r="S433" i="5"/>
  <c r="S433" i="6" s="1"/>
  <c r="R433" i="5"/>
  <c r="R433" i="6" s="1"/>
  <c r="Q433" i="5"/>
  <c r="Q433" i="6" s="1"/>
  <c r="P433" i="5"/>
  <c r="P433" i="6" s="1"/>
  <c r="T432" i="5"/>
  <c r="T432" i="6" s="1"/>
  <c r="S432" i="5"/>
  <c r="S432" i="6" s="1"/>
  <c r="R432" i="5"/>
  <c r="R432" i="6" s="1"/>
  <c r="Q432" i="5"/>
  <c r="Q432" i="6" s="1"/>
  <c r="P432" i="5"/>
  <c r="P432" i="6" s="1"/>
  <c r="T431" i="5"/>
  <c r="T431" i="6" s="1"/>
  <c r="S431" i="5"/>
  <c r="S431" i="6" s="1"/>
  <c r="R431" i="5"/>
  <c r="R431" i="6" s="1"/>
  <c r="Q431" i="5"/>
  <c r="Q431" i="6" s="1"/>
  <c r="P431" i="5"/>
  <c r="P431" i="6" s="1"/>
  <c r="T430" i="5"/>
  <c r="T430" i="6" s="1"/>
  <c r="S430" i="5"/>
  <c r="S430" i="6" s="1"/>
  <c r="R430" i="5"/>
  <c r="R430" i="6" s="1"/>
  <c r="Q430" i="5"/>
  <c r="Q430" i="6" s="1"/>
  <c r="P430" i="5"/>
  <c r="P430" i="6" s="1"/>
  <c r="T429" i="5"/>
  <c r="T429" i="6" s="1"/>
  <c r="S429" i="5"/>
  <c r="S429" i="6" s="1"/>
  <c r="R429" i="5"/>
  <c r="R429" i="6" s="1"/>
  <c r="Q429" i="5"/>
  <c r="Q429" i="6" s="1"/>
  <c r="P429" i="5"/>
  <c r="P429" i="6" s="1"/>
  <c r="T428" i="5"/>
  <c r="T428" i="6" s="1"/>
  <c r="S428" i="5"/>
  <c r="S428" i="6" s="1"/>
  <c r="R428" i="5"/>
  <c r="R428" i="6" s="1"/>
  <c r="Q428" i="5"/>
  <c r="Q428" i="6" s="1"/>
  <c r="P428" i="5"/>
  <c r="P428" i="6" s="1"/>
  <c r="T427" i="5"/>
  <c r="T427" i="6" s="1"/>
  <c r="S427" i="5"/>
  <c r="S427" i="6" s="1"/>
  <c r="R427" i="5"/>
  <c r="R427" i="6" s="1"/>
  <c r="Q427" i="5"/>
  <c r="Q427" i="6" s="1"/>
  <c r="P427" i="5"/>
  <c r="P427" i="6" s="1"/>
  <c r="T426" i="5"/>
  <c r="T426" i="6" s="1"/>
  <c r="S426" i="5"/>
  <c r="S426" i="6" s="1"/>
  <c r="R426" i="5"/>
  <c r="R426" i="6" s="1"/>
  <c r="Q426" i="5"/>
  <c r="Q426" i="6" s="1"/>
  <c r="P426" i="5"/>
  <c r="P426" i="6" s="1"/>
  <c r="T425" i="5"/>
  <c r="T425" i="6" s="1"/>
  <c r="S425" i="5"/>
  <c r="S425" i="6" s="1"/>
  <c r="R425" i="5"/>
  <c r="R425" i="6" s="1"/>
  <c r="Q425" i="5"/>
  <c r="Q425" i="6" s="1"/>
  <c r="P425" i="5"/>
  <c r="P425" i="6" s="1"/>
  <c r="T424" i="5"/>
  <c r="T424" i="6" s="1"/>
  <c r="S424" i="5"/>
  <c r="S424" i="6" s="1"/>
  <c r="R424" i="5"/>
  <c r="R424" i="6" s="1"/>
  <c r="Q424" i="5"/>
  <c r="Q424" i="6" s="1"/>
  <c r="P424" i="5"/>
  <c r="P424" i="6" s="1"/>
  <c r="T423" i="5"/>
  <c r="T423" i="6" s="1"/>
  <c r="S423" i="5"/>
  <c r="S423" i="6" s="1"/>
  <c r="R423" i="5"/>
  <c r="R423" i="6" s="1"/>
  <c r="Q423" i="5"/>
  <c r="Q423" i="6" s="1"/>
  <c r="P423" i="5"/>
  <c r="P423" i="6" s="1"/>
  <c r="T422" i="5"/>
  <c r="T422" i="6" s="1"/>
  <c r="S422" i="5"/>
  <c r="S422" i="6" s="1"/>
  <c r="R422" i="5"/>
  <c r="R422" i="6" s="1"/>
  <c r="Q422" i="5"/>
  <c r="Q422" i="6" s="1"/>
  <c r="P422" i="5"/>
  <c r="P422" i="6" s="1"/>
  <c r="T421" i="5"/>
  <c r="T421" i="6" s="1"/>
  <c r="S421" i="5"/>
  <c r="S421" i="6" s="1"/>
  <c r="R421" i="5"/>
  <c r="R421" i="6" s="1"/>
  <c r="Q421" i="5"/>
  <c r="Q421" i="6" s="1"/>
  <c r="P421" i="5"/>
  <c r="P421" i="6" s="1"/>
  <c r="T420" i="5"/>
  <c r="T420" i="6" s="1"/>
  <c r="S420" i="5"/>
  <c r="S420" i="6" s="1"/>
  <c r="R420" i="5"/>
  <c r="R420" i="6" s="1"/>
  <c r="Q420" i="5"/>
  <c r="Q420" i="6" s="1"/>
  <c r="P420" i="5"/>
  <c r="P420" i="6" s="1"/>
  <c r="T419" i="5"/>
  <c r="T419" i="6" s="1"/>
  <c r="S419" i="5"/>
  <c r="S419" i="6" s="1"/>
  <c r="R419" i="5"/>
  <c r="R419" i="6" s="1"/>
  <c r="Q419" i="5"/>
  <c r="Q419" i="6" s="1"/>
  <c r="P419" i="5"/>
  <c r="P419" i="6" s="1"/>
  <c r="T418" i="5"/>
  <c r="T418" i="6" s="1"/>
  <c r="S418" i="5"/>
  <c r="S418" i="6" s="1"/>
  <c r="R418" i="5"/>
  <c r="R418" i="6" s="1"/>
  <c r="Q418" i="5"/>
  <c r="Q418" i="6" s="1"/>
  <c r="P418" i="5"/>
  <c r="P418" i="6" s="1"/>
  <c r="T417" i="5"/>
  <c r="T417" i="6" s="1"/>
  <c r="S417" i="5"/>
  <c r="S417" i="6" s="1"/>
  <c r="R417" i="5"/>
  <c r="R417" i="6" s="1"/>
  <c r="Q417" i="5"/>
  <c r="Q417" i="6" s="1"/>
  <c r="P417" i="5"/>
  <c r="P417" i="6" s="1"/>
  <c r="T416" i="5"/>
  <c r="T416" i="6" s="1"/>
  <c r="S416" i="5"/>
  <c r="S416" i="6" s="1"/>
  <c r="R416" i="5"/>
  <c r="R416" i="6" s="1"/>
  <c r="Q416" i="5"/>
  <c r="Q416" i="6" s="1"/>
  <c r="P416" i="5"/>
  <c r="P416" i="6" s="1"/>
  <c r="T415" i="5"/>
  <c r="T415" i="6" s="1"/>
  <c r="S415" i="5"/>
  <c r="S415" i="6" s="1"/>
  <c r="R415" i="5"/>
  <c r="R415" i="6" s="1"/>
  <c r="Q415" i="5"/>
  <c r="Q415" i="6" s="1"/>
  <c r="P415" i="5"/>
  <c r="P415" i="6" s="1"/>
  <c r="T414" i="5"/>
  <c r="T414" i="6" s="1"/>
  <c r="S414" i="5"/>
  <c r="S414" i="6" s="1"/>
  <c r="R414" i="5"/>
  <c r="R414" i="6" s="1"/>
  <c r="Q414" i="5"/>
  <c r="Q414" i="6" s="1"/>
  <c r="P414" i="5"/>
  <c r="P414" i="6" s="1"/>
  <c r="T413" i="5"/>
  <c r="T413" i="6" s="1"/>
  <c r="S413" i="5"/>
  <c r="S413" i="6" s="1"/>
  <c r="R413" i="5"/>
  <c r="R413" i="6" s="1"/>
  <c r="Q413" i="5"/>
  <c r="Q413" i="6" s="1"/>
  <c r="P413" i="5"/>
  <c r="P413" i="6" s="1"/>
  <c r="T412" i="5"/>
  <c r="T412" i="6" s="1"/>
  <c r="S412" i="5"/>
  <c r="S412" i="6" s="1"/>
  <c r="R412" i="5"/>
  <c r="R412" i="6" s="1"/>
  <c r="Q412" i="5"/>
  <c r="Q412" i="6" s="1"/>
  <c r="P412" i="5"/>
  <c r="P412" i="6" s="1"/>
  <c r="T411" i="5"/>
  <c r="T411" i="6" s="1"/>
  <c r="S411" i="5"/>
  <c r="S411" i="6" s="1"/>
  <c r="R411" i="5"/>
  <c r="R411" i="6" s="1"/>
  <c r="Q411" i="5"/>
  <c r="Q411" i="6" s="1"/>
  <c r="P411" i="5"/>
  <c r="P411" i="6" s="1"/>
  <c r="T410" i="5"/>
  <c r="T410" i="6" s="1"/>
  <c r="S410" i="5"/>
  <c r="S410" i="6" s="1"/>
  <c r="R410" i="5"/>
  <c r="R410" i="6" s="1"/>
  <c r="Q410" i="5"/>
  <c r="Q410" i="6" s="1"/>
  <c r="P410" i="5"/>
  <c r="P410" i="6" s="1"/>
  <c r="T409" i="5"/>
  <c r="T409" i="6" s="1"/>
  <c r="S409" i="5"/>
  <c r="S409" i="6" s="1"/>
  <c r="R409" i="5"/>
  <c r="R409" i="6" s="1"/>
  <c r="Q409" i="5"/>
  <c r="Q409" i="6" s="1"/>
  <c r="P409" i="5"/>
  <c r="P409" i="6" s="1"/>
  <c r="T408" i="5"/>
  <c r="T408" i="6" s="1"/>
  <c r="S408" i="5"/>
  <c r="S408" i="6" s="1"/>
  <c r="R408" i="5"/>
  <c r="R408" i="6" s="1"/>
  <c r="Q408" i="5"/>
  <c r="Q408" i="6" s="1"/>
  <c r="P408" i="5"/>
  <c r="P408" i="6" s="1"/>
  <c r="T407" i="5"/>
  <c r="T407" i="6" s="1"/>
  <c r="S407" i="5"/>
  <c r="S407" i="6" s="1"/>
  <c r="R407" i="5"/>
  <c r="R407" i="6" s="1"/>
  <c r="Q407" i="5"/>
  <c r="Q407" i="6" s="1"/>
  <c r="P407" i="5"/>
  <c r="P407" i="6" s="1"/>
  <c r="T406" i="5"/>
  <c r="T406" i="6" s="1"/>
  <c r="S406" i="5"/>
  <c r="S406" i="6" s="1"/>
  <c r="R406" i="5"/>
  <c r="R406" i="6" s="1"/>
  <c r="Q406" i="5"/>
  <c r="Q406" i="6" s="1"/>
  <c r="P406" i="5"/>
  <c r="P406" i="6" s="1"/>
  <c r="T405" i="5"/>
  <c r="T405" i="6" s="1"/>
  <c r="S405" i="5"/>
  <c r="S405" i="6" s="1"/>
  <c r="R405" i="5"/>
  <c r="R405" i="6" s="1"/>
  <c r="Q405" i="5"/>
  <c r="Q405" i="6" s="1"/>
  <c r="P405" i="5"/>
  <c r="P405" i="6" s="1"/>
  <c r="T404" i="5"/>
  <c r="T404" i="6" s="1"/>
  <c r="S404" i="5"/>
  <c r="S404" i="6" s="1"/>
  <c r="R404" i="5"/>
  <c r="R404" i="6" s="1"/>
  <c r="Q404" i="5"/>
  <c r="Q404" i="6" s="1"/>
  <c r="P404" i="5"/>
  <c r="P404" i="6" s="1"/>
  <c r="T403" i="5"/>
  <c r="T403" i="6" s="1"/>
  <c r="S403" i="5"/>
  <c r="S403" i="6" s="1"/>
  <c r="R403" i="5"/>
  <c r="R403" i="6" s="1"/>
  <c r="Q403" i="5"/>
  <c r="Q403" i="6" s="1"/>
  <c r="P403" i="5"/>
  <c r="P403" i="6" s="1"/>
  <c r="T402" i="5"/>
  <c r="T402" i="6" s="1"/>
  <c r="S402" i="5"/>
  <c r="S402" i="6" s="1"/>
  <c r="R402" i="5"/>
  <c r="R402" i="6" s="1"/>
  <c r="Q402" i="5"/>
  <c r="Q402" i="6" s="1"/>
  <c r="P402" i="5"/>
  <c r="P402" i="6" s="1"/>
  <c r="T401" i="5"/>
  <c r="T401" i="6" s="1"/>
  <c r="S401" i="5"/>
  <c r="S401" i="6" s="1"/>
  <c r="R401" i="5"/>
  <c r="R401" i="6" s="1"/>
  <c r="Q401" i="5"/>
  <c r="Q401" i="6" s="1"/>
  <c r="P401" i="5"/>
  <c r="P401" i="6" s="1"/>
  <c r="T400" i="5"/>
  <c r="T400" i="6" s="1"/>
  <c r="S400" i="5"/>
  <c r="S400" i="6" s="1"/>
  <c r="R400" i="5"/>
  <c r="R400" i="6" s="1"/>
  <c r="Q400" i="5"/>
  <c r="Q400" i="6" s="1"/>
  <c r="P400" i="5"/>
  <c r="P400" i="6" s="1"/>
  <c r="T399" i="5"/>
  <c r="T399" i="6" s="1"/>
  <c r="S399" i="5"/>
  <c r="S399" i="6" s="1"/>
  <c r="R399" i="5"/>
  <c r="R399" i="6" s="1"/>
  <c r="Q399" i="5"/>
  <c r="Q399" i="6" s="1"/>
  <c r="P399" i="5"/>
  <c r="P399" i="6" s="1"/>
  <c r="T398" i="5"/>
  <c r="T398" i="6" s="1"/>
  <c r="S398" i="5"/>
  <c r="S398" i="6" s="1"/>
  <c r="R398" i="5"/>
  <c r="R398" i="6" s="1"/>
  <c r="Q398" i="5"/>
  <c r="Q398" i="6" s="1"/>
  <c r="P398" i="5"/>
  <c r="P398" i="6" s="1"/>
  <c r="T397" i="5"/>
  <c r="T397" i="6" s="1"/>
  <c r="S397" i="5"/>
  <c r="S397" i="6" s="1"/>
  <c r="R397" i="5"/>
  <c r="R397" i="6" s="1"/>
  <c r="Q397" i="5"/>
  <c r="Q397" i="6" s="1"/>
  <c r="P397" i="5"/>
  <c r="P397" i="6" s="1"/>
  <c r="T396" i="5"/>
  <c r="T396" i="6" s="1"/>
  <c r="S396" i="5"/>
  <c r="S396" i="6" s="1"/>
  <c r="R396" i="5"/>
  <c r="R396" i="6" s="1"/>
  <c r="Q396" i="5"/>
  <c r="Q396" i="6" s="1"/>
  <c r="P396" i="5"/>
  <c r="P396" i="6" s="1"/>
  <c r="T395" i="5"/>
  <c r="T395" i="6" s="1"/>
  <c r="S395" i="5"/>
  <c r="S395" i="6" s="1"/>
  <c r="R395" i="5"/>
  <c r="R395" i="6" s="1"/>
  <c r="Q395" i="5"/>
  <c r="Q395" i="6" s="1"/>
  <c r="P395" i="5"/>
  <c r="P395" i="6" s="1"/>
  <c r="T394" i="5"/>
  <c r="T394" i="6" s="1"/>
  <c r="S394" i="5"/>
  <c r="S394" i="6" s="1"/>
  <c r="R394" i="5"/>
  <c r="R394" i="6" s="1"/>
  <c r="Q394" i="5"/>
  <c r="Q394" i="6" s="1"/>
  <c r="P394" i="5"/>
  <c r="P394" i="6" s="1"/>
  <c r="T393" i="5"/>
  <c r="T393" i="6" s="1"/>
  <c r="S393" i="5"/>
  <c r="S393" i="6" s="1"/>
  <c r="R393" i="5"/>
  <c r="R393" i="6" s="1"/>
  <c r="Q393" i="5"/>
  <c r="Q393" i="6" s="1"/>
  <c r="P393" i="5"/>
  <c r="P393" i="6" s="1"/>
  <c r="T392" i="5"/>
  <c r="T392" i="6" s="1"/>
  <c r="S392" i="5"/>
  <c r="S392" i="6" s="1"/>
  <c r="R392" i="5"/>
  <c r="R392" i="6" s="1"/>
  <c r="Q392" i="5"/>
  <c r="Q392" i="6" s="1"/>
  <c r="P392" i="5"/>
  <c r="P392" i="6" s="1"/>
  <c r="T391" i="5"/>
  <c r="T391" i="6" s="1"/>
  <c r="S391" i="5"/>
  <c r="S391" i="6" s="1"/>
  <c r="R391" i="5"/>
  <c r="R391" i="6" s="1"/>
  <c r="Q391" i="5"/>
  <c r="Q391" i="6" s="1"/>
  <c r="P391" i="5"/>
  <c r="P391" i="6" s="1"/>
  <c r="T390" i="5"/>
  <c r="T390" i="6" s="1"/>
  <c r="S390" i="5"/>
  <c r="S390" i="6" s="1"/>
  <c r="R390" i="5"/>
  <c r="R390" i="6" s="1"/>
  <c r="Q390" i="5"/>
  <c r="Q390" i="6" s="1"/>
  <c r="P390" i="5"/>
  <c r="P390" i="6" s="1"/>
  <c r="T389" i="5"/>
  <c r="T389" i="6" s="1"/>
  <c r="S389" i="5"/>
  <c r="S389" i="6" s="1"/>
  <c r="R389" i="5"/>
  <c r="R389" i="6" s="1"/>
  <c r="Q389" i="5"/>
  <c r="Q389" i="6" s="1"/>
  <c r="P389" i="5"/>
  <c r="P389" i="6" s="1"/>
  <c r="T388" i="5"/>
  <c r="T388" i="6" s="1"/>
  <c r="S388" i="5"/>
  <c r="S388" i="6" s="1"/>
  <c r="R388" i="5"/>
  <c r="R388" i="6" s="1"/>
  <c r="Q388" i="5"/>
  <c r="Q388" i="6" s="1"/>
  <c r="P388" i="5"/>
  <c r="P388" i="6" s="1"/>
  <c r="T387" i="5"/>
  <c r="T387" i="6" s="1"/>
  <c r="S387" i="5"/>
  <c r="S387" i="6" s="1"/>
  <c r="R387" i="5"/>
  <c r="R387" i="6" s="1"/>
  <c r="Q387" i="5"/>
  <c r="Q387" i="6" s="1"/>
  <c r="P387" i="5"/>
  <c r="P387" i="6" s="1"/>
  <c r="T386" i="5"/>
  <c r="T386" i="6" s="1"/>
  <c r="S386" i="5"/>
  <c r="S386" i="6" s="1"/>
  <c r="R386" i="5"/>
  <c r="R386" i="6" s="1"/>
  <c r="Q386" i="5"/>
  <c r="Q386" i="6" s="1"/>
  <c r="P386" i="5"/>
  <c r="P386" i="6" s="1"/>
  <c r="T385" i="5"/>
  <c r="T385" i="6" s="1"/>
  <c r="S385" i="5"/>
  <c r="S385" i="6" s="1"/>
  <c r="R385" i="5"/>
  <c r="R385" i="6" s="1"/>
  <c r="Q385" i="5"/>
  <c r="Q385" i="6" s="1"/>
  <c r="P385" i="5"/>
  <c r="P385" i="6" s="1"/>
  <c r="T384" i="5"/>
  <c r="T384" i="6" s="1"/>
  <c r="S384" i="5"/>
  <c r="S384" i="6" s="1"/>
  <c r="R384" i="5"/>
  <c r="R384" i="6" s="1"/>
  <c r="Q384" i="5"/>
  <c r="Q384" i="6" s="1"/>
  <c r="P384" i="5"/>
  <c r="P384" i="6" s="1"/>
  <c r="T383" i="5"/>
  <c r="T383" i="6" s="1"/>
  <c r="S383" i="5"/>
  <c r="S383" i="6" s="1"/>
  <c r="R383" i="5"/>
  <c r="R383" i="6" s="1"/>
  <c r="Q383" i="5"/>
  <c r="Q383" i="6" s="1"/>
  <c r="P383" i="5"/>
  <c r="P383" i="6" s="1"/>
  <c r="T382" i="5"/>
  <c r="T382" i="6" s="1"/>
  <c r="S382" i="5"/>
  <c r="S382" i="6" s="1"/>
  <c r="R382" i="5"/>
  <c r="R382" i="6" s="1"/>
  <c r="Q382" i="5"/>
  <c r="Q382" i="6" s="1"/>
  <c r="P382" i="5"/>
  <c r="P382" i="6" s="1"/>
  <c r="T381" i="5"/>
  <c r="T381" i="6" s="1"/>
  <c r="S381" i="5"/>
  <c r="S381" i="6" s="1"/>
  <c r="R381" i="5"/>
  <c r="R381" i="6" s="1"/>
  <c r="Q381" i="5"/>
  <c r="Q381" i="6" s="1"/>
  <c r="P381" i="5"/>
  <c r="P381" i="6" s="1"/>
  <c r="T380" i="5"/>
  <c r="T380" i="6" s="1"/>
  <c r="S380" i="5"/>
  <c r="S380" i="6" s="1"/>
  <c r="R380" i="5"/>
  <c r="R380" i="6" s="1"/>
  <c r="Q380" i="5"/>
  <c r="Q380" i="6" s="1"/>
  <c r="P380" i="5"/>
  <c r="P380" i="6" s="1"/>
  <c r="T379" i="5"/>
  <c r="T379" i="6" s="1"/>
  <c r="S379" i="5"/>
  <c r="S379" i="6" s="1"/>
  <c r="R379" i="5"/>
  <c r="R379" i="6" s="1"/>
  <c r="Q379" i="5"/>
  <c r="Q379" i="6" s="1"/>
  <c r="P379" i="5"/>
  <c r="P379" i="6" s="1"/>
  <c r="T378" i="5"/>
  <c r="T378" i="6" s="1"/>
  <c r="S378" i="5"/>
  <c r="S378" i="6" s="1"/>
  <c r="R378" i="5"/>
  <c r="R378" i="6" s="1"/>
  <c r="Q378" i="5"/>
  <c r="Q378" i="6" s="1"/>
  <c r="P378" i="5"/>
  <c r="P378" i="6" s="1"/>
  <c r="T377" i="5"/>
  <c r="T377" i="6" s="1"/>
  <c r="S377" i="5"/>
  <c r="S377" i="6" s="1"/>
  <c r="R377" i="5"/>
  <c r="R377" i="6" s="1"/>
  <c r="Q377" i="5"/>
  <c r="Q377" i="6" s="1"/>
  <c r="P377" i="5"/>
  <c r="P377" i="6" s="1"/>
  <c r="T376" i="5"/>
  <c r="T376" i="6" s="1"/>
  <c r="S376" i="5"/>
  <c r="S376" i="6" s="1"/>
  <c r="R376" i="5"/>
  <c r="R376" i="6" s="1"/>
  <c r="Q376" i="5"/>
  <c r="Q376" i="6" s="1"/>
  <c r="P376" i="5"/>
  <c r="P376" i="6" s="1"/>
  <c r="T375" i="5"/>
  <c r="T375" i="6" s="1"/>
  <c r="S375" i="5"/>
  <c r="S375" i="6" s="1"/>
  <c r="R375" i="5"/>
  <c r="R375" i="6" s="1"/>
  <c r="Q375" i="5"/>
  <c r="Q375" i="6" s="1"/>
  <c r="P375" i="5"/>
  <c r="P375" i="6" s="1"/>
  <c r="T374" i="5"/>
  <c r="T374" i="6" s="1"/>
  <c r="S374" i="5"/>
  <c r="S374" i="6" s="1"/>
  <c r="R374" i="5"/>
  <c r="R374" i="6" s="1"/>
  <c r="Q374" i="5"/>
  <c r="Q374" i="6" s="1"/>
  <c r="P374" i="5"/>
  <c r="P374" i="6" s="1"/>
  <c r="T373" i="5"/>
  <c r="T373" i="6" s="1"/>
  <c r="S373" i="5"/>
  <c r="S373" i="6" s="1"/>
  <c r="R373" i="5"/>
  <c r="R373" i="6" s="1"/>
  <c r="Q373" i="5"/>
  <c r="Q373" i="6" s="1"/>
  <c r="P373" i="5"/>
  <c r="P373" i="6" s="1"/>
  <c r="T372" i="5"/>
  <c r="T372" i="6" s="1"/>
  <c r="S372" i="5"/>
  <c r="S372" i="6" s="1"/>
  <c r="R372" i="5"/>
  <c r="R372" i="6" s="1"/>
  <c r="Q372" i="5"/>
  <c r="Q372" i="6" s="1"/>
  <c r="P372" i="5"/>
  <c r="P372" i="6" s="1"/>
  <c r="T371" i="5"/>
  <c r="T371" i="6" s="1"/>
  <c r="S371" i="5"/>
  <c r="S371" i="6" s="1"/>
  <c r="R371" i="5"/>
  <c r="R371" i="6" s="1"/>
  <c r="Q371" i="5"/>
  <c r="Q371" i="6" s="1"/>
  <c r="P371" i="5"/>
  <c r="P371" i="6" s="1"/>
  <c r="T370" i="5"/>
  <c r="T370" i="6" s="1"/>
  <c r="S370" i="5"/>
  <c r="S370" i="6" s="1"/>
  <c r="R370" i="5"/>
  <c r="R370" i="6" s="1"/>
  <c r="Q370" i="5"/>
  <c r="Q370" i="6" s="1"/>
  <c r="P370" i="5"/>
  <c r="P370" i="6" s="1"/>
  <c r="T369" i="5"/>
  <c r="T369" i="6" s="1"/>
  <c r="S369" i="5"/>
  <c r="S369" i="6" s="1"/>
  <c r="R369" i="5"/>
  <c r="R369" i="6" s="1"/>
  <c r="Q369" i="5"/>
  <c r="Q369" i="6" s="1"/>
  <c r="P369" i="5"/>
  <c r="P369" i="6" s="1"/>
  <c r="T368" i="5"/>
  <c r="T368" i="6" s="1"/>
  <c r="S368" i="5"/>
  <c r="S368" i="6" s="1"/>
  <c r="R368" i="5"/>
  <c r="R368" i="6" s="1"/>
  <c r="Q368" i="5"/>
  <c r="Q368" i="6" s="1"/>
  <c r="P368" i="5"/>
  <c r="P368" i="6" s="1"/>
  <c r="T367" i="5"/>
  <c r="T367" i="6" s="1"/>
  <c r="S367" i="5"/>
  <c r="S367" i="6" s="1"/>
  <c r="R367" i="5"/>
  <c r="R367" i="6" s="1"/>
  <c r="Q367" i="5"/>
  <c r="Q367" i="6" s="1"/>
  <c r="P367" i="5"/>
  <c r="P367" i="6" s="1"/>
  <c r="T366" i="5"/>
  <c r="T366" i="6" s="1"/>
  <c r="S366" i="5"/>
  <c r="S366" i="6" s="1"/>
  <c r="R366" i="5"/>
  <c r="R366" i="6" s="1"/>
  <c r="Q366" i="5"/>
  <c r="Q366" i="6" s="1"/>
  <c r="P366" i="5"/>
  <c r="P366" i="6" s="1"/>
  <c r="T365" i="5"/>
  <c r="T365" i="6" s="1"/>
  <c r="S365" i="5"/>
  <c r="S365" i="6" s="1"/>
  <c r="R365" i="5"/>
  <c r="R365" i="6" s="1"/>
  <c r="Q365" i="5"/>
  <c r="Q365" i="6" s="1"/>
  <c r="P365" i="5"/>
  <c r="P365" i="6" s="1"/>
  <c r="T364" i="5"/>
  <c r="T364" i="6" s="1"/>
  <c r="S364" i="5"/>
  <c r="S364" i="6" s="1"/>
  <c r="R364" i="5"/>
  <c r="R364" i="6" s="1"/>
  <c r="Q364" i="5"/>
  <c r="Q364" i="6" s="1"/>
  <c r="P364" i="5"/>
  <c r="P364" i="6" s="1"/>
  <c r="T363" i="5"/>
  <c r="T363" i="6" s="1"/>
  <c r="S363" i="5"/>
  <c r="S363" i="6" s="1"/>
  <c r="R363" i="5"/>
  <c r="R363" i="6" s="1"/>
  <c r="Q363" i="5"/>
  <c r="Q363" i="6" s="1"/>
  <c r="P363" i="5"/>
  <c r="P363" i="6" s="1"/>
  <c r="T362" i="5"/>
  <c r="T362" i="6" s="1"/>
  <c r="S362" i="5"/>
  <c r="S362" i="6" s="1"/>
  <c r="R362" i="5"/>
  <c r="R362" i="6" s="1"/>
  <c r="Q362" i="5"/>
  <c r="Q362" i="6" s="1"/>
  <c r="P362" i="5"/>
  <c r="P362" i="6" s="1"/>
  <c r="T361" i="5"/>
  <c r="T361" i="6" s="1"/>
  <c r="S361" i="5"/>
  <c r="S361" i="6" s="1"/>
  <c r="R361" i="5"/>
  <c r="R361" i="6" s="1"/>
  <c r="Q361" i="5"/>
  <c r="Q361" i="6" s="1"/>
  <c r="P361" i="5"/>
  <c r="P361" i="6" s="1"/>
  <c r="T360" i="5"/>
  <c r="T360" i="6" s="1"/>
  <c r="S360" i="5"/>
  <c r="S360" i="6" s="1"/>
  <c r="R360" i="5"/>
  <c r="R360" i="6" s="1"/>
  <c r="Q360" i="5"/>
  <c r="Q360" i="6" s="1"/>
  <c r="P360" i="5"/>
  <c r="P360" i="6" s="1"/>
  <c r="T359" i="5"/>
  <c r="T359" i="6" s="1"/>
  <c r="S359" i="5"/>
  <c r="S359" i="6" s="1"/>
  <c r="R359" i="5"/>
  <c r="R359" i="6" s="1"/>
  <c r="Q359" i="5"/>
  <c r="Q359" i="6" s="1"/>
  <c r="P359" i="5"/>
  <c r="P359" i="6" s="1"/>
  <c r="T358" i="5"/>
  <c r="T358" i="6" s="1"/>
  <c r="S358" i="5"/>
  <c r="S358" i="6" s="1"/>
  <c r="R358" i="5"/>
  <c r="R358" i="6" s="1"/>
  <c r="Q358" i="5"/>
  <c r="Q358" i="6" s="1"/>
  <c r="P358" i="5"/>
  <c r="P358" i="6" s="1"/>
  <c r="T357" i="5"/>
  <c r="T357" i="6" s="1"/>
  <c r="S357" i="5"/>
  <c r="S357" i="6" s="1"/>
  <c r="R357" i="5"/>
  <c r="R357" i="6" s="1"/>
  <c r="Q357" i="5"/>
  <c r="Q357" i="6" s="1"/>
  <c r="P357" i="5"/>
  <c r="P357" i="6" s="1"/>
  <c r="T356" i="5"/>
  <c r="T356" i="6" s="1"/>
  <c r="S356" i="5"/>
  <c r="S356" i="6" s="1"/>
  <c r="R356" i="5"/>
  <c r="R356" i="6" s="1"/>
  <c r="Q356" i="5"/>
  <c r="Q356" i="6" s="1"/>
  <c r="P356" i="5"/>
  <c r="P356" i="6" s="1"/>
  <c r="T355" i="5"/>
  <c r="T355" i="6" s="1"/>
  <c r="S355" i="5"/>
  <c r="S355" i="6" s="1"/>
  <c r="R355" i="5"/>
  <c r="R355" i="6" s="1"/>
  <c r="Q355" i="5"/>
  <c r="Q355" i="6" s="1"/>
  <c r="P355" i="5"/>
  <c r="P355" i="6" s="1"/>
  <c r="T354" i="5"/>
  <c r="T354" i="6" s="1"/>
  <c r="S354" i="5"/>
  <c r="S354" i="6" s="1"/>
  <c r="R354" i="5"/>
  <c r="R354" i="6" s="1"/>
  <c r="Q354" i="5"/>
  <c r="Q354" i="6" s="1"/>
  <c r="P354" i="5"/>
  <c r="P354" i="6" s="1"/>
  <c r="T353" i="5"/>
  <c r="T353" i="6" s="1"/>
  <c r="S353" i="5"/>
  <c r="S353" i="6" s="1"/>
  <c r="R353" i="5"/>
  <c r="R353" i="6" s="1"/>
  <c r="Q353" i="5"/>
  <c r="Q353" i="6" s="1"/>
  <c r="P353" i="5"/>
  <c r="P353" i="6" s="1"/>
  <c r="T352" i="5"/>
  <c r="T352" i="6" s="1"/>
  <c r="S352" i="5"/>
  <c r="S352" i="6" s="1"/>
  <c r="R352" i="5"/>
  <c r="R352" i="6" s="1"/>
  <c r="Q352" i="5"/>
  <c r="Q352" i="6" s="1"/>
  <c r="P352" i="5"/>
  <c r="P352" i="6" s="1"/>
  <c r="T351" i="5"/>
  <c r="T351" i="6" s="1"/>
  <c r="S351" i="5"/>
  <c r="S351" i="6" s="1"/>
  <c r="R351" i="5"/>
  <c r="R351" i="6" s="1"/>
  <c r="Q351" i="5"/>
  <c r="Q351" i="6" s="1"/>
  <c r="P351" i="5"/>
  <c r="P351" i="6" s="1"/>
  <c r="T350" i="5"/>
  <c r="T350" i="6" s="1"/>
  <c r="S350" i="5"/>
  <c r="S350" i="6" s="1"/>
  <c r="R350" i="5"/>
  <c r="R350" i="6" s="1"/>
  <c r="Q350" i="5"/>
  <c r="Q350" i="6" s="1"/>
  <c r="P350" i="5"/>
  <c r="P350" i="6" s="1"/>
  <c r="T349" i="5"/>
  <c r="T349" i="6" s="1"/>
  <c r="S349" i="5"/>
  <c r="S349" i="6" s="1"/>
  <c r="R349" i="5"/>
  <c r="R349" i="6" s="1"/>
  <c r="Q349" i="5"/>
  <c r="Q349" i="6" s="1"/>
  <c r="P349" i="5"/>
  <c r="P349" i="6" s="1"/>
  <c r="T348" i="5"/>
  <c r="T348" i="6" s="1"/>
  <c r="S348" i="5"/>
  <c r="S348" i="6" s="1"/>
  <c r="R348" i="5"/>
  <c r="R348" i="6" s="1"/>
  <c r="Q348" i="5"/>
  <c r="Q348" i="6" s="1"/>
  <c r="P348" i="5"/>
  <c r="P348" i="6" s="1"/>
  <c r="T347" i="5"/>
  <c r="T347" i="6" s="1"/>
  <c r="S347" i="5"/>
  <c r="S347" i="6" s="1"/>
  <c r="R347" i="5"/>
  <c r="R347" i="6" s="1"/>
  <c r="Q347" i="5"/>
  <c r="Q347" i="6" s="1"/>
  <c r="P347" i="5"/>
  <c r="P347" i="6" s="1"/>
  <c r="T346" i="5"/>
  <c r="T346" i="6" s="1"/>
  <c r="S346" i="5"/>
  <c r="S346" i="6" s="1"/>
  <c r="R346" i="5"/>
  <c r="R346" i="6" s="1"/>
  <c r="Q346" i="5"/>
  <c r="Q346" i="6" s="1"/>
  <c r="P346" i="5"/>
  <c r="P346" i="6" s="1"/>
  <c r="T345" i="5"/>
  <c r="T345" i="6" s="1"/>
  <c r="S345" i="5"/>
  <c r="S345" i="6" s="1"/>
  <c r="R345" i="5"/>
  <c r="R345" i="6" s="1"/>
  <c r="Q345" i="5"/>
  <c r="Q345" i="6" s="1"/>
  <c r="P345" i="5"/>
  <c r="P345" i="6" s="1"/>
  <c r="T344" i="5"/>
  <c r="T344" i="6" s="1"/>
  <c r="S344" i="5"/>
  <c r="S344" i="6" s="1"/>
  <c r="R344" i="5"/>
  <c r="R344" i="6" s="1"/>
  <c r="Q344" i="5"/>
  <c r="Q344" i="6" s="1"/>
  <c r="P344" i="5"/>
  <c r="P344" i="6" s="1"/>
  <c r="T343" i="5"/>
  <c r="T343" i="6" s="1"/>
  <c r="S343" i="5"/>
  <c r="S343" i="6" s="1"/>
  <c r="R343" i="5"/>
  <c r="R343" i="6" s="1"/>
  <c r="Q343" i="5"/>
  <c r="Q343" i="6" s="1"/>
  <c r="P343" i="5"/>
  <c r="P343" i="6" s="1"/>
  <c r="T342" i="5"/>
  <c r="T342" i="6" s="1"/>
  <c r="S342" i="5"/>
  <c r="S342" i="6" s="1"/>
  <c r="R342" i="5"/>
  <c r="R342" i="6" s="1"/>
  <c r="Q342" i="5"/>
  <c r="Q342" i="6" s="1"/>
  <c r="P342" i="5"/>
  <c r="P342" i="6" s="1"/>
  <c r="T341" i="5"/>
  <c r="T341" i="6" s="1"/>
  <c r="S341" i="5"/>
  <c r="S341" i="6" s="1"/>
  <c r="R341" i="5"/>
  <c r="R341" i="6" s="1"/>
  <c r="Q341" i="5"/>
  <c r="Q341" i="6" s="1"/>
  <c r="P341" i="5"/>
  <c r="P341" i="6" s="1"/>
  <c r="T340" i="5"/>
  <c r="T340" i="6" s="1"/>
  <c r="S340" i="5"/>
  <c r="S340" i="6" s="1"/>
  <c r="R340" i="5"/>
  <c r="R340" i="6" s="1"/>
  <c r="Q340" i="5"/>
  <c r="Q340" i="6" s="1"/>
  <c r="P340" i="5"/>
  <c r="P340" i="6" s="1"/>
  <c r="T339" i="5"/>
  <c r="T339" i="6" s="1"/>
  <c r="S339" i="5"/>
  <c r="S339" i="6" s="1"/>
  <c r="R339" i="5"/>
  <c r="R339" i="6" s="1"/>
  <c r="Q339" i="5"/>
  <c r="Q339" i="6" s="1"/>
  <c r="P339" i="5"/>
  <c r="P339" i="6" s="1"/>
  <c r="T338" i="5"/>
  <c r="T338" i="6" s="1"/>
  <c r="S338" i="5"/>
  <c r="S338" i="6" s="1"/>
  <c r="R338" i="5"/>
  <c r="R338" i="6" s="1"/>
  <c r="Q338" i="5"/>
  <c r="Q338" i="6" s="1"/>
  <c r="P338" i="5"/>
  <c r="P338" i="6" s="1"/>
  <c r="T337" i="5"/>
  <c r="T337" i="6" s="1"/>
  <c r="S337" i="5"/>
  <c r="S337" i="6" s="1"/>
  <c r="R337" i="5"/>
  <c r="R337" i="6" s="1"/>
  <c r="Q337" i="5"/>
  <c r="Q337" i="6" s="1"/>
  <c r="P337" i="5"/>
  <c r="P337" i="6" s="1"/>
  <c r="T336" i="5"/>
  <c r="T336" i="6" s="1"/>
  <c r="S336" i="5"/>
  <c r="S336" i="6" s="1"/>
  <c r="R336" i="5"/>
  <c r="R336" i="6" s="1"/>
  <c r="Q336" i="5"/>
  <c r="Q336" i="6" s="1"/>
  <c r="P336" i="5"/>
  <c r="P336" i="6" s="1"/>
  <c r="T335" i="5"/>
  <c r="T335" i="6" s="1"/>
  <c r="S335" i="5"/>
  <c r="S335" i="6" s="1"/>
  <c r="R335" i="5"/>
  <c r="R335" i="6" s="1"/>
  <c r="Q335" i="5"/>
  <c r="Q335" i="6" s="1"/>
  <c r="P335" i="5"/>
  <c r="P335" i="6" s="1"/>
  <c r="T334" i="5"/>
  <c r="T334" i="6" s="1"/>
  <c r="S334" i="5"/>
  <c r="S334" i="6" s="1"/>
  <c r="R334" i="5"/>
  <c r="R334" i="6" s="1"/>
  <c r="Q334" i="5"/>
  <c r="Q334" i="6" s="1"/>
  <c r="P334" i="5"/>
  <c r="P334" i="6" s="1"/>
  <c r="T333" i="5"/>
  <c r="T333" i="6" s="1"/>
  <c r="S333" i="5"/>
  <c r="S333" i="6" s="1"/>
  <c r="R333" i="5"/>
  <c r="R333" i="6" s="1"/>
  <c r="Q333" i="5"/>
  <c r="Q333" i="6" s="1"/>
  <c r="P333" i="5"/>
  <c r="P333" i="6" s="1"/>
  <c r="T332" i="5"/>
  <c r="T332" i="6" s="1"/>
  <c r="S332" i="5"/>
  <c r="S332" i="6" s="1"/>
  <c r="R332" i="5"/>
  <c r="R332" i="6" s="1"/>
  <c r="Q332" i="5"/>
  <c r="Q332" i="6" s="1"/>
  <c r="P332" i="5"/>
  <c r="P332" i="6" s="1"/>
  <c r="T331" i="5"/>
  <c r="T331" i="6" s="1"/>
  <c r="S331" i="5"/>
  <c r="S331" i="6" s="1"/>
  <c r="R331" i="5"/>
  <c r="R331" i="6" s="1"/>
  <c r="Q331" i="5"/>
  <c r="Q331" i="6" s="1"/>
  <c r="P331" i="5"/>
  <c r="P331" i="6" s="1"/>
  <c r="T330" i="5"/>
  <c r="T330" i="6" s="1"/>
  <c r="S330" i="5"/>
  <c r="S330" i="6" s="1"/>
  <c r="R330" i="5"/>
  <c r="R330" i="6" s="1"/>
  <c r="Q330" i="5"/>
  <c r="Q330" i="6" s="1"/>
  <c r="P330" i="5"/>
  <c r="P330" i="6" s="1"/>
  <c r="T329" i="5"/>
  <c r="T329" i="6" s="1"/>
  <c r="S329" i="5"/>
  <c r="S329" i="6" s="1"/>
  <c r="R329" i="5"/>
  <c r="R329" i="6" s="1"/>
  <c r="Q329" i="5"/>
  <c r="Q329" i="6" s="1"/>
  <c r="P329" i="5"/>
  <c r="P329" i="6" s="1"/>
  <c r="T328" i="5"/>
  <c r="T328" i="6" s="1"/>
  <c r="S328" i="5"/>
  <c r="S328" i="6" s="1"/>
  <c r="R328" i="5"/>
  <c r="R328" i="6" s="1"/>
  <c r="Q328" i="5"/>
  <c r="Q328" i="6" s="1"/>
  <c r="P328" i="5"/>
  <c r="P328" i="6" s="1"/>
  <c r="T327" i="5"/>
  <c r="T327" i="6" s="1"/>
  <c r="S327" i="5"/>
  <c r="S327" i="6" s="1"/>
  <c r="R327" i="5"/>
  <c r="R327" i="6" s="1"/>
  <c r="Q327" i="5"/>
  <c r="Q327" i="6" s="1"/>
  <c r="P327" i="5"/>
  <c r="P327" i="6" s="1"/>
  <c r="T326" i="5"/>
  <c r="T326" i="6" s="1"/>
  <c r="S326" i="5"/>
  <c r="S326" i="6" s="1"/>
  <c r="R326" i="5"/>
  <c r="R326" i="6" s="1"/>
  <c r="Q326" i="5"/>
  <c r="Q326" i="6" s="1"/>
  <c r="P326" i="5"/>
  <c r="P326" i="6" s="1"/>
  <c r="T325" i="5"/>
  <c r="T325" i="6" s="1"/>
  <c r="S325" i="5"/>
  <c r="S325" i="6" s="1"/>
  <c r="R325" i="5"/>
  <c r="R325" i="6" s="1"/>
  <c r="Q325" i="5"/>
  <c r="Q325" i="6" s="1"/>
  <c r="P325" i="5"/>
  <c r="P325" i="6" s="1"/>
  <c r="T324" i="5"/>
  <c r="T324" i="6" s="1"/>
  <c r="S324" i="5"/>
  <c r="S324" i="6" s="1"/>
  <c r="R324" i="5"/>
  <c r="R324" i="6" s="1"/>
  <c r="Q324" i="5"/>
  <c r="Q324" i="6" s="1"/>
  <c r="P324" i="5"/>
  <c r="P324" i="6" s="1"/>
  <c r="T323" i="5"/>
  <c r="T323" i="6" s="1"/>
  <c r="S323" i="5"/>
  <c r="S323" i="6" s="1"/>
  <c r="R323" i="5"/>
  <c r="R323" i="6" s="1"/>
  <c r="Q323" i="5"/>
  <c r="Q323" i="6" s="1"/>
  <c r="P323" i="5"/>
  <c r="P323" i="6" s="1"/>
  <c r="T322" i="5"/>
  <c r="T322" i="6" s="1"/>
  <c r="S322" i="5"/>
  <c r="S322" i="6" s="1"/>
  <c r="R322" i="5"/>
  <c r="R322" i="6" s="1"/>
  <c r="Q322" i="5"/>
  <c r="Q322" i="6" s="1"/>
  <c r="P322" i="5"/>
  <c r="P322" i="6" s="1"/>
  <c r="T321" i="5"/>
  <c r="T321" i="6" s="1"/>
  <c r="S321" i="5"/>
  <c r="S321" i="6" s="1"/>
  <c r="R321" i="5"/>
  <c r="R321" i="6" s="1"/>
  <c r="Q321" i="5"/>
  <c r="Q321" i="6" s="1"/>
  <c r="P321" i="5"/>
  <c r="P321" i="6" s="1"/>
  <c r="T320" i="5"/>
  <c r="T320" i="6" s="1"/>
  <c r="S320" i="5"/>
  <c r="S320" i="6" s="1"/>
  <c r="R320" i="5"/>
  <c r="R320" i="6" s="1"/>
  <c r="Q320" i="5"/>
  <c r="Q320" i="6" s="1"/>
  <c r="P320" i="5"/>
  <c r="P320" i="6" s="1"/>
  <c r="T319" i="5"/>
  <c r="T319" i="6" s="1"/>
  <c r="S319" i="5"/>
  <c r="S319" i="6" s="1"/>
  <c r="R319" i="5"/>
  <c r="R319" i="6" s="1"/>
  <c r="Q319" i="5"/>
  <c r="Q319" i="6" s="1"/>
  <c r="P319" i="5"/>
  <c r="P319" i="6" s="1"/>
  <c r="T318" i="5"/>
  <c r="T318" i="6" s="1"/>
  <c r="S318" i="5"/>
  <c r="S318" i="6" s="1"/>
  <c r="R318" i="5"/>
  <c r="R318" i="6" s="1"/>
  <c r="Q318" i="5"/>
  <c r="Q318" i="6" s="1"/>
  <c r="P318" i="5"/>
  <c r="P318" i="6" s="1"/>
  <c r="T317" i="5"/>
  <c r="T317" i="6" s="1"/>
  <c r="S317" i="5"/>
  <c r="S317" i="6" s="1"/>
  <c r="R317" i="5"/>
  <c r="R317" i="6" s="1"/>
  <c r="Q317" i="5"/>
  <c r="Q317" i="6" s="1"/>
  <c r="P317" i="5"/>
  <c r="P317" i="6" s="1"/>
  <c r="T316" i="5"/>
  <c r="T316" i="6" s="1"/>
  <c r="S316" i="5"/>
  <c r="S316" i="6" s="1"/>
  <c r="R316" i="5"/>
  <c r="R316" i="6" s="1"/>
  <c r="Q316" i="5"/>
  <c r="Q316" i="6" s="1"/>
  <c r="P316" i="5"/>
  <c r="P316" i="6" s="1"/>
  <c r="T315" i="5"/>
  <c r="T315" i="6" s="1"/>
  <c r="S315" i="5"/>
  <c r="S315" i="6" s="1"/>
  <c r="R315" i="5"/>
  <c r="R315" i="6" s="1"/>
  <c r="Q315" i="5"/>
  <c r="Q315" i="6" s="1"/>
  <c r="P315" i="5"/>
  <c r="P315" i="6" s="1"/>
  <c r="T314" i="5"/>
  <c r="T314" i="6" s="1"/>
  <c r="S314" i="5"/>
  <c r="S314" i="6" s="1"/>
  <c r="R314" i="5"/>
  <c r="R314" i="6" s="1"/>
  <c r="Q314" i="5"/>
  <c r="Q314" i="6" s="1"/>
  <c r="P314" i="5"/>
  <c r="P314" i="6" s="1"/>
  <c r="T313" i="5"/>
  <c r="T313" i="6" s="1"/>
  <c r="S313" i="5"/>
  <c r="S313" i="6" s="1"/>
  <c r="R313" i="5"/>
  <c r="R313" i="6" s="1"/>
  <c r="Q313" i="5"/>
  <c r="Q313" i="6" s="1"/>
  <c r="P313" i="5"/>
  <c r="P313" i="6" s="1"/>
  <c r="N313" i="5" a="1"/>
  <c r="N313" i="5" s="1"/>
  <c r="N313" i="6" s="1"/>
  <c r="T312" i="5"/>
  <c r="T312" i="6" s="1"/>
  <c r="S312" i="5"/>
  <c r="S312" i="6" s="1"/>
  <c r="R312" i="5"/>
  <c r="R312" i="6" s="1"/>
  <c r="Q312" i="5"/>
  <c r="Q312" i="6" s="1"/>
  <c r="P312" i="5"/>
  <c r="P312" i="6" s="1"/>
  <c r="T311" i="5"/>
  <c r="T311" i="6" s="1"/>
  <c r="S311" i="5"/>
  <c r="S311" i="6" s="1"/>
  <c r="R311" i="5"/>
  <c r="R311" i="6" s="1"/>
  <c r="Q311" i="5"/>
  <c r="Q311" i="6" s="1"/>
  <c r="P311" i="5"/>
  <c r="P311" i="6" s="1"/>
  <c r="T310" i="5"/>
  <c r="T310" i="6" s="1"/>
  <c r="S310" i="5"/>
  <c r="S310" i="6" s="1"/>
  <c r="R310" i="5"/>
  <c r="R310" i="6" s="1"/>
  <c r="Q310" i="5"/>
  <c r="Q310" i="6" s="1"/>
  <c r="P310" i="5"/>
  <c r="P310" i="6" s="1"/>
  <c r="T309" i="5"/>
  <c r="T309" i="6" s="1"/>
  <c r="S309" i="5"/>
  <c r="S309" i="6" s="1"/>
  <c r="R309" i="5"/>
  <c r="R309" i="6" s="1"/>
  <c r="Q309" i="5"/>
  <c r="Q309" i="6" s="1"/>
  <c r="P309" i="5"/>
  <c r="P309" i="6" s="1"/>
  <c r="T308" i="5"/>
  <c r="T308" i="6" s="1"/>
  <c r="S308" i="5"/>
  <c r="S308" i="6" s="1"/>
  <c r="R308" i="5"/>
  <c r="R308" i="6" s="1"/>
  <c r="Q308" i="5"/>
  <c r="Q308" i="6" s="1"/>
  <c r="P308" i="5"/>
  <c r="P308" i="6" s="1"/>
  <c r="T307" i="5"/>
  <c r="T307" i="6" s="1"/>
  <c r="S307" i="5"/>
  <c r="S307" i="6" s="1"/>
  <c r="R307" i="5"/>
  <c r="R307" i="6" s="1"/>
  <c r="Q307" i="5"/>
  <c r="Q307" i="6" s="1"/>
  <c r="P307" i="5"/>
  <c r="P307" i="6" s="1"/>
  <c r="T306" i="5"/>
  <c r="T306" i="6" s="1"/>
  <c r="S306" i="5"/>
  <c r="S306" i="6" s="1"/>
  <c r="R306" i="5"/>
  <c r="R306" i="6" s="1"/>
  <c r="Q306" i="5"/>
  <c r="Q306" i="6" s="1"/>
  <c r="P306" i="5"/>
  <c r="P306" i="6" s="1"/>
  <c r="T305" i="5"/>
  <c r="T305" i="6" s="1"/>
  <c r="S305" i="5"/>
  <c r="S305" i="6" s="1"/>
  <c r="R305" i="5"/>
  <c r="R305" i="6" s="1"/>
  <c r="Q305" i="5"/>
  <c r="Q305" i="6" s="1"/>
  <c r="P305" i="5"/>
  <c r="P305" i="6" s="1"/>
  <c r="T304" i="5"/>
  <c r="T304" i="6" s="1"/>
  <c r="S304" i="5"/>
  <c r="S304" i="6" s="1"/>
  <c r="R304" i="5"/>
  <c r="R304" i="6" s="1"/>
  <c r="Q304" i="5"/>
  <c r="Q304" i="6" s="1"/>
  <c r="P304" i="5"/>
  <c r="P304" i="6" s="1"/>
  <c r="T303" i="5"/>
  <c r="T303" i="6" s="1"/>
  <c r="S303" i="5"/>
  <c r="S303" i="6" s="1"/>
  <c r="R303" i="5"/>
  <c r="R303" i="6" s="1"/>
  <c r="Q303" i="5"/>
  <c r="Q303" i="6" s="1"/>
  <c r="P303" i="5"/>
  <c r="P303" i="6" s="1"/>
  <c r="T302" i="5"/>
  <c r="T302" i="6" s="1"/>
  <c r="S302" i="5"/>
  <c r="S302" i="6" s="1"/>
  <c r="R302" i="5"/>
  <c r="R302" i="6" s="1"/>
  <c r="Q302" i="5"/>
  <c r="Q302" i="6" s="1"/>
  <c r="P302" i="5"/>
  <c r="P302" i="6" s="1"/>
  <c r="T301" i="5"/>
  <c r="T301" i="6" s="1"/>
  <c r="S301" i="5"/>
  <c r="S301" i="6" s="1"/>
  <c r="R301" i="5"/>
  <c r="R301" i="6" s="1"/>
  <c r="Q301" i="5"/>
  <c r="Q301" i="6" s="1"/>
  <c r="P301" i="5"/>
  <c r="P301" i="6" s="1"/>
  <c r="T300" i="5"/>
  <c r="T300" i="6" s="1"/>
  <c r="S300" i="5"/>
  <c r="S300" i="6" s="1"/>
  <c r="R300" i="5"/>
  <c r="R300" i="6" s="1"/>
  <c r="Q300" i="5"/>
  <c r="Q300" i="6" s="1"/>
  <c r="P300" i="5"/>
  <c r="P300" i="6" s="1"/>
  <c r="T299" i="5"/>
  <c r="T299" i="6" s="1"/>
  <c r="S299" i="5"/>
  <c r="S299" i="6" s="1"/>
  <c r="R299" i="5"/>
  <c r="R299" i="6" s="1"/>
  <c r="Q299" i="5"/>
  <c r="Q299" i="6" s="1"/>
  <c r="P299" i="5"/>
  <c r="P299" i="6" s="1"/>
  <c r="T298" i="5"/>
  <c r="T298" i="6" s="1"/>
  <c r="S298" i="5"/>
  <c r="S298" i="6" s="1"/>
  <c r="R298" i="5"/>
  <c r="R298" i="6" s="1"/>
  <c r="Q298" i="5"/>
  <c r="Q298" i="6" s="1"/>
  <c r="P298" i="5"/>
  <c r="P298" i="6" s="1"/>
  <c r="T297" i="5"/>
  <c r="T297" i="6" s="1"/>
  <c r="S297" i="5"/>
  <c r="S297" i="6" s="1"/>
  <c r="R297" i="5"/>
  <c r="R297" i="6" s="1"/>
  <c r="Q297" i="5"/>
  <c r="Q297" i="6" s="1"/>
  <c r="P297" i="5"/>
  <c r="P297" i="6" s="1"/>
  <c r="T296" i="5"/>
  <c r="T296" i="6" s="1"/>
  <c r="S296" i="5"/>
  <c r="S296" i="6" s="1"/>
  <c r="R296" i="5"/>
  <c r="R296" i="6" s="1"/>
  <c r="Q296" i="5"/>
  <c r="Q296" i="6" s="1"/>
  <c r="P296" i="5"/>
  <c r="P296" i="6" s="1"/>
  <c r="T295" i="5"/>
  <c r="T295" i="6" s="1"/>
  <c r="S295" i="5"/>
  <c r="S295" i="6" s="1"/>
  <c r="R295" i="5"/>
  <c r="R295" i="6" s="1"/>
  <c r="Q295" i="5"/>
  <c r="Q295" i="6" s="1"/>
  <c r="P295" i="5"/>
  <c r="P295" i="6" s="1"/>
  <c r="T294" i="5"/>
  <c r="T294" i="6" s="1"/>
  <c r="S294" i="5"/>
  <c r="S294" i="6" s="1"/>
  <c r="R294" i="5"/>
  <c r="R294" i="6" s="1"/>
  <c r="Q294" i="5"/>
  <c r="Q294" i="6" s="1"/>
  <c r="P294" i="5"/>
  <c r="P294" i="6" s="1"/>
  <c r="T293" i="5"/>
  <c r="T293" i="6" s="1"/>
  <c r="S293" i="5"/>
  <c r="S293" i="6" s="1"/>
  <c r="R293" i="5"/>
  <c r="R293" i="6" s="1"/>
  <c r="Q293" i="5"/>
  <c r="Q293" i="6" s="1"/>
  <c r="P293" i="5"/>
  <c r="P293" i="6" s="1"/>
  <c r="T292" i="5"/>
  <c r="T292" i="6" s="1"/>
  <c r="S292" i="5"/>
  <c r="S292" i="6" s="1"/>
  <c r="R292" i="5"/>
  <c r="R292" i="6" s="1"/>
  <c r="Q292" i="5"/>
  <c r="Q292" i="6" s="1"/>
  <c r="P292" i="5"/>
  <c r="P292" i="6" s="1"/>
  <c r="T291" i="5"/>
  <c r="T291" i="6" s="1"/>
  <c r="S291" i="5"/>
  <c r="S291" i="6" s="1"/>
  <c r="R291" i="5"/>
  <c r="R291" i="6" s="1"/>
  <c r="Q291" i="5"/>
  <c r="Q291" i="6" s="1"/>
  <c r="P291" i="5"/>
  <c r="P291" i="6" s="1"/>
  <c r="T290" i="5"/>
  <c r="T290" i="6" s="1"/>
  <c r="S290" i="5"/>
  <c r="S290" i="6" s="1"/>
  <c r="R290" i="5"/>
  <c r="R290" i="6" s="1"/>
  <c r="Q290" i="5"/>
  <c r="Q290" i="6" s="1"/>
  <c r="P290" i="5"/>
  <c r="P290" i="6" s="1"/>
  <c r="T289" i="5"/>
  <c r="T289" i="6" s="1"/>
  <c r="S289" i="5"/>
  <c r="S289" i="6" s="1"/>
  <c r="R289" i="5"/>
  <c r="R289" i="6" s="1"/>
  <c r="Q289" i="5"/>
  <c r="Q289" i="6" s="1"/>
  <c r="P289" i="5"/>
  <c r="P289" i="6" s="1"/>
  <c r="T288" i="5"/>
  <c r="T288" i="6" s="1"/>
  <c r="S288" i="5"/>
  <c r="S288" i="6" s="1"/>
  <c r="R288" i="5"/>
  <c r="R288" i="6" s="1"/>
  <c r="Q288" i="5"/>
  <c r="Q288" i="6" s="1"/>
  <c r="P288" i="5"/>
  <c r="P288" i="6" s="1"/>
  <c r="T287" i="5"/>
  <c r="T287" i="6" s="1"/>
  <c r="S287" i="5"/>
  <c r="S287" i="6" s="1"/>
  <c r="R287" i="5"/>
  <c r="R287" i="6" s="1"/>
  <c r="Q287" i="5"/>
  <c r="Q287" i="6" s="1"/>
  <c r="P287" i="5"/>
  <c r="P287" i="6" s="1"/>
  <c r="T286" i="5"/>
  <c r="T286" i="6" s="1"/>
  <c r="S286" i="5"/>
  <c r="S286" i="6" s="1"/>
  <c r="R286" i="5"/>
  <c r="R286" i="6" s="1"/>
  <c r="Q286" i="5"/>
  <c r="Q286" i="6" s="1"/>
  <c r="P286" i="5"/>
  <c r="P286" i="6" s="1"/>
  <c r="T285" i="5"/>
  <c r="T285" i="6" s="1"/>
  <c r="S285" i="5"/>
  <c r="S285" i="6" s="1"/>
  <c r="R285" i="5"/>
  <c r="R285" i="6" s="1"/>
  <c r="Q285" i="5"/>
  <c r="Q285" i="6" s="1"/>
  <c r="P285" i="5"/>
  <c r="P285" i="6" s="1"/>
  <c r="T284" i="5"/>
  <c r="T284" i="6" s="1"/>
  <c r="S284" i="5"/>
  <c r="S284" i="6" s="1"/>
  <c r="R284" i="5"/>
  <c r="R284" i="6" s="1"/>
  <c r="Q284" i="5"/>
  <c r="Q284" i="6" s="1"/>
  <c r="P284" i="5"/>
  <c r="P284" i="6" s="1"/>
  <c r="T283" i="5"/>
  <c r="T283" i="6" s="1"/>
  <c r="S283" i="5"/>
  <c r="S283" i="6" s="1"/>
  <c r="R283" i="5"/>
  <c r="R283" i="6" s="1"/>
  <c r="Q283" i="5"/>
  <c r="Q283" i="6" s="1"/>
  <c r="P283" i="5"/>
  <c r="P283" i="6" s="1"/>
  <c r="T282" i="5"/>
  <c r="T282" i="6" s="1"/>
  <c r="S282" i="5"/>
  <c r="S282" i="6" s="1"/>
  <c r="R282" i="5"/>
  <c r="R282" i="6" s="1"/>
  <c r="Q282" i="5"/>
  <c r="Q282" i="6" s="1"/>
  <c r="P282" i="5"/>
  <c r="P282" i="6" s="1"/>
  <c r="T281" i="5"/>
  <c r="T281" i="6" s="1"/>
  <c r="S281" i="5"/>
  <c r="S281" i="6" s="1"/>
  <c r="R281" i="5"/>
  <c r="R281" i="6" s="1"/>
  <c r="Q281" i="5"/>
  <c r="Q281" i="6" s="1"/>
  <c r="P281" i="5"/>
  <c r="P281" i="6" s="1"/>
  <c r="T280" i="5"/>
  <c r="T280" i="6" s="1"/>
  <c r="S280" i="5"/>
  <c r="S280" i="6" s="1"/>
  <c r="R280" i="5"/>
  <c r="R280" i="6" s="1"/>
  <c r="Q280" i="5"/>
  <c r="Q280" i="6" s="1"/>
  <c r="P280" i="5"/>
  <c r="P280" i="6" s="1"/>
  <c r="T279" i="5"/>
  <c r="T279" i="6" s="1"/>
  <c r="S279" i="5"/>
  <c r="S279" i="6" s="1"/>
  <c r="R279" i="5"/>
  <c r="R279" i="6" s="1"/>
  <c r="Q279" i="5"/>
  <c r="Q279" i="6" s="1"/>
  <c r="P279" i="5"/>
  <c r="P279" i="6" s="1"/>
  <c r="T278" i="5"/>
  <c r="T278" i="6" s="1"/>
  <c r="S278" i="5"/>
  <c r="S278" i="6" s="1"/>
  <c r="R278" i="5"/>
  <c r="R278" i="6" s="1"/>
  <c r="Q278" i="5"/>
  <c r="Q278" i="6" s="1"/>
  <c r="P278" i="5"/>
  <c r="P278" i="6" s="1"/>
  <c r="T277" i="5"/>
  <c r="T277" i="6" s="1"/>
  <c r="S277" i="5"/>
  <c r="S277" i="6" s="1"/>
  <c r="R277" i="5"/>
  <c r="R277" i="6" s="1"/>
  <c r="Q277" i="5"/>
  <c r="Q277" i="6" s="1"/>
  <c r="P277" i="5"/>
  <c r="P277" i="6" s="1"/>
  <c r="T276" i="5"/>
  <c r="T276" i="6" s="1"/>
  <c r="S276" i="5"/>
  <c r="S276" i="6" s="1"/>
  <c r="R276" i="5"/>
  <c r="R276" i="6" s="1"/>
  <c r="Q276" i="5"/>
  <c r="Q276" i="6" s="1"/>
  <c r="P276" i="5"/>
  <c r="P276" i="6" s="1"/>
  <c r="T275" i="5"/>
  <c r="T275" i="6" s="1"/>
  <c r="S275" i="5"/>
  <c r="S275" i="6" s="1"/>
  <c r="R275" i="5"/>
  <c r="R275" i="6" s="1"/>
  <c r="Q275" i="5"/>
  <c r="Q275" i="6" s="1"/>
  <c r="P275" i="5"/>
  <c r="P275" i="6" s="1"/>
  <c r="T274" i="5"/>
  <c r="T274" i="6" s="1"/>
  <c r="S274" i="5"/>
  <c r="S274" i="6" s="1"/>
  <c r="R274" i="5"/>
  <c r="R274" i="6" s="1"/>
  <c r="Q274" i="5"/>
  <c r="Q274" i="6" s="1"/>
  <c r="P274" i="5"/>
  <c r="P274" i="6" s="1"/>
  <c r="T273" i="5"/>
  <c r="T273" i="6" s="1"/>
  <c r="S273" i="5"/>
  <c r="S273" i="6" s="1"/>
  <c r="R273" i="5"/>
  <c r="R273" i="6" s="1"/>
  <c r="Q273" i="5"/>
  <c r="Q273" i="6" s="1"/>
  <c r="P273" i="5"/>
  <c r="P273" i="6" s="1"/>
  <c r="T272" i="5"/>
  <c r="T272" i="6" s="1"/>
  <c r="S272" i="5"/>
  <c r="S272" i="6" s="1"/>
  <c r="R272" i="5"/>
  <c r="R272" i="6" s="1"/>
  <c r="Q272" i="5"/>
  <c r="Q272" i="6" s="1"/>
  <c r="P272" i="5"/>
  <c r="P272" i="6" s="1"/>
  <c r="T271" i="5"/>
  <c r="T271" i="6" s="1"/>
  <c r="S271" i="5"/>
  <c r="S271" i="6" s="1"/>
  <c r="R271" i="5"/>
  <c r="R271" i="6" s="1"/>
  <c r="Q271" i="5"/>
  <c r="Q271" i="6" s="1"/>
  <c r="P271" i="5"/>
  <c r="P271" i="6" s="1"/>
  <c r="T270" i="5"/>
  <c r="T270" i="6" s="1"/>
  <c r="S270" i="5"/>
  <c r="S270" i="6" s="1"/>
  <c r="R270" i="5"/>
  <c r="R270" i="6" s="1"/>
  <c r="Q270" i="5"/>
  <c r="Q270" i="6" s="1"/>
  <c r="P270" i="5"/>
  <c r="P270" i="6" s="1"/>
  <c r="T269" i="5"/>
  <c r="T269" i="6" s="1"/>
  <c r="S269" i="5"/>
  <c r="S269" i="6" s="1"/>
  <c r="R269" i="5"/>
  <c r="R269" i="6" s="1"/>
  <c r="Q269" i="5"/>
  <c r="Q269" i="6" s="1"/>
  <c r="P269" i="5"/>
  <c r="P269" i="6" s="1"/>
  <c r="T268" i="5"/>
  <c r="T268" i="6" s="1"/>
  <c r="S268" i="5"/>
  <c r="S268" i="6" s="1"/>
  <c r="R268" i="5"/>
  <c r="R268" i="6" s="1"/>
  <c r="Q268" i="5"/>
  <c r="Q268" i="6" s="1"/>
  <c r="P268" i="5"/>
  <c r="P268" i="6" s="1"/>
  <c r="T267" i="5"/>
  <c r="T267" i="6" s="1"/>
  <c r="S267" i="5"/>
  <c r="S267" i="6" s="1"/>
  <c r="R267" i="5"/>
  <c r="R267" i="6" s="1"/>
  <c r="Q267" i="5"/>
  <c r="Q267" i="6" s="1"/>
  <c r="P267" i="5"/>
  <c r="P267" i="6" s="1"/>
  <c r="T266" i="5"/>
  <c r="T266" i="6" s="1"/>
  <c r="S266" i="5"/>
  <c r="S266" i="6" s="1"/>
  <c r="R266" i="5"/>
  <c r="R266" i="6" s="1"/>
  <c r="Q266" i="5"/>
  <c r="Q266" i="6" s="1"/>
  <c r="P266" i="5"/>
  <c r="P266" i="6" s="1"/>
  <c r="T265" i="5"/>
  <c r="T265" i="6" s="1"/>
  <c r="S265" i="5"/>
  <c r="S265" i="6" s="1"/>
  <c r="R265" i="5"/>
  <c r="R265" i="6" s="1"/>
  <c r="Q265" i="5"/>
  <c r="Q265" i="6" s="1"/>
  <c r="P265" i="5"/>
  <c r="P265" i="6" s="1"/>
  <c r="T264" i="5"/>
  <c r="T264" i="6" s="1"/>
  <c r="S264" i="5"/>
  <c r="S264" i="6" s="1"/>
  <c r="R264" i="5"/>
  <c r="R264" i="6" s="1"/>
  <c r="Q264" i="5"/>
  <c r="Q264" i="6" s="1"/>
  <c r="P264" i="5"/>
  <c r="P264" i="6" s="1"/>
  <c r="T263" i="5"/>
  <c r="T263" i="6" s="1"/>
  <c r="S263" i="5"/>
  <c r="S263" i="6" s="1"/>
  <c r="R263" i="5"/>
  <c r="R263" i="6" s="1"/>
  <c r="Q263" i="5"/>
  <c r="Q263" i="6" s="1"/>
  <c r="P263" i="5"/>
  <c r="P263" i="6" s="1"/>
  <c r="T262" i="5"/>
  <c r="T262" i="6" s="1"/>
  <c r="S262" i="5"/>
  <c r="S262" i="6" s="1"/>
  <c r="R262" i="5"/>
  <c r="R262" i="6" s="1"/>
  <c r="Q262" i="5"/>
  <c r="Q262" i="6" s="1"/>
  <c r="P262" i="5"/>
  <c r="P262" i="6" s="1"/>
  <c r="T261" i="5"/>
  <c r="T261" i="6" s="1"/>
  <c r="S261" i="5"/>
  <c r="S261" i="6" s="1"/>
  <c r="R261" i="5"/>
  <c r="R261" i="6" s="1"/>
  <c r="Q261" i="5"/>
  <c r="Q261" i="6" s="1"/>
  <c r="P261" i="5"/>
  <c r="P261" i="6" s="1"/>
  <c r="T260" i="5"/>
  <c r="T260" i="6" s="1"/>
  <c r="S260" i="5"/>
  <c r="S260" i="6" s="1"/>
  <c r="R260" i="5"/>
  <c r="R260" i="6" s="1"/>
  <c r="Q260" i="5"/>
  <c r="Q260" i="6" s="1"/>
  <c r="P260" i="5"/>
  <c r="P260" i="6" s="1"/>
  <c r="T259" i="5"/>
  <c r="T259" i="6" s="1"/>
  <c r="S259" i="5"/>
  <c r="S259" i="6" s="1"/>
  <c r="R259" i="5"/>
  <c r="R259" i="6" s="1"/>
  <c r="Q259" i="5"/>
  <c r="Q259" i="6" s="1"/>
  <c r="P259" i="5"/>
  <c r="P259" i="6" s="1"/>
  <c r="T258" i="5"/>
  <c r="T258" i="6" s="1"/>
  <c r="S258" i="5"/>
  <c r="S258" i="6" s="1"/>
  <c r="R258" i="5"/>
  <c r="R258" i="6" s="1"/>
  <c r="Q258" i="5"/>
  <c r="Q258" i="6" s="1"/>
  <c r="P258" i="5"/>
  <c r="P258" i="6" s="1"/>
  <c r="T257" i="5"/>
  <c r="T257" i="6" s="1"/>
  <c r="S257" i="5"/>
  <c r="S257" i="6" s="1"/>
  <c r="R257" i="5"/>
  <c r="R257" i="6" s="1"/>
  <c r="Q257" i="5"/>
  <c r="Q257" i="6" s="1"/>
  <c r="P257" i="5"/>
  <c r="P257" i="6" s="1"/>
  <c r="T256" i="5"/>
  <c r="T256" i="6" s="1"/>
  <c r="S256" i="5"/>
  <c r="S256" i="6" s="1"/>
  <c r="R256" i="5"/>
  <c r="R256" i="6" s="1"/>
  <c r="Q256" i="5"/>
  <c r="Q256" i="6" s="1"/>
  <c r="P256" i="5"/>
  <c r="P256" i="6" s="1"/>
  <c r="T255" i="5"/>
  <c r="T255" i="6" s="1"/>
  <c r="S255" i="5"/>
  <c r="S255" i="6" s="1"/>
  <c r="R255" i="5"/>
  <c r="R255" i="6" s="1"/>
  <c r="Q255" i="5"/>
  <c r="Q255" i="6" s="1"/>
  <c r="P255" i="5"/>
  <c r="P255" i="6" s="1"/>
  <c r="T254" i="5"/>
  <c r="T254" i="6" s="1"/>
  <c r="S254" i="5"/>
  <c r="S254" i="6" s="1"/>
  <c r="R254" i="5"/>
  <c r="R254" i="6" s="1"/>
  <c r="Q254" i="5"/>
  <c r="Q254" i="6" s="1"/>
  <c r="P254" i="5"/>
  <c r="P254" i="6" s="1"/>
  <c r="T253" i="5"/>
  <c r="T253" i="6" s="1"/>
  <c r="S253" i="5"/>
  <c r="S253" i="6" s="1"/>
  <c r="R253" i="5"/>
  <c r="R253" i="6" s="1"/>
  <c r="Q253" i="5"/>
  <c r="Q253" i="6" s="1"/>
  <c r="P253" i="5"/>
  <c r="P253" i="6" s="1"/>
  <c r="T252" i="5"/>
  <c r="T252" i="6" s="1"/>
  <c r="S252" i="5"/>
  <c r="S252" i="6" s="1"/>
  <c r="R252" i="5"/>
  <c r="R252" i="6" s="1"/>
  <c r="Q252" i="5"/>
  <c r="Q252" i="6" s="1"/>
  <c r="P252" i="5"/>
  <c r="P252" i="6" s="1"/>
  <c r="T251" i="5"/>
  <c r="T251" i="6" s="1"/>
  <c r="S251" i="5"/>
  <c r="S251" i="6" s="1"/>
  <c r="R251" i="5"/>
  <c r="R251" i="6" s="1"/>
  <c r="Q251" i="5"/>
  <c r="Q251" i="6" s="1"/>
  <c r="P251" i="5"/>
  <c r="P251" i="6" s="1"/>
  <c r="T250" i="5"/>
  <c r="T250" i="6" s="1"/>
  <c r="S250" i="5"/>
  <c r="S250" i="6" s="1"/>
  <c r="R250" i="5"/>
  <c r="R250" i="6" s="1"/>
  <c r="Q250" i="5"/>
  <c r="Q250" i="6" s="1"/>
  <c r="P250" i="5"/>
  <c r="P250" i="6" s="1"/>
  <c r="T249" i="5"/>
  <c r="T249" i="6" s="1"/>
  <c r="S249" i="5"/>
  <c r="S249" i="6" s="1"/>
  <c r="R249" i="5"/>
  <c r="R249" i="6" s="1"/>
  <c r="Q249" i="5"/>
  <c r="Q249" i="6" s="1"/>
  <c r="P249" i="5"/>
  <c r="P249" i="6" s="1"/>
  <c r="T248" i="5"/>
  <c r="T248" i="6" s="1"/>
  <c r="S248" i="5"/>
  <c r="S248" i="6" s="1"/>
  <c r="R248" i="5"/>
  <c r="R248" i="6" s="1"/>
  <c r="Q248" i="5"/>
  <c r="Q248" i="6" s="1"/>
  <c r="P248" i="5"/>
  <c r="P248" i="6" s="1"/>
  <c r="T247" i="5"/>
  <c r="T247" i="6" s="1"/>
  <c r="S247" i="5"/>
  <c r="S247" i="6" s="1"/>
  <c r="R247" i="5"/>
  <c r="R247" i="6" s="1"/>
  <c r="Q247" i="5"/>
  <c r="Q247" i="6" s="1"/>
  <c r="P247" i="5"/>
  <c r="P247" i="6" s="1"/>
  <c r="T246" i="5"/>
  <c r="T246" i="6" s="1"/>
  <c r="S246" i="5"/>
  <c r="S246" i="6" s="1"/>
  <c r="R246" i="5"/>
  <c r="R246" i="6" s="1"/>
  <c r="Q246" i="5"/>
  <c r="Q246" i="6" s="1"/>
  <c r="P246" i="5"/>
  <c r="P246" i="6" s="1"/>
  <c r="T245" i="5"/>
  <c r="T245" i="6" s="1"/>
  <c r="S245" i="5"/>
  <c r="S245" i="6" s="1"/>
  <c r="R245" i="5"/>
  <c r="R245" i="6" s="1"/>
  <c r="Q245" i="5"/>
  <c r="Q245" i="6" s="1"/>
  <c r="P245" i="5"/>
  <c r="P245" i="6" s="1"/>
  <c r="T244" i="5"/>
  <c r="T244" i="6" s="1"/>
  <c r="S244" i="5"/>
  <c r="S244" i="6" s="1"/>
  <c r="R244" i="5"/>
  <c r="R244" i="6" s="1"/>
  <c r="Q244" i="5"/>
  <c r="Q244" i="6" s="1"/>
  <c r="P244" i="5"/>
  <c r="P244" i="6" s="1"/>
  <c r="T243" i="5"/>
  <c r="T243" i="6" s="1"/>
  <c r="S243" i="5"/>
  <c r="S243" i="6" s="1"/>
  <c r="R243" i="5"/>
  <c r="R243" i="6" s="1"/>
  <c r="Q243" i="5"/>
  <c r="Q243" i="6" s="1"/>
  <c r="P243" i="5"/>
  <c r="P243" i="6" s="1"/>
  <c r="T242" i="5"/>
  <c r="T242" i="6" s="1"/>
  <c r="S242" i="5"/>
  <c r="S242" i="6" s="1"/>
  <c r="R242" i="5"/>
  <c r="R242" i="6" s="1"/>
  <c r="Q242" i="5"/>
  <c r="Q242" i="6" s="1"/>
  <c r="P242" i="5"/>
  <c r="P242" i="6" s="1"/>
  <c r="T241" i="5"/>
  <c r="T241" i="6" s="1"/>
  <c r="S241" i="5"/>
  <c r="S241" i="6" s="1"/>
  <c r="R241" i="5"/>
  <c r="R241" i="6" s="1"/>
  <c r="Q241" i="5"/>
  <c r="Q241" i="6" s="1"/>
  <c r="P241" i="5"/>
  <c r="P241" i="6" s="1"/>
  <c r="T240" i="5"/>
  <c r="T240" i="6" s="1"/>
  <c r="S240" i="5"/>
  <c r="S240" i="6" s="1"/>
  <c r="R240" i="5"/>
  <c r="R240" i="6" s="1"/>
  <c r="Q240" i="5"/>
  <c r="Q240" i="6" s="1"/>
  <c r="P240" i="5"/>
  <c r="P240" i="6" s="1"/>
  <c r="T239" i="5"/>
  <c r="T239" i="6" s="1"/>
  <c r="S239" i="5"/>
  <c r="S239" i="6" s="1"/>
  <c r="R239" i="5"/>
  <c r="R239" i="6" s="1"/>
  <c r="Q239" i="5"/>
  <c r="Q239" i="6" s="1"/>
  <c r="P239" i="5"/>
  <c r="P239" i="6" s="1"/>
  <c r="T238" i="5"/>
  <c r="T238" i="6" s="1"/>
  <c r="S238" i="5"/>
  <c r="S238" i="6" s="1"/>
  <c r="R238" i="5"/>
  <c r="R238" i="6" s="1"/>
  <c r="Q238" i="5"/>
  <c r="Q238" i="6" s="1"/>
  <c r="P238" i="5"/>
  <c r="P238" i="6" s="1"/>
  <c r="T237" i="5"/>
  <c r="T237" i="6" s="1"/>
  <c r="S237" i="5"/>
  <c r="S237" i="6" s="1"/>
  <c r="R237" i="5"/>
  <c r="R237" i="6" s="1"/>
  <c r="Q237" i="5"/>
  <c r="Q237" i="6" s="1"/>
  <c r="P237" i="5"/>
  <c r="P237" i="6" s="1"/>
  <c r="T236" i="5"/>
  <c r="T236" i="6" s="1"/>
  <c r="S236" i="5"/>
  <c r="S236" i="6" s="1"/>
  <c r="R236" i="5"/>
  <c r="R236" i="6" s="1"/>
  <c r="Q236" i="5"/>
  <c r="Q236" i="6" s="1"/>
  <c r="P236" i="5"/>
  <c r="P236" i="6" s="1"/>
  <c r="T235" i="5"/>
  <c r="T235" i="6" s="1"/>
  <c r="S235" i="5"/>
  <c r="S235" i="6" s="1"/>
  <c r="R235" i="5"/>
  <c r="R235" i="6" s="1"/>
  <c r="Q235" i="5"/>
  <c r="Q235" i="6" s="1"/>
  <c r="P235" i="5"/>
  <c r="P235" i="6" s="1"/>
  <c r="T234" i="5"/>
  <c r="T234" i="6" s="1"/>
  <c r="S234" i="5"/>
  <c r="S234" i="6" s="1"/>
  <c r="R234" i="5"/>
  <c r="R234" i="6" s="1"/>
  <c r="Q234" i="5"/>
  <c r="Q234" i="6" s="1"/>
  <c r="P234" i="5"/>
  <c r="P234" i="6" s="1"/>
  <c r="T233" i="5"/>
  <c r="T233" i="6" s="1"/>
  <c r="S233" i="5"/>
  <c r="S233" i="6" s="1"/>
  <c r="R233" i="5"/>
  <c r="R233" i="6" s="1"/>
  <c r="Q233" i="5"/>
  <c r="Q233" i="6" s="1"/>
  <c r="P233" i="5"/>
  <c r="P233" i="6" s="1"/>
  <c r="T232" i="5"/>
  <c r="T232" i="6" s="1"/>
  <c r="S232" i="5"/>
  <c r="S232" i="6" s="1"/>
  <c r="R232" i="5"/>
  <c r="R232" i="6" s="1"/>
  <c r="Q232" i="5"/>
  <c r="Q232" i="6" s="1"/>
  <c r="P232" i="5"/>
  <c r="P232" i="6" s="1"/>
  <c r="T231" i="5"/>
  <c r="T231" i="6" s="1"/>
  <c r="S231" i="5"/>
  <c r="S231" i="6" s="1"/>
  <c r="R231" i="5"/>
  <c r="R231" i="6" s="1"/>
  <c r="Q231" i="5"/>
  <c r="Q231" i="6" s="1"/>
  <c r="P231" i="5"/>
  <c r="P231" i="6" s="1"/>
  <c r="T230" i="5"/>
  <c r="T230" i="6" s="1"/>
  <c r="S230" i="5"/>
  <c r="S230" i="6" s="1"/>
  <c r="R230" i="5"/>
  <c r="R230" i="6" s="1"/>
  <c r="Q230" i="5"/>
  <c r="Q230" i="6" s="1"/>
  <c r="P230" i="5"/>
  <c r="P230" i="6" s="1"/>
  <c r="T229" i="5"/>
  <c r="T229" i="6" s="1"/>
  <c r="S229" i="5"/>
  <c r="S229" i="6" s="1"/>
  <c r="R229" i="5"/>
  <c r="R229" i="6" s="1"/>
  <c r="Q229" i="5"/>
  <c r="Q229" i="6" s="1"/>
  <c r="P229" i="5"/>
  <c r="P229" i="6" s="1"/>
  <c r="T228" i="5"/>
  <c r="T228" i="6" s="1"/>
  <c r="S228" i="5"/>
  <c r="S228" i="6" s="1"/>
  <c r="R228" i="5"/>
  <c r="R228" i="6" s="1"/>
  <c r="Q228" i="5"/>
  <c r="Q228" i="6" s="1"/>
  <c r="P228" i="5"/>
  <c r="P228" i="6" s="1"/>
  <c r="T227" i="5"/>
  <c r="T227" i="6" s="1"/>
  <c r="S227" i="5"/>
  <c r="S227" i="6" s="1"/>
  <c r="R227" i="5"/>
  <c r="R227" i="6" s="1"/>
  <c r="Q227" i="5"/>
  <c r="Q227" i="6" s="1"/>
  <c r="P227" i="5"/>
  <c r="P227" i="6" s="1"/>
  <c r="T226" i="5"/>
  <c r="T226" i="6" s="1"/>
  <c r="S226" i="5"/>
  <c r="S226" i="6" s="1"/>
  <c r="R226" i="5"/>
  <c r="R226" i="6" s="1"/>
  <c r="Q226" i="5"/>
  <c r="Q226" i="6" s="1"/>
  <c r="P226" i="5"/>
  <c r="P226" i="6" s="1"/>
  <c r="T225" i="5"/>
  <c r="T225" i="6" s="1"/>
  <c r="S225" i="5"/>
  <c r="S225" i="6" s="1"/>
  <c r="R225" i="5"/>
  <c r="R225" i="6" s="1"/>
  <c r="Q225" i="5"/>
  <c r="Q225" i="6" s="1"/>
  <c r="P225" i="5"/>
  <c r="P225" i="6" s="1"/>
  <c r="T224" i="5"/>
  <c r="T224" i="6" s="1"/>
  <c r="S224" i="5"/>
  <c r="S224" i="6" s="1"/>
  <c r="R224" i="5"/>
  <c r="R224" i="6" s="1"/>
  <c r="Q224" i="5"/>
  <c r="Q224" i="6" s="1"/>
  <c r="P224" i="5"/>
  <c r="P224" i="6" s="1"/>
  <c r="T223" i="5"/>
  <c r="T223" i="6" s="1"/>
  <c r="S223" i="5"/>
  <c r="S223" i="6" s="1"/>
  <c r="R223" i="5"/>
  <c r="R223" i="6" s="1"/>
  <c r="Q223" i="5"/>
  <c r="Q223" i="6" s="1"/>
  <c r="P223" i="5"/>
  <c r="P223" i="6" s="1"/>
  <c r="T222" i="5"/>
  <c r="T222" i="6" s="1"/>
  <c r="S222" i="5"/>
  <c r="S222" i="6" s="1"/>
  <c r="R222" i="5"/>
  <c r="R222" i="6" s="1"/>
  <c r="Q222" i="5"/>
  <c r="Q222" i="6" s="1"/>
  <c r="P222" i="5"/>
  <c r="P222" i="6" s="1"/>
  <c r="T221" i="5"/>
  <c r="T221" i="6" s="1"/>
  <c r="S221" i="5"/>
  <c r="S221" i="6" s="1"/>
  <c r="R221" i="5"/>
  <c r="R221" i="6" s="1"/>
  <c r="Q221" i="5"/>
  <c r="Q221" i="6" s="1"/>
  <c r="P221" i="5"/>
  <c r="P221" i="6" s="1"/>
  <c r="T220" i="5"/>
  <c r="T220" i="6" s="1"/>
  <c r="S220" i="5"/>
  <c r="S220" i="6" s="1"/>
  <c r="R220" i="5"/>
  <c r="R220" i="6" s="1"/>
  <c r="Q220" i="5"/>
  <c r="Q220" i="6" s="1"/>
  <c r="P220" i="5"/>
  <c r="P220" i="6" s="1"/>
  <c r="T219" i="5"/>
  <c r="T219" i="6" s="1"/>
  <c r="S219" i="5"/>
  <c r="S219" i="6" s="1"/>
  <c r="R219" i="5"/>
  <c r="R219" i="6" s="1"/>
  <c r="Q219" i="5"/>
  <c r="Q219" i="6" s="1"/>
  <c r="P219" i="5"/>
  <c r="P219" i="6" s="1"/>
  <c r="T218" i="5"/>
  <c r="T218" i="6" s="1"/>
  <c r="S218" i="5"/>
  <c r="S218" i="6" s="1"/>
  <c r="R218" i="5"/>
  <c r="R218" i="6" s="1"/>
  <c r="Q218" i="5"/>
  <c r="Q218" i="6" s="1"/>
  <c r="P218" i="5"/>
  <c r="P218" i="6" s="1"/>
  <c r="T217" i="5"/>
  <c r="T217" i="6" s="1"/>
  <c r="S217" i="5"/>
  <c r="S217" i="6" s="1"/>
  <c r="R217" i="5"/>
  <c r="R217" i="6" s="1"/>
  <c r="Q217" i="5"/>
  <c r="Q217" i="6" s="1"/>
  <c r="P217" i="5"/>
  <c r="P217" i="6" s="1"/>
  <c r="T216" i="5"/>
  <c r="T216" i="6" s="1"/>
  <c r="S216" i="5"/>
  <c r="S216" i="6" s="1"/>
  <c r="R216" i="5"/>
  <c r="R216" i="6" s="1"/>
  <c r="Q216" i="5"/>
  <c r="Q216" i="6" s="1"/>
  <c r="P216" i="5"/>
  <c r="P216" i="6" s="1"/>
  <c r="T215" i="5"/>
  <c r="T215" i="6" s="1"/>
  <c r="S215" i="5"/>
  <c r="S215" i="6" s="1"/>
  <c r="R215" i="5"/>
  <c r="R215" i="6" s="1"/>
  <c r="Q215" i="5"/>
  <c r="Q215" i="6" s="1"/>
  <c r="P215" i="5"/>
  <c r="P215" i="6" s="1"/>
  <c r="T214" i="5"/>
  <c r="T214" i="6" s="1"/>
  <c r="S214" i="5"/>
  <c r="S214" i="6" s="1"/>
  <c r="R214" i="5"/>
  <c r="R214" i="6" s="1"/>
  <c r="Q214" i="5"/>
  <c r="Q214" i="6" s="1"/>
  <c r="P214" i="5"/>
  <c r="P214" i="6" s="1"/>
  <c r="T213" i="5"/>
  <c r="T213" i="6" s="1"/>
  <c r="S213" i="5"/>
  <c r="S213" i="6" s="1"/>
  <c r="R213" i="5"/>
  <c r="R213" i="6" s="1"/>
  <c r="Q213" i="5"/>
  <c r="Q213" i="6" s="1"/>
  <c r="P213" i="5"/>
  <c r="P213" i="6" s="1"/>
  <c r="T212" i="5"/>
  <c r="T212" i="6" s="1"/>
  <c r="S212" i="5"/>
  <c r="S212" i="6" s="1"/>
  <c r="R212" i="5"/>
  <c r="R212" i="6" s="1"/>
  <c r="Q212" i="5"/>
  <c r="Q212" i="6" s="1"/>
  <c r="P212" i="5"/>
  <c r="P212" i="6" s="1"/>
  <c r="T211" i="5"/>
  <c r="T211" i="6" s="1"/>
  <c r="S211" i="5"/>
  <c r="S211" i="6" s="1"/>
  <c r="R211" i="5"/>
  <c r="R211" i="6" s="1"/>
  <c r="Q211" i="5"/>
  <c r="Q211" i="6" s="1"/>
  <c r="P211" i="5"/>
  <c r="P211" i="6" s="1"/>
  <c r="T210" i="5"/>
  <c r="T210" i="6" s="1"/>
  <c r="S210" i="5"/>
  <c r="S210" i="6" s="1"/>
  <c r="R210" i="5"/>
  <c r="R210" i="6" s="1"/>
  <c r="Q210" i="5"/>
  <c r="Q210" i="6" s="1"/>
  <c r="P210" i="5"/>
  <c r="P210" i="6" s="1"/>
  <c r="T209" i="5"/>
  <c r="T209" i="6" s="1"/>
  <c r="S209" i="5"/>
  <c r="S209" i="6" s="1"/>
  <c r="R209" i="5"/>
  <c r="R209" i="6" s="1"/>
  <c r="Q209" i="5"/>
  <c r="Q209" i="6" s="1"/>
  <c r="P209" i="5"/>
  <c r="P209" i="6" s="1"/>
  <c r="T208" i="5"/>
  <c r="T208" i="6" s="1"/>
  <c r="S208" i="5"/>
  <c r="S208" i="6" s="1"/>
  <c r="R208" i="5"/>
  <c r="R208" i="6" s="1"/>
  <c r="Q208" i="5"/>
  <c r="Q208" i="6" s="1"/>
  <c r="P208" i="5"/>
  <c r="P208" i="6" s="1"/>
  <c r="T207" i="5"/>
  <c r="T207" i="6" s="1"/>
  <c r="S207" i="5"/>
  <c r="S207" i="6" s="1"/>
  <c r="R207" i="5"/>
  <c r="R207" i="6" s="1"/>
  <c r="Q207" i="5"/>
  <c r="Q207" i="6" s="1"/>
  <c r="P207" i="5"/>
  <c r="P207" i="6" s="1"/>
  <c r="T206" i="5"/>
  <c r="T206" i="6" s="1"/>
  <c r="S206" i="5"/>
  <c r="S206" i="6" s="1"/>
  <c r="R206" i="5"/>
  <c r="R206" i="6" s="1"/>
  <c r="Q206" i="5"/>
  <c r="Q206" i="6" s="1"/>
  <c r="P206" i="5"/>
  <c r="P206" i="6" s="1"/>
  <c r="T205" i="5"/>
  <c r="T205" i="6" s="1"/>
  <c r="S205" i="5"/>
  <c r="S205" i="6" s="1"/>
  <c r="R205" i="5"/>
  <c r="R205" i="6" s="1"/>
  <c r="Q205" i="5"/>
  <c r="Q205" i="6" s="1"/>
  <c r="P205" i="5"/>
  <c r="P205" i="6" s="1"/>
  <c r="T204" i="5"/>
  <c r="T204" i="6" s="1"/>
  <c r="S204" i="5"/>
  <c r="S204" i="6" s="1"/>
  <c r="R204" i="5"/>
  <c r="R204" i="6" s="1"/>
  <c r="Q204" i="5"/>
  <c r="Q204" i="6" s="1"/>
  <c r="P204" i="5"/>
  <c r="P204" i="6" s="1"/>
  <c r="T203" i="5"/>
  <c r="T203" i="6" s="1"/>
  <c r="S203" i="5"/>
  <c r="S203" i="6" s="1"/>
  <c r="R203" i="5"/>
  <c r="R203" i="6" s="1"/>
  <c r="Q203" i="5"/>
  <c r="Q203" i="6" s="1"/>
  <c r="P203" i="5"/>
  <c r="P203" i="6" s="1"/>
  <c r="T202" i="5"/>
  <c r="T202" i="6" s="1"/>
  <c r="S202" i="5"/>
  <c r="S202" i="6" s="1"/>
  <c r="R202" i="5"/>
  <c r="R202" i="6" s="1"/>
  <c r="Q202" i="5"/>
  <c r="Q202" i="6" s="1"/>
  <c r="P202" i="5"/>
  <c r="P202" i="6" s="1"/>
  <c r="T201" i="5"/>
  <c r="T201" i="6" s="1"/>
  <c r="S201" i="5"/>
  <c r="S201" i="6" s="1"/>
  <c r="R201" i="5"/>
  <c r="R201" i="6" s="1"/>
  <c r="Q201" i="5"/>
  <c r="Q201" i="6" s="1"/>
  <c r="P201" i="5"/>
  <c r="P201" i="6" s="1"/>
  <c r="T200" i="5"/>
  <c r="T200" i="6" s="1"/>
  <c r="S200" i="5"/>
  <c r="S200" i="6" s="1"/>
  <c r="R200" i="5"/>
  <c r="R200" i="6" s="1"/>
  <c r="Q200" i="5"/>
  <c r="Q200" i="6" s="1"/>
  <c r="P200" i="5"/>
  <c r="P200" i="6" s="1"/>
  <c r="T199" i="5"/>
  <c r="T199" i="6" s="1"/>
  <c r="S199" i="5"/>
  <c r="S199" i="6" s="1"/>
  <c r="R199" i="5"/>
  <c r="R199" i="6" s="1"/>
  <c r="Q199" i="5"/>
  <c r="Q199" i="6" s="1"/>
  <c r="P199" i="5"/>
  <c r="P199" i="6" s="1"/>
  <c r="T198" i="5"/>
  <c r="T198" i="6" s="1"/>
  <c r="S198" i="5"/>
  <c r="S198" i="6" s="1"/>
  <c r="R198" i="5"/>
  <c r="R198" i="6" s="1"/>
  <c r="Q198" i="5"/>
  <c r="Q198" i="6" s="1"/>
  <c r="P198" i="5"/>
  <c r="P198" i="6" s="1"/>
  <c r="T197" i="5"/>
  <c r="T197" i="6" s="1"/>
  <c r="S197" i="5"/>
  <c r="S197" i="6" s="1"/>
  <c r="R197" i="5"/>
  <c r="R197" i="6" s="1"/>
  <c r="Q197" i="5"/>
  <c r="Q197" i="6" s="1"/>
  <c r="P197" i="5"/>
  <c r="P197" i="6" s="1"/>
  <c r="T196" i="5"/>
  <c r="T196" i="6" s="1"/>
  <c r="S196" i="5"/>
  <c r="S196" i="6" s="1"/>
  <c r="R196" i="5"/>
  <c r="R196" i="6" s="1"/>
  <c r="Q196" i="5"/>
  <c r="Q196" i="6" s="1"/>
  <c r="P196" i="5"/>
  <c r="P196" i="6" s="1"/>
  <c r="T195" i="5"/>
  <c r="T195" i="6" s="1"/>
  <c r="S195" i="5"/>
  <c r="S195" i="6" s="1"/>
  <c r="R195" i="5"/>
  <c r="R195" i="6" s="1"/>
  <c r="Q195" i="5"/>
  <c r="Q195" i="6" s="1"/>
  <c r="P195" i="5"/>
  <c r="P195" i="6" s="1"/>
  <c r="T194" i="5"/>
  <c r="T194" i="6" s="1"/>
  <c r="S194" i="5"/>
  <c r="S194" i="6" s="1"/>
  <c r="R194" i="5"/>
  <c r="R194" i="6" s="1"/>
  <c r="Q194" i="5"/>
  <c r="Q194" i="6" s="1"/>
  <c r="P194" i="5"/>
  <c r="P194" i="6" s="1"/>
  <c r="T193" i="5"/>
  <c r="T193" i="6" s="1"/>
  <c r="S193" i="5"/>
  <c r="S193" i="6" s="1"/>
  <c r="R193" i="5"/>
  <c r="R193" i="6" s="1"/>
  <c r="Q193" i="5"/>
  <c r="Q193" i="6" s="1"/>
  <c r="P193" i="5"/>
  <c r="P193" i="6" s="1"/>
  <c r="T192" i="5"/>
  <c r="T192" i="6" s="1"/>
  <c r="S192" i="5"/>
  <c r="S192" i="6" s="1"/>
  <c r="R192" i="5"/>
  <c r="R192" i="6" s="1"/>
  <c r="Q192" i="5"/>
  <c r="Q192" i="6" s="1"/>
  <c r="P192" i="5"/>
  <c r="P192" i="6" s="1"/>
  <c r="T191" i="5"/>
  <c r="T191" i="6" s="1"/>
  <c r="S191" i="5"/>
  <c r="S191" i="6" s="1"/>
  <c r="R191" i="5"/>
  <c r="R191" i="6" s="1"/>
  <c r="Q191" i="5"/>
  <c r="Q191" i="6" s="1"/>
  <c r="P191" i="5"/>
  <c r="P191" i="6" s="1"/>
  <c r="T190" i="5"/>
  <c r="T190" i="6" s="1"/>
  <c r="S190" i="5"/>
  <c r="S190" i="6" s="1"/>
  <c r="R190" i="5"/>
  <c r="R190" i="6" s="1"/>
  <c r="Q190" i="5"/>
  <c r="Q190" i="6" s="1"/>
  <c r="P190" i="5"/>
  <c r="P190" i="6" s="1"/>
  <c r="T189" i="5"/>
  <c r="T189" i="6" s="1"/>
  <c r="S189" i="5"/>
  <c r="S189" i="6" s="1"/>
  <c r="R189" i="5"/>
  <c r="R189" i="6" s="1"/>
  <c r="Q189" i="5"/>
  <c r="Q189" i="6" s="1"/>
  <c r="P189" i="5"/>
  <c r="P189" i="6" s="1"/>
  <c r="T188" i="5"/>
  <c r="T188" i="6" s="1"/>
  <c r="S188" i="5"/>
  <c r="S188" i="6" s="1"/>
  <c r="R188" i="5"/>
  <c r="R188" i="6" s="1"/>
  <c r="Q188" i="5"/>
  <c r="Q188" i="6" s="1"/>
  <c r="P188" i="5"/>
  <c r="P188" i="6" s="1"/>
  <c r="T187" i="5"/>
  <c r="T187" i="6" s="1"/>
  <c r="S187" i="5"/>
  <c r="S187" i="6" s="1"/>
  <c r="R187" i="5"/>
  <c r="R187" i="6" s="1"/>
  <c r="Q187" i="5"/>
  <c r="Q187" i="6" s="1"/>
  <c r="P187" i="5"/>
  <c r="P187" i="6" s="1"/>
  <c r="T186" i="5"/>
  <c r="T186" i="6" s="1"/>
  <c r="S186" i="5"/>
  <c r="S186" i="6" s="1"/>
  <c r="R186" i="5"/>
  <c r="R186" i="6" s="1"/>
  <c r="Q186" i="5"/>
  <c r="Q186" i="6" s="1"/>
  <c r="P186" i="5"/>
  <c r="P186" i="6" s="1"/>
  <c r="T185" i="5"/>
  <c r="T185" i="6" s="1"/>
  <c r="S185" i="5"/>
  <c r="S185" i="6" s="1"/>
  <c r="R185" i="5"/>
  <c r="R185" i="6" s="1"/>
  <c r="Q185" i="5"/>
  <c r="Q185" i="6" s="1"/>
  <c r="P185" i="5"/>
  <c r="P185" i="6" s="1"/>
  <c r="T184" i="5"/>
  <c r="T184" i="6" s="1"/>
  <c r="S184" i="5"/>
  <c r="S184" i="6" s="1"/>
  <c r="R184" i="5"/>
  <c r="R184" i="6" s="1"/>
  <c r="Q184" i="5"/>
  <c r="Q184" i="6" s="1"/>
  <c r="P184" i="5"/>
  <c r="P184" i="6" s="1"/>
  <c r="T183" i="5"/>
  <c r="T183" i="6" s="1"/>
  <c r="S183" i="5"/>
  <c r="S183" i="6" s="1"/>
  <c r="R183" i="5"/>
  <c r="R183" i="6" s="1"/>
  <c r="Q183" i="5"/>
  <c r="Q183" i="6" s="1"/>
  <c r="P183" i="5"/>
  <c r="P183" i="6" s="1"/>
  <c r="T182" i="5"/>
  <c r="T182" i="6" s="1"/>
  <c r="S182" i="5"/>
  <c r="S182" i="6" s="1"/>
  <c r="R182" i="5"/>
  <c r="R182" i="6" s="1"/>
  <c r="Q182" i="5"/>
  <c r="Q182" i="6" s="1"/>
  <c r="P182" i="5"/>
  <c r="P182" i="6" s="1"/>
  <c r="T181" i="5"/>
  <c r="T181" i="6" s="1"/>
  <c r="S181" i="5"/>
  <c r="S181" i="6" s="1"/>
  <c r="R181" i="5"/>
  <c r="R181" i="6" s="1"/>
  <c r="Q181" i="5"/>
  <c r="Q181" i="6" s="1"/>
  <c r="P181" i="5"/>
  <c r="P181" i="6" s="1"/>
  <c r="T180" i="5"/>
  <c r="T180" i="6" s="1"/>
  <c r="S180" i="5"/>
  <c r="S180" i="6" s="1"/>
  <c r="R180" i="5"/>
  <c r="R180" i="6" s="1"/>
  <c r="Q180" i="5"/>
  <c r="Q180" i="6" s="1"/>
  <c r="P180" i="5"/>
  <c r="P180" i="6" s="1"/>
  <c r="T179" i="5"/>
  <c r="T179" i="6" s="1"/>
  <c r="S179" i="5"/>
  <c r="S179" i="6" s="1"/>
  <c r="R179" i="5"/>
  <c r="R179" i="6" s="1"/>
  <c r="Q179" i="5"/>
  <c r="Q179" i="6" s="1"/>
  <c r="P179" i="5"/>
  <c r="P179" i="6" s="1"/>
  <c r="T178" i="5"/>
  <c r="T178" i="6" s="1"/>
  <c r="S178" i="5"/>
  <c r="S178" i="6" s="1"/>
  <c r="R178" i="5"/>
  <c r="R178" i="6" s="1"/>
  <c r="Q178" i="5"/>
  <c r="Q178" i="6" s="1"/>
  <c r="P178" i="5"/>
  <c r="P178" i="6" s="1"/>
  <c r="T177" i="5"/>
  <c r="T177" i="6" s="1"/>
  <c r="S177" i="5"/>
  <c r="S177" i="6" s="1"/>
  <c r="R177" i="5"/>
  <c r="R177" i="6" s="1"/>
  <c r="Q177" i="5"/>
  <c r="Q177" i="6" s="1"/>
  <c r="P177" i="5"/>
  <c r="P177" i="6" s="1"/>
  <c r="T176" i="5"/>
  <c r="T176" i="6" s="1"/>
  <c r="S176" i="5"/>
  <c r="S176" i="6" s="1"/>
  <c r="R176" i="5"/>
  <c r="R176" i="6" s="1"/>
  <c r="Q176" i="5"/>
  <c r="Q176" i="6" s="1"/>
  <c r="P176" i="5"/>
  <c r="P176" i="6" s="1"/>
  <c r="T175" i="5"/>
  <c r="T175" i="6" s="1"/>
  <c r="S175" i="5"/>
  <c r="S175" i="6" s="1"/>
  <c r="R175" i="5"/>
  <c r="R175" i="6" s="1"/>
  <c r="Q175" i="5"/>
  <c r="Q175" i="6" s="1"/>
  <c r="P175" i="5"/>
  <c r="P175" i="6" s="1"/>
  <c r="T174" i="5"/>
  <c r="T174" i="6" s="1"/>
  <c r="S174" i="5"/>
  <c r="S174" i="6" s="1"/>
  <c r="R174" i="5"/>
  <c r="R174" i="6" s="1"/>
  <c r="Q174" i="5"/>
  <c r="Q174" i="6" s="1"/>
  <c r="P174" i="5"/>
  <c r="P174" i="6" s="1"/>
  <c r="T173" i="5"/>
  <c r="T173" i="6" s="1"/>
  <c r="S173" i="5"/>
  <c r="S173" i="6" s="1"/>
  <c r="R173" i="5"/>
  <c r="R173" i="6" s="1"/>
  <c r="Q173" i="5"/>
  <c r="Q173" i="6" s="1"/>
  <c r="P173" i="5"/>
  <c r="P173" i="6" s="1"/>
  <c r="T172" i="5"/>
  <c r="T172" i="6" s="1"/>
  <c r="S172" i="5"/>
  <c r="S172" i="6" s="1"/>
  <c r="R172" i="5"/>
  <c r="R172" i="6" s="1"/>
  <c r="Q172" i="5"/>
  <c r="Q172" i="6" s="1"/>
  <c r="P172" i="5"/>
  <c r="P172" i="6" s="1"/>
  <c r="T171" i="5"/>
  <c r="T171" i="6" s="1"/>
  <c r="S171" i="5"/>
  <c r="S171" i="6" s="1"/>
  <c r="R171" i="5"/>
  <c r="R171" i="6" s="1"/>
  <c r="Q171" i="5"/>
  <c r="Q171" i="6" s="1"/>
  <c r="P171" i="5"/>
  <c r="P171" i="6" s="1"/>
  <c r="T170" i="5"/>
  <c r="T170" i="6" s="1"/>
  <c r="S170" i="5"/>
  <c r="S170" i="6" s="1"/>
  <c r="R170" i="5"/>
  <c r="R170" i="6" s="1"/>
  <c r="Q170" i="5"/>
  <c r="Q170" i="6" s="1"/>
  <c r="P170" i="5"/>
  <c r="P170" i="6" s="1"/>
  <c r="T169" i="5"/>
  <c r="T169" i="6" s="1"/>
  <c r="S169" i="5"/>
  <c r="S169" i="6" s="1"/>
  <c r="R169" i="5"/>
  <c r="R169" i="6" s="1"/>
  <c r="Q169" i="5"/>
  <c r="Q169" i="6" s="1"/>
  <c r="P169" i="5"/>
  <c r="P169" i="6" s="1"/>
  <c r="T168" i="5"/>
  <c r="T168" i="6" s="1"/>
  <c r="S168" i="5"/>
  <c r="S168" i="6" s="1"/>
  <c r="R168" i="5"/>
  <c r="R168" i="6" s="1"/>
  <c r="Q168" i="5"/>
  <c r="Q168" i="6" s="1"/>
  <c r="P168" i="5"/>
  <c r="P168" i="6" s="1"/>
  <c r="T167" i="5"/>
  <c r="T167" i="6" s="1"/>
  <c r="S167" i="5"/>
  <c r="S167" i="6" s="1"/>
  <c r="R167" i="5"/>
  <c r="R167" i="6" s="1"/>
  <c r="Q167" i="5"/>
  <c r="Q167" i="6" s="1"/>
  <c r="P167" i="5"/>
  <c r="P167" i="6" s="1"/>
  <c r="T166" i="5"/>
  <c r="T166" i="6" s="1"/>
  <c r="S166" i="5"/>
  <c r="S166" i="6" s="1"/>
  <c r="R166" i="5"/>
  <c r="R166" i="6" s="1"/>
  <c r="Q166" i="5"/>
  <c r="Q166" i="6" s="1"/>
  <c r="P166" i="5"/>
  <c r="P166" i="6" s="1"/>
  <c r="T165" i="5"/>
  <c r="T165" i="6" s="1"/>
  <c r="S165" i="5"/>
  <c r="S165" i="6" s="1"/>
  <c r="R165" i="5"/>
  <c r="R165" i="6" s="1"/>
  <c r="Q165" i="5"/>
  <c r="Q165" i="6" s="1"/>
  <c r="P165" i="5"/>
  <c r="P165" i="6" s="1"/>
  <c r="T164" i="5"/>
  <c r="T164" i="6" s="1"/>
  <c r="S164" i="5"/>
  <c r="S164" i="6" s="1"/>
  <c r="R164" i="5"/>
  <c r="R164" i="6" s="1"/>
  <c r="Q164" i="5"/>
  <c r="Q164" i="6" s="1"/>
  <c r="P164" i="5"/>
  <c r="P164" i="6" s="1"/>
  <c r="T163" i="5"/>
  <c r="T163" i="6" s="1"/>
  <c r="S163" i="5"/>
  <c r="S163" i="6" s="1"/>
  <c r="R163" i="5"/>
  <c r="R163" i="6" s="1"/>
  <c r="Q163" i="5"/>
  <c r="Q163" i="6" s="1"/>
  <c r="P163" i="5"/>
  <c r="P163" i="6" s="1"/>
  <c r="T162" i="5"/>
  <c r="T162" i="6" s="1"/>
  <c r="S162" i="5"/>
  <c r="S162" i="6" s="1"/>
  <c r="R162" i="5"/>
  <c r="R162" i="6" s="1"/>
  <c r="Q162" i="5"/>
  <c r="Q162" i="6" s="1"/>
  <c r="P162" i="5"/>
  <c r="P162" i="6" s="1"/>
  <c r="T161" i="5"/>
  <c r="T161" i="6" s="1"/>
  <c r="S161" i="5"/>
  <c r="S161" i="6" s="1"/>
  <c r="R161" i="5"/>
  <c r="R161" i="6" s="1"/>
  <c r="Q161" i="5"/>
  <c r="Q161" i="6" s="1"/>
  <c r="P161" i="5"/>
  <c r="P161" i="6" s="1"/>
  <c r="T160" i="5"/>
  <c r="T160" i="6" s="1"/>
  <c r="S160" i="5"/>
  <c r="S160" i="6" s="1"/>
  <c r="R160" i="5"/>
  <c r="R160" i="6" s="1"/>
  <c r="Q160" i="5"/>
  <c r="Q160" i="6" s="1"/>
  <c r="P160" i="5"/>
  <c r="P160" i="6" s="1"/>
  <c r="T159" i="5"/>
  <c r="T159" i="6" s="1"/>
  <c r="S159" i="5"/>
  <c r="S159" i="6" s="1"/>
  <c r="R159" i="5"/>
  <c r="R159" i="6" s="1"/>
  <c r="Q159" i="5"/>
  <c r="Q159" i="6" s="1"/>
  <c r="P159" i="5"/>
  <c r="P159" i="6" s="1"/>
  <c r="T158" i="5"/>
  <c r="T158" i="6" s="1"/>
  <c r="S158" i="5"/>
  <c r="S158" i="6" s="1"/>
  <c r="R158" i="5"/>
  <c r="R158" i="6" s="1"/>
  <c r="Q158" i="5"/>
  <c r="Q158" i="6" s="1"/>
  <c r="P158" i="5"/>
  <c r="P158" i="6" s="1"/>
  <c r="T157" i="5"/>
  <c r="T157" i="6" s="1"/>
  <c r="S157" i="5"/>
  <c r="S157" i="6" s="1"/>
  <c r="R157" i="5"/>
  <c r="R157" i="6" s="1"/>
  <c r="Q157" i="5"/>
  <c r="Q157" i="6" s="1"/>
  <c r="P157" i="5"/>
  <c r="P157" i="6" s="1"/>
  <c r="T156" i="5"/>
  <c r="T156" i="6" s="1"/>
  <c r="S156" i="5"/>
  <c r="S156" i="6" s="1"/>
  <c r="R156" i="5"/>
  <c r="R156" i="6" s="1"/>
  <c r="Q156" i="5"/>
  <c r="Q156" i="6" s="1"/>
  <c r="P156" i="5"/>
  <c r="P156" i="6" s="1"/>
  <c r="T155" i="5"/>
  <c r="T155" i="6" s="1"/>
  <c r="S155" i="5"/>
  <c r="S155" i="6" s="1"/>
  <c r="R155" i="5"/>
  <c r="R155" i="6" s="1"/>
  <c r="Q155" i="5"/>
  <c r="Q155" i="6" s="1"/>
  <c r="P155" i="5"/>
  <c r="P155" i="6" s="1"/>
  <c r="T154" i="5"/>
  <c r="T154" i="6" s="1"/>
  <c r="S154" i="5"/>
  <c r="S154" i="6" s="1"/>
  <c r="R154" i="5"/>
  <c r="R154" i="6" s="1"/>
  <c r="Q154" i="5"/>
  <c r="Q154" i="6" s="1"/>
  <c r="P154" i="5"/>
  <c r="P154" i="6" s="1"/>
  <c r="T153" i="5"/>
  <c r="T153" i="6" s="1"/>
  <c r="S153" i="5"/>
  <c r="S153" i="6" s="1"/>
  <c r="R153" i="5"/>
  <c r="R153" i="6" s="1"/>
  <c r="Q153" i="5"/>
  <c r="Q153" i="6" s="1"/>
  <c r="P153" i="5"/>
  <c r="P153" i="6" s="1"/>
  <c r="T152" i="5"/>
  <c r="T152" i="6" s="1"/>
  <c r="S152" i="5"/>
  <c r="S152" i="6" s="1"/>
  <c r="R152" i="5"/>
  <c r="R152" i="6" s="1"/>
  <c r="Q152" i="5"/>
  <c r="Q152" i="6" s="1"/>
  <c r="P152" i="5"/>
  <c r="P152" i="6" s="1"/>
  <c r="T151" i="5"/>
  <c r="T151" i="6" s="1"/>
  <c r="S151" i="5"/>
  <c r="S151" i="6" s="1"/>
  <c r="R151" i="5"/>
  <c r="R151" i="6" s="1"/>
  <c r="Q151" i="5"/>
  <c r="Q151" i="6" s="1"/>
  <c r="P151" i="5"/>
  <c r="P151" i="6" s="1"/>
  <c r="T150" i="5"/>
  <c r="T150" i="6" s="1"/>
  <c r="S150" i="5"/>
  <c r="S150" i="6" s="1"/>
  <c r="R150" i="5"/>
  <c r="R150" i="6" s="1"/>
  <c r="Q150" i="5"/>
  <c r="Q150" i="6" s="1"/>
  <c r="P150" i="5"/>
  <c r="P150" i="6" s="1"/>
  <c r="T149" i="5"/>
  <c r="T149" i="6" s="1"/>
  <c r="S149" i="5"/>
  <c r="S149" i="6" s="1"/>
  <c r="R149" i="5"/>
  <c r="R149" i="6" s="1"/>
  <c r="Q149" i="5"/>
  <c r="Q149" i="6" s="1"/>
  <c r="P149" i="5"/>
  <c r="P149" i="6" s="1"/>
  <c r="T148" i="5"/>
  <c r="T148" i="6" s="1"/>
  <c r="S148" i="5"/>
  <c r="S148" i="6" s="1"/>
  <c r="R148" i="5"/>
  <c r="R148" i="6" s="1"/>
  <c r="Q148" i="5"/>
  <c r="Q148" i="6" s="1"/>
  <c r="P148" i="5"/>
  <c r="P148" i="6" s="1"/>
  <c r="T147" i="5"/>
  <c r="T147" i="6" s="1"/>
  <c r="S147" i="5"/>
  <c r="S147" i="6" s="1"/>
  <c r="R147" i="5"/>
  <c r="R147" i="6" s="1"/>
  <c r="Q147" i="5"/>
  <c r="Q147" i="6" s="1"/>
  <c r="P147" i="5"/>
  <c r="P147" i="6" s="1"/>
  <c r="T146" i="5"/>
  <c r="T146" i="6" s="1"/>
  <c r="S146" i="5"/>
  <c r="S146" i="6" s="1"/>
  <c r="R146" i="5"/>
  <c r="R146" i="6" s="1"/>
  <c r="Q146" i="5"/>
  <c r="Q146" i="6" s="1"/>
  <c r="P146" i="5"/>
  <c r="P146" i="6" s="1"/>
  <c r="T145" i="5"/>
  <c r="T145" i="6" s="1"/>
  <c r="S145" i="5"/>
  <c r="S145" i="6" s="1"/>
  <c r="R145" i="5"/>
  <c r="R145" i="6" s="1"/>
  <c r="Q145" i="5"/>
  <c r="Q145" i="6" s="1"/>
  <c r="P145" i="5"/>
  <c r="P145" i="6" s="1"/>
  <c r="T144" i="5"/>
  <c r="T144" i="6" s="1"/>
  <c r="S144" i="5"/>
  <c r="S144" i="6" s="1"/>
  <c r="R144" i="5"/>
  <c r="R144" i="6" s="1"/>
  <c r="Q144" i="5"/>
  <c r="Q144" i="6" s="1"/>
  <c r="P144" i="5"/>
  <c r="P144" i="6" s="1"/>
  <c r="T143" i="5"/>
  <c r="T143" i="6" s="1"/>
  <c r="S143" i="5"/>
  <c r="S143" i="6" s="1"/>
  <c r="R143" i="5"/>
  <c r="R143" i="6" s="1"/>
  <c r="Q143" i="5"/>
  <c r="Q143" i="6" s="1"/>
  <c r="P143" i="5"/>
  <c r="P143" i="6" s="1"/>
  <c r="T142" i="5"/>
  <c r="T142" i="6" s="1"/>
  <c r="S142" i="5"/>
  <c r="S142" i="6" s="1"/>
  <c r="R142" i="5"/>
  <c r="R142" i="6" s="1"/>
  <c r="Q142" i="5"/>
  <c r="Q142" i="6" s="1"/>
  <c r="P142" i="5"/>
  <c r="P142" i="6" s="1"/>
  <c r="T141" i="5"/>
  <c r="T141" i="6" s="1"/>
  <c r="S141" i="5"/>
  <c r="S141" i="6" s="1"/>
  <c r="R141" i="5"/>
  <c r="R141" i="6" s="1"/>
  <c r="Q141" i="5"/>
  <c r="Q141" i="6" s="1"/>
  <c r="P141" i="5"/>
  <c r="P141" i="6" s="1"/>
  <c r="T140" i="5"/>
  <c r="T140" i="6" s="1"/>
  <c r="S140" i="5"/>
  <c r="S140" i="6" s="1"/>
  <c r="R140" i="5"/>
  <c r="R140" i="6" s="1"/>
  <c r="Q140" i="5"/>
  <c r="Q140" i="6" s="1"/>
  <c r="P140" i="5"/>
  <c r="P140" i="6" s="1"/>
  <c r="T139" i="5"/>
  <c r="T139" i="6" s="1"/>
  <c r="S139" i="5"/>
  <c r="S139" i="6" s="1"/>
  <c r="R139" i="5"/>
  <c r="R139" i="6" s="1"/>
  <c r="Q139" i="5"/>
  <c r="Q139" i="6" s="1"/>
  <c r="P139" i="5"/>
  <c r="P139" i="6" s="1"/>
  <c r="T138" i="5"/>
  <c r="T138" i="6" s="1"/>
  <c r="S138" i="5"/>
  <c r="S138" i="6" s="1"/>
  <c r="R138" i="5"/>
  <c r="R138" i="6" s="1"/>
  <c r="Q138" i="5"/>
  <c r="Q138" i="6" s="1"/>
  <c r="P138" i="5"/>
  <c r="P138" i="6" s="1"/>
  <c r="T137" i="5"/>
  <c r="T137" i="6" s="1"/>
  <c r="S137" i="5"/>
  <c r="S137" i="6" s="1"/>
  <c r="R137" i="5"/>
  <c r="R137" i="6" s="1"/>
  <c r="Q137" i="5"/>
  <c r="Q137" i="6" s="1"/>
  <c r="P137" i="5"/>
  <c r="P137" i="6" s="1"/>
  <c r="T136" i="5"/>
  <c r="T136" i="6" s="1"/>
  <c r="S136" i="5"/>
  <c r="S136" i="6" s="1"/>
  <c r="R136" i="5"/>
  <c r="R136" i="6" s="1"/>
  <c r="Q136" i="5"/>
  <c r="Q136" i="6" s="1"/>
  <c r="P136" i="5"/>
  <c r="P136" i="6" s="1"/>
  <c r="T135" i="5"/>
  <c r="T135" i="6" s="1"/>
  <c r="S135" i="5"/>
  <c r="S135" i="6" s="1"/>
  <c r="R135" i="5"/>
  <c r="R135" i="6" s="1"/>
  <c r="Q135" i="5"/>
  <c r="Q135" i="6" s="1"/>
  <c r="P135" i="5"/>
  <c r="P135" i="6" s="1"/>
  <c r="T134" i="5"/>
  <c r="T134" i="6" s="1"/>
  <c r="S134" i="5"/>
  <c r="S134" i="6" s="1"/>
  <c r="R134" i="5"/>
  <c r="R134" i="6" s="1"/>
  <c r="Q134" i="5"/>
  <c r="Q134" i="6" s="1"/>
  <c r="P134" i="5"/>
  <c r="P134" i="6" s="1"/>
  <c r="T133" i="5"/>
  <c r="T133" i="6" s="1"/>
  <c r="S133" i="5"/>
  <c r="S133" i="6" s="1"/>
  <c r="R133" i="5"/>
  <c r="R133" i="6" s="1"/>
  <c r="Q133" i="5"/>
  <c r="Q133" i="6" s="1"/>
  <c r="P133" i="5"/>
  <c r="P133" i="6" s="1"/>
  <c r="T132" i="5"/>
  <c r="T132" i="6" s="1"/>
  <c r="S132" i="5"/>
  <c r="S132" i="6" s="1"/>
  <c r="R132" i="5"/>
  <c r="R132" i="6" s="1"/>
  <c r="Q132" i="5"/>
  <c r="Q132" i="6" s="1"/>
  <c r="P132" i="5"/>
  <c r="P132" i="6" s="1"/>
  <c r="T131" i="5"/>
  <c r="T131" i="6" s="1"/>
  <c r="S131" i="5"/>
  <c r="S131" i="6" s="1"/>
  <c r="R131" i="5"/>
  <c r="R131" i="6" s="1"/>
  <c r="Q131" i="5"/>
  <c r="Q131" i="6" s="1"/>
  <c r="P131" i="5"/>
  <c r="P131" i="6" s="1"/>
  <c r="T130" i="5"/>
  <c r="T130" i="6" s="1"/>
  <c r="S130" i="5"/>
  <c r="S130" i="6" s="1"/>
  <c r="R130" i="5"/>
  <c r="R130" i="6" s="1"/>
  <c r="Q130" i="5"/>
  <c r="Q130" i="6" s="1"/>
  <c r="P130" i="5"/>
  <c r="P130" i="6" s="1"/>
  <c r="T129" i="5"/>
  <c r="T129" i="6" s="1"/>
  <c r="S129" i="5"/>
  <c r="S129" i="6" s="1"/>
  <c r="R129" i="5"/>
  <c r="R129" i="6" s="1"/>
  <c r="Q129" i="5"/>
  <c r="Q129" i="6" s="1"/>
  <c r="P129" i="5"/>
  <c r="P129" i="6" s="1"/>
  <c r="T128" i="5"/>
  <c r="T128" i="6" s="1"/>
  <c r="S128" i="5"/>
  <c r="S128" i="6" s="1"/>
  <c r="R128" i="5"/>
  <c r="R128" i="6" s="1"/>
  <c r="Q128" i="5"/>
  <c r="Q128" i="6" s="1"/>
  <c r="P128" i="5"/>
  <c r="P128" i="6" s="1"/>
  <c r="T127" i="5"/>
  <c r="T127" i="6" s="1"/>
  <c r="S127" i="5"/>
  <c r="S127" i="6" s="1"/>
  <c r="R127" i="5"/>
  <c r="R127" i="6" s="1"/>
  <c r="Q127" i="5"/>
  <c r="Q127" i="6" s="1"/>
  <c r="P127" i="5"/>
  <c r="P127" i="6" s="1"/>
  <c r="T126" i="5"/>
  <c r="T126" i="6" s="1"/>
  <c r="S126" i="5"/>
  <c r="S126" i="6" s="1"/>
  <c r="R126" i="5"/>
  <c r="R126" i="6" s="1"/>
  <c r="Q126" i="5"/>
  <c r="Q126" i="6" s="1"/>
  <c r="P126" i="5"/>
  <c r="P126" i="6" s="1"/>
  <c r="T125" i="5"/>
  <c r="T125" i="6" s="1"/>
  <c r="S125" i="5"/>
  <c r="S125" i="6" s="1"/>
  <c r="R125" i="5"/>
  <c r="R125" i="6" s="1"/>
  <c r="Q125" i="5"/>
  <c r="Q125" i="6" s="1"/>
  <c r="P125" i="5"/>
  <c r="P125" i="6" s="1"/>
  <c r="T124" i="5"/>
  <c r="T124" i="6" s="1"/>
  <c r="S124" i="5"/>
  <c r="S124" i="6" s="1"/>
  <c r="R124" i="5"/>
  <c r="R124" i="6" s="1"/>
  <c r="Q124" i="5"/>
  <c r="Q124" i="6" s="1"/>
  <c r="P124" i="5"/>
  <c r="P124" i="6" s="1"/>
  <c r="T123" i="5"/>
  <c r="T123" i="6" s="1"/>
  <c r="S123" i="5"/>
  <c r="S123" i="6" s="1"/>
  <c r="R123" i="5"/>
  <c r="R123" i="6" s="1"/>
  <c r="Q123" i="5"/>
  <c r="Q123" i="6" s="1"/>
  <c r="P123" i="5"/>
  <c r="P123" i="6" s="1"/>
  <c r="T122" i="5"/>
  <c r="T122" i="6" s="1"/>
  <c r="S122" i="5"/>
  <c r="S122" i="6" s="1"/>
  <c r="R122" i="5"/>
  <c r="R122" i="6" s="1"/>
  <c r="Q122" i="5"/>
  <c r="Q122" i="6" s="1"/>
  <c r="P122" i="5"/>
  <c r="P122" i="6" s="1"/>
  <c r="T121" i="5"/>
  <c r="T121" i="6" s="1"/>
  <c r="S121" i="5"/>
  <c r="S121" i="6" s="1"/>
  <c r="R121" i="5"/>
  <c r="R121" i="6" s="1"/>
  <c r="Q121" i="5"/>
  <c r="Q121" i="6" s="1"/>
  <c r="P121" i="5"/>
  <c r="P121" i="6" s="1"/>
  <c r="T120" i="5"/>
  <c r="T120" i="6" s="1"/>
  <c r="S120" i="5"/>
  <c r="S120" i="6" s="1"/>
  <c r="R120" i="5"/>
  <c r="R120" i="6" s="1"/>
  <c r="Q120" i="5"/>
  <c r="Q120" i="6" s="1"/>
  <c r="P120" i="5"/>
  <c r="P120" i="6" s="1"/>
  <c r="T119" i="5"/>
  <c r="T119" i="6" s="1"/>
  <c r="S119" i="5"/>
  <c r="S119" i="6" s="1"/>
  <c r="R119" i="5"/>
  <c r="R119" i="6" s="1"/>
  <c r="Q119" i="5"/>
  <c r="Q119" i="6" s="1"/>
  <c r="P119" i="5"/>
  <c r="P119" i="6" s="1"/>
  <c r="T118" i="5"/>
  <c r="T118" i="6" s="1"/>
  <c r="S118" i="5"/>
  <c r="S118" i="6" s="1"/>
  <c r="R118" i="5"/>
  <c r="R118" i="6" s="1"/>
  <c r="Q118" i="5"/>
  <c r="Q118" i="6" s="1"/>
  <c r="P118" i="5"/>
  <c r="P118" i="6" s="1"/>
  <c r="T117" i="5"/>
  <c r="T117" i="6" s="1"/>
  <c r="S117" i="5"/>
  <c r="S117" i="6" s="1"/>
  <c r="R117" i="5"/>
  <c r="R117" i="6" s="1"/>
  <c r="Q117" i="5"/>
  <c r="Q117" i="6" s="1"/>
  <c r="P117" i="5"/>
  <c r="P117" i="6" s="1"/>
  <c r="T116" i="5"/>
  <c r="T116" i="6" s="1"/>
  <c r="S116" i="5"/>
  <c r="S116" i="6" s="1"/>
  <c r="R116" i="5"/>
  <c r="R116" i="6" s="1"/>
  <c r="Q116" i="5"/>
  <c r="Q116" i="6" s="1"/>
  <c r="P116" i="5"/>
  <c r="P116" i="6" s="1"/>
  <c r="T115" i="5"/>
  <c r="T115" i="6" s="1"/>
  <c r="S115" i="5"/>
  <c r="S115" i="6" s="1"/>
  <c r="R115" i="5"/>
  <c r="R115" i="6" s="1"/>
  <c r="Q115" i="5"/>
  <c r="Q115" i="6" s="1"/>
  <c r="P115" i="5"/>
  <c r="P115" i="6" s="1"/>
  <c r="T114" i="5"/>
  <c r="T114" i="6" s="1"/>
  <c r="S114" i="5"/>
  <c r="S114" i="6" s="1"/>
  <c r="R114" i="5"/>
  <c r="R114" i="6" s="1"/>
  <c r="Q114" i="5"/>
  <c r="Q114" i="6" s="1"/>
  <c r="P114" i="5"/>
  <c r="P114" i="6" s="1"/>
  <c r="T113" i="5"/>
  <c r="T113" i="6" s="1"/>
  <c r="S113" i="5"/>
  <c r="S113" i="6" s="1"/>
  <c r="R113" i="5"/>
  <c r="R113" i="6" s="1"/>
  <c r="Q113" i="5"/>
  <c r="Q113" i="6" s="1"/>
  <c r="P113" i="5"/>
  <c r="P113" i="6" s="1"/>
  <c r="T112" i="5"/>
  <c r="T112" i="6" s="1"/>
  <c r="S112" i="5"/>
  <c r="S112" i="6" s="1"/>
  <c r="R112" i="5"/>
  <c r="R112" i="6" s="1"/>
  <c r="Q112" i="5"/>
  <c r="Q112" i="6" s="1"/>
  <c r="P112" i="5"/>
  <c r="P112" i="6" s="1"/>
  <c r="T111" i="5"/>
  <c r="T111" i="6" s="1"/>
  <c r="S111" i="5"/>
  <c r="S111" i="6" s="1"/>
  <c r="R111" i="5"/>
  <c r="R111" i="6" s="1"/>
  <c r="Q111" i="5"/>
  <c r="Q111" i="6" s="1"/>
  <c r="P111" i="5"/>
  <c r="P111" i="6" s="1"/>
  <c r="T110" i="5"/>
  <c r="T110" i="6" s="1"/>
  <c r="S110" i="5"/>
  <c r="S110" i="6" s="1"/>
  <c r="R110" i="5"/>
  <c r="R110" i="6" s="1"/>
  <c r="Q110" i="5"/>
  <c r="Q110" i="6" s="1"/>
  <c r="P110" i="5"/>
  <c r="P110" i="6" s="1"/>
  <c r="T109" i="5"/>
  <c r="T109" i="6" s="1"/>
  <c r="S109" i="5"/>
  <c r="S109" i="6" s="1"/>
  <c r="R109" i="5"/>
  <c r="R109" i="6" s="1"/>
  <c r="Q109" i="5"/>
  <c r="Q109" i="6" s="1"/>
  <c r="P109" i="5"/>
  <c r="P109" i="6" s="1"/>
  <c r="T108" i="5"/>
  <c r="T108" i="6" s="1"/>
  <c r="S108" i="5"/>
  <c r="S108" i="6" s="1"/>
  <c r="R108" i="5"/>
  <c r="R108" i="6" s="1"/>
  <c r="Q108" i="5"/>
  <c r="Q108" i="6" s="1"/>
  <c r="P108" i="5"/>
  <c r="P108" i="6" s="1"/>
  <c r="T107" i="5"/>
  <c r="T107" i="6" s="1"/>
  <c r="S107" i="5"/>
  <c r="S107" i="6" s="1"/>
  <c r="R107" i="5"/>
  <c r="R107" i="6" s="1"/>
  <c r="Q107" i="5"/>
  <c r="Q107" i="6" s="1"/>
  <c r="P107" i="5"/>
  <c r="P107" i="6" s="1"/>
  <c r="T106" i="5"/>
  <c r="T106" i="6" s="1"/>
  <c r="S106" i="5"/>
  <c r="S106" i="6" s="1"/>
  <c r="R106" i="5"/>
  <c r="R106" i="6" s="1"/>
  <c r="Q106" i="5"/>
  <c r="Q106" i="6" s="1"/>
  <c r="P106" i="5"/>
  <c r="P106" i="6" s="1"/>
  <c r="T105" i="5"/>
  <c r="T105" i="6" s="1"/>
  <c r="S105" i="5"/>
  <c r="S105" i="6" s="1"/>
  <c r="R105" i="5"/>
  <c r="R105" i="6" s="1"/>
  <c r="Q105" i="5"/>
  <c r="Q105" i="6" s="1"/>
  <c r="P105" i="5"/>
  <c r="P105" i="6" s="1"/>
  <c r="T104" i="5"/>
  <c r="T104" i="6" s="1"/>
  <c r="S104" i="5"/>
  <c r="S104" i="6" s="1"/>
  <c r="R104" i="5"/>
  <c r="R104" i="6" s="1"/>
  <c r="Q104" i="5"/>
  <c r="Q104" i="6" s="1"/>
  <c r="P104" i="5"/>
  <c r="P104" i="6" s="1"/>
  <c r="T103" i="5"/>
  <c r="T103" i="6" s="1"/>
  <c r="S103" i="5"/>
  <c r="S103" i="6" s="1"/>
  <c r="R103" i="5"/>
  <c r="R103" i="6" s="1"/>
  <c r="Q103" i="5"/>
  <c r="Q103" i="6" s="1"/>
  <c r="P103" i="5"/>
  <c r="P103" i="6" s="1"/>
  <c r="T102" i="5"/>
  <c r="T102" i="6" s="1"/>
  <c r="S102" i="5"/>
  <c r="S102" i="6" s="1"/>
  <c r="R102" i="5"/>
  <c r="R102" i="6" s="1"/>
  <c r="Q102" i="5"/>
  <c r="Q102" i="6" s="1"/>
  <c r="P102" i="5"/>
  <c r="P102" i="6" s="1"/>
  <c r="T101" i="5"/>
  <c r="T101" i="6" s="1"/>
  <c r="S101" i="5"/>
  <c r="S101" i="6" s="1"/>
  <c r="R101" i="5"/>
  <c r="R101" i="6" s="1"/>
  <c r="Q101" i="5"/>
  <c r="Q101" i="6" s="1"/>
  <c r="P101" i="5"/>
  <c r="P101" i="6" s="1"/>
  <c r="T100" i="5"/>
  <c r="T100" i="6" s="1"/>
  <c r="S100" i="5"/>
  <c r="S100" i="6" s="1"/>
  <c r="R100" i="5"/>
  <c r="R100" i="6" s="1"/>
  <c r="Q100" i="5"/>
  <c r="Q100" i="6" s="1"/>
  <c r="P100" i="5"/>
  <c r="P100" i="6" s="1"/>
  <c r="T99" i="5"/>
  <c r="T99" i="6" s="1"/>
  <c r="S99" i="5"/>
  <c r="S99" i="6" s="1"/>
  <c r="R99" i="5"/>
  <c r="R99" i="6" s="1"/>
  <c r="Q99" i="5"/>
  <c r="Q99" i="6" s="1"/>
  <c r="P99" i="5"/>
  <c r="P99" i="6" s="1"/>
  <c r="T98" i="5"/>
  <c r="T98" i="6" s="1"/>
  <c r="S98" i="5"/>
  <c r="S98" i="6" s="1"/>
  <c r="R98" i="5"/>
  <c r="R98" i="6" s="1"/>
  <c r="Q98" i="5"/>
  <c r="Q98" i="6" s="1"/>
  <c r="P98" i="5"/>
  <c r="P98" i="6" s="1"/>
  <c r="T97" i="5"/>
  <c r="T97" i="6" s="1"/>
  <c r="S97" i="5"/>
  <c r="S97" i="6" s="1"/>
  <c r="R97" i="5"/>
  <c r="R97" i="6" s="1"/>
  <c r="Q97" i="5"/>
  <c r="Q97" i="6" s="1"/>
  <c r="P97" i="5"/>
  <c r="P97" i="6" s="1"/>
  <c r="T96" i="5"/>
  <c r="T96" i="6" s="1"/>
  <c r="S96" i="5"/>
  <c r="S96" i="6" s="1"/>
  <c r="R96" i="5"/>
  <c r="R96" i="6" s="1"/>
  <c r="Q96" i="5"/>
  <c r="Q96" i="6" s="1"/>
  <c r="P96" i="5"/>
  <c r="P96" i="6" s="1"/>
  <c r="T95" i="5"/>
  <c r="T95" i="6" s="1"/>
  <c r="S95" i="5"/>
  <c r="S95" i="6" s="1"/>
  <c r="R95" i="5"/>
  <c r="R95" i="6" s="1"/>
  <c r="Q95" i="5"/>
  <c r="Q95" i="6" s="1"/>
  <c r="P95" i="5"/>
  <c r="P95" i="6" s="1"/>
  <c r="T94" i="5"/>
  <c r="T94" i="6" s="1"/>
  <c r="S94" i="5"/>
  <c r="S94" i="6" s="1"/>
  <c r="R94" i="5"/>
  <c r="R94" i="6" s="1"/>
  <c r="Q94" i="5"/>
  <c r="Q94" i="6" s="1"/>
  <c r="P94" i="5"/>
  <c r="P94" i="6" s="1"/>
  <c r="T93" i="5"/>
  <c r="T93" i="6" s="1"/>
  <c r="S93" i="5"/>
  <c r="S93" i="6" s="1"/>
  <c r="R93" i="5"/>
  <c r="R93" i="6" s="1"/>
  <c r="Q93" i="5"/>
  <c r="Q93" i="6" s="1"/>
  <c r="P93" i="5"/>
  <c r="P93" i="6" s="1"/>
  <c r="T92" i="5"/>
  <c r="T92" i="6" s="1"/>
  <c r="S92" i="5"/>
  <c r="S92" i="6" s="1"/>
  <c r="R92" i="5"/>
  <c r="R92" i="6" s="1"/>
  <c r="Q92" i="5"/>
  <c r="Q92" i="6" s="1"/>
  <c r="P92" i="5"/>
  <c r="P92" i="6" s="1"/>
  <c r="T91" i="5"/>
  <c r="T91" i="6" s="1"/>
  <c r="S91" i="5"/>
  <c r="S91" i="6" s="1"/>
  <c r="R91" i="5"/>
  <c r="R91" i="6" s="1"/>
  <c r="Q91" i="5"/>
  <c r="Q91" i="6" s="1"/>
  <c r="P91" i="5"/>
  <c r="P91" i="6" s="1"/>
  <c r="T90" i="5"/>
  <c r="T90" i="6" s="1"/>
  <c r="S90" i="5"/>
  <c r="S90" i="6" s="1"/>
  <c r="R90" i="5"/>
  <c r="R90" i="6" s="1"/>
  <c r="Q90" i="5"/>
  <c r="Q90" i="6" s="1"/>
  <c r="P90" i="5"/>
  <c r="P90" i="6" s="1"/>
  <c r="T89" i="5"/>
  <c r="T89" i="6" s="1"/>
  <c r="S89" i="5"/>
  <c r="S89" i="6" s="1"/>
  <c r="R89" i="5"/>
  <c r="R89" i="6" s="1"/>
  <c r="Q89" i="5"/>
  <c r="Q89" i="6" s="1"/>
  <c r="P89" i="5"/>
  <c r="P89" i="6" s="1"/>
  <c r="T88" i="5"/>
  <c r="T88" i="6" s="1"/>
  <c r="S88" i="5"/>
  <c r="S88" i="6" s="1"/>
  <c r="R88" i="5"/>
  <c r="R88" i="6" s="1"/>
  <c r="Q88" i="5"/>
  <c r="Q88" i="6" s="1"/>
  <c r="P88" i="5"/>
  <c r="P88" i="6" s="1"/>
  <c r="T87" i="5"/>
  <c r="T87" i="6" s="1"/>
  <c r="S87" i="5"/>
  <c r="S87" i="6" s="1"/>
  <c r="R87" i="5"/>
  <c r="R87" i="6" s="1"/>
  <c r="Q87" i="5"/>
  <c r="Q87" i="6" s="1"/>
  <c r="P87" i="5"/>
  <c r="P87" i="6" s="1"/>
  <c r="T86" i="5"/>
  <c r="T86" i="6" s="1"/>
  <c r="S86" i="5"/>
  <c r="S86" i="6" s="1"/>
  <c r="R86" i="5"/>
  <c r="R86" i="6" s="1"/>
  <c r="Q86" i="5"/>
  <c r="Q86" i="6" s="1"/>
  <c r="P86" i="5"/>
  <c r="P86" i="6" s="1"/>
  <c r="T85" i="5"/>
  <c r="T85" i="6" s="1"/>
  <c r="S85" i="5"/>
  <c r="S85" i="6" s="1"/>
  <c r="R85" i="5"/>
  <c r="R85" i="6" s="1"/>
  <c r="Q85" i="5"/>
  <c r="Q85" i="6" s="1"/>
  <c r="P85" i="5"/>
  <c r="P85" i="6" s="1"/>
  <c r="T84" i="5"/>
  <c r="T84" i="6" s="1"/>
  <c r="S84" i="5"/>
  <c r="S84" i="6" s="1"/>
  <c r="R84" i="5"/>
  <c r="R84" i="6" s="1"/>
  <c r="Q84" i="5"/>
  <c r="Q84" i="6" s="1"/>
  <c r="P84" i="5"/>
  <c r="P84" i="6" s="1"/>
  <c r="T83" i="5"/>
  <c r="T83" i="6" s="1"/>
  <c r="S83" i="5"/>
  <c r="S83" i="6" s="1"/>
  <c r="R83" i="5"/>
  <c r="R83" i="6" s="1"/>
  <c r="Q83" i="5"/>
  <c r="Q83" i="6" s="1"/>
  <c r="P83" i="5"/>
  <c r="P83" i="6" s="1"/>
  <c r="T82" i="5"/>
  <c r="T82" i="6" s="1"/>
  <c r="S82" i="5"/>
  <c r="S82" i="6" s="1"/>
  <c r="R82" i="5"/>
  <c r="R82" i="6" s="1"/>
  <c r="Q82" i="5"/>
  <c r="Q82" i="6" s="1"/>
  <c r="P82" i="5"/>
  <c r="P82" i="6" s="1"/>
  <c r="T81" i="5"/>
  <c r="T81" i="6" s="1"/>
  <c r="S81" i="5"/>
  <c r="S81" i="6" s="1"/>
  <c r="R81" i="5"/>
  <c r="R81" i="6" s="1"/>
  <c r="Q81" i="5"/>
  <c r="Q81" i="6" s="1"/>
  <c r="P81" i="5"/>
  <c r="P81" i="6" s="1"/>
  <c r="T80" i="5"/>
  <c r="T80" i="6" s="1"/>
  <c r="S80" i="5"/>
  <c r="S80" i="6" s="1"/>
  <c r="R80" i="5"/>
  <c r="R80" i="6" s="1"/>
  <c r="Q80" i="5"/>
  <c r="Q80" i="6" s="1"/>
  <c r="P80" i="5"/>
  <c r="P80" i="6" s="1"/>
  <c r="T79" i="5"/>
  <c r="T79" i="6" s="1"/>
  <c r="S79" i="5"/>
  <c r="S79" i="6" s="1"/>
  <c r="R79" i="5"/>
  <c r="R79" i="6" s="1"/>
  <c r="Q79" i="5"/>
  <c r="Q79" i="6" s="1"/>
  <c r="P79" i="5"/>
  <c r="P79" i="6" s="1"/>
  <c r="T78" i="5"/>
  <c r="T78" i="6" s="1"/>
  <c r="S78" i="5"/>
  <c r="S78" i="6" s="1"/>
  <c r="R78" i="5"/>
  <c r="R78" i="6" s="1"/>
  <c r="Q78" i="5"/>
  <c r="Q78" i="6" s="1"/>
  <c r="P78" i="5"/>
  <c r="P78" i="6" s="1"/>
  <c r="T77" i="5"/>
  <c r="T77" i="6" s="1"/>
  <c r="S77" i="5"/>
  <c r="S77" i="6" s="1"/>
  <c r="R77" i="5"/>
  <c r="R77" i="6" s="1"/>
  <c r="Q77" i="5"/>
  <c r="Q77" i="6" s="1"/>
  <c r="P77" i="5"/>
  <c r="P77" i="6" s="1"/>
  <c r="T76" i="5"/>
  <c r="T76" i="6" s="1"/>
  <c r="S76" i="5"/>
  <c r="S76" i="6" s="1"/>
  <c r="R76" i="5"/>
  <c r="R76" i="6" s="1"/>
  <c r="Q76" i="5"/>
  <c r="Q76" i="6" s="1"/>
  <c r="P76" i="5"/>
  <c r="P76" i="6" s="1"/>
  <c r="T75" i="5"/>
  <c r="T75" i="6" s="1"/>
  <c r="S75" i="5"/>
  <c r="S75" i="6" s="1"/>
  <c r="R75" i="5"/>
  <c r="R75" i="6" s="1"/>
  <c r="Q75" i="5"/>
  <c r="Q75" i="6" s="1"/>
  <c r="P75" i="5"/>
  <c r="P75" i="6" s="1"/>
  <c r="T74" i="5"/>
  <c r="T74" i="6" s="1"/>
  <c r="S74" i="5"/>
  <c r="S74" i="6" s="1"/>
  <c r="R74" i="5"/>
  <c r="R74" i="6" s="1"/>
  <c r="Q74" i="5"/>
  <c r="Q74" i="6" s="1"/>
  <c r="P74" i="5"/>
  <c r="P74" i="6" s="1"/>
  <c r="T73" i="5"/>
  <c r="T73" i="6" s="1"/>
  <c r="S73" i="5"/>
  <c r="S73" i="6" s="1"/>
  <c r="R73" i="5"/>
  <c r="R73" i="6" s="1"/>
  <c r="Q73" i="5"/>
  <c r="Q73" i="6" s="1"/>
  <c r="P73" i="5"/>
  <c r="P73" i="6" s="1"/>
  <c r="T72" i="5"/>
  <c r="T72" i="6" s="1"/>
  <c r="S72" i="5"/>
  <c r="S72" i="6" s="1"/>
  <c r="R72" i="5"/>
  <c r="R72" i="6" s="1"/>
  <c r="Q72" i="5"/>
  <c r="Q72" i="6" s="1"/>
  <c r="P72" i="5"/>
  <c r="P72" i="6" s="1"/>
  <c r="T71" i="5"/>
  <c r="T71" i="6" s="1"/>
  <c r="S71" i="5"/>
  <c r="S71" i="6" s="1"/>
  <c r="R71" i="5"/>
  <c r="R71" i="6" s="1"/>
  <c r="Q71" i="5"/>
  <c r="Q71" i="6" s="1"/>
  <c r="P71" i="5"/>
  <c r="P71" i="6" s="1"/>
  <c r="T70" i="5"/>
  <c r="T70" i="6" s="1"/>
  <c r="S70" i="5"/>
  <c r="S70" i="6" s="1"/>
  <c r="R70" i="5"/>
  <c r="R70" i="6" s="1"/>
  <c r="Q70" i="5"/>
  <c r="Q70" i="6" s="1"/>
  <c r="P70" i="5"/>
  <c r="P70" i="6" s="1"/>
  <c r="T69" i="5"/>
  <c r="T69" i="6" s="1"/>
  <c r="S69" i="5"/>
  <c r="S69" i="6" s="1"/>
  <c r="R69" i="5"/>
  <c r="R69" i="6" s="1"/>
  <c r="Q69" i="5"/>
  <c r="Q69" i="6" s="1"/>
  <c r="P69" i="5"/>
  <c r="P69" i="6" s="1"/>
  <c r="T68" i="5"/>
  <c r="T68" i="6" s="1"/>
  <c r="S68" i="5"/>
  <c r="S68" i="6" s="1"/>
  <c r="R68" i="5"/>
  <c r="R68" i="6" s="1"/>
  <c r="Q68" i="5"/>
  <c r="Q68" i="6" s="1"/>
  <c r="P68" i="5"/>
  <c r="P68" i="6" s="1"/>
  <c r="T67" i="5"/>
  <c r="T67" i="6" s="1"/>
  <c r="S67" i="5"/>
  <c r="S67" i="6" s="1"/>
  <c r="R67" i="5"/>
  <c r="R67" i="6" s="1"/>
  <c r="Q67" i="5"/>
  <c r="Q67" i="6" s="1"/>
  <c r="P67" i="5"/>
  <c r="P67" i="6" s="1"/>
  <c r="T66" i="5"/>
  <c r="T66" i="6" s="1"/>
  <c r="S66" i="5"/>
  <c r="S66" i="6" s="1"/>
  <c r="R66" i="5"/>
  <c r="R66" i="6" s="1"/>
  <c r="Q66" i="5"/>
  <c r="Q66" i="6" s="1"/>
  <c r="P66" i="5"/>
  <c r="P66" i="6" s="1"/>
  <c r="T65" i="5"/>
  <c r="T65" i="6" s="1"/>
  <c r="S65" i="5"/>
  <c r="S65" i="6" s="1"/>
  <c r="R65" i="5"/>
  <c r="R65" i="6" s="1"/>
  <c r="Q65" i="5"/>
  <c r="Q65" i="6" s="1"/>
  <c r="P65" i="5"/>
  <c r="P65" i="6" s="1"/>
  <c r="T64" i="5"/>
  <c r="T64" i="6" s="1"/>
  <c r="S64" i="5"/>
  <c r="S64" i="6" s="1"/>
  <c r="R64" i="5"/>
  <c r="R64" i="6" s="1"/>
  <c r="Q64" i="5"/>
  <c r="Q64" i="6" s="1"/>
  <c r="P64" i="5"/>
  <c r="P64" i="6" s="1"/>
  <c r="T63" i="5"/>
  <c r="T63" i="6" s="1"/>
  <c r="S63" i="5"/>
  <c r="S63" i="6" s="1"/>
  <c r="R63" i="5"/>
  <c r="R63" i="6" s="1"/>
  <c r="Q63" i="5"/>
  <c r="Q63" i="6" s="1"/>
  <c r="P63" i="5"/>
  <c r="P63" i="6" s="1"/>
  <c r="T62" i="5"/>
  <c r="T62" i="6" s="1"/>
  <c r="S62" i="5"/>
  <c r="S62" i="6" s="1"/>
  <c r="R62" i="5"/>
  <c r="R62" i="6" s="1"/>
  <c r="Q62" i="5"/>
  <c r="Q62" i="6" s="1"/>
  <c r="P62" i="5"/>
  <c r="P62" i="6" s="1"/>
  <c r="T61" i="5"/>
  <c r="T61" i="6" s="1"/>
  <c r="S61" i="5"/>
  <c r="S61" i="6" s="1"/>
  <c r="R61" i="5"/>
  <c r="R61" i="6" s="1"/>
  <c r="Q61" i="5"/>
  <c r="Q61" i="6" s="1"/>
  <c r="P61" i="5"/>
  <c r="P61" i="6" s="1"/>
  <c r="T60" i="5"/>
  <c r="T60" i="6" s="1"/>
  <c r="S60" i="5"/>
  <c r="S60" i="6" s="1"/>
  <c r="R60" i="5"/>
  <c r="R60" i="6" s="1"/>
  <c r="Q60" i="5"/>
  <c r="Q60" i="6" s="1"/>
  <c r="P60" i="5"/>
  <c r="P60" i="6" s="1"/>
  <c r="T59" i="5"/>
  <c r="T59" i="6" s="1"/>
  <c r="S59" i="5"/>
  <c r="S59" i="6" s="1"/>
  <c r="R59" i="5"/>
  <c r="R59" i="6" s="1"/>
  <c r="Q59" i="5"/>
  <c r="Q59" i="6" s="1"/>
  <c r="P59" i="5"/>
  <c r="P59" i="6" s="1"/>
  <c r="T58" i="5"/>
  <c r="T58" i="6" s="1"/>
  <c r="S58" i="5"/>
  <c r="S58" i="6" s="1"/>
  <c r="R58" i="5"/>
  <c r="R58" i="6" s="1"/>
  <c r="Q58" i="5"/>
  <c r="Q58" i="6" s="1"/>
  <c r="P58" i="5"/>
  <c r="P58" i="6" s="1"/>
  <c r="T57" i="5"/>
  <c r="T57" i="6" s="1"/>
  <c r="S57" i="5"/>
  <c r="S57" i="6" s="1"/>
  <c r="R57" i="5"/>
  <c r="R57" i="6" s="1"/>
  <c r="Q57" i="5"/>
  <c r="Q57" i="6" s="1"/>
  <c r="P57" i="5"/>
  <c r="P57" i="6" s="1"/>
  <c r="T56" i="5"/>
  <c r="T56" i="6" s="1"/>
  <c r="S56" i="5"/>
  <c r="S56" i="6" s="1"/>
  <c r="R56" i="5"/>
  <c r="R56" i="6" s="1"/>
  <c r="Q56" i="5"/>
  <c r="Q56" i="6" s="1"/>
  <c r="P56" i="5"/>
  <c r="P56" i="6" s="1"/>
  <c r="T55" i="5"/>
  <c r="T55" i="6" s="1"/>
  <c r="S55" i="5"/>
  <c r="S55" i="6" s="1"/>
  <c r="R55" i="5"/>
  <c r="R55" i="6" s="1"/>
  <c r="Q55" i="5"/>
  <c r="Q55" i="6" s="1"/>
  <c r="P55" i="5"/>
  <c r="P55" i="6" s="1"/>
  <c r="T54" i="5"/>
  <c r="T54" i="6" s="1"/>
  <c r="S54" i="5"/>
  <c r="S54" i="6" s="1"/>
  <c r="R54" i="5"/>
  <c r="R54" i="6" s="1"/>
  <c r="Q54" i="5"/>
  <c r="Q54" i="6" s="1"/>
  <c r="P54" i="5"/>
  <c r="P54" i="6" s="1"/>
  <c r="T53" i="5"/>
  <c r="T53" i="6" s="1"/>
  <c r="S53" i="5"/>
  <c r="S53" i="6" s="1"/>
  <c r="R53" i="5"/>
  <c r="R53" i="6" s="1"/>
  <c r="Q53" i="5"/>
  <c r="Q53" i="6" s="1"/>
  <c r="P53" i="5"/>
  <c r="P53" i="6" s="1"/>
  <c r="T52" i="5"/>
  <c r="T52" i="6" s="1"/>
  <c r="S52" i="5"/>
  <c r="S52" i="6" s="1"/>
  <c r="R52" i="5"/>
  <c r="R52" i="6" s="1"/>
  <c r="Q52" i="5"/>
  <c r="Q52" i="6" s="1"/>
  <c r="P52" i="5"/>
  <c r="P52" i="6" s="1"/>
  <c r="T51" i="5"/>
  <c r="T51" i="6" s="1"/>
  <c r="S51" i="5"/>
  <c r="S51" i="6" s="1"/>
  <c r="R51" i="5"/>
  <c r="R51" i="6" s="1"/>
  <c r="Q51" i="5"/>
  <c r="Q51" i="6" s="1"/>
  <c r="P51" i="5"/>
  <c r="P51" i="6" s="1"/>
  <c r="T50" i="5"/>
  <c r="T50" i="6" s="1"/>
  <c r="S50" i="5"/>
  <c r="S50" i="6" s="1"/>
  <c r="R50" i="5"/>
  <c r="R50" i="6" s="1"/>
  <c r="Q50" i="5"/>
  <c r="Q50" i="6" s="1"/>
  <c r="P50" i="5"/>
  <c r="P50" i="6" s="1"/>
  <c r="T49" i="5"/>
  <c r="T49" i="6" s="1"/>
  <c r="S49" i="5"/>
  <c r="S49" i="6" s="1"/>
  <c r="R49" i="5"/>
  <c r="R49" i="6" s="1"/>
  <c r="Q49" i="5"/>
  <c r="Q49" i="6" s="1"/>
  <c r="P49" i="5"/>
  <c r="P49" i="6" s="1"/>
  <c r="T48" i="5"/>
  <c r="T48" i="6" s="1"/>
  <c r="S48" i="5"/>
  <c r="S48" i="6" s="1"/>
  <c r="R48" i="5"/>
  <c r="R48" i="6" s="1"/>
  <c r="Q48" i="5"/>
  <c r="Q48" i="6" s="1"/>
  <c r="P48" i="5"/>
  <c r="P48" i="6" s="1"/>
  <c r="T47" i="5"/>
  <c r="T47" i="6" s="1"/>
  <c r="S47" i="5"/>
  <c r="S47" i="6" s="1"/>
  <c r="R47" i="5"/>
  <c r="R47" i="6" s="1"/>
  <c r="Q47" i="5"/>
  <c r="Q47" i="6" s="1"/>
  <c r="P47" i="5"/>
  <c r="P47" i="6" s="1"/>
  <c r="T46" i="5"/>
  <c r="T46" i="6" s="1"/>
  <c r="S46" i="5"/>
  <c r="S46" i="6" s="1"/>
  <c r="R46" i="5"/>
  <c r="R46" i="6" s="1"/>
  <c r="Q46" i="5"/>
  <c r="Q46" i="6" s="1"/>
  <c r="P46" i="5"/>
  <c r="P46" i="6" s="1"/>
  <c r="T45" i="5"/>
  <c r="T45" i="6" s="1"/>
  <c r="S45" i="5"/>
  <c r="S45" i="6" s="1"/>
  <c r="R45" i="5"/>
  <c r="R45" i="6" s="1"/>
  <c r="Q45" i="5"/>
  <c r="Q45" i="6" s="1"/>
  <c r="P45" i="5"/>
  <c r="P45" i="6" s="1"/>
  <c r="T44" i="5"/>
  <c r="T44" i="6" s="1"/>
  <c r="S44" i="5"/>
  <c r="S44" i="6" s="1"/>
  <c r="R44" i="5"/>
  <c r="R44" i="6" s="1"/>
  <c r="Q44" i="5"/>
  <c r="Q44" i="6" s="1"/>
  <c r="P44" i="5"/>
  <c r="P44" i="6" s="1"/>
  <c r="T43" i="5"/>
  <c r="T43" i="6" s="1"/>
  <c r="S43" i="5"/>
  <c r="S43" i="6" s="1"/>
  <c r="R43" i="5"/>
  <c r="R43" i="6" s="1"/>
  <c r="Q43" i="5"/>
  <c r="Q43" i="6" s="1"/>
  <c r="P43" i="5"/>
  <c r="P43" i="6" s="1"/>
  <c r="T42" i="5"/>
  <c r="T42" i="6" s="1"/>
  <c r="S42" i="5"/>
  <c r="S42" i="6" s="1"/>
  <c r="R42" i="5"/>
  <c r="R42" i="6" s="1"/>
  <c r="Q42" i="5"/>
  <c r="Q42" i="6" s="1"/>
  <c r="P42" i="5"/>
  <c r="P42" i="6" s="1"/>
  <c r="T41" i="5"/>
  <c r="T41" i="6" s="1"/>
  <c r="S41" i="5"/>
  <c r="S41" i="6" s="1"/>
  <c r="R41" i="5"/>
  <c r="R41" i="6" s="1"/>
  <c r="Q41" i="5"/>
  <c r="Q41" i="6" s="1"/>
  <c r="P41" i="5"/>
  <c r="P41" i="6" s="1"/>
  <c r="T40" i="5"/>
  <c r="T40" i="6" s="1"/>
  <c r="S40" i="5"/>
  <c r="S40" i="6" s="1"/>
  <c r="R40" i="5"/>
  <c r="R40" i="6" s="1"/>
  <c r="Q40" i="5"/>
  <c r="Q40" i="6" s="1"/>
  <c r="P40" i="5"/>
  <c r="P40" i="6" s="1"/>
  <c r="T39" i="5"/>
  <c r="T39" i="6" s="1"/>
  <c r="S39" i="5"/>
  <c r="S39" i="6" s="1"/>
  <c r="R39" i="5"/>
  <c r="R39" i="6" s="1"/>
  <c r="Q39" i="5"/>
  <c r="Q39" i="6" s="1"/>
  <c r="P39" i="5"/>
  <c r="P39" i="6" s="1"/>
  <c r="T38" i="5"/>
  <c r="T38" i="6" s="1"/>
  <c r="S38" i="5"/>
  <c r="S38" i="6" s="1"/>
  <c r="R38" i="5"/>
  <c r="R38" i="6" s="1"/>
  <c r="Q38" i="5"/>
  <c r="Q38" i="6" s="1"/>
  <c r="P38" i="5"/>
  <c r="P38" i="6" s="1"/>
  <c r="T37" i="5"/>
  <c r="T37" i="6" s="1"/>
  <c r="S37" i="5"/>
  <c r="S37" i="6" s="1"/>
  <c r="R37" i="5"/>
  <c r="R37" i="6" s="1"/>
  <c r="Q37" i="5"/>
  <c r="Q37" i="6" s="1"/>
  <c r="P37" i="5"/>
  <c r="P37" i="6" s="1"/>
  <c r="T36" i="5"/>
  <c r="T36" i="6" s="1"/>
  <c r="S36" i="5"/>
  <c r="S36" i="6" s="1"/>
  <c r="R36" i="5"/>
  <c r="R36" i="6" s="1"/>
  <c r="Q36" i="5"/>
  <c r="Q36" i="6" s="1"/>
  <c r="P36" i="5"/>
  <c r="P36" i="6" s="1"/>
  <c r="T35" i="5"/>
  <c r="T35" i="6" s="1"/>
  <c r="S35" i="5"/>
  <c r="S35" i="6" s="1"/>
  <c r="R35" i="5"/>
  <c r="R35" i="6" s="1"/>
  <c r="Q35" i="5"/>
  <c r="Q35" i="6" s="1"/>
  <c r="P35" i="5"/>
  <c r="P35" i="6" s="1"/>
  <c r="T34" i="5"/>
  <c r="T34" i="6" s="1"/>
  <c r="S34" i="5"/>
  <c r="S34" i="6" s="1"/>
  <c r="R34" i="5"/>
  <c r="R34" i="6" s="1"/>
  <c r="Q34" i="5"/>
  <c r="Q34" i="6" s="1"/>
  <c r="P34" i="5"/>
  <c r="P34" i="6" s="1"/>
  <c r="T33" i="5"/>
  <c r="T33" i="6" s="1"/>
  <c r="S33" i="5"/>
  <c r="S33" i="6" s="1"/>
  <c r="R33" i="5"/>
  <c r="R33" i="6" s="1"/>
  <c r="Q33" i="5"/>
  <c r="Q33" i="6" s="1"/>
  <c r="P33" i="5"/>
  <c r="P33" i="6" s="1"/>
  <c r="T32" i="5"/>
  <c r="T32" i="6" s="1"/>
  <c r="S32" i="5"/>
  <c r="S32" i="6" s="1"/>
  <c r="R32" i="5"/>
  <c r="R32" i="6" s="1"/>
  <c r="Q32" i="5"/>
  <c r="Q32" i="6" s="1"/>
  <c r="P32" i="5"/>
  <c r="P32" i="6" s="1"/>
  <c r="T31" i="5"/>
  <c r="T31" i="6" s="1"/>
  <c r="S31" i="5"/>
  <c r="S31" i="6" s="1"/>
  <c r="R31" i="5"/>
  <c r="R31" i="6" s="1"/>
  <c r="Q31" i="5"/>
  <c r="Q31" i="6" s="1"/>
  <c r="P31" i="5"/>
  <c r="P31" i="6" s="1"/>
  <c r="T30" i="5"/>
  <c r="T30" i="6" s="1"/>
  <c r="S30" i="5"/>
  <c r="S30" i="6" s="1"/>
  <c r="R30" i="5"/>
  <c r="R30" i="6" s="1"/>
  <c r="Q30" i="5"/>
  <c r="Q30" i="6" s="1"/>
  <c r="P30" i="5"/>
  <c r="P30" i="6" s="1"/>
  <c r="T29" i="5"/>
  <c r="T29" i="6" s="1"/>
  <c r="S29" i="5"/>
  <c r="S29" i="6" s="1"/>
  <c r="R29" i="5"/>
  <c r="R29" i="6" s="1"/>
  <c r="Q29" i="5"/>
  <c r="Q29" i="6" s="1"/>
  <c r="P29" i="5"/>
  <c r="P29" i="6" s="1"/>
  <c r="T28" i="5"/>
  <c r="T28" i="6" s="1"/>
  <c r="S28" i="5"/>
  <c r="S28" i="6" s="1"/>
  <c r="R28" i="5"/>
  <c r="R28" i="6" s="1"/>
  <c r="Q28" i="5"/>
  <c r="Q28" i="6" s="1"/>
  <c r="P28" i="5"/>
  <c r="P28" i="6" s="1"/>
  <c r="T27" i="5"/>
  <c r="T27" i="6" s="1"/>
  <c r="S27" i="5"/>
  <c r="S27" i="6" s="1"/>
  <c r="R27" i="5"/>
  <c r="R27" i="6" s="1"/>
  <c r="Q27" i="5"/>
  <c r="Q27" i="6" s="1"/>
  <c r="P27" i="5"/>
  <c r="P27" i="6" s="1"/>
  <c r="T26" i="5"/>
  <c r="T26" i="6" s="1"/>
  <c r="S26" i="5"/>
  <c r="S26" i="6" s="1"/>
  <c r="R26" i="5"/>
  <c r="R26" i="6" s="1"/>
  <c r="Q26" i="5"/>
  <c r="Q26" i="6" s="1"/>
  <c r="P26" i="5"/>
  <c r="P26" i="6" s="1"/>
  <c r="T25" i="5"/>
  <c r="T25" i="6" s="1"/>
  <c r="S25" i="5"/>
  <c r="S25" i="6" s="1"/>
  <c r="R25" i="5"/>
  <c r="R25" i="6" s="1"/>
  <c r="Q25" i="5"/>
  <c r="Q25" i="6" s="1"/>
  <c r="P25" i="5"/>
  <c r="P25" i="6" s="1"/>
  <c r="T24" i="5"/>
  <c r="T24" i="6" s="1"/>
  <c r="S24" i="5"/>
  <c r="S24" i="6" s="1"/>
  <c r="R24" i="5"/>
  <c r="R24" i="6" s="1"/>
  <c r="Q24" i="5"/>
  <c r="Q24" i="6" s="1"/>
  <c r="P24" i="5"/>
  <c r="P24" i="6" s="1"/>
  <c r="T23" i="5"/>
  <c r="T23" i="6" s="1"/>
  <c r="S23" i="5"/>
  <c r="S23" i="6" s="1"/>
  <c r="R23" i="5"/>
  <c r="R23" i="6" s="1"/>
  <c r="Q23" i="5"/>
  <c r="Q23" i="6" s="1"/>
  <c r="P23" i="5"/>
  <c r="P23" i="6" s="1"/>
  <c r="T22" i="5"/>
  <c r="T22" i="6" s="1"/>
  <c r="S22" i="5"/>
  <c r="S22" i="6" s="1"/>
  <c r="R22" i="5"/>
  <c r="R22" i="6" s="1"/>
  <c r="Q22" i="5"/>
  <c r="Q22" i="6" s="1"/>
  <c r="P22" i="5"/>
  <c r="P22" i="6" s="1"/>
  <c r="T21" i="5"/>
  <c r="T21" i="6" s="1"/>
  <c r="S21" i="5"/>
  <c r="S21" i="6" s="1"/>
  <c r="R21" i="5"/>
  <c r="R21" i="6" s="1"/>
  <c r="Q21" i="5"/>
  <c r="Q21" i="6" s="1"/>
  <c r="P21" i="5"/>
  <c r="P21" i="6" s="1"/>
  <c r="T20" i="5"/>
  <c r="T20" i="6" s="1"/>
  <c r="S20" i="5"/>
  <c r="S20" i="6" s="1"/>
  <c r="R20" i="5"/>
  <c r="R20" i="6" s="1"/>
  <c r="Q20" i="5"/>
  <c r="Q20" i="6" s="1"/>
  <c r="P20" i="5"/>
  <c r="P20" i="6" s="1"/>
  <c r="T19" i="5"/>
  <c r="T19" i="6" s="1"/>
  <c r="S19" i="5"/>
  <c r="S19" i="6" s="1"/>
  <c r="R19" i="5"/>
  <c r="R19" i="6" s="1"/>
  <c r="Q19" i="5"/>
  <c r="Q19" i="6" s="1"/>
  <c r="P19" i="5"/>
  <c r="P19" i="6" s="1"/>
  <c r="T18" i="5"/>
  <c r="T18" i="6" s="1"/>
  <c r="S18" i="5"/>
  <c r="S18" i="6" s="1"/>
  <c r="R18" i="5"/>
  <c r="R18" i="6" s="1"/>
  <c r="Q18" i="5"/>
  <c r="Q18" i="6" s="1"/>
  <c r="P18" i="5"/>
  <c r="P18" i="6" s="1"/>
  <c r="T17" i="5"/>
  <c r="T17" i="6" s="1"/>
  <c r="S17" i="5"/>
  <c r="S17" i="6" s="1"/>
  <c r="R17" i="5"/>
  <c r="R17" i="6" s="1"/>
  <c r="Q17" i="5"/>
  <c r="Q17" i="6" s="1"/>
  <c r="P17" i="5"/>
  <c r="P17" i="6" s="1"/>
  <c r="T16" i="5"/>
  <c r="T16" i="6" s="1"/>
  <c r="S16" i="5"/>
  <c r="S16" i="6" s="1"/>
  <c r="R16" i="5"/>
  <c r="R16" i="6" s="1"/>
  <c r="Q16" i="5"/>
  <c r="Q16" i="6" s="1"/>
  <c r="P16" i="5"/>
  <c r="P16" i="6" s="1"/>
  <c r="T15" i="5"/>
  <c r="T15" i="6" s="1"/>
  <c r="S15" i="5"/>
  <c r="S15" i="6" s="1"/>
  <c r="R15" i="5"/>
  <c r="R15" i="6" s="1"/>
  <c r="Q15" i="5"/>
  <c r="Q15" i="6" s="1"/>
  <c r="P15" i="5"/>
  <c r="P15" i="6" s="1"/>
  <c r="T14" i="5"/>
  <c r="T14" i="6" s="1"/>
  <c r="S14" i="5"/>
  <c r="S14" i="6" s="1"/>
  <c r="R14" i="5"/>
  <c r="R14" i="6" s="1"/>
  <c r="Q14" i="5"/>
  <c r="Q14" i="6" s="1"/>
  <c r="P14" i="5"/>
  <c r="P14" i="6" s="1"/>
  <c r="T13" i="5"/>
  <c r="T13" i="6" s="1"/>
  <c r="S13" i="5"/>
  <c r="S13" i="6" s="1"/>
  <c r="R13" i="5"/>
  <c r="R13" i="6" s="1"/>
  <c r="Q13" i="5"/>
  <c r="Q13" i="6" s="1"/>
  <c r="P13" i="5"/>
  <c r="P13" i="6" s="1"/>
  <c r="T12" i="5"/>
  <c r="T12" i="6" s="1"/>
  <c r="S12" i="5"/>
  <c r="S12" i="6" s="1"/>
  <c r="R12" i="5"/>
  <c r="R12" i="6" s="1"/>
  <c r="Q12" i="5"/>
  <c r="Q12" i="6" s="1"/>
  <c r="P12" i="5"/>
  <c r="P12" i="6" s="1"/>
  <c r="T11" i="5"/>
  <c r="T11" i="6" s="1"/>
  <c r="S11" i="5"/>
  <c r="S11" i="6" s="1"/>
  <c r="R11" i="5"/>
  <c r="R11" i="6" s="1"/>
  <c r="Q11" i="5"/>
  <c r="Q11" i="6" s="1"/>
  <c r="P11" i="5"/>
  <c r="P11" i="6" s="1"/>
  <c r="T2" i="5"/>
  <c r="T2" i="6" s="1"/>
  <c r="T3" i="5"/>
  <c r="T3" i="6" s="1"/>
  <c r="T4" i="5"/>
  <c r="T4" i="6" s="1"/>
  <c r="T5" i="5"/>
  <c r="T5" i="6" s="1"/>
  <c r="T6" i="5"/>
  <c r="T6" i="6" s="1"/>
  <c r="T7" i="5"/>
  <c r="T7" i="6" s="1"/>
  <c r="T8" i="5"/>
  <c r="T8" i="6" s="1"/>
  <c r="T9" i="5"/>
  <c r="T9" i="6" s="1"/>
  <c r="T10" i="5"/>
  <c r="T10" i="6" s="1"/>
  <c r="S2" i="5"/>
  <c r="S2" i="6" s="1"/>
  <c r="S3" i="5"/>
  <c r="S3" i="6" s="1"/>
  <c r="S4" i="5"/>
  <c r="S4" i="6" s="1"/>
  <c r="S5" i="5"/>
  <c r="S5" i="6" s="1"/>
  <c r="S6" i="5"/>
  <c r="S6" i="6" s="1"/>
  <c r="S7" i="5"/>
  <c r="S7" i="6" s="1"/>
  <c r="S8" i="5"/>
  <c r="S8" i="6" s="1"/>
  <c r="S9" i="5"/>
  <c r="S9" i="6" s="1"/>
  <c r="S10" i="5"/>
  <c r="S10" i="6" s="1"/>
  <c r="R2" i="5"/>
  <c r="R2" i="6" s="1"/>
  <c r="R3" i="5"/>
  <c r="R3" i="6" s="1"/>
  <c r="R4" i="5"/>
  <c r="R4" i="6" s="1"/>
  <c r="R5" i="5"/>
  <c r="R5" i="6" s="1"/>
  <c r="R6" i="5"/>
  <c r="R6" i="6" s="1"/>
  <c r="R7" i="5"/>
  <c r="R7" i="6" s="1"/>
  <c r="R8" i="5"/>
  <c r="R8" i="6" s="1"/>
  <c r="R9" i="5"/>
  <c r="R9" i="6" s="1"/>
  <c r="R10" i="5"/>
  <c r="R10" i="6" s="1"/>
  <c r="Q2" i="5"/>
  <c r="Q2" i="6" s="1"/>
  <c r="Q3" i="5"/>
  <c r="Q3" i="6" s="1"/>
  <c r="Q4" i="5"/>
  <c r="Q4" i="6" s="1"/>
  <c r="Q5" i="5"/>
  <c r="Q5" i="6" s="1"/>
  <c r="Q6" i="5"/>
  <c r="Q6" i="6" s="1"/>
  <c r="Q7" i="5"/>
  <c r="Q7" i="6" s="1"/>
  <c r="Q8" i="5"/>
  <c r="Q8" i="6" s="1"/>
  <c r="Q9" i="5"/>
  <c r="Q9" i="6" s="1"/>
  <c r="Q10" i="5"/>
  <c r="Q10" i="6" s="1"/>
  <c r="P2" i="5"/>
  <c r="P2" i="6" s="1"/>
  <c r="P4" i="5"/>
  <c r="P4" i="6" s="1"/>
  <c r="P5" i="5"/>
  <c r="P5" i="6" s="1"/>
  <c r="P6" i="5"/>
  <c r="P6" i="6" s="1"/>
  <c r="P7" i="5"/>
  <c r="P7" i="6" s="1"/>
  <c r="P8" i="5"/>
  <c r="P8" i="6" s="1"/>
  <c r="P9" i="5"/>
  <c r="P9" i="6" s="1"/>
  <c r="P10" i="5"/>
  <c r="P10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<sst xmlns="http://schemas.openxmlformats.org/spreadsheetml/2006/main" count="14924" uniqueCount="3232">
  <si>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</si>
  <si>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</si>
  <si>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</si>
  <si>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</si>
  <si>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</si>
  <si>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</si>
  <si>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</si>
  <si>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</si>
  <si>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</si>
  <si>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</si>
  <si>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</si>
  <si>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</si>
  <si>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</si>
  <si>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</si>
  <si>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</si>
  <si>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</si>
  <si>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</si>
  <si>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</si>
  <si>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</si>
  <si>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</si>
  <si>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</si>
  <si>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</si>
  <si>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</si>
  <si>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</si>
  <si>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</si>
  <si>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</si>
  <si>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</si>
  <si>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</si>
  <si>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</si>
  <si>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</si>
  <si>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</si>
  <si>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</si>
  <si>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</si>
  <si>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</si>
  <si>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</si>
  <si>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</si>
  <si>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</si>
  <si>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</si>
  <si>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</si>
  <si>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</si>
  <si>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</si>
  <si>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</si>
  <si>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</si>
  <si>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</si>
  <si>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</si>
  <si>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</si>
  <si>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</si>
  <si>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</si>
  <si>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</si>
  <si>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</si>
  <si>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</si>
  <si>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</si>
  <si>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</si>
  <si>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</si>
  <si>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</si>
  <si>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</si>
  <si>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</si>
  <si>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</si>
  <si>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</si>
  <si>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</si>
  <si>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</si>
  <si>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</si>
  <si>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</si>
  <si>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</si>
  <si>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</si>
  <si>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</si>
  <si>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</si>
  <si>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</si>
  <si>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</si>
  <si>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</si>
  <si>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</si>
  <si>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</si>
  <si>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</si>
  <si>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</si>
  <si>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</si>
  <si>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</si>
  <si>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</si>
  <si>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</si>
  <si>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</si>
  <si>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</si>
  <si>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</si>
  <si>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</si>
  <si>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</si>
  <si>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</si>
  <si>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</si>
  <si>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</si>
  <si>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</si>
  <si>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</si>
  <si>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</si>
  <si>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</si>
  <si>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</si>
  <si>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</si>
  <si>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</si>
  <si>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</si>
  <si>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</si>
  <si>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</si>
  <si>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</si>
  <si>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</si>
  <si>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</si>
  <si>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</si>
  <si>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</si>
  <si>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</si>
  <si>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</si>
  <si>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</si>
  <si>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</si>
  <si>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</si>
  <si>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</si>
  <si>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</si>
  <si>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</si>
  <si>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</si>
  <si>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</si>
  <si>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</si>
  <si>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</si>
  <si>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</si>
  <si>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</si>
  <si>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</si>
  <si>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</si>
  <si>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</si>
  <si>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</si>
  <si>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</si>
  <si>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</si>
  <si>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</si>
  <si>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</si>
  <si>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</si>
  <si>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</si>
  <si>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</si>
  <si>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</si>
  <si>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</si>
  <si>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</si>
  <si>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</si>
  <si>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</si>
  <si>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</si>
  <si>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</si>
  <si>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</si>
  <si>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</si>
  <si>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</si>
  <si>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</si>
  <si>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</si>
  <si>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</si>
  <si>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</si>
  <si>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</si>
  <si>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</si>
  <si>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</si>
  <si>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</si>
  <si>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</si>
  <si>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</si>
  <si>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</si>
  <si>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</si>
  <si>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</si>
  <si>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</si>
  <si>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</si>
  <si>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</si>
  <si>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</si>
  <si>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</si>
  <si>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</si>
  <si>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</si>
  <si>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</si>
  <si>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</si>
  <si>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</si>
  <si>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</si>
  <si>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</si>
  <si>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</si>
  <si>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</si>
  <si>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</si>
  <si>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</si>
  <si>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</si>
  <si>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</si>
  <si>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</si>
  <si>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</si>
  <si>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</si>
  <si>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</si>
  <si>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</si>
  <si>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</si>
  <si>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</si>
  <si>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</si>
  <si>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</si>
  <si>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</si>
  <si>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</si>
  <si>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</si>
  <si>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</si>
  <si>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</si>
  <si>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</si>
  <si>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</si>
  <si>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</si>
  <si>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</si>
  <si>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</si>
  <si>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</si>
  <si>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</si>
  <si>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</si>
  <si>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</si>
  <si>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</si>
  <si>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</si>
  <si>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</si>
  <si>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</si>
  <si>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</si>
  <si>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</si>
  <si>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</si>
  <si>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</si>
  <si>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</si>
  <si>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</si>
  <si>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</si>
  <si>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</si>
  <si>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</si>
  <si>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</si>
  <si>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</si>
  <si>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</si>
  <si>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</si>
  <si>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</si>
  <si>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</si>
  <si>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</si>
  <si>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</si>
  <si>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</si>
  <si>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</si>
  <si>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</si>
  <si>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</si>
  <si>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</si>
  <si>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</si>
  <si>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</si>
  <si>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</si>
  <si>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</si>
  <si>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</si>
  <si>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</si>
  <si>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</si>
  <si>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</si>
  <si>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</si>
  <si>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</si>
  <si>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</si>
  <si>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</si>
  <si>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</si>
  <si>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</si>
  <si>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</si>
  <si>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</si>
  <si>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</si>
  <si>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</si>
  <si>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</si>
  <si>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</si>
  <si>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</si>
  <si>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</si>
  <si>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</si>
  <si>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</si>
  <si>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</si>
  <si>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</si>
  <si>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</si>
  <si>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</si>
  <si>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</si>
  <si>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</si>
  <si>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</si>
  <si>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</si>
  <si>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</si>
  <si>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</si>
  <si>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</si>
  <si>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</si>
  <si>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</si>
  <si>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</si>
  <si>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</si>
  <si>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</si>
  <si>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</si>
  <si>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</si>
  <si>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</si>
  <si>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</si>
  <si>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</si>
  <si>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</si>
  <si>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</si>
  <si>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</si>
  <si>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</si>
  <si>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</si>
  <si>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</si>
  <si>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</si>
  <si>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</si>
  <si>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</si>
  <si>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</si>
  <si>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</si>
  <si>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</si>
  <si>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</si>
  <si>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</si>
  <si>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</si>
  <si>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</si>
  <si>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</si>
  <si>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</si>
  <si>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</si>
  <si>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</si>
  <si>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</si>
  <si>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</si>
  <si>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</si>
  <si>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</si>
  <si>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</si>
  <si>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</si>
  <si>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</si>
  <si>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</si>
  <si>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</si>
  <si>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</si>
  <si>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</si>
  <si>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</si>
  <si>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</si>
  <si>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</si>
  <si>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</si>
  <si>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</si>
  <si>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</si>
  <si>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</si>
  <si>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</si>
  <si>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</si>
  <si>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</si>
  <si>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</si>
  <si>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</si>
  <si>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</si>
  <si>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</si>
  <si>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</si>
  <si>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</si>
  <si>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</si>
  <si>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</si>
  <si>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</si>
  <si>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</si>
  <si>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</si>
  <si>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</si>
  <si>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</si>
  <si>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</si>
  <si>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</si>
  <si>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</si>
  <si>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</si>
  <si>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</si>
  <si>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</si>
  <si>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</si>
  <si>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</si>
  <si>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</si>
  <si>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</si>
  <si>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</si>
  <si>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</si>
  <si>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</si>
  <si>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</si>
  <si>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</si>
  <si>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</si>
  <si>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</si>
  <si>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</si>
  <si>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</si>
  <si>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</si>
  <si>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</si>
  <si>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</si>
  <si>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</si>
  <si>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</si>
  <si>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</si>
  <si>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</si>
  <si>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</si>
  <si>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</si>
  <si>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</si>
  <si>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</si>
  <si>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</si>
  <si>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</si>
  <si>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</si>
  <si>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</si>
  <si>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</si>
  <si>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</si>
  <si>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</si>
  <si>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</si>
  <si>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</si>
  <si>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</si>
  <si>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</si>
  <si>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</si>
  <si>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</si>
  <si>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</si>
  <si>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</si>
  <si>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</si>
  <si>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</si>
  <si>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</si>
  <si>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</si>
  <si>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</si>
  <si>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</si>
  <si>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</si>
  <si>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</si>
  <si>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</si>
  <si>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</si>
  <si>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</si>
  <si>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</si>
  <si>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</si>
  <si>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</si>
  <si>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</si>
  <si>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</si>
  <si>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</si>
  <si>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</si>
  <si>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</si>
  <si>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</si>
  <si>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</si>
  <si>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</si>
  <si>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</si>
  <si>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</si>
  <si>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</si>
  <si>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</si>
  <si>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</si>
  <si>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</si>
  <si>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</si>
  <si>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</si>
  <si>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</si>
  <si>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</si>
  <si>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</si>
  <si>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</si>
  <si>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</si>
  <si>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</si>
  <si>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</si>
  <si>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</si>
  <si>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</si>
  <si>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</si>
  <si>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</si>
  <si>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</si>
  <si>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</si>
  <si>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</si>
  <si>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</si>
  <si>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</si>
  <si>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</si>
  <si>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</si>
  <si>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</si>
  <si>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</si>
  <si>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</si>
  <si>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</si>
  <si>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</si>
  <si>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</si>
  <si>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</si>
  <si>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</si>
  <si>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</si>
  <si>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</si>
  <si>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</si>
  <si>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</si>
  <si>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</si>
  <si>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</si>
  <si>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</si>
  <si>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</si>
  <si>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</si>
  <si>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</si>
  <si>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</si>
  <si>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</si>
  <si>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</si>
  <si>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</si>
  <si>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</si>
  <si>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</si>
  <si>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</si>
  <si>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</si>
  <si>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</si>
  <si>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</si>
  <si>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</si>
  <si>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</si>
  <si>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</si>
  <si>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</si>
  <si>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</si>
  <si>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</si>
  <si>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</si>
  <si>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</si>
  <si>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</si>
  <si>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</si>
  <si>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</si>
  <si>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</si>
  <si>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</si>
  <si>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</si>
  <si>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</si>
  <si>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</si>
  <si>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</si>
  <si>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</si>
  <si>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</si>
  <si>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</si>
  <si>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</si>
  <si>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</si>
  <si>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</si>
  <si>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</si>
  <si>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</si>
  <si>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</si>
  <si>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</si>
  <si>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</si>
  <si>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</si>
  <si>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</si>
  <si>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</si>
  <si>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</si>
  <si>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</si>
  <si>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</si>
  <si>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</si>
  <si>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</si>
  <si>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</si>
  <si>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</si>
  <si>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</si>
  <si>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</si>
  <si>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</si>
  <si>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</si>
  <si>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</si>
  <si>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</si>
  <si>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</si>
  <si>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</si>
  <si>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</si>
  <si>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</si>
  <si>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</si>
  <si>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</si>
  <si>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</si>
  <si>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</si>
  <si>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</si>
  <si>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</si>
  <si>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</si>
  <si>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</si>
  <si>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</si>
  <si>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</si>
  <si>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</si>
  <si>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</si>
  <si>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</si>
  <si>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</si>
  <si>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</si>
  <si>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</si>
  <si>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</si>
  <si>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</si>
  <si>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</si>
  <si>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</si>
  <si>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</si>
  <si>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</si>
  <si>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</si>
  <si>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</si>
  <si>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</si>
  <si>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</si>
  <si>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</si>
  <si>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</si>
  <si>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</si>
  <si>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</si>
  <si>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</si>
  <si>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</si>
  <si>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</si>
  <si>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</si>
  <si>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</si>
  <si>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</si>
  <si>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</si>
  <si>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</si>
  <si>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</si>
  <si>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</si>
  <si>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</si>
  <si>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</si>
  <si>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</si>
  <si>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</si>
  <si>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</si>
  <si>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</si>
  <si>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</si>
  <si>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</si>
  <si>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</si>
  <si>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</si>
  <si>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</si>
  <si>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</si>
  <si>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</si>
  <si>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</si>
  <si>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</si>
  <si>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</si>
  <si>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</si>
  <si>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</si>
  <si>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</si>
  <si>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</si>
  <si>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</si>
  <si>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</si>
  <si>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</si>
  <si>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</si>
  <si>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</si>
  <si>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</si>
  <si>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</si>
  <si>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</si>
  <si>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</si>
  <si>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</si>
  <si>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</si>
  <si>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</si>
  <si>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</si>
  <si>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</si>
  <si>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</si>
  <si>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</si>
  <si>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</si>
  <si>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</si>
  <si>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</si>
  <si>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</si>
  <si>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</si>
  <si>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</si>
  <si>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</si>
  <si>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</si>
  <si>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</si>
  <si>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</si>
  <si>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</si>
  <si>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</si>
  <si>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</si>
  <si>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</si>
  <si>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</si>
  <si>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</si>
  <si>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</si>
  <si>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</si>
  <si>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</si>
  <si>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</si>
  <si>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</si>
  <si>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</si>
  <si>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</si>
  <si>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</si>
  <si>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</si>
  <si>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</si>
  <si>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</si>
  <si>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</si>
  <si>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</si>
  <si>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</si>
  <si>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</si>
  <si>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</si>
  <si>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</si>
  <si>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</si>
  <si>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</si>
  <si>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</si>
  <si>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</si>
  <si>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</si>
  <si>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</si>
  <si>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</si>
  <si>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</si>
  <si>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</si>
  <si>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</si>
  <si>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</si>
  <si>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</si>
  <si>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</si>
  <si>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</si>
  <si>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</si>
  <si>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</si>
  <si>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</si>
  <si>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</si>
  <si>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</si>
  <si>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</si>
  <si>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</si>
  <si>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</si>
  <si>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</si>
  <si>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</si>
  <si>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</si>
  <si>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</si>
  <si>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</si>
  <si>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</si>
  <si>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</si>
  <si>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</si>
  <si>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</si>
  <si>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</si>
  <si>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</si>
  <si>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</si>
  <si>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</si>
  <si>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</si>
  <si>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</si>
  <si>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</si>
  <si>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</si>
  <si>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</si>
  <si>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</si>
  <si>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</si>
  <si>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</si>
  <si>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</si>
  <si>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</si>
  <si>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</si>
  <si>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</si>
  <si>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</si>
  <si>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</si>
  <si>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</si>
  <si>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</si>
  <si>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</si>
  <si>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</si>
  <si>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</si>
  <si>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</si>
  <si>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</si>
  <si>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</si>
  <si>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</si>
  <si>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</si>
  <si>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</si>
  <si>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</si>
  <si>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</si>
  <si>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</si>
  <si>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</si>
  <si>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</si>
  <si>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</si>
  <si>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</si>
  <si>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</si>
  <si>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</si>
  <si>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</si>
  <si>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</si>
  <si>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</si>
  <si>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</si>
  <si>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</si>
  <si>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</si>
  <si>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</si>
  <si>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</si>
  <si>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</si>
  <si>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</si>
  <si>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</si>
  <si>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</si>
  <si>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</si>
  <si>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</si>
  <si>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</si>
  <si>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</si>
  <si>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</si>
  <si>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</si>
  <si>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</si>
  <si>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</si>
  <si>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</si>
  <si>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</si>
  <si>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</si>
  <si>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</si>
  <si>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</si>
  <si>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</si>
  <si>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</si>
  <si>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</si>
  <si>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</si>
  <si>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</si>
  <si>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</si>
  <si>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</si>
  <si>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</si>
  <si>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</si>
  <si>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</si>
  <si>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</si>
  <si>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</si>
  <si>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</si>
  <si>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</si>
  <si>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</si>
  <si>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</si>
  <si>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</si>
  <si>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</si>
  <si>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</si>
  <si>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</si>
  <si>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</si>
  <si>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</si>
  <si>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</si>
  <si>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</si>
  <si>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</si>
  <si>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</si>
  <si>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</si>
  <si>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</si>
  <si>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</si>
  <si>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</si>
  <si>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</si>
  <si>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</si>
  <si>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</si>
  <si>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</si>
  <si>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</si>
  <si>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</si>
  <si>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</si>
  <si>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</si>
  <si>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</si>
  <si>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</si>
  <si>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</si>
  <si>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</si>
  <si>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</si>
  <si>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</si>
  <si>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</si>
  <si>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</si>
  <si>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</si>
  <si>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</si>
  <si>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</si>
  <si>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</si>
  <si>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</si>
  <si>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</si>
  <si>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</si>
  <si>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</si>
  <si>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</si>
  <si>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</si>
  <si>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</si>
  <si>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</si>
  <si>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</si>
  <si>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</si>
  <si>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</si>
  <si>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</si>
  <si>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</si>
  <si>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</si>
  <si>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</si>
  <si>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</si>
  <si>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</si>
  <si>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</si>
  <si>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</si>
  <si>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</si>
  <si>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</si>
  <si>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</si>
  <si>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</si>
  <si>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</si>
  <si>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</si>
  <si>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</si>
  <si>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</si>
  <si>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</si>
  <si>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</si>
  <si>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</si>
  <si>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</si>
  <si>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</si>
  <si>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</si>
  <si>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</si>
  <si>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</si>
  <si>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</si>
  <si>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</si>
  <si>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</si>
  <si>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</si>
  <si>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</si>
  <si>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</si>
  <si>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</si>
  <si>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</si>
  <si>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</si>
  <si>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</si>
  <si>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</si>
  <si>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</si>
  <si>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</si>
  <si>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</si>
  <si>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</si>
  <si>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</si>
  <si>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</si>
  <si>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</si>
  <si>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</si>
  <si>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</si>
  <si>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</si>
  <si>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</si>
  <si>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</si>
  <si>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</si>
  <si>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</si>
  <si>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</si>
  <si>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</si>
  <si>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</si>
  <si>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</si>
  <si>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</si>
  <si>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</si>
  <si>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</si>
  <si>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</si>
  <si>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</si>
  <si>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</si>
  <si>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</si>
  <si>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</si>
  <si>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</si>
  <si>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</si>
  <si>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</si>
  <si>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</si>
  <si>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</si>
  <si>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</si>
  <si>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</si>
  <si>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</si>
  <si>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</si>
  <si>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</si>
  <si>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</si>
  <si>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</si>
  <si>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</si>
  <si>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</si>
  <si>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</si>
  <si>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</si>
  <si>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</si>
  <si>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</si>
  <si>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</si>
  <si>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</si>
  <si>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</si>
  <si>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</si>
  <si>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</si>
  <si>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</si>
  <si>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</si>
  <si>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</si>
  <si>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</si>
  <si>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</si>
  <si>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</si>
  <si>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</si>
  <si>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</si>
  <si>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</si>
  <si>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</si>
  <si>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</si>
  <si>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</si>
  <si>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</si>
  <si>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</si>
  <si>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</si>
  <si>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</si>
  <si>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</si>
  <si>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</si>
  <si>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</si>
  <si>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</si>
  <si>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</si>
  <si>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</si>
  <si>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</si>
  <si>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</si>
  <si>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</si>
  <si>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</si>
  <si>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</si>
  <si>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</si>
  <si>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</si>
  <si>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</si>
  <si>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</si>
  <si>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</si>
  <si>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</si>
  <si>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</si>
  <si>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</si>
  <si>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</si>
  <si>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</si>
  <si>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</si>
  <si>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</si>
  <si>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</si>
  <si>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</si>
  <si>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</si>
  <si>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</si>
  <si>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</si>
  <si>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</si>
  <si>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</si>
  <si>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</si>
  <si>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</si>
  <si>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</si>
  <si>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</si>
  <si>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</si>
  <si>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</si>
  <si>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</si>
  <si>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</si>
  <si>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</si>
  <si>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</si>
  <si>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</si>
  <si>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</si>
  <si>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</si>
  <si>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</si>
  <si>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</si>
  <si>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</si>
  <si>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</si>
  <si>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</si>
  <si>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</si>
  <si>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</si>
  <si>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</si>
  <si>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</si>
  <si>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</si>
  <si>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</si>
  <si>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</si>
  <si>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</si>
  <si>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</si>
  <si>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</si>
  <si>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</si>
  <si>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</si>
  <si>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</si>
  <si>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</si>
  <si>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</si>
  <si>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</si>
  <si>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</si>
  <si>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</si>
  <si>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</si>
  <si>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</si>
  <si>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</si>
  <si>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</si>
  <si>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</si>
  <si>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</si>
  <si>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</si>
  <si>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</si>
  <si>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</si>
  <si>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</si>
  <si>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</si>
  <si>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</si>
  <si>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</si>
  <si>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</si>
  <si>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</si>
  <si>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</si>
  <si>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</si>
  <si>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</si>
  <si>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</si>
  <si>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</si>
  <si>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</si>
  <si>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</si>
  <si>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</si>
  <si>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</si>
  <si>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</si>
  <si>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</si>
  <si>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</si>
  <si>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</si>
  <si>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</si>
  <si>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</si>
  <si>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</si>
  <si>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</si>
  <si>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</si>
  <si>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</si>
  <si>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</si>
  <si>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</si>
  <si>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</si>
  <si>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</si>
  <si>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</si>
  <si>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</si>
  <si>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</si>
  <si>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</si>
  <si>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</si>
  <si>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</si>
  <si>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</si>
  <si>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</si>
  <si>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</si>
  <si>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</si>
  <si>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</si>
  <si>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</si>
  <si>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</si>
  <si>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</si>
  <si>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</si>
  <si>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</si>
  <si>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</si>
  <si>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</si>
  <si>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</si>
  <si>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</si>
  <si>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</si>
  <si>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</si>
  <si>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</si>
  <si>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</si>
  <si>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</si>
  <si>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</si>
  <si>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</si>
  <si>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</si>
  <si>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</si>
  <si>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</si>
  <si>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</si>
  <si>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</si>
  <si>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</si>
  <si>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</si>
  <si>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</si>
  <si>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</si>
  <si>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</si>
  <si>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</si>
  <si>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</si>
  <si>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</si>
  <si>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</si>
  <si>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</si>
  <si>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</si>
  <si>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</si>
  <si>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</si>
  <si>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</si>
  <si>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</si>
  <si>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</si>
  <si>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</si>
  <si>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</si>
  <si>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</si>
  <si>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</si>
  <si>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</si>
  <si>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</si>
  <si>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</si>
  <si>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</si>
  <si>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</si>
  <si>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</si>
  <si>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</si>
  <si>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</si>
  <si>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</si>
  <si>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</si>
  <si>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</si>
  <si>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</si>
  <si>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</si>
  <si>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</si>
  <si>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</si>
  <si>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</si>
  <si>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</si>
  <si>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</si>
  <si>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</si>
  <si>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</si>
  <si>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</si>
  <si>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</si>
  <si>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</si>
  <si>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</si>
  <si>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</si>
  <si>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</si>
  <si>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</si>
  <si>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</si>
  <si>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</si>
  <si>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</si>
  <si>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</si>
  <si>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</si>
  <si>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</si>
  <si>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</si>
  <si>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</si>
  <si>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</si>
  <si>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</si>
  <si>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</si>
  <si>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</si>
  <si>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</si>
  <si>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</si>
  <si>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</si>
  <si>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</si>
  <si>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</si>
  <si>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</si>
  <si>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</si>
  <si>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</si>
  <si>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</si>
  <si>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</si>
  <si>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</si>
  <si>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</si>
  <si>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</si>
  <si>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</si>
  <si>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</si>
  <si>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</si>
  <si>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</si>
  <si>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</si>
  <si>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</si>
  <si>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</si>
  <si>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</si>
  <si>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</si>
  <si>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</si>
  <si>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</si>
  <si>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</si>
  <si>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</si>
  <si>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</si>
  <si>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</si>
  <si>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</si>
  <si>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</si>
  <si>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</si>
  <si>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</si>
  <si>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</si>
  <si>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</si>
  <si>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</si>
  <si>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</si>
  <si>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</si>
  <si>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</si>
  <si>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</si>
  <si>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</si>
  <si>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</si>
  <si>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</si>
  <si>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</si>
  <si>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</si>
  <si>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</si>
  <si>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</si>
  <si>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</si>
  <si>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</si>
  <si>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</si>
  <si>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</si>
  <si>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</si>
  <si>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</si>
  <si>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</si>
  <si>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</si>
  <si>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</si>
  <si>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</si>
  <si>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</si>
  <si>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</si>
  <si>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</si>
  <si>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</si>
  <si>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</si>
  <si>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</si>
  <si>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</si>
  <si>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</si>
  <si>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</si>
  <si>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</si>
  <si>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</si>
  <si>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</si>
  <si>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</si>
  <si>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</si>
  <si>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</si>
  <si>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</si>
  <si>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</si>
  <si>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</si>
  <si>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</si>
  <si>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</si>
  <si>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</si>
  <si>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</si>
  <si>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</si>
  <si>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</si>
  <si>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</si>
  <si>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</si>
  <si>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</si>
  <si>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</si>
  <si>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</si>
  <si>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</si>
  <si>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</si>
  <si>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</si>
  <si>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</si>
  <si>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</si>
  <si>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</si>
  <si>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</si>
  <si>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</si>
  <si>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</si>
  <si>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</si>
  <si>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</si>
  <si>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</si>
  <si>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</si>
  <si>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</si>
  <si>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</si>
  <si>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</si>
  <si>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</si>
  <si>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</si>
  <si>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</si>
  <si>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</si>
  <si>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</si>
  <si>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</si>
  <si>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</si>
  <si>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</si>
  <si>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</si>
  <si>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</si>
  <si>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</si>
  <si>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</si>
  <si>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</si>
  <si>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</si>
  <si>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</si>
  <si>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</si>
  <si>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</si>
  <si>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</si>
  <si>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</si>
  <si>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</si>
  <si>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</si>
  <si>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</si>
  <si>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</si>
  <si>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</si>
  <si>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</si>
  <si>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</si>
  <si>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</si>
  <si>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</si>
  <si>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</si>
  <si>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</si>
  <si>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</si>
  <si>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</si>
  <si>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</si>
  <si>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</si>
  <si>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</si>
  <si>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</si>
  <si>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</si>
  <si>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</si>
  <si>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</si>
  <si>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</si>
  <si>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</si>
  <si>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</si>
  <si>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</si>
  <si>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</si>
  <si>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</si>
  <si>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</si>
  <si>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</si>
  <si>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</si>
  <si>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</si>
  <si>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</si>
  <si>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</si>
  <si>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</si>
  <si>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</si>
  <si>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</si>
  <si>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</si>
  <si>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</si>
  <si>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</si>
  <si>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</si>
  <si>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</si>
  <si>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</si>
  <si>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</si>
  <si>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</si>
  <si>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</si>
  <si>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</si>
  <si>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</si>
  <si>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</si>
  <si>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</si>
  <si>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</si>
  <si>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</si>
  <si>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</si>
  <si>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</si>
  <si>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</si>
  <si>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</si>
  <si>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</si>
  <si>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</si>
  <si>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</si>
  <si>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</si>
  <si>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</si>
  <si>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</si>
  <si>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</si>
  <si>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</si>
  <si>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</si>
  <si>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</si>
  <si>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</si>
  <si>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</si>
  <si>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</si>
  <si>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</si>
  <si>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</si>
  <si>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</si>
  <si>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</si>
  <si>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</si>
  <si>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</si>
  <si>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</si>
  <si>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</si>
  <si>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</si>
  <si>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</si>
  <si>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</si>
  <si>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</si>
  <si>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</si>
  <si>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</si>
  <si>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</si>
  <si>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</si>
  <si>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</si>
  <si>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</si>
  <si>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</si>
  <si>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</si>
  <si>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</si>
  <si>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</si>
  <si>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</si>
  <si>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</si>
  <si>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</si>
  <si>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</si>
  <si>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</si>
  <si>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</si>
  <si>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</si>
  <si>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</si>
  <si>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</si>
  <si>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</si>
  <si>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</si>
  <si>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</si>
  <si>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</si>
  <si>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</si>
  <si>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</si>
  <si>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</si>
  <si>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</si>
  <si>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</si>
  <si>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</si>
  <si>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</si>
  <si>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</si>
  <si>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</si>
  <si>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</si>
  <si>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</si>
  <si>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</si>
  <si>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</si>
  <si>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</si>
  <si>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</si>
  <si>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</si>
  <si>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</si>
  <si>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</si>
  <si>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</si>
  <si>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</si>
  <si>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</si>
  <si>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</si>
  <si>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</si>
  <si>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</si>
  <si>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</si>
  <si>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</si>
  <si>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</si>
  <si>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</si>
  <si>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</si>
  <si>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</si>
  <si>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</si>
  <si>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</si>
  <si>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</si>
  <si>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</si>
  <si>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</si>
  <si>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</si>
  <si>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</si>
  <si>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</si>
  <si>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</si>
  <si>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</si>
  <si>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</si>
  <si>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</si>
  <si>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</si>
  <si>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</si>
  <si>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</si>
  <si>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</si>
  <si>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</si>
  <si>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</si>
  <si>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</si>
  <si>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</si>
  <si>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</si>
  <si>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</si>
  <si>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</si>
  <si>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</si>
  <si>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</si>
  <si>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</si>
  <si>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</si>
  <si>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</si>
  <si>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</si>
  <si>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</si>
  <si>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</si>
  <si>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</si>
  <si>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</si>
  <si>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</si>
  <si>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</si>
  <si>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</si>
  <si>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</si>
  <si>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</si>
  <si>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</si>
  <si>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</si>
  <si>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</si>
  <si>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</si>
  <si>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</si>
  <si>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</si>
  <si>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</si>
  <si>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</si>
  <si>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</si>
  <si>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</si>
  <si>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</si>
  <si>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</si>
  <si>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</si>
  <si>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</si>
  <si>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</si>
  <si>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</si>
  <si>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</si>
  <si>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</si>
  <si>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</si>
  <si>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</si>
  <si>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</si>
  <si>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</si>
  <si>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</si>
  <si>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</si>
  <si>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</si>
  <si>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</si>
  <si>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</si>
  <si>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</si>
  <si>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</si>
  <si>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</si>
  <si>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</si>
  <si>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</si>
  <si>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</si>
  <si>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</si>
  <si>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</si>
  <si>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</si>
  <si>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</si>
  <si>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</si>
  <si>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</si>
  <si>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</si>
  <si>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</si>
  <si>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</si>
  <si>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</si>
  <si>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</si>
  <si>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</si>
  <si>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</si>
  <si>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</si>
  <si>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</si>
  <si>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</si>
  <si>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</si>
  <si>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</si>
  <si>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</si>
  <si>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</si>
  <si>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</si>
  <si>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</si>
  <si>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</si>
  <si>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</si>
  <si>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</si>
  <si>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</si>
  <si>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</si>
  <si>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</si>
  <si>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</si>
  <si>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</si>
  <si>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</si>
  <si>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</si>
  <si>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</si>
  <si>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</si>
  <si>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</si>
  <si>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</si>
  <si>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</si>
  <si>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</si>
  <si>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</si>
  <si>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</si>
  <si>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</si>
  <si>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</si>
  <si>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</si>
  <si>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</si>
  <si>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</si>
  <si>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</si>
  <si>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</si>
  <si>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</si>
  <si>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</si>
  <si>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</si>
  <si>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</si>
  <si>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</si>
  <si>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</si>
  <si>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</si>
  <si>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</si>
  <si>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</si>
  <si>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</si>
  <si>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</si>
  <si>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</si>
  <si>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</si>
  <si>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</si>
  <si>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</si>
  <si>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</si>
  <si>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</si>
  <si>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</si>
  <si>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</si>
  <si>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</si>
  <si>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</si>
  <si>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</si>
  <si>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</si>
  <si>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</si>
  <si>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</si>
  <si>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</si>
  <si>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</si>
  <si>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</si>
  <si>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</si>
  <si>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</si>
  <si>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</si>
  <si>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</si>
  <si>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</si>
  <si>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</si>
  <si>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</si>
  <si>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</si>
  <si>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</si>
  <si>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</si>
  <si>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</si>
  <si>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</si>
  <si>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</si>
  <si>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</si>
  <si>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</si>
  <si>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</si>
  <si>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</si>
  <si>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</si>
  <si>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</si>
  <si>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</si>
  <si>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</si>
  <si>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</si>
  <si>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</si>
  <si>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</si>
  <si>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</si>
  <si>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</si>
  <si>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</si>
  <si>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</si>
  <si>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</si>
  <si>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</si>
  <si>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</si>
  <si>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</si>
  <si>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</si>
  <si>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</si>
  <si>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</si>
  <si>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</si>
  <si>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</si>
  <si>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</si>
  <si>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</si>
  <si>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</si>
  <si>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</si>
  <si>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</si>
  <si>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</si>
  <si>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</si>
  <si>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</si>
  <si>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</si>
  <si>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</si>
  <si>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</si>
  <si>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</si>
  <si>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</si>
  <si>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</si>
  <si>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</si>
  <si>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</si>
  <si>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</si>
  <si>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</si>
  <si>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</si>
  <si>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</si>
  <si>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</si>
  <si>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</si>
  <si>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</si>
  <si>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</si>
  <si>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</si>
  <si>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</si>
  <si>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</si>
  <si>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</si>
  <si>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</si>
  <si>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</si>
  <si>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</si>
  <si>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</si>
  <si>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</si>
  <si>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</si>
  <si>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</si>
  <si>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</si>
  <si>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</si>
  <si>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</si>
  <si>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</si>
  <si>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</si>
  <si>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</si>
  <si>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</si>
  <si>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</si>
  <si>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</si>
  <si>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</si>
  <si>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</si>
  <si>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</si>
  <si>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</si>
  <si>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</si>
  <si>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</si>
  <si>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</si>
  <si>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</si>
  <si>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</si>
  <si>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</si>
  <si>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</si>
  <si>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</si>
  <si>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</si>
  <si>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</si>
  <si>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</si>
  <si>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</si>
  <si>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</si>
  <si>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</si>
  <si>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</si>
  <si>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</si>
  <si>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</si>
  <si>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</si>
  <si>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</si>
  <si>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</si>
  <si>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</si>
  <si>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</si>
  <si>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</si>
  <si>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</si>
  <si>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</si>
  <si>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</si>
  <si>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</si>
  <si>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</si>
  <si>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</si>
  <si>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</si>
  <si>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</si>
  <si>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</si>
  <si>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</si>
  <si>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</si>
  <si>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</si>
  <si>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</si>
  <si>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</si>
  <si>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</si>
  <si>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</si>
  <si>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</si>
  <si>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</si>
  <si>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</si>
  <si>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</si>
  <si>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</si>
  <si>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</si>
  <si>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</si>
  <si>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</si>
  <si>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</si>
  <si>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</si>
  <si>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</si>
  <si>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</si>
  <si>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</si>
  <si>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</si>
  <si>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</si>
  <si>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</si>
  <si>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</si>
  <si>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</si>
  <si>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</si>
  <si>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</si>
  <si>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</si>
  <si>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</si>
  <si>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</si>
  <si>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</si>
  <si>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</si>
  <si>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</si>
  <si>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</si>
  <si>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</si>
  <si>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</si>
  <si>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</si>
  <si>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</si>
  <si>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</si>
  <si>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</si>
  <si>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</si>
  <si>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</si>
  <si>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</si>
  <si>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</si>
  <si>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</si>
  <si>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</si>
  <si>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</si>
  <si>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</si>
  <si>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</si>
  <si>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</si>
  <si>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</si>
  <si>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</si>
  <si>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</si>
  <si>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</si>
  <si>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</si>
  <si>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</si>
  <si>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</si>
  <si>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</si>
  <si>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</si>
  <si>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</si>
  <si>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</si>
  <si>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</si>
  <si>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</si>
  <si>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</si>
  <si>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</si>
  <si>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</si>
  <si>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</si>
  <si>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</si>
  <si>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</si>
  <si>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</si>
  <si>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</si>
  <si>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</si>
  <si>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</si>
  <si>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</si>
  <si>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</si>
  <si>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</si>
  <si>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</si>
  <si>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</si>
  <si>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</si>
  <si>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</si>
  <si>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</si>
  <si>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</si>
  <si>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</si>
  <si>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</si>
  <si>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</si>
  <si>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</si>
  <si>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</si>
  <si>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</si>
  <si>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</si>
  <si>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</si>
  <si>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</si>
  <si>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</si>
  <si>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</si>
  <si>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</si>
  <si>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</si>
  <si>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</si>
  <si>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</si>
  <si>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</si>
  <si>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</si>
  <si>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</si>
  <si>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</si>
  <si>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</si>
  <si>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</si>
  <si>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</si>
  <si>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</si>
  <si>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</si>
  <si>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</si>
  <si>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</si>
  <si>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</si>
  <si>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</si>
  <si>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</si>
  <si>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</si>
  <si>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</si>
  <si>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</si>
  <si>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</si>
  <si>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</si>
  <si>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</si>
  <si>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</si>
  <si>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</si>
  <si>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</si>
  <si>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</si>
  <si>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</si>
  <si>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</si>
  <si>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</si>
  <si>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</si>
  <si>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</si>
  <si>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</si>
  <si>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</si>
  <si>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</si>
  <si>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</si>
  <si>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</si>
  <si>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</si>
  <si>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</si>
  <si>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</si>
  <si>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</si>
  <si>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</si>
  <si>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</si>
  <si>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</si>
  <si>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</si>
  <si>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</si>
  <si>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</si>
  <si>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</si>
  <si>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</si>
  <si>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</si>
  <si>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</si>
  <si>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</si>
  <si>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</si>
  <si>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</si>
  <si>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</si>
  <si>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</si>
  <si>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</si>
  <si>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</si>
  <si>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</si>
  <si>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</si>
  <si>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</si>
  <si>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</si>
  <si>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</si>
  <si>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</si>
  <si>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</si>
  <si>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</si>
  <si>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</si>
  <si>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</si>
  <si>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</si>
  <si>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</si>
  <si>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</si>
  <si>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</si>
  <si>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</si>
  <si>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</si>
  <si>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</si>
  <si>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</si>
  <si>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</si>
  <si>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</si>
  <si>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</si>
  <si>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</si>
  <si>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</si>
  <si>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</si>
  <si>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</si>
  <si>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</si>
  <si>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</si>
  <si>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</si>
  <si>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</si>
  <si>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</si>
  <si>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</si>
  <si>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</si>
  <si>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</si>
  <si>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</si>
  <si>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</si>
  <si>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</si>
  <si>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</si>
  <si>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</si>
  <si>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</si>
  <si>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</si>
  <si>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</si>
  <si>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</si>
  <si>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</si>
  <si>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</si>
  <si>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</si>
  <si>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</si>
  <si>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</si>
  <si>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</si>
  <si>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</si>
  <si>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</si>
  <si>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</si>
  <si>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</si>
  <si>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</si>
  <si>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</si>
  <si>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</si>
  <si>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</si>
  <si>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</si>
  <si>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</si>
  <si>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</si>
  <si>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</si>
  <si>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</si>
  <si>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</si>
  <si>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</si>
  <si>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</si>
  <si>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</si>
  <si>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</si>
  <si>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</si>
  <si>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</si>
  <si>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</si>
  <si>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</si>
  <si>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</si>
  <si>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</si>
  <si>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</si>
  <si>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</si>
  <si>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</si>
  <si>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</si>
  <si>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</si>
  <si>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</si>
  <si>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</si>
  <si>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</si>
  <si>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</si>
  <si>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</si>
  <si>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</si>
  <si>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</si>
  <si>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</si>
  <si>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</si>
  <si>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</si>
  <si>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</si>
  <si>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</si>
  <si>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</si>
  <si>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</si>
  <si>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</si>
  <si>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</si>
  <si>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</si>
  <si>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</si>
  <si>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</si>
  <si>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</si>
  <si>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</si>
  <si>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</si>
  <si>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</si>
  <si>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</si>
  <si>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</si>
  <si>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</si>
  <si>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</si>
  <si>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</si>
  <si>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</si>
  <si>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</si>
  <si>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</si>
  <si>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</si>
  <si>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</si>
  <si>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</si>
  <si>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</si>
  <si>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</si>
  <si>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</si>
  <si>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</si>
  <si>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</si>
  <si>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</si>
  <si>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</si>
  <si>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</si>
  <si>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</si>
  <si>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</si>
  <si>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</si>
  <si>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</si>
  <si>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</si>
  <si>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</si>
  <si>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</si>
  <si>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</si>
  <si>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</si>
  <si>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</si>
  <si>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</si>
  <si>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</si>
  <si>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</si>
  <si>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</si>
  <si>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</si>
  <si>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</si>
  <si>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</si>
  <si>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</si>
  <si>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</si>
  <si>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</si>
  <si>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</si>
  <si>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</si>
  <si>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</si>
  <si>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</si>
  <si>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</si>
  <si>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</si>
  <si>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</si>
  <si>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</si>
  <si>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</si>
  <si>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</si>
  <si>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</si>
  <si>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</si>
  <si>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</si>
  <si>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</si>
  <si>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</si>
  <si>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</si>
  <si>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</si>
  <si>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</si>
  <si>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</si>
  <si>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</si>
  <si>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</si>
  <si>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</si>
  <si>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</si>
  <si>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</si>
  <si>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</si>
  <si>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</si>
  <si>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</si>
  <si>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</si>
  <si>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</si>
  <si>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</si>
  <si>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</si>
  <si>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</si>
  <si>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</si>
  <si>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</si>
  <si>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</si>
  <si>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</si>
  <si>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</si>
  <si>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</si>
  <si>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</si>
  <si>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</si>
  <si>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</si>
  <si>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</si>
  <si>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</si>
  <si>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</si>
  <si>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</si>
  <si>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</si>
  <si>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</si>
  <si>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</si>
  <si>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</si>
  <si>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</si>
  <si>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</si>
  <si>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</si>
  <si>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</si>
  <si>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</si>
  <si>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</si>
  <si>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</si>
  <si>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</si>
  <si>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</si>
  <si>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</si>
  <si>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</si>
  <si>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</si>
  <si>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</si>
  <si>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</si>
  <si>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</si>
  <si>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</si>
  <si>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</si>
  <si>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</si>
  <si>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</si>
  <si>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</si>
  <si>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</si>
  <si>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</si>
  <si>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</si>
  <si>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</si>
  <si>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</si>
  <si>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</si>
  <si>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</si>
  <si>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</si>
  <si>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</si>
  <si>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</si>
  <si>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</si>
  <si>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</si>
  <si>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</si>
  <si>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</si>
  <si>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</si>
  <si>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</si>
  <si>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</si>
  <si>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</si>
  <si>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</si>
  <si>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</si>
  <si>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</si>
  <si>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</si>
  <si>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</si>
  <si>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</si>
  <si>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</si>
  <si>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</si>
  <si>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</si>
  <si>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</si>
  <si>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</si>
  <si>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</si>
  <si>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</si>
  <si>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</si>
  <si>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</si>
  <si>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</si>
  <si>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</si>
  <si>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</si>
  <si>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</si>
  <si>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</si>
  <si>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</si>
  <si>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</si>
  <si>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</si>
  <si>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</si>
  <si>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</si>
  <si>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</si>
  <si>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</si>
  <si>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</si>
  <si>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</si>
  <si>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</si>
  <si>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</si>
  <si>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</si>
  <si>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</si>
  <si>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</si>
  <si>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</si>
  <si>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</si>
  <si>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</si>
  <si>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</si>
  <si>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</si>
  <si>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</si>
  <si>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</si>
  <si>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</si>
  <si>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</si>
  <si>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</si>
  <si>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</si>
  <si>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</si>
  <si>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</si>
  <si>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</si>
  <si>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</si>
  <si>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</si>
  <si>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</si>
  <si>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</si>
  <si>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</si>
  <si>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</si>
  <si>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</si>
  <si>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</si>
  <si>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</si>
  <si>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</si>
  <si>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</si>
  <si>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</si>
  <si>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</si>
  <si>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</si>
  <si>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</si>
  <si>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</si>
  <si>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</si>
  <si>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</si>
  <si>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</si>
  <si>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</si>
  <si>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</si>
  <si>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</si>
  <si>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</si>
  <si>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</si>
  <si>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</si>
  <si>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</si>
  <si>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</si>
  <si>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</si>
  <si>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</si>
  <si>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</si>
  <si>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</si>
  <si>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</si>
  <si>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</si>
  <si>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</si>
  <si>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</si>
  <si>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</si>
  <si>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</si>
  <si>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</si>
  <si>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</si>
  <si>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</si>
  <si>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</si>
  <si>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</si>
  <si>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</si>
  <si>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</si>
  <si>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</si>
  <si>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</si>
  <si>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</si>
  <si>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</si>
  <si>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</si>
  <si>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</si>
  <si>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</si>
  <si>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</si>
  <si>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</si>
  <si>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</si>
  <si>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</si>
  <si>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</si>
  <si>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</si>
  <si>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</si>
  <si>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</si>
  <si>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</si>
  <si>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</si>
  <si>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</si>
  <si>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</si>
  <si>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</si>
  <si>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</si>
  <si>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</si>
  <si>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</si>
  <si>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</si>
  <si>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</si>
  <si>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</si>
  <si>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</si>
  <si>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</si>
  <si>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</si>
  <si>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</si>
  <si>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</si>
  <si>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</si>
  <si>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</si>
  <si>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</si>
  <si>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</si>
  <si>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</si>
  <si>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</si>
  <si>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</si>
  <si>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</si>
  <si>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</si>
  <si>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</si>
  <si>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</si>
  <si>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</si>
  <si>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</si>
  <si>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</si>
  <si>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</si>
  <si>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</si>
  <si>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</si>
  <si>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</si>
  <si>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</si>
  <si>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</si>
  <si>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</si>
  <si>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</si>
  <si>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</si>
  <si>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</si>
  <si>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</si>
  <si>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</si>
  <si>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</si>
  <si>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</si>
  <si>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</si>
  <si>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</si>
  <si>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</si>
  <si>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</si>
  <si>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</si>
  <si>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</si>
  <si>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</si>
  <si>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</si>
  <si>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</si>
  <si>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</si>
  <si>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</si>
  <si>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</si>
  <si>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</si>
  <si>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</si>
  <si>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</si>
  <si>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</si>
  <si>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</si>
  <si>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</si>
  <si>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</si>
  <si>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</si>
  <si>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</si>
  <si>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</si>
  <si>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</si>
  <si>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</si>
  <si>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</si>
  <si>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</si>
  <si>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</si>
  <si>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</si>
  <si>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</si>
  <si>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</si>
  <si>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</si>
  <si>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</si>
  <si>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</si>
  <si>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</si>
  <si>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</si>
  <si>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</si>
  <si>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</si>
  <si>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</si>
  <si>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</si>
  <si>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</si>
  <si>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</si>
  <si>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</si>
  <si>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</si>
  <si>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</si>
  <si>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</si>
  <si>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</si>
  <si>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</si>
  <si>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</si>
  <si>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</si>
  <si>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</si>
  <si>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</si>
  <si>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</si>
  <si>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</si>
  <si>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</si>
  <si>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</si>
  <si>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</si>
  <si>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</si>
  <si>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</si>
  <si>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</si>
  <si>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</si>
  <si>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</si>
  <si>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</si>
  <si>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</si>
  <si>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</si>
  <si>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</si>
  <si>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</si>
  <si>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</si>
  <si>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</si>
  <si>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</si>
  <si>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</si>
  <si>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</si>
  <si>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</si>
  <si>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</si>
  <si>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</si>
  <si>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</si>
  <si>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</si>
  <si>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</si>
  <si>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</si>
  <si>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</si>
  <si>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</si>
  <si>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</si>
  <si>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</si>
  <si>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</si>
  <si>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</si>
  <si>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</si>
  <si>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</si>
  <si>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</si>
  <si>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</si>
  <si>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</si>
  <si>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</si>
  <si>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</si>
  <si>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</si>
  <si>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</si>
  <si>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</si>
  <si>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</si>
  <si>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</si>
  <si>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</si>
  <si>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</si>
  <si>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</si>
  <si>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</si>
  <si>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</si>
  <si>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</si>
  <si>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</si>
  <si>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</si>
  <si>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</si>
  <si>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</si>
  <si>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</si>
  <si>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</si>
  <si>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</si>
  <si>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</si>
  <si>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</si>
  <si>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</si>
  <si>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</si>
  <si>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</si>
  <si>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</si>
  <si>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</si>
  <si>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</si>
  <si>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</si>
  <si>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</si>
  <si>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</si>
  <si>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</si>
  <si>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</si>
  <si>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</si>
  <si>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</si>
  <si>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</si>
  <si>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</si>
  <si>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</si>
  <si>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</si>
  <si>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</si>
  <si>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</si>
  <si>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</si>
  <si>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</si>
  <si>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</si>
  <si>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</si>
  <si>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</si>
  <si>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</si>
  <si>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</si>
  <si>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</si>
  <si>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</si>
  <si>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</si>
  <si>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</si>
  <si>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</si>
  <si>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</si>
  <si>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</si>
  <si>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</si>
  <si>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</si>
  <si>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</si>
  <si>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</si>
  <si>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</si>
  <si>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</si>
  <si>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</si>
  <si>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</si>
  <si>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</si>
  <si>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</si>
  <si>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</si>
  <si>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</si>
  <si>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</si>
  <si>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</si>
  <si>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</si>
  <si>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</si>
  <si>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</si>
  <si>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</si>
  <si>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</si>
  <si>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</si>
  <si>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</si>
  <si>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</si>
  <si>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</si>
  <si>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</si>
  <si>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</si>
  <si>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</si>
  <si>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</si>
  <si>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</si>
  <si>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</si>
  <si>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</si>
  <si>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</si>
  <si>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</si>
  <si>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</si>
  <si>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</si>
  <si>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</si>
  <si>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</si>
  <si>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</si>
  <si>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</si>
  <si>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</si>
  <si>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</si>
  <si>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</si>
  <si>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</si>
  <si>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</si>
  <si>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</si>
  <si>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</si>
  <si>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</si>
  <si>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</si>
  <si>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</si>
  <si>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</si>
  <si>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</si>
  <si>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</si>
  <si>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</si>
  <si>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</si>
  <si>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</si>
  <si>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</si>
  <si>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</si>
  <si>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</si>
  <si>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</si>
  <si>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</si>
  <si>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</si>
  <si>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</si>
  <si>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</si>
  <si>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</si>
  <si>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</si>
  <si>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</si>
  <si>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</si>
  <si>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</si>
  <si>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</si>
  <si>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</si>
  <si>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</si>
  <si>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</si>
  <si>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</si>
  <si>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</si>
  <si>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</si>
  <si>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</si>
  <si>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</si>
  <si>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</si>
  <si>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</si>
  <si>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</si>
  <si>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</si>
  <si>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</si>
  <si>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</si>
  <si>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</si>
  <si>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</si>
  <si>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</si>
  <si>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</si>
  <si>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</si>
  <si>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</si>
  <si>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</si>
  <si>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</si>
  <si>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</si>
  <si>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</si>
  <si>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</si>
  <si>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</si>
  <si>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</si>
  <si>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</si>
  <si>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</si>
  <si>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</si>
  <si>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</si>
  <si>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</si>
  <si>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</si>
  <si>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</si>
  <si>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</si>
  <si>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</si>
  <si>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</si>
  <si>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</si>
  <si>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</si>
  <si>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</si>
  <si>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</si>
  <si>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</si>
  <si>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</si>
  <si>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</si>
  <si>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</si>
  <si>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</si>
  <si>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</si>
  <si>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</si>
  <si>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</si>
  <si>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</si>
  <si>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</si>
  <si>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</si>
  <si>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</si>
  <si>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</si>
  <si>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</si>
  <si>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</si>
  <si>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</si>
  <si>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</si>
  <si>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</si>
  <si>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</si>
  <si>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</si>
  <si>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</si>
  <si>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</si>
  <si>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</si>
  <si>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</si>
  <si>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</si>
  <si>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</si>
  <si>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</si>
  <si>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</si>
  <si>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</si>
  <si>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</si>
  <si>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</si>
  <si>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</si>
  <si>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</si>
  <si>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</si>
  <si>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</si>
  <si>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</si>
  <si>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</si>
  <si>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</si>
  <si>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</si>
  <si>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</si>
  <si>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</si>
  <si>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</si>
  <si>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</si>
  <si>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</si>
  <si>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</si>
  <si>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</si>
  <si>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</si>
  <si>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</si>
  <si>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</si>
  <si>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</si>
  <si>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</si>
  <si>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</si>
  <si>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</si>
  <si>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</si>
  <si>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</si>
  <si>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</si>
  <si>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</si>
  <si>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</si>
  <si>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</si>
  <si>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</si>
  <si>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</si>
  <si>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</si>
  <si>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</si>
  <si>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</si>
  <si>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</si>
  <si>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</si>
  <si>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</si>
  <si>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</si>
  <si>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</si>
  <si>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</si>
  <si>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</si>
  <si>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</si>
  <si>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</si>
  <si>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</si>
  <si>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</si>
  <si>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</si>
  <si>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</si>
  <si>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</si>
  <si>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</si>
  <si>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</si>
  <si>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</si>
  <si>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</si>
  <si>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</si>
  <si>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</si>
  <si>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</si>
  <si>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</si>
  <si>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</si>
  <si>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</si>
  <si>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</si>
  <si>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</si>
  <si>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</si>
  <si>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</si>
  <si>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</si>
  <si>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</si>
  <si>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</si>
  <si>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</si>
  <si>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</si>
  <si>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</si>
  <si>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</si>
  <si>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</si>
  <si>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</si>
  <si>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</si>
  <si>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</si>
  <si>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</si>
  <si>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</si>
  <si>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</si>
  <si>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</si>
  <si>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</si>
  <si>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</si>
  <si>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</si>
  <si>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</si>
  <si>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</si>
  <si>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</si>
  <si>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</si>
  <si>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</si>
  <si>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</si>
  <si>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</si>
  <si>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</si>
  <si>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</si>
  <si>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</si>
  <si>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</si>
  <si>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</si>
  <si>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</si>
  <si>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</si>
  <si>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</si>
  <si>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</si>
  <si>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</si>
  <si>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</si>
  <si>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</si>
  <si>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</si>
  <si>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</si>
  <si>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</si>
  <si>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</si>
  <si>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</si>
  <si>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</si>
  <si>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</si>
  <si>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</si>
  <si>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</si>
  <si>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</si>
  <si>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</si>
  <si>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</si>
  <si>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</si>
  <si>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</si>
  <si>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</si>
  <si>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</si>
  <si>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</si>
  <si>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</si>
  <si>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</si>
  <si>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</si>
  <si>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</si>
  <si>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</si>
  <si>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</si>
  <si>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</si>
  <si>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</si>
  <si>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</si>
  <si>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</si>
  <si>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</si>
  <si>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</si>
  <si>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</si>
  <si>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</si>
  <si>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</si>
  <si>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</si>
  <si>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</si>
  <si>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</si>
  <si>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</si>
  <si>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</si>
  <si>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</si>
  <si>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</si>
  <si>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</si>
  <si>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</si>
  <si>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</si>
  <si>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</si>
  <si>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</si>
  <si>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</si>
  <si>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</si>
  <si>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</si>
  <si>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</si>
  <si>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</si>
  <si>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</si>
  <si>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</si>
  <si>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</si>
  <si>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</si>
  <si>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</si>
  <si>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</si>
  <si>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</si>
  <si>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</si>
  <si>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</si>
  <si>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</si>
  <si>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</si>
  <si>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</si>
  <si>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</si>
  <si>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</si>
  <si>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</si>
  <si>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</si>
  <si>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</si>
  <si>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</si>
  <si>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</si>
  <si>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</si>
  <si>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</si>
  <si>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</si>
  <si>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</si>
  <si>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</si>
  <si>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</si>
  <si>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</si>
  <si>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</si>
  <si>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</si>
  <si>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</si>
  <si>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</si>
  <si>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</si>
  <si>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</si>
  <si>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</si>
  <si>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</si>
  <si>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</si>
  <si>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</si>
  <si>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</si>
  <si>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</si>
  <si>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</si>
  <si>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</si>
  <si>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</si>
  <si>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</si>
  <si>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</si>
  <si>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</si>
  <si>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</si>
  <si>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</si>
  <si>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</si>
  <si>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</si>
  <si>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</si>
  <si>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</si>
  <si>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</si>
  <si>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</si>
  <si>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</si>
  <si>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</si>
  <si>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</si>
  <si>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</si>
  <si>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</si>
  <si>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</si>
  <si>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</si>
  <si>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</si>
  <si>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</si>
  <si>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</si>
  <si>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</si>
  <si>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</si>
  <si>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</si>
  <si>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</si>
  <si>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</si>
  <si>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</si>
  <si>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</si>
  <si>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</si>
  <si>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</si>
  <si>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</si>
  <si>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</si>
  <si>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</si>
  <si>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</si>
  <si>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</si>
  <si>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</si>
  <si>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</si>
  <si>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</si>
  <si>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</si>
  <si>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</si>
  <si>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</si>
  <si>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</si>
  <si>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</si>
  <si>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</si>
  <si>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</si>
  <si>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</si>
  <si>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</si>
  <si>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</si>
  <si>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</si>
  <si>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</si>
  <si>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</si>
  <si>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</si>
  <si>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</si>
  <si>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</si>
  <si>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</si>
  <si>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</si>
  <si>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</si>
  <si>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</si>
  <si>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</si>
  <si>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</si>
  <si>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</si>
  <si>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</si>
  <si>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</si>
  <si>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</si>
  <si>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</si>
  <si>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</si>
  <si>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</si>
  <si>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</si>
  <si>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</si>
  <si>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</si>
  <si>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</si>
  <si>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</si>
  <si>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</si>
  <si>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</si>
  <si>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</si>
  <si>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</si>
  <si>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</si>
  <si>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</si>
  <si>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</si>
  <si>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</si>
  <si>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</si>
  <si>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</si>
  <si>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</si>
  <si>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</si>
  <si>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</si>
  <si>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</si>
  <si>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</si>
  <si>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</si>
  <si>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</si>
  <si>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</si>
  <si>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</si>
  <si>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</si>
  <si>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</si>
  <si>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</si>
  <si>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</si>
  <si>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</si>
  <si>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</si>
  <si>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</si>
  <si>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</si>
  <si>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</si>
  <si>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</si>
  <si>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</si>
  <si>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</si>
  <si>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</si>
  <si>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</si>
  <si>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</si>
  <si>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</si>
  <si>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</si>
  <si>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</si>
  <si>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</si>
  <si>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</si>
  <si>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</si>
  <si>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</si>
  <si>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</si>
  <si>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</si>
  <si>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</si>
  <si>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</si>
  <si>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</si>
  <si>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</si>
  <si>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</si>
  <si>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Order Year</t>
  </si>
  <si>
    <t>Order Month</t>
  </si>
  <si>
    <t>Order Weekday</t>
  </si>
  <si>
    <t>Shipping Duration</t>
  </si>
  <si>
    <t>Cleaned Sales</t>
  </si>
  <si>
    <t>Normal Order</t>
  </si>
  <si>
    <t>JM156557</t>
  </si>
  <si>
    <t>IN</t>
  </si>
  <si>
    <t>Mini Report: Key Performance Patterns</t>
  </si>
  <si>
    <t>AB10015140</t>
  </si>
  <si>
    <t>CA</t>
  </si>
  <si>
    <t>1️⃣ Top 5 Performers (Highest Sales)</t>
  </si>
  <si>
    <t>Rank</t>
  </si>
  <si>
    <t>Sales (₹)</t>
  </si>
  <si>
    <t>NP1832582</t>
  </si>
  <si>
    <t>US</t>
  </si>
  <si>
    <t>Mean(Average):</t>
  </si>
  <si>
    <t>Top 1</t>
  </si>
  <si>
    <t>₹9,892.74</t>
  </si>
  <si>
    <t>DP131057</t>
  </si>
  <si>
    <t>Median:</t>
  </si>
  <si>
    <t>Top 2</t>
  </si>
  <si>
    <t>₹5,785.02</t>
  </si>
  <si>
    <t>AH10030140</t>
  </si>
  <si>
    <t>Standard Devition:</t>
  </si>
  <si>
    <t>Top 3</t>
  </si>
  <si>
    <t>₹5,751.54</t>
  </si>
  <si>
    <t>DL128657</t>
  </si>
  <si>
    <t>Top 4</t>
  </si>
  <si>
    <t>₹5,737.50</t>
  </si>
  <si>
    <t>EB1384045</t>
  </si>
  <si>
    <t>IT</t>
  </si>
  <si>
    <t>Top 5</t>
  </si>
  <si>
    <t>₹5,667.87</t>
  </si>
  <si>
    <t>SG2047058</t>
  </si>
  <si>
    <t>GP1474058</t>
  </si>
  <si>
    <t>DK13090120</t>
  </si>
  <si>
    <t>2️⃣ Bottom 5 Performers (Lowest Sales)</t>
  </si>
  <si>
    <t>EM1420082</t>
  </si>
  <si>
    <t>MX</t>
  </si>
  <si>
    <t>JH158207</t>
  </si>
  <si>
    <t>AB25586</t>
  </si>
  <si>
    <t>MO</t>
  </si>
  <si>
    <t>Bottom 1</t>
  </si>
  <si>
    <t>₹2.22</t>
  </si>
  <si>
    <t>GP1474085</t>
  </si>
  <si>
    <t>Bottom 2</t>
  </si>
  <si>
    <t>₹3.05</t>
  </si>
  <si>
    <t>AS10045140</t>
  </si>
  <si>
    <t>Bottom 3</t>
  </si>
  <si>
    <t>₹3.36</t>
  </si>
  <si>
    <t>LC168857</t>
  </si>
  <si>
    <t>Bottom 4</t>
  </si>
  <si>
    <t>₹3.44</t>
  </si>
  <si>
    <t>Bottom 5</t>
  </si>
  <si>
    <t>₹3.69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</si>
  <si>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</si>
  <si>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</si>
  <si>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</si>
  <si>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</si>
  <si>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</si>
  <si>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</si>
  <si>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</si>
  <si>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</si>
  <si>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</si>
  <si>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</si>
  <si>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</si>
  <si>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</si>
  <si>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</si>
  <si>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</si>
  <si>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</si>
  <si>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</si>
  <si>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</si>
  <si>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</si>
  <si>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</si>
  <si>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</si>
  <si>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</si>
  <si>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</si>
  <si>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</si>
  <si>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</si>
  <si>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</si>
  <si>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</si>
  <si>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</si>
  <si>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</si>
  <si>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</si>
  <si>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</si>
  <si>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</si>
  <si>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</si>
  <si>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</si>
  <si>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</si>
  <si>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</si>
  <si>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</si>
  <si>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</si>
  <si>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</si>
  <si>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</si>
  <si>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</si>
  <si>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</si>
  <si>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</si>
  <si>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</si>
  <si>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</si>
  <si>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</si>
  <si>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</si>
  <si>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</si>
  <si>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</si>
  <si>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</si>
  <si>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</si>
  <si>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</si>
  <si>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</si>
  <si>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</si>
  <si>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</si>
  <si>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</si>
  <si>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</si>
  <si>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</si>
  <si>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</si>
  <si>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</si>
  <si>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</si>
  <si>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</si>
  <si>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</si>
  <si>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</si>
  <si>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</si>
  <si>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</si>
  <si>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</si>
  <si>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</si>
  <si>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</si>
  <si>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</si>
  <si>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</si>
  <si>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</si>
  <si>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</si>
  <si>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</si>
  <si>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</si>
  <si>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</si>
  <si>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</si>
  <si>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</si>
  <si>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</si>
  <si>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</si>
  <si>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</si>
  <si>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</si>
  <si>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</si>
  <si>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</si>
  <si>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</si>
  <si>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</si>
  <si>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</si>
  <si>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</si>
  <si>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</si>
  <si>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</si>
  <si>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</si>
  <si>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</si>
  <si>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</si>
  <si>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</si>
  <si>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</si>
  <si>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</si>
  <si>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</si>
  <si>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</si>
  <si>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</si>
  <si>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</si>
  <si>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</si>
  <si>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</si>
  <si>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</si>
  <si>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</si>
  <si>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</si>
  <si>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</si>
  <si>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</si>
  <si>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</si>
  <si>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</si>
  <si>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</si>
  <si>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</si>
  <si>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</si>
  <si>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</si>
  <si>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</si>
  <si>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</si>
  <si>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</si>
  <si>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</si>
  <si>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</si>
  <si>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</si>
  <si>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</si>
  <si>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</si>
  <si>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</si>
  <si>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</si>
  <si>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</si>
  <si>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</si>
  <si>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</si>
  <si>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</si>
  <si>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</si>
  <si>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</si>
  <si>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</si>
  <si>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</si>
  <si>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</si>
  <si>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</si>
  <si>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</si>
  <si>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</si>
  <si>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</si>
  <si>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</si>
  <si>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</si>
  <si>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</si>
  <si>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</si>
  <si>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</si>
  <si>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</si>
  <si>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</si>
  <si>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</si>
  <si>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</si>
  <si>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</si>
  <si>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</si>
  <si>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</si>
  <si>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</si>
  <si>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</si>
  <si>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</si>
  <si>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</si>
  <si>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</si>
  <si>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</si>
  <si>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</si>
  <si>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</si>
  <si>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</si>
  <si>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</si>
  <si>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</si>
  <si>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</si>
  <si>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</si>
  <si>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</si>
  <si>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</si>
  <si>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</si>
  <si>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</si>
  <si>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</si>
  <si>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</si>
  <si>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</si>
  <si>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</si>
  <si>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</si>
  <si>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</si>
  <si>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</si>
  <si>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</si>
  <si>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</si>
  <si>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</si>
  <si>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</si>
  <si>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</si>
  <si>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</si>
  <si>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</si>
  <si>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</si>
  <si>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</si>
  <si>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</si>
  <si>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</si>
  <si>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</si>
  <si>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</si>
  <si>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</si>
  <si>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</si>
  <si>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</si>
  <si>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</si>
  <si>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</si>
  <si>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</si>
  <si>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</si>
  <si>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</si>
  <si>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</si>
  <si>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</si>
  <si>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</si>
  <si>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</si>
  <si>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</si>
  <si>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</si>
  <si>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</si>
  <si>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</si>
  <si>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</si>
  <si>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</si>
  <si>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</si>
  <si>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</si>
  <si>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</si>
  <si>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</si>
  <si>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</si>
  <si>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</si>
  <si>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</si>
  <si>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</si>
  <si>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</si>
  <si>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</si>
  <si>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</si>
  <si>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</si>
  <si>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</si>
  <si>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</si>
  <si>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</si>
  <si>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</si>
  <si>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</si>
  <si>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</si>
  <si>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</si>
  <si>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</si>
  <si>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</si>
  <si>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</si>
  <si>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</si>
  <si>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</si>
  <si>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</si>
  <si>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</si>
  <si>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</si>
  <si>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</si>
  <si>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</si>
  <si>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</si>
  <si>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</si>
  <si>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</si>
  <si>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</si>
  <si>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</si>
  <si>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</si>
  <si>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</si>
  <si>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</si>
  <si>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</si>
  <si>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</si>
  <si>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</si>
  <si>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</si>
  <si>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</si>
  <si>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</si>
  <si>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</si>
  <si>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</si>
  <si>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</si>
  <si>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</si>
  <si>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</si>
  <si>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</si>
  <si>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</si>
  <si>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</si>
  <si>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</si>
  <si>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</si>
  <si>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</si>
  <si>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</si>
  <si>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</si>
  <si>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</si>
  <si>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</si>
  <si>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</si>
  <si>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</si>
  <si>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</si>
  <si>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</si>
  <si>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</si>
  <si>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</si>
  <si>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</si>
  <si>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</si>
  <si>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</si>
  <si>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</si>
  <si>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</si>
  <si>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</si>
  <si>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</si>
  <si>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</si>
  <si>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</si>
  <si>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</si>
  <si>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</si>
  <si>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</si>
  <si>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</si>
  <si>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</si>
  <si>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</si>
  <si>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</si>
  <si>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</si>
  <si>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</si>
  <si>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</si>
  <si>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</si>
  <si>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</si>
  <si>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</si>
  <si>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</si>
  <si>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</si>
  <si>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</si>
  <si>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</si>
  <si>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</si>
  <si>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</si>
  <si>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</si>
  <si>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</si>
  <si>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</si>
  <si>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</si>
  <si>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</si>
  <si>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</si>
  <si>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</si>
  <si>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</si>
  <si>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</si>
  <si>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</si>
  <si>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</si>
  <si>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</si>
  <si>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</si>
  <si>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</si>
  <si>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</si>
  <si>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</si>
  <si>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</si>
  <si>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</si>
  <si>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</si>
  <si>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</si>
  <si>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</si>
  <si>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</si>
  <si>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</si>
  <si>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</si>
  <si>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</si>
  <si>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</si>
  <si>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</si>
  <si>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</si>
  <si>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</si>
  <si>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</si>
  <si>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</si>
  <si>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</si>
  <si>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</si>
  <si>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</si>
  <si>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</si>
  <si>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</si>
  <si>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</si>
  <si>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</si>
  <si>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</si>
  <si>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</si>
  <si>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</si>
  <si>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</si>
  <si>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</si>
  <si>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</si>
  <si>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</si>
  <si>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</si>
  <si>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</si>
  <si>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</si>
  <si>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</si>
  <si>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</si>
  <si>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</si>
  <si>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</si>
  <si>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</si>
  <si>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</si>
  <si>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</si>
  <si>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</si>
  <si>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</si>
  <si>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</si>
  <si>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</si>
  <si>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</si>
  <si>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</si>
  <si>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</si>
  <si>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</si>
  <si>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</si>
  <si>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</si>
  <si>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</si>
  <si>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</si>
  <si>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</si>
  <si>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</si>
  <si>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</si>
  <si>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</si>
  <si>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</si>
  <si>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</si>
  <si>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</si>
  <si>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</si>
  <si>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</si>
  <si>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</si>
  <si>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</si>
  <si>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</si>
  <si>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</si>
  <si>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</si>
  <si>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</si>
  <si>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</si>
  <si>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</si>
  <si>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</si>
  <si>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</si>
  <si>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</si>
  <si>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</si>
  <si>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</si>
  <si>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</si>
  <si>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</si>
  <si>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</si>
  <si>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</si>
  <si>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</si>
  <si>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</si>
  <si>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</si>
  <si>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</si>
  <si>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</si>
  <si>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</si>
  <si>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</si>
  <si>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</si>
  <si>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</si>
  <si>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</si>
  <si>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</si>
  <si>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</si>
  <si>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</si>
  <si>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</si>
  <si>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</si>
  <si>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</si>
  <si>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</si>
  <si>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</si>
  <si>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</si>
  <si>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</si>
  <si>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</si>
  <si>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</si>
  <si>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</si>
  <si>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</si>
  <si>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</si>
  <si>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</si>
  <si>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</si>
  <si>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</si>
  <si>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</si>
  <si>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</si>
  <si>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</si>
  <si>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</si>
  <si>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</si>
  <si>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</si>
  <si>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</si>
  <si>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</si>
  <si>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</si>
  <si>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</si>
  <si>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</si>
  <si>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</si>
  <si>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</si>
  <si>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</si>
  <si>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</si>
  <si>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</si>
  <si>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</si>
  <si>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</si>
  <si>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</si>
  <si>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</si>
  <si>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</si>
  <si>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</si>
  <si>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</si>
  <si>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</si>
  <si>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</si>
  <si>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</si>
  <si>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</si>
  <si>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</si>
  <si>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</si>
  <si>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</si>
  <si>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</si>
  <si>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</si>
  <si>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</si>
  <si>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</si>
  <si>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</si>
  <si>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</si>
  <si>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</si>
  <si>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</si>
  <si>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</si>
  <si>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</si>
  <si>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</si>
  <si>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</si>
  <si>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</si>
  <si>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</si>
  <si>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</si>
  <si>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</si>
  <si>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</si>
  <si>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</si>
  <si>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</si>
  <si>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</si>
  <si>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</si>
  <si>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</si>
  <si>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</si>
  <si>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</si>
  <si>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</si>
  <si>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</si>
  <si>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</si>
  <si>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</si>
  <si>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</si>
  <si>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</si>
  <si>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</si>
  <si>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</si>
  <si>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</si>
  <si>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</si>
  <si>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</si>
  <si>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</si>
  <si>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</si>
  <si>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</si>
  <si>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</si>
  <si>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</si>
  <si>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</si>
  <si>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</si>
  <si>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</si>
  <si>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</si>
  <si>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</si>
  <si>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</si>
  <si>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</si>
  <si>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</si>
  <si>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</si>
  <si>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r>
      <t>Missing value imputation - zero substitution logic:</t>
    </r>
    <r>
      <rPr>
        <sz val="14"/>
        <color theme="1"/>
        <rFont val="Aptos Narrow"/>
        <family val="2"/>
        <scheme val="minor"/>
      </rPr>
      <t xml:space="preserve"> Replaced missing sales indicators and na lookup errors with zero to maintain numeric continuity.</t>
    </r>
  </si>
  <si>
    <r>
      <t>Error handling integration - iferror fallback implementation:</t>
    </r>
    <r>
      <rPr>
        <sz val="14"/>
        <color theme="1"/>
        <rFont val="Aptos Narrow"/>
        <family val="2"/>
        <scheme val="minor"/>
      </rPr>
      <t xml:space="preserve"> Wrapped the index match formula inside an iferror function to set unmapped lookup rows to zero.</t>
    </r>
  </si>
  <si>
    <r>
      <t>Numeric dataset cleanup - formula calculation readiness:</t>
    </r>
    <r>
      <rPr>
        <sz val="14"/>
        <color theme="1"/>
        <rFont val="Aptos Narrow"/>
        <family val="2"/>
        <scheme val="minor"/>
      </rPr>
      <t xml:space="preserve"> Standardized non-numeric missing entries into valid numbers to enable seamless downstream calculations.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</si>
</sst>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2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36" borderId="12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0" xfId="0" applyFont="1" applyFill="1"/>
    <xf numFmtId="1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3" borderId="0" xfId="0" applyFont="1" applyFill="1" applyBorder="1" applyAlignment="1">
      <alignment horizontal="center" vertical="center"/>
    </xf>
    <xf numFmtId="0" fontId="23" fillId="0" borderId="0" xfId="0" applyFont="1"/>
    <xf numFmtId="164" fontId="23" fillId="0" borderId="0" xfId="0" applyNumberFormat="1" applyFont="1"/>
    <xf numFmtId="0" fontId="25" fillId="37" borderId="0" xfId="0" applyFont="1" applyFill="1"/>
    <xf numFmtId="164" fontId="25" fillId="37" borderId="0" xfId="0" applyNumberFormat="1" applyFont="1" applyFill="1"/>
    <xf numFmtId="0" fontId="19" fillId="0" borderId="0" xfId="0" applyFont="1"/>
    <xf numFmtId="0" fontId="28" fillId="0" borderId="0" xfId="0" applyFont="1"/>
    <xf numFmtId="0" fontId="29" fillId="0" borderId="0" xfId="0" applyFont="1"/>
    <xf numFmtId="0" fontId="24" fillId="0" borderId="0" xfId="0" applyFont="1"/>
    <xf numFmtId="0" fontId="16" fillId="0" borderId="0" xfId="0" applyFont="1"/>
    <xf numFmtId="0" fontId="26" fillId="38" borderId="18" xfId="0" applyFont="1" applyFill="1" applyBorder="1" applyAlignment="1">
      <alignment readingOrder="1"/>
    </xf>
    <xf numFmtId="0" fontId="27" fillId="38" borderId="18" xfId="0" applyFont="1" applyFill="1" applyBorder="1" applyAlignment="1">
      <alignment readingOrder="1"/>
    </xf>
    <xf numFmtId="0" fontId="26" fillId="39" borderId="18" xfId="0" applyFont="1" applyFill="1" applyBorder="1" applyAlignment="1">
      <alignment readingOrder="1"/>
    </xf>
    <xf numFmtId="0" fontId="27" fillId="39" borderId="18" xfId="0" applyFont="1" applyFill="1" applyBorder="1" applyAlignment="1">
      <alignment readingOrder="1"/>
    </xf>
    <xf numFmtId="14" fontId="0" fillId="0" borderId="0" xfId="0" applyNumberFormat="1" applyAlignment="1">
      <alignment horizontal="center"/>
    </xf>
    <xf numFmtId="0" fontId="18" fillId="35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14" fontId="20" fillId="33" borderId="19" xfId="0" applyNumberFormat="1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4" borderId="20" xfId="0" applyFont="1" applyFill="1" applyBorder="1" applyAlignment="1">
      <alignment horizontal="center" vertical="center"/>
    </xf>
    <xf numFmtId="0" fontId="13" fillId="40" borderId="19" xfId="0" applyFont="1" applyFill="1" applyBorder="1"/>
    <xf numFmtId="0" fontId="20" fillId="33" borderId="21" xfId="0" applyFont="1" applyFill="1" applyBorder="1" applyAlignment="1">
      <alignment horizontal="center" vertical="center"/>
    </xf>
    <xf numFmtId="1" fontId="20" fillId="34" borderId="19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23" fillId="0" borderId="0" xfId="0" applyNumberFormat="1" applyFont="1"/>
    <xf numFmtId="0" fontId="23" fillId="41" borderId="0" xfId="0" applyFont="1" applyFill="1"/>
    <xf numFmtId="0" fontId="0" fillId="41" borderId="0" xfId="0" applyFill="1"/>
    <xf numFmtId="0" fontId="24" fillId="41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566</v>
    <v>5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AE879" totalsRowShown="0" headerRowDxfId="19" tableBorderDxfId="18">
  <autoFilter ref="A1:AE879" xr:uid="{EB281310-9DDF-4BF9-AD32-58AF6A5C7148}"/>
  <tableColumns count="31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17"/>
    <tableColumn id="22" xr3:uid="{A9F2C701-5423-4EE2-A657-8E1E24A2C9EC}" name="Country Code" dataDxfId="16"/>
    <tableColumn id="23" xr3:uid="{949AC7A5-EB3F-4489-A095-4357FE79AEB2}" name="Order ID3" dataDxfId="15"/>
    <tableColumn id="24" xr3:uid="{37A4FF73-FA1C-4086-8450-8DFC2FDE0CAE}" name="Order Code2"/>
    <tableColumn id="25" xr3:uid="{0724EB80-B62B-46B8-A2E8-4F62F95C3AC5}" name="ID Number" dataDxfId="14"/>
    <tableColumn id="26" xr3:uid="{AE7EC1B5-8DCE-40DC-898F-BBC00E7512F9}" name="Trimmed Order ID" dataDxfId="13">
      <calculatedColumnFormula>TRIM(A2)</calculatedColumnFormula>
    </tableColumn>
    <tableColumn id="27" xr3:uid="{E67430EE-39BA-48CF-823C-90D73788A6F4}" name="Order Year" dataDxfId="12">
      <calculatedColumnFormula>IFERROR(YEAR(B2), 0)</calculatedColumnFormula>
    </tableColumn>
    <tableColumn id="28" xr3:uid="{2F5E9A29-CE24-471D-84B6-90A8483914CC}" name="Order Month" dataDxfId="11">
      <calculatedColumnFormula>IFERROR(MONTH(B2), 0)</calculatedColumnFormula>
    </tableColumn>
    <tableColumn id="29" xr3:uid="{4168554C-99D2-441A-8986-B767ECCFF70D}" name="Order Weekday" dataDxfId="10">
      <calculatedColumnFormula>IFERROR(WEEKDAY(B2), 0)</calculatedColumnFormula>
    </tableColumn>
    <tableColumn id="30" xr3:uid="{F378597E-9DA3-4DFC-B0B9-289BC7EA4AC3}" name="Shipping Duration" dataDxfId="9">
      <calculatedColumnFormula>IFERROR(C2 - B2, 0)</calculatedColumnFormula>
    </tableColumn>
    <tableColumn id="31" xr3:uid="{58062CA3-4C11-48A1-8565-E564600E3C88}" name="Cleaned Sales" dataDxfId="8">
      <calculatedColumnFormula>IF(I2="missing", IFERROR(INDEX([1]lookup!$I:$I, MATCH($A2, [1]lookup!$B:$B, 0)), 0), I2)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47EA3-8B5C-4F74-B87D-32BFBEB863DA}" name="Table2" displayName="Table2" ref="A1:AD568" totalsRowShown="0" headerRowDxfId="5" headerRowBorderDxfId="3" tableBorderDxfId="4">
  <autoFilter ref="A1:AD568" xr:uid="{5C947EA3-8B5C-4F74-B87D-32BFBEB863DA}"/>
  <tableColumns count="30">
    <tableColumn id="1" xr3:uid="{CC1DABB9-0B45-4507-BA27-DFE5F8284351}" name="Order ID" dataDxfId="2"/>
    <tableColumn id="2" xr3:uid="{104D1C8A-A489-450F-9DE3-680C6AD1298F}" name="Order Date" dataDxfId="1">
      <calculatedColumnFormula>VLOOKUP($A2,Table1[#This Row],COLUMN(B1), FALSE)</calculatedColumnFormula>
    </tableColumn>
    <tableColumn id="3" xr3:uid="{FC5CAAF2-4721-437E-BD45-AF59E83F10F3}" name="Ship Date" dataDxfId="0">
      <calculatedColumnFormula>VLOOKUP($A2,Table1[#This Row],COLUMN(C1), FALSE)</calculatedColumnFormula>
    </tableColumn>
    <tableColumn id="4" xr3:uid="{C9F8FEC3-641E-4E5B-9BCD-F945BEE37B69}" name="Customer Name">
      <calculatedColumnFormula>VLOOKUP($A2,Table1[#This Row],COLUMN(D1), FALSE)</calculatedColumnFormula>
    </tableColumn>
    <tableColumn id="5" xr3:uid="{EC402EDE-8E09-4562-9704-7A5D0092E4A8}" name="Country">
      <calculatedColumnFormula>VLOOKUP($A2,Table1[#This Row],COLUMN(E1), FALSE)</calculatedColumnFormula>
    </tableColumn>
    <tableColumn id="6" xr3:uid="{46948187-CD38-48D4-B0BD-4B91CFE7CEA7}" name="Region">
      <calculatedColumnFormula>VLOOKUP($A2,Table1[#This Row],COLUMN(F1), FALSE)</calculatedColumnFormula>
    </tableColumn>
    <tableColumn id="7" xr3:uid="{8AACB1A3-474D-4486-A7E7-A160430932ED}" name="Category">
      <calculatedColumnFormula>VLOOKUP($A2,Table1[#This Row],COLUMN(G1), FALSE)</calculatedColumnFormula>
    </tableColumn>
    <tableColumn id="8" xr3:uid="{790CBE61-B09E-4226-AF6A-3FF7F0C92835}" name="Sub-Category">
      <calculatedColumnFormula>VLOOKUP($A2,Table1[#This Row],COLUMN(H1), FALSE)</calculatedColumnFormula>
    </tableColumn>
    <tableColumn id="9" xr3:uid="{6BAC63EE-85F8-41D8-9BAC-71FC7954E700}" name="Sales">
      <calculatedColumnFormula>VLOOKUP($A2,Table1[#This Row],COLUMN(I1), FALSE)</calculatedColumnFormula>
    </tableColumn>
    <tableColumn id="10" xr3:uid="{AEF2D785-5619-475A-8747-557724449D4D}" name="Quantity">
      <calculatedColumnFormula>VLOOKUP($A2,Table1[#This Row],COLUMN(J1), FALSE)</calculatedColumnFormula>
    </tableColumn>
    <tableColumn id="11" xr3:uid="{13549B8B-714E-4A8D-9124-EB885A32CDEF}" name="Discount">
      <calculatedColumnFormula>VLOOKUP($A2,Table1[#This Row],COLUMN(K1), FALSE)</calculatedColumnFormula>
    </tableColumn>
    <tableColumn id="12" xr3:uid="{A7072E95-2526-4AF2-8DB7-86E500489308}" name="Profit">
      <calculatedColumnFormula>VLOOKUP($A2,Table1[#This Row],COLUMN(L1), FALSE)</calculatedColumnFormula>
    </tableColumn>
    <tableColumn id="13" xr3:uid="{BADD3079-E3AD-4DDA-AB22-A9E5966335CA}" name="Order Priority">
      <calculatedColumnFormula>VLOOKUP($A2,Table1[#This Row],COLUMN(M1), FALSE)</calculatedColumnFormula>
    </tableColumn>
    <tableColumn id="14" xr3:uid="{8146A6DC-6EBF-4455-9C66-F76570A6D802}" name="Order Type">
      <calculatedColumnFormula>VLOOKUP($A2,Table1[#This Row],COLUMN(N1), FALSE)</calculatedColumnFormula>
    </tableColumn>
    <tableColumn id="15" xr3:uid="{CE68FDA1-8FE0-4D0D-A91F-FB1931AF1384}" name="Cleaned Names">
      <calculatedColumnFormula>VLOOKUP($A2,Table1[#This Row],COLUMN(O1), FALSE)</calculatedColumnFormula>
    </tableColumn>
    <tableColumn id="16" xr3:uid="{F3834FF1-1C95-4D46-A79A-87E1BDAA0231}" name="Short Country Code">
      <calculatedColumnFormula>VLOOKUP($A2,Table1[#This Row],COLUMN(P1), FALSE)</calculatedColumnFormula>
    </tableColumn>
    <tableColumn id="17" xr3:uid="{AF8AA2E3-3C6D-4024-86BC-8352DBF8E73C}" name="Extract Middle Code">
      <calculatedColumnFormula>VLOOKUP($A2,Table1[#This Row],COLUMN(Q1), FALSE)</calculatedColumnFormula>
    </tableColumn>
    <tableColumn id="18" xr3:uid="{CEE1E647-9A97-4C84-9993-B66FC5F1C903}" name="Priority Caps">
      <calculatedColumnFormula>VLOOKUP($A2,Table1[#This Row],COLUMN(R1), FALSE)</calculatedColumnFormula>
    </tableColumn>
    <tableColumn id="19" xr3:uid="{16F0FFCC-F7BF-4D14-B870-BA9EA48BF927}" name="Small Case Categories">
      <calculatedColumnFormula>VLOOKUP($A2,Table1[#This Row],COLUMN(S1), FALSE)</calculatedColumnFormula>
    </tableColumn>
    <tableColumn id="20" xr3:uid="{71E2D38C-0F7F-48DB-9596-F6300BA2A82D}" name=" Numeric Order Code">
      <calculatedColumnFormula>VLOOKUP($A2,Table1[#This Row],COLUMN(T1), FALSE)</calculatedColumnFormula>
    </tableColumn>
    <tableColumn id="21" xr3:uid="{83457A41-6861-4264-8E9F-FB6827B679D1}" name="Order Code">
      <calculatedColumnFormula>VLOOKUP($A2,Table1[#This Row],COLUMN(U1), FALSE)</calculatedColumnFormula>
    </tableColumn>
    <tableColumn id="22" xr3:uid="{10DDFF26-2468-45B0-94CC-801195F67251}" name="Country Code">
      <calculatedColumnFormula>VLOOKUP($A2,Table1[#This Row],COLUMN(V1), FALSE)</calculatedColumnFormula>
    </tableColumn>
    <tableColumn id="23" xr3:uid="{64C1BA90-2D47-497B-B917-0966D8342F4D}" name="Order ID3">
      <calculatedColumnFormula>VLOOKUP($A2,Table1[#This Row],COLUMN(W1), FALSE)</calculatedColumnFormula>
    </tableColumn>
    <tableColumn id="24" xr3:uid="{318A70C7-B533-40C0-8598-D72ECC037D6D}" name="Order Code2">
      <calculatedColumnFormula>VLOOKUP($A2,Table1[#This Row],COLUMN(X1), FALSE)</calculatedColumnFormula>
    </tableColumn>
    <tableColumn id="25" xr3:uid="{E0EDA0FB-4C8F-41D6-B960-0B2760FE5470}" name="ID Number">
      <calculatedColumnFormula>VLOOKUP($A2,Table1[#This Row],COLUMN(Y1), FALSE)</calculatedColumnFormula>
    </tableColumn>
    <tableColumn id="26" xr3:uid="{C0A8A3CD-D444-4EC5-95AD-A1CAF6FB13EB}" name="Trimmed Order ID">
      <calculatedColumnFormula>VLOOKUP($A2,Table1[#This Row],COLUMN(Z1), FALSE)</calculatedColumnFormula>
    </tableColumn>
    <tableColumn id="27" xr3:uid="{A4456A00-CD5C-4376-860D-F47A4C0E8583}" name="Order Year">
      <calculatedColumnFormula>VLOOKUP($A2,Table1[#This Row],COLUMN(AA1), FALSE)</calculatedColumnFormula>
    </tableColumn>
    <tableColumn id="28" xr3:uid="{94017B04-590C-4685-8289-BE50A2E4A812}" name="Order Month">
      <calculatedColumnFormula>VLOOKUP($A2,Table1[#This Row],COLUMN(AB1), FALSE)</calculatedColumnFormula>
    </tableColumn>
    <tableColumn id="29" xr3:uid="{5D2D7B72-9387-451B-ABA5-A3F5802CB33C}" name="Order Weekday">
      <calculatedColumnFormula>VLOOKUP($A2,Table1[#This Row],COLUMN(AC1), FALSE)</calculatedColumnFormula>
    </tableColumn>
    <tableColumn id="30" xr3:uid="{BEC64225-EE94-428D-8B8B-C90A6F7AE8DD}" name="Shipping Duration">
      <calculatedColumnFormula>VLOOKUP($A2,Table1[#This Row],COLUMN(AD1),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AO879"/>
  <sheetViews>
    <sheetView topLeftCell="AC1" workbookViewId="0">
      <selection activeCell="AE2" sqref="AE2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0.5703125" customWidth="1"/>
    <col min="22" max="22" width="20.85546875" style="28" customWidth="1"/>
    <col min="23" max="23" width="19.140625" style="31" customWidth="1"/>
    <col min="24" max="24" width="17.28515625" customWidth="1"/>
    <col min="25" max="25" width="16.85546875" style="28" customWidth="1"/>
    <col min="26" max="26" width="33.5703125" style="28" customWidth="1"/>
    <col min="27" max="28" width="13.42578125" customWidth="1"/>
    <col min="29" max="29" width="19.5703125" customWidth="1"/>
    <col min="30" max="31" width="21.5703125" customWidth="1"/>
    <col min="32" max="32" width="20.85546875" customWidth="1"/>
    <col min="33" max="34" width="21.42578125" customWidth="1"/>
    <col min="35" max="35" width="10.7109375" customWidth="1"/>
    <col min="36" max="36" width="31.140625" customWidth="1"/>
    <col min="37" max="37" width="19.7109375" customWidth="1"/>
    <col min="38" max="38" width="18.7109375" customWidth="1"/>
    <col min="39" max="39" width="14.5703125" customWidth="1"/>
    <col min="40" max="40" width="13.28515625" customWidth="1"/>
  </cols>
  <sheetData>
    <row r="1" spans="1:41" ht="15.7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2666</v>
      </c>
      <c r="O1" s="24" t="s">
        <v>2667</v>
      </c>
      <c r="P1" s="24" t="s">
        <v>2668</v>
      </c>
      <c r="Q1" s="24" t="s">
        <v>2669</v>
      </c>
      <c r="R1" s="24" t="s">
        <v>2670</v>
      </c>
      <c r="S1" s="24" t="s">
        <v>2671</v>
      </c>
      <c r="T1" s="25" t="s">
        <v>2672</v>
      </c>
      <c r="U1" t="s">
        <v>2673</v>
      </c>
      <c r="V1" s="22" t="s">
        <v>2674</v>
      </c>
      <c r="W1" s="29" t="s">
        <v>2675</v>
      </c>
      <c r="X1" s="26" t="s">
        <v>2676</v>
      </c>
      <c r="Y1" s="26" t="s">
        <v>2677</v>
      </c>
      <c r="Z1" s="26" t="s">
        <v>2678</v>
      </c>
      <c r="AA1" s="26" t="s">
        <v>2679</v>
      </c>
      <c r="AB1" s="26" t="s">
        <v>2680</v>
      </c>
      <c r="AC1" s="26" t="s">
        <v>2681</v>
      </c>
      <c r="AD1" s="26" t="s">
        <v>2682</v>
      </c>
      <c r="AE1" s="26" t="s">
        <v>2683</v>
      </c>
    </row>
    <row r="2" spans="1:41" ht="24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2684</v>
      </c>
      <c r="O2" s="8" t="str">
        <f>PROPER(D2)</f>
        <v>Jim Mitchum</v>
      </c>
      <c r="P2" s="8" t="str">
        <f>LEFT(A2,2)</f>
        <v>IN</v>
      </c>
      <c r="Q2" s="8" t="str">
        <f>MID(A2,4,4)</f>
        <v>2014</v>
      </c>
      <c r="R2" s="8" t="str">
        <f>UPPER(M2)</f>
        <v>CRITICAL</v>
      </c>
      <c r="S2" s="8" t="str">
        <f>LOWER(G2)</f>
        <v>technology</v>
      </c>
      <c r="T2" s="18" t="str">
        <f>RIGHT(A2,5)</f>
        <v>41818</v>
      </c>
      <c r="U2" s="27" t="s">
        <v>2685</v>
      </c>
      <c r="V2" s="16" t="s">
        <v>2686</v>
      </c>
      <c r="W2" s="30">
        <v>2014</v>
      </c>
      <c r="X2" t="s">
        <v>2685</v>
      </c>
      <c r="Y2" s="28">
        <v>41818</v>
      </c>
      <c r="Z2" s="28" t="str">
        <f>TRIM(A2)</f>
        <v>IN-2014-JM156557-41818</v>
      </c>
      <c r="AA2">
        <f t="shared" ref="AA2:AA65" si="0">IFERROR(YEAR(B2), 0)</f>
        <v>2014</v>
      </c>
      <c r="AB2">
        <f t="shared" ref="AB2:AB65" si="1">IFERROR(MONTH(B2), 0)</f>
        <v>6</v>
      </c>
      <c r="AC2">
        <f t="shared" ref="AC2:AC65" si="2">IFERROR(WEEKDAY(B2), 0)</f>
        <v>7</v>
      </c>
      <c r="AD2">
        <f t="shared" ref="AD2:AD65" si="3">IFERROR(C2 - B2, 0)</f>
        <v>3</v>
      </c>
      <c r="AE2" s="62">
        <f>IF(I2="missing", IFERROR(INDEX([1]lookup!$I:$I, MATCH($A2, [1]lookup!$B:$B, 0)), 0), I2)</f>
        <v>2862.6750000000002</v>
      </c>
      <c r="AI2" s="44" t="s">
        <v>2687</v>
      </c>
    </row>
    <row r="3" spans="1:41" ht="18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2684</v>
      </c>
      <c r="O3" s="13" t="str">
        <f>PROPER(D3)</f>
        <v>Aaron Bergman</v>
      </c>
      <c r="P3" s="13" t="str">
        <f>LEFT(A3,2)</f>
        <v>CA</v>
      </c>
      <c r="Q3" s="13" t="str">
        <f>MID(A3,4,4)</f>
        <v>2014</v>
      </c>
      <c r="R3" s="13" t="str">
        <f>UPPER(M3)</f>
        <v>HIGH</v>
      </c>
      <c r="S3" s="13" t="str">
        <f>LOWER(G3)</f>
        <v>furniture</v>
      </c>
      <c r="T3" s="21" t="str">
        <f>RIGHT(A3,5)</f>
        <v>41954</v>
      </c>
      <c r="U3" s="27" t="s">
        <v>2688</v>
      </c>
      <c r="V3" s="19" t="s">
        <v>2689</v>
      </c>
      <c r="W3" s="30">
        <v>2014</v>
      </c>
      <c r="X3" t="s">
        <v>2688</v>
      </c>
      <c r="Y3" s="28">
        <v>41954</v>
      </c>
      <c r="Z3" s="28" t="str">
        <f>TRIM(A3)</f>
        <v>CA-2014-AB10015140-41954</v>
      </c>
      <c r="AA3">
        <f t="shared" si="0"/>
        <v>2014</v>
      </c>
      <c r="AB3">
        <f t="shared" si="1"/>
        <v>11</v>
      </c>
      <c r="AC3">
        <f t="shared" si="2"/>
        <v>3</v>
      </c>
      <c r="AD3">
        <f t="shared" si="3"/>
        <v>2</v>
      </c>
      <c r="AE3" s="62">
        <f>IF(I3="missing", IFERROR(INDEX([1]lookup!$I:$I, MATCH($A3, [1]lookup!$B:$B, 0)), 0), I3)</f>
        <v>341.96</v>
      </c>
      <c r="AI3" s="45" t="s">
        <v>2690</v>
      </c>
    </row>
    <row r="4" spans="1:41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2684</v>
      </c>
      <c r="O4" s="8" t="str">
        <f>PROPER(D4)</f>
        <v>Aaron Bergman</v>
      </c>
      <c r="P4" s="8" t="str">
        <f>LEFT(A4,2)</f>
        <v>CA</v>
      </c>
      <c r="Q4" s="8" t="str">
        <f>MID(A4,4,4)</f>
        <v>2012</v>
      </c>
      <c r="R4" s="8" t="str">
        <f>UPPER(M4)</f>
        <v>LOW</v>
      </c>
      <c r="S4" s="8" t="str">
        <f>LOWER(G4)</f>
        <v>office supplies</v>
      </c>
      <c r="T4" s="18" t="str">
        <f>RIGHT(A4,5)</f>
        <v>40958</v>
      </c>
      <c r="U4" s="27" t="s">
        <v>2688</v>
      </c>
      <c r="V4" s="16" t="s">
        <v>2689</v>
      </c>
      <c r="W4" s="30">
        <v>2012</v>
      </c>
      <c r="X4" t="s">
        <v>2688</v>
      </c>
      <c r="Y4" s="28">
        <v>40958</v>
      </c>
      <c r="Z4" s="28" t="str">
        <f>TRIM(A4)</f>
        <v>CA-2012-AB10015140-40958</v>
      </c>
      <c r="AA4">
        <f t="shared" si="0"/>
        <v>2012</v>
      </c>
      <c r="AB4">
        <f t="shared" si="1"/>
        <v>2</v>
      </c>
      <c r="AC4">
        <f t="shared" si="2"/>
        <v>1</v>
      </c>
      <c r="AD4">
        <f t="shared" si="3"/>
        <v>6</v>
      </c>
      <c r="AE4" s="62">
        <f>IF(I4="missing", IFERROR(INDEX([1]lookup!$I:$I, MATCH($A4, [1]lookup!$B:$B, 0)), 0), I4)</f>
        <v>12.624000000000001</v>
      </c>
    </row>
    <row r="5" spans="1:41" ht="18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2684</v>
      </c>
      <c r="O5" s="13" t="str">
        <f>PROPER(D5)</f>
        <v>Aaron Bergman</v>
      </c>
      <c r="P5" s="13" t="str">
        <f>LEFT(A5,2)</f>
        <v>CA</v>
      </c>
      <c r="Q5" s="13" t="str">
        <f>MID(A5,4,4)</f>
        <v>2012</v>
      </c>
      <c r="R5" s="13" t="str">
        <f>UPPER(M5)</f>
        <v>HIGH</v>
      </c>
      <c r="S5" s="13" t="str">
        <f>LOWER(G5)</f>
        <v>office supplies</v>
      </c>
      <c r="T5" s="21" t="str">
        <f>RIGHT(A5,5)</f>
        <v>40974</v>
      </c>
      <c r="U5" s="27" t="s">
        <v>2688</v>
      </c>
      <c r="V5" s="19" t="s">
        <v>2689</v>
      </c>
      <c r="W5" s="30">
        <v>2012</v>
      </c>
      <c r="X5" t="s">
        <v>2688</v>
      </c>
      <c r="Y5" s="28">
        <v>40974</v>
      </c>
      <c r="Z5" s="28" t="str">
        <f>TRIM(A5)</f>
        <v>CA-2012-AB10015140-40974</v>
      </c>
      <c r="AA5">
        <f t="shared" si="0"/>
        <v>2012</v>
      </c>
      <c r="AB5">
        <f t="shared" si="1"/>
        <v>3</v>
      </c>
      <c r="AC5">
        <f t="shared" si="2"/>
        <v>3</v>
      </c>
      <c r="AD5" s="39">
        <f t="shared" si="3"/>
        <v>1</v>
      </c>
      <c r="AE5" s="63">
        <f>IF(I5="missing", IFERROR(INDEX([1]lookup!$I:$I, MATCH($A5, [1]lookup!$B:$B, 0)), 0), I5)</f>
        <v>242.94</v>
      </c>
      <c r="AF5" s="41"/>
      <c r="AG5" s="41"/>
      <c r="AH5" s="39"/>
      <c r="AI5" s="48" t="s">
        <v>2691</v>
      </c>
      <c r="AJ5" s="48" t="s">
        <v>0</v>
      </c>
      <c r="AK5" s="48" t="s">
        <v>3</v>
      </c>
      <c r="AL5" s="48" t="s">
        <v>6</v>
      </c>
      <c r="AM5" s="48" t="s">
        <v>7</v>
      </c>
      <c r="AN5" s="48" t="s">
        <v>2692</v>
      </c>
      <c r="AO5" s="43"/>
    </row>
    <row r="6" spans="1:41" ht="18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2684</v>
      </c>
      <c r="O6" s="8" t="str">
        <f>PROPER(D6)</f>
        <v>Naresj Patel</v>
      </c>
      <c r="P6" s="8" t="str">
        <f>LEFT(A6,2)</f>
        <v>US</v>
      </c>
      <c r="Q6" s="8" t="str">
        <f>MID(A6,4,4)</f>
        <v>2015</v>
      </c>
      <c r="R6" s="8" t="str">
        <f>UPPER(M6)</f>
        <v>CRITICAL</v>
      </c>
      <c r="S6" s="8" t="str">
        <f>LOWER(G6)</f>
        <v>technology</v>
      </c>
      <c r="T6" s="18" t="str">
        <f>RIGHT(A6,5)</f>
        <v>42216</v>
      </c>
      <c r="U6" s="27" t="s">
        <v>2693</v>
      </c>
      <c r="V6" s="16" t="s">
        <v>2694</v>
      </c>
      <c r="W6" s="30">
        <v>2015</v>
      </c>
      <c r="X6" t="s">
        <v>2693</v>
      </c>
      <c r="Y6" s="28">
        <v>42216</v>
      </c>
      <c r="Z6" s="28" t="str">
        <f>TRIM(A6)</f>
        <v>US-2015-NP1832582-42216</v>
      </c>
      <c r="AA6">
        <f t="shared" si="0"/>
        <v>2015</v>
      </c>
      <c r="AB6">
        <f t="shared" si="1"/>
        <v>7</v>
      </c>
      <c r="AC6">
        <f t="shared" si="2"/>
        <v>6</v>
      </c>
      <c r="AD6" s="39">
        <f t="shared" si="3"/>
        <v>1</v>
      </c>
      <c r="AE6" s="63">
        <f>IF(I6="missing", IFERROR(INDEX([1]lookup!$I:$I, MATCH($A6, [1]lookup!$B:$B, 0)), 0), I6)</f>
        <v>1713.84</v>
      </c>
      <c r="AF6" s="41" t="s">
        <v>2695</v>
      </c>
      <c r="AG6" s="42">
        <f>AVERAGE(I2:I568)</f>
        <v>1703.3904752877681</v>
      </c>
      <c r="AH6" s="40"/>
      <c r="AI6" s="48" t="s">
        <v>2696</v>
      </c>
      <c r="AJ6" s="49" t="s">
        <v>816</v>
      </c>
      <c r="AK6" s="49" t="s">
        <v>515</v>
      </c>
      <c r="AL6" s="49" t="s">
        <v>45</v>
      </c>
      <c r="AM6" s="49" t="s">
        <v>23</v>
      </c>
      <c r="AN6" s="49" t="s">
        <v>2697</v>
      </c>
      <c r="AO6" s="43"/>
    </row>
    <row r="7" spans="1:41" ht="18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2684</v>
      </c>
      <c r="O7" s="13" t="str">
        <f>PROPER(D7)</f>
        <v>Dave Poirier</v>
      </c>
      <c r="P7" s="13" t="str">
        <f>LEFT(A7,2)</f>
        <v>IN</v>
      </c>
      <c r="Q7" s="13" t="str">
        <f>MID(A7,4,4)</f>
        <v>2012</v>
      </c>
      <c r="R7" s="13" t="str">
        <f>UPPER(M7)</f>
        <v>CRITICAL</v>
      </c>
      <c r="S7" s="13" t="str">
        <f>LOWER(G7)</f>
        <v>office supplies</v>
      </c>
      <c r="T7" s="21" t="str">
        <f>RIGHT(A7,5)</f>
        <v>41215</v>
      </c>
      <c r="U7" s="27" t="s">
        <v>2698</v>
      </c>
      <c r="V7" s="19" t="s">
        <v>2686</v>
      </c>
      <c r="W7" s="30">
        <v>2012</v>
      </c>
      <c r="X7" t="s">
        <v>2698</v>
      </c>
      <c r="Y7" s="28">
        <v>41215</v>
      </c>
      <c r="Z7" s="28" t="str">
        <f>TRIM(A7)</f>
        <v>IN-2012-DP131057-41215</v>
      </c>
      <c r="AA7">
        <f t="shared" si="0"/>
        <v>0</v>
      </c>
      <c r="AB7">
        <f t="shared" si="1"/>
        <v>0</v>
      </c>
      <c r="AC7">
        <f t="shared" si="2"/>
        <v>0</v>
      </c>
      <c r="AD7" s="39">
        <f t="shared" si="3"/>
        <v>0</v>
      </c>
      <c r="AE7" s="63">
        <f>IF(I7="missing", IFERROR(INDEX([1]lookup!$I:$I, MATCH($A7, [1]lookup!$B:$B, 0)), 0), I7)</f>
        <v>2526.9299999999998</v>
      </c>
      <c r="AF7" s="41" t="s">
        <v>2699</v>
      </c>
      <c r="AG7" s="42">
        <f>MEDIAN(I2:I568)</f>
        <v>1598.2049999999949</v>
      </c>
      <c r="AH7" s="39"/>
      <c r="AI7" s="48" t="s">
        <v>2700</v>
      </c>
      <c r="AJ7" s="49" t="s">
        <v>147</v>
      </c>
      <c r="AK7" s="49" t="s">
        <v>148</v>
      </c>
      <c r="AL7" s="49" t="s">
        <v>17</v>
      </c>
      <c r="AM7" s="49" t="s">
        <v>26</v>
      </c>
      <c r="AN7" s="49" t="s">
        <v>2701</v>
      </c>
      <c r="AO7" s="43"/>
    </row>
    <row r="8" spans="1:41" ht="18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2684</v>
      </c>
      <c r="O8" s="8" t="str">
        <f>PROPER(D8)</f>
        <v>Aaron Hawkins</v>
      </c>
      <c r="P8" s="8" t="str">
        <f>LEFT(A8,2)</f>
        <v>CA</v>
      </c>
      <c r="Q8" s="8" t="str">
        <f>MID(A8,4,4)</f>
        <v>2013</v>
      </c>
      <c r="R8" s="8" t="str">
        <f>UPPER(M8)</f>
        <v>MEDIUM</v>
      </c>
      <c r="S8" s="8" t="str">
        <f>LOWER(G8)</f>
        <v>office supplies</v>
      </c>
      <c r="T8" s="18" t="str">
        <f>RIGHT(A8,5)</f>
        <v>41635</v>
      </c>
      <c r="U8" s="27" t="s">
        <v>2702</v>
      </c>
      <c r="V8" s="16" t="s">
        <v>2689</v>
      </c>
      <c r="W8" s="30">
        <v>2013</v>
      </c>
      <c r="X8" t="s">
        <v>2702</v>
      </c>
      <c r="Y8" s="28">
        <v>41635</v>
      </c>
      <c r="Z8" s="28" t="str">
        <f>TRIM(A8)</f>
        <v>CA-2013-AH10030140-41635</v>
      </c>
      <c r="AA8">
        <f t="shared" si="0"/>
        <v>2013</v>
      </c>
      <c r="AB8">
        <f t="shared" si="1"/>
        <v>12</v>
      </c>
      <c r="AC8">
        <f t="shared" si="2"/>
        <v>6</v>
      </c>
      <c r="AD8" s="39">
        <f t="shared" si="3"/>
        <v>4</v>
      </c>
      <c r="AE8" s="63">
        <f>IF(I8="missing", IFERROR(INDEX([1]lookup!$I:$I, MATCH($A8, [1]lookup!$B:$B, 0)), 0), I8)</f>
        <v>323.10000000000002</v>
      </c>
      <c r="AF8" s="41" t="s">
        <v>2703</v>
      </c>
      <c r="AG8" s="41">
        <f>_xlfn.STDEV.S(I2:I568)</f>
        <v>1251.8750370522478</v>
      </c>
      <c r="AH8" s="39"/>
      <c r="AI8" s="48" t="s">
        <v>2704</v>
      </c>
      <c r="AJ8" s="49" t="s">
        <v>631</v>
      </c>
      <c r="AK8" s="49" t="s">
        <v>632</v>
      </c>
      <c r="AL8" s="49" t="s">
        <v>17</v>
      </c>
      <c r="AM8" s="49" t="s">
        <v>151</v>
      </c>
      <c r="AN8" s="49" t="s">
        <v>2705</v>
      </c>
      <c r="AO8" s="43"/>
    </row>
    <row r="9" spans="1:41" ht="18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2684</v>
      </c>
      <c r="O9" s="13" t="str">
        <f>PROPER(D9)</f>
        <v>Dan Lawera</v>
      </c>
      <c r="P9" s="13" t="str">
        <f>LEFT(A9,2)</f>
        <v>IN</v>
      </c>
      <c r="Q9" s="13" t="str">
        <f>MID(A9,4,4)</f>
        <v>2012</v>
      </c>
      <c r="R9" s="13" t="str">
        <f>UPPER(M9)</f>
        <v>MEDIUM</v>
      </c>
      <c r="S9" s="13" t="str">
        <f>LOWER(G9)</f>
        <v>technology</v>
      </c>
      <c r="T9" s="21" t="str">
        <f>RIGHT(A9,5)</f>
        <v>40918</v>
      </c>
      <c r="U9" s="27" t="s">
        <v>2706</v>
      </c>
      <c r="V9" s="19" t="s">
        <v>2686</v>
      </c>
      <c r="W9" s="30">
        <v>2012</v>
      </c>
      <c r="X9" t="s">
        <v>2706</v>
      </c>
      <c r="Y9" s="28">
        <v>40918</v>
      </c>
      <c r="Z9" s="28" t="str">
        <f>TRIM(A9)</f>
        <v>IN-2012-DL128657-40918</v>
      </c>
      <c r="AA9">
        <f t="shared" si="0"/>
        <v>2012</v>
      </c>
      <c r="AB9">
        <f t="shared" si="1"/>
        <v>1</v>
      </c>
      <c r="AC9">
        <f t="shared" si="2"/>
        <v>3</v>
      </c>
      <c r="AD9" s="39">
        <f t="shared" si="3"/>
        <v>296</v>
      </c>
      <c r="AE9" s="63">
        <f>IF(I9="missing", IFERROR(INDEX([1]lookup!$I:$I, MATCH($A9, [1]lookup!$B:$B, 0)), 0), I9)</f>
        <v>2875.0949999999998</v>
      </c>
      <c r="AF9" s="41"/>
      <c r="AG9" s="41"/>
      <c r="AH9" s="39"/>
      <c r="AI9" s="48" t="s">
        <v>2707</v>
      </c>
      <c r="AJ9" s="49" t="s">
        <v>1120</v>
      </c>
      <c r="AK9" s="49" t="s">
        <v>1121</v>
      </c>
      <c r="AL9" s="49" t="s">
        <v>17</v>
      </c>
      <c r="AM9" s="49" t="s">
        <v>44</v>
      </c>
      <c r="AN9" s="49" t="s">
        <v>2708</v>
      </c>
      <c r="AO9" s="43"/>
    </row>
    <row r="10" spans="1:41" ht="18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2684</v>
      </c>
      <c r="O10" s="8" t="str">
        <f>PROPER(D10)</f>
        <v>Elli Sballard</v>
      </c>
      <c r="P10" s="8" t="str">
        <f>LEFT(A10,2)</f>
        <v>IT</v>
      </c>
      <c r="Q10" s="8" t="str">
        <f>MID(A10,4,4)</f>
        <v>2014</v>
      </c>
      <c r="R10" s="8" t="str">
        <f>UPPER(M10)</f>
        <v>CRITICAL</v>
      </c>
      <c r="S10" s="8" t="str">
        <f>LOWER(G10)</f>
        <v>furniture</v>
      </c>
      <c r="T10" s="18" t="str">
        <f>RIGHT(A10,5)</f>
        <v>41706</v>
      </c>
      <c r="U10" s="27" t="s">
        <v>2709</v>
      </c>
      <c r="V10" s="16" t="s">
        <v>2710</v>
      </c>
      <c r="W10" s="30">
        <v>2014</v>
      </c>
      <c r="X10" t="s">
        <v>2709</v>
      </c>
      <c r="Y10" s="28">
        <v>41706</v>
      </c>
      <c r="Z10" s="28" t="str">
        <f>TRIM(A10)</f>
        <v>IT-2014-EB1384045-41706</v>
      </c>
      <c r="AA10">
        <f t="shared" si="0"/>
        <v>2014</v>
      </c>
      <c r="AB10">
        <f t="shared" si="1"/>
        <v>3</v>
      </c>
      <c r="AC10">
        <f t="shared" si="2"/>
        <v>7</v>
      </c>
      <c r="AD10" s="39">
        <f t="shared" si="3"/>
        <v>148</v>
      </c>
      <c r="AE10" s="63">
        <f>IF(I10="missing", IFERROR(INDEX([1]lookup!$I:$I, MATCH($A10, [1]lookup!$B:$B, 0)), 0), I10)</f>
        <v>2092.49999999999</v>
      </c>
      <c r="AF10" s="39"/>
      <c r="AG10" s="39"/>
      <c r="AH10" s="39"/>
      <c r="AI10" s="48" t="s">
        <v>2711</v>
      </c>
      <c r="AJ10" s="49" t="s">
        <v>145</v>
      </c>
      <c r="AK10" s="49" t="s">
        <v>146</v>
      </c>
      <c r="AL10" s="49" t="s">
        <v>32</v>
      </c>
      <c r="AM10" s="49" t="s">
        <v>26</v>
      </c>
      <c r="AN10" s="49" t="s">
        <v>2712</v>
      </c>
      <c r="AO10" s="43"/>
    </row>
    <row r="11" spans="1:41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2684</v>
      </c>
      <c r="O11" s="13" t="str">
        <f>PROPER(D11)</f>
        <v xml:space="preserve"> Sheri Gordon </v>
      </c>
      <c r="P11" s="13" t="str">
        <f>LEFT(A11,2)</f>
        <v>IN</v>
      </c>
      <c r="Q11" s="13" t="str">
        <f>MID(A11,4,4)</f>
        <v>2013</v>
      </c>
      <c r="R11" s="13" t="str">
        <f>UPPER(M11)</f>
        <v>CRITICAL</v>
      </c>
      <c r="S11" s="13" t="str">
        <f>LOWER(G11)</f>
        <v>technology</v>
      </c>
      <c r="T11" s="21" t="str">
        <f>RIGHT(A11,5)</f>
        <v>41424</v>
      </c>
      <c r="U11" s="27" t="s">
        <v>2713</v>
      </c>
      <c r="V11" s="19" t="s">
        <v>2686</v>
      </c>
      <c r="W11" s="30">
        <v>2013</v>
      </c>
      <c r="X11" t="s">
        <v>2713</v>
      </c>
      <c r="Y11" s="28">
        <v>41424</v>
      </c>
      <c r="Z11" s="28" t="str">
        <f>TRIM(A11)</f>
        <v>IN-2013-SG2047058-41424</v>
      </c>
      <c r="AA11">
        <f t="shared" si="0"/>
        <v>2013</v>
      </c>
      <c r="AB11">
        <f t="shared" si="1"/>
        <v>5</v>
      </c>
      <c r="AC11">
        <f t="shared" si="2"/>
        <v>5</v>
      </c>
      <c r="AD11">
        <f t="shared" si="3"/>
        <v>1</v>
      </c>
      <c r="AE11" s="62">
        <f>IF(I11="missing", IFERROR(INDEX([1]lookup!$I:$I, MATCH($A11, [1]lookup!$B:$B, 0)), 0), I11)</f>
        <v>1526.52</v>
      </c>
    </row>
    <row r="12" spans="1:41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2684</v>
      </c>
      <c r="O12" s="8" t="str">
        <f>PROPER(D12)</f>
        <v>Guy Phonely</v>
      </c>
      <c r="P12" s="8" t="str">
        <f>LEFT(A12,2)</f>
        <v>IN</v>
      </c>
      <c r="Q12" s="8" t="str">
        <f>MID(A12,4,4)</f>
        <v>2013</v>
      </c>
      <c r="R12" s="8" t="str">
        <f>UPPER(M12)</f>
        <v>CRITICAL</v>
      </c>
      <c r="S12" s="8" t="str">
        <f>LOWER(G12)</f>
        <v xml:space="preserve"> furniture </v>
      </c>
      <c r="T12" s="18" t="str">
        <f>RIGHT(A12,5)</f>
        <v>41419</v>
      </c>
      <c r="U12" s="27" t="s">
        <v>2714</v>
      </c>
      <c r="V12" s="16" t="s">
        <v>2686</v>
      </c>
      <c r="W12" s="30">
        <v>2013</v>
      </c>
      <c r="X12" t="s">
        <v>2714</v>
      </c>
      <c r="Y12" s="28">
        <v>41419</v>
      </c>
      <c r="Z12" s="28" t="str">
        <f>TRIM(A12)</f>
        <v>IN-2013-GP1474058-41419</v>
      </c>
      <c r="AA12">
        <f t="shared" si="0"/>
        <v>2013</v>
      </c>
      <c r="AB12">
        <f t="shared" si="1"/>
        <v>5</v>
      </c>
      <c r="AC12">
        <f t="shared" si="2"/>
        <v>7</v>
      </c>
      <c r="AD12">
        <f t="shared" si="3"/>
        <v>3</v>
      </c>
      <c r="AE12" s="62">
        <f>IF(I12="missing", IFERROR(INDEX([1]lookup!$I:$I, MATCH($A12, [1]lookup!$B:$B, 0)), 0), I12)</f>
        <v>1745.34</v>
      </c>
    </row>
    <row r="13" spans="1:41" ht="18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2684</v>
      </c>
      <c r="O13" s="13" t="str">
        <f>PROPER(D13)</f>
        <v>Dave Kipp</v>
      </c>
      <c r="P13" s="13" t="str">
        <f>LEFT(A13,2)</f>
        <v>IT</v>
      </c>
      <c r="Q13" s="13" t="str">
        <f>MID(A13,4,4)</f>
        <v>2015</v>
      </c>
      <c r="R13" s="13" t="str">
        <f>UPPER(M13)</f>
        <v>HIGH</v>
      </c>
      <c r="S13" s="13" t="str">
        <f>LOWER(G13)</f>
        <v>furniture</v>
      </c>
      <c r="T13" s="21" t="str">
        <f>RIGHT(A13,5)</f>
        <v>42345</v>
      </c>
      <c r="U13" s="27" t="s">
        <v>2715</v>
      </c>
      <c r="V13" s="19" t="s">
        <v>2710</v>
      </c>
      <c r="W13" s="30">
        <v>2015</v>
      </c>
      <c r="X13" t="s">
        <v>2715</v>
      </c>
      <c r="Y13" s="28">
        <v>42345</v>
      </c>
      <c r="Z13" s="28" t="str">
        <f>TRIM(A13)</f>
        <v>IT-2015-DK13090120-42345</v>
      </c>
      <c r="AA13">
        <f t="shared" si="0"/>
        <v>2015</v>
      </c>
      <c r="AB13">
        <f t="shared" si="1"/>
        <v>12</v>
      </c>
      <c r="AC13">
        <f t="shared" si="2"/>
        <v>2</v>
      </c>
      <c r="AD13">
        <f t="shared" si="3"/>
        <v>-117</v>
      </c>
      <c r="AE13" s="62">
        <f>IF(I13="missing", IFERROR(INDEX([1]lookup!$I:$I, MATCH($A13, [1]lookup!$B:$B, 0)), 0), I13)</f>
        <v>2188.0500000000002</v>
      </c>
      <c r="AI13" s="46" t="s">
        <v>2716</v>
      </c>
      <c r="AJ13" s="46"/>
      <c r="AK13" s="47"/>
    </row>
    <row r="14" spans="1:41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2684</v>
      </c>
      <c r="O14" s="8" t="str">
        <f>PROPER(D14)</f>
        <v>Evan Minnotte</v>
      </c>
      <c r="P14" s="8" t="str">
        <f>LEFT(A14,2)</f>
        <v>MX</v>
      </c>
      <c r="Q14" s="8" t="str">
        <f>MID(A14,4,4)</f>
        <v>2015</v>
      </c>
      <c r="R14" s="8" t="str">
        <f>UPPER(M14)</f>
        <v>CRITICAL</v>
      </c>
      <c r="S14" s="8" t="str">
        <f>LOWER(G14)</f>
        <v>technology</v>
      </c>
      <c r="T14" s="18" t="str">
        <f>RIGHT(A14,5)</f>
        <v>42328</v>
      </c>
      <c r="U14" s="27" t="s">
        <v>2717</v>
      </c>
      <c r="V14" s="16" t="s">
        <v>2718</v>
      </c>
      <c r="W14" s="30">
        <v>2015</v>
      </c>
      <c r="X14" t="s">
        <v>2717</v>
      </c>
      <c r="Y14" s="28">
        <v>42328</v>
      </c>
      <c r="Z14" s="28" t="str">
        <f>TRIM(A14)</f>
        <v>MX-2015-EM1420082-42328</v>
      </c>
      <c r="AA14">
        <f t="shared" si="0"/>
        <v>2015</v>
      </c>
      <c r="AB14">
        <f t="shared" si="1"/>
        <v>11</v>
      </c>
      <c r="AC14">
        <f t="shared" si="2"/>
        <v>6</v>
      </c>
      <c r="AD14">
        <f t="shared" si="3"/>
        <v>0</v>
      </c>
      <c r="AE14" s="62">
        <f>IF(I14="missing", IFERROR(INDEX([1]lookup!$I:$I, MATCH($A14, [1]lookup!$B:$B, 0)), 0), I14)</f>
        <v>1704</v>
      </c>
    </row>
    <row r="15" spans="1:41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2684</v>
      </c>
      <c r="O15" s="13" t="str">
        <f>PROPER(D15)</f>
        <v>John Huston</v>
      </c>
      <c r="P15" s="13" t="str">
        <f>LEFT(A15,2)</f>
        <v>IN</v>
      </c>
      <c r="Q15" s="13" t="str">
        <f>MID(A15,4,4)</f>
        <v>2015</v>
      </c>
      <c r="R15" s="13" t="str">
        <f>UPPER(M15)</f>
        <v>CRITIACL</v>
      </c>
      <c r="S15" s="13" t="str">
        <f>LOWER(G15)</f>
        <v>technology</v>
      </c>
      <c r="T15" s="21" t="str">
        <f>RIGHT(A15,5)</f>
        <v>42140</v>
      </c>
      <c r="U15" s="27" t="s">
        <v>2719</v>
      </c>
      <c r="V15" s="19" t="s">
        <v>2686</v>
      </c>
      <c r="W15" s="30">
        <v>2015</v>
      </c>
      <c r="X15" t="s">
        <v>2719</v>
      </c>
      <c r="Y15" s="28">
        <v>42140</v>
      </c>
      <c r="Z15" s="28" t="str">
        <f>TRIM(A15)</f>
        <v>IN-2015-JH158207-42140</v>
      </c>
      <c r="AA15">
        <f t="shared" si="0"/>
        <v>2015</v>
      </c>
      <c r="AB15">
        <f t="shared" si="1"/>
        <v>5</v>
      </c>
      <c r="AC15">
        <f t="shared" si="2"/>
        <v>7</v>
      </c>
      <c r="AD15">
        <f t="shared" si="3"/>
        <v>2</v>
      </c>
      <c r="AE15" s="62">
        <f>IF(I15="missing", IFERROR(INDEX([1]lookup!$I:$I, MATCH($A15, [1]lookup!$B:$B, 0)), 0), I15)</f>
        <v>2863.35</v>
      </c>
      <c r="AI15" s="50" t="s">
        <v>2691</v>
      </c>
      <c r="AJ15" s="50" t="s">
        <v>0</v>
      </c>
      <c r="AK15" s="50" t="s">
        <v>3</v>
      </c>
      <c r="AL15" s="50" t="s">
        <v>6</v>
      </c>
      <c r="AM15" s="50" t="s">
        <v>7</v>
      </c>
      <c r="AN15" s="50" t="s">
        <v>2692</v>
      </c>
      <c r="AO15" s="43"/>
    </row>
    <row r="16" spans="1:41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2684</v>
      </c>
      <c r="O16" s="8" t="str">
        <f>PROPER(D16)</f>
        <v>Alejandro Ballentine</v>
      </c>
      <c r="P16" s="8" t="str">
        <f>LEFT(A16,2)</f>
        <v>MO</v>
      </c>
      <c r="Q16" s="8" t="str">
        <f>MID(A16,4,4)</f>
        <v>2014</v>
      </c>
      <c r="R16" s="8" t="str">
        <f>UPPER(M16)</f>
        <v>MEDIUM</v>
      </c>
      <c r="S16" s="8" t="str">
        <f>LOWER(G16)</f>
        <v>office supplies</v>
      </c>
      <c r="T16" s="18" t="str">
        <f>RIGHT(A16,5)</f>
        <v>41966</v>
      </c>
      <c r="U16" s="27" t="s">
        <v>2720</v>
      </c>
      <c r="V16" s="16" t="s">
        <v>2721</v>
      </c>
      <c r="W16" s="30">
        <v>2014</v>
      </c>
      <c r="X16" t="s">
        <v>2720</v>
      </c>
      <c r="Y16" s="28">
        <v>41966</v>
      </c>
      <c r="Z16" s="28" t="str">
        <f>TRIM(A16)</f>
        <v>MO-2014-AB25586-41966</v>
      </c>
      <c r="AA16">
        <f t="shared" si="0"/>
        <v>2014</v>
      </c>
      <c r="AB16">
        <f t="shared" si="1"/>
        <v>11</v>
      </c>
      <c r="AC16">
        <f t="shared" si="2"/>
        <v>1</v>
      </c>
      <c r="AD16">
        <f t="shared" si="3"/>
        <v>0</v>
      </c>
      <c r="AE16" s="62">
        <f>IF(I16="missing", IFERROR(INDEX([1]lookup!$I:$I, MATCH($A16, [1]lookup!$B:$B, 0)), 0), I16)</f>
        <v>2266.44</v>
      </c>
      <c r="AI16" s="50" t="s">
        <v>2722</v>
      </c>
      <c r="AJ16" s="51" t="s">
        <v>417</v>
      </c>
      <c r="AK16" s="51" t="s">
        <v>418</v>
      </c>
      <c r="AL16" s="51" t="s">
        <v>45</v>
      </c>
      <c r="AM16" s="51" t="s">
        <v>151</v>
      </c>
      <c r="AN16" s="51" t="s">
        <v>2723</v>
      </c>
      <c r="AO16" s="43"/>
    </row>
    <row r="17" spans="1:41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2684</v>
      </c>
      <c r="O17" s="13" t="str">
        <f>PROPER(D17)</f>
        <v>Guy Phonely</v>
      </c>
      <c r="P17" s="13" t="str">
        <f>LEFT(A17,2)</f>
        <v>IN</v>
      </c>
      <c r="Q17" s="13" t="str">
        <f>MID(A17,4,4)</f>
        <v>2013</v>
      </c>
      <c r="R17" s="13" t="str">
        <f>UPPER(M17)</f>
        <v>CRITICAL</v>
      </c>
      <c r="S17" s="13" t="str">
        <f>LOWER(G17)</f>
        <v>technology</v>
      </c>
      <c r="T17" s="21" t="str">
        <f>RIGHT(A17,5)</f>
        <v>41419</v>
      </c>
      <c r="U17" s="27" t="s">
        <v>2724</v>
      </c>
      <c r="V17" s="19" t="s">
        <v>2686</v>
      </c>
      <c r="W17" s="30">
        <v>2013</v>
      </c>
      <c r="X17" t="s">
        <v>2724</v>
      </c>
      <c r="Y17" s="28">
        <v>41419</v>
      </c>
      <c r="Z17" s="28" t="str">
        <f>TRIM(A17)</f>
        <v>IN-2013-GP1474085-41419</v>
      </c>
      <c r="AA17">
        <f t="shared" si="0"/>
        <v>2013</v>
      </c>
      <c r="AB17">
        <f t="shared" si="1"/>
        <v>5</v>
      </c>
      <c r="AC17">
        <f t="shared" si="2"/>
        <v>7</v>
      </c>
      <c r="AD17">
        <f t="shared" si="3"/>
        <v>3</v>
      </c>
      <c r="AE17" s="62">
        <f>IF(I17="missing", IFERROR(INDEX([1]lookup!$I:$I, MATCH($A17, [1]lookup!$B:$B, 0)), 0), I17)</f>
        <v>1916.73</v>
      </c>
      <c r="AI17" s="50" t="s">
        <v>2725</v>
      </c>
      <c r="AJ17" s="51" t="s">
        <v>304</v>
      </c>
      <c r="AK17" s="51" t="s">
        <v>275</v>
      </c>
      <c r="AL17" s="51" t="s">
        <v>45</v>
      </c>
      <c r="AM17" s="51" t="s">
        <v>26</v>
      </c>
      <c r="AN17" s="51" t="s">
        <v>2726</v>
      </c>
      <c r="AO17" s="43"/>
    </row>
    <row r="18" spans="1:41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2684</v>
      </c>
      <c r="O18" s="8" t="str">
        <f>PROPER(D18)</f>
        <v>Aaron Smayling</v>
      </c>
      <c r="P18" s="8" t="str">
        <f>LEFT(A18,2)</f>
        <v>CA</v>
      </c>
      <c r="Q18" s="8" t="str">
        <f>MID(A18,4,4)</f>
        <v>2015</v>
      </c>
      <c r="R18" s="8" t="str">
        <f>UPPER(M18)</f>
        <v>MEDIUM</v>
      </c>
      <c r="S18" s="8" t="str">
        <f>LOWER(G18)</f>
        <v>furniture</v>
      </c>
      <c r="T18" s="18" t="str">
        <f>RIGHT(A18,5)</f>
        <v>42281</v>
      </c>
      <c r="U18" s="27" t="s">
        <v>2727</v>
      </c>
      <c r="V18" s="16" t="s">
        <v>2689</v>
      </c>
      <c r="W18" s="30">
        <v>2015</v>
      </c>
      <c r="X18" t="s">
        <v>2727</v>
      </c>
      <c r="Y18" s="28">
        <v>42281</v>
      </c>
      <c r="Z18" s="28" t="str">
        <f>TRIM(A18)</f>
        <v>CA-2015-AS10045140-42281</v>
      </c>
      <c r="AA18">
        <f t="shared" si="0"/>
        <v>2015</v>
      </c>
      <c r="AB18">
        <f t="shared" si="1"/>
        <v>10</v>
      </c>
      <c r="AC18">
        <f t="shared" si="2"/>
        <v>1</v>
      </c>
      <c r="AD18">
        <f t="shared" si="3"/>
        <v>5</v>
      </c>
      <c r="AE18" s="62">
        <f>IF(I18="missing", IFERROR(INDEX([1]lookup!$I:$I, MATCH($A18, [1]lookup!$B:$B, 0)), 0), I18)</f>
        <v>171.28800000000001</v>
      </c>
      <c r="AI18" s="50" t="s">
        <v>2728</v>
      </c>
      <c r="AJ18" s="51" t="s">
        <v>1561</v>
      </c>
      <c r="AK18" s="51" t="s">
        <v>1207</v>
      </c>
      <c r="AL18" s="51" t="s">
        <v>45</v>
      </c>
      <c r="AM18" s="51" t="s">
        <v>33</v>
      </c>
      <c r="AN18" s="51" t="s">
        <v>2729</v>
      </c>
      <c r="AO18" s="43"/>
    </row>
    <row r="19" spans="1:41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2684</v>
      </c>
      <c r="O19" s="13" t="str">
        <f>PROPER(D19)</f>
        <v>Lena Creighton</v>
      </c>
      <c r="P19" s="13" t="str">
        <f>LEFT(A19,2)</f>
        <v>IN</v>
      </c>
      <c r="Q19" s="13" t="str">
        <f>MID(A19,4,4)</f>
        <v>2014</v>
      </c>
      <c r="R19" s="13" t="str">
        <f>UPPER(M19)</f>
        <v>CRITICAL</v>
      </c>
      <c r="S19" s="13" t="str">
        <f>LOWER(G19)</f>
        <v>technology</v>
      </c>
      <c r="T19" s="21" t="str">
        <f>RIGHT(A19,5)</f>
        <v>41747</v>
      </c>
      <c r="U19" s="27" t="s">
        <v>2730</v>
      </c>
      <c r="V19" s="19" t="s">
        <v>2686</v>
      </c>
      <c r="W19" s="30">
        <v>2014</v>
      </c>
      <c r="X19" t="s">
        <v>2730</v>
      </c>
      <c r="Y19" s="28">
        <v>41747</v>
      </c>
      <c r="Z19" s="28" t="str">
        <f>TRIM(A19)</f>
        <v>IN-2014-LC168857-41747</v>
      </c>
      <c r="AA19">
        <f t="shared" si="0"/>
        <v>2014</v>
      </c>
      <c r="AB19">
        <f t="shared" si="1"/>
        <v>4</v>
      </c>
      <c r="AC19">
        <f t="shared" si="2"/>
        <v>6</v>
      </c>
      <c r="AD19">
        <f t="shared" si="3"/>
        <v>1</v>
      </c>
      <c r="AE19" s="62">
        <f>IF(I19="missing", IFERROR(INDEX([1]lookup!$I:$I, MATCH($A19, [1]lookup!$B:$B, 0)), 0), I19)</f>
        <v>1601.64</v>
      </c>
      <c r="AI19" s="50" t="s">
        <v>2731</v>
      </c>
      <c r="AJ19" s="51" t="s">
        <v>582</v>
      </c>
      <c r="AK19" s="51" t="s">
        <v>583</v>
      </c>
      <c r="AL19" s="51" t="s">
        <v>45</v>
      </c>
      <c r="AM19" s="51" t="s">
        <v>73</v>
      </c>
      <c r="AN19" s="51" t="s">
        <v>2732</v>
      </c>
      <c r="AO19" s="43"/>
    </row>
    <row r="20" spans="1:41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2684</v>
      </c>
      <c r="O20" s="8" t="str">
        <f>PROPER(D20)</f>
        <v>Aaron Smayling</v>
      </c>
      <c r="P20" s="8" t="str">
        <f>LEFT(A20,2)</f>
        <v>CA</v>
      </c>
      <c r="Q20" s="8" t="str">
        <f>MID(A20,4,4)</f>
        <v>2015</v>
      </c>
      <c r="R20" s="8" t="str">
        <f>UPPER(M20)</f>
        <v>HIGH</v>
      </c>
      <c r="S20" s="8" t="str">
        <f>LOWER(G20)</f>
        <v>office supplies</v>
      </c>
      <c r="T20" s="18" t="str">
        <f>RIGHT(A20,5)</f>
        <v>42007</v>
      </c>
      <c r="U20" s="27" t="s">
        <v>2727</v>
      </c>
      <c r="V20" s="16" t="s">
        <v>2689</v>
      </c>
      <c r="W20" s="30">
        <v>2015</v>
      </c>
      <c r="X20" t="s">
        <v>2727</v>
      </c>
      <c r="Y20" s="28">
        <v>42007</v>
      </c>
      <c r="Z20" s="28" t="str">
        <f>TRIM(A20)</f>
        <v>CA-2015-AS10045140-42007</v>
      </c>
      <c r="AA20">
        <f t="shared" si="0"/>
        <v>2015</v>
      </c>
      <c r="AB20">
        <f t="shared" si="1"/>
        <v>1</v>
      </c>
      <c r="AC20">
        <f t="shared" si="2"/>
        <v>7</v>
      </c>
      <c r="AD20">
        <f t="shared" si="3"/>
        <v>2</v>
      </c>
      <c r="AE20" s="62">
        <f>IF(I20="missing", IFERROR(INDEX([1]lookup!$I:$I, MATCH($A20, [1]lookup!$B:$B, 0)), 0), I20)</f>
        <v>15.66</v>
      </c>
      <c r="AI20" s="50" t="s">
        <v>2733</v>
      </c>
      <c r="AJ20" s="51" t="s">
        <v>841</v>
      </c>
      <c r="AK20" s="51" t="s">
        <v>515</v>
      </c>
      <c r="AL20" s="51" t="s">
        <v>45</v>
      </c>
      <c r="AM20" s="51" t="s">
        <v>33</v>
      </c>
      <c r="AN20" s="51" t="s">
        <v>2734</v>
      </c>
      <c r="AO20" s="43"/>
    </row>
    <row r="21" spans="1:41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2684</v>
      </c>
      <c r="O21" s="13" t="str">
        <f>PROPER(D21)</f>
        <v>Vivek Sundaresam</v>
      </c>
      <c r="P21" s="13" t="str">
        <f>LEFT(A21,2)</f>
        <v>IN</v>
      </c>
      <c r="Q21" s="13" t="str">
        <f>MID(A21,4,4)</f>
        <v>2014</v>
      </c>
      <c r="R21" s="13" t="str">
        <f>UPPER(M21)</f>
        <v>CRITICAL</v>
      </c>
      <c r="S21" s="13" t="str">
        <f>LOWER(G21)</f>
        <v>furniture</v>
      </c>
      <c r="T21" s="21" t="str">
        <f>RIGHT(A21,5)</f>
        <v>41790</v>
      </c>
      <c r="U21" s="27" t="s">
        <v>2735</v>
      </c>
      <c r="V21" s="19" t="s">
        <v>2686</v>
      </c>
      <c r="W21" s="30">
        <v>2014</v>
      </c>
      <c r="X21" t="s">
        <v>2735</v>
      </c>
      <c r="Y21" s="28">
        <v>41790</v>
      </c>
      <c r="Z21" s="28" t="str">
        <f>TRIM(A21)</f>
        <v>IN-2014-VS2182027-41790</v>
      </c>
      <c r="AA21">
        <f t="shared" si="0"/>
        <v>2014</v>
      </c>
      <c r="AB21">
        <f t="shared" si="1"/>
        <v>5</v>
      </c>
      <c r="AC21">
        <f t="shared" si="2"/>
        <v>7</v>
      </c>
      <c r="AD21">
        <f t="shared" si="3"/>
        <v>2</v>
      </c>
      <c r="AE21" s="62">
        <f>IF(I21="missing", IFERROR(INDEX([1]lookup!$I:$I, MATCH($A21, [1]lookup!$B:$B, 0)), 0), I21)</f>
        <v>1455.12</v>
      </c>
    </row>
    <row r="22" spans="1:41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2684</v>
      </c>
      <c r="O22" s="8" t="str">
        <f>PROPER(D22)</f>
        <v>Adam Bellavance</v>
      </c>
      <c r="P22" s="8" t="str">
        <f>LEFT(A22,2)</f>
        <v>CA</v>
      </c>
      <c r="Q22" s="8" t="str">
        <f>MID(A22,4,4)</f>
        <v>2014</v>
      </c>
      <c r="R22" s="8" t="str">
        <f>UPPER(M22)</f>
        <v>CRITICAL</v>
      </c>
      <c r="S22" s="8" t="str">
        <f>LOWER(G22)</f>
        <v>office supplies</v>
      </c>
      <c r="T22" s="18" t="str">
        <f>RIGHT(A22,5)</f>
        <v>41884</v>
      </c>
      <c r="U22" s="27" t="s">
        <v>2736</v>
      </c>
      <c r="V22" s="16" t="s">
        <v>2689</v>
      </c>
      <c r="W22" s="30">
        <v>2014</v>
      </c>
      <c r="X22" t="s">
        <v>2736</v>
      </c>
      <c r="Y22" s="28">
        <v>41884</v>
      </c>
      <c r="Z22" s="28" t="str">
        <f>TRIM(A22)</f>
        <v>CA-2014-AB10060140-41884</v>
      </c>
      <c r="AA22">
        <f t="shared" si="0"/>
        <v>2014</v>
      </c>
      <c r="AB22">
        <f t="shared" si="1"/>
        <v>9</v>
      </c>
      <c r="AC22">
        <f t="shared" si="2"/>
        <v>3</v>
      </c>
      <c r="AD22">
        <f t="shared" si="3"/>
        <v>2</v>
      </c>
      <c r="AE22" s="62">
        <f>IF(I22="missing", IFERROR(INDEX([1]lookup!$I:$I, MATCH($A22, [1]lookup!$B:$B, 0)), 0), I22)</f>
        <v>0</v>
      </c>
    </row>
    <row r="23" spans="1:41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2684</v>
      </c>
      <c r="O23" s="13" t="str">
        <f>PROPER(D23)</f>
        <v>Jason Klamczynski</v>
      </c>
      <c r="P23" s="13" t="str">
        <f>LEFT(A23,2)</f>
        <v>ID</v>
      </c>
      <c r="Q23" s="13" t="str">
        <f>MID(A23,4,4)</f>
        <v>2014</v>
      </c>
      <c r="R23" s="13" t="str">
        <f>UPPER(M23)</f>
        <v>CRITICAL</v>
      </c>
      <c r="S23" s="13" t="str">
        <f>LOWER(G23)</f>
        <v>technology</v>
      </c>
      <c r="T23" s="21" t="str">
        <f>RIGHT(A23,5)</f>
        <v>41984</v>
      </c>
      <c r="U23" s="27" t="s">
        <v>2737</v>
      </c>
      <c r="V23" s="19" t="s">
        <v>2738</v>
      </c>
      <c r="W23" s="30">
        <v>2014</v>
      </c>
      <c r="X23" t="s">
        <v>2737</v>
      </c>
      <c r="Y23" s="28">
        <v>41984</v>
      </c>
      <c r="Z23" s="28" t="str">
        <f>TRIM(A23)</f>
        <v>ID-2014-JK153257-41984</v>
      </c>
      <c r="AA23">
        <f t="shared" si="0"/>
        <v>2014</v>
      </c>
      <c r="AB23">
        <f t="shared" si="1"/>
        <v>12</v>
      </c>
      <c r="AC23">
        <f t="shared" si="2"/>
        <v>5</v>
      </c>
      <c r="AD23">
        <f t="shared" si="3"/>
        <v>3</v>
      </c>
      <c r="AE23" s="62">
        <f>IF(I23="missing", IFERROR(INDEX([1]lookup!$I:$I, MATCH($A23, [1]lookup!$B:$B, 0)), 0), I23)</f>
        <v>1695.87</v>
      </c>
    </row>
    <row r="24" spans="1:41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2684</v>
      </c>
      <c r="O24" s="8" t="str">
        <f>PROPER(D24)</f>
        <v>Don Weiss</v>
      </c>
      <c r="P24" s="8" t="str">
        <f>LEFT(A24,2)</f>
        <v>IN</v>
      </c>
      <c r="Q24" s="8" t="str">
        <f>MID(A24,4,4)</f>
        <v>2015</v>
      </c>
      <c r="R24" s="8" t="str">
        <f>UPPER(M24)</f>
        <v>CRITICAL</v>
      </c>
      <c r="S24" s="8" t="str">
        <f>LOWER(G24)</f>
        <v>technology</v>
      </c>
      <c r="T24" s="18" t="str">
        <f>RIGHT(A24,5)</f>
        <v>42357</v>
      </c>
      <c r="U24" s="27" t="s">
        <v>2739</v>
      </c>
      <c r="V24" s="16" t="s">
        <v>2686</v>
      </c>
      <c r="W24" s="30">
        <v>2015</v>
      </c>
      <c r="X24" t="s">
        <v>2739</v>
      </c>
      <c r="Y24" s="28">
        <v>42357</v>
      </c>
      <c r="Z24" s="28" t="str">
        <f>TRIM(A24)</f>
        <v>IN-2015-DW1354078-42357</v>
      </c>
      <c r="AA24">
        <f t="shared" si="0"/>
        <v>2015</v>
      </c>
      <c r="AB24">
        <f t="shared" si="1"/>
        <v>12</v>
      </c>
      <c r="AC24">
        <f t="shared" si="2"/>
        <v>7</v>
      </c>
      <c r="AD24">
        <f t="shared" si="3"/>
        <v>1</v>
      </c>
      <c r="AE24" s="62">
        <f>IF(I24="missing", IFERROR(INDEX([1]lookup!$I:$I, MATCH($A24, [1]lookup!$B:$B, 0)), 0), I24)</f>
        <v>1954.17</v>
      </c>
    </row>
    <row r="25" spans="1:41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2684</v>
      </c>
      <c r="O25" s="13" t="str">
        <f>PROPER(D25)</f>
        <v>Adam Bellavance</v>
      </c>
      <c r="P25" s="13" t="str">
        <f>LEFT(A25,2)</f>
        <v>CA</v>
      </c>
      <c r="Q25" s="13" t="str">
        <f>MID(A25,4,4)</f>
        <v>2015</v>
      </c>
      <c r="R25" s="13" t="str">
        <f>UPPER(M25)</f>
        <v>LOW</v>
      </c>
      <c r="S25" s="13" t="str">
        <f>LOWER(G25)</f>
        <v>furniture</v>
      </c>
      <c r="T25" s="21" t="str">
        <f>RIGHT(A25,5)</f>
        <v>42315</v>
      </c>
      <c r="U25" s="27" t="s">
        <v>2736</v>
      </c>
      <c r="V25" s="19" t="s">
        <v>2689</v>
      </c>
      <c r="W25" s="30">
        <v>2015</v>
      </c>
      <c r="X25" t="s">
        <v>2736</v>
      </c>
      <c r="Y25" s="28">
        <v>42315</v>
      </c>
      <c r="Z25" s="28" t="str">
        <f>TRIM(A25)</f>
        <v>CA-2015-AB10060140-42315</v>
      </c>
      <c r="AA25">
        <f t="shared" si="0"/>
        <v>2015</v>
      </c>
      <c r="AB25">
        <f t="shared" si="1"/>
        <v>11</v>
      </c>
      <c r="AC25">
        <f t="shared" si="2"/>
        <v>7</v>
      </c>
      <c r="AD25">
        <f t="shared" si="3"/>
        <v>7</v>
      </c>
      <c r="AE25" s="62">
        <f>IF(I25="missing", IFERROR(INDEX([1]lookup!$I:$I, MATCH($A25, [1]lookup!$B:$B, 0)), 0), I25)</f>
        <v>449.56799999999998</v>
      </c>
    </row>
    <row r="26" spans="1:41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2684</v>
      </c>
      <c r="O26" s="8" t="str">
        <f>PROPER(D26)</f>
        <v>Adam Bellavance</v>
      </c>
      <c r="P26" s="8" t="str">
        <f>LEFT(A26,2)</f>
        <v>US</v>
      </c>
      <c r="Q26" s="8" t="str">
        <f>MID(A26,4,4)</f>
        <v>2014</v>
      </c>
      <c r="R26" s="8" t="str">
        <f>UPPER(M26)</f>
        <v>MEDIUM</v>
      </c>
      <c r="S26" s="8" t="str">
        <f>LOWER(G26)</f>
        <v>office supplies</v>
      </c>
      <c r="T26" s="18" t="str">
        <f>RIGHT(A26,5)</f>
        <v>41712</v>
      </c>
      <c r="U26" s="27" t="s">
        <v>2736</v>
      </c>
      <c r="V26" s="16" t="s">
        <v>2694</v>
      </c>
      <c r="W26" s="30">
        <v>2014</v>
      </c>
      <c r="X26" t="s">
        <v>2736</v>
      </c>
      <c r="Y26" s="28">
        <v>41712</v>
      </c>
      <c r="Z26" s="28" t="str">
        <f>TRIM(A26)</f>
        <v>US-2014-AB10060140-41712</v>
      </c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  <c r="AE26" s="62">
        <f>IF(I26="missing", IFERROR(INDEX([1]lookup!$I:$I, MATCH($A26, [1]lookup!$B:$B, 0)), 0), I26)</f>
        <v>160.32</v>
      </c>
    </row>
    <row r="27" spans="1:41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2684</v>
      </c>
      <c r="O27" s="13" t="str">
        <f>PROPER(D27)</f>
        <v>Adam Bellavance</v>
      </c>
      <c r="P27" s="13" t="str">
        <f>LEFT(A27,2)</f>
        <v>CA</v>
      </c>
      <c r="Q27" s="13" t="str">
        <f>MID(A27,4,4)</f>
        <v>2014</v>
      </c>
      <c r="R27" s="13" t="str">
        <f>UPPER(M27)</f>
        <v>CRITICAL</v>
      </c>
      <c r="S27" s="13" t="str">
        <f>LOWER(G27)</f>
        <v>office supplies</v>
      </c>
      <c r="T27" s="21" t="str">
        <f>RIGHT(A27,5)</f>
        <v>41884</v>
      </c>
      <c r="U27" s="27" t="s">
        <v>2736</v>
      </c>
      <c r="V27" s="19" t="s">
        <v>2689</v>
      </c>
      <c r="W27" s="30">
        <v>2014</v>
      </c>
      <c r="X27" t="s">
        <v>2736</v>
      </c>
      <c r="Y27" s="28">
        <v>41884</v>
      </c>
      <c r="Z27" s="28" t="str">
        <f>TRIM(A27)</f>
        <v>CA-2014-AB10060140-41884</v>
      </c>
      <c r="AA27">
        <f t="shared" si="0"/>
        <v>2014</v>
      </c>
      <c r="AB27">
        <f t="shared" si="1"/>
        <v>9</v>
      </c>
      <c r="AC27">
        <f t="shared" si="2"/>
        <v>3</v>
      </c>
      <c r="AD27">
        <f t="shared" si="3"/>
        <v>2</v>
      </c>
      <c r="AE27" s="62">
        <f>IF(I27="missing", IFERROR(INDEX([1]lookup!$I:$I, MATCH($A27, [1]lookup!$B:$B, 0)), 0), I27)</f>
        <v>49.12</v>
      </c>
    </row>
    <row r="28" spans="1:41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2684</v>
      </c>
      <c r="O28" s="8" t="str">
        <f>PROPER(D28)</f>
        <v>Lisa Hazard</v>
      </c>
      <c r="P28" s="8" t="str">
        <f>LEFT(A28,2)</f>
        <v>IN</v>
      </c>
      <c r="Q28" s="8" t="str">
        <f>MID(A28,4,4)</f>
        <v>2013</v>
      </c>
      <c r="R28" s="8" t="str">
        <f>UPPER(M28)</f>
        <v>CRITICAL</v>
      </c>
      <c r="S28" s="8" t="str">
        <f>LOWER(G28)</f>
        <v>technology</v>
      </c>
      <c r="T28" s="18" t="str">
        <f>RIGHT(A28,5)</f>
        <v>41572</v>
      </c>
      <c r="U28" s="27" t="s">
        <v>2740</v>
      </c>
      <c r="V28" s="16" t="s">
        <v>2686</v>
      </c>
      <c r="W28" s="30">
        <v>2013</v>
      </c>
      <c r="X28" t="s">
        <v>2740</v>
      </c>
      <c r="Y28" s="28">
        <v>41572</v>
      </c>
      <c r="Z28" s="28" t="str">
        <f>TRIM(A28)</f>
        <v>IN-2013-LH1702027-41572</v>
      </c>
      <c r="AA28">
        <f t="shared" si="0"/>
        <v>2013</v>
      </c>
      <c r="AB28">
        <f t="shared" si="1"/>
        <v>10</v>
      </c>
      <c r="AC28">
        <f t="shared" si="2"/>
        <v>6</v>
      </c>
      <c r="AD28">
        <f t="shared" si="3"/>
        <v>3</v>
      </c>
      <c r="AE28" s="62">
        <f>IF(I28="missing", IFERROR(INDEX([1]lookup!$I:$I, MATCH($A28, [1]lookup!$B:$B, 0)), 0), I28)</f>
        <v>1583.7</v>
      </c>
    </row>
    <row r="29" spans="1:41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2684</v>
      </c>
      <c r="O29" s="13" t="str">
        <f>PROPER(D29)</f>
        <v>Adam Bellavance</v>
      </c>
      <c r="P29" s="13" t="str">
        <f>LEFT(A29,2)</f>
        <v>US</v>
      </c>
      <c r="Q29" s="13" t="str">
        <f>MID(A29,4,4)</f>
        <v>2014</v>
      </c>
      <c r="R29" s="13" t="str">
        <f>UPPER(M29)</f>
        <v>MEDIUM</v>
      </c>
      <c r="S29" s="13" t="str">
        <f>LOWER(G29)</f>
        <v>furniture</v>
      </c>
      <c r="T29" s="21" t="str">
        <f>RIGHT(A29,5)</f>
        <v>41712</v>
      </c>
      <c r="U29" s="27" t="s">
        <v>2736</v>
      </c>
      <c r="V29" s="19" t="s">
        <v>2694</v>
      </c>
      <c r="W29" s="30">
        <v>2014</v>
      </c>
      <c r="X29" t="s">
        <v>2736</v>
      </c>
      <c r="Y29" s="28">
        <v>41712</v>
      </c>
      <c r="Z29" s="28" t="str">
        <f>TRIM(A29)</f>
        <v>US-2014-AB10060140-41712</v>
      </c>
      <c r="AA29">
        <f t="shared" si="0"/>
        <v>2014</v>
      </c>
      <c r="AB29">
        <f t="shared" si="1"/>
        <v>3</v>
      </c>
      <c r="AC29">
        <f t="shared" si="2"/>
        <v>6</v>
      </c>
      <c r="AD29">
        <f t="shared" si="3"/>
        <v>5</v>
      </c>
      <c r="AE29" s="62">
        <f>IF(I29="missing", IFERROR(INDEX([1]lookup!$I:$I, MATCH($A29, [1]lookup!$B:$B, 0)), 0), I29)</f>
        <v>127.88</v>
      </c>
    </row>
    <row r="30" spans="1:41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2684</v>
      </c>
      <c r="O30" s="8" t="str">
        <f>PROPER(D30)</f>
        <v>Roland Fjeld</v>
      </c>
      <c r="P30" s="8" t="str">
        <f>LEFT(A30,2)</f>
        <v>IN</v>
      </c>
      <c r="Q30" s="8" t="str">
        <f>MID(A30,4,4)</f>
        <v>2014</v>
      </c>
      <c r="R30" s="8" t="str">
        <f>UPPER(M30)</f>
        <v>HIGH</v>
      </c>
      <c r="S30" s="8" t="str">
        <f>LOWER(G30)</f>
        <v>technology</v>
      </c>
      <c r="T30" s="18" t="str">
        <f>RIGHT(A30,5)</f>
        <v>41709</v>
      </c>
      <c r="U30" s="27" t="s">
        <v>2741</v>
      </c>
      <c r="V30" s="16" t="s">
        <v>2686</v>
      </c>
      <c r="W30" s="30">
        <v>2014</v>
      </c>
      <c r="X30" t="s">
        <v>2741</v>
      </c>
      <c r="Y30" s="28">
        <v>41709</v>
      </c>
      <c r="Z30" s="28" t="str">
        <f>TRIM(A30)</f>
        <v>IN-2014-RF197357-41709</v>
      </c>
      <c r="AA30">
        <f t="shared" si="0"/>
        <v>2014</v>
      </c>
      <c r="AB30">
        <f t="shared" si="1"/>
        <v>3</v>
      </c>
      <c r="AC30">
        <f t="shared" si="2"/>
        <v>3</v>
      </c>
      <c r="AD30">
        <f t="shared" si="3"/>
        <v>4</v>
      </c>
      <c r="AE30" s="62">
        <f>IF(I30="missing", IFERROR(INDEX([1]lookup!$I:$I, MATCH($A30, [1]lookup!$B:$B, 0)), 0), I30)</f>
        <v>2892.10499999999</v>
      </c>
    </row>
    <row r="31" spans="1:41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2684</v>
      </c>
      <c r="O31" s="13" t="str">
        <f>PROPER(D31)</f>
        <v>John Huston</v>
      </c>
      <c r="P31" s="13" t="str">
        <f>LEFT(A31,2)</f>
        <v>ES</v>
      </c>
      <c r="Q31" s="13" t="str">
        <f>MID(A31,4,4)</f>
        <v>2013</v>
      </c>
      <c r="R31" s="13" t="str">
        <f>UPPER(M31)</f>
        <v>HIGH#</v>
      </c>
      <c r="S31" s="13" t="str">
        <f>LOWER(G31)</f>
        <v>technology</v>
      </c>
      <c r="T31" s="21" t="str">
        <f>RIGHT(A31,5)</f>
        <v>1306#</v>
      </c>
      <c r="U31" s="27" t="s">
        <v>2742</v>
      </c>
      <c r="V31" s="19" t="s">
        <v>2743</v>
      </c>
      <c r="W31" s="30">
        <v>2013</v>
      </c>
      <c r="X31" t="s">
        <v>2742</v>
      </c>
      <c r="Y31" s="28" t="s">
        <v>2744</v>
      </c>
      <c r="Z31" s="28" t="str">
        <f>TRIM(A31)</f>
        <v>ES-2013-JH1582048-41306#</v>
      </c>
      <c r="AA31">
        <f t="shared" si="0"/>
        <v>2013</v>
      </c>
      <c r="AB31">
        <f t="shared" si="1"/>
        <v>2</v>
      </c>
      <c r="AC31">
        <f t="shared" si="2"/>
        <v>6</v>
      </c>
      <c r="AD31">
        <f t="shared" si="3"/>
        <v>3</v>
      </c>
      <c r="AE31" s="62">
        <f>IF(I31="missing", IFERROR(INDEX([1]lookup!$I:$I, MATCH($A31, [1]lookup!$B:$B, 0)), 0), I31)</f>
        <v>3263.4</v>
      </c>
    </row>
    <row r="32" spans="1:41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2684</v>
      </c>
      <c r="O32" s="8" t="str">
        <f>PROPER(D32)</f>
        <v>Adam Bellavance</v>
      </c>
      <c r="P32" s="8" t="str">
        <f>LEFT(A32,2)</f>
        <v xml:space="preserve"> U</v>
      </c>
      <c r="Q32" s="8" t="str">
        <f>MID(A32,4,4)</f>
        <v>-201</v>
      </c>
      <c r="R32" s="8" t="str">
        <f>UPPER(M32)</f>
        <v>MEDIUM</v>
      </c>
      <c r="S32" s="8" t="str">
        <f>LOWER(G32)</f>
        <v>office supplies</v>
      </c>
      <c r="T32" s="18" t="str">
        <f>RIGHT(A32,5)</f>
        <v xml:space="preserve">1712 </v>
      </c>
      <c r="U32" s="27" t="s">
        <v>2736</v>
      </c>
      <c r="V32" s="16" t="s">
        <v>2745</v>
      </c>
      <c r="W32" s="30">
        <v>2014</v>
      </c>
      <c r="X32" t="s">
        <v>2736</v>
      </c>
      <c r="Y32" s="28">
        <v>41712</v>
      </c>
      <c r="Z32" s="28" t="str">
        <f>TRIM(A32)</f>
        <v>US-2014-AB10060140-41712</v>
      </c>
      <c r="AA32">
        <f t="shared" si="0"/>
        <v>2014</v>
      </c>
      <c r="AB32">
        <f t="shared" si="1"/>
        <v>3</v>
      </c>
      <c r="AC32">
        <f t="shared" si="2"/>
        <v>6</v>
      </c>
      <c r="AD32">
        <f t="shared" si="3"/>
        <v>5</v>
      </c>
      <c r="AE32" s="62">
        <f>IF(I32="missing", IFERROR(INDEX([1]lookup!$I:$I, MATCH($A32, [1]lookup!$B:$B, 0)), 0), I32)</f>
        <v>46</v>
      </c>
    </row>
    <row r="33" spans="1:31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2684</v>
      </c>
      <c r="O33" s="13" t="str">
        <f>PROPER(D33)</f>
        <v>Adam Bellavance</v>
      </c>
      <c r="P33" s="13" t="str">
        <f>LEFT(A33,2)</f>
        <v>CA</v>
      </c>
      <c r="Q33" s="13" t="str">
        <f>MID(A33,4,4)</f>
        <v>2014</v>
      </c>
      <c r="R33" s="13" t="str">
        <f>UPPER(M33)</f>
        <v>MEDIUM</v>
      </c>
      <c r="S33" s="13" t="str">
        <f>LOWER(G33)</f>
        <v>office supplies</v>
      </c>
      <c r="T33" s="21" t="str">
        <f>RIGHT(A33,5)</f>
        <v>41881</v>
      </c>
      <c r="U33" s="27" t="s">
        <v>2736</v>
      </c>
      <c r="V33" s="19" t="s">
        <v>2689</v>
      </c>
      <c r="W33" s="30">
        <v>2014</v>
      </c>
      <c r="X33" t="s">
        <v>2736</v>
      </c>
      <c r="Y33" s="28">
        <v>41881</v>
      </c>
      <c r="Z33" s="28" t="str">
        <f>TRIM(A33)</f>
        <v>CA-2014-AB10060140-41881</v>
      </c>
      <c r="AA33">
        <f t="shared" si="0"/>
        <v>2014</v>
      </c>
      <c r="AB33">
        <f t="shared" si="1"/>
        <v>8</v>
      </c>
      <c r="AC33">
        <f t="shared" si="2"/>
        <v>7</v>
      </c>
      <c r="AD33">
        <f t="shared" si="3"/>
        <v>5</v>
      </c>
      <c r="AE33" s="62">
        <f>IF(I33="missing", IFERROR(INDEX([1]lookup!$I:$I, MATCH($A33, [1]lookup!$B:$B, 0)), 0), I33)</f>
        <v>27.93</v>
      </c>
    </row>
    <row r="34" spans="1:31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2684</v>
      </c>
      <c r="O34" s="8" t="str">
        <f>PROPER(D34)</f>
        <v>Bill Eplett</v>
      </c>
      <c r="P34" s="8" t="str">
        <f>LEFT(A34,2)</f>
        <v>MX</v>
      </c>
      <c r="Q34" s="8" t="str">
        <f>MID(A34,4,4)</f>
        <v>2015</v>
      </c>
      <c r="R34" s="8" t="str">
        <f>UPPER(M34)</f>
        <v>HIGH</v>
      </c>
      <c r="S34" s="8" t="str">
        <f>LOWER(G34)</f>
        <v>office supplies</v>
      </c>
      <c r="T34" s="18" t="str">
        <f>RIGHT(A34,5)</f>
        <v>42082</v>
      </c>
      <c r="U34" s="27" t="s">
        <v>2746</v>
      </c>
      <c r="V34" s="16" t="s">
        <v>2718</v>
      </c>
      <c r="W34" s="30">
        <v>2015</v>
      </c>
      <c r="X34" t="s">
        <v>2746</v>
      </c>
      <c r="Y34" s="28">
        <v>42082</v>
      </c>
      <c r="Z34" s="28" t="str">
        <f>TRIM(A34)</f>
        <v>MX-2015-BE1133582-42082</v>
      </c>
      <c r="AA34">
        <f t="shared" si="0"/>
        <v>2015</v>
      </c>
      <c r="AB34">
        <f t="shared" si="1"/>
        <v>3</v>
      </c>
      <c r="AC34">
        <f t="shared" si="2"/>
        <v>5</v>
      </c>
      <c r="AD34">
        <f t="shared" si="3"/>
        <v>2</v>
      </c>
      <c r="AE34" s="62">
        <f>IF(I34="missing", IFERROR(INDEX([1]lookup!$I:$I, MATCH($A34, [1]lookup!$B:$B, 0)), 0), I34)</f>
        <v>1888.7</v>
      </c>
    </row>
    <row r="35" spans="1:31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2684</v>
      </c>
      <c r="O35" s="13" t="str">
        <f>PROPER(D35)</f>
        <v>Adam Bellavance</v>
      </c>
      <c r="P35" s="13" t="str">
        <f>LEFT(A35,2)</f>
        <v>CA</v>
      </c>
      <c r="Q35" s="13" t="str">
        <f>MID(A35,4,4)</f>
        <v>2013</v>
      </c>
      <c r="R35" s="13" t="str">
        <f>UPPER(M35)</f>
        <v>MEDIUM</v>
      </c>
      <c r="S35" s="13" t="str">
        <f>LOWER(G35)</f>
        <v>office supplies</v>
      </c>
      <c r="T35" s="21" t="str">
        <f>RIGHT(A35,5)</f>
        <v>41535</v>
      </c>
      <c r="U35" s="27" t="s">
        <v>2736</v>
      </c>
      <c r="V35" s="19" t="s">
        <v>2689</v>
      </c>
      <c r="W35" s="30">
        <v>2013</v>
      </c>
      <c r="X35" t="s">
        <v>2736</v>
      </c>
      <c r="Y35" s="28">
        <v>41535</v>
      </c>
      <c r="Z35" s="28" t="str">
        <f>TRIM(A35)</f>
        <v>CA-2013-AB10060140-41535</v>
      </c>
      <c r="AA35">
        <f t="shared" si="0"/>
        <v>2013</v>
      </c>
      <c r="AB35">
        <f t="shared" si="1"/>
        <v>9</v>
      </c>
      <c r="AC35">
        <f t="shared" si="2"/>
        <v>4</v>
      </c>
      <c r="AD35">
        <f t="shared" si="3"/>
        <v>6</v>
      </c>
      <c r="AE35" s="62">
        <f>IF(I35="missing", IFERROR(INDEX([1]lookup!$I:$I, MATCH($A35, [1]lookup!$B:$B, 0)), 0), I35)</f>
        <v>18.54</v>
      </c>
    </row>
    <row r="36" spans="1:31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2684</v>
      </c>
      <c r="O36" s="8" t="str">
        <f>PROPER(D36)</f>
        <v>Rob Lucas</v>
      </c>
      <c r="P36" s="8" t="str">
        <f>LEFT(A36,2)</f>
        <v>ID</v>
      </c>
      <c r="Q36" s="8" t="str">
        <f>MID(A36,4,4)</f>
        <v>2014</v>
      </c>
      <c r="R36" s="8" t="str">
        <f>UPPER(M36)</f>
        <v>MEDIUM</v>
      </c>
      <c r="S36" s="8" t="str">
        <f>LOWER(G36)</f>
        <v>furniture</v>
      </c>
      <c r="T36" s="18" t="str">
        <f>RIGHT(A36,5)</f>
        <v>41641</v>
      </c>
      <c r="U36" s="27" t="s">
        <v>2747</v>
      </c>
      <c r="V36" s="16" t="s">
        <v>2738</v>
      </c>
      <c r="W36" s="30">
        <v>2014</v>
      </c>
      <c r="X36" t="s">
        <v>2747</v>
      </c>
      <c r="Y36" s="28">
        <v>41641</v>
      </c>
      <c r="Z36" s="28" t="str">
        <f>TRIM(A36)</f>
        <v>ID-2014-RL196157-41641</v>
      </c>
      <c r="AA36">
        <f t="shared" si="0"/>
        <v>2014</v>
      </c>
      <c r="AB36">
        <f t="shared" si="1"/>
        <v>1</v>
      </c>
      <c r="AC36">
        <f t="shared" si="2"/>
        <v>5</v>
      </c>
      <c r="AD36">
        <f t="shared" si="3"/>
        <v>1</v>
      </c>
      <c r="AE36" s="62">
        <f>IF(I36="missing", IFERROR(INDEX([1]lookup!$I:$I, MATCH($A36, [1]lookup!$B:$B, 0)), 0), I36)</f>
        <v>1637.01</v>
      </c>
    </row>
    <row r="37" spans="1:31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2684</v>
      </c>
      <c r="O37" s="13" t="str">
        <f>PROPER(D37)</f>
        <v>Adam Bellavance</v>
      </c>
      <c r="P37" s="13" t="str">
        <f>LEFT(A37,2)</f>
        <v>CA</v>
      </c>
      <c r="Q37" s="13" t="str">
        <f>MID(A37,4,4)</f>
        <v>2014</v>
      </c>
      <c r="R37" s="13" t="str">
        <f>UPPER(M37)</f>
        <v>CRITICAL</v>
      </c>
      <c r="S37" s="13" t="str">
        <f>LOWER(G37)</f>
        <v>office supplies</v>
      </c>
      <c r="T37" s="21" t="str">
        <f>RIGHT(A37,5)</f>
        <v>41884</v>
      </c>
      <c r="U37" s="27" t="s">
        <v>2736</v>
      </c>
      <c r="V37" s="19" t="s">
        <v>2689</v>
      </c>
      <c r="W37" s="30">
        <v>2014</v>
      </c>
      <c r="X37" t="s">
        <v>2736</v>
      </c>
      <c r="Y37" s="28">
        <v>41884</v>
      </c>
      <c r="Z37" s="28" t="str">
        <f>TRIM(A37)</f>
        <v>CA-2014-AB10060140-41884</v>
      </c>
      <c r="AA37">
        <f t="shared" si="0"/>
        <v>2014</v>
      </c>
      <c r="AB37">
        <f t="shared" si="1"/>
        <v>9</v>
      </c>
      <c r="AC37">
        <f t="shared" si="2"/>
        <v>3</v>
      </c>
      <c r="AD37">
        <f t="shared" si="3"/>
        <v>2</v>
      </c>
      <c r="AE37" s="62">
        <f>IF(I37="missing", IFERROR(INDEX([1]lookup!$I:$I, MATCH($A37, [1]lookup!$B:$B, 0)), 0), I37)</f>
        <v>3.048</v>
      </c>
    </row>
    <row r="38" spans="1:31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2684</v>
      </c>
      <c r="O38" s="8" t="str">
        <f>PROPER(D38)</f>
        <v>Bart Watters</v>
      </c>
      <c r="P38" s="8" t="str">
        <f>LEFT(A38,2)</f>
        <v>IN</v>
      </c>
      <c r="Q38" s="8" t="str">
        <f>MID(A38,4,4)</f>
        <v>2012</v>
      </c>
      <c r="R38" s="8" t="str">
        <f>UPPER(M38)</f>
        <v>HIGH</v>
      </c>
      <c r="S38" s="8" t="str">
        <f>LOWER(G38)</f>
        <v>furniture</v>
      </c>
      <c r="T38" s="18" t="str">
        <f>RIGHT(A38,5)</f>
        <v>41076</v>
      </c>
      <c r="U38" s="27" t="s">
        <v>2748</v>
      </c>
      <c r="V38" s="16" t="s">
        <v>2686</v>
      </c>
      <c r="W38" s="30">
        <v>2012</v>
      </c>
      <c r="X38" t="s">
        <v>2748</v>
      </c>
      <c r="Y38" s="28">
        <v>41076</v>
      </c>
      <c r="Z38" s="28" t="str">
        <f>TRIM(A38)</f>
        <v>IN-2012-BW1111027-41076</v>
      </c>
      <c r="AA38">
        <f t="shared" si="0"/>
        <v>2012</v>
      </c>
      <c r="AB38">
        <f t="shared" si="1"/>
        <v>6</v>
      </c>
      <c r="AC38">
        <f t="shared" si="2"/>
        <v>7</v>
      </c>
      <c r="AD38">
        <f t="shared" si="3"/>
        <v>2</v>
      </c>
      <c r="AE38" s="62">
        <f>IF(I38="missing", IFERROR(INDEX([1]lookup!$I:$I, MATCH($A38, [1]lookup!$B:$B, 0)), 0), I38)</f>
        <v>3238.3049999999998</v>
      </c>
    </row>
    <row r="39" spans="1:31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2684</v>
      </c>
      <c r="O39" s="13" t="str">
        <f>PROPER(D39)</f>
        <v>Jill Matthias</v>
      </c>
      <c r="P39" s="13" t="str">
        <f>LEFT(A39,2)</f>
        <v>MX</v>
      </c>
      <c r="Q39" s="13" t="str">
        <f>MID(A39,4,4)</f>
        <v>2012</v>
      </c>
      <c r="R39" s="13" t="str">
        <f>UPPER(M39)</f>
        <v>HIGH</v>
      </c>
      <c r="S39" s="13" t="str">
        <f>LOWER(G39)</f>
        <v>technology</v>
      </c>
      <c r="T39" s="21" t="str">
        <f>RIGHT(A39,5)</f>
        <v>41045</v>
      </c>
      <c r="U39" s="27" t="s">
        <v>2749</v>
      </c>
      <c r="V39" s="19" t="s">
        <v>2718</v>
      </c>
      <c r="W39" s="30">
        <v>2012</v>
      </c>
      <c r="X39" t="s">
        <v>2749</v>
      </c>
      <c r="Y39" s="28">
        <v>41045</v>
      </c>
      <c r="Z39" s="28" t="str">
        <f>TRIM(A39)</f>
        <v>MX-2012-JM1558082-41045</v>
      </c>
      <c r="AA39">
        <f t="shared" si="0"/>
        <v>2012</v>
      </c>
      <c r="AB39">
        <f t="shared" si="1"/>
        <v>5</v>
      </c>
      <c r="AC39">
        <f t="shared" si="2"/>
        <v>4</v>
      </c>
      <c r="AD39">
        <f t="shared" si="3"/>
        <v>3</v>
      </c>
      <c r="AE39" s="62">
        <f>IF(I39="missing", IFERROR(INDEX([1]lookup!$I:$I, MATCH($A39, [1]lookup!$B:$B, 0)), 0), I39)</f>
        <v>2124.5</v>
      </c>
    </row>
    <row r="40" spans="1:31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2684</v>
      </c>
      <c r="O40" s="8" t="str">
        <f>PROPER(D40)</f>
        <v>Adam Bellavance</v>
      </c>
      <c r="P40" s="8" t="str">
        <f>LEFT(A40,2)</f>
        <v>CA</v>
      </c>
      <c r="Q40" s="8" t="str">
        <f>MID(A40,4,4)</f>
        <v>2015</v>
      </c>
      <c r="R40" s="8" t="str">
        <f>UPPER(M40)</f>
        <v>HIGH</v>
      </c>
      <c r="S40" s="8" t="str">
        <f>LOWER(G40)</f>
        <v>office supplies</v>
      </c>
      <c r="T40" s="18" t="str">
        <f>RIGHT(A40,5)</f>
        <v>42314</v>
      </c>
      <c r="U40" s="27" t="s">
        <v>2736</v>
      </c>
      <c r="V40" s="16" t="s">
        <v>2689</v>
      </c>
      <c r="W40" s="30">
        <v>2015</v>
      </c>
      <c r="X40" t="s">
        <v>2736</v>
      </c>
      <c r="Y40" s="28">
        <v>42314</v>
      </c>
      <c r="Z40" s="28" t="str">
        <f>TRIM(A40)</f>
        <v>CA-2015-AB10060140-42314</v>
      </c>
      <c r="AA40">
        <f t="shared" si="0"/>
        <v>2015</v>
      </c>
      <c r="AB40">
        <f t="shared" si="1"/>
        <v>11</v>
      </c>
      <c r="AC40">
        <f t="shared" si="2"/>
        <v>6</v>
      </c>
      <c r="AD40">
        <f t="shared" si="3"/>
        <v>2</v>
      </c>
      <c r="AE40" s="62">
        <f>IF(I40="missing", IFERROR(INDEX([1]lookup!$I:$I, MATCH($A40, [1]lookup!$B:$B, 0)), 0), I40)</f>
        <v>4.41</v>
      </c>
    </row>
    <row r="41" spans="1:31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2684</v>
      </c>
      <c r="O41" s="13" t="str">
        <f>PROPER(D41)</f>
        <v>Adam Hart</v>
      </c>
      <c r="P41" s="13" t="str">
        <f>LEFT(A41,2)</f>
        <v>CA</v>
      </c>
      <c r="Q41" s="13" t="str">
        <f>MID(A41,4,4)</f>
        <v>2015</v>
      </c>
      <c r="R41" s="13" t="str">
        <f>UPPER(M41)</f>
        <v>CRITICAL</v>
      </c>
      <c r="S41" s="13" t="str">
        <f>LOWER(G41)</f>
        <v>furniture</v>
      </c>
      <c r="T41" s="21" t="str">
        <f>RIGHT(A41,5)</f>
        <v>42301</v>
      </c>
      <c r="U41" s="27" t="s">
        <v>2750</v>
      </c>
      <c r="V41" s="19" t="s">
        <v>2689</v>
      </c>
      <c r="W41" s="30">
        <v>2015</v>
      </c>
      <c r="X41" t="s">
        <v>2750</v>
      </c>
      <c r="Y41" s="28">
        <v>42301</v>
      </c>
      <c r="Z41" s="28" t="str">
        <f>TRIM(A41)</f>
        <v>CA-2015-AH10075140-42301</v>
      </c>
      <c r="AA41">
        <f t="shared" si="0"/>
        <v>2015</v>
      </c>
      <c r="AB41">
        <f t="shared" si="1"/>
        <v>10</v>
      </c>
      <c r="AC41">
        <f t="shared" si="2"/>
        <v>7</v>
      </c>
      <c r="AD41">
        <f t="shared" si="3"/>
        <v>1</v>
      </c>
      <c r="AE41" s="62">
        <f>IF(I41="missing", IFERROR(INDEX([1]lookup!$I:$I, MATCH($A41, [1]lookup!$B:$B, 0)), 0), I41)</f>
        <v>637.89599999999996</v>
      </c>
    </row>
    <row r="42" spans="1:31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2684</v>
      </c>
      <c r="O42" s="8" t="str">
        <f>PROPER(D42)</f>
        <v>Alex Grayson</v>
      </c>
      <c r="P42" s="8" t="str">
        <f>LEFT(A42,2)</f>
        <v>IN</v>
      </c>
      <c r="Q42" s="8" t="str">
        <f>MID(A42,4,4)</f>
        <v>2015</v>
      </c>
      <c r="R42" s="8" t="str">
        <f>UPPER(M42)</f>
        <v>CRITICAL</v>
      </c>
      <c r="S42" s="8" t="str">
        <f>LOWER(G42)</f>
        <v>office supplies</v>
      </c>
      <c r="T42" s="18" t="str">
        <f>RIGHT(A42,5)</f>
        <v>42197</v>
      </c>
      <c r="U42" s="27" t="s">
        <v>2751</v>
      </c>
      <c r="V42" s="16" t="s">
        <v>2686</v>
      </c>
      <c r="W42" s="30">
        <v>2015</v>
      </c>
      <c r="X42" t="s">
        <v>2751</v>
      </c>
      <c r="Y42" s="28">
        <v>42197</v>
      </c>
      <c r="Z42" s="28" t="str">
        <f>TRIM(A42)</f>
        <v>IN-2015-AG1033059-42197</v>
      </c>
      <c r="AA42">
        <f t="shared" si="0"/>
        <v>2015</v>
      </c>
      <c r="AB42">
        <f t="shared" si="1"/>
        <v>7</v>
      </c>
      <c r="AC42">
        <f t="shared" si="2"/>
        <v>1</v>
      </c>
      <c r="AD42">
        <f t="shared" si="3"/>
        <v>2</v>
      </c>
      <c r="AE42" s="62">
        <f>IF(I42="missing", IFERROR(INDEX([1]lookup!$I:$I, MATCH($A42, [1]lookup!$B:$B, 0)), 0), I42)</f>
        <v>1722.2831999999901</v>
      </c>
    </row>
    <row r="43" spans="1:31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2684</v>
      </c>
      <c r="O43" s="13" t="str">
        <f>PROPER(D43)</f>
        <v>Daam Hart</v>
      </c>
      <c r="P43" s="13" t="str">
        <f>LEFT(A43,2)</f>
        <v>CA</v>
      </c>
      <c r="Q43" s="13" t="str">
        <f>MID(A43,4,4)</f>
        <v>2015</v>
      </c>
      <c r="R43" s="13" t="str">
        <f>UPPER(M43)</f>
        <v>CRITICAL</v>
      </c>
      <c r="S43" s="13" t="str">
        <f>LOWER(G43)</f>
        <v>furniture</v>
      </c>
      <c r="T43" s="21" t="str">
        <f>RIGHT(A43,5)</f>
        <v>42301</v>
      </c>
      <c r="U43" s="27" t="s">
        <v>2750</v>
      </c>
      <c r="V43" s="19" t="s">
        <v>2689</v>
      </c>
      <c r="W43" s="30">
        <v>2015</v>
      </c>
      <c r="X43" t="s">
        <v>2750</v>
      </c>
      <c r="Y43" s="28">
        <v>42301</v>
      </c>
      <c r="Z43" s="28" t="str">
        <f>TRIM(A43)</f>
        <v>CA-2015-AH10075140-42301</v>
      </c>
      <c r="AA43">
        <f t="shared" si="0"/>
        <v>0</v>
      </c>
      <c r="AB43">
        <f t="shared" si="1"/>
        <v>0</v>
      </c>
      <c r="AC43">
        <f t="shared" si="2"/>
        <v>0</v>
      </c>
      <c r="AD43">
        <f t="shared" si="3"/>
        <v>0</v>
      </c>
      <c r="AE43" s="62">
        <f>IF(I43="missing", IFERROR(INDEX([1]lookup!$I:$I, MATCH($A43, [1]lookup!$B:$B, 0)), 0), I43)</f>
        <v>210.68</v>
      </c>
    </row>
    <row r="44" spans="1:31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2684</v>
      </c>
      <c r="O44" s="8" t="str">
        <f>PROPER(D44)</f>
        <v>Neil Franzã¶Sisch</v>
      </c>
      <c r="P44" s="8" t="str">
        <f>LEFT(A44,2)</f>
        <v>ES</v>
      </c>
      <c r="Q44" s="8" t="str">
        <f>MID(A44,4,4)</f>
        <v>2015</v>
      </c>
      <c r="R44" s="8" t="str">
        <f>UPPER(M44)</f>
        <v>CRITICAL</v>
      </c>
      <c r="S44" s="8" t="str">
        <f>LOWER(G44)</f>
        <v>office supplies</v>
      </c>
      <c r="T44" s="18" t="str">
        <f>RIGHT(A44,5)</f>
        <v>42248</v>
      </c>
      <c r="U44" s="27" t="s">
        <v>2752</v>
      </c>
      <c r="V44" s="16" t="s">
        <v>2743</v>
      </c>
      <c r="W44" s="30">
        <v>2015</v>
      </c>
      <c r="X44" t="s">
        <v>2752</v>
      </c>
      <c r="Y44" s="28">
        <v>42248</v>
      </c>
      <c r="Z44" s="28" t="str">
        <f>TRIM(A44)</f>
        <v>ES-2015-NF1847548-42248</v>
      </c>
      <c r="AA44">
        <f t="shared" si="0"/>
        <v>2015</v>
      </c>
      <c r="AB44">
        <f t="shared" si="1"/>
        <v>9</v>
      </c>
      <c r="AC44">
        <f t="shared" si="2"/>
        <v>3</v>
      </c>
      <c r="AD44">
        <f t="shared" si="3"/>
        <v>0</v>
      </c>
      <c r="AE44" s="62">
        <f>IF(I44="missing", IFERROR(INDEX([1]lookup!$I:$I, MATCH($A44, [1]lookup!$B:$B, 0)), 0), I44)</f>
        <v>1007.424</v>
      </c>
    </row>
    <row r="45" spans="1:31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2684</v>
      </c>
      <c r="O45" s="13" t="str">
        <f>PROPER(D45)</f>
        <v>Adam Hart</v>
      </c>
      <c r="P45" s="13" t="str">
        <f>LEFT(A45,2)</f>
        <v>CA</v>
      </c>
      <c r="Q45" s="13" t="str">
        <f>MID(A45,4,4)</f>
        <v>2015</v>
      </c>
      <c r="R45" s="13" t="str">
        <f>UPPER(M45)</f>
        <v>CRITICAL</v>
      </c>
      <c r="S45" s="13" t="str">
        <f>LOWER(G45)</f>
        <v>furniture</v>
      </c>
      <c r="T45" s="21" t="str">
        <f>RIGHT(A45,5)</f>
        <v>42301</v>
      </c>
      <c r="U45" s="27" t="s">
        <v>2750</v>
      </c>
      <c r="V45" s="19" t="s">
        <v>2689</v>
      </c>
      <c r="W45" s="30">
        <v>2015</v>
      </c>
      <c r="X45" t="s">
        <v>2750</v>
      </c>
      <c r="Y45" s="28">
        <v>42301</v>
      </c>
      <c r="Z45" s="28" t="str">
        <f>TRIM(A45)</f>
        <v>CA-2015-AH10075140-42301</v>
      </c>
      <c r="AA45">
        <f t="shared" si="0"/>
        <v>2015</v>
      </c>
      <c r="AB45">
        <f t="shared" si="1"/>
        <v>10</v>
      </c>
      <c r="AC45">
        <f t="shared" si="2"/>
        <v>7</v>
      </c>
      <c r="AD45">
        <f t="shared" si="3"/>
        <v>1</v>
      </c>
      <c r="AE45" s="62">
        <f>IF(I45="missing", IFERROR(INDEX([1]lookup!$I:$I, MATCH($A45, [1]lookup!$B:$B, 0)), 0), I45)</f>
        <v>240.744</v>
      </c>
    </row>
    <row r="46" spans="1:31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2684</v>
      </c>
      <c r="O46" s="8" t="str">
        <f>PROPER(D46)</f>
        <v>Nathan Amutz</v>
      </c>
      <c r="P46" s="8" t="str">
        <f>LEFT(A46,2)</f>
        <v>IN</v>
      </c>
      <c r="Q46" s="8" t="str">
        <f>MID(A46,4,4)</f>
        <v>2014</v>
      </c>
      <c r="R46" s="8" t="str">
        <f>UPPER(M46)</f>
        <v xml:space="preserve"> CRITICAL </v>
      </c>
      <c r="S46" s="8" t="str">
        <f>LOWER(G46)</f>
        <v>technology</v>
      </c>
      <c r="T46" s="18" t="str">
        <f>RIGHT(A46,5)</f>
        <v>41800</v>
      </c>
      <c r="U46" s="27" t="s">
        <v>2753</v>
      </c>
      <c r="V46" s="16" t="s">
        <v>2686</v>
      </c>
      <c r="W46" s="30">
        <v>2014</v>
      </c>
      <c r="X46" t="s">
        <v>2753</v>
      </c>
      <c r="Y46" s="28">
        <v>41800</v>
      </c>
      <c r="Z46" s="28" t="str">
        <f>TRIM(A46)</f>
        <v>IN-2014-NM1844527-41800</v>
      </c>
      <c r="AA46">
        <f t="shared" si="0"/>
        <v>2014</v>
      </c>
      <c r="AB46">
        <f t="shared" si="1"/>
        <v>6</v>
      </c>
      <c r="AC46">
        <f t="shared" si="2"/>
        <v>3</v>
      </c>
      <c r="AD46">
        <f t="shared" si="3"/>
        <v>0</v>
      </c>
      <c r="AE46" s="62">
        <f>IF(I46="missing", IFERROR(INDEX([1]lookup!$I:$I, MATCH($A46, [1]lookup!$B:$B, 0)), 0), I46)</f>
        <v>957.599999999999</v>
      </c>
    </row>
    <row r="47" spans="1:31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2684</v>
      </c>
      <c r="O47" s="13" t="str">
        <f>PROPER(D47)</f>
        <v>Adam Hart</v>
      </c>
      <c r="P47" s="13" t="str">
        <f>LEFT(A47,2)</f>
        <v>CA</v>
      </c>
      <c r="Q47" s="13" t="str">
        <f>MID(A47,4,4)</f>
        <v>2014</v>
      </c>
      <c r="R47" s="13" t="str">
        <f>UPPER(M47)</f>
        <v>CRITICAL</v>
      </c>
      <c r="S47" s="13" t="str">
        <f>LOWER(G47)</f>
        <v>office supplies</v>
      </c>
      <c r="T47" s="21" t="str">
        <f>RIGHT(A47,5)</f>
        <v>41817</v>
      </c>
      <c r="U47" s="27" t="s">
        <v>2750</v>
      </c>
      <c r="V47" s="19" t="s">
        <v>2689</v>
      </c>
      <c r="W47" s="30">
        <v>2014</v>
      </c>
      <c r="X47" t="s">
        <v>2750</v>
      </c>
      <c r="Y47" s="28">
        <v>41817</v>
      </c>
      <c r="Z47" s="28" t="str">
        <f>TRIM(A47)</f>
        <v>CA-2014-AH10075140-41817</v>
      </c>
      <c r="AA47">
        <f t="shared" si="0"/>
        <v>2014</v>
      </c>
      <c r="AB47">
        <f t="shared" si="1"/>
        <v>6</v>
      </c>
      <c r="AC47">
        <f t="shared" si="2"/>
        <v>6</v>
      </c>
      <c r="AD47">
        <f t="shared" si="3"/>
        <v>0</v>
      </c>
      <c r="AE47" s="62">
        <f>IF(I47="missing", IFERROR(INDEX([1]lookup!$I:$I, MATCH($A47, [1]lookup!$B:$B, 0)), 0), I47)</f>
        <v>0</v>
      </c>
    </row>
    <row r="48" spans="1:31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2684</v>
      </c>
      <c r="O48" s="8" t="str">
        <f>PROPER(D48)</f>
        <v>Ken Black</v>
      </c>
      <c r="P48" s="8" t="str">
        <f>LEFT(A48,2)</f>
        <v>IN</v>
      </c>
      <c r="Q48" s="8" t="str">
        <f>MID(A48,4,4)</f>
        <v>2013</v>
      </c>
      <c r="R48" s="8" t="str">
        <f>UPPER(M48)</f>
        <v>HIGH</v>
      </c>
      <c r="S48" s="8" t="str">
        <f>LOWER(G48)</f>
        <v>technology</v>
      </c>
      <c r="T48" s="18" t="str">
        <f>RIGHT(A48,5)</f>
        <v>1488#</v>
      </c>
      <c r="U48" s="27" t="s">
        <v>2754</v>
      </c>
      <c r="V48" s="16" t="s">
        <v>2686</v>
      </c>
      <c r="W48" s="30">
        <v>2013</v>
      </c>
      <c r="X48" t="s">
        <v>2754</v>
      </c>
      <c r="Y48" s="28" t="s">
        <v>2755</v>
      </c>
      <c r="Z48" s="28" t="str">
        <f>TRIM(A48)</f>
        <v>IN-2013-KB1658527-41488#</v>
      </c>
      <c r="AA48">
        <f t="shared" si="0"/>
        <v>2013</v>
      </c>
      <c r="AB48">
        <f t="shared" si="1"/>
        <v>8</v>
      </c>
      <c r="AC48">
        <f t="shared" si="2"/>
        <v>6</v>
      </c>
      <c r="AD48">
        <f t="shared" si="3"/>
        <v>32873</v>
      </c>
      <c r="AE48" s="62">
        <f>IF(I48="missing", IFERROR(INDEX([1]lookup!$I:$I, MATCH($A48, [1]lookup!$B:$B, 0)), 0), I48)</f>
        <v>1521</v>
      </c>
    </row>
    <row r="49" spans="1:31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2684</v>
      </c>
      <c r="O49" s="13" t="str">
        <f>PROPER(D49)</f>
        <v>Logan Haushalter</v>
      </c>
      <c r="P49" s="13" t="str">
        <f>LEFT(A49,2)</f>
        <v>ES</v>
      </c>
      <c r="Q49" s="13" t="str">
        <f>MID(A49,4,4)</f>
        <v>2013</v>
      </c>
      <c r="R49" s="13" t="str">
        <f>UPPER(M49)</f>
        <v>HIGH</v>
      </c>
      <c r="S49" s="13" t="str">
        <f>LOWER(G49)</f>
        <v>office supplies</v>
      </c>
      <c r="T49" s="21" t="str">
        <f>RIGHT(A49,5)</f>
        <v>41444</v>
      </c>
      <c r="U49" s="27" t="s">
        <v>2756</v>
      </c>
      <c r="V49" s="19" t="s">
        <v>2743</v>
      </c>
      <c r="W49" s="30">
        <v>2013</v>
      </c>
      <c r="X49" t="s">
        <v>2756</v>
      </c>
      <c r="Y49" s="28">
        <v>41444</v>
      </c>
      <c r="Z49" s="28" t="str">
        <f>TRIM(A49)</f>
        <v>ES-2013-LH1715545-41444</v>
      </c>
      <c r="AA49">
        <f t="shared" si="0"/>
        <v>2013</v>
      </c>
      <c r="AB49">
        <f t="shared" si="1"/>
        <v>6</v>
      </c>
      <c r="AC49">
        <f t="shared" si="2"/>
        <v>4</v>
      </c>
      <c r="AD49">
        <f t="shared" si="3"/>
        <v>0</v>
      </c>
      <c r="AE49" s="62">
        <f>IF(I49="missing", IFERROR(INDEX([1]lookup!$I:$I, MATCH($A49, [1]lookup!$B:$B, 0)), 0), I49)</f>
        <v>2443.9050000000002</v>
      </c>
    </row>
    <row r="50" spans="1:31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2684</v>
      </c>
      <c r="O50" s="8" t="str">
        <f>PROPER(D50)</f>
        <v>Adam Hart</v>
      </c>
      <c r="P50" s="8" t="str">
        <f>LEFT(A50,2)</f>
        <v>CA</v>
      </c>
      <c r="Q50" s="8" t="str">
        <f>MID(A50,4,4)</f>
        <v>2015</v>
      </c>
      <c r="R50" s="8" t="str">
        <f>UPPER(M50)</f>
        <v>HIGH</v>
      </c>
      <c r="S50" s="8" t="str">
        <f>LOWER(G50)</f>
        <v>office supplies</v>
      </c>
      <c r="T50" s="18" t="str">
        <f>RIGHT(A50,5)</f>
        <v>42101</v>
      </c>
      <c r="U50" s="27" t="s">
        <v>2757</v>
      </c>
      <c r="V50" s="16" t="s">
        <v>2689</v>
      </c>
      <c r="W50" s="30">
        <v>2015</v>
      </c>
      <c r="X50" t="s">
        <v>2757</v>
      </c>
      <c r="Y50" s="28">
        <v>42101</v>
      </c>
      <c r="Z50" s="28" t="str">
        <f>TRIM(A50)</f>
        <v>CA-2015-AH1007523-42101</v>
      </c>
      <c r="AA50">
        <f t="shared" si="0"/>
        <v>2015</v>
      </c>
      <c r="AB50">
        <f t="shared" si="1"/>
        <v>4</v>
      </c>
      <c r="AC50">
        <f t="shared" si="2"/>
        <v>3</v>
      </c>
      <c r="AD50">
        <f t="shared" si="3"/>
        <v>5</v>
      </c>
      <c r="AE50" s="62">
        <f>IF(I50="missing", IFERROR(INDEX([1]lookup!$I:$I, MATCH($A50, [1]lookup!$B:$B, 0)), 0), I50)</f>
        <v>137.31</v>
      </c>
    </row>
    <row r="51" spans="1:31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2684</v>
      </c>
      <c r="O51" s="13" t="str">
        <f>PROPER(D51)</f>
        <v>Sean Christensen</v>
      </c>
      <c r="P51" s="13" t="str">
        <f>LEFT(A51,2)</f>
        <v>ES</v>
      </c>
      <c r="Q51" s="13" t="str">
        <f>MID(A51,4,4)</f>
        <v>2014</v>
      </c>
      <c r="R51" s="13" t="str">
        <f>UPPER(M51)</f>
        <v>CRITICAL</v>
      </c>
      <c r="S51" s="13" t="str">
        <f>LOWER(G51)</f>
        <v>furniture</v>
      </c>
      <c r="T51" s="21" t="str">
        <f>RIGHT(A51,5)</f>
        <v>41909</v>
      </c>
      <c r="U51" s="27" t="s">
        <v>2758</v>
      </c>
      <c r="V51" s="19" t="s">
        <v>2743</v>
      </c>
      <c r="W51" s="30">
        <v>2014</v>
      </c>
      <c r="X51" t="s">
        <v>2758</v>
      </c>
      <c r="Y51" s="28">
        <v>41909</v>
      </c>
      <c r="Z51" s="28" t="str">
        <f>TRIM(A51)</f>
        <v>ES-2014-SC20305120-41909</v>
      </c>
      <c r="AA51">
        <f t="shared" si="0"/>
        <v>2014</v>
      </c>
      <c r="AB51">
        <f t="shared" si="1"/>
        <v>9</v>
      </c>
      <c r="AC51">
        <f t="shared" si="2"/>
        <v>7</v>
      </c>
      <c r="AD51">
        <f t="shared" si="3"/>
        <v>0</v>
      </c>
      <c r="AE51" s="62">
        <f>IF(I51="missing", IFERROR(INDEX([1]lookup!$I:$I, MATCH($A51, [1]lookup!$B:$B, 0)), 0), I51)</f>
        <v>1091.25</v>
      </c>
    </row>
    <row r="52" spans="1:31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2684</v>
      </c>
      <c r="O52" s="8" t="str">
        <f>PROPER(D52)</f>
        <v>Bruce Geld</v>
      </c>
      <c r="P52" s="8" t="str">
        <f>LEFT(A52,2)</f>
        <v>IN</v>
      </c>
      <c r="Q52" s="8" t="str">
        <f>MID(A52,4,4)</f>
        <v>2012</v>
      </c>
      <c r="R52" s="8" t="str">
        <f>UPPER(M52)</f>
        <v>HIGH</v>
      </c>
      <c r="S52" s="8" t="str">
        <f>LOWER(G52)</f>
        <v>technology</v>
      </c>
      <c r="T52" s="18" t="str">
        <f>RIGHT(A52,5)</f>
        <v>41108</v>
      </c>
      <c r="U52" s="27" t="s">
        <v>2759</v>
      </c>
      <c r="V52" s="16" t="s">
        <v>2686</v>
      </c>
      <c r="W52" s="30">
        <v>2012</v>
      </c>
      <c r="X52" t="s">
        <v>2759</v>
      </c>
      <c r="Y52" s="28">
        <v>41108</v>
      </c>
      <c r="Z52" s="28" t="str">
        <f>TRIM(A52)</f>
        <v>IN-2012-BG1174078-41108</v>
      </c>
      <c r="AA52">
        <f t="shared" si="0"/>
        <v>2012</v>
      </c>
      <c r="AB52">
        <f t="shared" si="1"/>
        <v>7</v>
      </c>
      <c r="AC52">
        <f t="shared" si="2"/>
        <v>4</v>
      </c>
      <c r="AD52">
        <f t="shared" si="3"/>
        <v>1</v>
      </c>
      <c r="AE52" s="62">
        <f>IF(I52="missing", IFERROR(INDEX([1]lookup!$I:$I, MATCH($A52, [1]lookup!$B:$B, 0)), 0), I52)</f>
        <v>2555.64</v>
      </c>
    </row>
    <row r="53" spans="1:31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2684</v>
      </c>
      <c r="O53" s="13" t="str">
        <f>PROPER(D53)</f>
        <v>Anne Pryor</v>
      </c>
      <c r="P53" s="13" t="str">
        <f>LEFT(A53,2)</f>
        <v>IN</v>
      </c>
      <c r="Q53" s="13" t="str">
        <f>MID(A53,4,4)</f>
        <v>2015</v>
      </c>
      <c r="R53" s="13" t="str">
        <f>UPPER(M53)</f>
        <v>HIGH</v>
      </c>
      <c r="S53" s="13" t="str">
        <f>LOWER(G53)</f>
        <v>technology</v>
      </c>
      <c r="T53" s="21" t="str">
        <f>RIGHT(A53,5)</f>
        <v>42284</v>
      </c>
      <c r="U53" s="27" t="s">
        <v>2760</v>
      </c>
      <c r="V53" s="19" t="s">
        <v>2686</v>
      </c>
      <c r="W53" s="30">
        <v>2015</v>
      </c>
      <c r="X53" t="s">
        <v>2760</v>
      </c>
      <c r="Y53" s="28">
        <v>42284</v>
      </c>
      <c r="Z53" s="28" t="str">
        <f>TRIM(A53)</f>
        <v>IN-2015-AP1072058-42284</v>
      </c>
      <c r="AA53">
        <f t="shared" si="0"/>
        <v>2015</v>
      </c>
      <c r="AB53">
        <f t="shared" si="1"/>
        <v>10</v>
      </c>
      <c r="AC53">
        <f t="shared" si="2"/>
        <v>4</v>
      </c>
      <c r="AD53">
        <f t="shared" si="3"/>
        <v>4</v>
      </c>
      <c r="AE53" s="62">
        <f>IF(I53="missing", IFERROR(INDEX([1]lookup!$I:$I, MATCH($A53, [1]lookup!$B:$B, 0)), 0), I53)</f>
        <v>2582.16</v>
      </c>
    </row>
    <row r="54" spans="1:31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2684</v>
      </c>
      <c r="O54" s="8" t="str">
        <f>PROPER(D54)</f>
        <v>Tamara Willingham</v>
      </c>
      <c r="P54" s="8" t="str">
        <f>LEFT(A54,2)</f>
        <v>IT</v>
      </c>
      <c r="Q54" s="8" t="str">
        <f>MID(A54,4,4)</f>
        <v>2012</v>
      </c>
      <c r="R54" s="8" t="str">
        <f>UPPER(M54)</f>
        <v>CRITICAL</v>
      </c>
      <c r="S54" s="8" t="str">
        <f>LOWER(G54)</f>
        <v>furniture#</v>
      </c>
      <c r="T54" s="18" t="str">
        <f>RIGHT(A54,5)</f>
        <v>41172</v>
      </c>
      <c r="U54" s="27" t="s">
        <v>2761</v>
      </c>
      <c r="V54" s="16" t="s">
        <v>2710</v>
      </c>
      <c r="W54" s="30">
        <v>2012</v>
      </c>
      <c r="X54" t="s">
        <v>2761</v>
      </c>
      <c r="Y54" s="28">
        <v>41172</v>
      </c>
      <c r="Z54" s="28" t="str">
        <f>TRIM(A54)</f>
        <v>IT-2012-TW2102545-41172</v>
      </c>
      <c r="AA54">
        <f t="shared" si="0"/>
        <v>2012</v>
      </c>
      <c r="AB54">
        <f t="shared" si="1"/>
        <v>9</v>
      </c>
      <c r="AC54">
        <f t="shared" si="2"/>
        <v>5</v>
      </c>
      <c r="AD54">
        <f t="shared" si="3"/>
        <v>2</v>
      </c>
      <c r="AE54" s="62">
        <f>IF(I54="missing", IFERROR(INDEX([1]lookup!$I:$I, MATCH($A54, [1]lookup!$B:$B, 0)), 0), I54)</f>
        <v>1181.547</v>
      </c>
    </row>
    <row r="55" spans="1:31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2684</v>
      </c>
      <c r="O55" s="13" t="str">
        <f>PROPER(D55)</f>
        <v>Randy Bradley</v>
      </c>
      <c r="P55" s="13" t="str">
        <f>LEFT(A55,2)</f>
        <v>IT</v>
      </c>
      <c r="Q55" s="13" t="str">
        <f>MID(A55,4,4)</f>
        <v>2012</v>
      </c>
      <c r="R55" s="13" t="str">
        <f>UPPER(M55)</f>
        <v>HIGH</v>
      </c>
      <c r="S55" s="13" t="str">
        <f>LOWER(G55)</f>
        <v>furniture</v>
      </c>
      <c r="T55" s="21" t="str">
        <f>RIGHT(A55,5)</f>
        <v>41080</v>
      </c>
      <c r="U55" s="27" t="s">
        <v>2762</v>
      </c>
      <c r="V55" s="19" t="s">
        <v>2710</v>
      </c>
      <c r="W55" s="30">
        <v>2012</v>
      </c>
      <c r="X55" t="s">
        <v>2762</v>
      </c>
      <c r="Y55" s="28">
        <v>41080</v>
      </c>
      <c r="Z55" s="28" t="str">
        <f>TRIM(A55)</f>
        <v>IT-2012-RB1933045-41080</v>
      </c>
      <c r="AA55">
        <f t="shared" si="0"/>
        <v>2012</v>
      </c>
      <c r="AB55">
        <f t="shared" si="1"/>
        <v>6</v>
      </c>
      <c r="AC55">
        <f t="shared" si="2"/>
        <v>4</v>
      </c>
      <c r="AD55">
        <f t="shared" si="3"/>
        <v>3</v>
      </c>
      <c r="AE55" s="62">
        <f>IF(I55="missing", IFERROR(INDEX([1]lookup!$I:$I, MATCH($A55, [1]lookup!$B:$B, 0)), 0), I55)</f>
        <v>1696.24799999999</v>
      </c>
    </row>
    <row r="56" spans="1:31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2684</v>
      </c>
      <c r="O56" s="8" t="str">
        <f>PROPER(D56)</f>
        <v>Adam Hart</v>
      </c>
      <c r="P56" s="8" t="str">
        <f>LEFT(A56,2)</f>
        <v>CA</v>
      </c>
      <c r="Q56" s="8" t="str">
        <f>MID(A56,4,4)</f>
        <v>2015</v>
      </c>
      <c r="R56" s="8" t="str">
        <f>UPPER(M56)</f>
        <v>MEDIUM</v>
      </c>
      <c r="S56" s="8" t="str">
        <f>LOWER(G56)</f>
        <v>office_supplies</v>
      </c>
      <c r="T56" s="18" t="str">
        <f>RIGHT(A56,5)</f>
        <v>42273</v>
      </c>
      <c r="U56" s="27" t="s">
        <v>2750</v>
      </c>
      <c r="V56" s="16" t="s">
        <v>2689</v>
      </c>
      <c r="W56" s="30">
        <v>2015</v>
      </c>
      <c r="X56" t="s">
        <v>2750</v>
      </c>
      <c r="Y56" s="28">
        <v>42273</v>
      </c>
      <c r="Z56" s="28" t="str">
        <f>TRIM(A56)</f>
        <v>CA-2015-AH10075140-42273</v>
      </c>
      <c r="AA56">
        <f t="shared" si="0"/>
        <v>2015</v>
      </c>
      <c r="AB56">
        <f t="shared" si="1"/>
        <v>9</v>
      </c>
      <c r="AC56">
        <f t="shared" si="2"/>
        <v>7</v>
      </c>
      <c r="AD56">
        <f t="shared" si="3"/>
        <v>3</v>
      </c>
      <c r="AE56" s="62">
        <f>IF(I56="missing", IFERROR(INDEX([1]lookup!$I:$I, MATCH($A56, [1]lookup!$B:$B, 0)), 0), I56)</f>
        <v>190.89599999999999</v>
      </c>
    </row>
    <row r="57" spans="1:31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2684</v>
      </c>
      <c r="O57" s="13" t="str">
        <f>PROPER(D57)</f>
        <v>Adam Bellavance</v>
      </c>
      <c r="P57" s="13" t="str">
        <f>LEFT(A57,2)</f>
        <v>SF</v>
      </c>
      <c r="Q57" s="13" t="str">
        <f>MID(A57,4,4)</f>
        <v>2015</v>
      </c>
      <c r="R57" s="13" t="str">
        <f>UPPER(M57)</f>
        <v>CRITICAL</v>
      </c>
      <c r="S57" s="13" t="str">
        <f>LOWER(G57)</f>
        <v>office supplies</v>
      </c>
      <c r="T57" s="21" t="str">
        <f>RIGHT(A57,5)</f>
        <v>42334</v>
      </c>
      <c r="U57" s="27" t="s">
        <v>2763</v>
      </c>
      <c r="V57" s="19" t="s">
        <v>2764</v>
      </c>
      <c r="W57" s="30">
        <v>2015</v>
      </c>
      <c r="X57" t="s">
        <v>2763</v>
      </c>
      <c r="Y57" s="28">
        <v>42334</v>
      </c>
      <c r="Z57" s="28" t="str">
        <f>TRIM(A57)</f>
        <v>SF-2015-AB10060117-42334</v>
      </c>
      <c r="AA57">
        <f t="shared" si="0"/>
        <v>2015</v>
      </c>
      <c r="AB57">
        <f t="shared" si="1"/>
        <v>11</v>
      </c>
      <c r="AC57">
        <f t="shared" si="2"/>
        <v>5</v>
      </c>
      <c r="AD57">
        <f t="shared" si="3"/>
        <v>3</v>
      </c>
      <c r="AE57" s="62">
        <f>IF(I57="missing", IFERROR(INDEX([1]lookup!$I:$I, MATCH($A57, [1]lookup!$B:$B, 0)), 0), I57)</f>
        <v>1237.56</v>
      </c>
    </row>
    <row r="58" spans="1:31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2684</v>
      </c>
      <c r="O58" s="8" t="str">
        <f>PROPER(D58)</f>
        <v>Adam Hart</v>
      </c>
      <c r="P58" s="8" t="str">
        <f>LEFT(A58,2)</f>
        <v>CA</v>
      </c>
      <c r="Q58" s="8" t="str">
        <f>MID(A58,4,4)</f>
        <v>2014</v>
      </c>
      <c r="R58" s="8" t="str">
        <f>UPPER(M58)</f>
        <v>CRITICAL</v>
      </c>
      <c r="S58" s="8" t="str">
        <f>LOWER(G58)</f>
        <v>office supplies</v>
      </c>
      <c r="T58" s="18" t="str">
        <f>RIGHT(A58,5)</f>
        <v>41817</v>
      </c>
      <c r="U58" s="27" t="s">
        <v>2750</v>
      </c>
      <c r="V58" s="16" t="s">
        <v>2689</v>
      </c>
      <c r="W58" s="30">
        <v>2014</v>
      </c>
      <c r="X58" t="s">
        <v>2750</v>
      </c>
      <c r="Y58" s="28">
        <v>41817</v>
      </c>
      <c r="Z58" s="28" t="str">
        <f>TRIM(A58)</f>
        <v>CA-2014-AH10075140-41817</v>
      </c>
      <c r="AA58">
        <f t="shared" si="0"/>
        <v>2014</v>
      </c>
      <c r="AB58">
        <f t="shared" si="1"/>
        <v>6</v>
      </c>
      <c r="AC58">
        <f t="shared" si="2"/>
        <v>6</v>
      </c>
      <c r="AD58">
        <f t="shared" si="3"/>
        <v>0</v>
      </c>
      <c r="AE58" s="62">
        <f>IF(I58="missing", IFERROR(INDEX([1]lookup!$I:$I, MATCH($A58, [1]lookup!$B:$B, 0)), 0), I58)</f>
        <v>17.899999999999999</v>
      </c>
    </row>
    <row r="59" spans="1:31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2684</v>
      </c>
      <c r="O59" s="13" t="str">
        <f>PROPER(D59)</f>
        <v>John Lee</v>
      </c>
      <c r="P59" s="13" t="str">
        <f>LEFT(A59,2)</f>
        <v>AJ</v>
      </c>
      <c r="Q59" s="13" t="str">
        <f>MID(A59,4,4)</f>
        <v>2014</v>
      </c>
      <c r="R59" s="13" t="str">
        <f>UPPER(M59)</f>
        <v>HIGH</v>
      </c>
      <c r="S59" s="13" t="str">
        <f>LOWER(G59)</f>
        <v>furniture</v>
      </c>
      <c r="T59" s="21" t="str">
        <f>RIGHT(A59,5)</f>
        <v>41662</v>
      </c>
      <c r="U59" s="27" t="s">
        <v>2765</v>
      </c>
      <c r="V59" s="19" t="s">
        <v>2766</v>
      </c>
      <c r="W59" s="30">
        <v>2014</v>
      </c>
      <c r="X59" t="s">
        <v>2765</v>
      </c>
      <c r="Y59" s="28">
        <v>41662</v>
      </c>
      <c r="Z59" s="28" t="str">
        <f>TRIM(A59)</f>
        <v>AJ-2014-JL58359-41662</v>
      </c>
      <c r="AA59">
        <f t="shared" si="0"/>
        <v>2014</v>
      </c>
      <c r="AB59">
        <f t="shared" si="1"/>
        <v>1</v>
      </c>
      <c r="AC59">
        <f t="shared" si="2"/>
        <v>5</v>
      </c>
      <c r="AD59">
        <f t="shared" si="3"/>
        <v>4</v>
      </c>
      <c r="AE59" s="62">
        <f>IF(I59="missing", IFERROR(INDEX([1]lookup!$I:$I, MATCH($A59, [1]lookup!$B:$B, 0)), 0), I59)</f>
        <v>2058</v>
      </c>
    </row>
    <row r="60" spans="1:31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2684</v>
      </c>
      <c r="O60" s="8" t="str">
        <f>PROPER(D60)</f>
        <v>Corinna Mitchell</v>
      </c>
      <c r="P60" s="8" t="str">
        <f>LEFT(A60,2)</f>
        <v>IT</v>
      </c>
      <c r="Q60" s="8" t="str">
        <f>MID(A60,4,4)</f>
        <v>2012</v>
      </c>
      <c r="R60" s="8" t="str">
        <f>UPPER(M60)</f>
        <v>CRITICAL</v>
      </c>
      <c r="S60" s="8" t="str">
        <f>LOWER(G60)</f>
        <v>technology</v>
      </c>
      <c r="T60" s="18" t="str">
        <f>RIGHT(A60,5)</f>
        <v>41218</v>
      </c>
      <c r="U60" s="27" t="s">
        <v>2767</v>
      </c>
      <c r="V60" s="16" t="s">
        <v>2710</v>
      </c>
      <c r="W60" s="30">
        <v>2012</v>
      </c>
      <c r="X60" t="s">
        <v>2767</v>
      </c>
      <c r="Y60" s="28">
        <v>41218</v>
      </c>
      <c r="Z60" s="28" t="str">
        <f>TRIM(A60)</f>
        <v>IT-2012-CM1265545-41218</v>
      </c>
      <c r="AA60">
        <f t="shared" si="0"/>
        <v>2012</v>
      </c>
      <c r="AB60">
        <f t="shared" si="1"/>
        <v>11</v>
      </c>
      <c r="AC60">
        <f t="shared" si="2"/>
        <v>2</v>
      </c>
      <c r="AD60">
        <f t="shared" si="3"/>
        <v>2</v>
      </c>
      <c r="AE60" s="62">
        <f>IF(I60="missing", IFERROR(INDEX([1]lookup!$I:$I, MATCH($A60, [1]lookup!$B:$B, 0)), 0), I60)</f>
        <v>1320.0074999999999</v>
      </c>
    </row>
    <row r="61" spans="1:31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2684</v>
      </c>
      <c r="O61" s="13" t="str">
        <f>PROPER(D61)</f>
        <v>Adam Hart</v>
      </c>
      <c r="P61" s="13" t="str">
        <f>LEFT(A61,2)</f>
        <v>CA</v>
      </c>
      <c r="Q61" s="13" t="str">
        <f>MID(A61,4,4)</f>
        <v>2015</v>
      </c>
      <c r="R61" s="13" t="str">
        <f>UPPER(M61)</f>
        <v>MEDIUM</v>
      </c>
      <c r="S61" s="13" t="str">
        <f>LOWER(G61)</f>
        <v>office supplies</v>
      </c>
      <c r="T61" s="21" t="str">
        <f>RIGHT(A61,5)</f>
        <v>42335</v>
      </c>
      <c r="U61" s="27" t="s">
        <v>2750</v>
      </c>
      <c r="V61" s="19" t="s">
        <v>2689</v>
      </c>
      <c r="W61" s="30">
        <v>2015</v>
      </c>
      <c r="X61" t="s">
        <v>2750</v>
      </c>
      <c r="Y61" s="28">
        <v>42335</v>
      </c>
      <c r="Z61" s="28" t="str">
        <f>TRIM(A61)</f>
        <v>CA-2015-AH10075140-42335</v>
      </c>
      <c r="AA61">
        <f t="shared" si="0"/>
        <v>2015</v>
      </c>
      <c r="AB61">
        <f t="shared" si="1"/>
        <v>11</v>
      </c>
      <c r="AC61">
        <f t="shared" si="2"/>
        <v>6</v>
      </c>
      <c r="AD61">
        <f t="shared" si="3"/>
        <v>-319</v>
      </c>
      <c r="AE61" s="62">
        <f>IF(I61="missing", IFERROR(INDEX([1]lookup!$I:$I, MATCH($A61, [1]lookup!$B:$B, 0)), 0), I61)</f>
        <v>12.84</v>
      </c>
    </row>
    <row r="62" spans="1:31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2684</v>
      </c>
      <c r="O62" s="8" t="str">
        <f>PROPER(D62)</f>
        <v>Adam Hart</v>
      </c>
      <c r="P62" s="8" t="str">
        <f>LEFT(A62,2)</f>
        <v>CA</v>
      </c>
      <c r="Q62" s="8" t="str">
        <f>MID(A62,4,4)</f>
        <v>2015</v>
      </c>
      <c r="R62" s="8" t="str">
        <f>UPPER(M62)</f>
        <v>CRITICAL</v>
      </c>
      <c r="S62" s="8" t="str">
        <f>LOWER(G62)</f>
        <v>office supplies</v>
      </c>
      <c r="T62" s="18" t="str">
        <f>RIGHT(A62,5)</f>
        <v>42301</v>
      </c>
      <c r="U62" s="27" t="s">
        <v>2750</v>
      </c>
      <c r="V62" s="16" t="s">
        <v>2689</v>
      </c>
      <c r="W62" s="30">
        <v>2015</v>
      </c>
      <c r="X62" t="s">
        <v>2750</v>
      </c>
      <c r="Y62" s="28">
        <v>42301</v>
      </c>
      <c r="Z62" s="28" t="str">
        <f>TRIM(A62)</f>
        <v>CA-2015-AH10075140-42301</v>
      </c>
      <c r="AA62">
        <f t="shared" si="0"/>
        <v>2015</v>
      </c>
      <c r="AB62">
        <f t="shared" si="1"/>
        <v>10</v>
      </c>
      <c r="AC62">
        <f t="shared" si="2"/>
        <v>7</v>
      </c>
      <c r="AD62">
        <f t="shared" si="3"/>
        <v>1</v>
      </c>
      <c r="AE62" s="62">
        <f>IF(I62="missing", IFERROR(INDEX([1]lookup!$I:$I, MATCH($A62, [1]lookup!$B:$B, 0)), 0), I62)</f>
        <v>2.2200000000000002</v>
      </c>
    </row>
    <row r="63" spans="1:31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2684</v>
      </c>
      <c r="O63" s="13" t="str">
        <f>PROPER(D63)</f>
        <v>James Lanier</v>
      </c>
      <c r="P63" s="13" t="str">
        <f>LEFT(A63,2)</f>
        <v>MX</v>
      </c>
      <c r="Q63" s="13" t="str">
        <f>MID(A63,4,4)</f>
        <v>2014</v>
      </c>
      <c r="R63" s="13" t="str">
        <f>UPPER(M63)</f>
        <v>CRITICAL</v>
      </c>
      <c r="S63" s="13" t="str">
        <f>LOWER(G63)</f>
        <v>furniture</v>
      </c>
      <c r="T63" s="21" t="str">
        <f>RIGHT(A63,5)</f>
        <v>41903</v>
      </c>
      <c r="U63" s="27" t="s">
        <v>2768</v>
      </c>
      <c r="V63" s="19" t="s">
        <v>2718</v>
      </c>
      <c r="W63" s="30">
        <v>2014</v>
      </c>
      <c r="X63" t="s">
        <v>2768</v>
      </c>
      <c r="Y63" s="28">
        <v>41903</v>
      </c>
      <c r="Z63" s="28" t="str">
        <f>TRIM(A63)</f>
        <v>MX-2014-JL1517518-41903</v>
      </c>
      <c r="AA63">
        <f t="shared" si="0"/>
        <v>2014</v>
      </c>
      <c r="AB63">
        <f t="shared" si="1"/>
        <v>9</v>
      </c>
      <c r="AC63">
        <f t="shared" si="2"/>
        <v>1</v>
      </c>
      <c r="AD63">
        <f t="shared" si="3"/>
        <v>3</v>
      </c>
      <c r="AE63" s="62">
        <f>IF(I63="missing", IFERROR(INDEX([1]lookup!$I:$I, MATCH($A63, [1]lookup!$B:$B, 0)), 0), I63)</f>
        <v>1236.47999999999</v>
      </c>
    </row>
    <row r="64" spans="1:31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2684</v>
      </c>
      <c r="O64" s="8" t="str">
        <f>PROPER(D64)</f>
        <v>Adam Hart</v>
      </c>
      <c r="P64" s="8" t="str">
        <f>LEFT(A64,2)</f>
        <v>CA</v>
      </c>
      <c r="Q64" s="8" t="str">
        <f>MID(A64,4,4)</f>
        <v>2012</v>
      </c>
      <c r="R64" s="8" t="str">
        <f>UPPER(M64)</f>
        <v>MEDIUM</v>
      </c>
      <c r="S64" s="8" t="str">
        <f>LOWER(G64)</f>
        <v>office supplies</v>
      </c>
      <c r="T64" s="18" t="str">
        <f>RIGHT(A64,5)</f>
        <v>41228</v>
      </c>
      <c r="U64" s="27" t="s">
        <v>2750</v>
      </c>
      <c r="V64" s="16" t="s">
        <v>2689</v>
      </c>
      <c r="W64" s="30">
        <v>2012</v>
      </c>
      <c r="X64" t="s">
        <v>2750</v>
      </c>
      <c r="Y64" s="28">
        <v>41228</v>
      </c>
      <c r="Z64" s="28" t="str">
        <f>TRIM(A64)</f>
        <v>CA-2012-AH10075140-41228</v>
      </c>
      <c r="AA64">
        <f t="shared" si="0"/>
        <v>0</v>
      </c>
      <c r="AB64">
        <f t="shared" si="1"/>
        <v>0</v>
      </c>
      <c r="AC64">
        <f t="shared" si="2"/>
        <v>0</v>
      </c>
      <c r="AD64">
        <f t="shared" si="3"/>
        <v>0</v>
      </c>
      <c r="AE64" s="62">
        <f>IF(I64="missing", IFERROR(INDEX([1]lookup!$I:$I, MATCH($A64, [1]lookup!$B:$B, 0)), 0), I64)</f>
        <v>5.22</v>
      </c>
    </row>
    <row r="65" spans="1:31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2684</v>
      </c>
      <c r="O65" s="13" t="str">
        <f>PROPER(D65)</f>
        <v>Adam Hart</v>
      </c>
      <c r="P65" s="13" t="str">
        <f>LEFT(A65,2)</f>
        <v>CA</v>
      </c>
      <c r="Q65" s="13" t="str">
        <f>MID(A65,4,4)</f>
        <v>2015</v>
      </c>
      <c r="R65" s="13" t="str">
        <f>UPPER(M65)</f>
        <v>MEDIUM</v>
      </c>
      <c r="S65" s="13" t="str">
        <f>LOWER(G65)</f>
        <v>office supplies</v>
      </c>
      <c r="T65" s="21" t="str">
        <f>RIGHT(A65,5)</f>
        <v>42273</v>
      </c>
      <c r="U65" s="27" t="s">
        <v>2750</v>
      </c>
      <c r="V65" s="19" t="s">
        <v>2689</v>
      </c>
      <c r="W65" s="30">
        <v>2015</v>
      </c>
      <c r="X65" t="s">
        <v>2750</v>
      </c>
      <c r="Y65" s="28">
        <v>42273</v>
      </c>
      <c r="Z65" s="28" t="str">
        <f>TRIM(A65)</f>
        <v>CA-2015-AH10075140-42273</v>
      </c>
      <c r="AA65">
        <f t="shared" si="0"/>
        <v>2015</v>
      </c>
      <c r="AB65">
        <f t="shared" si="1"/>
        <v>9</v>
      </c>
      <c r="AC65">
        <f t="shared" si="2"/>
        <v>7</v>
      </c>
      <c r="AD65">
        <f t="shared" si="3"/>
        <v>3</v>
      </c>
      <c r="AE65" s="62">
        <f>IF(I65="missing", IFERROR(INDEX([1]lookup!$I:$I, MATCH($A65, [1]lookup!$B:$B, 0)), 0), I65)</f>
        <v>8.5950000000000006</v>
      </c>
    </row>
    <row r="66" spans="1:31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2684</v>
      </c>
      <c r="O66" s="8" t="str">
        <f>PROPER(D66)</f>
        <v>Chuck Sachs</v>
      </c>
      <c r="P66" s="8" t="str">
        <f>LEFT(A66,2)</f>
        <v>MX</v>
      </c>
      <c r="Q66" s="8" t="str">
        <f>MID(A66,4,4)</f>
        <v>2015</v>
      </c>
      <c r="R66" s="8" t="str">
        <f>UPPER(M66)</f>
        <v>CRITICAL</v>
      </c>
      <c r="S66" s="8" t="str">
        <f>LOWER(G66)</f>
        <v>technology</v>
      </c>
      <c r="T66" s="18" t="str">
        <f>RIGHT(A66,5)</f>
        <v>42259</v>
      </c>
      <c r="U66" s="27" t="s">
        <v>2769</v>
      </c>
      <c r="V66" s="16" t="s">
        <v>2718</v>
      </c>
      <c r="W66" s="30">
        <v>2015</v>
      </c>
      <c r="X66" t="s">
        <v>2769</v>
      </c>
      <c r="Y66" s="28">
        <v>42259</v>
      </c>
      <c r="Z66" s="28" t="str">
        <f>TRIM(A66)</f>
        <v>MX-2015-CS1246093-42259</v>
      </c>
      <c r="AA66">
        <f t="shared" ref="AA66:AA129" si="4">IFERROR(YEAR(B66), 0)</f>
        <v>2015</v>
      </c>
      <c r="AB66">
        <f t="shared" ref="AB66:AB129" si="5">IFERROR(MONTH(B66), 0)</f>
        <v>9</v>
      </c>
      <c r="AC66">
        <f t="shared" ref="AC66:AC129" si="6">IFERROR(WEEKDAY(B66), 0)</f>
        <v>7</v>
      </c>
      <c r="AD66">
        <f t="shared" ref="AD66:AD129" si="7">IFERROR(C66 - B66, 0)</f>
        <v>2</v>
      </c>
      <c r="AE66" s="62">
        <f>IF(I66="missing", IFERROR(INDEX([1]lookup!$I:$I, MATCH($A66, [1]lookup!$B:$B, 0)), 0), I66)</f>
        <v>2120.5</v>
      </c>
    </row>
    <row r="67" spans="1:31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2684</v>
      </c>
      <c r="O67" s="13" t="str">
        <f>PROPER(D67)</f>
        <v>Helen Andreada</v>
      </c>
      <c r="P67" s="13" t="str">
        <f>LEFT(A67,2)</f>
        <v>IN</v>
      </c>
      <c r="Q67" s="13" t="str">
        <f>MID(A67,4,4)</f>
        <v>2015</v>
      </c>
      <c r="R67" s="13" t="str">
        <f>UPPER(M67)</f>
        <v>CRITICAL</v>
      </c>
      <c r="S67" s="13" t="str">
        <f>LOWER(G67)</f>
        <v>technology</v>
      </c>
      <c r="T67" s="21" t="str">
        <f>RIGHT(A67,5)</f>
        <v>42111</v>
      </c>
      <c r="U67" s="27" t="s">
        <v>2770</v>
      </c>
      <c r="V67" s="19" t="s">
        <v>2686</v>
      </c>
      <c r="W67" s="30">
        <v>2015</v>
      </c>
      <c r="X67" t="s">
        <v>2770</v>
      </c>
      <c r="Y67" s="28">
        <v>42111</v>
      </c>
      <c r="Z67" s="28" t="str">
        <f>TRIM(A67)</f>
        <v>IN-2015-HA1492027-42111</v>
      </c>
      <c r="AA67">
        <f t="shared" si="4"/>
        <v>2015</v>
      </c>
      <c r="AB67">
        <f t="shared" si="5"/>
        <v>4</v>
      </c>
      <c r="AC67">
        <f t="shared" si="6"/>
        <v>6</v>
      </c>
      <c r="AD67">
        <f t="shared" si="7"/>
        <v>0</v>
      </c>
      <c r="AE67" s="62">
        <f>IF(I67="missing", IFERROR(INDEX([1]lookup!$I:$I, MATCH($A67, [1]lookup!$B:$B, 0)), 0), I67)</f>
        <v>1275</v>
      </c>
    </row>
    <row r="68" spans="1:31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2684</v>
      </c>
      <c r="O68" s="8" t="str">
        <f>PROPER(D68)</f>
        <v>Brosina Hoffman</v>
      </c>
      <c r="P68" s="8" t="str">
        <f>LEFT(A68,2)</f>
        <v>ES</v>
      </c>
      <c r="Q68" s="8" t="str">
        <f>MID(A68,4,4)</f>
        <v>2013</v>
      </c>
      <c r="R68" s="8" t="str">
        <f>UPPER(M68)</f>
        <v>HIGH</v>
      </c>
      <c r="S68" s="8" t="str">
        <f>LOWER(G68)</f>
        <v>technology</v>
      </c>
      <c r="T68" s="18" t="str">
        <f>RIGHT(A68,5)</f>
        <v>41478</v>
      </c>
      <c r="U68" s="27" t="s">
        <v>2771</v>
      </c>
      <c r="V68" s="16" t="s">
        <v>2743</v>
      </c>
      <c r="W68" s="30">
        <v>2013</v>
      </c>
      <c r="X68" t="s">
        <v>2771</v>
      </c>
      <c r="Y68" s="28">
        <v>41478</v>
      </c>
      <c r="Z68" s="28" t="str">
        <f>TRIM(A68)</f>
        <v>ES-2013-BH1171048-41478</v>
      </c>
      <c r="AA68">
        <f t="shared" si="4"/>
        <v>2013</v>
      </c>
      <c r="AB68">
        <f t="shared" si="5"/>
        <v>7</v>
      </c>
      <c r="AC68">
        <f t="shared" si="6"/>
        <v>3</v>
      </c>
      <c r="AD68">
        <f t="shared" si="7"/>
        <v>5</v>
      </c>
      <c r="AE68" s="62">
        <f>IF(I68="missing", IFERROR(INDEX([1]lookup!$I:$I, MATCH($A68, [1]lookup!$B:$B, 0)), 0), I68)</f>
        <v>2944.08</v>
      </c>
    </row>
    <row r="69" spans="1:31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2684</v>
      </c>
      <c r="O69" s="13" t="str">
        <f>PROPER(D69)</f>
        <v>Sung Chung</v>
      </c>
      <c r="P69" s="13" t="str">
        <f>LEFT(A69,2)</f>
        <v>ES</v>
      </c>
      <c r="Q69" s="13" t="str">
        <f>MID(A69,4,4)</f>
        <v>2012</v>
      </c>
      <c r="R69" s="13" t="str">
        <f>UPPER(M69)</f>
        <v>HIGH</v>
      </c>
      <c r="S69" s="13" t="str">
        <f>LOWER(G69)</f>
        <v>furniture</v>
      </c>
      <c r="T69" s="21" t="str">
        <f>RIGHT(A69,5)</f>
        <v>41070</v>
      </c>
      <c r="U69" s="27" t="s">
        <v>2772</v>
      </c>
      <c r="V69" s="19" t="s">
        <v>2743</v>
      </c>
      <c r="W69" s="30">
        <v>2012</v>
      </c>
      <c r="X69" t="s">
        <v>2772</v>
      </c>
      <c r="Y69" s="28">
        <v>41070</v>
      </c>
      <c r="Z69" s="28" t="str">
        <f>TRIM(A69)</f>
        <v>ES-2012-SC208458-41070</v>
      </c>
      <c r="AA69">
        <f t="shared" si="4"/>
        <v>2012</v>
      </c>
      <c r="AB69">
        <f t="shared" si="5"/>
        <v>6</v>
      </c>
      <c r="AC69">
        <f t="shared" si="6"/>
        <v>1</v>
      </c>
      <c r="AD69">
        <f t="shared" si="7"/>
        <v>3</v>
      </c>
      <c r="AE69" s="62">
        <f>IF(I69="missing", IFERROR(INDEX([1]lookup!$I:$I, MATCH($A69, [1]lookup!$B:$B, 0)), 0), I69)</f>
        <v>2056.0499999999902</v>
      </c>
    </row>
    <row r="70" spans="1:31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2684</v>
      </c>
      <c r="O70" s="8" t="str">
        <f>PROPER(D70)</f>
        <v>Tony Molinari</v>
      </c>
      <c r="P70" s="8" t="str">
        <f>LEFT(A70,2)</f>
        <v>MX</v>
      </c>
      <c r="Q70" s="8" t="str">
        <f>MID(A70,4,4)</f>
        <v>2015</v>
      </c>
      <c r="R70" s="8" t="str">
        <f>UPPER(M70)</f>
        <v>HIGH</v>
      </c>
      <c r="S70" s="8" t="str">
        <f>LOWER(G70)</f>
        <v>technology</v>
      </c>
      <c r="T70" s="18" t="str">
        <f>RIGHT(A70,5)</f>
        <v>42329</v>
      </c>
      <c r="U70" s="27" t="s">
        <v>2773</v>
      </c>
      <c r="V70" s="16" t="s">
        <v>2718</v>
      </c>
      <c r="W70" s="30">
        <v>2015</v>
      </c>
      <c r="X70" t="s">
        <v>2773</v>
      </c>
      <c r="Y70" s="28">
        <v>42329</v>
      </c>
      <c r="Z70" s="28" t="str">
        <f>TRIM(A70)</f>
        <v>MX-2015-TM2149031-42329</v>
      </c>
      <c r="AA70">
        <f t="shared" si="4"/>
        <v>2015</v>
      </c>
      <c r="AB70">
        <f t="shared" si="5"/>
        <v>11</v>
      </c>
      <c r="AC70">
        <f t="shared" si="6"/>
        <v>7</v>
      </c>
      <c r="AD70">
        <f t="shared" si="7"/>
        <v>0</v>
      </c>
      <c r="AE70" s="62">
        <f>IF(I70="missing", IFERROR(INDEX([1]lookup!$I:$I, MATCH($A70, [1]lookup!$B:$B, 0)), 0), I70)</f>
        <v>1053.6884</v>
      </c>
    </row>
    <row r="71" spans="1:31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2684</v>
      </c>
      <c r="O71" s="13" t="str">
        <f>PROPER(D71)</f>
        <v>Bryan Mills</v>
      </c>
      <c r="P71" s="13" t="str">
        <f>LEFT(A71,2)</f>
        <v>MX</v>
      </c>
      <c r="Q71" s="13" t="str">
        <f>MID(A71,4,4)</f>
        <v>2014</v>
      </c>
      <c r="R71" s="13" t="str">
        <f>UPPER(M71)</f>
        <v>HIGH</v>
      </c>
      <c r="S71" s="13" t="str">
        <f>LOWER(G71)</f>
        <v>technology</v>
      </c>
      <c r="T71" s="21" t="str">
        <f>RIGHT(A71,5)</f>
        <v>41976</v>
      </c>
      <c r="U71" s="27" t="s">
        <v>2774</v>
      </c>
      <c r="V71" s="19" t="s">
        <v>2718</v>
      </c>
      <c r="W71" s="30">
        <v>2014</v>
      </c>
      <c r="X71" t="s">
        <v>2774</v>
      </c>
      <c r="Y71" s="28">
        <v>41976</v>
      </c>
      <c r="Z71" s="28" t="str">
        <f>TRIM(A71)</f>
        <v>MX-2014-BM1178582-41976</v>
      </c>
      <c r="AA71">
        <f t="shared" si="4"/>
        <v>2014</v>
      </c>
      <c r="AB71">
        <f t="shared" si="5"/>
        <v>12</v>
      </c>
      <c r="AC71">
        <f t="shared" si="6"/>
        <v>4</v>
      </c>
      <c r="AD71">
        <f t="shared" si="7"/>
        <v>1</v>
      </c>
      <c r="AE71" s="62">
        <f>IF(I71="missing", IFERROR(INDEX([1]lookup!$I:$I, MATCH($A71, [1]lookup!$B:$B, 0)), 0), I71)</f>
        <v>1278</v>
      </c>
    </row>
    <row r="72" spans="1:31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2684</v>
      </c>
      <c r="O72" s="8" t="str">
        <f>PROPER(D72)</f>
        <v>Adam Shillingsburg</v>
      </c>
      <c r="P72" s="8" t="str">
        <f>LEFT(A72,2)</f>
        <v>CA</v>
      </c>
      <c r="Q72" s="8" t="str">
        <f>MID(A72,4,4)</f>
        <v>2015</v>
      </c>
      <c r="R72" s="8" t="str">
        <f>UPPER(M72)</f>
        <v>CRITICAL</v>
      </c>
      <c r="S72" s="8" t="str">
        <f>LOWER(G72)</f>
        <v>office supplies</v>
      </c>
      <c r="T72" s="18" t="str">
        <f>RIGHT(A72,5)</f>
        <v>42264</v>
      </c>
      <c r="U72" s="27" t="s">
        <v>2775</v>
      </c>
      <c r="V72" s="16" t="s">
        <v>2689</v>
      </c>
      <c r="W72" s="30">
        <v>2015</v>
      </c>
      <c r="X72" t="s">
        <v>2775</v>
      </c>
      <c r="Y72" s="28">
        <v>42264</v>
      </c>
      <c r="Z72" s="28" t="str">
        <f>TRIM(A72)</f>
        <v>CA-2015-AS10090140-42264</v>
      </c>
      <c r="AA72">
        <f t="shared" si="4"/>
        <v>2015</v>
      </c>
      <c r="AB72">
        <f t="shared" si="5"/>
        <v>9</v>
      </c>
      <c r="AC72">
        <f t="shared" si="6"/>
        <v>5</v>
      </c>
      <c r="AD72">
        <f t="shared" si="7"/>
        <v>2</v>
      </c>
      <c r="AE72" s="62">
        <f>IF(I72="missing", IFERROR(INDEX([1]lookup!$I:$I, MATCH($A72, [1]lookup!$B:$B, 0)), 0), I72)</f>
        <v>538.19399999999996</v>
      </c>
    </row>
    <row r="73" spans="1:31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2684</v>
      </c>
      <c r="O73" s="13" t="str">
        <f>PROPER(D73)</f>
        <v>Chad Cunningham</v>
      </c>
      <c r="P73" s="13" t="str">
        <f>LEFT(A73,2)</f>
        <v>MX</v>
      </c>
      <c r="Q73" s="13" t="str">
        <f>MID(A73,4,4)</f>
        <v>2015</v>
      </c>
      <c r="R73" s="13" t="str">
        <f>UPPER(M73)</f>
        <v>HIGH</v>
      </c>
      <c r="S73" s="13" t="str">
        <f>LOWER(G73)</f>
        <v>technology</v>
      </c>
      <c r="T73" s="21" t="str">
        <f>RIGHT(A73,5)</f>
        <v>42245</v>
      </c>
      <c r="U73" s="27" t="s">
        <v>2776</v>
      </c>
      <c r="V73" s="19" t="s">
        <v>2718</v>
      </c>
      <c r="W73" s="30">
        <v>2015</v>
      </c>
      <c r="X73" t="s">
        <v>2776</v>
      </c>
      <c r="Y73" s="28">
        <v>42245</v>
      </c>
      <c r="Z73" s="28" t="str">
        <f>TRIM(A73)</f>
        <v>MX-2015-CC1210082-42245</v>
      </c>
      <c r="AA73">
        <f t="shared" si="4"/>
        <v>2015</v>
      </c>
      <c r="AB73">
        <f t="shared" si="5"/>
        <v>8</v>
      </c>
      <c r="AC73">
        <f t="shared" si="6"/>
        <v>7</v>
      </c>
      <c r="AD73">
        <f t="shared" si="7"/>
        <v>4</v>
      </c>
      <c r="AE73" s="62">
        <f>IF(I73="missing", IFERROR(INDEX([1]lookup!$I:$I, MATCH($A73, [1]lookup!$B:$B, 0)), 0), I73)</f>
        <v>2142.3000000000002</v>
      </c>
    </row>
    <row r="74" spans="1:31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2684</v>
      </c>
      <c r="O74" s="8" t="str">
        <f>PROPER(D74)</f>
        <v>Mike Vittorini</v>
      </c>
      <c r="P74" s="8" t="str">
        <f>LEFT(A74,2)</f>
        <v>SF</v>
      </c>
      <c r="Q74" s="8" t="str">
        <f>MID(A74,4,4)</f>
        <v>2015</v>
      </c>
      <c r="R74" s="8" t="str">
        <f>UPPER(M74)</f>
        <v>MEDIUM</v>
      </c>
      <c r="S74" s="8" t="str">
        <f>LOWER(G74)</f>
        <v xml:space="preserve"> technology </v>
      </c>
      <c r="T74" s="18" t="str">
        <f>RIGHT(A74,5)</f>
        <v>42362</v>
      </c>
      <c r="U74" s="27" t="s">
        <v>2777</v>
      </c>
      <c r="V74" s="16" t="s">
        <v>2764</v>
      </c>
      <c r="W74" s="30">
        <v>2015</v>
      </c>
      <c r="X74" t="s">
        <v>2777</v>
      </c>
      <c r="Y74" s="28">
        <v>42362</v>
      </c>
      <c r="Z74" s="28" t="str">
        <f>TRIM(A74)</f>
        <v>SF-2015-MV8190117-42362</v>
      </c>
      <c r="AA74">
        <f t="shared" si="4"/>
        <v>2015</v>
      </c>
      <c r="AB74">
        <f t="shared" si="5"/>
        <v>12</v>
      </c>
      <c r="AC74">
        <f t="shared" si="6"/>
        <v>5</v>
      </c>
      <c r="AD74">
        <f t="shared" si="7"/>
        <v>3</v>
      </c>
      <c r="AE74" s="62">
        <f>IF(I74="missing", IFERROR(INDEX([1]lookup!$I:$I, MATCH($A74, [1]lookup!$B:$B, 0)), 0), I74)</f>
        <v>2550</v>
      </c>
    </row>
    <row r="75" spans="1:31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2684</v>
      </c>
      <c r="O75" s="13" t="str">
        <f>PROPER(D75)</f>
        <v>Filia Mcadams</v>
      </c>
      <c r="P75" s="13" t="str">
        <f>LEFT(A75,2)</f>
        <v>US</v>
      </c>
      <c r="Q75" s="13" t="str">
        <f>MID(A75,4,4)</f>
        <v>2015</v>
      </c>
      <c r="R75" s="13" t="str">
        <f>UPPER(M75)</f>
        <v>CRITICAL</v>
      </c>
      <c r="S75" s="13" t="str">
        <f>LOWER(G75)</f>
        <v>technology</v>
      </c>
      <c r="T75" s="21" t="str">
        <f>RIGHT(A75,5)</f>
        <v>42115</v>
      </c>
      <c r="U75" s="27" t="s">
        <v>2778</v>
      </c>
      <c r="V75" s="19" t="s">
        <v>2694</v>
      </c>
      <c r="W75" s="30">
        <v>2015</v>
      </c>
      <c r="X75" t="s">
        <v>2778</v>
      </c>
      <c r="Y75" s="28">
        <v>42115</v>
      </c>
      <c r="Z75" s="28" t="str">
        <f>TRIM(A75)</f>
        <v>US-2015-FM1421551-42115</v>
      </c>
      <c r="AA75">
        <f t="shared" si="4"/>
        <v>2015</v>
      </c>
      <c r="AB75">
        <f t="shared" si="5"/>
        <v>4</v>
      </c>
      <c r="AC75">
        <f t="shared" si="6"/>
        <v>3</v>
      </c>
      <c r="AD75">
        <f t="shared" si="7"/>
        <v>2</v>
      </c>
      <c r="AE75" s="62">
        <f>IF(I75="missing", IFERROR(INDEX([1]lookup!$I:$I, MATCH($A75, [1]lookup!$B:$B, 0)), 0), I75)</f>
        <v>1058.2791999999999</v>
      </c>
    </row>
    <row r="76" spans="1:31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2684</v>
      </c>
      <c r="O76" s="8" t="str">
        <f>PROPER(D76)</f>
        <v>Neil Franzã¶Sisch</v>
      </c>
      <c r="P76" s="8" t="str">
        <f>LEFT(A76,2)</f>
        <v>ES</v>
      </c>
      <c r="Q76" s="8" t="str">
        <f>MID(A76,4,4)</f>
        <v>2015</v>
      </c>
      <c r="R76" s="8" t="str">
        <f>UPPER(M76)</f>
        <v>CRITICAL</v>
      </c>
      <c r="S76" s="8" t="str">
        <f>LOWER(G76)</f>
        <v>technology</v>
      </c>
      <c r="T76" s="18" t="str">
        <f>RIGHT(A76,5)</f>
        <v>42248</v>
      </c>
      <c r="U76" s="27" t="s">
        <v>2752</v>
      </c>
      <c r="V76" s="16" t="s">
        <v>2743</v>
      </c>
      <c r="W76" s="30">
        <v>2015</v>
      </c>
      <c r="X76" t="s">
        <v>2752</v>
      </c>
      <c r="Y76" s="28">
        <v>42248</v>
      </c>
      <c r="Z76" s="28" t="str">
        <f>TRIM(A76)</f>
        <v>ES-2015-NF1847548-42248</v>
      </c>
      <c r="AA76">
        <f t="shared" si="4"/>
        <v>2015</v>
      </c>
      <c r="AB76">
        <f t="shared" si="5"/>
        <v>9</v>
      </c>
      <c r="AC76">
        <f t="shared" si="6"/>
        <v>3</v>
      </c>
      <c r="AD76">
        <f t="shared" si="7"/>
        <v>0</v>
      </c>
      <c r="AE76" s="62">
        <f>IF(I76="missing", IFERROR(INDEX([1]lookup!$I:$I, MATCH($A76, [1]lookup!$B:$B, 0)), 0), I76)</f>
        <v>1599.9</v>
      </c>
    </row>
    <row r="77" spans="1:31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2684</v>
      </c>
      <c r="O77" s="13" t="str">
        <f>PROPER(D77)</f>
        <v>Keith Dawkins</v>
      </c>
      <c r="P77" s="13" t="str">
        <f>LEFT(A77,2)</f>
        <v>IN</v>
      </c>
      <c r="Q77" s="13" t="str">
        <f>MID(A77,4,4)</f>
        <v>2015</v>
      </c>
      <c r="R77" s="13" t="str">
        <f>UPPER(M77)</f>
        <v>LOW</v>
      </c>
      <c r="S77" s="13" t="str">
        <f>LOWER(G77)</f>
        <v>furniture</v>
      </c>
      <c r="T77" s="21" t="str">
        <f>RIGHT(A77,5)</f>
        <v>42175</v>
      </c>
      <c r="U77" s="27" t="s">
        <v>2779</v>
      </c>
      <c r="V77" s="19" t="s">
        <v>2686</v>
      </c>
      <c r="W77" s="30">
        <v>2015</v>
      </c>
      <c r="X77" t="s">
        <v>2779</v>
      </c>
      <c r="Y77" s="28">
        <v>42175</v>
      </c>
      <c r="Z77" s="28" t="str">
        <f>TRIM(A77)</f>
        <v>IN-2015-KD1649527-42175</v>
      </c>
      <c r="AA77">
        <f t="shared" si="4"/>
        <v>2015</v>
      </c>
      <c r="AB77">
        <f t="shared" si="5"/>
        <v>6</v>
      </c>
      <c r="AC77">
        <f t="shared" si="6"/>
        <v>7</v>
      </c>
      <c r="AD77">
        <f t="shared" si="7"/>
        <v>6</v>
      </c>
      <c r="AE77" s="62">
        <f>IF(I77="missing", IFERROR(INDEX([1]lookup!$I:$I, MATCH($A77, [1]lookup!$B:$B, 0)), 0), I77)</f>
        <v>2063.4</v>
      </c>
    </row>
    <row r="78" spans="1:31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2684</v>
      </c>
      <c r="O78" s="8" t="str">
        <f>PROPER(D78)</f>
        <v>Chuck Sachs</v>
      </c>
      <c r="P78" s="8" t="str">
        <f>LEFT(A78,2)</f>
        <v>MX</v>
      </c>
      <c r="Q78" s="8" t="str">
        <f>MID(A78,4,4)</f>
        <v>2015</v>
      </c>
      <c r="R78" s="8" t="str">
        <f>UPPER(M78)</f>
        <v>CRITICAL</v>
      </c>
      <c r="S78" s="8" t="str">
        <f>LOWER(G78)</f>
        <v>technology</v>
      </c>
      <c r="T78" s="18" t="str">
        <f>RIGHT(A78,5)</f>
        <v>42259</v>
      </c>
      <c r="U78" s="27" t="s">
        <v>2769</v>
      </c>
      <c r="V78" s="16" t="s">
        <v>2718</v>
      </c>
      <c r="W78" s="30">
        <v>2015</v>
      </c>
      <c r="X78" t="s">
        <v>2769</v>
      </c>
      <c r="Y78" s="28">
        <v>42259</v>
      </c>
      <c r="Z78" s="28" t="str">
        <f>TRIM(A78)</f>
        <v>MX-2015-CS1246093-42259</v>
      </c>
      <c r="AA78">
        <f t="shared" si="4"/>
        <v>2015</v>
      </c>
      <c r="AB78">
        <f t="shared" si="5"/>
        <v>9</v>
      </c>
      <c r="AC78">
        <f t="shared" si="6"/>
        <v>7</v>
      </c>
      <c r="AD78">
        <f t="shared" si="7"/>
        <v>2</v>
      </c>
      <c r="AE78" s="62">
        <f>IF(I78="missing", IFERROR(INDEX([1]lookup!$I:$I, MATCH($A78, [1]lookup!$B:$B, 0)), 0), I78)</f>
        <v>848.32</v>
      </c>
    </row>
    <row r="79" spans="1:31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2684</v>
      </c>
      <c r="O79" s="13" t="str">
        <f>PROPER(D79)</f>
        <v>Adam Shillingsburg</v>
      </c>
      <c r="P79" s="13" t="str">
        <f>LEFT(A79,2)</f>
        <v>CA</v>
      </c>
      <c r="Q79" s="13" t="str">
        <f>MID(A79,4,4)</f>
        <v>2015</v>
      </c>
      <c r="R79" s="13" t="str">
        <f>UPPER(M79)</f>
        <v>CRITICAL</v>
      </c>
      <c r="S79" s="13" t="str">
        <f>LOWER(G79)</f>
        <v>furniture</v>
      </c>
      <c r="T79" s="21" t="str">
        <f>RIGHT(A79,5)</f>
        <v>42264</v>
      </c>
      <c r="U79" s="27" t="s">
        <v>2775</v>
      </c>
      <c r="V79" s="19" t="s">
        <v>2689</v>
      </c>
      <c r="W79" s="30">
        <v>2015</v>
      </c>
      <c r="X79" t="s">
        <v>2775</v>
      </c>
      <c r="Y79" s="28">
        <v>42264</v>
      </c>
      <c r="Z79" s="28" t="str">
        <f>TRIM(A79)</f>
        <v>CA-2015-AS10090140-42264</v>
      </c>
      <c r="AA79">
        <f t="shared" si="4"/>
        <v>2015</v>
      </c>
      <c r="AB79">
        <f t="shared" si="5"/>
        <v>9</v>
      </c>
      <c r="AC79">
        <f t="shared" si="6"/>
        <v>5</v>
      </c>
      <c r="AD79">
        <f t="shared" si="7"/>
        <v>0</v>
      </c>
      <c r="AE79" s="62">
        <f>IF(I79="missing", IFERROR(INDEX([1]lookup!$I:$I, MATCH($A79, [1]lookup!$B:$B, 0)), 0), I79)</f>
        <v>22.512</v>
      </c>
    </row>
    <row r="80" spans="1:31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2684</v>
      </c>
      <c r="O80" s="8" t="str">
        <f>PROPER(D80)</f>
        <v>Elizabeth Moffitt</v>
      </c>
      <c r="P80" s="8" t="str">
        <f>LEFT(A80,2)</f>
        <v>IN</v>
      </c>
      <c r="Q80" s="8" t="str">
        <f>MID(A80,4,4)</f>
        <v>2014</v>
      </c>
      <c r="R80" s="8" t="str">
        <f>UPPER(M80)</f>
        <v>CRITICAL</v>
      </c>
      <c r="S80" s="8" t="str">
        <f>LOWER(G80)</f>
        <v>technology#</v>
      </c>
      <c r="T80" s="18" t="str">
        <f>RIGHT(A80,5)</f>
        <v>41850</v>
      </c>
      <c r="U80" s="27" t="s">
        <v>2780</v>
      </c>
      <c r="V80" s="16" t="s">
        <v>2686</v>
      </c>
      <c r="W80" s="30">
        <v>2014</v>
      </c>
      <c r="X80" t="s">
        <v>2780</v>
      </c>
      <c r="Y80" s="28">
        <v>41850</v>
      </c>
      <c r="Z80" s="28" t="str">
        <f>TRIM(A80)</f>
        <v>IN-2014-EM1382566-41850</v>
      </c>
      <c r="AA80">
        <f t="shared" si="4"/>
        <v>2014</v>
      </c>
      <c r="AB80">
        <f t="shared" si="5"/>
        <v>7</v>
      </c>
      <c r="AC80">
        <f t="shared" si="6"/>
        <v>4</v>
      </c>
      <c r="AD80">
        <f t="shared" si="7"/>
        <v>0</v>
      </c>
      <c r="AE80" s="62">
        <f>IF(I80="missing", IFERROR(INDEX([1]lookup!$I:$I, MATCH($A80, [1]lookup!$B:$B, 0)), 0), I80)</f>
        <v>959.76</v>
      </c>
    </row>
    <row r="81" spans="1:31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2684</v>
      </c>
      <c r="O81" s="13" t="str">
        <f>PROPER(D81)</f>
        <v>Adam Shillingsburg</v>
      </c>
      <c r="P81" s="13" t="str">
        <f>LEFT(A81,2)</f>
        <v>US</v>
      </c>
      <c r="Q81" s="13" t="str">
        <f>MID(A81,4,4)</f>
        <v>2015</v>
      </c>
      <c r="R81" s="13" t="str">
        <f>UPPER(M81)</f>
        <v>MEDIUM</v>
      </c>
      <c r="S81" s="13" t="str">
        <f>LOWER(G81)</f>
        <v>office supplies</v>
      </c>
      <c r="T81" s="21" t="str">
        <f>RIGHT(A81,5)</f>
        <v>42341</v>
      </c>
      <c r="U81" s="27" t="s">
        <v>2775</v>
      </c>
      <c r="V81" s="19" t="s">
        <v>2694</v>
      </c>
      <c r="W81" s="30">
        <v>2015</v>
      </c>
      <c r="X81" t="s">
        <v>2775</v>
      </c>
      <c r="Y81" s="28">
        <v>42341</v>
      </c>
      <c r="Z81" s="28" t="str">
        <f>TRIM(A81)</f>
        <v>US-2015-AS10090140-42341</v>
      </c>
      <c r="AA81">
        <f t="shared" si="4"/>
        <v>2015</v>
      </c>
      <c r="AB81">
        <f t="shared" si="5"/>
        <v>12</v>
      </c>
      <c r="AC81">
        <f t="shared" si="6"/>
        <v>5</v>
      </c>
      <c r="AD81">
        <f t="shared" si="7"/>
        <v>3</v>
      </c>
      <c r="AE81" s="62">
        <f>IF(I81="missing", IFERROR(INDEX([1]lookup!$I:$I, MATCH($A81, [1]lookup!$B:$B, 0)), 0), I81)</f>
        <v>34.65</v>
      </c>
    </row>
    <row r="82" spans="1:31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2684</v>
      </c>
      <c r="O82" s="8" t="str">
        <f>PROPER(D82)</f>
        <v>Christine Abelman</v>
      </c>
      <c r="P82" s="8" t="str">
        <f>LEFT(A82,2)</f>
        <v>IT</v>
      </c>
      <c r="Q82" s="8" t="str">
        <f>MID(A82,4,4)</f>
        <v>2015</v>
      </c>
      <c r="R82" s="8" t="str">
        <f>UPPER(M82)</f>
        <v>CRITICAL</v>
      </c>
      <c r="S82" s="8" t="str">
        <f>LOWER(G82)</f>
        <v>technology</v>
      </c>
      <c r="T82" s="18" t="str">
        <f>RIGHT(A82,5)</f>
        <v>42223</v>
      </c>
      <c r="U82" s="27" t="s">
        <v>2781</v>
      </c>
      <c r="V82" s="16" t="s">
        <v>2710</v>
      </c>
      <c r="W82" s="30">
        <v>2015</v>
      </c>
      <c r="X82" t="s">
        <v>2781</v>
      </c>
      <c r="Y82" s="28">
        <v>42223</v>
      </c>
      <c r="Z82" s="28" t="str">
        <f>TRIM(A82)</f>
        <v>IT-2015-CA1231045-42223</v>
      </c>
      <c r="AA82">
        <f t="shared" si="4"/>
        <v>2015</v>
      </c>
      <c r="AB82">
        <f t="shared" si="5"/>
        <v>8</v>
      </c>
      <c r="AC82">
        <f t="shared" si="6"/>
        <v>6</v>
      </c>
      <c r="AD82">
        <f t="shared" si="7"/>
        <v>2</v>
      </c>
      <c r="AE82" s="62">
        <f>IF(I82="missing", IFERROR(INDEX([1]lookup!$I:$I, MATCH($A82, [1]lookup!$B:$B, 0)), 0), I82)</f>
        <v>1625.2425000000001</v>
      </c>
    </row>
    <row r="83" spans="1:31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2684</v>
      </c>
      <c r="O83" s="13" t="str">
        <f>PROPER(D83)</f>
        <v>Adam Shillingsburg</v>
      </c>
      <c r="P83" s="13" t="str">
        <f>LEFT(A83,2)</f>
        <v>CA</v>
      </c>
      <c r="Q83" s="13" t="str">
        <f>MID(A83,4,4)</f>
        <v>2015</v>
      </c>
      <c r="R83" s="13" t="str">
        <f>UPPER(M83)</f>
        <v>HIGH</v>
      </c>
      <c r="S83" s="13" t="str">
        <f>LOWER(G83)</f>
        <v>office supplies</v>
      </c>
      <c r="T83" s="21" t="str">
        <f>RIGHT(A83,5)</f>
        <v>42096</v>
      </c>
      <c r="U83" s="27" t="s">
        <v>2775</v>
      </c>
      <c r="V83" s="19" t="s">
        <v>2689</v>
      </c>
      <c r="W83" s="30">
        <v>2015</v>
      </c>
      <c r="X83" t="s">
        <v>2775</v>
      </c>
      <c r="Y83" s="28">
        <v>42096</v>
      </c>
      <c r="Z83" s="28" t="str">
        <f>TRIM(A83)</f>
        <v>CA-2015-AS10090140-42096</v>
      </c>
      <c r="AA83">
        <f t="shared" si="4"/>
        <v>2015</v>
      </c>
      <c r="AB83">
        <f t="shared" si="5"/>
        <v>2</v>
      </c>
      <c r="AC83">
        <f t="shared" si="6"/>
        <v>4</v>
      </c>
      <c r="AD83">
        <f t="shared" si="7"/>
        <v>60</v>
      </c>
      <c r="AE83" s="62">
        <f>IF(I83="missing", IFERROR(INDEX([1]lookup!$I:$I, MATCH($A83, [1]lookup!$B:$B, 0)), 0), I83)</f>
        <v>28.4</v>
      </c>
    </row>
    <row r="84" spans="1:31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2684</v>
      </c>
      <c r="O84" s="8" t="str">
        <f>PROPER(D84)</f>
        <v>Adam Shillingsburg</v>
      </c>
      <c r="P84" s="8" t="str">
        <f>LEFT(A84,2)</f>
        <v>CA</v>
      </c>
      <c r="Q84" s="8" t="str">
        <f>MID(A84,4,4)</f>
        <v>2012</v>
      </c>
      <c r="R84" s="8" t="str">
        <f>UPPER(M84)</f>
        <v>HIGH</v>
      </c>
      <c r="S84" s="8" t="str">
        <f>LOWER(G84)</f>
        <v>office supplies</v>
      </c>
      <c r="T84" s="18" t="str">
        <f>RIGHT(A84,5)</f>
        <v>41266</v>
      </c>
      <c r="U84" s="27" t="s">
        <v>2775</v>
      </c>
      <c r="V84" s="16" t="s">
        <v>2689</v>
      </c>
      <c r="W84" s="30">
        <v>2012</v>
      </c>
      <c r="X84" t="s">
        <v>2775</v>
      </c>
      <c r="Y84" s="28">
        <v>41266</v>
      </c>
      <c r="Z84" s="28" t="str">
        <f>TRIM(A84)</f>
        <v>CA-2012-AS10090140-41266</v>
      </c>
      <c r="AA84">
        <f t="shared" si="4"/>
        <v>2012</v>
      </c>
      <c r="AB84">
        <f t="shared" si="5"/>
        <v>12</v>
      </c>
      <c r="AC84">
        <f t="shared" si="6"/>
        <v>1</v>
      </c>
      <c r="AD84">
        <f t="shared" si="7"/>
        <v>2</v>
      </c>
      <c r="AE84" s="62">
        <f>IF(I84="missing", IFERROR(INDEX([1]lookup!$I:$I, MATCH($A84, [1]lookup!$B:$B, 0)), 0), I84)</f>
        <v>13.97</v>
      </c>
    </row>
    <row r="85" spans="1:31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2684</v>
      </c>
      <c r="O85" s="13" t="str">
        <f>PROPER(D85)</f>
        <v>Adam Shillingsburg</v>
      </c>
      <c r="P85" s="13" t="str">
        <f>LEFT(A85,2)</f>
        <v>CA</v>
      </c>
      <c r="Q85" s="13" t="str">
        <f>MID(A85,4,4)</f>
        <v>2013</v>
      </c>
      <c r="R85" s="13" t="str">
        <f>UPPER(M85)</f>
        <v>MEDIUM</v>
      </c>
      <c r="S85" s="13" t="str">
        <f>LOWER(G85)</f>
        <v>office supplies</v>
      </c>
      <c r="T85" s="21" t="str">
        <f>RIGHT(A85,5)</f>
        <v>41587</v>
      </c>
      <c r="U85" s="27" t="s">
        <v>2775</v>
      </c>
      <c r="V85" s="19" t="s">
        <v>2689</v>
      </c>
      <c r="W85" s="30">
        <v>2013</v>
      </c>
      <c r="X85" t="s">
        <v>2775</v>
      </c>
      <c r="Y85" s="28">
        <v>41587</v>
      </c>
      <c r="Z85" s="28" t="str">
        <f>TRIM(A85)</f>
        <v>CA-2013-AS10090140-41587</v>
      </c>
      <c r="AA85">
        <f t="shared" si="4"/>
        <v>2013</v>
      </c>
      <c r="AB85">
        <f t="shared" si="5"/>
        <v>11</v>
      </c>
      <c r="AC85">
        <f t="shared" si="6"/>
        <v>7</v>
      </c>
      <c r="AD85">
        <f t="shared" si="7"/>
        <v>4</v>
      </c>
      <c r="AE85" s="62">
        <f>IF(I85="missing", IFERROR(INDEX([1]lookup!$I:$I, MATCH($A85, [1]lookup!$B:$B, 0)), 0), I85)</f>
        <v>26.22</v>
      </c>
    </row>
    <row r="86" spans="1:31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2684</v>
      </c>
      <c r="O86" s="8" t="str">
        <f>PROPER(D86)</f>
        <v>Adam Shillingsburg</v>
      </c>
      <c r="P86" s="8" t="str">
        <f>LEFT(A86,2)</f>
        <v>CA</v>
      </c>
      <c r="Q86" s="8" t="str">
        <f>MID(A86,4,4)</f>
        <v>2014</v>
      </c>
      <c r="R86" s="8" t="str">
        <f>UPPER(M86)</f>
        <v>HIGH</v>
      </c>
      <c r="S86" s="8" t="str">
        <f>LOWER(G86)</f>
        <v>office supplies</v>
      </c>
      <c r="T86" s="18" t="str">
        <f>RIGHT(A86,5)</f>
        <v>41812</v>
      </c>
      <c r="U86" s="27" t="s">
        <v>2775</v>
      </c>
      <c r="V86" s="16" t="s">
        <v>2689</v>
      </c>
      <c r="W86" s="30">
        <v>2014</v>
      </c>
      <c r="X86" t="s">
        <v>2775</v>
      </c>
      <c r="Y86" s="28">
        <v>41812</v>
      </c>
      <c r="Z86" s="28" t="str">
        <f>TRIM(A86)</f>
        <v>CA-2014-AS10090140-41812</v>
      </c>
      <c r="AA86">
        <f t="shared" si="4"/>
        <v>2014</v>
      </c>
      <c r="AB86">
        <f t="shared" si="5"/>
        <v>6</v>
      </c>
      <c r="AC86">
        <f t="shared" si="6"/>
        <v>1</v>
      </c>
      <c r="AD86">
        <f t="shared" si="7"/>
        <v>5</v>
      </c>
      <c r="AE86" s="62">
        <f>IF(I86="missing", IFERROR(INDEX([1]lookup!$I:$I, MATCH($A86, [1]lookup!$B:$B, 0)), 0), I86)</f>
        <v>36.56</v>
      </c>
    </row>
    <row r="87" spans="1:31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2684</v>
      </c>
      <c r="O87" s="13" t="str">
        <f>PROPER(D87)</f>
        <v>Adam Shillingsburg</v>
      </c>
      <c r="P87" s="13" t="str">
        <f>LEFT(A87,2)</f>
        <v>CA</v>
      </c>
      <c r="Q87" s="13" t="str">
        <f>MID(A87,4,4)</f>
        <v>2014</v>
      </c>
      <c r="R87" s="13" t="str">
        <f>UPPER(M87)</f>
        <v>MEDIUM</v>
      </c>
      <c r="S87" s="13" t="str">
        <f>LOWER(G87)</f>
        <v>office supplies</v>
      </c>
      <c r="T87" s="21" t="str">
        <f>RIGHT(A87,5)</f>
        <v>41762</v>
      </c>
      <c r="U87" s="27" t="s">
        <v>2775</v>
      </c>
      <c r="V87" s="19" t="s">
        <v>2689</v>
      </c>
      <c r="W87" s="30">
        <v>2014</v>
      </c>
      <c r="X87" t="s">
        <v>2775</v>
      </c>
      <c r="Y87" s="28">
        <v>41762</v>
      </c>
      <c r="Z87" s="28" t="str">
        <f>TRIM(A87)</f>
        <v>CA-2014-AS10090140-41762</v>
      </c>
      <c r="AA87">
        <f t="shared" si="4"/>
        <v>2014</v>
      </c>
      <c r="AB87">
        <f t="shared" si="5"/>
        <v>5</v>
      </c>
      <c r="AC87">
        <f t="shared" si="6"/>
        <v>7</v>
      </c>
      <c r="AD87">
        <f t="shared" si="7"/>
        <v>4</v>
      </c>
      <c r="AE87" s="62">
        <f>IF(I87="missing", IFERROR(INDEX([1]lookup!$I:$I, MATCH($A87, [1]lookup!$B:$B, 0)), 0), I87)</f>
        <v>18.936</v>
      </c>
    </row>
    <row r="88" spans="1:31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2684</v>
      </c>
      <c r="O88" s="8" t="str">
        <f>PROPER(D88)</f>
        <v>Pete Kriz</v>
      </c>
      <c r="P88" s="8" t="str">
        <f>LEFT(A88,2)</f>
        <v>ID</v>
      </c>
      <c r="Q88" s="8" t="str">
        <f>MID(A88,4,4)</f>
        <v>2014</v>
      </c>
      <c r="R88" s="8" t="str">
        <f>UPPER(M88)</f>
        <v>HIGH</v>
      </c>
      <c r="S88" s="8" t="str">
        <f>LOWER(G88)</f>
        <v>furniture</v>
      </c>
      <c r="T88" s="18" t="str">
        <f>RIGHT(A88,5)</f>
        <v>41691</v>
      </c>
      <c r="U88" s="27" t="s">
        <v>2782</v>
      </c>
      <c r="V88" s="16" t="s">
        <v>2738</v>
      </c>
      <c r="W88" s="30">
        <v>2014</v>
      </c>
      <c r="X88" t="s">
        <v>2782</v>
      </c>
      <c r="Y88" s="28">
        <v>41691</v>
      </c>
      <c r="Z88" s="28" t="str">
        <f>TRIM(A88)</f>
        <v>ID-2014-PK190757-41691</v>
      </c>
      <c r="AA88">
        <f t="shared" si="4"/>
        <v>2014</v>
      </c>
      <c r="AB88">
        <f t="shared" si="5"/>
        <v>2</v>
      </c>
      <c r="AC88">
        <f t="shared" si="6"/>
        <v>6</v>
      </c>
      <c r="AD88">
        <f t="shared" si="7"/>
        <v>1</v>
      </c>
      <c r="AE88" s="62">
        <f>IF(I88="missing", IFERROR(INDEX([1]lookup!$I:$I, MATCH($A88, [1]lookup!$B:$B, 0)), 0), I88)</f>
        <v>1809.2550000000001</v>
      </c>
    </row>
    <row r="89" spans="1:31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2684</v>
      </c>
      <c r="O89" s="13" t="str">
        <f>PROPER(D89)</f>
        <v>Adam Shillingsburg</v>
      </c>
      <c r="P89" s="13" t="str">
        <f>LEFT(A89,2)</f>
        <v>CA</v>
      </c>
      <c r="Q89" s="13" t="str">
        <f>MID(A89,4,4)</f>
        <v>2014</v>
      </c>
      <c r="R89" s="13" t="str">
        <f>UPPER(M89)</f>
        <v>HIGH</v>
      </c>
      <c r="S89" s="13" t="str">
        <f>LOWER(G89)</f>
        <v>office supplies</v>
      </c>
      <c r="T89" s="21" t="str">
        <f>RIGHT(A89,5)</f>
        <v>41894</v>
      </c>
      <c r="U89" s="27" t="s">
        <v>2775</v>
      </c>
      <c r="V89" s="19" t="s">
        <v>2689</v>
      </c>
      <c r="W89" s="30">
        <v>2014</v>
      </c>
      <c r="X89" t="s">
        <v>2775</v>
      </c>
      <c r="Y89" s="28">
        <v>41894</v>
      </c>
      <c r="Z89" s="28" t="str">
        <f>TRIM(A89)</f>
        <v>CA-2014-AS10090140-41894</v>
      </c>
      <c r="AA89">
        <f t="shared" si="4"/>
        <v>2014</v>
      </c>
      <c r="AB89">
        <f t="shared" si="5"/>
        <v>9</v>
      </c>
      <c r="AC89">
        <f t="shared" si="6"/>
        <v>6</v>
      </c>
      <c r="AD89">
        <f t="shared" si="7"/>
        <v>5</v>
      </c>
      <c r="AE89" s="62">
        <f>IF(I89="missing", IFERROR(INDEX([1]lookup!$I:$I, MATCH($A89, [1]lookup!$B:$B, 0)), 0), I89)</f>
        <v>6</v>
      </c>
    </row>
    <row r="90" spans="1:31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2684</v>
      </c>
      <c r="O90" s="8" t="str">
        <f>PROPER(D90)</f>
        <v>Shirley Jackson</v>
      </c>
      <c r="P90" s="8" t="str">
        <f>LEFT(A90,2)</f>
        <v>ES</v>
      </c>
      <c r="Q90" s="8" t="str">
        <f>MID(A90,4,4)</f>
        <v>2013</v>
      </c>
      <c r="R90" s="8" t="str">
        <f>UPPER(M90)</f>
        <v>MEDIUM</v>
      </c>
      <c r="S90" s="8" t="str">
        <f>LOWER(G90)</f>
        <v>furniture</v>
      </c>
      <c r="T90" s="18" t="str">
        <f>RIGHT(A90,5)</f>
        <v>41443</v>
      </c>
      <c r="U90" s="27" t="s">
        <v>2783</v>
      </c>
      <c r="V90" s="16" t="s">
        <v>2743</v>
      </c>
      <c r="W90" s="30">
        <v>2013</v>
      </c>
      <c r="X90" t="s">
        <v>2783</v>
      </c>
      <c r="Y90" s="28">
        <v>41443</v>
      </c>
      <c r="Z90" s="28" t="str">
        <f>TRIM(A90)</f>
        <v>ES-2013-SJ2050045-41443</v>
      </c>
      <c r="AA90">
        <f t="shared" si="4"/>
        <v>2013</v>
      </c>
      <c r="AB90">
        <f t="shared" si="5"/>
        <v>6</v>
      </c>
      <c r="AC90">
        <f t="shared" si="6"/>
        <v>3</v>
      </c>
      <c r="AD90">
        <f t="shared" si="7"/>
        <v>2</v>
      </c>
      <c r="AE90" s="62">
        <f>IF(I90="missing", IFERROR(INDEX([1]lookup!$I:$I, MATCH($A90, [1]lookup!$B:$B, 0)), 0), I90)</f>
        <v>2364.1019999999999</v>
      </c>
    </row>
    <row r="91" spans="1:31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2684</v>
      </c>
      <c r="O91" s="13" t="str">
        <f>PROPER(D91)</f>
        <v>Adam Shillingsburg</v>
      </c>
      <c r="P91" s="13" t="str">
        <f>LEFT(A91,2)</f>
        <v>CA</v>
      </c>
      <c r="Q91" s="13" t="str">
        <f>MID(A91,4,4)</f>
        <v>2014</v>
      </c>
      <c r="R91" s="13" t="str">
        <f>UPPER(M91)</f>
        <v>MEDIUM</v>
      </c>
      <c r="S91" s="13" t="str">
        <f>LOWER(G91)</f>
        <v>office supplies</v>
      </c>
      <c r="T91" s="21" t="str">
        <f>RIGHT(A91,5)</f>
        <v>41762</v>
      </c>
      <c r="U91" s="27" t="s">
        <v>2775</v>
      </c>
      <c r="V91" s="19" t="s">
        <v>2689</v>
      </c>
      <c r="W91" s="30">
        <v>2014</v>
      </c>
      <c r="X91" t="s">
        <v>2775</v>
      </c>
      <c r="Y91" s="28">
        <v>41762</v>
      </c>
      <c r="Z91" s="28" t="str">
        <f>TRIM(A91)</f>
        <v>CA-2014-AS10090140-41762</v>
      </c>
      <c r="AA91">
        <f t="shared" si="4"/>
        <v>2014</v>
      </c>
      <c r="AB91">
        <f t="shared" si="5"/>
        <v>5</v>
      </c>
      <c r="AC91">
        <f t="shared" si="6"/>
        <v>7</v>
      </c>
      <c r="AD91">
        <f t="shared" si="7"/>
        <v>4</v>
      </c>
      <c r="AE91" s="62">
        <f>IF(I91="missing", IFERROR(INDEX([1]lookup!$I:$I, MATCH($A91, [1]lookup!$B:$B, 0)), 0), I91)</f>
        <v>5.04</v>
      </c>
    </row>
    <row r="92" spans="1:31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2684</v>
      </c>
      <c r="O92" s="8" t="str">
        <f>PROPER(D92)</f>
        <v>Adam Shillingsburg</v>
      </c>
      <c r="P92" s="8" t="str">
        <f>LEFT(A92,2)</f>
        <v>CA</v>
      </c>
      <c r="Q92" s="8" t="str">
        <f>MID(A92,4,4)</f>
        <v>2015</v>
      </c>
      <c r="R92" s="8" t="str">
        <f>UPPER(M92)</f>
        <v>CRITICAL</v>
      </c>
      <c r="S92" s="8" t="str">
        <f>LOWER(G92)</f>
        <v>office supplies</v>
      </c>
      <c r="T92" s="18" t="str">
        <f>RIGHT(A92,5)</f>
        <v>42264</v>
      </c>
      <c r="U92" s="27" t="s">
        <v>2775</v>
      </c>
      <c r="V92" s="16" t="s">
        <v>2689</v>
      </c>
      <c r="W92" s="30">
        <v>2015</v>
      </c>
      <c r="X92" t="s">
        <v>2775</v>
      </c>
      <c r="Y92" s="28">
        <v>42264</v>
      </c>
      <c r="Z92" s="28" t="str">
        <f>TRIM(A92)</f>
        <v>CA-2015-AS10090140-42264</v>
      </c>
      <c r="AA92">
        <f t="shared" si="4"/>
        <v>2015</v>
      </c>
      <c r="AB92">
        <f t="shared" si="5"/>
        <v>9</v>
      </c>
      <c r="AC92">
        <f t="shared" si="6"/>
        <v>5</v>
      </c>
      <c r="AD92">
        <f t="shared" si="7"/>
        <v>2</v>
      </c>
      <c r="AE92" s="62">
        <f>IF(I92="missing", IFERROR(INDEX([1]lookup!$I:$I, MATCH($A92, [1]lookup!$B:$B, 0)), 0), I92)</f>
        <v>3.444</v>
      </c>
    </row>
    <row r="93" spans="1:31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2684</v>
      </c>
      <c r="O93" s="13" t="str">
        <f>PROPER(D93)</f>
        <v>Adam Shillingsburg</v>
      </c>
      <c r="P93" s="13" t="str">
        <f>LEFT(A93,2)</f>
        <v>CA</v>
      </c>
      <c r="Q93" s="13" t="str">
        <f>MID(A93,4,4)</f>
        <v>2013</v>
      </c>
      <c r="R93" s="13" t="str">
        <f>UPPER(M93)</f>
        <v>MEDIUM</v>
      </c>
      <c r="S93" s="13" t="str">
        <f>LOWER(G93)</f>
        <v>office supplies</v>
      </c>
      <c r="T93" s="21" t="str">
        <f>RIGHT(A93,5)</f>
        <v>41587</v>
      </c>
      <c r="U93" s="27" t="s">
        <v>2775</v>
      </c>
      <c r="V93" s="19" t="s">
        <v>2689</v>
      </c>
      <c r="W93" s="30">
        <v>2013</v>
      </c>
      <c r="X93" t="s">
        <v>2775</v>
      </c>
      <c r="Y93" s="28">
        <v>41587</v>
      </c>
      <c r="Z93" s="28" t="str">
        <f>TRIM(A93)</f>
        <v>CA-2013-AS10090140-41587</v>
      </c>
      <c r="AA93">
        <f t="shared" si="4"/>
        <v>2013</v>
      </c>
      <c r="AB93">
        <f t="shared" si="5"/>
        <v>11</v>
      </c>
      <c r="AC93">
        <f t="shared" si="6"/>
        <v>7</v>
      </c>
      <c r="AD93">
        <f t="shared" si="7"/>
        <v>4</v>
      </c>
      <c r="AE93" s="62">
        <f>IF(I93="missing", IFERROR(INDEX([1]lookup!$I:$I, MATCH($A93, [1]lookup!$B:$B, 0)), 0), I93)</f>
        <v>17.22</v>
      </c>
    </row>
    <row r="94" spans="1:31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2684</v>
      </c>
      <c r="O94" s="8" t="str">
        <f>PROPER(D94)</f>
        <v>Barry Gonzalez</v>
      </c>
      <c r="P94" s="8" t="str">
        <f>LEFT(A94,2)</f>
        <v>ES</v>
      </c>
      <c r="Q94" s="8" t="str">
        <f>MID(A94,4,4)</f>
        <v>2013</v>
      </c>
      <c r="R94" s="8" t="str">
        <f>UPPER(M94)</f>
        <v>CRITICAL</v>
      </c>
      <c r="S94" s="8" t="str">
        <f>LOWER(G94)</f>
        <v>technology</v>
      </c>
      <c r="T94" s="18" t="str">
        <f>RIGHT(A94,5)</f>
        <v>41468</v>
      </c>
      <c r="U94" s="27" t="s">
        <v>2784</v>
      </c>
      <c r="V94" s="16" t="s">
        <v>2743</v>
      </c>
      <c r="W94" s="30">
        <v>2013</v>
      </c>
      <c r="X94" t="s">
        <v>2784</v>
      </c>
      <c r="Y94" s="28">
        <v>41468</v>
      </c>
      <c r="Z94" s="28" t="str">
        <f>TRIM(A94)</f>
        <v>ES-2013-BG1103544-41468</v>
      </c>
      <c r="AA94">
        <f t="shared" si="4"/>
        <v>2013</v>
      </c>
      <c r="AB94">
        <f t="shared" si="5"/>
        <v>7</v>
      </c>
      <c r="AC94">
        <f t="shared" si="6"/>
        <v>7</v>
      </c>
      <c r="AD94">
        <f t="shared" si="7"/>
        <v>3</v>
      </c>
      <c r="AE94" s="62">
        <f>IF(I94="missing", IFERROR(INDEX([1]lookup!$I:$I, MATCH($A94, [1]lookup!$B:$B, 0)), 0), I94)</f>
        <v>1245</v>
      </c>
    </row>
    <row r="95" spans="1:31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2684</v>
      </c>
      <c r="O95" s="13" t="str">
        <f>PROPER(D95)</f>
        <v>Helen Wasserman</v>
      </c>
      <c r="P95" s="13" t="str">
        <f>LEFT(A95,2)</f>
        <v>ES</v>
      </c>
      <c r="Q95" s="13" t="str">
        <f>MID(A95,4,4)</f>
        <v>2015</v>
      </c>
      <c r="R95" s="13" t="str">
        <f>UPPER(M95)</f>
        <v>CRITICAL</v>
      </c>
      <c r="S95" s="13" t="str">
        <f>LOWER(G95)</f>
        <v>furniture</v>
      </c>
      <c r="T95" s="21" t="str">
        <f>RIGHT(A95,5)</f>
        <v>42335</v>
      </c>
      <c r="U95" s="27" t="s">
        <v>2785</v>
      </c>
      <c r="V95" s="19" t="s">
        <v>2743</v>
      </c>
      <c r="W95" s="30">
        <v>2015</v>
      </c>
      <c r="X95" t="s">
        <v>2785</v>
      </c>
      <c r="Y95" s="28">
        <v>42335</v>
      </c>
      <c r="Z95" s="28" t="str">
        <f>TRIM(A95)</f>
        <v>ES-2015-HW1493545-42335</v>
      </c>
      <c r="AA95">
        <f t="shared" si="4"/>
        <v>2015</v>
      </c>
      <c r="AB95">
        <f t="shared" si="5"/>
        <v>11</v>
      </c>
      <c r="AC95">
        <f t="shared" si="6"/>
        <v>6</v>
      </c>
      <c r="AD95">
        <f t="shared" si="7"/>
        <v>2</v>
      </c>
      <c r="AE95" s="62">
        <f>IF(I95="missing", IFERROR(INDEX([1]lookup!$I:$I, MATCH($A95, [1]lookup!$B:$B, 0)), 0), I95)</f>
        <v>676.48500000000001</v>
      </c>
    </row>
    <row r="96" spans="1:31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2684</v>
      </c>
      <c r="O96" s="8" t="str">
        <f>PROPER(D96)</f>
        <v>Vivek Grady</v>
      </c>
      <c r="P96" s="8" t="str">
        <f>LEFT(A96,2)</f>
        <v>IN</v>
      </c>
      <c r="Q96" s="8" t="str">
        <f>MID(A96,4,4)</f>
        <v>2014</v>
      </c>
      <c r="R96" s="8" t="str">
        <f>UPPER(M96)</f>
        <v>CRITICAL</v>
      </c>
      <c r="S96" s="8" t="str">
        <f>LOWER(G96)</f>
        <v>furniture</v>
      </c>
      <c r="T96" s="18" t="str">
        <f>RIGHT(A96,5)</f>
        <v>41996</v>
      </c>
      <c r="U96" s="27" t="s">
        <v>2786</v>
      </c>
      <c r="V96" s="16" t="s">
        <v>2686</v>
      </c>
      <c r="W96" s="30">
        <v>2014</v>
      </c>
      <c r="X96" t="s">
        <v>2786</v>
      </c>
      <c r="Y96" s="28">
        <v>41996</v>
      </c>
      <c r="Z96" s="28" t="str">
        <f>TRIM(A96)</f>
        <v>IN-2014-VG2180527-41996</v>
      </c>
      <c r="AA96">
        <f t="shared" si="4"/>
        <v>2014</v>
      </c>
      <c r="AB96">
        <f t="shared" si="5"/>
        <v>12</v>
      </c>
      <c r="AC96">
        <f t="shared" si="6"/>
        <v>3</v>
      </c>
      <c r="AD96">
        <f t="shared" si="7"/>
        <v>2</v>
      </c>
      <c r="AE96" s="62">
        <f>IF(I96="missing", IFERROR(INDEX([1]lookup!$I:$I, MATCH($A96, [1]lookup!$B:$B, 0)), 0), I96)</f>
        <v>731.34</v>
      </c>
    </row>
    <row r="97" spans="1:31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2684</v>
      </c>
      <c r="O97" s="13" t="str">
        <f>PROPER(D97)</f>
        <v>Julia Dunbar</v>
      </c>
      <c r="P97" s="13" t="str">
        <f>LEFT(A97,2)</f>
        <v>GH</v>
      </c>
      <c r="Q97" s="13" t="str">
        <f>MID(A97,4,4)</f>
        <v>2015</v>
      </c>
      <c r="R97" s="13" t="str">
        <f>UPPER(M97)</f>
        <v>CRITICAL</v>
      </c>
      <c r="S97" s="13" t="str">
        <f>LOWER(G97)</f>
        <v>office supplies</v>
      </c>
      <c r="T97" s="21" t="str">
        <f>RIGHT(A97,5)</f>
        <v>42172</v>
      </c>
      <c r="U97" s="27" t="s">
        <v>2787</v>
      </c>
      <c r="V97" s="19" t="s">
        <v>2788</v>
      </c>
      <c r="W97" s="30">
        <v>2015</v>
      </c>
      <c r="X97" t="s">
        <v>2787</v>
      </c>
      <c r="Y97" s="28">
        <v>42172</v>
      </c>
      <c r="Z97" s="28" t="str">
        <f>TRIM(A97)</f>
        <v>GH-2015-JD606049-42172</v>
      </c>
      <c r="AA97">
        <f t="shared" si="4"/>
        <v>2015</v>
      </c>
      <c r="AB97">
        <f t="shared" si="5"/>
        <v>6</v>
      </c>
      <c r="AC97">
        <f t="shared" si="6"/>
        <v>4</v>
      </c>
      <c r="AD97">
        <f t="shared" si="7"/>
        <v>2</v>
      </c>
      <c r="AE97" s="62">
        <f>IF(I97="missing", IFERROR(INDEX([1]lookup!$I:$I, MATCH($A97, [1]lookup!$B:$B, 0)), 0), I97)</f>
        <v>1239</v>
      </c>
    </row>
    <row r="98" spans="1:31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2684</v>
      </c>
      <c r="O98" s="8" t="str">
        <f>PROPER(D98)</f>
        <v>Maureen Gastineau</v>
      </c>
      <c r="P98" s="8" t="str">
        <f>LEFT(A98,2)</f>
        <v>ID</v>
      </c>
      <c r="Q98" s="8" t="str">
        <f>MID(A98,4,4)</f>
        <v>2015</v>
      </c>
      <c r="R98" s="8" t="str">
        <f>UPPER(M98)</f>
        <v>HIGH</v>
      </c>
      <c r="S98" s="8" t="str">
        <f>LOWER(G98)</f>
        <v>furniture</v>
      </c>
      <c r="T98" s="18" t="str">
        <f>RIGHT(A98,5)</f>
        <v>42078</v>
      </c>
      <c r="U98" s="27" t="s">
        <v>2789</v>
      </c>
      <c r="V98" s="16" t="s">
        <v>2738</v>
      </c>
      <c r="W98" s="30">
        <v>2015</v>
      </c>
      <c r="X98" t="s">
        <v>2789</v>
      </c>
      <c r="Y98" s="28">
        <v>42078</v>
      </c>
      <c r="Z98" s="28" t="str">
        <f>TRIM(A98)</f>
        <v>ID-2015-MG17680144-42078</v>
      </c>
      <c r="AA98">
        <f t="shared" si="4"/>
        <v>2015</v>
      </c>
      <c r="AB98">
        <f t="shared" si="5"/>
        <v>3</v>
      </c>
      <c r="AC98">
        <f t="shared" si="6"/>
        <v>1</v>
      </c>
      <c r="AD98">
        <f t="shared" si="7"/>
        <v>2</v>
      </c>
      <c r="AE98" s="62">
        <f>IF(I98="missing", IFERROR(INDEX([1]lookup!$I:$I, MATCH($A98, [1]lookup!$B:$B, 0)), 0), I98)</f>
        <v>1680.60599999999</v>
      </c>
    </row>
    <row r="99" spans="1:31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2684</v>
      </c>
      <c r="O99" s="13" t="str">
        <f>PROPER(D99)</f>
        <v>Christina Demoss</v>
      </c>
      <c r="P99" s="13" t="str">
        <f>LEFT(A99,2)</f>
        <v>IN</v>
      </c>
      <c r="Q99" s="13" t="str">
        <f>MID(A99,4,4)</f>
        <v>2015</v>
      </c>
      <c r="R99" s="13" t="str">
        <f>UPPER(M99)</f>
        <v>MEDIUM</v>
      </c>
      <c r="S99" s="13" t="str">
        <f>LOWER(G99)</f>
        <v>furniture</v>
      </c>
      <c r="T99" s="21" t="str">
        <f>RIGHT(A99,5)</f>
        <v>42197</v>
      </c>
      <c r="U99" s="27" t="s">
        <v>2790</v>
      </c>
      <c r="V99" s="19" t="s">
        <v>2686</v>
      </c>
      <c r="W99" s="30">
        <v>2015</v>
      </c>
      <c r="X99" t="s">
        <v>2790</v>
      </c>
      <c r="Y99" s="28">
        <v>42197</v>
      </c>
      <c r="Z99" s="28" t="str">
        <f>TRIM(A99)</f>
        <v>IN-2015-CD1228058-42197</v>
      </c>
      <c r="AA99">
        <f t="shared" si="4"/>
        <v>2015</v>
      </c>
      <c r="AB99">
        <f t="shared" si="5"/>
        <v>7</v>
      </c>
      <c r="AC99">
        <f t="shared" si="6"/>
        <v>1</v>
      </c>
      <c r="AD99">
        <f t="shared" si="7"/>
        <v>1</v>
      </c>
      <c r="AE99" s="62">
        <f>IF(I99="missing", IFERROR(INDEX([1]lookup!$I:$I, MATCH($A99, [1]lookup!$B:$B, 0)), 0), I99)</f>
        <v>2190.75</v>
      </c>
    </row>
    <row r="100" spans="1:31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2684</v>
      </c>
      <c r="O100" s="8" t="str">
        <f>PROPER(D100)</f>
        <v>Brad Norvell</v>
      </c>
      <c r="P100" s="8" t="str">
        <f>LEFT(A100,2)</f>
        <v>ID</v>
      </c>
      <c r="Q100" s="8" t="str">
        <f>MID(A100,4,4)</f>
        <v>2013</v>
      </c>
      <c r="R100" s="8" t="str">
        <f>UPPER(M100)</f>
        <v>MEDIUM</v>
      </c>
      <c r="S100" s="8" t="str">
        <f>LOWER(G100)</f>
        <v>technology</v>
      </c>
      <c r="T100" s="18" t="str">
        <f>RIGHT(A100,5)</f>
        <v>41633</v>
      </c>
      <c r="U100" s="27" t="s">
        <v>2791</v>
      </c>
      <c r="V100" s="16" t="s">
        <v>2738</v>
      </c>
      <c r="W100" s="30">
        <v>2013</v>
      </c>
      <c r="X100" t="s">
        <v>2791</v>
      </c>
      <c r="Y100" s="28">
        <v>41633</v>
      </c>
      <c r="Z100" s="28" t="str">
        <f>TRIM(A100)</f>
        <v>ID-2013-BN11470130-41633</v>
      </c>
      <c r="AA100">
        <f t="shared" si="4"/>
        <v>2013</v>
      </c>
      <c r="AB100">
        <f t="shared" si="5"/>
        <v>12</v>
      </c>
      <c r="AC100">
        <f t="shared" si="6"/>
        <v>4</v>
      </c>
      <c r="AD100">
        <f t="shared" si="7"/>
        <v>3</v>
      </c>
      <c r="AE100" s="62">
        <f>IF(I100="missing", IFERROR(INDEX([1]lookup!$I:$I, MATCH($A100, [1]lookup!$B:$B, 0)), 0), I100)</f>
        <v>2667.5369999999998</v>
      </c>
    </row>
    <row r="101" spans="1:31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2684</v>
      </c>
      <c r="O101" s="13" t="str">
        <f>PROPER(D101)</f>
        <v>Erin Mull#</v>
      </c>
      <c r="P101" s="13" t="str">
        <f>LEFT(A101,2)</f>
        <v>ES</v>
      </c>
      <c r="Q101" s="13" t="str">
        <f>MID(A101,4,4)</f>
        <v>2014</v>
      </c>
      <c r="R101" s="13" t="str">
        <f>UPPER(M101)</f>
        <v>HIGH</v>
      </c>
      <c r="S101" s="13" t="str">
        <f>LOWER(G101)</f>
        <v>technology</v>
      </c>
      <c r="T101" s="21" t="str">
        <f>RIGHT(A101,5)</f>
        <v>41775</v>
      </c>
      <c r="U101" s="27" t="s">
        <v>2792</v>
      </c>
      <c r="V101" s="19" t="s">
        <v>2743</v>
      </c>
      <c r="W101" s="30">
        <v>2014</v>
      </c>
      <c r="X101" t="s">
        <v>2792</v>
      </c>
      <c r="Y101" s="28">
        <v>41775</v>
      </c>
      <c r="Z101" s="28" t="str">
        <f>TRIM(A101)</f>
        <v>ES-2014-EM1406548-41775</v>
      </c>
      <c r="AA101">
        <f t="shared" si="4"/>
        <v>2014</v>
      </c>
      <c r="AB101">
        <f t="shared" si="5"/>
        <v>5</v>
      </c>
      <c r="AC101">
        <f t="shared" si="6"/>
        <v>6</v>
      </c>
      <c r="AD101">
        <f t="shared" si="7"/>
        <v>4</v>
      </c>
      <c r="AE101" s="62">
        <f>IF(I101="missing", IFERROR(INDEX([1]lookup!$I:$I, MATCH($A101, [1]lookup!$B:$B, 0)), 0), I101)</f>
        <v>2605.92</v>
      </c>
    </row>
    <row r="102" spans="1:31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2684</v>
      </c>
      <c r="O102" s="8" t="str">
        <f>PROPER(D102)</f>
        <v>Chloris Kastensmidt</v>
      </c>
      <c r="P102" s="8" t="str">
        <f>LEFT(A102,2)</f>
        <v>ES</v>
      </c>
      <c r="Q102" s="8" t="str">
        <f>MID(A102,4,4)</f>
        <v>2013</v>
      </c>
      <c r="R102" s="8" t="str">
        <f>UPPER(M102)</f>
        <v>CRTIICAL</v>
      </c>
      <c r="S102" s="8" t="str">
        <f>LOWER(G102)</f>
        <v>technology</v>
      </c>
      <c r="T102" s="18" t="str">
        <f>RIGHT(A102,5)</f>
        <v>41422</v>
      </c>
      <c r="U102" s="27" t="s">
        <v>2793</v>
      </c>
      <c r="V102" s="16" t="s">
        <v>2743</v>
      </c>
      <c r="W102" s="30">
        <v>2013</v>
      </c>
      <c r="X102" t="s">
        <v>2793</v>
      </c>
      <c r="Y102" s="28">
        <v>41422</v>
      </c>
      <c r="Z102" s="28" t="str">
        <f>TRIM(A102)</f>
        <v>ES-2013-CK1220564-41422</v>
      </c>
      <c r="AA102">
        <f t="shared" si="4"/>
        <v>2013</v>
      </c>
      <c r="AB102">
        <f t="shared" si="5"/>
        <v>5</v>
      </c>
      <c r="AC102">
        <f t="shared" si="6"/>
        <v>3</v>
      </c>
      <c r="AD102">
        <f t="shared" si="7"/>
        <v>3</v>
      </c>
      <c r="AE102" s="62">
        <f>IF(I102="missing", IFERROR(INDEX([1]lookup!$I:$I, MATCH($A102, [1]lookup!$B:$B, 0)), 0), I102)</f>
        <v>1513.56</v>
      </c>
    </row>
    <row r="103" spans="1:31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2684</v>
      </c>
      <c r="O103" s="13" t="str">
        <f>PROPER(D103)</f>
        <v>Clay Cheatham</v>
      </c>
      <c r="P103" s="13" t="str">
        <f>LEFT(A103,2)</f>
        <v>UP</v>
      </c>
      <c r="Q103" s="13" t="str">
        <f>MID(A103,4,4)</f>
        <v>2012</v>
      </c>
      <c r="R103" s="13" t="str">
        <f>UPPER(M103)</f>
        <v>CRITICAL</v>
      </c>
      <c r="S103" s="13" t="str">
        <f>LOWER(G103)</f>
        <v>furniture</v>
      </c>
      <c r="T103" s="21" t="str">
        <f>RIGHT(A103,5)</f>
        <v>41062</v>
      </c>
      <c r="U103" s="27" t="s">
        <v>2794</v>
      </c>
      <c r="V103" s="19" t="s">
        <v>2795</v>
      </c>
      <c r="W103" s="30">
        <v>2012</v>
      </c>
      <c r="X103" t="s">
        <v>2794</v>
      </c>
      <c r="Y103" s="28">
        <v>41062</v>
      </c>
      <c r="Z103" s="28" t="str">
        <f>TRIM(A103)</f>
        <v>UP-2012-CC2550137-41062</v>
      </c>
      <c r="AA103">
        <f t="shared" si="4"/>
        <v>2012</v>
      </c>
      <c r="AB103">
        <f t="shared" si="5"/>
        <v>6</v>
      </c>
      <c r="AC103">
        <f t="shared" si="6"/>
        <v>7</v>
      </c>
      <c r="AD103">
        <f t="shared" si="7"/>
        <v>2</v>
      </c>
      <c r="AE103" s="62">
        <f>IF(I103="missing", IFERROR(INDEX([1]lookup!$I:$I, MATCH($A103, [1]lookup!$B:$B, 0)), 0), I103)</f>
        <v>855.14999999999895</v>
      </c>
    </row>
    <row r="104" spans="1:31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2684</v>
      </c>
      <c r="O104" s="8" t="str">
        <f>PROPER(D104)</f>
        <v>Melanie Seite</v>
      </c>
      <c r="P104" s="8" t="str">
        <f>LEFT(A104,2)</f>
        <v>IT</v>
      </c>
      <c r="Q104" s="8" t="str">
        <f>MID(A104,4,4)</f>
        <v>2012</v>
      </c>
      <c r="R104" s="8" t="str">
        <f>UPPER(M104)</f>
        <v>CRITICAL</v>
      </c>
      <c r="S104" s="8" t="str">
        <f>LOWER(G104)</f>
        <v>technology</v>
      </c>
      <c r="T104" s="18" t="str">
        <f>RIGHT(A104,5)</f>
        <v>41103</v>
      </c>
      <c r="U104" s="27" t="s">
        <v>2796</v>
      </c>
      <c r="V104" s="16" t="s">
        <v>2710</v>
      </c>
      <c r="W104" s="30">
        <v>2012</v>
      </c>
      <c r="X104" t="s">
        <v>2796</v>
      </c>
      <c r="Y104" s="28">
        <v>41103</v>
      </c>
      <c r="Z104" s="28" t="str">
        <f>TRIM(A104)</f>
        <v>IT-2012-MS17830139-41103</v>
      </c>
      <c r="AA104">
        <f t="shared" si="4"/>
        <v>2012</v>
      </c>
      <c r="AB104">
        <f t="shared" si="5"/>
        <v>7</v>
      </c>
      <c r="AC104">
        <f t="shared" si="6"/>
        <v>6</v>
      </c>
      <c r="AD104">
        <f t="shared" si="7"/>
        <v>1</v>
      </c>
      <c r="AE104" s="62">
        <f>IF(I104="missing", IFERROR(INDEX([1]lookup!$I:$I, MATCH($A104, [1]lookup!$B:$B, 0)), 0), I104)</f>
        <v>956.34</v>
      </c>
    </row>
    <row r="105" spans="1:31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2684</v>
      </c>
      <c r="O105" s="13" t="str">
        <f>PROPER(D105)</f>
        <v>Greg Tran</v>
      </c>
      <c r="P105" s="13" t="str">
        <f>LEFT(A105,2)</f>
        <v>ES</v>
      </c>
      <c r="Q105" s="13" t="str">
        <f>MID(A105,4,4)</f>
        <v>2012</v>
      </c>
      <c r="R105" s="13" t="str">
        <f>UPPER(M105)</f>
        <v>LOW</v>
      </c>
      <c r="S105" s="13" t="str">
        <f>LOWER(G105)</f>
        <v>furniture</v>
      </c>
      <c r="T105" s="21" t="str">
        <f>RIGHT(A105,5)</f>
        <v>41198</v>
      </c>
      <c r="U105" s="27" t="s">
        <v>2797</v>
      </c>
      <c r="V105" s="19" t="s">
        <v>2743</v>
      </c>
      <c r="W105" s="30">
        <v>2012</v>
      </c>
      <c r="X105" t="s">
        <v>2797</v>
      </c>
      <c r="Y105" s="28">
        <v>41198</v>
      </c>
      <c r="Z105" s="28" t="str">
        <f>TRIM(A105)</f>
        <v>ES-2012-GT14710120-41198</v>
      </c>
      <c r="AA105">
        <f t="shared" si="4"/>
        <v>2012</v>
      </c>
      <c r="AB105">
        <f t="shared" si="5"/>
        <v>10</v>
      </c>
      <c r="AC105">
        <f t="shared" si="6"/>
        <v>3</v>
      </c>
      <c r="AD105">
        <f t="shared" si="7"/>
        <v>7</v>
      </c>
      <c r="AE105" s="62">
        <f>IF(I105="missing", IFERROR(INDEX([1]lookup!$I:$I, MATCH($A105, [1]lookup!$B:$B, 0)), 0), I105)</f>
        <v>1838.51999999999</v>
      </c>
    </row>
    <row r="106" spans="1:31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2684</v>
      </c>
      <c r="O106" s="8" t="str">
        <f>PROPER(D106)</f>
        <v>John Castell</v>
      </c>
      <c r="P106" s="8" t="str">
        <f>LEFT(A106,2)</f>
        <v>IN</v>
      </c>
      <c r="Q106" s="8" t="str">
        <f>MID(A106,4,4)</f>
        <v>2013</v>
      </c>
      <c r="R106" s="8" t="str">
        <f>UPPER(M106)</f>
        <v>CRITICAL</v>
      </c>
      <c r="S106" s="8" t="str">
        <f>LOWER(G106)</f>
        <v>furniture</v>
      </c>
      <c r="T106" s="18" t="str">
        <f>RIGHT(A106,5)</f>
        <v>41310</v>
      </c>
      <c r="U106" s="27" t="s">
        <v>2798</v>
      </c>
      <c r="V106" s="16" t="s">
        <v>2686</v>
      </c>
      <c r="W106" s="30">
        <v>2013</v>
      </c>
      <c r="X106" t="s">
        <v>2798</v>
      </c>
      <c r="Y106" s="28">
        <v>41310</v>
      </c>
      <c r="Z106" s="28" t="str">
        <f>TRIM(A106)</f>
        <v>IN-2013-JC157757-41310</v>
      </c>
      <c r="AA106">
        <f t="shared" si="4"/>
        <v>2013</v>
      </c>
      <c r="AB106">
        <f t="shared" si="5"/>
        <v>2</v>
      </c>
      <c r="AC106">
        <f t="shared" si="6"/>
        <v>3</v>
      </c>
      <c r="AD106">
        <f t="shared" si="7"/>
        <v>3</v>
      </c>
      <c r="AE106" s="62">
        <f>IF(I106="missing", IFERROR(INDEX([1]lookup!$I:$I, MATCH($A106, [1]lookup!$B:$B, 0)), 0), I106)</f>
        <v>819.93599999999901</v>
      </c>
    </row>
    <row r="107" spans="1:31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2684</v>
      </c>
      <c r="O107" s="13" t="str">
        <f>PROPER(D107)</f>
        <v>Mitch Gastineau</v>
      </c>
      <c r="P107" s="13" t="str">
        <f>LEFT(A107,2)</f>
        <v>IN</v>
      </c>
      <c r="Q107" s="13" t="str">
        <f>MID(A107,4,4)</f>
        <v>2012</v>
      </c>
      <c r="R107" s="13" t="str">
        <f>UPPER(M107)</f>
        <v>HIGH</v>
      </c>
      <c r="S107" s="13" t="str">
        <f>LOWER(G107)</f>
        <v>technology</v>
      </c>
      <c r="T107" s="21" t="str">
        <f>RIGHT(A107,5)</f>
        <v>40962</v>
      </c>
      <c r="U107" s="27" t="s">
        <v>2799</v>
      </c>
      <c r="V107" s="19" t="s">
        <v>2686</v>
      </c>
      <c r="W107" s="30">
        <v>2012</v>
      </c>
      <c r="X107" t="s">
        <v>2799</v>
      </c>
      <c r="Y107" s="28">
        <v>40962</v>
      </c>
      <c r="Z107" s="28" t="str">
        <f>TRIM(A107)</f>
        <v>IN-2012-MG1820558-40962</v>
      </c>
      <c r="AA107">
        <f t="shared" si="4"/>
        <v>2012</v>
      </c>
      <c r="AB107">
        <f t="shared" si="5"/>
        <v>2</v>
      </c>
      <c r="AC107">
        <f t="shared" si="6"/>
        <v>5</v>
      </c>
      <c r="AD107">
        <f t="shared" si="7"/>
        <v>3</v>
      </c>
      <c r="AE107" s="62">
        <f>IF(I107="missing", IFERROR(INDEX([1]lookup!$I:$I, MATCH($A107, [1]lookup!$B:$B, 0)), 0), I107)</f>
        <v>1526.52</v>
      </c>
    </row>
    <row r="108" spans="1:31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2684</v>
      </c>
      <c r="O108" s="8" t="str">
        <f>PROPER(D108)</f>
        <v>Adam Shillingsburg</v>
      </c>
      <c r="P108" s="8" t="str">
        <f>LEFT(A108,2)</f>
        <v>CA</v>
      </c>
      <c r="Q108" s="8" t="str">
        <f>MID(A108,4,4)</f>
        <v>2012</v>
      </c>
      <c r="R108" s="8" t="str">
        <f>UPPER(M108)</f>
        <v>MEDIUM</v>
      </c>
      <c r="S108" s="8" t="str">
        <f>LOWER(G108)</f>
        <v>office supplies</v>
      </c>
      <c r="T108" s="18" t="str">
        <f>RIGHT(A108,5)</f>
        <v>41173</v>
      </c>
      <c r="U108" s="27" t="s">
        <v>2775</v>
      </c>
      <c r="V108" s="16" t="s">
        <v>2689</v>
      </c>
      <c r="W108" s="30">
        <v>2012</v>
      </c>
      <c r="X108" t="s">
        <v>2775</v>
      </c>
      <c r="Y108" s="28">
        <v>41173</v>
      </c>
      <c r="Z108" s="28" t="str">
        <f>TRIM(A108)</f>
        <v>CA-2012-AS10090140-41173</v>
      </c>
      <c r="AA108">
        <f t="shared" si="4"/>
        <v>2012</v>
      </c>
      <c r="AB108">
        <f t="shared" si="5"/>
        <v>9</v>
      </c>
      <c r="AC108">
        <f t="shared" si="6"/>
        <v>6</v>
      </c>
      <c r="AD108">
        <f t="shared" si="7"/>
        <v>7</v>
      </c>
      <c r="AE108" s="62">
        <f>IF(I108="missing", IFERROR(INDEX([1]lookup!$I:$I, MATCH($A108, [1]lookup!$B:$B, 0)), 0), I108)</f>
        <v>3.984</v>
      </c>
    </row>
    <row r="109" spans="1:31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2684</v>
      </c>
      <c r="O109" s="13" t="str">
        <f>PROPER(D109)</f>
        <v>Patrick Bzostek</v>
      </c>
      <c r="P109" s="13" t="str">
        <f>LEFT(A109,2)</f>
        <v>MX</v>
      </c>
      <c r="Q109" s="13" t="str">
        <f>MID(A109,4,4)</f>
        <v>2014</v>
      </c>
      <c r="R109" s="13" t="str">
        <f>UPPER(M109)</f>
        <v>LOW</v>
      </c>
      <c r="S109" s="13" t="str">
        <f>LOWER(G109)</f>
        <v>technology</v>
      </c>
      <c r="T109" s="21" t="str">
        <f>RIGHT(A109,5)</f>
        <v>41942</v>
      </c>
      <c r="U109" s="27" t="s">
        <v>2800</v>
      </c>
      <c r="V109" s="19" t="s">
        <v>2718</v>
      </c>
      <c r="W109" s="30">
        <v>2014</v>
      </c>
      <c r="X109" t="s">
        <v>2800</v>
      </c>
      <c r="Y109" s="28">
        <v>41942</v>
      </c>
      <c r="Z109" s="28" t="str">
        <f>TRIM(A109)</f>
        <v>MX-2014-PB1880593-41942</v>
      </c>
      <c r="AA109">
        <f t="shared" si="4"/>
        <v>2014</v>
      </c>
      <c r="AB109">
        <f t="shared" si="5"/>
        <v>10</v>
      </c>
      <c r="AC109">
        <f t="shared" si="6"/>
        <v>5</v>
      </c>
      <c r="AD109">
        <f t="shared" si="7"/>
        <v>6</v>
      </c>
      <c r="AE109" s="62">
        <f>IF(I109="missing", IFERROR(INDEX([1]lookup!$I:$I, MATCH($A109, [1]lookup!$B:$B, 0)), 0), I109)</f>
        <v>2125</v>
      </c>
    </row>
    <row r="110" spans="1:31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2684</v>
      </c>
      <c r="O110" s="8" t="str">
        <f>PROPER(D110)</f>
        <v>Benjamin Patterson</v>
      </c>
      <c r="P110" s="8" t="str">
        <f>LEFT(A110,2)</f>
        <v>CM</v>
      </c>
      <c r="Q110" s="8" t="str">
        <f>MID(A110,4,4)</f>
        <v>2013</v>
      </c>
      <c r="R110" s="8" t="str">
        <f>UPPER(M110)</f>
        <v>CRITICAL</v>
      </c>
      <c r="S110" s="8" t="str">
        <f>LOWER(G110)</f>
        <v>technology</v>
      </c>
      <c r="T110" s="18" t="str">
        <f>RIGHT(A110,5)</f>
        <v>41621</v>
      </c>
      <c r="U110" s="27" t="s">
        <v>2801</v>
      </c>
      <c r="V110" s="16" t="s">
        <v>2802</v>
      </c>
      <c r="W110" s="30">
        <v>2013</v>
      </c>
      <c r="X110" t="s">
        <v>2801</v>
      </c>
      <c r="Y110" s="28">
        <v>41621</v>
      </c>
      <c r="Z110" s="28" t="str">
        <f>TRIM(A110)</f>
        <v>CM-2013-BP123022-41621</v>
      </c>
      <c r="AA110">
        <f t="shared" si="4"/>
        <v>2013</v>
      </c>
      <c r="AB110">
        <f t="shared" si="5"/>
        <v>12</v>
      </c>
      <c r="AC110">
        <f t="shared" si="6"/>
        <v>6</v>
      </c>
      <c r="AD110">
        <f t="shared" si="7"/>
        <v>2</v>
      </c>
      <c r="AE110" s="62">
        <f>IF(I110="missing", IFERROR(INDEX([1]lookup!$I:$I, MATCH($A110, [1]lookup!$B:$B, 0)), 0), I110)</f>
        <v>976.08</v>
      </c>
    </row>
    <row r="111" spans="1:31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2684</v>
      </c>
      <c r="O111" s="13" t="str">
        <f>PROPER(D111)</f>
        <v>Adam Shillingsburg</v>
      </c>
      <c r="P111" s="13" t="str">
        <f>LEFT(A111,2)</f>
        <v>CA</v>
      </c>
      <c r="Q111" s="13" t="str">
        <f>MID(A111,4,4)</f>
        <v>2012</v>
      </c>
      <c r="R111" s="13" t="str">
        <f>UPPER(M111)</f>
        <v>MEDIUM</v>
      </c>
      <c r="S111" s="13" t="str">
        <f>LOWER(G111)</f>
        <v>office supplies</v>
      </c>
      <c r="T111" s="21" t="str">
        <f>RIGHT(A111,5)</f>
        <v>1173#</v>
      </c>
      <c r="U111" s="27" t="s">
        <v>2775</v>
      </c>
      <c r="V111" s="19" t="s">
        <v>2689</v>
      </c>
      <c r="W111" s="30">
        <v>2012</v>
      </c>
      <c r="X111" t="s">
        <v>2775</v>
      </c>
      <c r="Y111" s="28" t="s">
        <v>2803</v>
      </c>
      <c r="Z111" s="28" t="str">
        <f>TRIM(A111)</f>
        <v>CA-2012-AS10090140-41173#</v>
      </c>
      <c r="AA111">
        <f t="shared" si="4"/>
        <v>2012</v>
      </c>
      <c r="AB111">
        <f t="shared" si="5"/>
        <v>9</v>
      </c>
      <c r="AC111">
        <f t="shared" si="6"/>
        <v>6</v>
      </c>
      <c r="AD111">
        <f t="shared" si="7"/>
        <v>7</v>
      </c>
      <c r="AE111" s="62">
        <f>IF(I111="missing", IFERROR(INDEX([1]lookup!$I:$I, MATCH($A111, [1]lookup!$B:$B, 0)), 0), I111)</f>
        <v>13.04</v>
      </c>
    </row>
    <row r="112" spans="1:31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2684</v>
      </c>
      <c r="O112" s="8" t="str">
        <f>PROPER(D112)</f>
        <v>Dennis Bolton</v>
      </c>
      <c r="P112" s="8" t="str">
        <f>LEFT(A112,2)</f>
        <v>ZA</v>
      </c>
      <c r="Q112" s="8" t="str">
        <f>MID(A112,4,4)</f>
        <v>2012</v>
      </c>
      <c r="R112" s="8" t="str">
        <f>UPPER(M112)</f>
        <v>CRITICAL</v>
      </c>
      <c r="S112" s="8" t="str">
        <f>LOWER(G112)</f>
        <v>furniture</v>
      </c>
      <c r="T112" s="18" t="str">
        <f>RIGHT(A112,5)</f>
        <v>41159</v>
      </c>
      <c r="U112" s="27" t="s">
        <v>2804</v>
      </c>
      <c r="V112" s="16" t="s">
        <v>2805</v>
      </c>
      <c r="W112" s="30">
        <v>2012</v>
      </c>
      <c r="X112" t="s">
        <v>2804</v>
      </c>
      <c r="Y112" s="28">
        <v>41159</v>
      </c>
      <c r="Z112" s="28" t="str">
        <f>TRIM(A112)</f>
        <v>ZA-2012-DB3360146-41159</v>
      </c>
      <c r="AA112">
        <f t="shared" si="4"/>
        <v>2012</v>
      </c>
      <c r="AB112">
        <f t="shared" si="5"/>
        <v>9</v>
      </c>
      <c r="AC112">
        <f t="shared" si="6"/>
        <v>6</v>
      </c>
      <c r="AD112">
        <f t="shared" si="7"/>
        <v>2</v>
      </c>
      <c r="AE112" s="62">
        <f>IF(I112="missing", IFERROR(INDEX([1]lookup!$I:$I, MATCH($A112, [1]lookup!$B:$B, 0)), 0), I112)</f>
        <v>2134.4399999999901</v>
      </c>
    </row>
    <row r="113" spans="1:31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2684</v>
      </c>
      <c r="O113" s="13" t="str">
        <f>PROPER(D113)</f>
        <v>Neil Franzã¶Sisch</v>
      </c>
      <c r="P113" s="13" t="str">
        <f>LEFT(A113,2)</f>
        <v>IN</v>
      </c>
      <c r="Q113" s="13" t="str">
        <f>MID(A113,4,4)</f>
        <v>2014</v>
      </c>
      <c r="R113" s="13" t="str">
        <f>UPPER(M113)</f>
        <v>CRITICAL</v>
      </c>
      <c r="S113" s="13" t="str">
        <f>LOWER(G113)</f>
        <v>office supplies</v>
      </c>
      <c r="T113" s="21" t="str">
        <f>RIGHT(A113,5)</f>
        <v>41741</v>
      </c>
      <c r="U113" s="27" t="s">
        <v>2806</v>
      </c>
      <c r="V113" s="19" t="s">
        <v>2686</v>
      </c>
      <c r="W113" s="30">
        <v>2014</v>
      </c>
      <c r="X113" t="s">
        <v>2806</v>
      </c>
      <c r="Y113" s="28">
        <v>41741</v>
      </c>
      <c r="Z113" s="28" t="str">
        <f>TRIM(A113)</f>
        <v>IN-2014-NF1847527-41741</v>
      </c>
      <c r="AA113">
        <f t="shared" si="4"/>
        <v>2014</v>
      </c>
      <c r="AB113">
        <f t="shared" si="5"/>
        <v>4</v>
      </c>
      <c r="AC113">
        <f t="shared" si="6"/>
        <v>7</v>
      </c>
      <c r="AD113">
        <f t="shared" si="7"/>
        <v>2</v>
      </c>
      <c r="AE113" s="62">
        <f>IF(I113="missing", IFERROR(INDEX([1]lookup!$I:$I, MATCH($A113, [1]lookup!$B:$B, 0)), 0), I113)</f>
        <v>899.55</v>
      </c>
    </row>
    <row r="114" spans="1:31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2684</v>
      </c>
      <c r="O114" s="8" t="str">
        <f>PROPER(D114)</f>
        <v>Liz Carlisle</v>
      </c>
      <c r="P114" s="8" t="str">
        <f>LEFT(A114,2)</f>
        <v>ID</v>
      </c>
      <c r="Q114" s="8" t="str">
        <f>MID(A114,4,4)</f>
        <v>2013</v>
      </c>
      <c r="R114" s="8" t="str">
        <f>UPPER(M114)</f>
        <v>CRITICAL</v>
      </c>
      <c r="S114" s="8" t="str">
        <f>LOWER(G114)</f>
        <v>furniture</v>
      </c>
      <c r="T114" s="18" t="str">
        <f>RIGHT(A114,5)</f>
        <v>41560</v>
      </c>
      <c r="U114" s="27" t="s">
        <v>2807</v>
      </c>
      <c r="V114" s="16" t="s">
        <v>2738</v>
      </c>
      <c r="W114" s="30">
        <v>2013</v>
      </c>
      <c r="X114" t="s">
        <v>2807</v>
      </c>
      <c r="Y114" s="28">
        <v>41560</v>
      </c>
      <c r="Z114" s="28" t="str">
        <f>TRIM(A114)</f>
        <v>ID-2013-LC1705092-41560</v>
      </c>
      <c r="AA114">
        <f t="shared" si="4"/>
        <v>2013</v>
      </c>
      <c r="AB114">
        <f t="shared" si="5"/>
        <v>10</v>
      </c>
      <c r="AC114">
        <f t="shared" si="6"/>
        <v>1</v>
      </c>
      <c r="AD114">
        <f t="shared" si="7"/>
        <v>3</v>
      </c>
      <c r="AE114" s="62">
        <f>IF(I114="missing", IFERROR(INDEX([1]lookup!$I:$I, MATCH($A114, [1]lookup!$B:$B, 0)), 0), I114)</f>
        <v>1136.66399999999</v>
      </c>
    </row>
    <row r="115" spans="1:31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2684</v>
      </c>
      <c r="O115" s="13" t="str">
        <f>PROPER(D115)</f>
        <v>Ruben Ausman</v>
      </c>
      <c r="P115" s="13" t="str">
        <f>LEFT(A115,2)</f>
        <v>IN</v>
      </c>
      <c r="Q115" s="13" t="str">
        <f>MID(A115,4,4)</f>
        <v>2015</v>
      </c>
      <c r="R115" s="13" t="str">
        <f>UPPER(M115)</f>
        <v>HIGH</v>
      </c>
      <c r="S115" s="13" t="str">
        <f>LOWER(G115)</f>
        <v>furniture</v>
      </c>
      <c r="T115" s="21" t="str">
        <f>RIGHT(A115,5)</f>
        <v>42034</v>
      </c>
      <c r="U115" s="27" t="s">
        <v>2808</v>
      </c>
      <c r="V115" s="19" t="s">
        <v>2686</v>
      </c>
      <c r="W115" s="30">
        <v>2015</v>
      </c>
      <c r="X115" t="s">
        <v>2808</v>
      </c>
      <c r="Y115" s="28">
        <v>42034</v>
      </c>
      <c r="Z115" s="28" t="str">
        <f>TRIM(A115)</f>
        <v>IN-2015-RA1988527-42034</v>
      </c>
      <c r="AA115">
        <f t="shared" si="4"/>
        <v>2015</v>
      </c>
      <c r="AB115">
        <f t="shared" si="5"/>
        <v>1</v>
      </c>
      <c r="AC115">
        <f t="shared" si="6"/>
        <v>6</v>
      </c>
      <c r="AD115">
        <f t="shared" si="7"/>
        <v>4</v>
      </c>
      <c r="AE115" s="62">
        <f>IF(I115="missing", IFERROR(INDEX([1]lookup!$I:$I, MATCH($A115, [1]lookup!$B:$B, 0)), 0), I115)</f>
        <v>2300.99999999999</v>
      </c>
    </row>
    <row r="116" spans="1:31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2684</v>
      </c>
      <c r="O116" s="8" t="str">
        <f>PROPER(D116)</f>
        <v>Adrian Barton</v>
      </c>
      <c r="P116" s="8" t="str">
        <f>LEFT(A116,2)</f>
        <v>CA</v>
      </c>
      <c r="Q116" s="8" t="str">
        <f>MID(A116,4,4)</f>
        <v>2015</v>
      </c>
      <c r="R116" s="8" t="str">
        <f>UPPER(M116)</f>
        <v>HIGH</v>
      </c>
      <c r="S116" s="8" t="str">
        <f>LOWER(G116)</f>
        <v>technology</v>
      </c>
      <c r="T116" s="18" t="str">
        <f>RIGHT(A116,5)</f>
        <v>42161</v>
      </c>
      <c r="U116" s="27" t="s">
        <v>2809</v>
      </c>
      <c r="V116" s="16" t="s">
        <v>2689</v>
      </c>
      <c r="W116" s="30">
        <v>2015</v>
      </c>
      <c r="X116" t="s">
        <v>2809</v>
      </c>
      <c r="Y116" s="28">
        <v>42161</v>
      </c>
      <c r="Z116" s="28" t="str">
        <f>TRIM(A116)</f>
        <v>CA-2015-AB10105140-42161</v>
      </c>
      <c r="AA116">
        <f t="shared" si="4"/>
        <v>2015</v>
      </c>
      <c r="AB116">
        <f t="shared" si="5"/>
        <v>6</v>
      </c>
      <c r="AC116">
        <f t="shared" si="6"/>
        <v>7</v>
      </c>
      <c r="AD116">
        <f t="shared" si="7"/>
        <v>1</v>
      </c>
      <c r="AE116" s="62">
        <f>IF(I116="missing", IFERROR(INDEX([1]lookup!$I:$I, MATCH($A116, [1]lookup!$B:$B, 0)), 0), I116)</f>
        <v>470.37599999999998</v>
      </c>
    </row>
    <row r="117" spans="1:31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2684</v>
      </c>
      <c r="O117" s="13" t="str">
        <f>PROPER(D117)</f>
        <v>Eric Murdock</v>
      </c>
      <c r="P117" s="13" t="str">
        <f>LEFT(A117,2)</f>
        <v>ID</v>
      </c>
      <c r="Q117" s="13" t="str">
        <f>MID(A117,4,4)</f>
        <v>2014</v>
      </c>
      <c r="R117" s="13" t="str">
        <f>UPPER(M117)</f>
        <v>HIGH</v>
      </c>
      <c r="S117" s="13" t="str">
        <f>LOWER(G117)</f>
        <v>office supplies</v>
      </c>
      <c r="T117" s="21" t="str">
        <f>RIGHT(A117,5)</f>
        <v>41901</v>
      </c>
      <c r="U117" s="27" t="s">
        <v>2810</v>
      </c>
      <c r="V117" s="19" t="s">
        <v>2738</v>
      </c>
      <c r="W117" s="30">
        <v>2014</v>
      </c>
      <c r="X117" t="s">
        <v>2810</v>
      </c>
      <c r="Y117" s="28">
        <v>41901</v>
      </c>
      <c r="Z117" s="28" t="str">
        <f>TRIM(A117)</f>
        <v>ID-2014-EM1396058-41901</v>
      </c>
      <c r="AA117">
        <f t="shared" si="4"/>
        <v>2014</v>
      </c>
      <c r="AB117">
        <f t="shared" si="5"/>
        <v>9</v>
      </c>
      <c r="AC117">
        <f t="shared" si="6"/>
        <v>6</v>
      </c>
      <c r="AD117">
        <f t="shared" si="7"/>
        <v>4</v>
      </c>
      <c r="AE117" s="62">
        <f>IF(I117="missing", IFERROR(INDEX([1]lookup!$I:$I, MATCH($A117, [1]lookup!$B:$B, 0)), 0), I117)</f>
        <v>2249.16</v>
      </c>
    </row>
    <row r="118" spans="1:31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2684</v>
      </c>
      <c r="O118" s="8" t="str">
        <f>PROPER(D118)</f>
        <v>Adrian Barton</v>
      </c>
      <c r="P118" s="8" t="str">
        <f>LEFT(A118,2)</f>
        <v>CA</v>
      </c>
      <c r="Q118" s="8" t="str">
        <f>MID(A118,4,4)</f>
        <v>2012</v>
      </c>
      <c r="R118" s="8" t="str">
        <f>UPPER(M118)</f>
        <v>MEDIUM</v>
      </c>
      <c r="S118" s="8" t="str">
        <f>LOWER(G118)</f>
        <v>office supplies</v>
      </c>
      <c r="T118" s="18" t="str">
        <f>RIGHT(A118,5)</f>
        <v>41262</v>
      </c>
      <c r="U118" s="27" t="s">
        <v>2809</v>
      </c>
      <c r="V118" s="16" t="s">
        <v>2689</v>
      </c>
      <c r="W118" s="30">
        <v>2012</v>
      </c>
      <c r="X118" t="s">
        <v>2809</v>
      </c>
      <c r="Y118" s="28">
        <v>41262</v>
      </c>
      <c r="Z118" s="28" t="str">
        <f>TRIM(A118)</f>
        <v>CA-2012-AB10105140-41262</v>
      </c>
      <c r="AA118">
        <f t="shared" si="4"/>
        <v>2012</v>
      </c>
      <c r="AB118">
        <f t="shared" si="5"/>
        <v>12</v>
      </c>
      <c r="AC118">
        <f t="shared" si="6"/>
        <v>4</v>
      </c>
      <c r="AD118">
        <f t="shared" si="7"/>
        <v>3</v>
      </c>
      <c r="AE118" s="62">
        <f>IF(I118="missing", IFERROR(INDEX([1]lookup!$I:$I, MATCH($A118, [1]lookup!$B:$B, 0)), 0), I118)</f>
        <v>1103.97</v>
      </c>
    </row>
    <row r="119" spans="1:31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2684</v>
      </c>
      <c r="O119" s="13" t="str">
        <f>PROPER(D119)</f>
        <v>Adrian Barton</v>
      </c>
      <c r="P119" s="13" t="str">
        <f>LEFT(A119,2)</f>
        <v>CA</v>
      </c>
      <c r="Q119" s="13" t="str">
        <f>MID(A119,4,4)</f>
        <v>2015</v>
      </c>
      <c r="R119" s="13" t="str">
        <f>UPPER(M119)</f>
        <v>MEDIUM</v>
      </c>
      <c r="S119" s="13" t="str">
        <f>LOWER(G119)</f>
        <v>technology</v>
      </c>
      <c r="T119" s="21" t="str">
        <f>RIGHT(A119,5)</f>
        <v>42143</v>
      </c>
      <c r="U119" s="27" t="s">
        <v>2809</v>
      </c>
      <c r="V119" s="19" t="s">
        <v>2689</v>
      </c>
      <c r="W119" s="30">
        <v>2015</v>
      </c>
      <c r="X119" t="s">
        <v>2809</v>
      </c>
      <c r="Y119" s="28">
        <v>42143</v>
      </c>
      <c r="Z119" s="28" t="str">
        <f>TRIM(A119)</f>
        <v>CA-2015-AB10105140-42143</v>
      </c>
      <c r="AA119">
        <f t="shared" si="4"/>
        <v>2015</v>
      </c>
      <c r="AB119">
        <f t="shared" si="5"/>
        <v>5</v>
      </c>
      <c r="AC119">
        <f t="shared" si="6"/>
        <v>3</v>
      </c>
      <c r="AD119">
        <f t="shared" si="7"/>
        <v>2</v>
      </c>
      <c r="AE119" s="62">
        <f>IF(I119="missing", IFERROR(INDEX([1]lookup!$I:$I, MATCH($A119, [1]lookup!$B:$B, 0)), 0), I119)</f>
        <v>344.70400000000001</v>
      </c>
    </row>
    <row r="120" spans="1:31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2684</v>
      </c>
      <c r="O120" s="8" t="str">
        <f>PROPER(D120)</f>
        <v>Stewart Visinsky</v>
      </c>
      <c r="P120" s="8" t="str">
        <f>LEFT(A120,2)</f>
        <v>ES</v>
      </c>
      <c r="Q120" s="8" t="str">
        <f>MID(A120,4,4)</f>
        <v>2014</v>
      </c>
      <c r="R120" s="8" t="str">
        <f>UPPER(M120)</f>
        <v>HIGH</v>
      </c>
      <c r="S120" s="8" t="str">
        <f>LOWER(G120)</f>
        <v>technology</v>
      </c>
      <c r="T120" s="18" t="str">
        <f>RIGHT(A120,5)</f>
        <v>41807</v>
      </c>
      <c r="U120" s="27" t="s">
        <v>2811</v>
      </c>
      <c r="V120" s="16" t="s">
        <v>2743</v>
      </c>
      <c r="W120" s="30">
        <v>2014</v>
      </c>
      <c r="X120" t="s">
        <v>2811</v>
      </c>
      <c r="Y120" s="28">
        <v>41807</v>
      </c>
      <c r="Z120" s="28" t="str">
        <f>TRIM(A120)</f>
        <v>ES-2014-SV2078545-41807</v>
      </c>
      <c r="AA120">
        <f t="shared" si="4"/>
        <v>2014</v>
      </c>
      <c r="AB120">
        <f t="shared" si="5"/>
        <v>6</v>
      </c>
      <c r="AC120">
        <f t="shared" si="6"/>
        <v>3</v>
      </c>
      <c r="AD120">
        <f t="shared" si="7"/>
        <v>2</v>
      </c>
      <c r="AE120" s="62">
        <f>IF(I120="missing", IFERROR(INDEX([1]lookup!$I:$I, MATCH($A120, [1]lookup!$B:$B, 0)), 0), I120)</f>
        <v>1244.0999999999999</v>
      </c>
    </row>
    <row r="121" spans="1:31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2684</v>
      </c>
      <c r="O121" s="13" t="str">
        <f>PROPER(D121)</f>
        <v>Chad Sievert</v>
      </c>
      <c r="P121" s="13" t="str">
        <f>LEFT(A121,2)</f>
        <v>IN</v>
      </c>
      <c r="Q121" s="13" t="str">
        <f>MID(A121,4,4)</f>
        <v>2015</v>
      </c>
      <c r="R121" s="13" t="str">
        <f>UPPER(M121)</f>
        <v>HIGH</v>
      </c>
      <c r="S121" s="13" t="str">
        <f>LOWER(G121)</f>
        <v>furniture</v>
      </c>
      <c r="T121" s="21" t="str">
        <f>RIGHT(A121,5)</f>
        <v>42266</v>
      </c>
      <c r="U121" s="27" t="s">
        <v>2812</v>
      </c>
      <c r="V121" s="19" t="s">
        <v>2686</v>
      </c>
      <c r="W121" s="30">
        <v>2015</v>
      </c>
      <c r="X121" t="s">
        <v>2812</v>
      </c>
      <c r="Y121" s="28">
        <v>42266</v>
      </c>
      <c r="Z121" s="28" t="str">
        <f>TRIM(A121)</f>
        <v>IN-2015-CS121307-42266</v>
      </c>
      <c r="AA121">
        <f t="shared" si="4"/>
        <v>2015</v>
      </c>
      <c r="AB121">
        <f t="shared" si="5"/>
        <v>9</v>
      </c>
      <c r="AC121">
        <f t="shared" si="6"/>
        <v>7</v>
      </c>
      <c r="AD121">
        <f t="shared" si="7"/>
        <v>2</v>
      </c>
      <c r="AE121" s="62">
        <f>IF(I121="missing", IFERROR(INDEX([1]lookup!$I:$I, MATCH($A121, [1]lookup!$B:$B, 0)), 0), I121)</f>
        <v>1586.41199999999</v>
      </c>
    </row>
    <row r="122" spans="1:31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2684</v>
      </c>
      <c r="O122" s="8" t="str">
        <f>PROPER(D122)</f>
        <v>Maureen Gastineau</v>
      </c>
      <c r="P122" s="8" t="str">
        <f>LEFT(A122,2)</f>
        <v>IR</v>
      </c>
      <c r="Q122" s="8" t="str">
        <f>MID(A122,4,4)</f>
        <v>2015</v>
      </c>
      <c r="R122" s="8" t="str">
        <f>UPPER(M122)</f>
        <v>CRITICAL</v>
      </c>
      <c r="S122" s="8" t="str">
        <f>LOWER(G122)</f>
        <v>furniture</v>
      </c>
      <c r="T122" s="18" t="str">
        <f>RIGHT(A122,5)</f>
        <v>42109</v>
      </c>
      <c r="U122" s="27" t="s">
        <v>2813</v>
      </c>
      <c r="V122" s="16" t="s">
        <v>2814</v>
      </c>
      <c r="W122" s="30">
        <v>2015</v>
      </c>
      <c r="X122" t="s">
        <v>2813</v>
      </c>
      <c r="Y122" s="28">
        <v>42109</v>
      </c>
      <c r="Z122" s="28" t="str">
        <f>TRIM(A122)</f>
        <v>IR-2015-MG768060-42109</v>
      </c>
      <c r="AA122">
        <f t="shared" si="4"/>
        <v>2015</v>
      </c>
      <c r="AB122">
        <f t="shared" si="5"/>
        <v>4</v>
      </c>
      <c r="AC122">
        <f t="shared" si="6"/>
        <v>4</v>
      </c>
      <c r="AD122">
        <f t="shared" si="7"/>
        <v>3</v>
      </c>
      <c r="AE122" s="62">
        <f>IF(I122="missing", IFERROR(INDEX([1]lookup!$I:$I, MATCH($A122, [1]lookup!$B:$B, 0)), 0), I122)</f>
        <v>731.34</v>
      </c>
    </row>
    <row r="123" spans="1:31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2684</v>
      </c>
      <c r="O123" s="13" t="str">
        <f>PROPER(D123)</f>
        <v>Adrian Barton</v>
      </c>
      <c r="P123" s="13" t="str">
        <f>LEFT(A123,2)</f>
        <v>CA</v>
      </c>
      <c r="Q123" s="13" t="str">
        <f>MID(A123,4,4)</f>
        <v>2013</v>
      </c>
      <c r="R123" s="13" t="str">
        <f>UPPER(M123)</f>
        <v>MEDIUM</v>
      </c>
      <c r="S123" s="13" t="str">
        <f>LOWER(G123)</f>
        <v>technology</v>
      </c>
      <c r="T123" s="21" t="str">
        <f>RIGHT(A123,5)</f>
        <v>41585</v>
      </c>
      <c r="U123" s="27" t="s">
        <v>2809</v>
      </c>
      <c r="V123" s="19" t="s">
        <v>2689</v>
      </c>
      <c r="W123" s="30">
        <v>2013</v>
      </c>
      <c r="X123" t="s">
        <v>2809</v>
      </c>
      <c r="Y123" s="28">
        <v>41585</v>
      </c>
      <c r="Z123" s="28" t="str">
        <f>TRIM(A123)</f>
        <v>CA-2013-AB10105140-41585</v>
      </c>
      <c r="AA123">
        <f t="shared" si="4"/>
        <v>2013</v>
      </c>
      <c r="AB123">
        <f t="shared" si="5"/>
        <v>11</v>
      </c>
      <c r="AC123">
        <f t="shared" si="6"/>
        <v>5</v>
      </c>
      <c r="AD123">
        <f t="shared" si="7"/>
        <v>5</v>
      </c>
      <c r="AE123" s="62">
        <f>IF(I123="missing", IFERROR(INDEX([1]lookup!$I:$I, MATCH($A123, [1]lookup!$B:$B, 0)), 0), I123)</f>
        <v>287.909999999999</v>
      </c>
    </row>
    <row r="124" spans="1:31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2684</v>
      </c>
      <c r="O124" s="8" t="str">
        <f>PROPER(D124)</f>
        <v>Cindy Chapman</v>
      </c>
      <c r="P124" s="8" t="str">
        <f>LEFT(A124,2)</f>
        <v>IN</v>
      </c>
      <c r="Q124" s="8" t="str">
        <f>MID(A124,4,4)</f>
        <v>2015</v>
      </c>
      <c r="R124" s="8" t="str">
        <f>UPPER(M124)</f>
        <v>HIGH</v>
      </c>
      <c r="S124" s="8" t="str">
        <f>LOWER(G124)</f>
        <v>technology</v>
      </c>
      <c r="T124" s="18" t="str">
        <f>RIGHT(A124,5)</f>
        <v>42129</v>
      </c>
      <c r="U124" s="27" t="s">
        <v>2815</v>
      </c>
      <c r="V124" s="16" t="s">
        <v>2686</v>
      </c>
      <c r="W124" s="30">
        <v>2015</v>
      </c>
      <c r="X124" t="s">
        <v>2815</v>
      </c>
      <c r="Y124" s="28">
        <v>42129</v>
      </c>
      <c r="Z124" s="28" t="str">
        <f>TRIM(A124)</f>
        <v>IN-2015-CC1247558-42129</v>
      </c>
      <c r="AA124">
        <f t="shared" si="4"/>
        <v>2015</v>
      </c>
      <c r="AB124">
        <f t="shared" si="5"/>
        <v>5</v>
      </c>
      <c r="AC124">
        <f t="shared" si="6"/>
        <v>3</v>
      </c>
      <c r="AD124">
        <f t="shared" si="7"/>
        <v>2</v>
      </c>
      <c r="AE124" s="62">
        <f>IF(I124="missing", IFERROR(INDEX([1]lookup!$I:$I, MATCH($A124, [1]lookup!$B:$B, 0)), 0), I124)</f>
        <v>1272.72</v>
      </c>
    </row>
    <row r="125" spans="1:31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2684</v>
      </c>
      <c r="O125" s="13" t="str">
        <f>PROPER(D125)</f>
        <v>Sara Luxemburg</v>
      </c>
      <c r="P125" s="13" t="str">
        <f>LEFT(A125,2)</f>
        <v>US</v>
      </c>
      <c r="Q125" s="13" t="str">
        <f>MID(A125,4,4)</f>
        <v>2013</v>
      </c>
      <c r="R125" s="13" t="str">
        <f>UPPER(M125)</f>
        <v>CRITICAL</v>
      </c>
      <c r="S125" s="13" t="str">
        <f>LOWER(G125)</f>
        <v>furniture</v>
      </c>
      <c r="T125" s="21" t="str">
        <f>RIGHT(A125,5)</f>
        <v>41422</v>
      </c>
      <c r="U125" s="27" t="s">
        <v>2816</v>
      </c>
      <c r="V125" s="19" t="s">
        <v>2694</v>
      </c>
      <c r="W125" s="30">
        <v>2013</v>
      </c>
      <c r="X125" t="s">
        <v>2816</v>
      </c>
      <c r="Y125" s="28">
        <v>41422</v>
      </c>
      <c r="Z125" s="28" t="str">
        <f>TRIM(A125)</f>
        <v>US-2013-SL2015582-41422</v>
      </c>
      <c r="AA125">
        <f t="shared" si="4"/>
        <v>2013</v>
      </c>
      <c r="AB125">
        <f t="shared" si="5"/>
        <v>5</v>
      </c>
      <c r="AC125">
        <f t="shared" si="6"/>
        <v>3</v>
      </c>
      <c r="AD125">
        <f t="shared" si="7"/>
        <v>1</v>
      </c>
      <c r="AE125" s="62">
        <f>IF(I125="missing", IFERROR(INDEX([1]lookup!$I:$I, MATCH($A125, [1]lookup!$B:$B, 0)), 0), I125)</f>
        <v>585.45600000000002</v>
      </c>
    </row>
    <row r="126" spans="1:31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2684</v>
      </c>
      <c r="O126" s="8" t="str">
        <f>PROPER(D126)</f>
        <v>Nat Carroll</v>
      </c>
      <c r="P126" s="8" t="str">
        <f>LEFT(A126,2)</f>
        <v>LI</v>
      </c>
      <c r="Q126" s="8" t="str">
        <f>MID(A126,4,4)</f>
        <v>2015</v>
      </c>
      <c r="R126" s="8" t="str">
        <f>UPPER(M126)</f>
        <v>CRITICAL</v>
      </c>
      <c r="S126" s="8" t="str">
        <f>LOWER(G126)</f>
        <v>technology</v>
      </c>
      <c r="T126" s="18" t="str">
        <f>RIGHT(A126,5)</f>
        <v>42143</v>
      </c>
      <c r="U126" s="27" t="s">
        <v>2817</v>
      </c>
      <c r="V126" s="16" t="s">
        <v>2818</v>
      </c>
      <c r="W126" s="30">
        <v>2015</v>
      </c>
      <c r="X126" t="s">
        <v>2817</v>
      </c>
      <c r="Y126" s="28">
        <v>42143</v>
      </c>
      <c r="Z126" s="28" t="str">
        <f>TRIM(A126)</f>
        <v>LI-2015-NC834073-42143</v>
      </c>
      <c r="AA126">
        <f t="shared" si="4"/>
        <v>2015</v>
      </c>
      <c r="AB126">
        <f t="shared" si="5"/>
        <v>5</v>
      </c>
      <c r="AC126">
        <f t="shared" si="6"/>
        <v>3</v>
      </c>
      <c r="AD126">
        <f t="shared" si="7"/>
        <v>2</v>
      </c>
      <c r="AE126" s="62">
        <f>IF(I126="missing", IFERROR(INDEX([1]lookup!$I:$I, MATCH($A126, [1]lookup!$B:$B, 0)), 0), I126)</f>
        <v>1429.4399999999901</v>
      </c>
    </row>
    <row r="127" spans="1:31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2684</v>
      </c>
      <c r="O127" s="13" t="str">
        <f>PROPER(D127)</f>
        <v>Paul Stevenson</v>
      </c>
      <c r="P127" s="13" t="str">
        <f>LEFT(A127,2)</f>
        <v>MX</v>
      </c>
      <c r="Q127" s="13" t="str">
        <f>MID(A127,4,4)</f>
        <v>2015</v>
      </c>
      <c r="R127" s="13" t="str">
        <f>UPPER(M127)</f>
        <v>CRITICAL</v>
      </c>
      <c r="S127" s="13" t="str">
        <f>LOWER(G127)</f>
        <v>office supplies</v>
      </c>
      <c r="T127" s="21" t="str">
        <f>RIGHT(A127,5)</f>
        <v>42109</v>
      </c>
      <c r="U127" s="27" t="s">
        <v>2819</v>
      </c>
      <c r="V127" s="19" t="s">
        <v>2718</v>
      </c>
      <c r="W127" s="30">
        <v>2015</v>
      </c>
      <c r="X127" t="s">
        <v>2819</v>
      </c>
      <c r="Y127" s="28">
        <v>42109</v>
      </c>
      <c r="Z127" s="28" t="str">
        <f>TRIM(A127)</f>
        <v>MX-2015-PS1897028-42109</v>
      </c>
      <c r="AA127">
        <f t="shared" si="4"/>
        <v>2015</v>
      </c>
      <c r="AB127">
        <f t="shared" si="5"/>
        <v>4</v>
      </c>
      <c r="AC127">
        <f t="shared" si="6"/>
        <v>4</v>
      </c>
      <c r="AD127">
        <f t="shared" si="7"/>
        <v>2</v>
      </c>
      <c r="AE127" s="62">
        <f>IF(I127="missing", IFERROR(INDEX([1]lookup!$I:$I, MATCH($A127, [1]lookup!$B:$B, 0)), 0), I127)</f>
        <v>1792.4</v>
      </c>
    </row>
    <row r="128" spans="1:31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2684</v>
      </c>
      <c r="O128" s="8" t="str">
        <f>PROPER(D128)</f>
        <v>Cassandra Brandow</v>
      </c>
      <c r="P128" s="8" t="str">
        <f>LEFT(A128,2)</f>
        <v>PL</v>
      </c>
      <c r="Q128" s="8" t="str">
        <f>MID(A128,4,4)</f>
        <v>2015</v>
      </c>
      <c r="R128" s="8" t="str">
        <f>UPPER(M128)</f>
        <v>HIGH</v>
      </c>
      <c r="S128" s="8" t="str">
        <f>LOWER(G128)</f>
        <v>technology</v>
      </c>
      <c r="T128" s="18" t="str">
        <f>RIGHT(A128,5)</f>
        <v>42347</v>
      </c>
      <c r="U128" s="27" t="s">
        <v>2820</v>
      </c>
      <c r="V128" s="16" t="s">
        <v>2821</v>
      </c>
      <c r="W128" s="30">
        <v>2015</v>
      </c>
      <c r="X128" t="s">
        <v>2820</v>
      </c>
      <c r="Y128" s="28">
        <v>42347</v>
      </c>
      <c r="Z128" s="28" t="str">
        <f>TRIM(A128)</f>
        <v>PL-2015-CB2025103-42347</v>
      </c>
      <c r="AA128">
        <f t="shared" si="4"/>
        <v>2015</v>
      </c>
      <c r="AB128">
        <f t="shared" si="5"/>
        <v>12</v>
      </c>
      <c r="AC128">
        <f t="shared" si="6"/>
        <v>4</v>
      </c>
      <c r="AD128">
        <f t="shared" si="7"/>
        <v>3</v>
      </c>
      <c r="AE128" s="62">
        <f>IF(I128="missing", IFERROR(INDEX([1]lookup!$I:$I, MATCH($A128, [1]lookup!$B:$B, 0)), 0), I128)</f>
        <v>1188.3599999999999</v>
      </c>
    </row>
    <row r="129" spans="1:31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2684</v>
      </c>
      <c r="O129" s="13" t="str">
        <f>PROPER(D129)</f>
        <v>Sample Company A</v>
      </c>
      <c r="P129" s="13" t="str">
        <f>LEFT(A129,2)</f>
        <v>IN</v>
      </c>
      <c r="Q129" s="13" t="str">
        <f>MID(A129,4,4)</f>
        <v>2012</v>
      </c>
      <c r="R129" s="13" t="str">
        <f>UPPER(M129)</f>
        <v>HIGH</v>
      </c>
      <c r="S129" s="13" t="str">
        <f>LOWER(G129)</f>
        <v>technology</v>
      </c>
      <c r="T129" s="21" t="str">
        <f>RIGHT(A129,5)</f>
        <v>41249</v>
      </c>
      <c r="U129" s="27" t="s">
        <v>2822</v>
      </c>
      <c r="V129" s="19" t="s">
        <v>2686</v>
      </c>
      <c r="W129" s="30">
        <v>2012</v>
      </c>
      <c r="X129" t="s">
        <v>2822</v>
      </c>
      <c r="Y129" s="28">
        <v>41249</v>
      </c>
      <c r="Z129" s="28" t="str">
        <f>TRIM(A129)</f>
        <v>IN-2012-SC200507-41249</v>
      </c>
      <c r="AA129">
        <f t="shared" si="4"/>
        <v>2012</v>
      </c>
      <c r="AB129">
        <f t="shared" si="5"/>
        <v>12</v>
      </c>
      <c r="AC129">
        <f t="shared" si="6"/>
        <v>5</v>
      </c>
      <c r="AD129">
        <f t="shared" si="7"/>
        <v>4</v>
      </c>
      <c r="AE129" s="62">
        <f>IF(I129="missing", IFERROR(INDEX([1]lookup!$I:$I, MATCH($A129, [1]lookup!$B:$B, 0)), 0), I129)</f>
        <v>2875.0949999999998</v>
      </c>
    </row>
    <row r="130" spans="1:31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2684</v>
      </c>
      <c r="O130" s="8" t="str">
        <f>PROPER(D130)</f>
        <v>Anne Mcfarland</v>
      </c>
      <c r="P130" s="8" t="str">
        <f>LEFT(A130,2)</f>
        <v>IT</v>
      </c>
      <c r="Q130" s="8" t="str">
        <f>MID(A130,4,4)</f>
        <v>2014</v>
      </c>
      <c r="R130" s="8" t="str">
        <f>UPPER(M130)</f>
        <v>MEDIUM</v>
      </c>
      <c r="S130" s="8" t="str">
        <f>LOWER(G130)</f>
        <v>furniture</v>
      </c>
      <c r="T130" s="18" t="str">
        <f>RIGHT(A130,5)</f>
        <v>41892</v>
      </c>
      <c r="U130" s="27" t="s">
        <v>2823</v>
      </c>
      <c r="V130" s="16" t="s">
        <v>2710</v>
      </c>
      <c r="W130" s="30">
        <v>2014</v>
      </c>
      <c r="X130" t="s">
        <v>2823</v>
      </c>
      <c r="Y130" s="28">
        <v>41892</v>
      </c>
      <c r="Z130" s="28" t="str">
        <f>TRIM(A130)</f>
        <v>IT-2014-AM10705125-41892</v>
      </c>
      <c r="AA130">
        <f t="shared" ref="AA130:AA193" si="8">IFERROR(YEAR(B130), 0)</f>
        <v>2014</v>
      </c>
      <c r="AB130">
        <f t="shared" ref="AB130:AB193" si="9">IFERROR(MONTH(B130), 0)</f>
        <v>9</v>
      </c>
      <c r="AC130">
        <f t="shared" ref="AC130:AC193" si="10">IFERROR(WEEKDAY(B130), 0)</f>
        <v>4</v>
      </c>
      <c r="AD130">
        <f t="shared" ref="AD130:AD193" si="11">IFERROR(C130 - B130, 0)</f>
        <v>5</v>
      </c>
      <c r="AE130" s="62">
        <f>IF(I130="missing", IFERROR(INDEX([1]lookup!$I:$I, MATCH($A130, [1]lookup!$B:$B, 0)), 0), I130)</f>
        <v>0</v>
      </c>
    </row>
    <row r="131" spans="1:31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2684</v>
      </c>
      <c r="O131" s="13" t="str">
        <f>PROPER(D131)</f>
        <v>Toby Carlisle</v>
      </c>
      <c r="P131" s="13" t="str">
        <f>LEFT(A131,2)</f>
        <v>IN</v>
      </c>
      <c r="Q131" s="13" t="str">
        <f>MID(A131,4,4)</f>
        <v>2014</v>
      </c>
      <c r="R131" s="13" t="str">
        <f>UPPER(M131)</f>
        <v>HIGH</v>
      </c>
      <c r="S131" s="13" t="str">
        <f>LOWER(G131)</f>
        <v>office supplies</v>
      </c>
      <c r="T131" s="21" t="str">
        <f>RIGHT(A131,5)</f>
        <v>41962</v>
      </c>
      <c r="U131" s="27" t="s">
        <v>2824</v>
      </c>
      <c r="V131" s="19" t="s">
        <v>2686</v>
      </c>
      <c r="W131" s="30">
        <v>2014</v>
      </c>
      <c r="X131" t="s">
        <v>2824</v>
      </c>
      <c r="Y131" s="28">
        <v>41962</v>
      </c>
      <c r="Z131" s="28" t="str">
        <f>TRIM(A131)</f>
        <v>IN-2014-TC21295130-41962</v>
      </c>
      <c r="AA131">
        <f t="shared" si="8"/>
        <v>2014</v>
      </c>
      <c r="AB131">
        <f t="shared" si="9"/>
        <v>11</v>
      </c>
      <c r="AC131">
        <f t="shared" si="10"/>
        <v>4</v>
      </c>
      <c r="AD131">
        <f t="shared" si="11"/>
        <v>0</v>
      </c>
      <c r="AE131" s="62">
        <f>IF(I131="missing", IFERROR(INDEX([1]lookup!$I:$I, MATCH($A131, [1]lookup!$B:$B, 0)), 0), I131)</f>
        <v>1798.6763999999901</v>
      </c>
    </row>
    <row r="132" spans="1:31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2684</v>
      </c>
      <c r="O132" s="8" t="str">
        <f>PROPER(D132)</f>
        <v>Natalie Fritzler</v>
      </c>
      <c r="P132" s="8" t="str">
        <f>LEFT(A132,2)</f>
        <v>IN</v>
      </c>
      <c r="Q132" s="8" t="str">
        <f>MID(A132,4,4)</f>
        <v>2015</v>
      </c>
      <c r="R132" s="8" t="str">
        <f>UPPER(M132)</f>
        <v>HIGH</v>
      </c>
      <c r="S132" s="8" t="str">
        <f>LOWER(G132)</f>
        <v>technology</v>
      </c>
      <c r="T132" s="18" t="str">
        <f>RIGHT(A132,5)</f>
        <v>42279</v>
      </c>
      <c r="U132" s="27" t="s">
        <v>2825</v>
      </c>
      <c r="V132" s="16" t="s">
        <v>2686</v>
      </c>
      <c r="W132" s="30">
        <v>2015</v>
      </c>
      <c r="X132" t="s">
        <v>2825</v>
      </c>
      <c r="Y132" s="28">
        <v>42279</v>
      </c>
      <c r="Z132" s="28" t="str">
        <f>TRIM(A132)</f>
        <v>IN-2015-NF1838511-42279</v>
      </c>
      <c r="AA132">
        <f t="shared" si="8"/>
        <v>2015</v>
      </c>
      <c r="AB132">
        <f t="shared" si="9"/>
        <v>10</v>
      </c>
      <c r="AC132">
        <f t="shared" si="10"/>
        <v>6</v>
      </c>
      <c r="AD132">
        <f t="shared" si="11"/>
        <v>4</v>
      </c>
      <c r="AE132" s="62">
        <f>IF(I132="missing", IFERROR(INDEX([1]lookup!$I:$I, MATCH($A132, [1]lookup!$B:$B, 0)), 0), I132)</f>
        <v>2575.92</v>
      </c>
    </row>
    <row r="133" spans="1:31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2684</v>
      </c>
      <c r="O133" s="13" t="str">
        <f>PROPER(D133)</f>
        <v>Adam Shillingsburg</v>
      </c>
      <c r="P133" s="13" t="str">
        <f>LEFT(A133,2)</f>
        <v>ES</v>
      </c>
      <c r="Q133" s="13" t="str">
        <f>MID(A133,4,4)</f>
        <v>2015</v>
      </c>
      <c r="R133" s="13" t="str">
        <f>UPPER(M133)</f>
        <v>HIGH</v>
      </c>
      <c r="S133" s="13" t="str">
        <f>LOWER(G133)</f>
        <v>office supplies</v>
      </c>
      <c r="T133" s="21" t="str">
        <f>RIGHT(A133,5)</f>
        <v>42062</v>
      </c>
      <c r="U133" s="27" t="s">
        <v>2826</v>
      </c>
      <c r="V133" s="19" t="s">
        <v>2743</v>
      </c>
      <c r="W133" s="30">
        <v>2015</v>
      </c>
      <c r="X133" t="s">
        <v>2826</v>
      </c>
      <c r="Y133" s="28">
        <v>42062</v>
      </c>
      <c r="Z133" s="28" t="str">
        <f>TRIM(A133)</f>
        <v>ES-2015-AS10090139-42062</v>
      </c>
      <c r="AA133">
        <f t="shared" si="8"/>
        <v>2015</v>
      </c>
      <c r="AB133">
        <f t="shared" si="9"/>
        <v>2</v>
      </c>
      <c r="AC133">
        <f t="shared" si="10"/>
        <v>6</v>
      </c>
      <c r="AD133">
        <f t="shared" si="11"/>
        <v>4</v>
      </c>
      <c r="AE133" s="62">
        <f>IF(I133="missing", IFERROR(INDEX([1]lookup!$I:$I, MATCH($A133, [1]lookup!$B:$B, 0)), 0), I133)</f>
        <v>1699.83</v>
      </c>
    </row>
    <row r="134" spans="1:31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2684</v>
      </c>
      <c r="O134" s="8" t="str">
        <f>PROPER(D134)</f>
        <v>Larry Tron</v>
      </c>
      <c r="P134" s="8" t="str">
        <f>LEFT(A134,2)</f>
        <v>IN</v>
      </c>
      <c r="Q134" s="8" t="str">
        <f>MID(A134,4,4)</f>
        <v>2015</v>
      </c>
      <c r="R134" s="8" t="str">
        <f>UPPER(M134)</f>
        <v>LOW</v>
      </c>
      <c r="S134" s="8" t="str">
        <f>LOWER(G134)</f>
        <v>furniture</v>
      </c>
      <c r="T134" s="18" t="str">
        <f>RIGHT(A134,5)</f>
        <v>42133</v>
      </c>
      <c r="U134" s="27" t="s">
        <v>2827</v>
      </c>
      <c r="V134" s="16" t="s">
        <v>2686</v>
      </c>
      <c r="W134" s="30">
        <v>2015</v>
      </c>
      <c r="X134" t="s">
        <v>2827</v>
      </c>
      <c r="Y134" s="28">
        <v>42133</v>
      </c>
      <c r="Z134" s="28" t="str">
        <f>TRIM(A134)</f>
        <v>IN-2015-LT1676558-42133</v>
      </c>
      <c r="AA134">
        <f t="shared" si="8"/>
        <v>2015</v>
      </c>
      <c r="AB134">
        <f t="shared" si="9"/>
        <v>5</v>
      </c>
      <c r="AC134">
        <f t="shared" si="10"/>
        <v>7</v>
      </c>
      <c r="AD134">
        <f t="shared" si="11"/>
        <v>6</v>
      </c>
      <c r="AE134" s="62">
        <f>IF(I134="missing", IFERROR(INDEX([1]lookup!$I:$I, MATCH($A134, [1]lookup!$B:$B, 0)), 0), I134)</f>
        <v>4298.8500000000004</v>
      </c>
    </row>
    <row r="135" spans="1:31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2684</v>
      </c>
      <c r="O135" s="13" t="str">
        <f>PROPER(D135)</f>
        <v>Benjamin Patterson</v>
      </c>
      <c r="P135" s="13" t="str">
        <f>LEFT(A135,2)</f>
        <v>ES</v>
      </c>
      <c r="Q135" s="13" t="str">
        <f>MID(A135,4,4)</f>
        <v>2013</v>
      </c>
      <c r="R135" s="13" t="str">
        <f>UPPER(M135)</f>
        <v>HIGH</v>
      </c>
      <c r="S135" s="13" t="str">
        <f>LOWER(G135)</f>
        <v>office supplies</v>
      </c>
      <c r="T135" s="21" t="str">
        <f>RIGHT(A135,5)</f>
        <v>41411</v>
      </c>
      <c r="U135" s="27" t="s">
        <v>2828</v>
      </c>
      <c r="V135" s="19" t="s">
        <v>2743</v>
      </c>
      <c r="W135" s="30">
        <v>2013</v>
      </c>
      <c r="X135" t="s">
        <v>2828</v>
      </c>
      <c r="Y135" s="28">
        <v>41411</v>
      </c>
      <c r="Z135" s="28" t="str">
        <f>TRIM(A135)</f>
        <v>ES-2013-BP11230120-41411</v>
      </c>
      <c r="AA135">
        <f t="shared" si="8"/>
        <v>2013</v>
      </c>
      <c r="AB135">
        <f t="shared" si="9"/>
        <v>5</v>
      </c>
      <c r="AC135">
        <f t="shared" si="10"/>
        <v>6</v>
      </c>
      <c r="AD135">
        <f t="shared" si="11"/>
        <v>4</v>
      </c>
      <c r="AE135" s="62">
        <f>IF(I135="missing", IFERROR(INDEX([1]lookup!$I:$I, MATCH($A135, [1]lookup!$B:$B, 0)), 0), I135)</f>
        <v>2080.3199999999902</v>
      </c>
    </row>
    <row r="136" spans="1:31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2684</v>
      </c>
      <c r="O136" s="8" t="str">
        <f>PROPER(D136)</f>
        <v>Don Miller</v>
      </c>
      <c r="P136" s="8" t="str">
        <f>LEFT(A136,2)</f>
        <v>IN</v>
      </c>
      <c r="Q136" s="8" t="str">
        <f>MID(A136,4,4)</f>
        <v>2012</v>
      </c>
      <c r="R136" s="8" t="str">
        <f>UPPER(M136)</f>
        <v>CRITICAL</v>
      </c>
      <c r="S136" s="8" t="str">
        <f>LOWER(G136)</f>
        <v>technology</v>
      </c>
      <c r="T136" s="18" t="str">
        <f>RIGHT(A136,5)</f>
        <v>41123</v>
      </c>
      <c r="U136" s="27" t="s">
        <v>2829</v>
      </c>
      <c r="V136" s="16" t="s">
        <v>2686</v>
      </c>
      <c r="W136" s="30">
        <v>2012</v>
      </c>
      <c r="X136" t="s">
        <v>2829</v>
      </c>
      <c r="Y136" s="28">
        <v>41123</v>
      </c>
      <c r="Z136" s="28" t="str">
        <f>TRIM(A136)</f>
        <v>IN-2012-DM1352558-41123</v>
      </c>
      <c r="AA136">
        <f t="shared" si="8"/>
        <v>2012</v>
      </c>
      <c r="AB136">
        <f t="shared" si="9"/>
        <v>8</v>
      </c>
      <c r="AC136">
        <f t="shared" si="10"/>
        <v>5</v>
      </c>
      <c r="AD136">
        <f t="shared" si="11"/>
        <v>3</v>
      </c>
      <c r="AE136" s="62">
        <f>IF(I136="missing", IFERROR(INDEX([1]lookup!$I:$I, MATCH($A136, [1]lookup!$B:$B, 0)), 0), I136)</f>
        <v>840.6</v>
      </c>
    </row>
    <row r="137" spans="1:31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2684</v>
      </c>
      <c r="O137" s="13" t="str">
        <f>PROPER(D137)</f>
        <v>Toby Swindell</v>
      </c>
      <c r="P137" s="13" t="str">
        <f>LEFT(A137,2)</f>
        <v>MX</v>
      </c>
      <c r="Q137" s="13" t="str">
        <f>MID(A137,4,4)</f>
        <v>2014</v>
      </c>
      <c r="R137" s="13" t="str">
        <f>UPPER(M137)</f>
        <v>HIGH</v>
      </c>
      <c r="S137" s="13" t="str">
        <f>LOWER(G137)</f>
        <v>technology</v>
      </c>
      <c r="T137" s="21" t="str">
        <f>RIGHT(A137,5)</f>
        <v>41956</v>
      </c>
      <c r="U137" s="27" t="s">
        <v>2830</v>
      </c>
      <c r="V137" s="19" t="s">
        <v>2718</v>
      </c>
      <c r="W137" s="30">
        <v>2014</v>
      </c>
      <c r="X137" t="s">
        <v>2830</v>
      </c>
      <c r="Y137" s="28">
        <v>41956</v>
      </c>
      <c r="Z137" s="28" t="str">
        <f>TRIM(A137)</f>
        <v>MX-2014-TS2134018-41956</v>
      </c>
      <c r="AA137">
        <f t="shared" si="8"/>
        <v>2014</v>
      </c>
      <c r="AB137">
        <f t="shared" si="9"/>
        <v>11</v>
      </c>
      <c r="AC137">
        <f t="shared" si="10"/>
        <v>5</v>
      </c>
      <c r="AD137">
        <f t="shared" si="11"/>
        <v>5</v>
      </c>
      <c r="AE137" s="62">
        <f>IF(I137="missing", IFERROR(INDEX([1]lookup!$I:$I, MATCH($A137, [1]lookup!$B:$B, 0)), 0), I137)</f>
        <v>2171.3000000000002</v>
      </c>
    </row>
    <row r="138" spans="1:31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2684</v>
      </c>
      <c r="O138" s="8" t="str">
        <f>PROPER(D138)</f>
        <v>Adrian Barton</v>
      </c>
      <c r="P138" s="8" t="str">
        <f>LEFT(A138,2)</f>
        <v>CA</v>
      </c>
      <c r="Q138" s="8" t="str">
        <f>MID(A138,4,4)</f>
        <v>2013</v>
      </c>
      <c r="R138" s="8" t="str">
        <f>UPPER(M138)</f>
        <v>MEDIUM</v>
      </c>
      <c r="S138" s="8" t="str">
        <f>LOWER(G138)</f>
        <v>office supplies</v>
      </c>
      <c r="T138" s="18" t="str">
        <f>RIGHT(A138,5)</f>
        <v>41585</v>
      </c>
      <c r="U138" s="27" t="s">
        <v>2809</v>
      </c>
      <c r="V138" s="16" t="s">
        <v>2689</v>
      </c>
      <c r="W138" s="30">
        <v>2013</v>
      </c>
      <c r="X138" t="s">
        <v>2809</v>
      </c>
      <c r="Y138" s="28">
        <v>41585</v>
      </c>
      <c r="Z138" s="28" t="str">
        <f>TRIM(A138)</f>
        <v>CA-2013-AB10105140-41585</v>
      </c>
      <c r="AA138">
        <f t="shared" si="8"/>
        <v>2013</v>
      </c>
      <c r="AB138">
        <f t="shared" si="9"/>
        <v>11</v>
      </c>
      <c r="AC138">
        <f t="shared" si="10"/>
        <v>5</v>
      </c>
      <c r="AD138">
        <f t="shared" si="11"/>
        <v>5</v>
      </c>
      <c r="AE138" s="62">
        <f>IF(I138="missing", IFERROR(INDEX([1]lookup!$I:$I, MATCH($A138, [1]lookup!$B:$B, 0)), 0), I138)</f>
        <v>177.648</v>
      </c>
    </row>
    <row r="139" spans="1:31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2684</v>
      </c>
      <c r="O139" s="13" t="str">
        <f>PROPER(D139)</f>
        <v>Adrian Barton</v>
      </c>
      <c r="P139" s="13" t="str">
        <f>LEFT(A139,2)</f>
        <v>CA</v>
      </c>
      <c r="Q139" s="13" t="str">
        <f>MID(A139,4,4)</f>
        <v>2015</v>
      </c>
      <c r="R139" s="13" t="str">
        <f>UPPER(M139)</f>
        <v>LOW</v>
      </c>
      <c r="S139" s="13" t="str">
        <f>LOWER(G139)</f>
        <v>technology</v>
      </c>
      <c r="T139" s="21" t="str">
        <f>RIGHT(A139,5)</f>
        <v>42267</v>
      </c>
      <c r="U139" s="27" t="s">
        <v>2809</v>
      </c>
      <c r="V139" s="19" t="s">
        <v>2689</v>
      </c>
      <c r="W139" s="30">
        <v>2015</v>
      </c>
      <c r="X139" t="s">
        <v>2809</v>
      </c>
      <c r="Y139" s="28">
        <v>42267</v>
      </c>
      <c r="Z139" s="28" t="str">
        <f>TRIM(A139)</f>
        <v>CA-2015-AB10105140-42267</v>
      </c>
      <c r="AA139">
        <f t="shared" si="8"/>
        <v>2015</v>
      </c>
      <c r="AB139">
        <f t="shared" si="9"/>
        <v>9</v>
      </c>
      <c r="AC139">
        <f t="shared" si="10"/>
        <v>1</v>
      </c>
      <c r="AD139">
        <f t="shared" si="11"/>
        <v>6</v>
      </c>
      <c r="AE139" s="62">
        <f>IF(I139="missing", IFERROR(INDEX([1]lookup!$I:$I, MATCH($A139, [1]lookup!$B:$B, 0)), 0), I139)</f>
        <v>89.584000000000003</v>
      </c>
    </row>
    <row r="140" spans="1:31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2684</v>
      </c>
      <c r="O140" s="8" t="str">
        <f>PROPER(D140)</f>
        <v>Jennifer Braxton</v>
      </c>
      <c r="P140" s="8" t="str">
        <f>LEFT(A140,2)</f>
        <v>MX</v>
      </c>
      <c r="Q140" s="8" t="str">
        <f>MID(A140,4,4)</f>
        <v>2015</v>
      </c>
      <c r="R140" s="8" t="str">
        <f>UPPER(M140)</f>
        <v>HIGH</v>
      </c>
      <c r="S140" s="8" t="str">
        <f>LOWER(G140)</f>
        <v>technology</v>
      </c>
      <c r="T140" s="18" t="str">
        <f>RIGHT(A140,5)</f>
        <v>42263</v>
      </c>
      <c r="U140" s="27" t="s">
        <v>2831</v>
      </c>
      <c r="V140" s="16" t="s">
        <v>2718</v>
      </c>
      <c r="W140" s="30">
        <v>2015</v>
      </c>
      <c r="X140" t="s">
        <v>2831</v>
      </c>
      <c r="Y140" s="28">
        <v>42263</v>
      </c>
      <c r="Z140" s="28" t="str">
        <f>TRIM(A140)</f>
        <v>MX-2015-JB1540051-42263</v>
      </c>
      <c r="AA140">
        <f t="shared" si="8"/>
        <v>2015</v>
      </c>
      <c r="AB140">
        <f t="shared" si="9"/>
        <v>9</v>
      </c>
      <c r="AC140">
        <f t="shared" si="10"/>
        <v>4</v>
      </c>
      <c r="AD140">
        <f t="shared" si="11"/>
        <v>2</v>
      </c>
      <c r="AE140" s="62">
        <f>IF(I140="missing", IFERROR(INDEX([1]lookup!$I:$I, MATCH($A140, [1]lookup!$B:$B, 0)), 0), I140)</f>
        <v>1258.7773999999999</v>
      </c>
    </row>
    <row r="141" spans="1:31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2684</v>
      </c>
      <c r="O141" s="13" t="str">
        <f>PROPER(D141)</f>
        <v>Sarah Foster</v>
      </c>
      <c r="P141" s="13" t="str">
        <f>LEFT(A141,2)</f>
        <v>MX</v>
      </c>
      <c r="Q141" s="13" t="str">
        <f>MID(A141,4,4)</f>
        <v>2015</v>
      </c>
      <c r="R141" s="13" t="str">
        <f>UPPER(M141)</f>
        <v>CRITICAL#</v>
      </c>
      <c r="S141" s="13" t="str">
        <f>LOWER(G141)</f>
        <v>technology</v>
      </c>
      <c r="T141" s="21" t="str">
        <f>RIGHT(A141,5)</f>
        <v>42255</v>
      </c>
      <c r="U141" s="27" t="s">
        <v>2832</v>
      </c>
      <c r="V141" s="19" t="s">
        <v>2718</v>
      </c>
      <c r="W141" s="30">
        <v>2015</v>
      </c>
      <c r="X141" t="s">
        <v>2832</v>
      </c>
      <c r="Y141" s="28">
        <v>42255</v>
      </c>
      <c r="Z141" s="28" t="str">
        <f>TRIM(A141)</f>
        <v>MX-2015-SF2020039-42255</v>
      </c>
      <c r="AA141">
        <f t="shared" si="8"/>
        <v>2015</v>
      </c>
      <c r="AB141">
        <f t="shared" si="9"/>
        <v>9</v>
      </c>
      <c r="AC141">
        <f t="shared" si="10"/>
        <v>3</v>
      </c>
      <c r="AD141">
        <f t="shared" si="11"/>
        <v>3</v>
      </c>
      <c r="AE141" s="62">
        <f>IF(I141="missing", IFERROR(INDEX([1]lookup!$I:$I, MATCH($A141, [1]lookup!$B:$B, 0)), 0), I141)</f>
        <v>1274.7</v>
      </c>
    </row>
    <row r="142" spans="1:31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2684</v>
      </c>
      <c r="O142" s="8" t="str">
        <f>PROPER(D142)</f>
        <v>Keith Herrera</v>
      </c>
      <c r="P142" s="8" t="str">
        <f>LEFT(A142,2)</f>
        <v>ID</v>
      </c>
      <c r="Q142" s="8" t="str">
        <f>MID(A142,4,4)</f>
        <v>2015</v>
      </c>
      <c r="R142" s="8" t="str">
        <f>UPPER(M142)</f>
        <v>HIGH</v>
      </c>
      <c r="S142" s="8" t="str">
        <f>LOWER(G142)</f>
        <v>furniture</v>
      </c>
      <c r="T142" s="18" t="str">
        <f>RIGHT(A142,5)</f>
        <v>2052#</v>
      </c>
      <c r="U142" s="27" t="s">
        <v>2833</v>
      </c>
      <c r="V142" s="16" t="s">
        <v>2738</v>
      </c>
      <c r="W142" s="30">
        <v>2015</v>
      </c>
      <c r="X142" t="s">
        <v>2833</v>
      </c>
      <c r="Y142" s="28" t="s">
        <v>2834</v>
      </c>
      <c r="Z142" s="28" t="str">
        <f>TRIM(A142)</f>
        <v>ID-2015-KH16510102-42052#</v>
      </c>
      <c r="AA142">
        <f t="shared" si="8"/>
        <v>2015</v>
      </c>
      <c r="AB142">
        <f t="shared" si="9"/>
        <v>2</v>
      </c>
      <c r="AC142">
        <f t="shared" si="10"/>
        <v>3</v>
      </c>
      <c r="AD142">
        <f t="shared" si="11"/>
        <v>1</v>
      </c>
      <c r="AE142" s="62">
        <f>IF(I142="missing", IFERROR(INDEX([1]lookup!$I:$I, MATCH($A142, [1]lookup!$B:$B, 0)), 0), I142)</f>
        <v>1046.24999999999</v>
      </c>
    </row>
    <row r="143" spans="1:31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2684</v>
      </c>
      <c r="O143" s="13" t="str">
        <f>PROPER(D143)</f>
        <v>Denise Leinenbach</v>
      </c>
      <c r="P143" s="13" t="str">
        <f>LEFT(A143,2)</f>
        <v>IN</v>
      </c>
      <c r="Q143" s="13" t="str">
        <f>MID(A143,4,4)</f>
        <v>2013</v>
      </c>
      <c r="R143" s="13" t="str">
        <f>UPPER(M143)</f>
        <v>MEDIUM</v>
      </c>
      <c r="S143" s="13" t="str">
        <f>LOWER(G143)</f>
        <v>technology</v>
      </c>
      <c r="T143" s="21" t="str">
        <f>RIGHT(A143,5)</f>
        <v>41328</v>
      </c>
      <c r="U143" s="27" t="s">
        <v>2835</v>
      </c>
      <c r="V143" s="19" t="s">
        <v>2686</v>
      </c>
      <c r="W143" s="30">
        <v>2013</v>
      </c>
      <c r="X143" t="s">
        <v>2835</v>
      </c>
      <c r="Y143" s="28">
        <v>41328</v>
      </c>
      <c r="Z143" s="28" t="str">
        <f>TRIM(A143)</f>
        <v>IN-2013-DL1333058-41328</v>
      </c>
      <c r="AA143">
        <f t="shared" si="8"/>
        <v>2013</v>
      </c>
      <c r="AB143">
        <f t="shared" si="9"/>
        <v>2</v>
      </c>
      <c r="AC143">
        <f t="shared" si="10"/>
        <v>7</v>
      </c>
      <c r="AD143">
        <f t="shared" si="11"/>
        <v>5</v>
      </c>
      <c r="AE143" s="62">
        <f>IF(I143="missing", IFERROR(INDEX([1]lookup!$I:$I, MATCH($A143, [1]lookup!$B:$B, 0)), 0), I143)</f>
        <v>3187.2</v>
      </c>
    </row>
    <row r="144" spans="1:31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2684</v>
      </c>
      <c r="O144" s="8" t="str">
        <f>PROPER(D144)</f>
        <v>Susan Vittorini</v>
      </c>
      <c r="P144" s="8" t="str">
        <f>LEFT(A144,2)</f>
        <v>IN</v>
      </c>
      <c r="Q144" s="8" t="str">
        <f>MID(A144,4,4)</f>
        <v>2013</v>
      </c>
      <c r="R144" s="8" t="str">
        <f>UPPER(M144)</f>
        <v>CRITICAL</v>
      </c>
      <c r="S144" s="8" t="str">
        <f>LOWER(G144)</f>
        <v>office supplies</v>
      </c>
      <c r="T144" s="18" t="str">
        <f>RIGHT(A144,5)</f>
        <v>41620</v>
      </c>
      <c r="U144" s="27" t="s">
        <v>2836</v>
      </c>
      <c r="V144" s="16" t="s">
        <v>2686</v>
      </c>
      <c r="W144" s="30">
        <v>2013</v>
      </c>
      <c r="X144" t="s">
        <v>2836</v>
      </c>
      <c r="Y144" s="28">
        <v>41620</v>
      </c>
      <c r="Z144" s="28" t="str">
        <f>TRIM(A144)</f>
        <v>IN-2013-SV2093527-41620</v>
      </c>
      <c r="AA144">
        <f t="shared" si="8"/>
        <v>2013</v>
      </c>
      <c r="AB144">
        <f t="shared" si="9"/>
        <v>12</v>
      </c>
      <c r="AC144">
        <f t="shared" si="10"/>
        <v>5</v>
      </c>
      <c r="AD144">
        <f t="shared" si="11"/>
        <v>2</v>
      </c>
      <c r="AE144" s="62">
        <f>IF(I144="missing", IFERROR(INDEX([1]lookup!$I:$I, MATCH($A144, [1]lookup!$B:$B, 0)), 0), I144)</f>
        <v>703.35</v>
      </c>
    </row>
    <row r="145" spans="1:31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2684</v>
      </c>
      <c r="O145" s="13" t="str">
        <f>PROPER(D145)</f>
        <v>Jim Epp</v>
      </c>
      <c r="P145" s="13" t="str">
        <f>LEFT(A145,2)</f>
        <v>IN</v>
      </c>
      <c r="Q145" s="13" t="str">
        <f>MID(A145,4,4)</f>
        <v>2014</v>
      </c>
      <c r="R145" s="13" t="str">
        <f>UPPER(M145)</f>
        <v>CRITICAL</v>
      </c>
      <c r="S145" s="13" t="str">
        <f>LOWER(G145)</f>
        <v>technology</v>
      </c>
      <c r="T145" s="21" t="str">
        <f>RIGHT(A145,5)</f>
        <v>41895</v>
      </c>
      <c r="U145" s="27" t="s">
        <v>2837</v>
      </c>
      <c r="V145" s="19" t="s">
        <v>2686</v>
      </c>
      <c r="W145" s="30">
        <v>2014</v>
      </c>
      <c r="X145" t="s">
        <v>2837</v>
      </c>
      <c r="Y145" s="28">
        <v>41895</v>
      </c>
      <c r="Z145" s="28" t="str">
        <f>TRIM(A145)</f>
        <v>IN-2014-JE1561058-41895</v>
      </c>
      <c r="AA145">
        <f t="shared" si="8"/>
        <v>2014</v>
      </c>
      <c r="AB145">
        <f t="shared" si="9"/>
        <v>9</v>
      </c>
      <c r="AC145">
        <f t="shared" si="10"/>
        <v>7</v>
      </c>
      <c r="AD145">
        <f t="shared" si="11"/>
        <v>0</v>
      </c>
      <c r="AE145" s="62">
        <f>IF(I145="missing", IFERROR(INDEX([1]lookup!$I:$I, MATCH($A145, [1]lookup!$B:$B, 0)), 0), I145)</f>
        <v>840.15</v>
      </c>
    </row>
    <row r="146" spans="1:31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2684</v>
      </c>
      <c r="O146" s="8" t="str">
        <f>PROPER(D146)</f>
        <v>Gary Hwang</v>
      </c>
      <c r="P146" s="8" t="str">
        <f>LEFT(A146,2)</f>
        <v>IN</v>
      </c>
      <c r="Q146" s="8" t="str">
        <f>MID(A146,4,4)</f>
        <v>2014</v>
      </c>
      <c r="R146" s="8" t="str">
        <f>UPPER(M146)</f>
        <v>MEDIUM</v>
      </c>
      <c r="S146" s="8" t="str">
        <f>LOWER(G146)</f>
        <v>furniture</v>
      </c>
      <c r="T146" s="18" t="str">
        <f>RIGHT(A146,5)</f>
        <v>41845</v>
      </c>
      <c r="U146" s="27" t="s">
        <v>2838</v>
      </c>
      <c r="V146" s="16" t="s">
        <v>2686</v>
      </c>
      <c r="W146" s="30">
        <v>2014</v>
      </c>
      <c r="X146" t="s">
        <v>2838</v>
      </c>
      <c r="Y146" s="28">
        <v>41845</v>
      </c>
      <c r="Z146" s="28" t="str">
        <f>TRIM(A146)</f>
        <v>IN-2014-GH1442527-41845</v>
      </c>
      <c r="AA146">
        <f t="shared" si="8"/>
        <v>2014</v>
      </c>
      <c r="AB146">
        <f t="shared" si="9"/>
        <v>7</v>
      </c>
      <c r="AC146">
        <f t="shared" si="10"/>
        <v>6</v>
      </c>
      <c r="AD146">
        <f t="shared" si="11"/>
        <v>3</v>
      </c>
      <c r="AE146" s="62">
        <f>IF(I146="missing", IFERROR(INDEX([1]lookup!$I:$I, MATCH($A146, [1]lookup!$B:$B, 0)), 0), I146)</f>
        <v>1236.33</v>
      </c>
    </row>
    <row r="147" spans="1:31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2684</v>
      </c>
      <c r="O147" s="13" t="str">
        <f>PROPER(D147)</f>
        <v>Adrian Barton</v>
      </c>
      <c r="P147" s="13" t="str">
        <f>LEFT(A147,2)</f>
        <v>CA</v>
      </c>
      <c r="Q147" s="13" t="str">
        <f>MID(A147,4,4)</f>
        <v>2013</v>
      </c>
      <c r="R147" s="13" t="str">
        <f>UPPER(M147)</f>
        <v>MEDIUM</v>
      </c>
      <c r="S147" s="13" t="str">
        <f>LOWER(G147)</f>
        <v>furniture</v>
      </c>
      <c r="T147" s="21" t="str">
        <f>RIGHT(A147,5)</f>
        <v>41585</v>
      </c>
      <c r="U147" s="27" t="s">
        <v>2809</v>
      </c>
      <c r="V147" s="19" t="s">
        <v>2689</v>
      </c>
      <c r="W147" s="30">
        <v>2013</v>
      </c>
      <c r="X147" t="s">
        <v>2809</v>
      </c>
      <c r="Y147" s="28">
        <v>41585</v>
      </c>
      <c r="Z147" s="28" t="str">
        <f>TRIM(A147)</f>
        <v>CA-2013-AB10105140-41585</v>
      </c>
      <c r="AA147">
        <f t="shared" si="8"/>
        <v>2013</v>
      </c>
      <c r="AB147">
        <f t="shared" si="9"/>
        <v>11</v>
      </c>
      <c r="AC147">
        <f t="shared" si="10"/>
        <v>5</v>
      </c>
      <c r="AD147">
        <f t="shared" si="11"/>
        <v>5</v>
      </c>
      <c r="AE147" s="62">
        <f>IF(I147="missing", IFERROR(INDEX([1]lookup!$I:$I, MATCH($A147, [1]lookup!$B:$B, 0)), 0), I147)</f>
        <v>64.959999999999994</v>
      </c>
    </row>
    <row r="148" spans="1:31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2684</v>
      </c>
      <c r="O148" s="8" t="str">
        <f>PROPER(D148)</f>
        <v>Adrian Barton#</v>
      </c>
      <c r="P148" s="8" t="str">
        <f>LEFT(A148,2)</f>
        <v>CA</v>
      </c>
      <c r="Q148" s="8" t="str">
        <f>MID(A148,4,4)</f>
        <v>2014</v>
      </c>
      <c r="R148" s="8" t="str">
        <f>UPPER(M148)</f>
        <v>MEDIUM</v>
      </c>
      <c r="S148" s="8" t="str">
        <f>LOWER(G148)</f>
        <v>office supplies</v>
      </c>
      <c r="T148" s="18" t="str">
        <f>RIGHT(A148,5)</f>
        <v>41672</v>
      </c>
      <c r="U148" s="27" t="s">
        <v>2809</v>
      </c>
      <c r="V148" s="16" t="s">
        <v>2689</v>
      </c>
      <c r="W148" s="30">
        <v>2014</v>
      </c>
      <c r="X148" t="s">
        <v>2809</v>
      </c>
      <c r="Y148" s="28">
        <v>41672</v>
      </c>
      <c r="Z148" s="28" t="str">
        <f>TRIM(A148)</f>
        <v>CA-2014-AB10105140-41672</v>
      </c>
      <c r="AA148">
        <f t="shared" si="8"/>
        <v>2014</v>
      </c>
      <c r="AB148">
        <f t="shared" si="9"/>
        <v>2</v>
      </c>
      <c r="AC148">
        <f t="shared" si="10"/>
        <v>1</v>
      </c>
      <c r="AD148">
        <f t="shared" si="11"/>
        <v>5</v>
      </c>
      <c r="AE148" s="62">
        <f>IF(I148="missing", IFERROR(INDEX([1]lookup!$I:$I, MATCH($A148, [1]lookup!$B:$B, 0)), 0), I148)</f>
        <v>117.96</v>
      </c>
    </row>
    <row r="149" spans="1:31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2684</v>
      </c>
      <c r="O149" s="13" t="str">
        <f>PROPER(D149)</f>
        <v>Scott Williamson</v>
      </c>
      <c r="P149" s="13" t="str">
        <f>LEFT(A149,2)</f>
        <v>IN</v>
      </c>
      <c r="Q149" s="13" t="str">
        <f>MID(A149,4,4)</f>
        <v>2015</v>
      </c>
      <c r="R149" s="13" t="str">
        <f>UPPER(M149)</f>
        <v>CRITICAL</v>
      </c>
      <c r="S149" s="13" t="str">
        <f>LOWER(G149)</f>
        <v>furniture</v>
      </c>
      <c r="T149" s="21" t="str">
        <f>RIGHT(A149,5)</f>
        <v>42125</v>
      </c>
      <c r="U149" s="27" t="s">
        <v>2839</v>
      </c>
      <c r="V149" s="19" t="s">
        <v>2686</v>
      </c>
      <c r="W149" s="30">
        <v>2015</v>
      </c>
      <c r="X149" t="s">
        <v>2839</v>
      </c>
      <c r="Y149" s="28">
        <v>42125</v>
      </c>
      <c r="Z149" s="28" t="str">
        <f>TRIM(A149)</f>
        <v>IN-2015-SW2027558-42125</v>
      </c>
      <c r="AA149">
        <f t="shared" si="8"/>
        <v>2015</v>
      </c>
      <c r="AB149">
        <f t="shared" si="9"/>
        <v>5</v>
      </c>
      <c r="AC149">
        <f t="shared" si="10"/>
        <v>6</v>
      </c>
      <c r="AD149">
        <f t="shared" si="11"/>
        <v>0</v>
      </c>
      <c r="AE149" s="62">
        <f>IF(I149="missing", IFERROR(INDEX([1]lookup!$I:$I, MATCH($A149, [1]lookup!$B:$B, 0)), 0), I149)</f>
        <v>723.3</v>
      </c>
    </row>
    <row r="150" spans="1:31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2684</v>
      </c>
      <c r="O150" s="8" t="str">
        <f>PROPER(D150)</f>
        <v>Peter Mceve</v>
      </c>
      <c r="P150" s="8" t="str">
        <f>LEFT(A150,2)</f>
        <v>IR</v>
      </c>
      <c r="Q150" s="8" t="str">
        <f>MID(A150,4,4)</f>
        <v>2012</v>
      </c>
      <c r="R150" s="8" t="str">
        <f>UPPER(M150)</f>
        <v>CRITICAL</v>
      </c>
      <c r="S150" s="8" t="str">
        <f>LOWER(G150)</f>
        <v>technology</v>
      </c>
      <c r="T150" s="18" t="str">
        <f>RIGHT(A150,5)</f>
        <v>40978</v>
      </c>
      <c r="U150" s="27" t="s">
        <v>2840</v>
      </c>
      <c r="V150" s="16" t="s">
        <v>2814</v>
      </c>
      <c r="W150" s="30">
        <v>2012</v>
      </c>
      <c r="X150" t="s">
        <v>2840</v>
      </c>
      <c r="Y150" s="28">
        <v>40978</v>
      </c>
      <c r="Z150" s="28" t="str">
        <f>TRIM(A150)</f>
        <v>IR-2012-PM913560-40978</v>
      </c>
      <c r="AA150">
        <f t="shared" si="8"/>
        <v>2012</v>
      </c>
      <c r="AB150">
        <f t="shared" si="9"/>
        <v>3</v>
      </c>
      <c r="AC150">
        <f t="shared" si="10"/>
        <v>7</v>
      </c>
      <c r="AD150">
        <f t="shared" si="11"/>
        <v>2</v>
      </c>
      <c r="AE150" s="62">
        <f>IF(I150="missing", IFERROR(INDEX([1]lookup!$I:$I, MATCH($A150, [1]lookup!$B:$B, 0)), 0), I150)</f>
        <v>642.68999999999903</v>
      </c>
    </row>
    <row r="151" spans="1:31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2684</v>
      </c>
      <c r="O151" s="13" t="str">
        <f>PROPER(D151)</f>
        <v>Sung Chung</v>
      </c>
      <c r="P151" s="13" t="str">
        <f>LEFT(A151,2)</f>
        <v>IN</v>
      </c>
      <c r="Q151" s="13" t="str">
        <f>MID(A151,4,4)</f>
        <v>2013</v>
      </c>
      <c r="R151" s="13" t="str">
        <f>UPPER(M151)</f>
        <v>HIGH</v>
      </c>
      <c r="S151" s="13" t="str">
        <f>LOWER(G151)</f>
        <v>technology</v>
      </c>
      <c r="T151" s="21" t="str">
        <f>RIGHT(A151,5)</f>
        <v>41445</v>
      </c>
      <c r="U151" s="27" t="s">
        <v>2841</v>
      </c>
      <c r="V151" s="19" t="s">
        <v>2686</v>
      </c>
      <c r="W151" s="30">
        <v>2013</v>
      </c>
      <c r="X151" t="s">
        <v>2841</v>
      </c>
      <c r="Y151" s="28">
        <v>41445</v>
      </c>
      <c r="Z151" s="28" t="str">
        <f>TRIM(A151)</f>
        <v>IN-2013-SC2084527-41445</v>
      </c>
      <c r="AA151">
        <f t="shared" si="8"/>
        <v>2013</v>
      </c>
      <c r="AB151">
        <f t="shared" si="9"/>
        <v>6</v>
      </c>
      <c r="AC151">
        <f t="shared" si="10"/>
        <v>5</v>
      </c>
      <c r="AD151">
        <f t="shared" si="11"/>
        <v>2</v>
      </c>
      <c r="AE151" s="62" t="str">
        <f>IF(I151="missing", IFERROR(INDEX([1]lookup!$I:$I, MATCH($A151, [1]lookup!$B:$B, 0)), 0), I151)</f>
        <v xml:space="preserve"> missing </v>
      </c>
    </row>
    <row r="152" spans="1:31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2684</v>
      </c>
      <c r="O152" s="8" t="str">
        <f>PROPER(D152)</f>
        <v>Craig Reiter</v>
      </c>
      <c r="P152" s="8" t="str">
        <f>LEFT(A152,2)</f>
        <v>MX</v>
      </c>
      <c r="Q152" s="8" t="str">
        <f>MID(A152,4,4)</f>
        <v>2014</v>
      </c>
      <c r="R152" s="8" t="str">
        <f>UPPER(M152)</f>
        <v>MEDIUM</v>
      </c>
      <c r="S152" s="8" t="str">
        <f>LOWER(G152)</f>
        <v>furniture</v>
      </c>
      <c r="T152" s="18" t="str">
        <f>RIGHT(A152,5)</f>
        <v>41993</v>
      </c>
      <c r="U152" s="27" t="s">
        <v>2842</v>
      </c>
      <c r="V152" s="16" t="s">
        <v>2718</v>
      </c>
      <c r="W152" s="30">
        <v>2014</v>
      </c>
      <c r="X152" t="s">
        <v>2842</v>
      </c>
      <c r="Y152" s="28">
        <v>41993</v>
      </c>
      <c r="Z152" s="28" t="str">
        <f>TRIM(A152)</f>
        <v>MX-2014-CR1273028-41993</v>
      </c>
      <c r="AA152">
        <f t="shared" si="8"/>
        <v>2014</v>
      </c>
      <c r="AB152">
        <f t="shared" si="9"/>
        <v>12</v>
      </c>
      <c r="AC152">
        <f t="shared" si="10"/>
        <v>7</v>
      </c>
      <c r="AD152">
        <f t="shared" si="11"/>
        <v>2</v>
      </c>
      <c r="AE152" s="62">
        <f>IF(I152="missing", IFERROR(INDEX([1]lookup!$I:$I, MATCH($A152, [1]lookup!$B:$B, 0)), 0), I152)</f>
        <v>1480.3679999999999</v>
      </c>
    </row>
    <row r="153" spans="1:31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2684</v>
      </c>
      <c r="O153" s="13" t="str">
        <f>PROPER(D153)</f>
        <v>Aaron Hawkins#</v>
      </c>
      <c r="P153" s="13" t="str">
        <f>LEFT(A153,2)</f>
        <v>ES</v>
      </c>
      <c r="Q153" s="13" t="str">
        <f>MID(A153,4,4)</f>
        <v>2015</v>
      </c>
      <c r="R153" s="13" t="str">
        <f>UPPER(M153)</f>
        <v>CRITICAL</v>
      </c>
      <c r="S153" s="13" t="str">
        <f>LOWER(G153)</f>
        <v>furniture</v>
      </c>
      <c r="T153" s="21" t="str">
        <f>RIGHT(A153,5)</f>
        <v>42203</v>
      </c>
      <c r="U153" s="27" t="s">
        <v>2843</v>
      </c>
      <c r="V153" s="19" t="s">
        <v>2743</v>
      </c>
      <c r="W153" s="30">
        <v>2015</v>
      </c>
      <c r="X153" t="s">
        <v>2843</v>
      </c>
      <c r="Y153" s="28">
        <v>42203</v>
      </c>
      <c r="Z153" s="28" t="str">
        <f>TRIM(A153)</f>
        <v>ES-2015-AH100308-42203</v>
      </c>
      <c r="AA153">
        <f t="shared" si="8"/>
        <v>2015</v>
      </c>
      <c r="AB153">
        <f t="shared" si="9"/>
        <v>7</v>
      </c>
      <c r="AC153">
        <f t="shared" si="10"/>
        <v>7</v>
      </c>
      <c r="AD153">
        <f t="shared" si="11"/>
        <v>0</v>
      </c>
      <c r="AE153" s="62">
        <f>IF(I153="missing", IFERROR(INDEX([1]lookup!$I:$I, MATCH($A153, [1]lookup!$B:$B, 0)), 0), I153)</f>
        <v>1100.52</v>
      </c>
    </row>
    <row r="154" spans="1:31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2684</v>
      </c>
      <c r="O154" s="8" t="str">
        <f>PROPER(D154)</f>
        <v>Anna Gayman</v>
      </c>
      <c r="P154" s="8" t="str">
        <f>LEFT(A154,2)</f>
        <v>AU</v>
      </c>
      <c r="Q154" s="8" t="str">
        <f>MID(A154,4,4)</f>
        <v>2012</v>
      </c>
      <c r="R154" s="8" t="str">
        <f>UPPER(M154)</f>
        <v>CRITICAL</v>
      </c>
      <c r="S154" s="8" t="str">
        <f>LOWER(G154)</f>
        <v>furniture</v>
      </c>
      <c r="T154" s="18" t="str">
        <f>RIGHT(A154,5)</f>
        <v>41153</v>
      </c>
      <c r="U154" s="27" t="s">
        <v>2844</v>
      </c>
      <c r="V154" s="16" t="s">
        <v>2845</v>
      </c>
      <c r="W154" s="30">
        <v>2012</v>
      </c>
      <c r="X154" t="s">
        <v>2844</v>
      </c>
      <c r="Y154" s="28">
        <v>41153</v>
      </c>
      <c r="Z154" s="28" t="str">
        <f>TRIM(A154)</f>
        <v>AU-2012-AG6758-41153</v>
      </c>
      <c r="AA154">
        <f t="shared" si="8"/>
        <v>2012</v>
      </c>
      <c r="AB154">
        <f t="shared" si="9"/>
        <v>9</v>
      </c>
      <c r="AC154">
        <f t="shared" si="10"/>
        <v>7</v>
      </c>
      <c r="AD154">
        <f t="shared" si="11"/>
        <v>0</v>
      </c>
      <c r="AE154" s="62">
        <f>IF(I154="missing", IFERROR(INDEX([1]lookup!$I:$I, MATCH($A154, [1]lookup!$B:$B, 0)), 0), I154)</f>
        <v>922.94999999999902</v>
      </c>
    </row>
    <row r="155" spans="1:31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2684</v>
      </c>
      <c r="O155" s="13" t="str">
        <f>PROPER(D155)</f>
        <v>Steven Ward</v>
      </c>
      <c r="P155" s="13" t="str">
        <f>LEFT(A155,2)</f>
        <v>ES</v>
      </c>
      <c r="Q155" s="13" t="str">
        <f>MID(A155,4,4)</f>
        <v>2014</v>
      </c>
      <c r="R155" s="13" t="str">
        <f>UPPER(M155)</f>
        <v>HIGH</v>
      </c>
      <c r="S155" s="13" t="str">
        <f>LOWER(G155)</f>
        <v>furniture</v>
      </c>
      <c r="T155" s="21" t="str">
        <f>RIGHT(A155,5)</f>
        <v>41852</v>
      </c>
      <c r="U155" s="27" t="s">
        <v>2846</v>
      </c>
      <c r="V155" s="19" t="s">
        <v>2743</v>
      </c>
      <c r="W155" s="30">
        <v>2014</v>
      </c>
      <c r="X155" t="s">
        <v>2846</v>
      </c>
      <c r="Y155" s="28">
        <v>41852</v>
      </c>
      <c r="Z155" s="28" t="str">
        <f>TRIM(A155)</f>
        <v>ES-2014-SW2075545-41852</v>
      </c>
      <c r="AA155">
        <f t="shared" si="8"/>
        <v>2014</v>
      </c>
      <c r="AB155">
        <f t="shared" si="9"/>
        <v>8</v>
      </c>
      <c r="AC155">
        <f t="shared" si="10"/>
        <v>6</v>
      </c>
      <c r="AD155">
        <f t="shared" si="11"/>
        <v>1</v>
      </c>
      <c r="AE155" s="62">
        <f>IF(I155="missing", IFERROR(INDEX([1]lookup!$I:$I, MATCH($A155, [1]lookup!$B:$B, 0)), 0), I155)</f>
        <v>1850.4449999999999</v>
      </c>
    </row>
    <row r="156" spans="1:31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2684</v>
      </c>
      <c r="O156" s="8" t="str">
        <f>PROPER(D156)</f>
        <v>Mike Pelletier</v>
      </c>
      <c r="P156" s="8" t="str">
        <f>LEFT(A156,2)</f>
        <v>IN</v>
      </c>
      <c r="Q156" s="8" t="str">
        <f>MID(A156,4,4)</f>
        <v>2015</v>
      </c>
      <c r="R156" s="8" t="str">
        <f>UPPER(M156)</f>
        <v>MEDIUM</v>
      </c>
      <c r="S156" s="8" t="str">
        <f>LOWER(G156)</f>
        <v>office supplies</v>
      </c>
      <c r="T156" s="18" t="str">
        <f>RIGHT(A156,5)</f>
        <v>42328</v>
      </c>
      <c r="U156" s="27" t="s">
        <v>2847</v>
      </c>
      <c r="V156" s="16" t="s">
        <v>2686</v>
      </c>
      <c r="W156" s="30">
        <v>2015</v>
      </c>
      <c r="X156" t="s">
        <v>2847</v>
      </c>
      <c r="Y156" s="28">
        <v>42328</v>
      </c>
      <c r="Z156" s="28" t="str">
        <f>TRIM(A156)</f>
        <v>IN-2015-MP18175144-42328</v>
      </c>
      <c r="AA156">
        <f t="shared" si="8"/>
        <v>2015</v>
      </c>
      <c r="AB156">
        <f t="shared" si="9"/>
        <v>11</v>
      </c>
      <c r="AC156">
        <f t="shared" si="10"/>
        <v>6</v>
      </c>
      <c r="AD156">
        <f t="shared" si="11"/>
        <v>3</v>
      </c>
      <c r="AE156" s="62">
        <f>IF(I156="missing", IFERROR(INDEX([1]lookup!$I:$I, MATCH($A156, [1]lookup!$B:$B, 0)), 0), I156)</f>
        <v>2190.95099999999</v>
      </c>
    </row>
    <row r="157" spans="1:31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2684</v>
      </c>
      <c r="O157" s="13" t="str">
        <f>PROPER(D157)</f>
        <v>Marc Crier</v>
      </c>
      <c r="P157" s="13" t="str">
        <f>LEFT(A157,2)</f>
        <v>UP</v>
      </c>
      <c r="Q157" s="13" t="str">
        <f>MID(A157,4,4)</f>
        <v>2014</v>
      </c>
      <c r="R157" s="13" t="str">
        <f>UPPER(M157)</f>
        <v>MEDIUM</v>
      </c>
      <c r="S157" s="13" t="str">
        <f>LOWER(G157)</f>
        <v>technology</v>
      </c>
      <c r="T157" s="21" t="str">
        <f>RIGHT(A157,5)</f>
        <v>41997</v>
      </c>
      <c r="U157" s="27" t="s">
        <v>2848</v>
      </c>
      <c r="V157" s="19" t="s">
        <v>2795</v>
      </c>
      <c r="W157" s="30">
        <v>2014</v>
      </c>
      <c r="X157" t="s">
        <v>2848</v>
      </c>
      <c r="Y157" s="28">
        <v>41997</v>
      </c>
      <c r="Z157" s="28" t="str">
        <f>TRIM(A157)</f>
        <v>UP-2014-MC7275137-41997</v>
      </c>
      <c r="AA157">
        <f t="shared" si="8"/>
        <v>2014</v>
      </c>
      <c r="AB157">
        <f t="shared" si="9"/>
        <v>12</v>
      </c>
      <c r="AC157">
        <f t="shared" si="10"/>
        <v>4</v>
      </c>
      <c r="AD157">
        <f t="shared" si="11"/>
        <v>5</v>
      </c>
      <c r="AE157" s="62">
        <f>IF(I157="missing", IFERROR(INDEX([1]lookup!$I:$I, MATCH($A157, [1]lookup!$B:$B, 0)), 0), I157)</f>
        <v>2605.56</v>
      </c>
    </row>
    <row r="158" spans="1:31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2684</v>
      </c>
      <c r="O158" s="8" t="str">
        <f>PROPER(D158)</f>
        <v>Adrian Barton</v>
      </c>
      <c r="P158" s="8" t="str">
        <f>LEFT(A158,2)</f>
        <v>CA</v>
      </c>
      <c r="Q158" s="8" t="str">
        <f>MID(A158,4,4)</f>
        <v>2015</v>
      </c>
      <c r="R158" s="8" t="str">
        <f>UPPER(M158)</f>
        <v xml:space="preserve"> HIGH </v>
      </c>
      <c r="S158" s="8" t="str">
        <f>LOWER(G158)</f>
        <v>office supplies</v>
      </c>
      <c r="T158" s="18" t="str">
        <f>RIGHT(A158,5)</f>
        <v>42139</v>
      </c>
      <c r="U158" s="27" t="s">
        <v>2849</v>
      </c>
      <c r="V158" s="16" t="s">
        <v>2689</v>
      </c>
      <c r="W158" s="30">
        <v>2015</v>
      </c>
      <c r="X158" t="s">
        <v>2849</v>
      </c>
      <c r="Y158" s="28">
        <v>42139</v>
      </c>
      <c r="Z158" s="28" t="str">
        <f>TRIM(A158)</f>
        <v>CA-2015-AB10523-42139</v>
      </c>
      <c r="AA158">
        <f t="shared" si="8"/>
        <v>2015</v>
      </c>
      <c r="AB158">
        <f t="shared" si="9"/>
        <v>5</v>
      </c>
      <c r="AC158">
        <f t="shared" si="10"/>
        <v>6</v>
      </c>
      <c r="AD158">
        <f t="shared" si="11"/>
        <v>0</v>
      </c>
      <c r="AE158" s="62">
        <f>IF(I158="missing", IFERROR(INDEX([1]lookup!$I:$I, MATCH($A158, [1]lookup!$B:$B, 0)), 0), I158)</f>
        <v>34.019999999999897</v>
      </c>
    </row>
    <row r="159" spans="1:31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2684</v>
      </c>
      <c r="O159" s="13" t="str">
        <f>PROPER(D159)</f>
        <v>Ed Jacobs</v>
      </c>
      <c r="P159" s="13" t="str">
        <f>LEFT(A159,2)</f>
        <v>IN</v>
      </c>
      <c r="Q159" s="13" t="str">
        <f>MID(A159,4,4)</f>
        <v>2013</v>
      </c>
      <c r="R159" s="13" t="str">
        <f>UPPER(M159)</f>
        <v>HIGH</v>
      </c>
      <c r="S159" s="13" t="str">
        <f>LOWER(G159)</f>
        <v>furniture</v>
      </c>
      <c r="T159" s="21" t="str">
        <f>RIGHT(A159,5)</f>
        <v>41608</v>
      </c>
      <c r="U159" s="27" t="s">
        <v>2850</v>
      </c>
      <c r="V159" s="19" t="s">
        <v>2686</v>
      </c>
      <c r="W159" s="30">
        <v>2013</v>
      </c>
      <c r="X159" t="s">
        <v>2850</v>
      </c>
      <c r="Y159" s="28">
        <v>41608</v>
      </c>
      <c r="Z159" s="28" t="str">
        <f>TRIM(A159)</f>
        <v>IN-2013-EJ13720113-41608</v>
      </c>
      <c r="AA159">
        <f t="shared" si="8"/>
        <v>2013</v>
      </c>
      <c r="AB159">
        <f t="shared" si="9"/>
        <v>11</v>
      </c>
      <c r="AC159">
        <f t="shared" si="10"/>
        <v>7</v>
      </c>
      <c r="AD159">
        <f t="shared" si="11"/>
        <v>4</v>
      </c>
      <c r="AE159" s="62">
        <f>IF(I159="missing", IFERROR(INDEX([1]lookup!$I:$I, MATCH($A159, [1]lookup!$B:$B, 0)), 0), I159)</f>
        <v>2051.1</v>
      </c>
    </row>
    <row r="160" spans="1:31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2684</v>
      </c>
      <c r="O160" s="8" t="str">
        <f>PROPER(D160)</f>
        <v>Adrian Barton</v>
      </c>
      <c r="P160" s="8" t="str">
        <f>LEFT(A160,2)</f>
        <v>CA</v>
      </c>
      <c r="Q160" s="8" t="str">
        <f>MID(A160,4,4)</f>
        <v>2013</v>
      </c>
      <c r="R160" s="8" t="str">
        <f>UPPER(M160)</f>
        <v>MDEIUM</v>
      </c>
      <c r="S160" s="8" t="str">
        <f>LOWER(G160)</f>
        <v>office_supplies</v>
      </c>
      <c r="T160" s="18" t="str">
        <f>RIGHT(A160,5)</f>
        <v>41585</v>
      </c>
      <c r="U160" s="27" t="s">
        <v>2809</v>
      </c>
      <c r="V160" s="16" t="s">
        <v>2689</v>
      </c>
      <c r="W160" s="30">
        <v>2013</v>
      </c>
      <c r="X160" t="s">
        <v>2809</v>
      </c>
      <c r="Y160" s="28">
        <v>41585</v>
      </c>
      <c r="Z160" s="28" t="str">
        <f>TRIM(A160)</f>
        <v>CA-2013-AB10105140-41585</v>
      </c>
      <c r="AA160">
        <f t="shared" si="8"/>
        <v>2013</v>
      </c>
      <c r="AB160">
        <f t="shared" si="9"/>
        <v>11</v>
      </c>
      <c r="AC160">
        <f t="shared" si="10"/>
        <v>5</v>
      </c>
      <c r="AD160">
        <f t="shared" si="11"/>
        <v>5</v>
      </c>
      <c r="AE160" s="62">
        <f>IF(I160="missing", IFERROR(INDEX([1]lookup!$I:$I, MATCH($A160, [1]lookup!$B:$B, 0)), 0), I160)</f>
        <v>23.64</v>
      </c>
    </row>
    <row r="161" spans="1:31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2684</v>
      </c>
      <c r="O161" s="13" t="str">
        <f>PROPER(D161)</f>
        <v>Adrian Barton</v>
      </c>
      <c r="P161" s="13" t="str">
        <f>LEFT(A161,2)</f>
        <v>CA</v>
      </c>
      <c r="Q161" s="13" t="str">
        <f>MID(A161,4,4)</f>
        <v>2015</v>
      </c>
      <c r="R161" s="13" t="str">
        <f>UPPER(M161)</f>
        <v>MEDIUM</v>
      </c>
      <c r="S161" s="13" t="str">
        <f>LOWER(G161)</f>
        <v>office supplies</v>
      </c>
      <c r="T161" s="21" t="str">
        <f>RIGHT(A161,5)</f>
        <v>42328</v>
      </c>
      <c r="U161" s="27" t="s">
        <v>2809</v>
      </c>
      <c r="V161" s="19" t="s">
        <v>2689</v>
      </c>
      <c r="W161" s="30">
        <v>2015</v>
      </c>
      <c r="X161" t="s">
        <v>2809</v>
      </c>
      <c r="Y161" s="28">
        <v>42328</v>
      </c>
      <c r="Z161" s="28" t="str">
        <f>TRIM(A161)</f>
        <v>CA-2015-AB10105140-42328</v>
      </c>
      <c r="AA161">
        <f t="shared" si="8"/>
        <v>2015</v>
      </c>
      <c r="AB161">
        <f t="shared" si="9"/>
        <v>11</v>
      </c>
      <c r="AC161">
        <f t="shared" si="10"/>
        <v>6</v>
      </c>
      <c r="AD161">
        <f t="shared" si="11"/>
        <v>4</v>
      </c>
      <c r="AE161" s="62">
        <f>IF(I161="missing", IFERROR(INDEX([1]lookup!$I:$I, MATCH($A161, [1]lookup!$B:$B, 0)), 0), I161)</f>
        <v>21.96</v>
      </c>
    </row>
    <row r="162" spans="1:31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2684</v>
      </c>
      <c r="O162" s="8" t="str">
        <f>PROPER(D162)</f>
        <v>Adrian Barton</v>
      </c>
      <c r="P162" s="8" t="str">
        <f>LEFT(A162,2)</f>
        <v>CA</v>
      </c>
      <c r="Q162" s="8" t="str">
        <f>MID(A162,4,4)</f>
        <v>2012</v>
      </c>
      <c r="R162" s="8" t="str">
        <f>UPPER(M162)</f>
        <v>MEDIUM</v>
      </c>
      <c r="S162" s="8" t="str">
        <f>LOWER(G162)</f>
        <v>office supplies</v>
      </c>
      <c r="T162" s="18" t="str">
        <f>RIGHT(A162,5)</f>
        <v>41262</v>
      </c>
      <c r="U162" s="27" t="s">
        <v>2809</v>
      </c>
      <c r="V162" s="16" t="s">
        <v>2689</v>
      </c>
      <c r="W162" s="30">
        <v>2012</v>
      </c>
      <c r="X162" t="s">
        <v>2809</v>
      </c>
      <c r="Y162" s="28">
        <v>41262</v>
      </c>
      <c r="Z162" s="28" t="str">
        <f>TRIM(A162)</f>
        <v>CA-2012-AB10105140-41262</v>
      </c>
      <c r="AA162">
        <f t="shared" si="8"/>
        <v>2012</v>
      </c>
      <c r="AB162">
        <f t="shared" si="9"/>
        <v>12</v>
      </c>
      <c r="AC162">
        <f t="shared" si="10"/>
        <v>4</v>
      </c>
      <c r="AD162">
        <f t="shared" si="11"/>
        <v>3</v>
      </c>
      <c r="AE162" s="62">
        <f>IF(I162="missing", IFERROR(INDEX([1]lookup!$I:$I, MATCH($A162, [1]lookup!$B:$B, 0)), 0), I162)</f>
        <v>3.69</v>
      </c>
    </row>
    <row r="163" spans="1:31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2684</v>
      </c>
      <c r="O163" s="13" t="str">
        <f>PROPER(D163)</f>
        <v>Adrian Hane</v>
      </c>
      <c r="P163" s="13" t="str">
        <f>LEFT(A163,2)</f>
        <v>CA</v>
      </c>
      <c r="Q163" s="13" t="str">
        <f>MID(A163,4,4)</f>
        <v>2015</v>
      </c>
      <c r="R163" s="13" t="str">
        <f>UPPER(M163)</f>
        <v>HIGH</v>
      </c>
      <c r="S163" s="13" t="str">
        <f>LOWER(G163)</f>
        <v>office supplies</v>
      </c>
      <c r="T163" s="21" t="str">
        <f>RIGHT(A163,5)</f>
        <v>42103</v>
      </c>
      <c r="U163" s="27" t="s">
        <v>2851</v>
      </c>
      <c r="V163" s="19" t="s">
        <v>2689</v>
      </c>
      <c r="W163" s="30">
        <v>2015</v>
      </c>
      <c r="X163" t="s">
        <v>2851</v>
      </c>
      <c r="Y163" s="28">
        <v>42103</v>
      </c>
      <c r="Z163" s="28" t="str">
        <f>TRIM(A163)</f>
        <v>CA-2015-AH10120140-42103</v>
      </c>
      <c r="AA163">
        <f t="shared" si="8"/>
        <v>2015</v>
      </c>
      <c r="AB163">
        <f t="shared" si="9"/>
        <v>4</v>
      </c>
      <c r="AC163">
        <f t="shared" si="10"/>
        <v>5</v>
      </c>
      <c r="AD163">
        <f t="shared" si="11"/>
        <v>4</v>
      </c>
      <c r="AE163" s="62">
        <f>IF(I163="missing", IFERROR(INDEX([1]lookup!$I:$I, MATCH($A163, [1]lookup!$B:$B, 0)), 0), I163)</f>
        <v>195.76</v>
      </c>
    </row>
    <row r="164" spans="1:31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2684</v>
      </c>
      <c r="O164" s="8" t="str">
        <f>PROPER(D164)</f>
        <v>Randy Bradley</v>
      </c>
      <c r="P164" s="8" t="str">
        <f>LEFT(A164,2)</f>
        <v>IT</v>
      </c>
      <c r="Q164" s="8" t="str">
        <f>MID(A164,4,4)</f>
        <v>2012</v>
      </c>
      <c r="R164" s="8" t="str">
        <f>UPPER(M164)</f>
        <v>HIGH</v>
      </c>
      <c r="S164" s="8" t="str">
        <f>LOWER(G164)</f>
        <v>furniture</v>
      </c>
      <c r="T164" s="18" t="str">
        <f>RIGHT(A164,5)</f>
        <v>41077</v>
      </c>
      <c r="U164" s="27" t="s">
        <v>2852</v>
      </c>
      <c r="V164" s="16" t="s">
        <v>2710</v>
      </c>
      <c r="W164" s="30">
        <v>2012</v>
      </c>
      <c r="X164" t="s">
        <v>2852</v>
      </c>
      <c r="Y164" s="28">
        <v>41077</v>
      </c>
      <c r="Z164" s="28" t="str">
        <f>TRIM(A164)</f>
        <v>IT-2012-RB19330120-41077</v>
      </c>
      <c r="AA164">
        <f t="shared" si="8"/>
        <v>2012</v>
      </c>
      <c r="AB164">
        <f t="shared" si="9"/>
        <v>6</v>
      </c>
      <c r="AC164">
        <f t="shared" si="10"/>
        <v>1</v>
      </c>
      <c r="AD164">
        <f t="shared" si="11"/>
        <v>2</v>
      </c>
      <c r="AE164" s="62">
        <f>IF(I164="missing", IFERROR(INDEX([1]lookup!$I:$I, MATCH($A164, [1]lookup!$B:$B, 0)), 0), I164)</f>
        <v>1814.25</v>
      </c>
    </row>
    <row r="165" spans="1:31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2684</v>
      </c>
      <c r="O165" s="13" t="str">
        <f>PROPER(D165)</f>
        <v>Laurel Workman</v>
      </c>
      <c r="P165" s="13" t="str">
        <f>LEFT(A165,2)</f>
        <v>IN</v>
      </c>
      <c r="Q165" s="13" t="str">
        <f>MID(A165,4,4)</f>
        <v>2013</v>
      </c>
      <c r="R165" s="13" t="str">
        <f>UPPER(M165)</f>
        <v>CRITICAL</v>
      </c>
      <c r="S165" s="13" t="str">
        <f>LOWER(G165)</f>
        <v>technology</v>
      </c>
      <c r="T165" s="21" t="str">
        <f>RIGHT(A165,5)</f>
        <v>41376</v>
      </c>
      <c r="U165" s="27" t="s">
        <v>2853</v>
      </c>
      <c r="V165" s="19" t="s">
        <v>2686</v>
      </c>
      <c r="W165" s="30">
        <v>2013</v>
      </c>
      <c r="X165" t="s">
        <v>2853</v>
      </c>
      <c r="Y165" s="28">
        <v>41376</v>
      </c>
      <c r="Z165" s="28" t="str">
        <f>TRIM(A165)</f>
        <v>IN-2013-LW1682558-41376</v>
      </c>
      <c r="AA165">
        <f t="shared" si="8"/>
        <v>2013</v>
      </c>
      <c r="AB165">
        <f t="shared" si="9"/>
        <v>4</v>
      </c>
      <c r="AC165">
        <f t="shared" si="10"/>
        <v>6</v>
      </c>
      <c r="AD165">
        <f t="shared" si="11"/>
        <v>2</v>
      </c>
      <c r="AE165" s="62">
        <f>IF(I165="missing", IFERROR(INDEX([1]lookup!$I:$I, MATCH($A165, [1]lookup!$B:$B, 0)), 0), I165)</f>
        <v>723.3</v>
      </c>
    </row>
    <row r="166" spans="1:31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2684</v>
      </c>
      <c r="O166" s="8" t="str">
        <f>PROPER(D166)</f>
        <v>Muhammed Yedwab</v>
      </c>
      <c r="P166" s="8" t="str">
        <f>LEFT(A166,2)</f>
        <v>MX</v>
      </c>
      <c r="Q166" s="8" t="str">
        <f>MID(A166,4,4)</f>
        <v>2015</v>
      </c>
      <c r="R166" s="8" t="str">
        <f>UPPER(M166)</f>
        <v>CRITICAL</v>
      </c>
      <c r="S166" s="8" t="str">
        <f>LOWER(G166)</f>
        <v>furniture</v>
      </c>
      <c r="T166" s="18" t="str">
        <f>RIGHT(A166,5)</f>
        <v>42355</v>
      </c>
      <c r="U166" s="27" t="s">
        <v>2854</v>
      </c>
      <c r="V166" s="16" t="s">
        <v>2718</v>
      </c>
      <c r="W166" s="30">
        <v>2015</v>
      </c>
      <c r="X166" t="s">
        <v>2854</v>
      </c>
      <c r="Y166" s="28">
        <v>42355</v>
      </c>
      <c r="Z166" s="28" t="str">
        <f>TRIM(A166)</f>
        <v>MX-2015-MY1829593-42355</v>
      </c>
      <c r="AA166">
        <f t="shared" si="8"/>
        <v>2015</v>
      </c>
      <c r="AB166">
        <f t="shared" si="9"/>
        <v>12</v>
      </c>
      <c r="AC166">
        <f t="shared" si="10"/>
        <v>5</v>
      </c>
      <c r="AD166">
        <f t="shared" si="11"/>
        <v>2</v>
      </c>
      <c r="AE166" s="62">
        <f>IF(I166="missing", IFERROR(INDEX([1]lookup!$I:$I, MATCH($A166, [1]lookup!$B:$B, 0)), 0), I166)</f>
        <v>1212.5</v>
      </c>
    </row>
    <row r="167" spans="1:31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2684</v>
      </c>
      <c r="O167" s="13" t="str">
        <f>PROPER(D167)</f>
        <v>Brian Stugart</v>
      </c>
      <c r="P167" s="13" t="str">
        <f>LEFT(A167,2)</f>
        <v>ES</v>
      </c>
      <c r="Q167" s="13" t="str">
        <f>MID(A167,4,4)</f>
        <v>2014</v>
      </c>
      <c r="R167" s="13" t="str">
        <f>UPPER(M167)</f>
        <v>MEDIUM</v>
      </c>
      <c r="S167" s="13" t="str">
        <f>LOWER(G167)</f>
        <v>technology</v>
      </c>
      <c r="T167" s="21" t="str">
        <f>RIGHT(A167,5)</f>
        <v>41734</v>
      </c>
      <c r="U167" s="27" t="s">
        <v>2855</v>
      </c>
      <c r="V167" s="19" t="s">
        <v>2743</v>
      </c>
      <c r="W167" s="30">
        <v>2014</v>
      </c>
      <c r="X167" t="s">
        <v>2855</v>
      </c>
      <c r="Y167" s="28">
        <v>41734</v>
      </c>
      <c r="Z167" s="28" t="str">
        <f>TRIM(A167)</f>
        <v>ES-2014-BS1166545-41734</v>
      </c>
      <c r="AA167">
        <f t="shared" si="8"/>
        <v>2014</v>
      </c>
      <c r="AB167">
        <f t="shared" si="9"/>
        <v>4</v>
      </c>
      <c r="AC167">
        <f t="shared" si="10"/>
        <v>7</v>
      </c>
      <c r="AD167">
        <f t="shared" si="11"/>
        <v>3</v>
      </c>
      <c r="AE167" s="62">
        <f>IF(I167="missing", IFERROR(INDEX([1]lookup!$I:$I, MATCH($A167, [1]lookup!$B:$B, 0)), 0), I167)</f>
        <v>1622.5649999999901</v>
      </c>
    </row>
    <row r="168" spans="1:31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2684</v>
      </c>
      <c r="O168" s="8" t="str">
        <f>PROPER(D168)</f>
        <v>Joe Kamberova</v>
      </c>
      <c r="P168" s="8" t="str">
        <f>LEFT(A168,2)</f>
        <v>RS</v>
      </c>
      <c r="Q168" s="8" t="str">
        <f>MID(A168,4,4)</f>
        <v>2012</v>
      </c>
      <c r="R168" s="8" t="str">
        <f>UPPER(M168)</f>
        <v>HIGH</v>
      </c>
      <c r="S168" s="8" t="str">
        <f>LOWER(G168)</f>
        <v>furniture</v>
      </c>
      <c r="T168" s="18" t="str">
        <f>RIGHT(A168,5)</f>
        <v>41150</v>
      </c>
      <c r="U168" s="27" t="s">
        <v>2856</v>
      </c>
      <c r="V168" s="16" t="s">
        <v>2857</v>
      </c>
      <c r="W168" s="30">
        <v>2012</v>
      </c>
      <c r="X168" t="s">
        <v>2856</v>
      </c>
      <c r="Y168" s="28">
        <v>41150</v>
      </c>
      <c r="Z168" s="28" t="str">
        <f>TRIM(A168)</f>
        <v>RS-2012-JK5730108-41150</v>
      </c>
      <c r="AA168">
        <f t="shared" si="8"/>
        <v>2012</v>
      </c>
      <c r="AB168">
        <f t="shared" si="9"/>
        <v>8</v>
      </c>
      <c r="AC168">
        <f t="shared" si="10"/>
        <v>4</v>
      </c>
      <c r="AD168">
        <f t="shared" si="11"/>
        <v>0</v>
      </c>
      <c r="AE168" s="62">
        <f>IF(I168="missing", IFERROR(INDEX([1]lookup!$I:$I, MATCH($A168, [1]lookup!$B:$B, 0)), 0), I168)</f>
        <v>1782.48</v>
      </c>
    </row>
    <row r="169" spans="1:31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2684</v>
      </c>
      <c r="O169" s="13" t="str">
        <f>PROPER(D169)</f>
        <v>Henia Zydlo</v>
      </c>
      <c r="P169" s="13" t="str">
        <f>LEFT(A169,2)</f>
        <v>ES</v>
      </c>
      <c r="Q169" s="13" t="str">
        <f>MID(A169,4,4)</f>
        <v>2013</v>
      </c>
      <c r="R169" s="13" t="str">
        <f>UPPER(M169)</f>
        <v>CRITICAL</v>
      </c>
      <c r="S169" s="13" t="str">
        <f>LOWER(G169)</f>
        <v>technology</v>
      </c>
      <c r="T169" s="21" t="str">
        <f>RIGHT(A169,5)</f>
        <v>41612</v>
      </c>
      <c r="U169" s="27" t="s">
        <v>2858</v>
      </c>
      <c r="V169" s="19" t="s">
        <v>2743</v>
      </c>
      <c r="W169" s="30">
        <v>2013</v>
      </c>
      <c r="X169" t="s">
        <v>2858</v>
      </c>
      <c r="Y169" s="28">
        <v>41612</v>
      </c>
      <c r="Z169" s="28" t="str">
        <f>TRIM(A169)</f>
        <v>ES-2013-HZ1495045-41612</v>
      </c>
      <c r="AA169">
        <f t="shared" si="8"/>
        <v>2013</v>
      </c>
      <c r="AB169">
        <f t="shared" si="9"/>
        <v>12</v>
      </c>
      <c r="AC169">
        <f t="shared" si="10"/>
        <v>4</v>
      </c>
      <c r="AD169">
        <f t="shared" si="11"/>
        <v>1</v>
      </c>
      <c r="AE169" s="62">
        <f>IF(I169="missing", IFERROR(INDEX([1]lookup!$I:$I, MATCH($A169, [1]lookup!$B:$B, 0)), 0), I169)</f>
        <v>667.76849999999899</v>
      </c>
    </row>
    <row r="170" spans="1:31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2684</v>
      </c>
      <c r="O170" s="8" t="str">
        <f>PROPER(D170)</f>
        <v>Theresa Coyne</v>
      </c>
      <c r="P170" s="8" t="str">
        <f>LEFT(A170,2)</f>
        <v>MX</v>
      </c>
      <c r="Q170" s="8" t="str">
        <f>MID(A170,4,4)</f>
        <v>2013</v>
      </c>
      <c r="R170" s="8" t="str">
        <f>UPPER(M170)</f>
        <v>HIGH</v>
      </c>
      <c r="S170" s="8" t="str">
        <f>LOWER(G170)</f>
        <v>technology</v>
      </c>
      <c r="T170" s="18" t="str">
        <f>RIGHT(A170,5)</f>
        <v>41446</v>
      </c>
      <c r="U170" s="27" t="s">
        <v>2859</v>
      </c>
      <c r="V170" s="16" t="s">
        <v>2718</v>
      </c>
      <c r="W170" s="30">
        <v>2013</v>
      </c>
      <c r="X170" t="s">
        <v>2859</v>
      </c>
      <c r="Y170" s="28">
        <v>41446</v>
      </c>
      <c r="Z170" s="28" t="str">
        <f>TRIM(A170)</f>
        <v>MX-2013-TC2114582-41446</v>
      </c>
      <c r="AA170">
        <f t="shared" si="8"/>
        <v>2013</v>
      </c>
      <c r="AB170">
        <f t="shared" si="9"/>
        <v>6</v>
      </c>
      <c r="AC170">
        <f t="shared" si="10"/>
        <v>6</v>
      </c>
      <c r="AD170">
        <f t="shared" si="11"/>
        <v>0</v>
      </c>
      <c r="AE170" s="62">
        <f>IF(I170="missing", IFERROR(INDEX([1]lookup!$I:$I, MATCH($A170, [1]lookup!$B:$B, 0)), 0), I170)</f>
        <v>1696.4</v>
      </c>
    </row>
    <row r="171" spans="1:31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2684</v>
      </c>
      <c r="O171" s="13" t="str">
        <f>PROPER(D171)</f>
        <v>Deirdre Greer</v>
      </c>
      <c r="P171" s="13" t="str">
        <f>LEFT(A171,2)</f>
        <v>MX</v>
      </c>
      <c r="Q171" s="13" t="str">
        <f>MID(A171,4,4)</f>
        <v>2013</v>
      </c>
      <c r="R171" s="13" t="str">
        <f>UPPER(M171)</f>
        <v>MEDIUM</v>
      </c>
      <c r="S171" s="13" t="str">
        <f>LOWER(G171)</f>
        <v>office supplies</v>
      </c>
      <c r="T171" s="21" t="str">
        <f>RIGHT(A171,5)</f>
        <v>41417</v>
      </c>
      <c r="U171" s="27" t="s">
        <v>2860</v>
      </c>
      <c r="V171" s="19" t="s">
        <v>2718</v>
      </c>
      <c r="W171" s="30">
        <v>2013</v>
      </c>
      <c r="X171" t="s">
        <v>2860</v>
      </c>
      <c r="Y171" s="28">
        <v>41417</v>
      </c>
      <c r="Z171" s="28" t="str">
        <f>TRIM(A171)</f>
        <v>MX-2013-DG1330082-41417</v>
      </c>
      <c r="AA171">
        <f t="shared" si="8"/>
        <v>2013</v>
      </c>
      <c r="AB171">
        <f t="shared" si="9"/>
        <v>5</v>
      </c>
      <c r="AC171">
        <f t="shared" si="10"/>
        <v>5</v>
      </c>
      <c r="AD171">
        <f t="shared" si="11"/>
        <v>2</v>
      </c>
      <c r="AE171" s="62">
        <f>IF(I171="missing", IFERROR(INDEX([1]lookup!$I:$I, MATCH($A171, [1]lookup!$B:$B, 0)), 0), I171)</f>
        <v>935.5</v>
      </c>
    </row>
    <row r="172" spans="1:31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2684</v>
      </c>
      <c r="O172" s="8" t="str">
        <f>PROPER(D172)</f>
        <v>Dorris Liebe</v>
      </c>
      <c r="P172" s="8" t="str">
        <f>LEFT(A172,2)</f>
        <v>ES</v>
      </c>
      <c r="Q172" s="8" t="str">
        <f>MID(A172,4,4)</f>
        <v>2013</v>
      </c>
      <c r="R172" s="8" t="str">
        <f>UPPER(M172)</f>
        <v>HIGH</v>
      </c>
      <c r="S172" s="8" t="str">
        <f>LOWER(G172)</f>
        <v>technology</v>
      </c>
      <c r="T172" s="18" t="str">
        <f>RIGHT(A172,5)</f>
        <v>41440</v>
      </c>
      <c r="U172" s="27" t="s">
        <v>2861</v>
      </c>
      <c r="V172" s="16" t="s">
        <v>2743</v>
      </c>
      <c r="W172" s="30">
        <v>2013</v>
      </c>
      <c r="X172" t="s">
        <v>2861</v>
      </c>
      <c r="Y172" s="28">
        <v>41440</v>
      </c>
      <c r="Z172" s="28" t="str">
        <f>TRIM(A172)</f>
        <v>ES-2013-Dl1360045-41440</v>
      </c>
      <c r="AA172">
        <f t="shared" si="8"/>
        <v>2013</v>
      </c>
      <c r="AB172">
        <f t="shared" si="9"/>
        <v>6</v>
      </c>
      <c r="AC172">
        <f t="shared" si="10"/>
        <v>7</v>
      </c>
      <c r="AD172">
        <f t="shared" si="11"/>
        <v>0</v>
      </c>
      <c r="AE172" s="62">
        <f>IF(I172="missing", IFERROR(INDEX([1]lookup!$I:$I, MATCH($A172, [1]lookup!$B:$B, 0)), 0), I172)</f>
        <v>980.52</v>
      </c>
    </row>
    <row r="173" spans="1:31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2684</v>
      </c>
      <c r="O173" s="13" t="str">
        <f>PROPER(D173)</f>
        <v>Adrian Hane</v>
      </c>
      <c r="P173" s="13" t="str">
        <f>LEFT(A173,2)</f>
        <v>CA</v>
      </c>
      <c r="Q173" s="13" t="str">
        <f>MID(A173,4,4)</f>
        <v>2014</v>
      </c>
      <c r="R173" s="13" t="str">
        <f>UPPER(M173)</f>
        <v>MEDIUM</v>
      </c>
      <c r="S173" s="13" t="str">
        <f>LOWER(G173)</f>
        <v>technology</v>
      </c>
      <c r="T173" s="21" t="str">
        <f>RIGHT(A173,5)</f>
        <v>41929</v>
      </c>
      <c r="U173" s="27" t="s">
        <v>2851</v>
      </c>
      <c r="V173" s="19" t="s">
        <v>2689</v>
      </c>
      <c r="W173" s="30">
        <v>2014</v>
      </c>
      <c r="X173" t="s">
        <v>2851</v>
      </c>
      <c r="Y173" s="28">
        <v>41929</v>
      </c>
      <c r="Z173" s="28" t="str">
        <f>TRIM(A173)</f>
        <v>CA-2014-AH10120140-41929</v>
      </c>
      <c r="AA173">
        <f t="shared" si="8"/>
        <v>2014</v>
      </c>
      <c r="AB173">
        <f t="shared" si="9"/>
        <v>12</v>
      </c>
      <c r="AC173">
        <f t="shared" si="10"/>
        <v>6</v>
      </c>
      <c r="AD173">
        <f t="shared" si="11"/>
        <v>3</v>
      </c>
      <c r="AE173" s="62">
        <f>IF(I173="missing", IFERROR(INDEX([1]lookup!$I:$I, MATCH($A173, [1]lookup!$B:$B, 0)), 0), I173)</f>
        <v>28.68</v>
      </c>
    </row>
    <row r="174" spans="1:31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2684</v>
      </c>
      <c r="O174" s="8" t="str">
        <f>PROPER(D174)</f>
        <v>Jim Radford</v>
      </c>
      <c r="P174" s="8" t="str">
        <f>LEFT(A174,2)</f>
        <v>IT</v>
      </c>
      <c r="Q174" s="8" t="str">
        <f>MID(A174,4,4)</f>
        <v>2012</v>
      </c>
      <c r="R174" s="8" t="str">
        <f>UPPER(M174)</f>
        <v>HIGH</v>
      </c>
      <c r="S174" s="8" t="str">
        <f>LOWER(G174)</f>
        <v>office supplies</v>
      </c>
      <c r="T174" s="18" t="str">
        <f>RIGHT(A174,5)</f>
        <v>41238</v>
      </c>
      <c r="U174" s="27" t="s">
        <v>2862</v>
      </c>
      <c r="V174" s="16" t="s">
        <v>2710</v>
      </c>
      <c r="W174" s="30">
        <v>2012</v>
      </c>
      <c r="X174" t="s">
        <v>2862</v>
      </c>
      <c r="Y174" s="28">
        <v>41238</v>
      </c>
      <c r="Z174" s="28" t="str">
        <f>TRIM(A174)</f>
        <v>IT-2012-JR1567048-41238</v>
      </c>
      <c r="AA174">
        <f t="shared" si="8"/>
        <v>2012</v>
      </c>
      <c r="AB174">
        <f t="shared" si="9"/>
        <v>11</v>
      </c>
      <c r="AC174">
        <f t="shared" si="10"/>
        <v>1</v>
      </c>
      <c r="AD174">
        <f t="shared" si="11"/>
        <v>4</v>
      </c>
      <c r="AE174" s="62">
        <f>IF(I174="missing", IFERROR(INDEX([1]lookup!$I:$I, MATCH($A174, [1]lookup!$B:$B, 0)), 0), I174)</f>
        <v>2039.796</v>
      </c>
    </row>
    <row r="175" spans="1:31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2684</v>
      </c>
      <c r="O175" s="13" t="str">
        <f>PROPER(D175)</f>
        <v>Frank Merwin</v>
      </c>
      <c r="P175" s="13" t="str">
        <f>LEFT(A175,2)</f>
        <v>MX</v>
      </c>
      <c r="Q175" s="13" t="str">
        <f>MID(A175,4,4)</f>
        <v>2012</v>
      </c>
      <c r="R175" s="13" t="str">
        <f>UPPER(M175)</f>
        <v>HIGH</v>
      </c>
      <c r="S175" s="13" t="str">
        <f>LOWER(G175)</f>
        <v>furniture</v>
      </c>
      <c r="T175" s="21" t="str">
        <f>RIGHT(A175,5)</f>
        <v>41216</v>
      </c>
      <c r="U175" s="27" t="s">
        <v>2863</v>
      </c>
      <c r="V175" s="19" t="s">
        <v>2718</v>
      </c>
      <c r="W175" s="30">
        <v>2012</v>
      </c>
      <c r="X175" t="s">
        <v>2863</v>
      </c>
      <c r="Y175" s="28">
        <v>41216</v>
      </c>
      <c r="Z175" s="28" t="str">
        <f>TRIM(A175)</f>
        <v>MX-2012-FM1429065-41216</v>
      </c>
      <c r="AA175">
        <f t="shared" si="8"/>
        <v>2012</v>
      </c>
      <c r="AB175">
        <f t="shared" si="9"/>
        <v>11</v>
      </c>
      <c r="AC175">
        <f t="shared" si="10"/>
        <v>7</v>
      </c>
      <c r="AD175">
        <f t="shared" si="11"/>
        <v>4</v>
      </c>
      <c r="AE175" s="62">
        <f>IF(I175="missing", IFERROR(INDEX([1]lookup!$I:$I, MATCH($A175, [1]lookup!$B:$B, 0)), 0), I175)</f>
        <v>1380.8999999999901</v>
      </c>
    </row>
    <row r="176" spans="1:31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2684</v>
      </c>
      <c r="O176" s="8" t="str">
        <f>PROPER(D176)</f>
        <v>Clytie Kelty</v>
      </c>
      <c r="P176" s="8" t="str">
        <f>LEFT(A176,2)</f>
        <v>IN</v>
      </c>
      <c r="Q176" s="8" t="str">
        <f>MID(A176,4,4)</f>
        <v>2014</v>
      </c>
      <c r="R176" s="8" t="str">
        <f>UPPER(M176)</f>
        <v>CRITICAL</v>
      </c>
      <c r="S176" s="8" t="str">
        <f>LOWER(G176)</f>
        <v>furniture</v>
      </c>
      <c r="T176" s="18" t="str">
        <f>RIGHT(A176,5)</f>
        <v>41929</v>
      </c>
      <c r="U176" s="27" t="s">
        <v>2864</v>
      </c>
      <c r="V176" s="16" t="s">
        <v>2686</v>
      </c>
      <c r="W176" s="30">
        <v>2014</v>
      </c>
      <c r="X176" t="s">
        <v>2864</v>
      </c>
      <c r="Y176" s="28">
        <v>41929</v>
      </c>
      <c r="Z176" s="28" t="str">
        <f>TRIM(A176)</f>
        <v>IN-2014-CK1259592-41929</v>
      </c>
      <c r="AA176">
        <f t="shared" si="8"/>
        <v>2014</v>
      </c>
      <c r="AB176">
        <f t="shared" si="9"/>
        <v>10</v>
      </c>
      <c r="AC176">
        <f t="shared" si="10"/>
        <v>6</v>
      </c>
      <c r="AD176">
        <f t="shared" si="11"/>
        <v>2</v>
      </c>
      <c r="AE176" s="62">
        <f>IF(I176="missing", IFERROR(INDEX([1]lookup!$I:$I, MATCH($A176, [1]lookup!$B:$B, 0)), 0), I176)</f>
        <v>823.5</v>
      </c>
    </row>
    <row r="177" spans="1:31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2684</v>
      </c>
      <c r="O177" s="13" t="str">
        <f>PROPER(D177)</f>
        <v>Gary Mcgarr</v>
      </c>
      <c r="P177" s="13" t="str">
        <f>LEFT(A177,2)</f>
        <v>IN</v>
      </c>
      <c r="Q177" s="13" t="str">
        <f>MID(A177,4,4)</f>
        <v>2014</v>
      </c>
      <c r="R177" s="13" t="str">
        <f>UPPER(M177)</f>
        <v>MEDIUM</v>
      </c>
      <c r="S177" s="13" t="str">
        <f>LOWER(G177)</f>
        <v>technology</v>
      </c>
      <c r="T177" s="21" t="str">
        <f>RIGHT(A177,5)</f>
        <v>41795</v>
      </c>
      <c r="U177" s="27" t="s">
        <v>2865</v>
      </c>
      <c r="V177" s="19" t="s">
        <v>2686</v>
      </c>
      <c r="W177" s="30">
        <v>2014</v>
      </c>
      <c r="X177" t="s">
        <v>2865</v>
      </c>
      <c r="Y177" s="28">
        <v>41795</v>
      </c>
      <c r="Z177" s="28" t="str">
        <f>TRIM(A177)</f>
        <v>IN-2014-GM1444027-41795</v>
      </c>
      <c r="AA177">
        <f t="shared" si="8"/>
        <v>2014</v>
      </c>
      <c r="AB177">
        <f t="shared" si="9"/>
        <v>6</v>
      </c>
      <c r="AC177">
        <f t="shared" si="10"/>
        <v>5</v>
      </c>
      <c r="AD177">
        <f t="shared" si="11"/>
        <v>4</v>
      </c>
      <c r="AE177" s="62">
        <f>IF(I177="missing", IFERROR(INDEX([1]lookup!$I:$I, MATCH($A177, [1]lookup!$B:$B, 0)), 0), I177)</f>
        <v>3180.75</v>
      </c>
    </row>
    <row r="178" spans="1:31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2684</v>
      </c>
      <c r="O178" s="8" t="str">
        <f>PROPER(D178)</f>
        <v>Adrian Hane</v>
      </c>
      <c r="P178" s="8" t="str">
        <f>LEFT(A178,2)</f>
        <v>CA</v>
      </c>
      <c r="Q178" s="8" t="str">
        <f>MID(A178,4,4)</f>
        <v>2014</v>
      </c>
      <c r="R178" s="8" t="str">
        <f>UPPER(M178)</f>
        <v>MEDIUM</v>
      </c>
      <c r="S178" s="8" t="str">
        <f>LOWER(G178)</f>
        <v>office supplies</v>
      </c>
      <c r="T178" s="18" t="str">
        <f>RIGHT(A178,5)</f>
        <v>41992</v>
      </c>
      <c r="U178" s="27" t="s">
        <v>2851</v>
      </c>
      <c r="V178" s="16" t="s">
        <v>2689</v>
      </c>
      <c r="W178" s="30">
        <v>2014</v>
      </c>
      <c r="X178" t="s">
        <v>2851</v>
      </c>
      <c r="Y178" s="28">
        <v>41992</v>
      </c>
      <c r="Z178" s="28" t="str">
        <f>TRIM(A178)</f>
        <v>CA-2014-AH10120140-41992</v>
      </c>
      <c r="AA178">
        <f t="shared" si="8"/>
        <v>2014</v>
      </c>
      <c r="AB178">
        <f t="shared" si="9"/>
        <v>12</v>
      </c>
      <c r="AC178">
        <f t="shared" si="10"/>
        <v>6</v>
      </c>
      <c r="AD178">
        <f t="shared" si="11"/>
        <v>3</v>
      </c>
      <c r="AE178" s="62">
        <f>IF(I178="missing", IFERROR(INDEX([1]lookup!$I:$I, MATCH($A178, [1]lookup!$B:$B, 0)), 0), I178)</f>
        <v>15.936</v>
      </c>
    </row>
    <row r="179" spans="1:31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2684</v>
      </c>
      <c r="O179" s="13" t="str">
        <f>PROPER(D179)</f>
        <v>Adrian Hane</v>
      </c>
      <c r="P179" s="13" t="str">
        <f>LEFT(A179,2)</f>
        <v>CA</v>
      </c>
      <c r="Q179" s="13" t="str">
        <f>MID(A179,4,4)</f>
        <v>2015</v>
      </c>
      <c r="R179" s="13" t="str">
        <f>UPPER(M179)</f>
        <v>MEDIUM</v>
      </c>
      <c r="S179" s="13" t="str">
        <f>LOWER(G179)</f>
        <v>office supplies</v>
      </c>
      <c r="T179" s="21" t="str">
        <f>RIGHT(A179,5)</f>
        <v>42188</v>
      </c>
      <c r="U179" s="27" t="s">
        <v>2851</v>
      </c>
      <c r="V179" s="19" t="s">
        <v>2689</v>
      </c>
      <c r="W179" s="30">
        <v>2015</v>
      </c>
      <c r="X179" t="s">
        <v>2851</v>
      </c>
      <c r="Y179" s="28">
        <v>42188</v>
      </c>
      <c r="Z179" s="28" t="str">
        <f>TRIM(A179)</f>
        <v>CA-2015-AH10120140-42188</v>
      </c>
      <c r="AA179">
        <f t="shared" si="8"/>
        <v>2015</v>
      </c>
      <c r="AB179">
        <f t="shared" si="9"/>
        <v>7</v>
      </c>
      <c r="AC179">
        <f t="shared" si="10"/>
        <v>6</v>
      </c>
      <c r="AD179">
        <f t="shared" si="11"/>
        <v>3</v>
      </c>
      <c r="AE179" s="62">
        <f>IF(I179="missing", IFERROR(INDEX([1]lookup!$I:$I, MATCH($A179, [1]lookup!$B:$B, 0)), 0), I179)</f>
        <v>5.2319999999999904</v>
      </c>
    </row>
    <row r="180" spans="1:31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2684</v>
      </c>
      <c r="O180" s="8" t="str">
        <f>PROPER(D180)</f>
        <v>Magdelene Morse</v>
      </c>
      <c r="P180" s="8" t="str">
        <f>LEFT(A180,2)</f>
        <v>IN</v>
      </c>
      <c r="Q180" s="8" t="str">
        <f>MID(A180,4,4)</f>
        <v>2014</v>
      </c>
      <c r="R180" s="8" t="str">
        <f>UPPER(M180)</f>
        <v>CRITICAL</v>
      </c>
      <c r="S180" s="8" t="str">
        <f>LOWER(G180)</f>
        <v>technology</v>
      </c>
      <c r="T180" s="18" t="str">
        <f>RIGHT(A180,5)</f>
        <v>41933</v>
      </c>
      <c r="U180" s="27" t="s">
        <v>2866</v>
      </c>
      <c r="V180" s="16" t="s">
        <v>2686</v>
      </c>
      <c r="W180" s="30">
        <v>2014</v>
      </c>
      <c r="X180" t="s">
        <v>2866</v>
      </c>
      <c r="Y180" s="28">
        <v>41933</v>
      </c>
      <c r="Z180" s="28" t="str">
        <f>TRIM(A180)</f>
        <v>IN-2014-MM1726027-41933</v>
      </c>
      <c r="AA180">
        <f t="shared" si="8"/>
        <v>2014</v>
      </c>
      <c r="AB180">
        <f t="shared" si="9"/>
        <v>10</v>
      </c>
      <c r="AC180">
        <f t="shared" si="10"/>
        <v>3</v>
      </c>
      <c r="AD180">
        <f t="shared" si="11"/>
        <v>3</v>
      </c>
      <c r="AE180" s="62">
        <f>IF(I180="missing", IFERROR(INDEX([1]lookup!$I:$I, MATCH($A180, [1]lookup!$B:$B, 0)), 0), I180)</f>
        <v>910.349999999999</v>
      </c>
    </row>
    <row r="181" spans="1:31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2684</v>
      </c>
      <c r="O181" s="13" t="str">
        <f>PROPER(D181)</f>
        <v>Maria Etezadi</v>
      </c>
      <c r="P181" s="13" t="str">
        <f>LEFT(A181,2)</f>
        <v>ES</v>
      </c>
      <c r="Q181" s="13" t="str">
        <f>MID(A181,4,4)</f>
        <v>2015</v>
      </c>
      <c r="R181" s="13" t="str">
        <f>UPPER(M181)</f>
        <v>CRITICAL</v>
      </c>
      <c r="S181" s="13" t="str">
        <f>LOWER(G181)</f>
        <v>furniture</v>
      </c>
      <c r="T181" s="21" t="str">
        <f>RIGHT(A181,5)</f>
        <v>42227</v>
      </c>
      <c r="U181" s="27" t="s">
        <v>2867</v>
      </c>
      <c r="V181" s="19" t="s">
        <v>2743</v>
      </c>
      <c r="W181" s="30">
        <v>2015</v>
      </c>
      <c r="X181" t="s">
        <v>2867</v>
      </c>
      <c r="Y181" s="28">
        <v>42227</v>
      </c>
      <c r="Z181" s="28" t="str">
        <f>TRIM(A181)</f>
        <v>ES-2015-ME17320139-42227</v>
      </c>
      <c r="AA181">
        <f t="shared" si="8"/>
        <v>2015</v>
      </c>
      <c r="AB181">
        <f t="shared" si="9"/>
        <v>8</v>
      </c>
      <c r="AC181">
        <f t="shared" si="10"/>
        <v>3</v>
      </c>
      <c r="AD181">
        <f t="shared" si="11"/>
        <v>3</v>
      </c>
      <c r="AE181" s="62">
        <f>IF(I181="missing", IFERROR(INDEX([1]lookup!$I:$I, MATCH($A181, [1]lookup!$B:$B, 0)), 0), I181)</f>
        <v>0</v>
      </c>
    </row>
    <row r="182" spans="1:31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2684</v>
      </c>
      <c r="O182" s="8" t="str">
        <f>PROPER(D182)</f>
        <v>Pauline Chand</v>
      </c>
      <c r="P182" s="8" t="str">
        <f>LEFT(A182,2)</f>
        <v>IN</v>
      </c>
      <c r="Q182" s="8" t="str">
        <f>MID(A182,4,4)</f>
        <v>2013</v>
      </c>
      <c r="R182" s="8" t="str">
        <f>UPPER(M182)</f>
        <v>HIGH</v>
      </c>
      <c r="S182" s="8" t="str">
        <f>LOWER(G182)</f>
        <v>technology</v>
      </c>
      <c r="T182" s="18" t="str">
        <f>RIGHT(A182,5)</f>
        <v>41416</v>
      </c>
      <c r="U182" s="27" t="s">
        <v>2868</v>
      </c>
      <c r="V182" s="16" t="s">
        <v>2686</v>
      </c>
      <c r="W182" s="30">
        <v>2013</v>
      </c>
      <c r="X182" t="s">
        <v>2868</v>
      </c>
      <c r="Y182" s="28">
        <v>41416</v>
      </c>
      <c r="Z182" s="28" t="str">
        <f>TRIM(A182)</f>
        <v>IN-2013-PC1900078-41416</v>
      </c>
      <c r="AA182">
        <f t="shared" si="8"/>
        <v>2013</v>
      </c>
      <c r="AB182">
        <f t="shared" si="9"/>
        <v>5</v>
      </c>
      <c r="AC182">
        <f t="shared" si="10"/>
        <v>4</v>
      </c>
      <c r="AD182">
        <f t="shared" si="11"/>
        <v>3</v>
      </c>
      <c r="AE182" s="62">
        <f>IF(I182="missing", IFERROR(INDEX([1]lookup!$I:$I, MATCH($A182, [1]lookup!$B:$B, 0)), 0), I182)</f>
        <v>1031.3999999999901</v>
      </c>
    </row>
    <row r="183" spans="1:31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2684</v>
      </c>
      <c r="O183" s="13" t="str">
        <f>PROPER(D183)</f>
        <v>Dennis Kane</v>
      </c>
      <c r="P183" s="13" t="str">
        <f>LEFT(A183,2)</f>
        <v>CG</v>
      </c>
      <c r="Q183" s="13" t="str">
        <f>MID(A183,4,4)</f>
        <v>2015</v>
      </c>
      <c r="R183" s="13" t="str">
        <f>UPPER(M183)</f>
        <v>CRITICAL</v>
      </c>
      <c r="S183" s="13" t="str">
        <f>LOWER(G183)</f>
        <v>technology</v>
      </c>
      <c r="T183" s="21" t="str">
        <f>RIGHT(A183,5)</f>
        <v>42228</v>
      </c>
      <c r="U183" s="27" t="s">
        <v>2869</v>
      </c>
      <c r="V183" s="19" t="s">
        <v>2870</v>
      </c>
      <c r="W183" s="30">
        <v>2015</v>
      </c>
      <c r="X183" t="s">
        <v>2869</v>
      </c>
      <c r="Y183" s="28">
        <v>42228</v>
      </c>
      <c r="Z183" s="28" t="str">
        <f>TRIM(A183)</f>
        <v>CG-2015-DK337533-42228</v>
      </c>
      <c r="AA183">
        <f t="shared" si="8"/>
        <v>2015</v>
      </c>
      <c r="AB183">
        <f t="shared" si="9"/>
        <v>8</v>
      </c>
      <c r="AC183">
        <f t="shared" si="10"/>
        <v>4</v>
      </c>
      <c r="AD183">
        <f t="shared" si="11"/>
        <v>3</v>
      </c>
      <c r="AE183" s="62">
        <f>IF(I183="missing", IFERROR(INDEX([1]lookup!$I:$I, MATCH($A183, [1]lookup!$B:$B, 0)), 0), I183)</f>
        <v>1018.32</v>
      </c>
    </row>
    <row r="184" spans="1:31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2684</v>
      </c>
      <c r="O184" s="8" t="str">
        <f>PROPER(D184)</f>
        <v>Adam Hart</v>
      </c>
      <c r="P184" s="8" t="str">
        <f>LEFT(A184,2)</f>
        <v xml:space="preserve"> I</v>
      </c>
      <c r="Q184" s="8" t="str">
        <f>MID(A184,4,4)</f>
        <v>-201</v>
      </c>
      <c r="R184" s="8" t="str">
        <f>UPPER(M184)</f>
        <v>MEDUIM</v>
      </c>
      <c r="S184" s="8" t="str">
        <f>LOWER(G184)</f>
        <v>office supplies</v>
      </c>
      <c r="T184" s="18" t="str">
        <f>RIGHT(A184,5)</f>
        <v xml:space="preserve">2367 </v>
      </c>
      <c r="U184" s="27" t="s">
        <v>2871</v>
      </c>
      <c r="V184" s="16" t="s">
        <v>2872</v>
      </c>
      <c r="W184" s="30">
        <v>2015</v>
      </c>
      <c r="X184" t="s">
        <v>2871</v>
      </c>
      <c r="Y184" s="28">
        <v>42367</v>
      </c>
      <c r="Z184" s="28" t="str">
        <f>TRIM(A184)</f>
        <v>ID-2015-AH100757-42367</v>
      </c>
      <c r="AA184">
        <f t="shared" si="8"/>
        <v>2015</v>
      </c>
      <c r="AB184">
        <f t="shared" si="9"/>
        <v>12</v>
      </c>
      <c r="AC184">
        <f t="shared" si="10"/>
        <v>3</v>
      </c>
      <c r="AD184">
        <f t="shared" si="11"/>
        <v>2</v>
      </c>
      <c r="AE184" s="62">
        <f>IF(I184="missing", IFERROR(INDEX([1]lookup!$I:$I, MATCH($A184, [1]lookup!$B:$B, 0)), 0), I184)</f>
        <v>1534.8689999999999</v>
      </c>
    </row>
    <row r="185" spans="1:31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2684</v>
      </c>
      <c r="O185" s="13" t="str">
        <f>PROPER(D185)</f>
        <v>Vivek Sundaresam</v>
      </c>
      <c r="P185" s="13" t="str">
        <f>LEFT(A185,2)</f>
        <v>IN</v>
      </c>
      <c r="Q185" s="13" t="str">
        <f>MID(A185,4,4)</f>
        <v>2012</v>
      </c>
      <c r="R185" s="13" t="str">
        <f>UPPER(M185)</f>
        <v>HIGH</v>
      </c>
      <c r="S185" s="13" t="str">
        <f>LOWER(G185)</f>
        <v>office supplies</v>
      </c>
      <c r="T185" s="21" t="str">
        <f>RIGHT(A185,5)</f>
        <v>41006</v>
      </c>
      <c r="U185" s="27" t="s">
        <v>2873</v>
      </c>
      <c r="V185" s="19" t="s">
        <v>2686</v>
      </c>
      <c r="W185" s="30">
        <v>2012</v>
      </c>
      <c r="X185" t="s">
        <v>2873</v>
      </c>
      <c r="Y185" s="28">
        <v>41006</v>
      </c>
      <c r="Z185" s="28" t="str">
        <f>TRIM(A185)</f>
        <v>IN-2012-VS218207-41006</v>
      </c>
      <c r="AA185">
        <f t="shared" si="8"/>
        <v>2012</v>
      </c>
      <c r="AB185">
        <f t="shared" si="9"/>
        <v>4</v>
      </c>
      <c r="AC185">
        <f t="shared" si="10"/>
        <v>7</v>
      </c>
      <c r="AD185">
        <f t="shared" si="11"/>
        <v>5</v>
      </c>
      <c r="AE185" s="62">
        <f>IF(I185="missing", IFERROR(INDEX([1]lookup!$I:$I, MATCH($A185, [1]lookup!$B:$B, 0)), 0), I185)</f>
        <v>1894.5360000000001</v>
      </c>
    </row>
    <row r="186" spans="1:31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2684</v>
      </c>
      <c r="O186" s="8" t="str">
        <f>PROPER(D186)</f>
        <v>Jim Radford</v>
      </c>
      <c r="P186" s="8" t="str">
        <f>LEFT(A186,2)</f>
        <v>IN</v>
      </c>
      <c r="Q186" s="8" t="str">
        <f>MID(A186,4,4)</f>
        <v>2013</v>
      </c>
      <c r="R186" s="8" t="str">
        <f>UPPER(M186)</f>
        <v>HIGH</v>
      </c>
      <c r="S186" s="8" t="str">
        <f>LOWER(G186)</f>
        <v>technology</v>
      </c>
      <c r="T186" s="18" t="str">
        <f>RIGHT(A186,5)</f>
        <v>41597</v>
      </c>
      <c r="U186" s="27" t="s">
        <v>2874</v>
      </c>
      <c r="V186" s="16" t="s">
        <v>2686</v>
      </c>
      <c r="W186" s="30">
        <v>2013</v>
      </c>
      <c r="X186" t="s">
        <v>2874</v>
      </c>
      <c r="Y186" s="28">
        <v>41597</v>
      </c>
      <c r="Z186" s="28" t="str">
        <f>TRIM(A186)</f>
        <v>IN-2013-JR1567027-41597</v>
      </c>
      <c r="AA186">
        <f t="shared" si="8"/>
        <v>2013</v>
      </c>
      <c r="AB186">
        <f t="shared" si="9"/>
        <v>11</v>
      </c>
      <c r="AC186">
        <f t="shared" si="10"/>
        <v>3</v>
      </c>
      <c r="AD186">
        <f t="shared" si="11"/>
        <v>4</v>
      </c>
      <c r="AE186" s="62">
        <f>IF(I186="missing", IFERROR(INDEX([1]lookup!$I:$I, MATCH($A186, [1]lookup!$B:$B, 0)), 0), I186)</f>
        <v>1317.8999999999901</v>
      </c>
    </row>
    <row r="187" spans="1:31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2684</v>
      </c>
      <c r="O187" s="13" t="str">
        <f>PROPER(D187)</f>
        <v>Adrian Shami</v>
      </c>
      <c r="P187" s="13" t="str">
        <f>LEFT(A187,2)</f>
        <v>CA</v>
      </c>
      <c r="Q187" s="13" t="str">
        <f>MID(A187,4,4)</f>
        <v>2015</v>
      </c>
      <c r="R187" s="13" t="str">
        <f>UPPER(M187)</f>
        <v>MEDIUM</v>
      </c>
      <c r="S187" s="13" t="str">
        <f>LOWER(G187)</f>
        <v>office supplies</v>
      </c>
      <c r="T187" s="21" t="str">
        <f>RIGHT(A187,5)</f>
        <v>42328</v>
      </c>
      <c r="U187" s="27" t="s">
        <v>2875</v>
      </c>
      <c r="V187" s="19" t="s">
        <v>2689</v>
      </c>
      <c r="W187" s="30">
        <v>2015</v>
      </c>
      <c r="X187" t="s">
        <v>2875</v>
      </c>
      <c r="Y187" s="28">
        <v>42328</v>
      </c>
      <c r="Z187" s="28" t="str">
        <f>TRIM(A187)</f>
        <v>CA-2015-AS10135140-42328</v>
      </c>
      <c r="AA187">
        <f t="shared" si="8"/>
        <v>2015</v>
      </c>
      <c r="AB187">
        <f t="shared" si="9"/>
        <v>11</v>
      </c>
      <c r="AC187">
        <f t="shared" si="10"/>
        <v>6</v>
      </c>
      <c r="AD187">
        <f t="shared" si="11"/>
        <v>3</v>
      </c>
      <c r="AE187" s="62">
        <f>IF(I187="missing", IFERROR(INDEX([1]lookup!$I:$I, MATCH($A187, [1]lookup!$B:$B, 0)), 0), I187)</f>
        <v>13.36</v>
      </c>
    </row>
    <row r="188" spans="1:31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2684</v>
      </c>
      <c r="O188" s="8" t="str">
        <f>PROPER(D188)</f>
        <v>Eric Barreto</v>
      </c>
      <c r="P188" s="8" t="str">
        <f>LEFT(A188,2)</f>
        <v>ES</v>
      </c>
      <c r="Q188" s="8" t="str">
        <f>MID(A188,4,4)</f>
        <v>2014</v>
      </c>
      <c r="R188" s="8" t="str">
        <f>UPPER(M188)</f>
        <v>HIGH</v>
      </c>
      <c r="S188" s="8" t="str">
        <f>LOWER(G188)</f>
        <v>technology</v>
      </c>
      <c r="T188" s="18" t="str">
        <f>RIGHT(A188,5)</f>
        <v>41962</v>
      </c>
      <c r="U188" s="27" t="s">
        <v>2876</v>
      </c>
      <c r="V188" s="16" t="s">
        <v>2743</v>
      </c>
      <c r="W188" s="30">
        <v>2014</v>
      </c>
      <c r="X188" t="s">
        <v>2876</v>
      </c>
      <c r="Y188" s="28">
        <v>41962</v>
      </c>
      <c r="Z188" s="28" t="str">
        <f>TRIM(A188)</f>
        <v>ES-2014-EB13930139-41962</v>
      </c>
      <c r="AA188">
        <f t="shared" si="8"/>
        <v>2014</v>
      </c>
      <c r="AB188">
        <f t="shared" si="9"/>
        <v>11</v>
      </c>
      <c r="AC188">
        <f t="shared" si="10"/>
        <v>4</v>
      </c>
      <c r="AD188">
        <f t="shared" si="11"/>
        <v>5</v>
      </c>
      <c r="AE188" s="62">
        <f>IF(I188="missing", IFERROR(INDEX([1]lookup!$I:$I, MATCH($A188, [1]lookup!$B:$B, 0)), 0), I188)</f>
        <v>1908.18</v>
      </c>
    </row>
    <row r="189" spans="1:31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2684</v>
      </c>
      <c r="O189" s="13" t="str">
        <f>PROPER(D189)</f>
        <v>Mark Van Huff</v>
      </c>
      <c r="P189" s="13" t="str">
        <f>LEFT(A189,2)</f>
        <v>IT</v>
      </c>
      <c r="Q189" s="13" t="str">
        <f>MID(A189,4,4)</f>
        <v>2014</v>
      </c>
      <c r="R189" s="13" t="str">
        <f>UPPER(M189)</f>
        <v>CRITICAL</v>
      </c>
      <c r="S189" s="13" t="str">
        <f>LOWER(G189)</f>
        <v>office supplies</v>
      </c>
      <c r="T189" s="21" t="str">
        <f>RIGHT(A189,5)</f>
        <v>41717</v>
      </c>
      <c r="U189" s="27" t="s">
        <v>2877</v>
      </c>
      <c r="V189" s="19" t="s">
        <v>2710</v>
      </c>
      <c r="W189" s="30">
        <v>2014</v>
      </c>
      <c r="X189" t="s">
        <v>2877</v>
      </c>
      <c r="Y189" s="28">
        <v>41717</v>
      </c>
      <c r="Z189" s="28" t="str">
        <f>TRIM(A189)</f>
        <v>IT-2014-MV1748545-41717</v>
      </c>
      <c r="AA189">
        <f t="shared" si="8"/>
        <v>2014</v>
      </c>
      <c r="AB189">
        <f t="shared" si="9"/>
        <v>3</v>
      </c>
      <c r="AC189">
        <f t="shared" si="10"/>
        <v>4</v>
      </c>
      <c r="AD189">
        <f t="shared" si="11"/>
        <v>0</v>
      </c>
      <c r="AE189" s="62">
        <f>IF(I189="missing", IFERROR(INDEX([1]lookup!$I:$I, MATCH($A189, [1]lookup!$B:$B, 0)), 0), I189)</f>
        <v>748.11599999999999</v>
      </c>
    </row>
    <row r="190" spans="1:31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2684</v>
      </c>
      <c r="O190" s="8" t="str">
        <f>PROPER(D190)</f>
        <v>Aimee Bixby</v>
      </c>
      <c r="P190" s="8" t="str">
        <f>LEFT(A190,2)</f>
        <v>CA</v>
      </c>
      <c r="Q190" s="8" t="str">
        <f>MID(A190,4,4)</f>
        <v>2012</v>
      </c>
      <c r="R190" s="8" t="str">
        <f>UPPER(M190)</f>
        <v>MEDIUM</v>
      </c>
      <c r="S190" s="8" t="str">
        <f>LOWER(G190)</f>
        <v>technology</v>
      </c>
      <c r="T190" s="18" t="str">
        <f>RIGHT(A190,5)</f>
        <v>40972</v>
      </c>
      <c r="U190" s="27" t="s">
        <v>2878</v>
      </c>
      <c r="V190" s="16" t="s">
        <v>2689</v>
      </c>
      <c r="W190" s="30">
        <v>2012</v>
      </c>
      <c r="X190" t="s">
        <v>2878</v>
      </c>
      <c r="Y190" s="28">
        <v>40972</v>
      </c>
      <c r="Z190" s="28" t="str">
        <f>TRIM(A190)</f>
        <v>CA-2012-AB10150140-40972</v>
      </c>
      <c r="AA190">
        <f t="shared" si="8"/>
        <v>2012</v>
      </c>
      <c r="AB190">
        <f t="shared" si="9"/>
        <v>3</v>
      </c>
      <c r="AC190">
        <f t="shared" si="10"/>
        <v>1</v>
      </c>
      <c r="AD190">
        <f t="shared" si="11"/>
        <v>3</v>
      </c>
      <c r="AE190" s="62">
        <f>IF(I190="missing", IFERROR(INDEX([1]lookup!$I:$I, MATCH($A190, [1]lookup!$B:$B, 0)), 0), I190)</f>
        <v>479.97</v>
      </c>
    </row>
    <row r="191" spans="1:31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2684</v>
      </c>
      <c r="O191" s="13" t="str">
        <f>PROPER(D191)</f>
        <v>Aimee Bixby</v>
      </c>
      <c r="P191" s="13" t="str">
        <f>LEFT(A191,2)</f>
        <v>CA</v>
      </c>
      <c r="Q191" s="13" t="str">
        <f>MID(A191,4,4)</f>
        <v>2012</v>
      </c>
      <c r="R191" s="13" t="str">
        <f>UPPER(M191)</f>
        <v>MEDIUM</v>
      </c>
      <c r="S191" s="13" t="str">
        <f>LOWER(G191)</f>
        <v>office supplies</v>
      </c>
      <c r="T191" s="21" t="str">
        <f>RIGHT(A191,5)</f>
        <v>40972</v>
      </c>
      <c r="U191" s="27" t="s">
        <v>2878</v>
      </c>
      <c r="V191" s="19" t="s">
        <v>2689</v>
      </c>
      <c r="W191" s="30">
        <v>2012</v>
      </c>
      <c r="X191" t="s">
        <v>2878</v>
      </c>
      <c r="Y191" s="28">
        <v>40972</v>
      </c>
      <c r="Z191" s="28" t="str">
        <f>TRIM(A191)</f>
        <v>CA-2012-AB10150140-40972</v>
      </c>
      <c r="AA191">
        <f t="shared" si="8"/>
        <v>2012</v>
      </c>
      <c r="AB191">
        <f t="shared" si="9"/>
        <v>3</v>
      </c>
      <c r="AC191">
        <f t="shared" si="10"/>
        <v>1</v>
      </c>
      <c r="AD191">
        <f t="shared" si="11"/>
        <v>3</v>
      </c>
      <c r="AE191" s="62">
        <f>IF(I191="missing", IFERROR(INDEX([1]lookup!$I:$I, MATCH($A191, [1]lookup!$B:$B, 0)), 0), I191)</f>
        <v>59.519999999999897</v>
      </c>
    </row>
    <row r="192" spans="1:31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2684</v>
      </c>
      <c r="O192" s="8" t="str">
        <f>PROPER(D192)</f>
        <v>Alan Hwang</v>
      </c>
      <c r="P192" s="8" t="str">
        <f>LEFT(A192,2)</f>
        <v>MX</v>
      </c>
      <c r="Q192" s="8" t="str">
        <f>MID(A192,4,4)</f>
        <v>2014</v>
      </c>
      <c r="R192" s="8" t="str">
        <f>UPPER(M192)</f>
        <v xml:space="preserve"> HIGH </v>
      </c>
      <c r="S192" s="8" t="str">
        <f>LOWER(G192)</f>
        <v>office supplies</v>
      </c>
      <c r="T192" s="18" t="str">
        <f>RIGHT(A192,5)</f>
        <v>41745</v>
      </c>
      <c r="U192" s="27" t="s">
        <v>2879</v>
      </c>
      <c r="V192" s="16" t="s">
        <v>2718</v>
      </c>
      <c r="W192" s="30">
        <v>2014</v>
      </c>
      <c r="X192" t="s">
        <v>2879</v>
      </c>
      <c r="Y192" s="28">
        <v>41745</v>
      </c>
      <c r="Z192" s="28" t="str">
        <f>TRIM(A192)</f>
        <v>MX-2014-AH1021018-41745</v>
      </c>
      <c r="AA192">
        <f t="shared" si="8"/>
        <v>2014</v>
      </c>
      <c r="AB192">
        <f t="shared" si="9"/>
        <v>4</v>
      </c>
      <c r="AC192">
        <f t="shared" si="10"/>
        <v>4</v>
      </c>
      <c r="AD192">
        <f t="shared" si="11"/>
        <v>3</v>
      </c>
      <c r="AE192" s="62">
        <f>IF(I192="missing", IFERROR(INDEX([1]lookup!$I:$I, MATCH($A192, [1]lookup!$B:$B, 0)), 0), I192)</f>
        <v>1403.36</v>
      </c>
    </row>
    <row r="193" spans="1:31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2684</v>
      </c>
      <c r="O193" s="13" t="str">
        <f>PROPER(D193)</f>
        <v>Troy Staebel</v>
      </c>
      <c r="P193" s="13" t="str">
        <f>LEFT(A193,2)</f>
        <v>IT</v>
      </c>
      <c r="Q193" s="13" t="str">
        <f>MID(A193,4,4)</f>
        <v>2015</v>
      </c>
      <c r="R193" s="13" t="str">
        <f>UPPER(M193)</f>
        <v>HIGH</v>
      </c>
      <c r="S193" s="13" t="str">
        <f>LOWER(G193)</f>
        <v xml:space="preserve"> office supplies </v>
      </c>
      <c r="T193" s="21" t="str">
        <f>RIGHT(A193,5)</f>
        <v>42173</v>
      </c>
      <c r="U193" s="27" t="s">
        <v>2880</v>
      </c>
      <c r="V193" s="19" t="s">
        <v>2710</v>
      </c>
      <c r="W193" s="30">
        <v>2015</v>
      </c>
      <c r="X193" t="s">
        <v>2880</v>
      </c>
      <c r="Y193" s="28">
        <v>42173</v>
      </c>
      <c r="Z193" s="28" t="str">
        <f>TRIM(A193)</f>
        <v>IT-2015-TS21610139-42173</v>
      </c>
      <c r="AA193">
        <f t="shared" si="8"/>
        <v>2015</v>
      </c>
      <c r="AB193">
        <f t="shared" si="9"/>
        <v>6</v>
      </c>
      <c r="AC193">
        <f t="shared" si="10"/>
        <v>5</v>
      </c>
      <c r="AD193">
        <f t="shared" si="11"/>
        <v>0</v>
      </c>
      <c r="AE193" s="62">
        <f>IF(I193="missing", IFERROR(INDEX([1]lookup!$I:$I, MATCH($A193, [1]lookup!$B:$B, 0)), 0), I193)</f>
        <v>1560.23999999999</v>
      </c>
    </row>
    <row r="194" spans="1:31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2684</v>
      </c>
      <c r="O194" s="8" t="str">
        <f>PROPER(D194)</f>
        <v>Liz Carlisle</v>
      </c>
      <c r="P194" s="8" t="str">
        <f>LEFT(A194,2)</f>
        <v>MX</v>
      </c>
      <c r="Q194" s="8" t="str">
        <f>MID(A194,4,4)</f>
        <v>2014</v>
      </c>
      <c r="R194" s="8" t="str">
        <f>UPPER(M194)</f>
        <v>MEDIUM</v>
      </c>
      <c r="S194" s="8" t="str">
        <f>LOWER(G194)</f>
        <v>technology</v>
      </c>
      <c r="T194" s="18" t="str">
        <f>RIGHT(A194,5)</f>
        <v>41643</v>
      </c>
      <c r="U194" s="27" t="s">
        <v>2881</v>
      </c>
      <c r="V194" s="16" t="s">
        <v>2718</v>
      </c>
      <c r="W194" s="30">
        <v>2014</v>
      </c>
      <c r="X194" t="s">
        <v>2881</v>
      </c>
      <c r="Y194" s="28">
        <v>41643</v>
      </c>
      <c r="Z194" s="28" t="str">
        <f>TRIM(A194)</f>
        <v>MX-2014-LC1705051-41643</v>
      </c>
      <c r="AA194">
        <f t="shared" ref="AA194:AA257" si="12">IFERROR(YEAR(B194), 0)</f>
        <v>2014</v>
      </c>
      <c r="AB194">
        <f t="shared" ref="AB194:AB257" si="13">IFERROR(MONTH(B194), 0)</f>
        <v>1</v>
      </c>
      <c r="AC194">
        <f t="shared" ref="AC194:AC257" si="14">IFERROR(WEEKDAY(B194), 0)</f>
        <v>7</v>
      </c>
      <c r="AD194">
        <f t="shared" ref="AD194:AD257" si="15">IFERROR(C194 - B194, 0)</f>
        <v>6</v>
      </c>
      <c r="AE194" s="62">
        <f>IF(I194="missing", IFERROR(INDEX([1]lookup!$I:$I, MATCH($A194, [1]lookup!$B:$B, 0)), 0), I194)</f>
        <v>2120.8000000000002</v>
      </c>
    </row>
    <row r="195" spans="1:31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2684</v>
      </c>
      <c r="O195" s="13" t="str">
        <f>PROPER(D195)</f>
        <v>Stefanie Holloman</v>
      </c>
      <c r="P195" s="13" t="str">
        <f>LEFT(A195,2)</f>
        <v>ES</v>
      </c>
      <c r="Q195" s="13" t="str">
        <f>MID(A195,4,4)</f>
        <v>2013</v>
      </c>
      <c r="R195" s="13" t="str">
        <f>UPPER(M195)</f>
        <v>MEDIUM</v>
      </c>
      <c r="S195" s="13" t="str">
        <f>LOWER(G195)</f>
        <v>furniture</v>
      </c>
      <c r="T195" s="21" t="str">
        <f>RIGHT(A195,5)</f>
        <v>41516</v>
      </c>
      <c r="U195" s="27" t="s">
        <v>2882</v>
      </c>
      <c r="V195" s="19" t="s">
        <v>2743</v>
      </c>
      <c r="W195" s="30">
        <v>2013</v>
      </c>
      <c r="X195" t="s">
        <v>2882</v>
      </c>
      <c r="Y195" s="28">
        <v>41516</v>
      </c>
      <c r="Z195" s="28" t="str">
        <f>TRIM(A195)</f>
        <v>ES-2013-SH2063548-41516</v>
      </c>
      <c r="AA195">
        <f t="shared" si="12"/>
        <v>2013</v>
      </c>
      <c r="AB195">
        <f t="shared" si="13"/>
        <v>8</v>
      </c>
      <c r="AC195">
        <f t="shared" si="14"/>
        <v>6</v>
      </c>
      <c r="AD195">
        <f t="shared" si="15"/>
        <v>3</v>
      </c>
      <c r="AE195" s="62">
        <f>IF(I195="missing", IFERROR(INDEX([1]lookup!$I:$I, MATCH($A195, [1]lookup!$B:$B, 0)), 0), I195)</f>
        <v>2794.2525000000001</v>
      </c>
    </row>
    <row r="196" spans="1:31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2684</v>
      </c>
      <c r="O196" s="8" t="str">
        <f>PROPER(D196)</f>
        <v>Daniel Raglin</v>
      </c>
      <c r="P196" s="8" t="str">
        <f>LEFT(A196,2)</f>
        <v>IN</v>
      </c>
      <c r="Q196" s="8" t="str">
        <f>MID(A196,4,4)</f>
        <v>2015</v>
      </c>
      <c r="R196" s="8" t="str">
        <f>UPPER(M196)</f>
        <v>HIGH</v>
      </c>
      <c r="S196" s="8" t="str">
        <f>LOWER(G196)</f>
        <v>furniture</v>
      </c>
      <c r="T196" s="18" t="str">
        <f>RIGHT(A196,5)</f>
        <v>42152</v>
      </c>
      <c r="U196" s="27" t="s">
        <v>2883</v>
      </c>
      <c r="V196" s="16" t="s">
        <v>2686</v>
      </c>
      <c r="W196" s="30">
        <v>2015</v>
      </c>
      <c r="X196" t="s">
        <v>2883</v>
      </c>
      <c r="Y196" s="28">
        <v>42152</v>
      </c>
      <c r="Z196" s="28" t="str">
        <f>TRIM(A196)</f>
        <v>IN-2015-DR1294058-42152</v>
      </c>
      <c r="AA196">
        <f t="shared" si="12"/>
        <v>2015</v>
      </c>
      <c r="AB196">
        <f t="shared" si="13"/>
        <v>5</v>
      </c>
      <c r="AC196">
        <f t="shared" si="14"/>
        <v>5</v>
      </c>
      <c r="AD196">
        <f t="shared" si="15"/>
        <v>4</v>
      </c>
      <c r="AE196" s="62">
        <f>IF(I196="missing", IFERROR(INDEX([1]lookup!$I:$I, MATCH($A196, [1]lookup!$B:$B, 0)), 0), I196)</f>
        <v>1394.99999999999</v>
      </c>
    </row>
    <row r="197" spans="1:31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2684</v>
      </c>
      <c r="O197" s="13" t="str">
        <f>PROPER(D197)</f>
        <v>Ionia Mcgrath</v>
      </c>
      <c r="P197" s="13" t="str">
        <f>LEFT(A197,2)</f>
        <v>CF</v>
      </c>
      <c r="Q197" s="13" t="str">
        <f>MID(A197,4,4)</f>
        <v>2012</v>
      </c>
      <c r="R197" s="13" t="str">
        <f>UPPER(M197)</f>
        <v>HIGH</v>
      </c>
      <c r="S197" s="13" t="str">
        <f>LOWER(G197)</f>
        <v>furniture</v>
      </c>
      <c r="T197" s="21" t="str">
        <f>RIGHT(A197,5)</f>
        <v>41224</v>
      </c>
      <c r="U197" s="27" t="s">
        <v>2884</v>
      </c>
      <c r="V197" s="19" t="s">
        <v>2885</v>
      </c>
      <c r="W197" s="30">
        <v>2012</v>
      </c>
      <c r="X197" t="s">
        <v>2884</v>
      </c>
      <c r="Y197" s="28">
        <v>41224</v>
      </c>
      <c r="Z197" s="28" t="str">
        <f>TRIM(A197)</f>
        <v>CF-2012-IM5055106-41224</v>
      </c>
      <c r="AA197">
        <f t="shared" si="12"/>
        <v>2012</v>
      </c>
      <c r="AB197">
        <f t="shared" si="13"/>
        <v>11</v>
      </c>
      <c r="AC197">
        <f t="shared" si="14"/>
        <v>1</v>
      </c>
      <c r="AD197">
        <f t="shared" si="15"/>
        <v>4</v>
      </c>
      <c r="AE197" s="62">
        <f>IF(I197="missing", IFERROR(INDEX([1]lookup!$I:$I, MATCH($A197, [1]lookup!$B:$B, 0)), 0), I197)</f>
        <v>1660.79999999999</v>
      </c>
    </row>
    <row r="198" spans="1:31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2684</v>
      </c>
      <c r="O198" s="8" t="str">
        <f>PROPER(D198)</f>
        <v>Vivek Grady</v>
      </c>
      <c r="P198" s="8" t="str">
        <f>LEFT(A198,2)</f>
        <v>ID</v>
      </c>
      <c r="Q198" s="8" t="str">
        <f>MID(A198,4,4)</f>
        <v>2014</v>
      </c>
      <c r="R198" s="8" t="str">
        <f>UPPER(M198)</f>
        <v>HIGH</v>
      </c>
      <c r="S198" s="8" t="str">
        <f>LOWER(G198)</f>
        <v>furniture</v>
      </c>
      <c r="T198" s="18" t="str">
        <f>RIGHT(A198,5)</f>
        <v>41790</v>
      </c>
      <c r="U198" s="27" t="s">
        <v>2786</v>
      </c>
      <c r="V198" s="16" t="s">
        <v>2738</v>
      </c>
      <c r="W198" s="30">
        <v>2014</v>
      </c>
      <c r="X198" t="s">
        <v>2786</v>
      </c>
      <c r="Y198" s="28">
        <v>41790</v>
      </c>
      <c r="Z198" s="28" t="str">
        <f>TRIM(A198)</f>
        <v>ID-2014-VG2180527-41790</v>
      </c>
      <c r="AA198">
        <f t="shared" si="12"/>
        <v>2014</v>
      </c>
      <c r="AB198">
        <f t="shared" si="13"/>
        <v>5</v>
      </c>
      <c r="AC198">
        <f t="shared" si="14"/>
        <v>7</v>
      </c>
      <c r="AD198">
        <f t="shared" si="15"/>
        <v>5</v>
      </c>
      <c r="AE198" s="62">
        <f>IF(I198="missing", IFERROR(INDEX([1]lookup!$I:$I, MATCH($A198, [1]lookup!$B:$B, 0)), 0), I198)</f>
        <v>2436.672</v>
      </c>
    </row>
    <row r="199" spans="1:31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2684</v>
      </c>
      <c r="O199" s="13" t="str">
        <f>PROPER(D199)</f>
        <v>Aimee Bixby</v>
      </c>
      <c r="P199" s="13" t="str">
        <f>LEFT(A199,2)</f>
        <v>CA</v>
      </c>
      <c r="Q199" s="13" t="str">
        <f>MID(A199,4,4)</f>
        <v>2012</v>
      </c>
      <c r="R199" s="13" t="str">
        <f>UPPER(M199)</f>
        <v>MEDIUM</v>
      </c>
      <c r="S199" s="13" t="str">
        <f>LOWER(G199)</f>
        <v>office supplies</v>
      </c>
      <c r="T199" s="21" t="str">
        <f>RIGHT(A199,5)</f>
        <v>40972</v>
      </c>
      <c r="U199" s="27" t="s">
        <v>2878</v>
      </c>
      <c r="V199" s="19" t="s">
        <v>2689</v>
      </c>
      <c r="W199" s="30">
        <v>2012</v>
      </c>
      <c r="X199" t="s">
        <v>2878</v>
      </c>
      <c r="Y199" s="28">
        <v>40972</v>
      </c>
      <c r="Z199" s="28" t="str">
        <f>TRIM(A199)</f>
        <v>CA-2012-AB10150140-40972</v>
      </c>
      <c r="AA199">
        <f t="shared" si="12"/>
        <v>2012</v>
      </c>
      <c r="AB199">
        <f t="shared" si="13"/>
        <v>3</v>
      </c>
      <c r="AC199">
        <f t="shared" si="14"/>
        <v>1</v>
      </c>
      <c r="AD199">
        <f t="shared" si="15"/>
        <v>3</v>
      </c>
      <c r="AE199" s="62">
        <f>IF(I199="missing", IFERROR(INDEX([1]lookup!$I:$I, MATCH($A199, [1]lookup!$B:$B, 0)), 0), I199)</f>
        <v>18.62</v>
      </c>
    </row>
    <row r="200" spans="1:31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2684</v>
      </c>
      <c r="O200" s="8" t="str">
        <f>PROPER(D200)</f>
        <v>Darren Koutras</v>
      </c>
      <c r="P200" s="8" t="str">
        <f>LEFT(A200,2)</f>
        <v xml:space="preserve"> M</v>
      </c>
      <c r="Q200" s="8" t="str">
        <f>MID(A200,4,4)</f>
        <v>-201</v>
      </c>
      <c r="R200" s="8" t="str">
        <f>UPPER(M200)</f>
        <v>HIGH</v>
      </c>
      <c r="S200" s="8" t="str">
        <f>LOWER(G200)</f>
        <v>office supplies</v>
      </c>
      <c r="T200" s="18" t="str">
        <f>RIGHT(A200,5)</f>
        <v xml:space="preserve">1339 </v>
      </c>
      <c r="U200" s="27" t="s">
        <v>2886</v>
      </c>
      <c r="V200" s="16" t="s">
        <v>2887</v>
      </c>
      <c r="W200" s="30">
        <v>2013</v>
      </c>
      <c r="X200" t="s">
        <v>2886</v>
      </c>
      <c r="Y200" s="28">
        <v>41339</v>
      </c>
      <c r="Z200" s="28" t="str">
        <f>TRIM(A200)</f>
        <v>MX-2013-DK1298539-41339</v>
      </c>
      <c r="AA200">
        <f t="shared" si="12"/>
        <v>2013</v>
      </c>
      <c r="AB200">
        <f t="shared" si="13"/>
        <v>3</v>
      </c>
      <c r="AC200">
        <f t="shared" si="14"/>
        <v>4</v>
      </c>
      <c r="AD200">
        <f t="shared" si="15"/>
        <v>5</v>
      </c>
      <c r="AE200" s="62">
        <f>IF(I200="missing", IFERROR(INDEX([1]lookup!$I:$I, MATCH($A200, [1]lookup!$B:$B, 0)), 0), I200)</f>
        <v>1903</v>
      </c>
    </row>
    <row r="201" spans="1:31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2684</v>
      </c>
      <c r="O201" s="13" t="str">
        <f>PROPER(D201)</f>
        <v>Aimee Bixby</v>
      </c>
      <c r="P201" s="13" t="str">
        <f>LEFT(A201,2)</f>
        <v>CA</v>
      </c>
      <c r="Q201" s="13" t="str">
        <f>MID(A201,4,4)</f>
        <v>2015</v>
      </c>
      <c r="R201" s="13" t="str">
        <f>UPPER(M201)</f>
        <v>MEDIUM</v>
      </c>
      <c r="S201" s="13" t="str">
        <f>LOWER(G201)</f>
        <v>office supplies</v>
      </c>
      <c r="T201" s="21" t="str">
        <f>RIGHT(A201,5)</f>
        <v>42328</v>
      </c>
      <c r="U201" s="27" t="s">
        <v>2878</v>
      </c>
      <c r="V201" s="19" t="s">
        <v>2689</v>
      </c>
      <c r="W201" s="30">
        <v>2015</v>
      </c>
      <c r="X201" t="s">
        <v>2878</v>
      </c>
      <c r="Y201" s="28">
        <v>42328</v>
      </c>
      <c r="Z201" s="28" t="str">
        <f>TRIM(A201)</f>
        <v>CA-2015-AB10150140-42328</v>
      </c>
      <c r="AA201">
        <f t="shared" si="12"/>
        <v>2015</v>
      </c>
      <c r="AB201">
        <f t="shared" si="13"/>
        <v>11</v>
      </c>
      <c r="AC201">
        <f t="shared" si="14"/>
        <v>6</v>
      </c>
      <c r="AD201">
        <f t="shared" si="15"/>
        <v>2</v>
      </c>
      <c r="AE201" s="62">
        <f>IF(I201="missing", IFERROR(INDEX([1]lookup!$I:$I, MATCH($A201, [1]lookup!$B:$B, 0)), 0), I201)</f>
        <v>16.896000000000001</v>
      </c>
    </row>
    <row r="202" spans="1:31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2684</v>
      </c>
      <c r="O202" s="8" t="str">
        <f>PROPER(D202)</f>
        <v>Rick Wilson</v>
      </c>
      <c r="P202" s="8" t="str">
        <f>LEFT(A202,2)</f>
        <v>ES</v>
      </c>
      <c r="Q202" s="8" t="str">
        <f>MID(A202,4,4)</f>
        <v>2015</v>
      </c>
      <c r="R202" s="8" t="str">
        <f>UPPER(M202)</f>
        <v>MEDIUM</v>
      </c>
      <c r="S202" s="8" t="str">
        <f>LOWER(G202)</f>
        <v>technology</v>
      </c>
      <c r="T202" s="18" t="str">
        <f>RIGHT(A202,5)</f>
        <v>42222</v>
      </c>
      <c r="U202" s="27" t="s">
        <v>2888</v>
      </c>
      <c r="V202" s="16" t="s">
        <v>2743</v>
      </c>
      <c r="W202" s="30">
        <v>2015</v>
      </c>
      <c r="X202" t="s">
        <v>2888</v>
      </c>
      <c r="Y202" s="28">
        <v>42222</v>
      </c>
      <c r="Z202" s="28" t="str">
        <f>TRIM(A202)</f>
        <v>ES-2015-RW1954096-42222</v>
      </c>
      <c r="AA202">
        <f t="shared" si="12"/>
        <v>2015</v>
      </c>
      <c r="AB202">
        <f t="shared" si="13"/>
        <v>8</v>
      </c>
      <c r="AC202">
        <f t="shared" si="14"/>
        <v>5</v>
      </c>
      <c r="AD202">
        <f t="shared" si="15"/>
        <v>0</v>
      </c>
      <c r="AE202" s="62">
        <f>IF(I202="missing", IFERROR(INDEX([1]lookup!$I:$I, MATCH($A202, [1]lookup!$B:$B, 0)), 0), I202)</f>
        <v>1590.9</v>
      </c>
    </row>
    <row r="203" spans="1:31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2684</v>
      </c>
      <c r="O203" s="13" t="str">
        <f>PROPER(D203)</f>
        <v>Evan Henry</v>
      </c>
      <c r="P203" s="13" t="str">
        <f>LEFT(A203,2)</f>
        <v>IZ</v>
      </c>
      <c r="Q203" s="13" t="str">
        <f>MID(A203,4,4)</f>
        <v>2015</v>
      </c>
      <c r="R203" s="13" t="str">
        <f>UPPER(M203)</f>
        <v>HIGH</v>
      </c>
      <c r="S203" s="13" t="str">
        <f>LOWER(G203)</f>
        <v>furniture</v>
      </c>
      <c r="T203" s="21" t="str">
        <f>RIGHT(A203,5)</f>
        <v>42173</v>
      </c>
      <c r="U203" s="27" t="s">
        <v>2889</v>
      </c>
      <c r="V203" s="19" t="s">
        <v>2890</v>
      </c>
      <c r="W203" s="30">
        <v>2015</v>
      </c>
      <c r="X203" t="s">
        <v>2889</v>
      </c>
      <c r="Y203" s="28">
        <v>42173</v>
      </c>
      <c r="Z203" s="28" t="str">
        <f>TRIM(A203)</f>
        <v>IZ-2015-EH418561-42173</v>
      </c>
      <c r="AA203">
        <f t="shared" si="12"/>
        <v>2015</v>
      </c>
      <c r="AB203">
        <f t="shared" si="13"/>
        <v>6</v>
      </c>
      <c r="AC203">
        <f t="shared" si="14"/>
        <v>5</v>
      </c>
      <c r="AD203">
        <f t="shared" si="15"/>
        <v>3</v>
      </c>
      <c r="AE203" s="62">
        <f>IF(I203="missing", IFERROR(INDEX([1]lookup!$I:$I, MATCH($A203, [1]lookup!$B:$B, 0)), 0), I203)</f>
        <v>1467.36</v>
      </c>
    </row>
    <row r="204" spans="1:31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2684</v>
      </c>
      <c r="O204" s="8" t="str">
        <f>PROPER(D204)</f>
        <v>Marina Lichtenstein</v>
      </c>
      <c r="P204" s="8" t="str">
        <f>LEFT(A204,2)</f>
        <v>IN</v>
      </c>
      <c r="Q204" s="8" t="str">
        <f>MID(A204,4,4)</f>
        <v>2015</v>
      </c>
      <c r="R204" s="8" t="str">
        <f>UPPER(M204)</f>
        <v>HIGH</v>
      </c>
      <c r="S204" s="8" t="str">
        <f>LOWER(G204)</f>
        <v>furniture</v>
      </c>
      <c r="T204" s="18" t="str">
        <f>RIGHT(A204,5)</f>
        <v>42369</v>
      </c>
      <c r="U204" s="27" t="s">
        <v>2891</v>
      </c>
      <c r="V204" s="16" t="s">
        <v>2686</v>
      </c>
      <c r="W204" s="30">
        <v>2015</v>
      </c>
      <c r="X204" t="s">
        <v>2891</v>
      </c>
      <c r="Y204" s="28">
        <v>42369</v>
      </c>
      <c r="Z204" s="28" t="str">
        <f>TRIM(A204)</f>
        <v>IN-2015-ML1739559-42369</v>
      </c>
      <c r="AA204">
        <f t="shared" si="12"/>
        <v>2015</v>
      </c>
      <c r="AB204">
        <f t="shared" si="13"/>
        <v>12</v>
      </c>
      <c r="AC204">
        <f t="shared" si="14"/>
        <v>5</v>
      </c>
      <c r="AD204">
        <f t="shared" si="15"/>
        <v>1</v>
      </c>
      <c r="AE204" s="62">
        <f>IF(I204="missing", IFERROR(INDEX([1]lookup!$I:$I, MATCH($A204, [1]lookup!$B:$B, 0)), 0), I204)</f>
        <v>1091.28059999999</v>
      </c>
    </row>
    <row r="205" spans="1:31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2684</v>
      </c>
      <c r="O205" s="13" t="str">
        <f>PROPER(D205)</f>
        <v>Kean Nguyen</v>
      </c>
      <c r="P205" s="13" t="str">
        <f>LEFT(A205,2)</f>
        <v>IN</v>
      </c>
      <c r="Q205" s="13" t="str">
        <f>MID(A205,4,4)</f>
        <v>2015</v>
      </c>
      <c r="R205" s="13" t="str">
        <f>UPPER(M205)</f>
        <v>MEDIUM</v>
      </c>
      <c r="S205" s="13" t="str">
        <f>LOWER(G205)</f>
        <v>technology</v>
      </c>
      <c r="T205" s="21" t="str">
        <f>RIGHT(A205,5)</f>
        <v>42332</v>
      </c>
      <c r="U205" s="27" t="s">
        <v>2892</v>
      </c>
      <c r="V205" s="19" t="s">
        <v>2686</v>
      </c>
      <c r="W205" s="30">
        <v>2015</v>
      </c>
      <c r="X205" t="s">
        <v>2892</v>
      </c>
      <c r="Y205" s="28">
        <v>42332</v>
      </c>
      <c r="Z205" s="28" t="str">
        <f>TRIM(A205)</f>
        <v>IN-2015-KN164507-42332</v>
      </c>
      <c r="AA205">
        <f t="shared" si="12"/>
        <v>2015</v>
      </c>
      <c r="AB205">
        <f t="shared" si="13"/>
        <v>11</v>
      </c>
      <c r="AC205">
        <f t="shared" si="14"/>
        <v>3</v>
      </c>
      <c r="AD205">
        <f t="shared" si="15"/>
        <v>2</v>
      </c>
      <c r="AE205" s="62">
        <f>IF(I205="missing", IFERROR(INDEX([1]lookup!$I:$I, MATCH($A205, [1]lookup!$B:$B, 0)), 0), I205)</f>
        <v>2863.35</v>
      </c>
    </row>
    <row r="206" spans="1:31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2684</v>
      </c>
      <c r="O206" s="8" t="str">
        <f>PROPER(D206)</f>
        <v>Cyma Kinney</v>
      </c>
      <c r="P206" s="8" t="str">
        <f>LEFT(A206,2)</f>
        <v>ES</v>
      </c>
      <c r="Q206" s="8" t="str">
        <f>MID(A206,4,4)</f>
        <v>2015</v>
      </c>
      <c r="R206" s="8" t="str">
        <f>UPPER(M206)</f>
        <v>CRITICAL</v>
      </c>
      <c r="S206" s="8" t="str">
        <f>LOWER(G206)</f>
        <v>technology</v>
      </c>
      <c r="T206" s="18" t="str">
        <f>RIGHT(A206,5)</f>
        <v>42312</v>
      </c>
      <c r="U206" s="27" t="s">
        <v>2893</v>
      </c>
      <c r="V206" s="16" t="s">
        <v>2743</v>
      </c>
      <c r="W206" s="30">
        <v>2015</v>
      </c>
      <c r="X206" t="s">
        <v>2893</v>
      </c>
      <c r="Y206" s="28">
        <v>42312</v>
      </c>
      <c r="Z206" s="28" t="str">
        <f>TRIM(A206)</f>
        <v>ES-2015-CK1276045-42312</v>
      </c>
      <c r="AA206">
        <f t="shared" si="12"/>
        <v>2015</v>
      </c>
      <c r="AB206">
        <f t="shared" si="13"/>
        <v>11</v>
      </c>
      <c r="AC206">
        <f t="shared" si="14"/>
        <v>4</v>
      </c>
      <c r="AD206">
        <f t="shared" si="15"/>
        <v>3</v>
      </c>
      <c r="AE206" s="62">
        <f>IF(I206="missing", IFERROR(INDEX([1]lookup!$I:$I, MATCH($A206, [1]lookup!$B:$B, 0)), 0), I206)</f>
        <v>765.45899999999995</v>
      </c>
    </row>
    <row r="207" spans="1:31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2684</v>
      </c>
      <c r="O207" s="13" t="str">
        <f>PROPER(D207)</f>
        <v>Phillip Breyer</v>
      </c>
      <c r="P207" s="13" t="str">
        <f>LEFT(A207,2)</f>
        <v>IN</v>
      </c>
      <c r="Q207" s="13" t="str">
        <f>MID(A207,4,4)</f>
        <v>2015</v>
      </c>
      <c r="R207" s="13" t="str">
        <f>UPPER(M207)</f>
        <v>MEDIUM</v>
      </c>
      <c r="S207" s="13" t="str">
        <f>LOWER(G207)</f>
        <v>office supplies</v>
      </c>
      <c r="T207" s="21" t="str">
        <f>RIGHT(A207,5)</f>
        <v>42248</v>
      </c>
      <c r="U207" s="27" t="s">
        <v>2894</v>
      </c>
      <c r="V207" s="19" t="s">
        <v>2686</v>
      </c>
      <c r="W207" s="30">
        <v>2015</v>
      </c>
      <c r="X207" t="s">
        <v>2894</v>
      </c>
      <c r="Y207" s="28">
        <v>42248</v>
      </c>
      <c r="Z207" s="28" t="str">
        <f>TRIM(A207)</f>
        <v>IN-2015-PB192107-42248</v>
      </c>
      <c r="AA207">
        <f t="shared" si="12"/>
        <v>2015</v>
      </c>
      <c r="AB207">
        <f t="shared" si="13"/>
        <v>9</v>
      </c>
      <c r="AC207">
        <f t="shared" si="14"/>
        <v>3</v>
      </c>
      <c r="AD207">
        <f t="shared" si="15"/>
        <v>3</v>
      </c>
      <c r="AE207" s="62">
        <f>IF(I207="missing", IFERROR(INDEX([1]lookup!$I:$I, MATCH($A207, [1]lookup!$B:$B, 0)), 0), I207)</f>
        <v>1887.84</v>
      </c>
    </row>
    <row r="208" spans="1:31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2684</v>
      </c>
      <c r="O208" s="8" t="str">
        <f>PROPER(D208)</f>
        <v>Andrew Allen</v>
      </c>
      <c r="P208" s="8" t="str">
        <f>LEFT(A208,2)</f>
        <v>MX</v>
      </c>
      <c r="Q208" s="8" t="str">
        <f>MID(A208,4,4)</f>
        <v>2015</v>
      </c>
      <c r="R208" s="8" t="str">
        <f>UPPER(M208)</f>
        <v>MEDIUM</v>
      </c>
      <c r="S208" s="8" t="str">
        <f>LOWER(G208)</f>
        <v>office supplies</v>
      </c>
      <c r="T208" s="18" t="str">
        <f>RIGHT(A208,5)</f>
        <v>42111</v>
      </c>
      <c r="U208" s="27" t="s">
        <v>2895</v>
      </c>
      <c r="V208" s="16" t="s">
        <v>2718</v>
      </c>
      <c r="W208" s="30">
        <v>2015</v>
      </c>
      <c r="X208" t="s">
        <v>2895</v>
      </c>
      <c r="Y208" s="28">
        <v>42111</v>
      </c>
      <c r="Z208" s="28" t="str">
        <f>TRIM(A208)</f>
        <v>MX-2015-AA1048031-42111</v>
      </c>
      <c r="AA208">
        <f t="shared" si="12"/>
        <v>2015</v>
      </c>
      <c r="AB208">
        <f t="shared" si="13"/>
        <v>4</v>
      </c>
      <c r="AC208">
        <f t="shared" si="14"/>
        <v>6</v>
      </c>
      <c r="AD208">
        <f t="shared" si="15"/>
        <v>3</v>
      </c>
      <c r="AE208" s="62">
        <f>IF(I208="missing", IFERROR(INDEX([1]lookup!$I:$I, MATCH($A208, [1]lookup!$B:$B, 0)), 0), I208)</f>
        <v>0</v>
      </c>
    </row>
    <row r="209" spans="1:31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2684</v>
      </c>
      <c r="O209" s="13" t="str">
        <f>PROPER(D209)</f>
        <v>Ellis Ballard</v>
      </c>
      <c r="P209" s="13" t="str">
        <f>LEFT(A209,2)</f>
        <v>IT</v>
      </c>
      <c r="Q209" s="13" t="str">
        <f>MID(A209,4,4)</f>
        <v>2014</v>
      </c>
      <c r="R209" s="13" t="str">
        <f>UPPER(M209)</f>
        <v>CRITICAL</v>
      </c>
      <c r="S209" s="13" t="str">
        <f>LOWER(G209)</f>
        <v>technology</v>
      </c>
      <c r="T209" s="21" t="str">
        <f>RIGHT(A209,5)</f>
        <v>41706</v>
      </c>
      <c r="U209" s="27" t="s">
        <v>2709</v>
      </c>
      <c r="V209" s="19" t="s">
        <v>2710</v>
      </c>
      <c r="W209" s="30">
        <v>2014</v>
      </c>
      <c r="X209" t="s">
        <v>2709</v>
      </c>
      <c r="Y209" s="28">
        <v>41706</v>
      </c>
      <c r="Z209" s="28" t="str">
        <f>TRIM(A209)</f>
        <v>IT-2014-EB1384045-41706</v>
      </c>
      <c r="AA209">
        <f t="shared" si="12"/>
        <v>2014</v>
      </c>
      <c r="AB209">
        <f t="shared" si="13"/>
        <v>3</v>
      </c>
      <c r="AC209">
        <f t="shared" si="14"/>
        <v>7</v>
      </c>
      <c r="AD209">
        <f t="shared" si="15"/>
        <v>0</v>
      </c>
      <c r="AE209" s="62">
        <f>IF(I209="missing", IFERROR(INDEX([1]lookup!$I:$I, MATCH($A209, [1]lookup!$B:$B, 0)), 0), I209)</f>
        <v>779.28</v>
      </c>
    </row>
    <row r="210" spans="1:31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2684</v>
      </c>
      <c r="O210" s="8" t="str">
        <f>PROPER(D210)</f>
        <v>Rose O'Brian</v>
      </c>
      <c r="P210" s="8" t="str">
        <f>LEFT(A210,2)</f>
        <v>AG</v>
      </c>
      <c r="Q210" s="8" t="str">
        <f>MID(A210,4,4)</f>
        <v>2012</v>
      </c>
      <c r="R210" s="8" t="str">
        <f>UPPER(M210)</f>
        <v>CRITICAL</v>
      </c>
      <c r="S210" s="8" t="str">
        <f>LOWER(G210)</f>
        <v>technology</v>
      </c>
      <c r="T210" s="18" t="str">
        <f>RIGHT(A210,5)</f>
        <v>40964</v>
      </c>
      <c r="U210" s="27" t="s">
        <v>2896</v>
      </c>
      <c r="V210" s="16" t="s">
        <v>2897</v>
      </c>
      <c r="W210" s="30">
        <v>2012</v>
      </c>
      <c r="X210" t="s">
        <v>2896</v>
      </c>
      <c r="Y210" s="28">
        <v>40964</v>
      </c>
      <c r="Z210" s="28" t="str">
        <f>TRIM(A210)</f>
        <v>AG-2012-RO97803-40964</v>
      </c>
      <c r="AA210">
        <f t="shared" si="12"/>
        <v>2012</v>
      </c>
      <c r="AB210">
        <f t="shared" si="13"/>
        <v>2</v>
      </c>
      <c r="AC210">
        <f t="shared" si="14"/>
        <v>7</v>
      </c>
      <c r="AD210">
        <f t="shared" si="15"/>
        <v>0</v>
      </c>
      <c r="AE210" s="62">
        <f>IF(I210="missing", IFERROR(INDEX([1]lookup!$I:$I, MATCH($A210, [1]lookup!$B:$B, 0)), 0), I210)</f>
        <v>613.26</v>
      </c>
    </row>
    <row r="211" spans="1:31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2684</v>
      </c>
      <c r="O211" s="13" t="str">
        <f>PROPER(D211)</f>
        <v>Alan Barnes</v>
      </c>
      <c r="P211" s="13" t="str">
        <f>LEFT(A211,2)</f>
        <v>CA</v>
      </c>
      <c r="Q211" s="13" t="str">
        <f>MID(A211,4,4)</f>
        <v>2013</v>
      </c>
      <c r="R211" s="13" t="str">
        <f>UPPER(M211)</f>
        <v>MEDIUM</v>
      </c>
      <c r="S211" s="13" t="str">
        <f>LOWER(G211)</f>
        <v>technology</v>
      </c>
      <c r="T211" s="21" t="str">
        <f>RIGHT(A211,5)</f>
        <v>41361</v>
      </c>
      <c r="U211" s="27" t="s">
        <v>2898</v>
      </c>
      <c r="V211" s="19" t="s">
        <v>2689</v>
      </c>
      <c r="W211" s="30">
        <v>2013</v>
      </c>
      <c r="X211" t="s">
        <v>2898</v>
      </c>
      <c r="Y211" s="28">
        <v>41361</v>
      </c>
      <c r="Z211" s="28" t="str">
        <f>TRIM(A211)</f>
        <v>CA-2013-AB10165140-41361</v>
      </c>
      <c r="AA211">
        <f t="shared" si="12"/>
        <v>2013</v>
      </c>
      <c r="AB211">
        <f t="shared" si="13"/>
        <v>3</v>
      </c>
      <c r="AC211">
        <f t="shared" si="14"/>
        <v>5</v>
      </c>
      <c r="AD211">
        <f t="shared" si="15"/>
        <v>5</v>
      </c>
      <c r="AE211" s="62">
        <f>IF(I211="missing", IFERROR(INDEX([1]lookup!$I:$I, MATCH($A211, [1]lookup!$B:$B, 0)), 0), I211)</f>
        <v>166.24</v>
      </c>
    </row>
    <row r="212" spans="1:31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2684</v>
      </c>
      <c r="O212" s="8" t="str">
        <f>PROPER(D212)</f>
        <v>Mathew Reese</v>
      </c>
      <c r="P212" s="8" t="str">
        <f>LEFT(A212,2)</f>
        <v>IN</v>
      </c>
      <c r="Q212" s="8" t="str">
        <f>MID(A212,4,4)</f>
        <v>2015</v>
      </c>
      <c r="R212" s="8" t="str">
        <f>UPPER(M212)</f>
        <v>MEDIUM</v>
      </c>
      <c r="S212" s="8" t="str">
        <f>LOWER(G212)</f>
        <v>furniture</v>
      </c>
      <c r="T212" s="18" t="str">
        <f>RIGHT(A212,5)</f>
        <v>42263</v>
      </c>
      <c r="U212" s="27" t="s">
        <v>2899</v>
      </c>
      <c r="V212" s="16" t="s">
        <v>2686</v>
      </c>
      <c r="W212" s="30">
        <v>2015</v>
      </c>
      <c r="X212" t="s">
        <v>2899</v>
      </c>
      <c r="Y212" s="28">
        <v>42263</v>
      </c>
      <c r="Z212" s="28" t="str">
        <f>TRIM(A212)</f>
        <v>IN-2015-MR175457-42263</v>
      </c>
      <c r="AA212">
        <f t="shared" si="12"/>
        <v>2015</v>
      </c>
      <c r="AB212">
        <f t="shared" si="13"/>
        <v>9</v>
      </c>
      <c r="AC212">
        <f t="shared" si="14"/>
        <v>4</v>
      </c>
      <c r="AD212">
        <f t="shared" si="15"/>
        <v>4</v>
      </c>
      <c r="AE212" s="62">
        <f>IF(I212="missing", IFERROR(INDEX([1]lookup!$I:$I, MATCH($A212, [1]lookup!$B:$B, 0)), 0), I212)</f>
        <v>1837.5599999999899</v>
      </c>
    </row>
    <row r="213" spans="1:31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2684</v>
      </c>
      <c r="O213" s="13" t="str">
        <f>PROPER(D213)</f>
        <v>Amy Hunt</v>
      </c>
      <c r="P213" s="13" t="str">
        <f>LEFT(A213,2)</f>
        <v>MX</v>
      </c>
      <c r="Q213" s="13" t="str">
        <f>MID(A213,4,4)</f>
        <v>2014</v>
      </c>
      <c r="R213" s="13" t="str">
        <f>UPPER(M213)</f>
        <v>HIGH</v>
      </c>
      <c r="S213" s="13" t="str">
        <f>LOWER(G213)</f>
        <v>technology</v>
      </c>
      <c r="T213" s="21" t="str">
        <f>RIGHT(A213,5)</f>
        <v>42004</v>
      </c>
      <c r="U213" s="27" t="s">
        <v>2900</v>
      </c>
      <c r="V213" s="19" t="s">
        <v>2718</v>
      </c>
      <c r="W213" s="30">
        <v>2014</v>
      </c>
      <c r="X213" t="s">
        <v>2900</v>
      </c>
      <c r="Y213" s="28">
        <v>42004</v>
      </c>
      <c r="Z213" s="28" t="str">
        <f>TRIM(A213)</f>
        <v>MX-2014-AH1046593-42004</v>
      </c>
      <c r="AA213">
        <f t="shared" si="12"/>
        <v>2014</v>
      </c>
      <c r="AB213">
        <f t="shared" si="13"/>
        <v>12</v>
      </c>
      <c r="AC213">
        <f t="shared" si="14"/>
        <v>4</v>
      </c>
      <c r="AD213">
        <f t="shared" si="15"/>
        <v>1</v>
      </c>
      <c r="AE213" s="62">
        <f>IF(I213="missing", IFERROR(INDEX([1]lookup!$I:$I, MATCH($A213, [1]lookup!$B:$B, 0)), 0), I213)</f>
        <v>1198.2986000000001</v>
      </c>
    </row>
    <row r="214" spans="1:31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2684</v>
      </c>
      <c r="O214" s="8" t="str">
        <f>PROPER(D214)</f>
        <v>Mitch Webber</v>
      </c>
      <c r="P214" s="8" t="str">
        <f>LEFT(A214,2)</f>
        <v>SA</v>
      </c>
      <c r="Q214" s="8" t="str">
        <f>MID(A214,4,4)</f>
        <v>2015</v>
      </c>
      <c r="R214" s="8" t="str">
        <f>UPPER(M214)</f>
        <v>LOW</v>
      </c>
      <c r="S214" s="8" t="str">
        <f>LOWER(G214)</f>
        <v>technology</v>
      </c>
      <c r="T214" s="18" t="str">
        <f>RIGHT(A214,5)</f>
        <v>42105</v>
      </c>
      <c r="U214" s="27" t="s">
        <v>2901</v>
      </c>
      <c r="V214" s="16" t="s">
        <v>2902</v>
      </c>
      <c r="W214" s="30">
        <v>2015</v>
      </c>
      <c r="X214" t="s">
        <v>2901</v>
      </c>
      <c r="Y214" s="28">
        <v>42105</v>
      </c>
      <c r="Z214" s="28" t="str">
        <f>TRIM(A214)</f>
        <v>SA-2015-MW8220110-42105</v>
      </c>
      <c r="AA214">
        <f t="shared" si="12"/>
        <v>2015</v>
      </c>
      <c r="AB214">
        <f t="shared" si="13"/>
        <v>4</v>
      </c>
      <c r="AC214">
        <f t="shared" si="14"/>
        <v>7</v>
      </c>
      <c r="AD214">
        <f t="shared" si="15"/>
        <v>6</v>
      </c>
      <c r="AE214" s="62">
        <f>IF(I214="missing", IFERROR(INDEX([1]lookup!$I:$I, MATCH($A214, [1]lookup!$B:$B, 0)), 0), I214)</f>
        <v>1302.78</v>
      </c>
    </row>
    <row r="215" spans="1:31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2684</v>
      </c>
      <c r="O215" s="13" t="str">
        <f>PROPER(D215)</f>
        <v>Alan Hwang</v>
      </c>
      <c r="P215" s="13" t="str">
        <f>LEFT(A215,2)</f>
        <v>EG</v>
      </c>
      <c r="Q215" s="13" t="str">
        <f>MID(A215,4,4)</f>
        <v>2013</v>
      </c>
      <c r="R215" s="13" t="str">
        <f>UPPER(M215)</f>
        <v>MEDIUM</v>
      </c>
      <c r="S215" s="13" t="str">
        <f>LOWER(G215)</f>
        <v>office_supplies</v>
      </c>
      <c r="T215" s="21" t="str">
        <f>RIGHT(A215,5)</f>
        <v>41489</v>
      </c>
      <c r="U215" s="27" t="s">
        <v>2903</v>
      </c>
      <c r="V215" s="19" t="s">
        <v>2904</v>
      </c>
      <c r="W215" s="30">
        <v>2013</v>
      </c>
      <c r="X215" t="s">
        <v>2903</v>
      </c>
      <c r="Y215" s="28">
        <v>41489</v>
      </c>
      <c r="Z215" s="28" t="str">
        <f>TRIM(A215)</f>
        <v>EG-2013-AH21038-41489</v>
      </c>
      <c r="AA215">
        <f t="shared" si="12"/>
        <v>2013</v>
      </c>
      <c r="AB215">
        <f t="shared" si="13"/>
        <v>8</v>
      </c>
      <c r="AC215">
        <f t="shared" si="14"/>
        <v>7</v>
      </c>
      <c r="AD215">
        <f t="shared" si="15"/>
        <v>4</v>
      </c>
      <c r="AE215" s="62">
        <f>IF(I215="missing", IFERROR(INDEX([1]lookup!$I:$I, MATCH($A215, [1]lookup!$B:$B, 0)), 0), I215)</f>
        <v>2243.88</v>
      </c>
    </row>
    <row r="216" spans="1:31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2684</v>
      </c>
      <c r="O216" s="8" t="str">
        <f>PROPER(D216)</f>
        <v>Maris Laware</v>
      </c>
      <c r="P216" s="8" t="str">
        <f>LEFT(A216,2)</f>
        <v>IN</v>
      </c>
      <c r="Q216" s="8" t="str">
        <f>MID(A216,4,4)</f>
        <v>2012</v>
      </c>
      <c r="R216" s="8" t="str">
        <f>UPPER(M216)</f>
        <v>HIGH</v>
      </c>
      <c r="S216" s="8" t="str">
        <f>LOWER(G216)</f>
        <v xml:space="preserve"> office supplies </v>
      </c>
      <c r="T216" s="18" t="str">
        <f>RIGHT(A216,5)</f>
        <v>41255</v>
      </c>
      <c r="U216" s="27" t="s">
        <v>2905</v>
      </c>
      <c r="V216" s="16" t="s">
        <v>2686</v>
      </c>
      <c r="W216" s="30">
        <v>2012</v>
      </c>
      <c r="X216" t="s">
        <v>2905</v>
      </c>
      <c r="Y216" s="28">
        <v>41255</v>
      </c>
      <c r="Z216" s="28" t="str">
        <f>TRIM(A216)</f>
        <v>IN-2012-ML1741027-41255</v>
      </c>
      <c r="AA216">
        <f t="shared" si="12"/>
        <v>2012</v>
      </c>
      <c r="AB216">
        <f t="shared" si="13"/>
        <v>12</v>
      </c>
      <c r="AC216">
        <f t="shared" si="14"/>
        <v>4</v>
      </c>
      <c r="AD216">
        <f t="shared" si="15"/>
        <v>4</v>
      </c>
      <c r="AE216" s="62">
        <f>IF(I216="missing", IFERROR(INDEX([1]lookup!$I:$I, MATCH($A216, [1]lookup!$B:$B, 0)), 0), I216)</f>
        <v>1609.29</v>
      </c>
    </row>
    <row r="217" spans="1:31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2684</v>
      </c>
      <c r="O217" s="13" t="str">
        <f>PROPER(D217)</f>
        <v>Alan Barnes#</v>
      </c>
      <c r="P217" s="13" t="str">
        <f>LEFT(A217,2)</f>
        <v>CA</v>
      </c>
      <c r="Q217" s="13" t="str">
        <f>MID(A217,4,4)</f>
        <v>2015</v>
      </c>
      <c r="R217" s="13" t="str">
        <f>UPPER(M217)</f>
        <v>MEDIUM</v>
      </c>
      <c r="S217" s="13" t="str">
        <f>LOWER(G217)</f>
        <v>office supplies</v>
      </c>
      <c r="T217" s="21" t="str">
        <f>RIGHT(A217,5)</f>
        <v>42109</v>
      </c>
      <c r="U217" s="27" t="s">
        <v>2898</v>
      </c>
      <c r="V217" s="19" t="s">
        <v>2689</v>
      </c>
      <c r="W217" s="30">
        <v>2015</v>
      </c>
      <c r="X217" t="s">
        <v>2898</v>
      </c>
      <c r="Y217" s="28">
        <v>42109</v>
      </c>
      <c r="Z217" s="28" t="str">
        <f>TRIM(A217)</f>
        <v>CA-2015-AB10165140-42109</v>
      </c>
      <c r="AA217">
        <f t="shared" si="12"/>
        <v>2015</v>
      </c>
      <c r="AB217">
        <f t="shared" si="13"/>
        <v>4</v>
      </c>
      <c r="AC217">
        <f t="shared" si="14"/>
        <v>4</v>
      </c>
      <c r="AD217">
        <f t="shared" si="15"/>
        <v>3</v>
      </c>
      <c r="AE217" s="62">
        <f>IF(I217="missing", IFERROR(INDEX([1]lookup!$I:$I, MATCH($A217, [1]lookup!$B:$B, 0)), 0), I217)</f>
        <v>89.855999999999995</v>
      </c>
    </row>
    <row r="218" spans="1:31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2684</v>
      </c>
      <c r="O218" s="8" t="str">
        <f>PROPER(D218)</f>
        <v>Alan Barnes</v>
      </c>
      <c r="P218" s="8" t="str">
        <f>LEFT(A218,2)</f>
        <v>CA</v>
      </c>
      <c r="Q218" s="8" t="str">
        <f>MID(A218,4,4)</f>
        <v>2013</v>
      </c>
      <c r="R218" s="8" t="str">
        <f>UPPER(M218)</f>
        <v>MEDIUM</v>
      </c>
      <c r="S218" s="8" t="str">
        <f>LOWER(G218)</f>
        <v>office supplies</v>
      </c>
      <c r="T218" s="18" t="str">
        <f>RIGHT(A218,5)</f>
        <v>41450</v>
      </c>
      <c r="U218" s="27" t="s">
        <v>2898</v>
      </c>
      <c r="V218" s="16" t="s">
        <v>2689</v>
      </c>
      <c r="W218" s="30">
        <v>2013</v>
      </c>
      <c r="X218" t="s">
        <v>2898</v>
      </c>
      <c r="Y218" s="28">
        <v>41450</v>
      </c>
      <c r="Z218" s="28" t="str">
        <f>TRIM(A218)</f>
        <v>CA-2013-AB10165140-41450</v>
      </c>
      <c r="AA218">
        <f t="shared" si="12"/>
        <v>2013</v>
      </c>
      <c r="AB218">
        <f t="shared" si="13"/>
        <v>6</v>
      </c>
      <c r="AC218">
        <f t="shared" si="14"/>
        <v>3</v>
      </c>
      <c r="AD218">
        <f t="shared" si="15"/>
        <v>6</v>
      </c>
      <c r="AE218" s="62">
        <f>IF(I218="missing", IFERROR(INDEX([1]lookup!$I:$I, MATCH($A218, [1]lookup!$B:$B, 0)), 0), I218)</f>
        <v>88.751999999999995</v>
      </c>
    </row>
    <row r="219" spans="1:31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2684</v>
      </c>
      <c r="O219" s="13" t="str">
        <f>PROPER(D219)</f>
        <v>Matt Collins</v>
      </c>
      <c r="P219" s="13" t="str">
        <f>LEFT(A219,2)</f>
        <v>SA</v>
      </c>
      <c r="Q219" s="13" t="str">
        <f>MID(A219,4,4)</f>
        <v>2015</v>
      </c>
      <c r="R219" s="13" t="str">
        <f>UPPER(M219)</f>
        <v>CRITICAL</v>
      </c>
      <c r="S219" s="13" t="str">
        <f>LOWER(G219)</f>
        <v>technology</v>
      </c>
      <c r="T219" s="21" t="str">
        <f>RIGHT(A219,5)</f>
        <v>42326</v>
      </c>
      <c r="U219" s="27" t="s">
        <v>2906</v>
      </c>
      <c r="V219" s="19" t="s">
        <v>2902</v>
      </c>
      <c r="W219" s="30">
        <v>2015</v>
      </c>
      <c r="X219" t="s">
        <v>2906</v>
      </c>
      <c r="Y219" s="28">
        <v>42326</v>
      </c>
      <c r="Z219" s="28" t="str">
        <f>TRIM(A219)</f>
        <v>SA-2015-MC7575110-42326</v>
      </c>
      <c r="AA219">
        <f t="shared" si="12"/>
        <v>2015</v>
      </c>
      <c r="AB219">
        <f t="shared" si="13"/>
        <v>11</v>
      </c>
      <c r="AC219">
        <f t="shared" si="14"/>
        <v>4</v>
      </c>
      <c r="AD219">
        <f t="shared" si="15"/>
        <v>3</v>
      </c>
      <c r="AE219" s="62">
        <f>IF(I219="missing", IFERROR(INDEX([1]lookup!$I:$I, MATCH($A219, [1]lookup!$B:$B, 0)), 0), I219)</f>
        <v>621</v>
      </c>
    </row>
    <row r="220" spans="1:31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2684</v>
      </c>
      <c r="O220" s="8" t="str">
        <f>PROPER(D220)</f>
        <v>Scott Williamson</v>
      </c>
      <c r="P220" s="8" t="str">
        <f>LEFT(A220,2)</f>
        <v>IT</v>
      </c>
      <c r="Q220" s="8" t="str">
        <f>MID(A220,4,4)</f>
        <v>2015</v>
      </c>
      <c r="R220" s="8" t="str">
        <f>UPPER(M220)</f>
        <v>CRITICAL</v>
      </c>
      <c r="S220" s="8" t="str">
        <f>LOWER(G220)</f>
        <v>technology</v>
      </c>
      <c r="T220" s="18" t="str">
        <f>RIGHT(A220,5)</f>
        <v>42277</v>
      </c>
      <c r="U220" s="27" t="s">
        <v>2907</v>
      </c>
      <c r="V220" s="16" t="s">
        <v>2710</v>
      </c>
      <c r="W220" s="30">
        <v>2015</v>
      </c>
      <c r="X220" t="s">
        <v>2907</v>
      </c>
      <c r="Y220" s="28">
        <v>42277</v>
      </c>
      <c r="Z220" s="28" t="str">
        <f>TRIM(A220)</f>
        <v>IT-2015-SW2027564-42277</v>
      </c>
      <c r="AA220">
        <f t="shared" si="12"/>
        <v>2015</v>
      </c>
      <c r="AB220">
        <f t="shared" si="13"/>
        <v>9</v>
      </c>
      <c r="AC220">
        <f t="shared" si="14"/>
        <v>4</v>
      </c>
      <c r="AD220">
        <f t="shared" si="15"/>
        <v>2</v>
      </c>
      <c r="AE220" s="62">
        <f>IF(I220="missing", IFERROR(INDEX([1]lookup!$I:$I, MATCH($A220, [1]lookup!$B:$B, 0)), 0), I220)</f>
        <v>1145.232</v>
      </c>
    </row>
    <row r="221" spans="1:31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2684</v>
      </c>
      <c r="O221" s="13" t="str">
        <f>PROPER(D221)</f>
        <v>Alan Barnes</v>
      </c>
      <c r="P221" s="13" t="str">
        <f>LEFT(A221,2)</f>
        <v>CA</v>
      </c>
      <c r="Q221" s="13" t="str">
        <f>MID(A221,4,4)</f>
        <v>2015</v>
      </c>
      <c r="R221" s="13" t="str">
        <f>UPPER(M221)</f>
        <v>MEDIUM</v>
      </c>
      <c r="S221" s="13" t="str">
        <f>LOWER(G221)</f>
        <v>furniture</v>
      </c>
      <c r="T221" s="21" t="str">
        <f>RIGHT(A221,5)</f>
        <v>42094</v>
      </c>
      <c r="U221" s="27" t="s">
        <v>2898</v>
      </c>
      <c r="V221" s="19" t="s">
        <v>2689</v>
      </c>
      <c r="W221" s="30">
        <v>2015</v>
      </c>
      <c r="X221" t="s">
        <v>2898</v>
      </c>
      <c r="Y221" s="28">
        <v>42094</v>
      </c>
      <c r="Z221" s="28" t="str">
        <f>TRIM(A221)</f>
        <v>CA-2015-AB10165140-42094</v>
      </c>
      <c r="AA221">
        <f t="shared" si="12"/>
        <v>2015</v>
      </c>
      <c r="AB221">
        <f t="shared" si="13"/>
        <v>3</v>
      </c>
      <c r="AC221">
        <f t="shared" si="14"/>
        <v>3</v>
      </c>
      <c r="AD221">
        <f t="shared" si="15"/>
        <v>2</v>
      </c>
      <c r="AE221" s="62">
        <f>IF(I221="missing", IFERROR(INDEX([1]lookup!$I:$I, MATCH($A221, [1]lookup!$B:$B, 0)), 0), I221)</f>
        <v>94.2</v>
      </c>
    </row>
    <row r="222" spans="1:31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2684</v>
      </c>
      <c r="O222" s="8" t="str">
        <f>PROPER(D222)</f>
        <v>Paul Stevenson</v>
      </c>
      <c r="P222" s="8" t="str">
        <f>LEFT(A222,2)</f>
        <v>ID</v>
      </c>
      <c r="Q222" s="8" t="str">
        <f>MID(A222,4,4)</f>
        <v>2012</v>
      </c>
      <c r="R222" s="8" t="str">
        <f>UPPER(M222)</f>
        <v>CRITICAL</v>
      </c>
      <c r="S222" s="8" t="str">
        <f>LOWER(G222)</f>
        <v>office supplies</v>
      </c>
      <c r="T222" s="18" t="str">
        <f>RIGHT(A222,5)</f>
        <v>40967</v>
      </c>
      <c r="U222" s="27" t="s">
        <v>2908</v>
      </c>
      <c r="V222" s="16" t="s">
        <v>2738</v>
      </c>
      <c r="W222" s="30">
        <v>2012</v>
      </c>
      <c r="X222" t="s">
        <v>2908</v>
      </c>
      <c r="Y222" s="28">
        <v>40967</v>
      </c>
      <c r="Z222" s="28" t="str">
        <f>TRIM(A222)</f>
        <v>ID-2012-PS18970118-40967</v>
      </c>
      <c r="AA222">
        <f t="shared" si="12"/>
        <v>2012</v>
      </c>
      <c r="AB222">
        <f t="shared" si="13"/>
        <v>2</v>
      </c>
      <c r="AC222">
        <f t="shared" si="14"/>
        <v>3</v>
      </c>
      <c r="AD222">
        <f t="shared" si="15"/>
        <v>3</v>
      </c>
      <c r="AE222" s="62">
        <f>IF(I222="missing", IFERROR(INDEX([1]lookup!$I:$I, MATCH($A222, [1]lookup!$B:$B, 0)), 0), I222)</f>
        <v>810.72</v>
      </c>
    </row>
    <row r="223" spans="1:31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2684</v>
      </c>
      <c r="O223" s="13" t="str">
        <f>PROPER(D223)</f>
        <v>Quincy Jones</v>
      </c>
      <c r="P223" s="13" t="str">
        <f>LEFT(A223,2)</f>
        <v xml:space="preserve"> E</v>
      </c>
      <c r="Q223" s="13" t="str">
        <f>MID(A223,4,4)</f>
        <v>-201</v>
      </c>
      <c r="R223" s="13" t="str">
        <f>UPPER(M223)</f>
        <v>HIGH</v>
      </c>
      <c r="S223" s="13" t="str">
        <f>LOWER(G223)</f>
        <v>office supplies</v>
      </c>
      <c r="T223" s="21" t="str">
        <f>RIGHT(A223,5)</f>
        <v xml:space="preserve">1793 </v>
      </c>
      <c r="U223" s="27" t="s">
        <v>2909</v>
      </c>
      <c r="V223" s="19" t="s">
        <v>2910</v>
      </c>
      <c r="W223" s="30">
        <v>2014</v>
      </c>
      <c r="X223" t="s">
        <v>2909</v>
      </c>
      <c r="Y223" s="28">
        <v>41793</v>
      </c>
      <c r="Z223" s="28" t="str">
        <f>TRIM(A223)</f>
        <v>ES-2014-QJ1925564-41793</v>
      </c>
      <c r="AA223">
        <f t="shared" si="12"/>
        <v>2014</v>
      </c>
      <c r="AB223">
        <f t="shared" si="13"/>
        <v>6</v>
      </c>
      <c r="AC223">
        <f t="shared" si="14"/>
        <v>3</v>
      </c>
      <c r="AD223">
        <f t="shared" si="15"/>
        <v>3</v>
      </c>
      <c r="AE223" s="62">
        <f>IF(I223="missing", IFERROR(INDEX([1]lookup!$I:$I, MATCH($A223, [1]lookup!$B:$B, 0)), 0), I223)</f>
        <v>2593.8000000000002</v>
      </c>
    </row>
    <row r="224" spans="1:31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2684</v>
      </c>
      <c r="O224" s="8" t="str">
        <f>PROPER(D224)</f>
        <v>Cari Schnelling</v>
      </c>
      <c r="P224" s="8" t="str">
        <f>LEFT(A224,2)</f>
        <v>ES</v>
      </c>
      <c r="Q224" s="8" t="str">
        <f>MID(A224,4,4)</f>
        <v>2015</v>
      </c>
      <c r="R224" s="8" t="str">
        <f>UPPER(M224)</f>
        <v>CRITICAL</v>
      </c>
      <c r="S224" s="8" t="str">
        <f>LOWER(G224)</f>
        <v>technology</v>
      </c>
      <c r="T224" s="18" t="str">
        <f>RIGHT(A224,5)</f>
        <v>42292</v>
      </c>
      <c r="U224" s="27" t="s">
        <v>2911</v>
      </c>
      <c r="V224" s="16" t="s">
        <v>2743</v>
      </c>
      <c r="W224" s="30">
        <v>2015</v>
      </c>
      <c r="X224" t="s">
        <v>2911</v>
      </c>
      <c r="Y224" s="28">
        <v>42292</v>
      </c>
      <c r="Z224" s="28" t="str">
        <f>TRIM(A224)</f>
        <v>ES-2015-CS118608-42292</v>
      </c>
      <c r="AA224">
        <f t="shared" si="12"/>
        <v>2015</v>
      </c>
      <c r="AB224">
        <f t="shared" si="13"/>
        <v>10</v>
      </c>
      <c r="AC224">
        <f t="shared" si="14"/>
        <v>5</v>
      </c>
      <c r="AD224">
        <f t="shared" si="15"/>
        <v>2</v>
      </c>
      <c r="AE224" s="62">
        <f>IF(I224="missing", IFERROR(INDEX([1]lookup!$I:$I, MATCH($A224, [1]lookup!$B:$B, 0)), 0), I224)</f>
        <v>0</v>
      </c>
    </row>
    <row r="225" spans="1:31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2684</v>
      </c>
      <c r="O225" s="13" t="str">
        <f>PROPER(D225)</f>
        <v>Michelle Tran</v>
      </c>
      <c r="P225" s="13" t="str">
        <f>LEFT(A225,2)</f>
        <v>ES</v>
      </c>
      <c r="Q225" s="13" t="str">
        <f>MID(A225,4,4)</f>
        <v>2015</v>
      </c>
      <c r="R225" s="13" t="str">
        <f>UPPER(M225)</f>
        <v>CRITICAL</v>
      </c>
      <c r="S225" s="13" t="str">
        <f>LOWER(G225)</f>
        <v>furniture</v>
      </c>
      <c r="T225" s="21" t="str">
        <f>RIGHT(A225,5)</f>
        <v>42176</v>
      </c>
      <c r="U225" s="27" t="s">
        <v>2912</v>
      </c>
      <c r="V225" s="19" t="s">
        <v>2743</v>
      </c>
      <c r="W225" s="30">
        <v>2015</v>
      </c>
      <c r="X225" t="s">
        <v>2912</v>
      </c>
      <c r="Y225" s="28">
        <v>42176</v>
      </c>
      <c r="Z225" s="28" t="str">
        <f>TRIM(A225)</f>
        <v>ES-2015-MT1807045-42176</v>
      </c>
      <c r="AA225">
        <f t="shared" si="12"/>
        <v>2015</v>
      </c>
      <c r="AB225">
        <f t="shared" si="13"/>
        <v>6</v>
      </c>
      <c r="AC225">
        <f t="shared" si="14"/>
        <v>1</v>
      </c>
      <c r="AD225">
        <f t="shared" si="15"/>
        <v>1</v>
      </c>
      <c r="AE225" s="62">
        <f>IF(I225="missing", IFERROR(INDEX([1]lookup!$I:$I, MATCH($A225, [1]lookup!$B:$B, 0)), 0), I225)</f>
        <v>656.85599999999999</v>
      </c>
    </row>
    <row r="226" spans="1:31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2684</v>
      </c>
      <c r="O226" s="8" t="str">
        <f>PROPER(D226)</f>
        <v>Ann Blume</v>
      </c>
      <c r="P226" s="8" t="str">
        <f>LEFT(A226,2)</f>
        <v>EN</v>
      </c>
      <c r="Q226" s="8" t="str">
        <f>MID(A226,4,4)</f>
        <v>2012</v>
      </c>
      <c r="R226" s="8" t="str">
        <f>UPPER(M226)</f>
        <v>MEDIUM</v>
      </c>
      <c r="S226" s="8" t="str">
        <f>LOWER(G226)</f>
        <v>technology</v>
      </c>
      <c r="T226" s="18" t="str">
        <f>RIGHT(A226,5)</f>
        <v>40932</v>
      </c>
      <c r="U226" s="27" t="s">
        <v>2913</v>
      </c>
      <c r="V226" s="16" t="s">
        <v>2914</v>
      </c>
      <c r="W226" s="30">
        <v>2012</v>
      </c>
      <c r="X226" t="s">
        <v>2913</v>
      </c>
      <c r="Y226" s="28">
        <v>40932</v>
      </c>
      <c r="Z226" s="28" t="str">
        <f>TRIM(A226)</f>
        <v>EN-2012-AB60042-40932</v>
      </c>
      <c r="AA226">
        <f t="shared" si="12"/>
        <v>2012</v>
      </c>
      <c r="AB226">
        <f t="shared" si="13"/>
        <v>1</v>
      </c>
      <c r="AC226">
        <f t="shared" si="14"/>
        <v>3</v>
      </c>
      <c r="AD226">
        <f t="shared" si="15"/>
        <v>0</v>
      </c>
      <c r="AE226" s="62">
        <f>IF(I226="missing", IFERROR(INDEX([1]lookup!$I:$I, MATCH($A226, [1]lookup!$B:$B, 0)), 0), I226)</f>
        <v>1302.78</v>
      </c>
    </row>
    <row r="227" spans="1:31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2684</v>
      </c>
      <c r="O227" s="13" t="str">
        <f>PROPER(D227)</f>
        <v>Paul Stevenson</v>
      </c>
      <c r="P227" s="13" t="str">
        <f>LEFT(A227,2)</f>
        <v>IN</v>
      </c>
      <c r="Q227" s="13" t="str">
        <f>MID(A227,4,4)</f>
        <v>2015</v>
      </c>
      <c r="R227" s="13" t="str">
        <f>UPPER(M227)</f>
        <v>MEDIUM</v>
      </c>
      <c r="S227" s="13" t="str">
        <f>LOWER(G227)</f>
        <v>furniture</v>
      </c>
      <c r="T227" s="21" t="str">
        <f>RIGHT(A227,5)</f>
        <v>42342</v>
      </c>
      <c r="U227" s="27" t="s">
        <v>2915</v>
      </c>
      <c r="V227" s="19" t="s">
        <v>2686</v>
      </c>
      <c r="W227" s="30">
        <v>2015</v>
      </c>
      <c r="X227" t="s">
        <v>2915</v>
      </c>
      <c r="Y227" s="28">
        <v>42342</v>
      </c>
      <c r="Z227" s="28" t="str">
        <f>TRIM(A227)</f>
        <v>IN-2015-PS189707-42342</v>
      </c>
      <c r="AA227">
        <f t="shared" si="12"/>
        <v>2015</v>
      </c>
      <c r="AB227">
        <f t="shared" si="13"/>
        <v>12</v>
      </c>
      <c r="AC227">
        <f t="shared" si="14"/>
        <v>6</v>
      </c>
      <c r="AD227">
        <f t="shared" si="15"/>
        <v>4</v>
      </c>
      <c r="AE227" s="62">
        <f>IF(I227="missing", IFERROR(INDEX([1]lookup!$I:$I, MATCH($A227, [1]lookup!$B:$B, 0)), 0), I227)</f>
        <v>2125.3199999999902</v>
      </c>
    </row>
    <row r="228" spans="1:31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2684</v>
      </c>
      <c r="O228" s="8" t="str">
        <f>PROPER(D228)</f>
        <v>Erica Bern</v>
      </c>
      <c r="P228" s="8" t="str">
        <f>LEFT(A228,2)</f>
        <v>ES</v>
      </c>
      <c r="Q228" s="8" t="str">
        <f>MID(A228,4,4)</f>
        <v>2014</v>
      </c>
      <c r="R228" s="8" t="str">
        <f>UPPER(M228)</f>
        <v>LOW</v>
      </c>
      <c r="S228" s="8" t="str">
        <f>LOWER(G228)</f>
        <v>technology</v>
      </c>
      <c r="T228" s="18" t="str">
        <f>RIGHT(A228,5)</f>
        <v>41818</v>
      </c>
      <c r="U228" s="27" t="s">
        <v>2916</v>
      </c>
      <c r="V228" s="16" t="s">
        <v>2743</v>
      </c>
      <c r="W228" s="30">
        <v>2014</v>
      </c>
      <c r="X228" t="s">
        <v>2916</v>
      </c>
      <c r="Y228" s="28">
        <v>41818</v>
      </c>
      <c r="Z228" s="28" t="str">
        <f>TRIM(A228)</f>
        <v>ES-2014-EB13975139-41818</v>
      </c>
      <c r="AA228">
        <f t="shared" si="12"/>
        <v>2014</v>
      </c>
      <c r="AB228">
        <f t="shared" si="13"/>
        <v>6</v>
      </c>
      <c r="AC228">
        <f t="shared" si="14"/>
        <v>7</v>
      </c>
      <c r="AD228">
        <f t="shared" si="15"/>
        <v>6</v>
      </c>
      <c r="AE228" s="62">
        <f>IF(I228="missing", IFERROR(INDEX([1]lookup!$I:$I, MATCH($A228, [1]lookup!$B:$B, 0)), 0), I228)</f>
        <v>1954.44</v>
      </c>
    </row>
    <row r="229" spans="1:31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2684</v>
      </c>
      <c r="O229" s="13" t="str">
        <f>PROPER(D229)</f>
        <v>Art Ferguson</v>
      </c>
      <c r="P229" s="13" t="str">
        <f>LEFT(A229,2)</f>
        <v>MX</v>
      </c>
      <c r="Q229" s="13" t="str">
        <f>MID(A229,4,4)</f>
        <v>2013</v>
      </c>
      <c r="R229" s="13" t="str">
        <f>UPPER(M229)</f>
        <v>CRITICAL</v>
      </c>
      <c r="S229" s="13" t="str">
        <f>LOWER(G229)</f>
        <v>technology</v>
      </c>
      <c r="T229" s="21" t="str">
        <f>RIGHT(A229,5)</f>
        <v>41418</v>
      </c>
      <c r="U229" s="27" t="s">
        <v>2917</v>
      </c>
      <c r="V229" s="19" t="s">
        <v>2718</v>
      </c>
      <c r="W229" s="30">
        <v>2013</v>
      </c>
      <c r="X229" t="s">
        <v>2917</v>
      </c>
      <c r="Y229" s="28">
        <v>41418</v>
      </c>
      <c r="Z229" s="28" t="str">
        <f>TRIM(A229)</f>
        <v>MX-2013-AF1087018-41418</v>
      </c>
      <c r="AA229">
        <f t="shared" si="12"/>
        <v>2013</v>
      </c>
      <c r="AB229">
        <f t="shared" si="13"/>
        <v>5</v>
      </c>
      <c r="AC229">
        <f t="shared" si="14"/>
        <v>6</v>
      </c>
      <c r="AD229">
        <f t="shared" si="15"/>
        <v>2</v>
      </c>
      <c r="AE229" s="62">
        <f>IF(I229="missing", IFERROR(INDEX([1]lookup!$I:$I, MATCH($A229, [1]lookup!$B:$B, 0)), 0), I229)</f>
        <v>856.92</v>
      </c>
    </row>
    <row r="230" spans="1:31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2684</v>
      </c>
      <c r="O230" s="8" t="str">
        <f>PROPER(D230)</f>
        <v>Craig Carroll</v>
      </c>
      <c r="P230" s="8" t="str">
        <f>LEFT(A230,2)</f>
        <v>IN</v>
      </c>
      <c r="Q230" s="8" t="str">
        <f>MID(A230,4,4)</f>
        <v>2013</v>
      </c>
      <c r="R230" s="8" t="str">
        <f>UPPER(M230)</f>
        <v>HIGH</v>
      </c>
      <c r="S230" s="8" t="str">
        <f>LOWER(G230)</f>
        <v>technology</v>
      </c>
      <c r="T230" s="18" t="str">
        <f>RIGHT(A230,5)</f>
        <v>41619</v>
      </c>
      <c r="U230" s="27" t="s">
        <v>2918</v>
      </c>
      <c r="V230" s="16" t="s">
        <v>2686</v>
      </c>
      <c r="W230" s="30">
        <v>2013</v>
      </c>
      <c r="X230" t="s">
        <v>2918</v>
      </c>
      <c r="Y230" s="28">
        <v>41619</v>
      </c>
      <c r="Z230" s="28" t="str">
        <f>TRIM(A230)</f>
        <v>IN-2013-CC1268558-41619</v>
      </c>
      <c r="AA230">
        <f t="shared" si="12"/>
        <v>2013</v>
      </c>
      <c r="AB230">
        <f t="shared" si="13"/>
        <v>12</v>
      </c>
      <c r="AC230">
        <f t="shared" si="14"/>
        <v>4</v>
      </c>
      <c r="AD230">
        <f t="shared" si="15"/>
        <v>4</v>
      </c>
      <c r="AE230" s="62">
        <f>IF(I230="missing", IFERROR(INDEX([1]lookup!$I:$I, MATCH($A230, [1]lookup!$B:$B, 0)), 0), I230)</f>
        <v>1302.96</v>
      </c>
    </row>
    <row r="231" spans="1:31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2684</v>
      </c>
      <c r="O231" s="13" t="str">
        <f>PROPER(D231)</f>
        <v>Alan Barnes</v>
      </c>
      <c r="P231" s="13" t="str">
        <f>LEFT(A231,2)</f>
        <v>CA</v>
      </c>
      <c r="Q231" s="13" t="str">
        <f>MID(A231,4,4)</f>
        <v>2015</v>
      </c>
      <c r="R231" s="13" t="str">
        <f>UPPER(M231)</f>
        <v>MEDIUM</v>
      </c>
      <c r="S231" s="13" t="str">
        <f>LOWER(G231)</f>
        <v xml:space="preserve"> office supplies </v>
      </c>
      <c r="T231" s="21" t="str">
        <f>RIGHT(A231,5)</f>
        <v>42344</v>
      </c>
      <c r="U231" s="27" t="s">
        <v>2898</v>
      </c>
      <c r="V231" s="19" t="s">
        <v>2689</v>
      </c>
      <c r="W231" s="30">
        <v>2015</v>
      </c>
      <c r="X231" t="s">
        <v>2898</v>
      </c>
      <c r="Y231" s="28">
        <v>42344</v>
      </c>
      <c r="Z231" s="28" t="str">
        <f>TRIM(A231)</f>
        <v>CA-2015-AB10165140-42344</v>
      </c>
      <c r="AA231">
        <f t="shared" si="12"/>
        <v>2015</v>
      </c>
      <c r="AB231">
        <f t="shared" si="13"/>
        <v>12</v>
      </c>
      <c r="AC231">
        <f t="shared" si="14"/>
        <v>1</v>
      </c>
      <c r="AD231">
        <f t="shared" si="15"/>
        <v>4</v>
      </c>
      <c r="AE231" s="62">
        <f>IF(I231="missing", IFERROR(INDEX([1]lookup!$I:$I, MATCH($A231, [1]lookup!$B:$B, 0)), 0), I231)</f>
        <v>24.815999999999999</v>
      </c>
    </row>
    <row r="232" spans="1:31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2684</v>
      </c>
      <c r="O232" s="8" t="str">
        <f>PROPER(D232)</f>
        <v>Alan Barnes</v>
      </c>
      <c r="P232" s="8" t="str">
        <f>LEFT(A232,2)</f>
        <v>CA</v>
      </c>
      <c r="Q232" s="8" t="str">
        <f>MID(A232,4,4)</f>
        <v>2013</v>
      </c>
      <c r="R232" s="8" t="str">
        <f>UPPER(M232)</f>
        <v>MEDIUM</v>
      </c>
      <c r="S232" s="8" t="str">
        <f>LOWER(G232)</f>
        <v>office supplies</v>
      </c>
      <c r="T232" s="18" t="str">
        <f>RIGHT(A232,5)</f>
        <v>41450</v>
      </c>
      <c r="U232" s="27" t="s">
        <v>2898</v>
      </c>
      <c r="V232" s="16" t="s">
        <v>2689</v>
      </c>
      <c r="W232" s="30">
        <v>2013</v>
      </c>
      <c r="X232" t="s">
        <v>2898</v>
      </c>
      <c r="Y232" s="28">
        <v>41450</v>
      </c>
      <c r="Z232" s="28" t="str">
        <f>TRIM(A232)</f>
        <v>CA-2013-AB10165140-41450</v>
      </c>
      <c r="AA232">
        <f t="shared" si="12"/>
        <v>2013</v>
      </c>
      <c r="AB232">
        <f t="shared" si="13"/>
        <v>6</v>
      </c>
      <c r="AC232">
        <f t="shared" si="14"/>
        <v>3</v>
      </c>
      <c r="AD232">
        <f t="shared" si="15"/>
        <v>6</v>
      </c>
      <c r="AE232" s="62">
        <f>IF(I232="missing", IFERROR(INDEX([1]lookup!$I:$I, MATCH($A232, [1]lookup!$B:$B, 0)), 0), I232)</f>
        <v>20.96</v>
      </c>
    </row>
    <row r="233" spans="1:31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2684</v>
      </c>
      <c r="O233" s="13" t="str">
        <f>PROPER(D233)</f>
        <v>Lena Creighton</v>
      </c>
      <c r="P233" s="13" t="str">
        <f>LEFT(A233,2)</f>
        <v>MX</v>
      </c>
      <c r="Q233" s="13" t="str">
        <f>MID(A233,4,4)</f>
        <v>2015</v>
      </c>
      <c r="R233" s="13" t="str">
        <f>UPPER(M233)</f>
        <v>HIGH</v>
      </c>
      <c r="S233" s="13" t="str">
        <f>LOWER(G233)</f>
        <v>furniture</v>
      </c>
      <c r="T233" s="21" t="str">
        <f>RIGHT(A233,5)</f>
        <v>42329</v>
      </c>
      <c r="U233" s="27" t="s">
        <v>2919</v>
      </c>
      <c r="V233" s="19" t="s">
        <v>2718</v>
      </c>
      <c r="W233" s="30">
        <v>2015</v>
      </c>
      <c r="X233" t="s">
        <v>2919</v>
      </c>
      <c r="Y233" s="28">
        <v>42329</v>
      </c>
      <c r="Z233" s="28" t="str">
        <f>TRIM(A233)</f>
        <v>MX-2015-LC1688582-42329</v>
      </c>
      <c r="AA233">
        <f t="shared" si="12"/>
        <v>2015</v>
      </c>
      <c r="AB233">
        <f t="shared" si="13"/>
        <v>11</v>
      </c>
      <c r="AC233">
        <f t="shared" si="14"/>
        <v>7</v>
      </c>
      <c r="AD233">
        <f t="shared" si="15"/>
        <v>1</v>
      </c>
      <c r="AE233" s="62">
        <f>IF(I233="missing", IFERROR(INDEX([1]lookup!$I:$I, MATCH($A233, [1]lookup!$B:$B, 0)), 0), I233)</f>
        <v>775.53599999999994</v>
      </c>
    </row>
    <row r="234" spans="1:31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2684</v>
      </c>
      <c r="O234" s="8" t="str">
        <f>PROPER(D234)</f>
        <v>Sean Wendt</v>
      </c>
      <c r="P234" s="8" t="str">
        <f>LEFT(A234,2)</f>
        <v>IN</v>
      </c>
      <c r="Q234" s="8" t="str">
        <f>MID(A234,4,4)</f>
        <v>2012</v>
      </c>
      <c r="R234" s="8" t="str">
        <f>UPPER(M234)</f>
        <v>MEDIUM</v>
      </c>
      <c r="S234" s="8" t="str">
        <f>LOWER(G234)</f>
        <v>technology</v>
      </c>
      <c r="T234" s="18" t="str">
        <f>RIGHT(A234,5)</f>
        <v>41067</v>
      </c>
      <c r="U234" s="27" t="s">
        <v>2920</v>
      </c>
      <c r="V234" s="16" t="s">
        <v>2686</v>
      </c>
      <c r="W234" s="30">
        <v>2012</v>
      </c>
      <c r="X234" t="s">
        <v>2920</v>
      </c>
      <c r="Y234" s="28">
        <v>41067</v>
      </c>
      <c r="Z234" s="28" t="str">
        <f>TRIM(A234)</f>
        <v>IN-2012-SW2035059-41067</v>
      </c>
      <c r="AA234">
        <f t="shared" si="12"/>
        <v>0</v>
      </c>
      <c r="AB234">
        <f t="shared" si="13"/>
        <v>0</v>
      </c>
      <c r="AC234">
        <f t="shared" si="14"/>
        <v>0</v>
      </c>
      <c r="AD234">
        <f t="shared" si="15"/>
        <v>0</v>
      </c>
      <c r="AE234" s="62">
        <f>IF(I234="missing", IFERROR(INDEX([1]lookup!$I:$I, MATCH($A234, [1]lookup!$B:$B, 0)), 0), I234)</f>
        <v>2166.8975999999998</v>
      </c>
    </row>
    <row r="235" spans="1:31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2684</v>
      </c>
      <c r="O235" s="13" t="str">
        <f>PROPER(D235)</f>
        <v>Cari Sayre</v>
      </c>
      <c r="P235" s="13" t="str">
        <f>LEFT(A235,2)</f>
        <v>IN</v>
      </c>
      <c r="Q235" s="13" t="str">
        <f>MID(A235,4,4)</f>
        <v>2013</v>
      </c>
      <c r="R235" s="13" t="str">
        <f>UPPER(M235)</f>
        <v>CRITICAL</v>
      </c>
      <c r="S235" s="13" t="str">
        <f>LOWER(G235)</f>
        <v>technology</v>
      </c>
      <c r="T235" s="21" t="str">
        <f>RIGHT(A235,5)</f>
        <v>41517</v>
      </c>
      <c r="U235" s="27" t="s">
        <v>2921</v>
      </c>
      <c r="V235" s="19" t="s">
        <v>2686</v>
      </c>
      <c r="W235" s="30">
        <v>2013</v>
      </c>
      <c r="X235" t="s">
        <v>2921</v>
      </c>
      <c r="Y235" s="28">
        <v>41517</v>
      </c>
      <c r="Z235" s="28" t="str">
        <f>TRIM(A235)</f>
        <v>IN-2013-CS1184527-41517</v>
      </c>
      <c r="AA235">
        <f t="shared" si="12"/>
        <v>2013</v>
      </c>
      <c r="AB235">
        <f t="shared" si="13"/>
        <v>8</v>
      </c>
      <c r="AC235">
        <f t="shared" si="14"/>
        <v>7</v>
      </c>
      <c r="AD235">
        <f t="shared" si="15"/>
        <v>2</v>
      </c>
      <c r="AE235" s="62">
        <f>IF(I235="missing", IFERROR(INDEX([1]lookup!$I:$I, MATCH($A235, [1]lookup!$B:$B, 0)), 0), I235)</f>
        <v>1285.56</v>
      </c>
    </row>
    <row r="236" spans="1:31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2684</v>
      </c>
      <c r="O236" s="8" t="str">
        <f>PROPER(D236)</f>
        <v>Craig Reiter</v>
      </c>
      <c r="P236" s="8" t="str">
        <f>LEFT(A236,2)</f>
        <v>US</v>
      </c>
      <c r="Q236" s="8" t="str">
        <f>MID(A236,4,4)</f>
        <v>2014</v>
      </c>
      <c r="R236" s="8" t="str">
        <f>UPPER(M236)</f>
        <v>CRITICAL</v>
      </c>
      <c r="S236" s="8" t="str">
        <f>LOWER(G236)</f>
        <v>furniture</v>
      </c>
      <c r="T236" s="18" t="str">
        <f>RIGHT(A236,5)</f>
        <v>41993</v>
      </c>
      <c r="U236" s="27" t="s">
        <v>2922</v>
      </c>
      <c r="V236" s="16" t="s">
        <v>2694</v>
      </c>
      <c r="W236" s="30">
        <v>2014</v>
      </c>
      <c r="X236" t="s">
        <v>2922</v>
      </c>
      <c r="Y236" s="28">
        <v>41993</v>
      </c>
      <c r="Z236" s="28" t="str">
        <f>TRIM(A236)</f>
        <v>US-2014-CR1273018-41993</v>
      </c>
      <c r="AA236">
        <f t="shared" si="12"/>
        <v>2014</v>
      </c>
      <c r="AB236">
        <f t="shared" si="13"/>
        <v>12</v>
      </c>
      <c r="AC236">
        <f t="shared" si="14"/>
        <v>7</v>
      </c>
      <c r="AD236">
        <f t="shared" si="15"/>
        <v>2</v>
      </c>
      <c r="AE236" s="62">
        <f>IF(I236="missing", IFERROR(INDEX([1]lookup!$I:$I, MATCH($A236, [1]lookup!$B:$B, 0)), 0), I236)</f>
        <v>740.18399999999997</v>
      </c>
    </row>
    <row r="237" spans="1:31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2684</v>
      </c>
      <c r="O237" s="13" t="str">
        <f>PROPER(D237)</f>
        <v>Steven Ward</v>
      </c>
      <c r="P237" s="13" t="str">
        <f>LEFT(A237,2)</f>
        <v>IN</v>
      </c>
      <c r="Q237" s="13" t="str">
        <f>MID(A237,4,4)</f>
        <v>2013</v>
      </c>
      <c r="R237" s="13" t="str">
        <f>UPPER(M237)</f>
        <v>MEDIUM</v>
      </c>
      <c r="S237" s="13" t="str">
        <f>LOWER(G237)</f>
        <v>technology</v>
      </c>
      <c r="T237" s="21" t="str">
        <f>RIGHT(A237,5)</f>
        <v>41502</v>
      </c>
      <c r="U237" s="27" t="s">
        <v>2923</v>
      </c>
      <c r="V237" s="19" t="s">
        <v>2686</v>
      </c>
      <c r="W237" s="30">
        <v>2013</v>
      </c>
      <c r="X237" t="s">
        <v>2923</v>
      </c>
      <c r="Y237" s="28">
        <v>41502</v>
      </c>
      <c r="Z237" s="28" t="str">
        <f>TRIM(A237)</f>
        <v>IN-2013-SW207557-41502</v>
      </c>
      <c r="AA237">
        <f t="shared" si="12"/>
        <v>2013</v>
      </c>
      <c r="AB237">
        <f t="shared" si="13"/>
        <v>8</v>
      </c>
      <c r="AC237">
        <f t="shared" si="14"/>
        <v>6</v>
      </c>
      <c r="AD237">
        <f t="shared" si="15"/>
        <v>4</v>
      </c>
      <c r="AE237" s="62">
        <f>IF(I237="missing", IFERROR(INDEX([1]lookup!$I:$I, MATCH($A237, [1]lookup!$B:$B, 0)), 0), I237)</f>
        <v>2897.91</v>
      </c>
    </row>
    <row r="238" spans="1:31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2684</v>
      </c>
      <c r="O238" s="8" t="str">
        <f>PROPER(D238)</f>
        <v>Alan Barnes</v>
      </c>
      <c r="P238" s="8" t="str">
        <f>LEFT(A238,2)</f>
        <v>CA</v>
      </c>
      <c r="Q238" s="8" t="str">
        <f>MID(A238,4,4)</f>
        <v>2015</v>
      </c>
      <c r="R238" s="8" t="str">
        <f>UPPER(M238)</f>
        <v>MEDIUM</v>
      </c>
      <c r="S238" s="8" t="str">
        <f>LOWER(G238)</f>
        <v>offcie supplies</v>
      </c>
      <c r="T238" s="18" t="str">
        <f>RIGHT(A238,5)</f>
        <v>42109</v>
      </c>
      <c r="U238" s="27" t="s">
        <v>2898</v>
      </c>
      <c r="V238" s="16" t="s">
        <v>2689</v>
      </c>
      <c r="W238" s="30">
        <v>2015</v>
      </c>
      <c r="X238" t="s">
        <v>2898</v>
      </c>
      <c r="Y238" s="28">
        <v>42109</v>
      </c>
      <c r="Z238" s="28" t="str">
        <f>TRIM(A238)</f>
        <v>CA-2015-AB10165140-42109</v>
      </c>
      <c r="AA238">
        <f t="shared" si="12"/>
        <v>2015</v>
      </c>
      <c r="AB238">
        <f t="shared" si="13"/>
        <v>4</v>
      </c>
      <c r="AC238">
        <f t="shared" si="14"/>
        <v>4</v>
      </c>
      <c r="AD238">
        <f t="shared" si="15"/>
        <v>13152</v>
      </c>
      <c r="AE238" s="62">
        <f>IF(I238="missing", IFERROR(INDEX([1]lookup!$I:$I, MATCH($A238, [1]lookup!$B:$B, 0)), 0), I238)</f>
        <v>13.872</v>
      </c>
    </row>
    <row r="239" spans="1:31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2684</v>
      </c>
      <c r="O239" s="13" t="str">
        <f>PROPER(D239)</f>
        <v>Mark Haberlin</v>
      </c>
      <c r="P239" s="13" t="str">
        <f>LEFT(A239,2)</f>
        <v>CG</v>
      </c>
      <c r="Q239" s="13" t="str">
        <f>MID(A239,4,4)</f>
        <v>2015</v>
      </c>
      <c r="R239" s="13" t="str">
        <f>UPPER(M239)</f>
        <v>LOW</v>
      </c>
      <c r="S239" s="13" t="str">
        <f>LOWER(G239)</f>
        <v>furniture</v>
      </c>
      <c r="T239" s="21" t="str">
        <f>RIGHT(A239,5)</f>
        <v>42218</v>
      </c>
      <c r="U239" s="27" t="s">
        <v>2924</v>
      </c>
      <c r="V239" s="19" t="s">
        <v>2870</v>
      </c>
      <c r="W239" s="30">
        <v>2015</v>
      </c>
      <c r="X239" t="s">
        <v>2924</v>
      </c>
      <c r="Y239" s="28">
        <v>42218</v>
      </c>
      <c r="Z239" s="28" t="str">
        <f>TRIM(A239)</f>
        <v>CG-2015-MH744033-42218</v>
      </c>
      <c r="AA239">
        <f t="shared" si="12"/>
        <v>2015</v>
      </c>
      <c r="AB239">
        <f t="shared" si="13"/>
        <v>8</v>
      </c>
      <c r="AC239">
        <f t="shared" si="14"/>
        <v>1</v>
      </c>
      <c r="AD239">
        <f t="shared" si="15"/>
        <v>6</v>
      </c>
      <c r="AE239" s="62">
        <f>IF(I239="missing", IFERROR(INDEX([1]lookup!$I:$I, MATCH($A239, [1]lookup!$B:$B, 0)), 0), I239)</f>
        <v>1752.6</v>
      </c>
    </row>
    <row r="240" spans="1:31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2684</v>
      </c>
      <c r="O240" s="8" t="str">
        <f>PROPER(D240)</f>
        <v>Michael Chen</v>
      </c>
      <c r="P240" s="8" t="str">
        <f>LEFT(A240,2)</f>
        <v>IN</v>
      </c>
      <c r="Q240" s="8" t="str">
        <f>MID(A240,4,4)</f>
        <v>2014</v>
      </c>
      <c r="R240" s="8" t="str">
        <f>UPPER(M240)</f>
        <v>IHGH</v>
      </c>
      <c r="S240" s="8" t="str">
        <f>LOWER(G240)</f>
        <v>furniture</v>
      </c>
      <c r="T240" s="18" t="str">
        <f>RIGHT(A240,5)</f>
        <v>41971</v>
      </c>
      <c r="U240" s="27" t="s">
        <v>2925</v>
      </c>
      <c r="V240" s="16" t="s">
        <v>2686</v>
      </c>
      <c r="W240" s="30">
        <v>2014</v>
      </c>
      <c r="X240" t="s">
        <v>2925</v>
      </c>
      <c r="Y240" s="28">
        <v>41971</v>
      </c>
      <c r="Z240" s="28" t="str">
        <f>TRIM(A240)</f>
        <v>IN-2014-MC1784558-41971</v>
      </c>
      <c r="AA240">
        <f t="shared" si="12"/>
        <v>2014</v>
      </c>
      <c r="AB240">
        <f t="shared" si="13"/>
        <v>11</v>
      </c>
      <c r="AC240">
        <f t="shared" si="14"/>
        <v>6</v>
      </c>
      <c r="AD240">
        <f t="shared" si="15"/>
        <v>2</v>
      </c>
      <c r="AE240" s="62">
        <f>IF(I240="missing", IFERROR(INDEX([1]lookup!$I:$I, MATCH($A240, [1]lookup!$B:$B, 0)), 0), I240)</f>
        <v>1850.45999999999</v>
      </c>
    </row>
    <row r="241" spans="1:31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2684</v>
      </c>
      <c r="O241" s="13" t="str">
        <f>PROPER(D241)</f>
        <v>Cari Sayre</v>
      </c>
      <c r="P241" s="13" t="str">
        <f>LEFT(A241,2)</f>
        <v>IN</v>
      </c>
      <c r="Q241" s="13" t="str">
        <f>MID(A241,4,4)</f>
        <v>2012</v>
      </c>
      <c r="R241" s="13" t="str">
        <f>UPPER(M241)</f>
        <v>MEDIUM</v>
      </c>
      <c r="S241" s="13" t="str">
        <f>LOWER(G241)</f>
        <v>furniture</v>
      </c>
      <c r="T241" s="21" t="str">
        <f>RIGHT(A241,5)</f>
        <v>41139</v>
      </c>
      <c r="U241" s="27" t="s">
        <v>2921</v>
      </c>
      <c r="V241" s="19" t="s">
        <v>2686</v>
      </c>
      <c r="W241" s="30">
        <v>2012</v>
      </c>
      <c r="X241" t="s">
        <v>2921</v>
      </c>
      <c r="Y241" s="28">
        <v>41139</v>
      </c>
      <c r="Z241" s="28" t="str">
        <f>TRIM(A241)</f>
        <v>IN-2012-CS1184527-41139</v>
      </c>
      <c r="AA241">
        <f t="shared" si="12"/>
        <v>2012</v>
      </c>
      <c r="AB241">
        <f t="shared" si="13"/>
        <v>8</v>
      </c>
      <c r="AC241">
        <f t="shared" si="14"/>
        <v>7</v>
      </c>
      <c r="AD241">
        <f t="shared" si="15"/>
        <v>4</v>
      </c>
      <c r="AE241" s="62">
        <f>IF(I241="missing", IFERROR(INDEX([1]lookup!$I:$I, MATCH($A241, [1]lookup!$B:$B, 0)), 0), I241)</f>
        <v>2337.1499999999901</v>
      </c>
    </row>
    <row r="242" spans="1:31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2684</v>
      </c>
      <c r="O242" s="8" t="str">
        <f>PROPER(D242)</f>
        <v>Pauline Webber</v>
      </c>
      <c r="P242" s="8" t="str">
        <f>LEFT(A242,2)</f>
        <v>ES</v>
      </c>
      <c r="Q242" s="8" t="str">
        <f>MID(A242,4,4)</f>
        <v>2015</v>
      </c>
      <c r="R242" s="8" t="str">
        <f>UPPER(M242)</f>
        <v>MEDIUM</v>
      </c>
      <c r="S242" s="8" t="str">
        <f>LOWER(G242)</f>
        <v>furniture</v>
      </c>
      <c r="T242" s="18" t="str">
        <f>RIGHT(A242,5)</f>
        <v>42076</v>
      </c>
      <c r="U242" s="27" t="s">
        <v>2926</v>
      </c>
      <c r="V242" s="16" t="s">
        <v>2743</v>
      </c>
      <c r="W242" s="30">
        <v>2015</v>
      </c>
      <c r="X242" t="s">
        <v>2926</v>
      </c>
      <c r="Y242" s="28">
        <v>42076</v>
      </c>
      <c r="Z242" s="28" t="str">
        <f>TRIM(A242)</f>
        <v>ES-2015-PW19030139-42076</v>
      </c>
      <c r="AA242">
        <f t="shared" si="12"/>
        <v>2015</v>
      </c>
      <c r="AB242">
        <f t="shared" si="13"/>
        <v>3</v>
      </c>
      <c r="AC242">
        <f t="shared" si="14"/>
        <v>6</v>
      </c>
      <c r="AD242">
        <f t="shared" si="15"/>
        <v>0</v>
      </c>
      <c r="AE242" s="62">
        <f>IF(I242="missing", IFERROR(INDEX([1]lookup!$I:$I, MATCH($A242, [1]lookup!$B:$B, 0)), 0), I242)</f>
        <v>788.4</v>
      </c>
    </row>
    <row r="243" spans="1:31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2684</v>
      </c>
      <c r="O243" s="13" t="str">
        <f>PROPER(D243)</f>
        <v>Alan Dominguez</v>
      </c>
      <c r="P243" s="13" t="str">
        <f>LEFT(A243,2)</f>
        <v>CA</v>
      </c>
      <c r="Q243" s="13" t="str">
        <f>MID(A243,4,4)</f>
        <v>2015</v>
      </c>
      <c r="R243" s="13" t="str">
        <f>UPPER(M243)</f>
        <v>MEDIUM</v>
      </c>
      <c r="S243" s="13" t="str">
        <f>LOWER(G243)</f>
        <v>technology</v>
      </c>
      <c r="T243" s="21" t="str">
        <f>RIGHT(A243,5)</f>
        <v>42027</v>
      </c>
      <c r="U243" s="27" t="s">
        <v>2927</v>
      </c>
      <c r="V243" s="19" t="s">
        <v>2689</v>
      </c>
      <c r="W243" s="30">
        <v>2015</v>
      </c>
      <c r="X243" t="s">
        <v>2927</v>
      </c>
      <c r="Y243" s="28">
        <v>42027</v>
      </c>
      <c r="Z243" s="28" t="str">
        <f>TRIM(A243)</f>
        <v>CA-2015-AD10180140-42027</v>
      </c>
      <c r="AA243">
        <f t="shared" si="12"/>
        <v>2015</v>
      </c>
      <c r="AB243">
        <f t="shared" si="13"/>
        <v>1</v>
      </c>
      <c r="AC243">
        <f t="shared" si="14"/>
        <v>6</v>
      </c>
      <c r="AD243">
        <f t="shared" si="15"/>
        <v>5</v>
      </c>
      <c r="AE243" s="62">
        <f>IF(I243="missing", IFERROR(INDEX([1]lookup!$I:$I, MATCH($A243, [1]lookup!$B:$B, 0)), 0), I243)</f>
        <v>2999.95</v>
      </c>
    </row>
    <row r="244" spans="1:31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2684</v>
      </c>
      <c r="O244" s="8" t="str">
        <f>PROPER(D244)</f>
        <v>Thomas Brumley</v>
      </c>
      <c r="P244" s="8" t="str">
        <f>LEFT(A244,2)</f>
        <v>IN</v>
      </c>
      <c r="Q244" s="8" t="str">
        <f>MID(A244,4,4)</f>
        <v>2013</v>
      </c>
      <c r="R244" s="8" t="str">
        <f>UPPER(M244)</f>
        <v>MEDIUM</v>
      </c>
      <c r="S244" s="8" t="str">
        <f>LOWER(G244)</f>
        <v>technology</v>
      </c>
      <c r="T244" s="18" t="str">
        <f>RIGHT(A244,5)</f>
        <v>41552</v>
      </c>
      <c r="U244" s="27" t="s">
        <v>2928</v>
      </c>
      <c r="V244" s="16" t="s">
        <v>2686</v>
      </c>
      <c r="W244" s="30">
        <v>2013</v>
      </c>
      <c r="X244" t="s">
        <v>2928</v>
      </c>
      <c r="Y244" s="28">
        <v>41552</v>
      </c>
      <c r="Z244" s="28" t="str">
        <f>TRIM(A244)</f>
        <v>IN-2013-TB2119058-41552</v>
      </c>
      <c r="AA244">
        <f t="shared" si="12"/>
        <v>2013</v>
      </c>
      <c r="AB244">
        <f t="shared" si="13"/>
        <v>10</v>
      </c>
      <c r="AC244">
        <f t="shared" si="14"/>
        <v>7</v>
      </c>
      <c r="AD244">
        <f t="shared" si="15"/>
        <v>4</v>
      </c>
      <c r="AE244" s="62">
        <f>IF(I244="missing", IFERROR(INDEX([1]lookup!$I:$I, MATCH($A244, [1]lookup!$B:$B, 0)), 0), I244)</f>
        <v>2544.6</v>
      </c>
    </row>
    <row r="245" spans="1:31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2684</v>
      </c>
      <c r="O245" s="13" t="str">
        <f>PROPER(D245)</f>
        <v>Karen Daniels</v>
      </c>
      <c r="P245" s="13" t="str">
        <f>LEFT(A245,2)</f>
        <v>ID</v>
      </c>
      <c r="Q245" s="13" t="str">
        <f>MID(A245,4,4)</f>
        <v>2015</v>
      </c>
      <c r="R245" s="13" t="str">
        <f>UPPER(M245)</f>
        <v>HIGH</v>
      </c>
      <c r="S245" s="13" t="str">
        <f>LOWER(G245)</f>
        <v>technology</v>
      </c>
      <c r="T245" s="21" t="str">
        <f>RIGHT(A245,5)</f>
        <v>42306</v>
      </c>
      <c r="U245" s="27" t="s">
        <v>2929</v>
      </c>
      <c r="V245" s="19" t="s">
        <v>2738</v>
      </c>
      <c r="W245" s="30">
        <v>2015</v>
      </c>
      <c r="X245" t="s">
        <v>2929</v>
      </c>
      <c r="Y245" s="28">
        <v>42306</v>
      </c>
      <c r="Z245" s="28" t="str">
        <f>TRIM(A245)</f>
        <v>ID-2015-KD1627059-42306</v>
      </c>
      <c r="AA245">
        <f t="shared" si="12"/>
        <v>2015</v>
      </c>
      <c r="AB245">
        <f t="shared" si="13"/>
        <v>10</v>
      </c>
      <c r="AC245">
        <f t="shared" si="14"/>
        <v>5</v>
      </c>
      <c r="AD245">
        <f t="shared" si="15"/>
        <v>2</v>
      </c>
      <c r="AE245" s="62">
        <f>IF(I245="missing", IFERROR(INDEX([1]lookup!$I:$I, MATCH($A245, [1]lookup!$B:$B, 0)), 0), I245)</f>
        <v>886.14120000000003</v>
      </c>
    </row>
    <row r="246" spans="1:31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2684</v>
      </c>
      <c r="O246" s="8" t="str">
        <f>PROPER(D246)</f>
        <v>Aaron Hawkins</v>
      </c>
      <c r="P246" s="8" t="str">
        <f>LEFT(A246,2)</f>
        <v>MX</v>
      </c>
      <c r="Q246" s="8" t="str">
        <f>MID(A246,4,4)</f>
        <v>2012</v>
      </c>
      <c r="R246" s="8" t="str">
        <f>UPPER(M246)</f>
        <v>HIGH</v>
      </c>
      <c r="S246" s="8" t="str">
        <f>LOWER(G246)</f>
        <v>furniture</v>
      </c>
      <c r="T246" s="18" t="str">
        <f>RIGHT(A246,5)</f>
        <v>41251</v>
      </c>
      <c r="U246" s="27" t="s">
        <v>2930</v>
      </c>
      <c r="V246" s="16" t="s">
        <v>2718</v>
      </c>
      <c r="W246" s="30">
        <v>2012</v>
      </c>
      <c r="X246" t="s">
        <v>2930</v>
      </c>
      <c r="Y246" s="28">
        <v>41251</v>
      </c>
      <c r="Z246" s="28" t="str">
        <f>TRIM(A246)</f>
        <v>MX-2012-AH1003082-41251</v>
      </c>
      <c r="AA246">
        <f t="shared" si="12"/>
        <v>2012</v>
      </c>
      <c r="AB246">
        <f t="shared" si="13"/>
        <v>12</v>
      </c>
      <c r="AC246">
        <f t="shared" si="14"/>
        <v>7</v>
      </c>
      <c r="AD246">
        <f t="shared" si="15"/>
        <v>1</v>
      </c>
      <c r="AE246" s="62">
        <f>IF(I246="missing", IFERROR(INDEX([1]lookup!$I:$I, MATCH($A246, [1]lookup!$B:$B, 0)), 0), I246)</f>
        <v>780.60799999999995</v>
      </c>
    </row>
    <row r="247" spans="1:31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2684</v>
      </c>
      <c r="O247" s="13" t="str">
        <f>PROPER(D247)</f>
        <v>Victoria Pisteka</v>
      </c>
      <c r="P247" s="13" t="str">
        <f>LEFT(A247,2)</f>
        <v>ES</v>
      </c>
      <c r="Q247" s="13" t="str">
        <f>MID(A247,4,4)</f>
        <v>2014</v>
      </c>
      <c r="R247" s="13" t="str">
        <f>UPPER(M247)</f>
        <v>HIGH</v>
      </c>
      <c r="S247" s="13" t="str">
        <f>LOWER(G247)</f>
        <v>office supplies</v>
      </c>
      <c r="T247" s="21" t="str">
        <f>RIGHT(A247,5)</f>
        <v>41990</v>
      </c>
      <c r="U247" s="27" t="s">
        <v>2931</v>
      </c>
      <c r="V247" s="19" t="s">
        <v>2743</v>
      </c>
      <c r="W247" s="30">
        <v>2014</v>
      </c>
      <c r="X247" t="s">
        <v>2931</v>
      </c>
      <c r="Y247" s="28">
        <v>41990</v>
      </c>
      <c r="Z247" s="28" t="str">
        <f>TRIM(A247)</f>
        <v>ES-2014-VP21760120-41990</v>
      </c>
      <c r="AA247">
        <f t="shared" si="12"/>
        <v>2014</v>
      </c>
      <c r="AB247">
        <f t="shared" si="13"/>
        <v>12</v>
      </c>
      <c r="AC247">
        <f t="shared" si="14"/>
        <v>4</v>
      </c>
      <c r="AD247">
        <f t="shared" si="15"/>
        <v>0</v>
      </c>
      <c r="AE247" s="62">
        <f>IF(I247="missing", IFERROR(INDEX([1]lookup!$I:$I, MATCH($A247, [1]lookup!$B:$B, 0)), 0), I247)</f>
        <v>2711.7</v>
      </c>
    </row>
    <row r="248" spans="1:31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2684</v>
      </c>
      <c r="O248" s="8" t="str">
        <f>PROPER(D248)</f>
        <v>Lena Radford</v>
      </c>
      <c r="P248" s="8" t="str">
        <f>LEFT(A248,2)</f>
        <v>IN</v>
      </c>
      <c r="Q248" s="8" t="str">
        <f>MID(A248,4,4)</f>
        <v>2014</v>
      </c>
      <c r="R248" s="8" t="str">
        <f>UPPER(M248)</f>
        <v>HIGH</v>
      </c>
      <c r="S248" s="8" t="str">
        <f>LOWER(G248)</f>
        <v>technology</v>
      </c>
      <c r="T248" s="18" t="str">
        <f>RIGHT(A248,5)</f>
        <v>41899</v>
      </c>
      <c r="U248" s="27" t="s">
        <v>2932</v>
      </c>
      <c r="V248" s="16" t="s">
        <v>2686</v>
      </c>
      <c r="W248" s="30">
        <v>2014</v>
      </c>
      <c r="X248" t="s">
        <v>2932</v>
      </c>
      <c r="Y248" s="28">
        <v>41899</v>
      </c>
      <c r="Z248" s="28" t="str">
        <f>TRIM(A248)</f>
        <v>IN-2014-LR1691558-41899</v>
      </c>
      <c r="AA248">
        <f t="shared" si="12"/>
        <v>2014</v>
      </c>
      <c r="AB248">
        <f t="shared" si="13"/>
        <v>9</v>
      </c>
      <c r="AC248">
        <f t="shared" si="14"/>
        <v>4</v>
      </c>
      <c r="AD248">
        <f t="shared" si="15"/>
        <v>3</v>
      </c>
      <c r="AE248" s="62">
        <f>IF(I248="missing", IFERROR(INDEX([1]lookup!$I:$I, MATCH($A248, [1]lookup!$B:$B, 0)), 0), I248)</f>
        <v>1908.45</v>
      </c>
    </row>
    <row r="249" spans="1:31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2684</v>
      </c>
      <c r="O249" s="13" t="str">
        <f>PROPER(D249)</f>
        <v>Harold Dahlen</v>
      </c>
      <c r="P249" s="13" t="str">
        <f>LEFT(A249,2)</f>
        <v>IN</v>
      </c>
      <c r="Q249" s="13" t="str">
        <f>MID(A249,4,4)</f>
        <v>2014</v>
      </c>
      <c r="R249" s="13" t="str">
        <f>UPPER(M249)</f>
        <v>CRITICAL</v>
      </c>
      <c r="S249" s="13" t="str">
        <f>LOWER(G249)</f>
        <v>technology</v>
      </c>
      <c r="T249" s="21" t="str">
        <f>RIGHT(A249,5)</f>
        <v>41923</v>
      </c>
      <c r="U249" s="27" t="s">
        <v>2933</v>
      </c>
      <c r="V249" s="19" t="s">
        <v>2686</v>
      </c>
      <c r="W249" s="30">
        <v>2014</v>
      </c>
      <c r="X249" t="s">
        <v>2933</v>
      </c>
      <c r="Y249" s="28">
        <v>41923</v>
      </c>
      <c r="Z249" s="28" t="str">
        <f>TRIM(A249)</f>
        <v>IN-2014-HD1478527-41923</v>
      </c>
      <c r="AA249">
        <f t="shared" si="12"/>
        <v>2014</v>
      </c>
      <c r="AB249">
        <f t="shared" si="13"/>
        <v>10</v>
      </c>
      <c r="AC249">
        <f t="shared" si="14"/>
        <v>7</v>
      </c>
      <c r="AD249">
        <f t="shared" si="15"/>
        <v>3</v>
      </c>
      <c r="AE249" s="62">
        <f>IF(I249="missing", IFERROR(INDEX([1]lookup!$I:$I, MATCH($A249, [1]lookup!$B:$B, 0)), 0), I249)</f>
        <v>924.66</v>
      </c>
    </row>
    <row r="250" spans="1:31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2684</v>
      </c>
      <c r="O250" s="8" t="str">
        <f>PROPER(D250)</f>
        <v>Theone Pippenger</v>
      </c>
      <c r="P250" s="8" t="str">
        <f>LEFT(A250,2)</f>
        <v>ID</v>
      </c>
      <c r="Q250" s="8" t="str">
        <f>MID(A250,4,4)</f>
        <v>2013</v>
      </c>
      <c r="R250" s="8" t="str">
        <f>UPPER(M250)</f>
        <v>HIGH</v>
      </c>
      <c r="S250" s="8" t="str">
        <f>LOWER(G250)</f>
        <v>furniture</v>
      </c>
      <c r="T250" s="18" t="str">
        <f>RIGHT(A250,5)</f>
        <v>41389</v>
      </c>
      <c r="U250" s="27" t="s">
        <v>2934</v>
      </c>
      <c r="V250" s="16" t="s">
        <v>2738</v>
      </c>
      <c r="W250" s="30">
        <v>2013</v>
      </c>
      <c r="X250" t="s">
        <v>2934</v>
      </c>
      <c r="Y250" s="28">
        <v>41389</v>
      </c>
      <c r="Z250" s="28" t="str">
        <f>TRIM(A250)</f>
        <v>ID-2013-TP2113027-41389</v>
      </c>
      <c r="AA250">
        <f t="shared" si="12"/>
        <v>2013</v>
      </c>
      <c r="AB250">
        <f t="shared" si="13"/>
        <v>4</v>
      </c>
      <c r="AC250">
        <f t="shared" si="14"/>
        <v>5</v>
      </c>
      <c r="AD250">
        <f t="shared" si="15"/>
        <v>2</v>
      </c>
      <c r="AE250" s="62">
        <f>IF(I250="missing", IFERROR(INDEX([1]lookup!$I:$I, MATCH($A250, [1]lookup!$B:$B, 0)), 0), I250)</f>
        <v>1760.43</v>
      </c>
    </row>
    <row r="251" spans="1:31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2684</v>
      </c>
      <c r="O251" s="13" t="str">
        <f>PROPER(D251)</f>
        <v>Janet Lee</v>
      </c>
      <c r="P251" s="13" t="str">
        <f>LEFT(A251,2)</f>
        <v>MX</v>
      </c>
      <c r="Q251" s="13" t="str">
        <f>MID(A251,4,4)</f>
        <v>2013</v>
      </c>
      <c r="R251" s="13" t="str">
        <f>UPPER(M251)</f>
        <v>HIGH</v>
      </c>
      <c r="S251" s="13" t="str">
        <f>LOWER(G251)</f>
        <v>office supplies</v>
      </c>
      <c r="T251" s="21" t="str">
        <f>RIGHT(A251,5)</f>
        <v>41606</v>
      </c>
      <c r="U251" s="27" t="s">
        <v>2935</v>
      </c>
      <c r="V251" s="19" t="s">
        <v>2718</v>
      </c>
      <c r="W251" s="30">
        <v>2013</v>
      </c>
      <c r="X251" t="s">
        <v>2935</v>
      </c>
      <c r="Y251" s="28">
        <v>41606</v>
      </c>
      <c r="Z251" s="28" t="str">
        <f>TRIM(A251)</f>
        <v>MX-2013-JL1523536-41606</v>
      </c>
      <c r="AA251">
        <f t="shared" si="12"/>
        <v>2013</v>
      </c>
      <c r="AB251">
        <f t="shared" si="13"/>
        <v>11</v>
      </c>
      <c r="AC251">
        <f t="shared" si="14"/>
        <v>5</v>
      </c>
      <c r="AD251">
        <f t="shared" si="15"/>
        <v>5</v>
      </c>
      <c r="AE251" s="62">
        <f>IF(I251="missing", IFERROR(INDEX([1]lookup!$I:$I, MATCH($A251, [1]lookup!$B:$B, 0)), 0), I251)</f>
        <v>1510.96</v>
      </c>
    </row>
    <row r="252" spans="1:31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2684</v>
      </c>
      <c r="O252" s="8" t="str">
        <f>PROPER(D252)</f>
        <v>Ralph Kennedy</v>
      </c>
      <c r="P252" s="8" t="str">
        <f>LEFT(A252,2)</f>
        <v>MX</v>
      </c>
      <c r="Q252" s="8" t="str">
        <f>MID(A252,4,4)</f>
        <v>2015</v>
      </c>
      <c r="R252" s="8" t="str">
        <f>UPPER(M252)</f>
        <v>MEDIUM</v>
      </c>
      <c r="S252" s="8" t="str">
        <f>LOWER(G252)</f>
        <v>furniture</v>
      </c>
      <c r="T252" s="18" t="str">
        <f>RIGHT(A252,5)</f>
        <v>42181</v>
      </c>
      <c r="U252" s="27" t="s">
        <v>2936</v>
      </c>
      <c r="V252" s="16" t="s">
        <v>2718</v>
      </c>
      <c r="W252" s="30">
        <v>2015</v>
      </c>
      <c r="X252" t="s">
        <v>2936</v>
      </c>
      <c r="Y252" s="28">
        <v>42181</v>
      </c>
      <c r="Z252" s="28" t="str">
        <f>TRIM(A252)</f>
        <v>MX-2015-RK1930018-42181</v>
      </c>
      <c r="AA252">
        <f t="shared" si="12"/>
        <v>2015</v>
      </c>
      <c r="AB252">
        <f t="shared" si="13"/>
        <v>6</v>
      </c>
      <c r="AC252">
        <f t="shared" si="14"/>
        <v>6</v>
      </c>
      <c r="AD252">
        <f t="shared" si="15"/>
        <v>2</v>
      </c>
      <c r="AE252" s="62">
        <f>IF(I252="missing", IFERROR(INDEX([1]lookup!$I:$I, MATCH($A252, [1]lookup!$B:$B, 0)), 0), I252)</f>
        <v>1938.23999999999</v>
      </c>
    </row>
    <row r="253" spans="1:31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2684</v>
      </c>
      <c r="O253" s="13" t="str">
        <f>PROPER(D253)</f>
        <v>Craig Carreira</v>
      </c>
      <c r="P253" s="13" t="str">
        <f>LEFT(A253,2)</f>
        <v>ES</v>
      </c>
      <c r="Q253" s="13" t="str">
        <f>MID(A253,4,4)</f>
        <v>2013</v>
      </c>
      <c r="R253" s="13" t="str">
        <f>UPPER(M253)</f>
        <v>HIGH</v>
      </c>
      <c r="S253" s="13" t="str">
        <f>LOWER(G253)</f>
        <v>technology</v>
      </c>
      <c r="T253" s="21" t="str">
        <f>RIGHT(A253,5)</f>
        <v>41534</v>
      </c>
      <c r="U253" s="27" t="s">
        <v>2937</v>
      </c>
      <c r="V253" s="19" t="s">
        <v>2743</v>
      </c>
      <c r="W253" s="30">
        <v>2013</v>
      </c>
      <c r="X253" t="s">
        <v>2937</v>
      </c>
      <c r="Y253" s="28">
        <v>41534</v>
      </c>
      <c r="Z253" s="28" t="str">
        <f>TRIM(A253)</f>
        <v>ES-2013-CC1267064-41534</v>
      </c>
      <c r="AA253">
        <f t="shared" si="12"/>
        <v>2013</v>
      </c>
      <c r="AB253">
        <f t="shared" si="13"/>
        <v>9</v>
      </c>
      <c r="AC253">
        <f t="shared" si="14"/>
        <v>3</v>
      </c>
      <c r="AD253">
        <f t="shared" si="15"/>
        <v>2</v>
      </c>
      <c r="AE253" s="62">
        <f>IF(I253="missing", IFERROR(INDEX([1]lookup!$I:$I, MATCH($A253, [1]lookup!$B:$B, 0)), 0), I253)</f>
        <v>803.52</v>
      </c>
    </row>
    <row r="254" spans="1:31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2684</v>
      </c>
      <c r="O254" s="8" t="str">
        <f>PROPER(D254)</f>
        <v>Alan Dominguez</v>
      </c>
      <c r="P254" s="8" t="str">
        <f>LEFT(A254,2)</f>
        <v xml:space="preserve"> C</v>
      </c>
      <c r="Q254" s="8" t="str">
        <f>MID(A254,4,4)</f>
        <v>-201</v>
      </c>
      <c r="R254" s="8" t="str">
        <f>UPPER(M254)</f>
        <v>MEDIUM</v>
      </c>
      <c r="S254" s="8" t="str">
        <f>LOWER(G254)</f>
        <v>technology</v>
      </c>
      <c r="T254" s="18" t="str">
        <f>RIGHT(A254,5)</f>
        <v xml:space="preserve">2322 </v>
      </c>
      <c r="U254" s="27" t="s">
        <v>2927</v>
      </c>
      <c r="V254" s="16" t="s">
        <v>2938</v>
      </c>
      <c r="W254" s="30">
        <v>2015</v>
      </c>
      <c r="X254" t="s">
        <v>2927</v>
      </c>
      <c r="Y254" s="28">
        <v>42322</v>
      </c>
      <c r="Z254" s="28" t="str">
        <f>TRIM(A254)</f>
        <v>CA-2015-AD10180140-42322</v>
      </c>
      <c r="AA254">
        <f t="shared" si="12"/>
        <v>2015</v>
      </c>
      <c r="AB254">
        <f t="shared" si="13"/>
        <v>11</v>
      </c>
      <c r="AC254">
        <f t="shared" si="14"/>
        <v>7</v>
      </c>
      <c r="AD254">
        <f t="shared" si="15"/>
        <v>5</v>
      </c>
      <c r="AE254" s="62">
        <f>IF(I254="missing", IFERROR(INDEX([1]lookup!$I:$I, MATCH($A254, [1]lookup!$B:$B, 0)), 0), I254)</f>
        <v>163.96</v>
      </c>
    </row>
    <row r="255" spans="1:31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2684</v>
      </c>
      <c r="O255" s="13" t="str">
        <f>PROPER(D255)</f>
        <v>Alan Dominguez</v>
      </c>
      <c r="P255" s="13" t="str">
        <f>LEFT(A255,2)</f>
        <v>CA</v>
      </c>
      <c r="Q255" s="13" t="str">
        <f>MID(A255,4,4)</f>
        <v>2015</v>
      </c>
      <c r="R255" s="13" t="str">
        <f>UPPER(M255)</f>
        <v>MEDIUM</v>
      </c>
      <c r="S255" s="13" t="str">
        <f>LOWER(G255)</f>
        <v>office supplies</v>
      </c>
      <c r="T255" s="21" t="str">
        <f>RIGHT(A255,5)</f>
        <v>42027</v>
      </c>
      <c r="U255" s="27" t="s">
        <v>2927</v>
      </c>
      <c r="V255" s="19" t="s">
        <v>2689</v>
      </c>
      <c r="W255" s="30">
        <v>2015</v>
      </c>
      <c r="X255" t="s">
        <v>2927</v>
      </c>
      <c r="Y255" s="28">
        <v>42027</v>
      </c>
      <c r="Z255" s="28" t="str">
        <f>TRIM(A255)</f>
        <v>CA-2015-AD10180140-42027</v>
      </c>
      <c r="AA255">
        <f t="shared" si="12"/>
        <v>2015</v>
      </c>
      <c r="AB255">
        <f t="shared" si="13"/>
        <v>1</v>
      </c>
      <c r="AC255">
        <f t="shared" si="14"/>
        <v>6</v>
      </c>
      <c r="AD255">
        <f t="shared" si="15"/>
        <v>5</v>
      </c>
      <c r="AE255" s="62">
        <f>IF(I255="missing", IFERROR(INDEX([1]lookup!$I:$I, MATCH($A255, [1]lookup!$B:$B, 0)), 0), I255)</f>
        <v>51.449999999999903</v>
      </c>
    </row>
    <row r="256" spans="1:31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2684</v>
      </c>
      <c r="O256" s="8" t="str">
        <f>PROPER(D256)</f>
        <v>Alan Dominguez</v>
      </c>
      <c r="P256" s="8" t="str">
        <f>LEFT(A256,2)</f>
        <v>CA</v>
      </c>
      <c r="Q256" s="8" t="str">
        <f>MID(A256,4,4)</f>
        <v>2015</v>
      </c>
      <c r="R256" s="8" t="str">
        <f>UPPER(M256)</f>
        <v>MEDIUM</v>
      </c>
      <c r="S256" s="8" t="str">
        <f>LOWER(G256)</f>
        <v>office supplies</v>
      </c>
      <c r="T256" s="18" t="str">
        <f>RIGHT(A256,5)</f>
        <v>42340</v>
      </c>
      <c r="U256" s="27" t="s">
        <v>2927</v>
      </c>
      <c r="V256" s="16" t="s">
        <v>2689</v>
      </c>
      <c r="W256" s="30">
        <v>2015</v>
      </c>
      <c r="X256" t="s">
        <v>2927</v>
      </c>
      <c r="Y256" s="28">
        <v>42340</v>
      </c>
      <c r="Z256" s="28" t="str">
        <f>TRIM(A256)</f>
        <v>CA-2015-AD10180140-42340</v>
      </c>
      <c r="AA256">
        <f t="shared" si="12"/>
        <v>2015</v>
      </c>
      <c r="AB256">
        <f t="shared" si="13"/>
        <v>12</v>
      </c>
      <c r="AC256">
        <f t="shared" si="14"/>
        <v>4</v>
      </c>
      <c r="AD256">
        <f t="shared" si="15"/>
        <v>5</v>
      </c>
      <c r="AE256" s="62">
        <f>IF(I256="missing", IFERROR(INDEX([1]lookup!$I:$I, MATCH($A256, [1]lookup!$B:$B, 0)), 0), I256)</f>
        <v>19.440000000000001</v>
      </c>
    </row>
    <row r="257" spans="1:31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2684</v>
      </c>
      <c r="O257" s="13" t="str">
        <f>PROPER(D257)</f>
        <v>Penelope Sewall</v>
      </c>
      <c r="P257" s="13" t="str">
        <f>LEFT(A257,2)</f>
        <v>MX</v>
      </c>
      <c r="Q257" s="13" t="str">
        <f>MID(A257,4,4)</f>
        <v>2015</v>
      </c>
      <c r="R257" s="13" t="str">
        <f>UPPER(M257)</f>
        <v>HIGH</v>
      </c>
      <c r="S257" s="13" t="str">
        <f>LOWER(G257)</f>
        <v>technology</v>
      </c>
      <c r="T257" s="21" t="str">
        <f>RIGHT(A257,5)</f>
        <v>42335</v>
      </c>
      <c r="U257" s="27" t="s">
        <v>2939</v>
      </c>
      <c r="V257" s="19" t="s">
        <v>2718</v>
      </c>
      <c r="W257" s="30">
        <v>2015</v>
      </c>
      <c r="X257" t="s">
        <v>2939</v>
      </c>
      <c r="Y257" s="28">
        <v>42335</v>
      </c>
      <c r="Z257" s="28" t="str">
        <f>TRIM(A257)</f>
        <v>MX-2015-PS1904518-42335</v>
      </c>
      <c r="AA257">
        <f t="shared" si="12"/>
        <v>2015</v>
      </c>
      <c r="AB257">
        <f t="shared" si="13"/>
        <v>11</v>
      </c>
      <c r="AC257">
        <f t="shared" si="14"/>
        <v>6</v>
      </c>
      <c r="AD257">
        <f t="shared" si="15"/>
        <v>4</v>
      </c>
      <c r="AE257" s="62">
        <f>IF(I257="missing", IFERROR(INDEX([1]lookup!$I:$I, MATCH($A257, [1]lookup!$B:$B, 0)), 0), I257)</f>
        <v>2124.5</v>
      </c>
    </row>
    <row r="258" spans="1:31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2684</v>
      </c>
      <c r="O258" s="8" t="str">
        <f>PROPER(D258)</f>
        <v>Alan Dominguez</v>
      </c>
      <c r="P258" s="8" t="str">
        <f>LEFT(A258,2)</f>
        <v xml:space="preserve"> C</v>
      </c>
      <c r="Q258" s="8" t="str">
        <f>MID(A258,4,4)</f>
        <v>-201</v>
      </c>
      <c r="R258" s="8" t="str">
        <f>UPPER(M258)</f>
        <v>MEDIUM</v>
      </c>
      <c r="S258" s="8" t="str">
        <f>LOWER(G258)</f>
        <v>office supplies</v>
      </c>
      <c r="T258" s="18" t="str">
        <f>RIGHT(A258,5)</f>
        <v xml:space="preserve">1231 </v>
      </c>
      <c r="U258" s="27" t="s">
        <v>2927</v>
      </c>
      <c r="V258" s="16" t="s">
        <v>2938</v>
      </c>
      <c r="W258" s="30">
        <v>2012</v>
      </c>
      <c r="X258" t="s">
        <v>2927</v>
      </c>
      <c r="Y258" s="28">
        <v>41231</v>
      </c>
      <c r="Z258" s="28" t="str">
        <f>TRIM(A258)</f>
        <v>CA-2012-AD10180140-41231</v>
      </c>
      <c r="AA258">
        <f t="shared" ref="AA258:AA321" si="16">IFERROR(YEAR(B258), 0)</f>
        <v>2012</v>
      </c>
      <c r="AB258">
        <f t="shared" ref="AB258:AB321" si="17">IFERROR(MONTH(B258), 0)</f>
        <v>11</v>
      </c>
      <c r="AC258">
        <f t="shared" ref="AC258:AC321" si="18">IFERROR(WEEKDAY(B258), 0)</f>
        <v>1</v>
      </c>
      <c r="AD258">
        <f t="shared" ref="AD258:AD321" si="19">IFERROR(C258 - B258, 0)</f>
        <v>3</v>
      </c>
      <c r="AE258" s="62">
        <f>IF(I258="missing", IFERROR(INDEX([1]lookup!$I:$I, MATCH($A258, [1]lookup!$B:$B, 0)), 0), I258)</f>
        <v>5.88</v>
      </c>
    </row>
    <row r="259" spans="1:31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2684</v>
      </c>
      <c r="O259" s="13" t="str">
        <f>PROPER(D259)</f>
        <v>Bill Tyler</v>
      </c>
      <c r="P259" s="13" t="str">
        <f>LEFT(A259,2)</f>
        <v>ES</v>
      </c>
      <c r="Q259" s="13" t="str">
        <f>MID(A259,4,4)</f>
        <v>2013</v>
      </c>
      <c r="R259" s="13" t="str">
        <f>UPPER(M259)</f>
        <v>HIGH</v>
      </c>
      <c r="S259" s="13" t="str">
        <f>LOWER(G259)</f>
        <v>technology</v>
      </c>
      <c r="T259" s="21" t="str">
        <f>RIGHT(A259,5)</f>
        <v>41625</v>
      </c>
      <c r="U259" s="27" t="s">
        <v>2940</v>
      </c>
      <c r="V259" s="19" t="s">
        <v>2743</v>
      </c>
      <c r="W259" s="30">
        <v>2013</v>
      </c>
      <c r="X259" t="s">
        <v>2940</v>
      </c>
      <c r="Y259" s="28">
        <v>41625</v>
      </c>
      <c r="Z259" s="28" t="str">
        <f>TRIM(A259)</f>
        <v>ES-2013-BT11391539-41625</v>
      </c>
      <c r="AA259">
        <f t="shared" si="16"/>
        <v>2013</v>
      </c>
      <c r="AB259">
        <f t="shared" si="17"/>
        <v>12</v>
      </c>
      <c r="AC259">
        <f t="shared" si="18"/>
        <v>3</v>
      </c>
      <c r="AD259">
        <f t="shared" si="19"/>
        <v>4</v>
      </c>
      <c r="AE259" s="62">
        <f>IF(I259="missing", IFERROR(INDEX([1]lookup!$I:$I, MATCH($A259, [1]lookup!$B:$B, 0)), 0), I259)</f>
        <v>1248.8399999999999</v>
      </c>
    </row>
    <row r="260" spans="1:31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2684</v>
      </c>
      <c r="O260" s="8" t="str">
        <f>PROPER(D260)</f>
        <v>Mitch Gastineau</v>
      </c>
      <c r="P260" s="8" t="str">
        <f>LEFT(A260,2)</f>
        <v>MX</v>
      </c>
      <c r="Q260" s="8" t="str">
        <f>MID(A260,4,4)</f>
        <v>2015</v>
      </c>
      <c r="R260" s="8" t="str">
        <f>UPPER(M260)</f>
        <v>HIGH</v>
      </c>
      <c r="S260" s="8" t="str">
        <f>LOWER(G260)</f>
        <v>furniture</v>
      </c>
      <c r="T260" s="18" t="str">
        <f>RIGHT(A260,5)</f>
        <v>42140</v>
      </c>
      <c r="U260" s="27" t="s">
        <v>2941</v>
      </c>
      <c r="V260" s="16" t="s">
        <v>2718</v>
      </c>
      <c r="W260" s="30">
        <v>2015</v>
      </c>
      <c r="X260" t="s">
        <v>2941</v>
      </c>
      <c r="Y260" s="28">
        <v>42140</v>
      </c>
      <c r="Z260" s="28" t="str">
        <f>TRIM(A260)</f>
        <v>MX-2015-MG1820518-42140</v>
      </c>
      <c r="AA260">
        <f t="shared" si="16"/>
        <v>2015</v>
      </c>
      <c r="AB260">
        <f t="shared" si="17"/>
        <v>5</v>
      </c>
      <c r="AC260">
        <f t="shared" si="18"/>
        <v>7</v>
      </c>
      <c r="AD260">
        <f t="shared" si="19"/>
        <v>0</v>
      </c>
      <c r="AE260" s="62">
        <f>IF(I260="missing", IFERROR(INDEX([1]lookup!$I:$I, MATCH($A260, [1]lookup!$B:$B, 0)), 0), I260)</f>
        <v>875.22</v>
      </c>
    </row>
    <row r="261" spans="1:31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2684</v>
      </c>
      <c r="O261" s="13" t="str">
        <f>PROPER(D261)</f>
        <v>Alan Dominguez</v>
      </c>
      <c r="P261" s="13" t="str">
        <f>LEFT(A261,2)</f>
        <v>CA</v>
      </c>
      <c r="Q261" s="13" t="str">
        <f>MID(A261,4,4)</f>
        <v>2013</v>
      </c>
      <c r="R261" s="13" t="str">
        <f>UPPER(M261)</f>
        <v>MEDIUM</v>
      </c>
      <c r="S261" s="13" t="str">
        <f>LOWER(G261)</f>
        <v>office supplies</v>
      </c>
      <c r="T261" s="21" t="str">
        <f>RIGHT(A261,5)</f>
        <v>41459</v>
      </c>
      <c r="U261" s="27" t="s">
        <v>2927</v>
      </c>
      <c r="V261" s="19" t="s">
        <v>2689</v>
      </c>
      <c r="W261" s="30">
        <v>2013</v>
      </c>
      <c r="X261" t="s">
        <v>2927</v>
      </c>
      <c r="Y261" s="28">
        <v>41459</v>
      </c>
      <c r="Z261" s="28" t="str">
        <f>TRIM(A261)</f>
        <v>CA-2013-AD10180140-41459</v>
      </c>
      <c r="AA261">
        <f t="shared" si="16"/>
        <v>2013</v>
      </c>
      <c r="AB261">
        <f t="shared" si="17"/>
        <v>7</v>
      </c>
      <c r="AC261">
        <f t="shared" si="18"/>
        <v>5</v>
      </c>
      <c r="AD261">
        <f t="shared" si="19"/>
        <v>4</v>
      </c>
      <c r="AE261" s="62">
        <f>IF(I261="missing", IFERROR(INDEX([1]lookup!$I:$I, MATCH($A261, [1]lookup!$B:$B, 0)), 0), I261)</f>
        <v>15.48</v>
      </c>
    </row>
    <row r="262" spans="1:31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2684</v>
      </c>
      <c r="O262" s="8" t="str">
        <f>PROPER(D262)</f>
        <v>Natalie Webber</v>
      </c>
      <c r="P262" s="8" t="str">
        <f>LEFT(A262,2)</f>
        <v>MX</v>
      </c>
      <c r="Q262" s="8" t="str">
        <f>MID(A262,4,4)</f>
        <v>2013</v>
      </c>
      <c r="R262" s="8" t="str">
        <f>UPPER(M262)</f>
        <v>CRITIACL</v>
      </c>
      <c r="S262" s="8" t="str">
        <f>LOWER(G262)</f>
        <v>technology</v>
      </c>
      <c r="T262" s="18" t="str">
        <f>RIGHT(A262,5)</f>
        <v>41584</v>
      </c>
      <c r="U262" s="27" t="s">
        <v>2942</v>
      </c>
      <c r="V262" s="16" t="s">
        <v>2718</v>
      </c>
      <c r="W262" s="30">
        <v>2013</v>
      </c>
      <c r="X262" t="s">
        <v>2942</v>
      </c>
      <c r="Y262" s="28">
        <v>41584</v>
      </c>
      <c r="Z262" s="28" t="str">
        <f>TRIM(A262)</f>
        <v>MX-2013-NW1840082-41584</v>
      </c>
      <c r="AA262">
        <f t="shared" si="16"/>
        <v>2013</v>
      </c>
      <c r="AB262">
        <f t="shared" si="17"/>
        <v>11</v>
      </c>
      <c r="AC262">
        <f t="shared" si="18"/>
        <v>4</v>
      </c>
      <c r="AD262">
        <f t="shared" si="19"/>
        <v>2</v>
      </c>
      <c r="AE262" s="62">
        <f>IF(I262="missing", IFERROR(INDEX([1]lookup!$I:$I, MATCH($A262, [1]lookup!$B:$B, 0)), 0), I262)</f>
        <v>1003.34928</v>
      </c>
    </row>
    <row r="263" spans="1:31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2684</v>
      </c>
      <c r="O263" s="13" t="str">
        <f>PROPER(D263)</f>
        <v>Alan Haines</v>
      </c>
      <c r="P263" s="13" t="str">
        <f>LEFT(A263,2)</f>
        <v>CA</v>
      </c>
      <c r="Q263" s="13" t="str">
        <f>MID(A263,4,4)</f>
        <v>2014</v>
      </c>
      <c r="R263" s="13" t="str">
        <f>UPPER(M263)</f>
        <v>MEDIUM</v>
      </c>
      <c r="S263" s="13" t="str">
        <f>LOWER(G263)</f>
        <v>office supplies</v>
      </c>
      <c r="T263" s="21" t="str">
        <f>RIGHT(A263,5)</f>
        <v>41992</v>
      </c>
      <c r="U263" s="27" t="s">
        <v>2943</v>
      </c>
      <c r="V263" s="19" t="s">
        <v>2689</v>
      </c>
      <c r="W263" s="30">
        <v>2014</v>
      </c>
      <c r="X263" t="s">
        <v>2943</v>
      </c>
      <c r="Y263" s="28">
        <v>41992</v>
      </c>
      <c r="Z263" s="28" t="str">
        <f>TRIM(A263)</f>
        <v>CA-2014-AH10195140-41992</v>
      </c>
      <c r="AA263">
        <f t="shared" si="16"/>
        <v>2014</v>
      </c>
      <c r="AB263">
        <f t="shared" si="17"/>
        <v>12</v>
      </c>
      <c r="AC263">
        <f t="shared" si="18"/>
        <v>6</v>
      </c>
      <c r="AD263">
        <f t="shared" si="19"/>
        <v>2</v>
      </c>
      <c r="AE263" s="62">
        <f>IF(I263="missing", IFERROR(INDEX([1]lookup!$I:$I, MATCH($A263, [1]lookup!$B:$B, 0)), 0), I263)</f>
        <v>961.48</v>
      </c>
    </row>
    <row r="264" spans="1:31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2684</v>
      </c>
      <c r="O264" s="8" t="str">
        <f>PROPER(D264)</f>
        <v>Alejandro Grove#</v>
      </c>
      <c r="P264" s="8" t="str">
        <f>LEFT(A264,2)</f>
        <v>EZ</v>
      </c>
      <c r="Q264" s="8" t="str">
        <f>MID(A264,4,4)</f>
        <v>2015</v>
      </c>
      <c r="R264" s="8" t="str">
        <f>UPPER(M264)</f>
        <v>CRITICAL</v>
      </c>
      <c r="S264" s="8" t="str">
        <f>LOWER(G264)</f>
        <v>furniture</v>
      </c>
      <c r="T264" s="18" t="str">
        <f>RIGHT(A264,5)</f>
        <v>42249</v>
      </c>
      <c r="U264" s="27" t="s">
        <v>2944</v>
      </c>
      <c r="V264" s="16" t="s">
        <v>2945</v>
      </c>
      <c r="W264" s="30">
        <v>2015</v>
      </c>
      <c r="X264" t="s">
        <v>2944</v>
      </c>
      <c r="Y264" s="28">
        <v>42249</v>
      </c>
      <c r="Z264" s="28" t="str">
        <f>TRIM(A264)</f>
        <v>EZ-2015-AG27032-42249</v>
      </c>
      <c r="AA264">
        <f t="shared" si="16"/>
        <v>2015</v>
      </c>
      <c r="AB264">
        <f t="shared" si="17"/>
        <v>9</v>
      </c>
      <c r="AC264">
        <f t="shared" si="18"/>
        <v>4</v>
      </c>
      <c r="AD264">
        <f t="shared" si="19"/>
        <v>2</v>
      </c>
      <c r="AE264" s="62">
        <f>IF(I264="missing", IFERROR(INDEX([1]lookup!$I:$I, MATCH($A264, [1]lookup!$B:$B, 0)), 0), I264)</f>
        <v>457.13999999999902</v>
      </c>
    </row>
    <row r="265" spans="1:31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2684</v>
      </c>
      <c r="O265" s="13" t="str">
        <f>PROPER(D265)</f>
        <v>Filia Mcadams</v>
      </c>
      <c r="P265" s="13" t="str">
        <f>LEFT(A265,2)</f>
        <v>IT</v>
      </c>
      <c r="Q265" s="13" t="str">
        <f>MID(A265,4,4)</f>
        <v>2015</v>
      </c>
      <c r="R265" s="13" t="str">
        <f>UPPER(M265)</f>
        <v>HIGH</v>
      </c>
      <c r="S265" s="13" t="str">
        <f>LOWER(G265)</f>
        <v>office supplies</v>
      </c>
      <c r="T265" s="21" t="str">
        <f>RIGHT(A265,5)</f>
        <v>42271</v>
      </c>
      <c r="U265" s="27" t="s">
        <v>2946</v>
      </c>
      <c r="V265" s="19" t="s">
        <v>2710</v>
      </c>
      <c r="W265" s="30">
        <v>2015</v>
      </c>
      <c r="X265" t="s">
        <v>2946</v>
      </c>
      <c r="Y265" s="28">
        <v>42271</v>
      </c>
      <c r="Z265" s="28" t="str">
        <f>TRIM(A265)</f>
        <v>IT-2015-FM1421545-42271</v>
      </c>
      <c r="AA265">
        <f t="shared" si="16"/>
        <v>2015</v>
      </c>
      <c r="AB265">
        <f t="shared" si="17"/>
        <v>9</v>
      </c>
      <c r="AC265">
        <f t="shared" si="18"/>
        <v>5</v>
      </c>
      <c r="AD265">
        <f t="shared" si="19"/>
        <v>2</v>
      </c>
      <c r="AE265" s="62">
        <f>IF(I265="missing", IFERROR(INDEX([1]lookup!$I:$I, MATCH($A265, [1]lookup!$B:$B, 0)), 0), I265)</f>
        <v>1355.13</v>
      </c>
    </row>
    <row r="266" spans="1:31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2684</v>
      </c>
      <c r="O266" s="8" t="str">
        <f>PROPER(D266)</f>
        <v>Alan Haines</v>
      </c>
      <c r="P266" s="8" t="str">
        <f>LEFT(A266,2)</f>
        <v>CA</v>
      </c>
      <c r="Q266" s="8" t="str">
        <f>MID(A266,4,4)</f>
        <v>2014</v>
      </c>
      <c r="R266" s="8" t="str">
        <f>UPPER(M266)</f>
        <v>MEDIUM</v>
      </c>
      <c r="S266" s="8" t="str">
        <f>LOWER(G266)</f>
        <v>office supplies</v>
      </c>
      <c r="T266" s="18" t="str">
        <f>RIGHT(A266,5)</f>
        <v>41992</v>
      </c>
      <c r="U266" s="27" t="s">
        <v>2943</v>
      </c>
      <c r="V266" s="16" t="s">
        <v>2689</v>
      </c>
      <c r="W266" s="30">
        <v>2014</v>
      </c>
      <c r="X266" t="s">
        <v>2943</v>
      </c>
      <c r="Y266" s="28">
        <v>41992</v>
      </c>
      <c r="Z266" s="28" t="str">
        <f>TRIM(A266)</f>
        <v>CA-2014-AH10195140-41992</v>
      </c>
      <c r="AA266">
        <f t="shared" si="16"/>
        <v>2014</v>
      </c>
      <c r="AB266">
        <f t="shared" si="17"/>
        <v>12</v>
      </c>
      <c r="AC266">
        <f t="shared" si="18"/>
        <v>6</v>
      </c>
      <c r="AD266">
        <f t="shared" si="19"/>
        <v>2</v>
      </c>
      <c r="AE266" s="62">
        <f>IF(I266="missing", IFERROR(INDEX([1]lookup!$I:$I, MATCH($A266, [1]lookup!$B:$B, 0)), 0), I266)</f>
        <v>194.52799999999999</v>
      </c>
    </row>
    <row r="267" spans="1:31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2684</v>
      </c>
      <c r="O267" s="13" t="str">
        <f>PROPER(D267)</f>
        <v>Nancy Lomonaco</v>
      </c>
      <c r="P267" s="13" t="str">
        <f>LEFT(A267,2)</f>
        <v>IN</v>
      </c>
      <c r="Q267" s="13" t="str">
        <f>MID(A267,4,4)</f>
        <v>2013</v>
      </c>
      <c r="R267" s="13" t="str">
        <f>UPPER(M267)</f>
        <v>LOW</v>
      </c>
      <c r="S267" s="13" t="str">
        <f>LOWER(G267)</f>
        <v>technology</v>
      </c>
      <c r="T267" s="21" t="str">
        <f>RIGHT(A267,5)</f>
        <v>41586</v>
      </c>
      <c r="U267" s="27" t="s">
        <v>2947</v>
      </c>
      <c r="V267" s="19" t="s">
        <v>2686</v>
      </c>
      <c r="W267" s="30">
        <v>2013</v>
      </c>
      <c r="X267" t="s">
        <v>2947</v>
      </c>
      <c r="Y267" s="28">
        <v>41586</v>
      </c>
      <c r="Z267" s="28" t="str">
        <f>TRIM(A267)</f>
        <v>IN-2013-NL1831027-41586</v>
      </c>
      <c r="AA267">
        <f t="shared" si="16"/>
        <v>0</v>
      </c>
      <c r="AB267">
        <f t="shared" si="17"/>
        <v>0</v>
      </c>
      <c r="AC267">
        <f t="shared" si="18"/>
        <v>0</v>
      </c>
      <c r="AD267">
        <f t="shared" si="19"/>
        <v>0</v>
      </c>
      <c r="AE267" s="62">
        <f>IF(I267="missing", IFERROR(INDEX([1]lookup!$I:$I, MATCH($A267, [1]lookup!$B:$B, 0)), 0), I267)</f>
        <v>2571.12</v>
      </c>
    </row>
    <row r="268" spans="1:31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2684</v>
      </c>
      <c r="O268" s="8" t="str">
        <f>PROPER(D268)</f>
        <v>Alan Haines</v>
      </c>
      <c r="P268" s="8" t="str">
        <f>LEFT(A268,2)</f>
        <v>CA</v>
      </c>
      <c r="Q268" s="8" t="str">
        <f>MID(A268,4,4)</f>
        <v>2013</v>
      </c>
      <c r="R268" s="8" t="str">
        <f>UPPER(M268)</f>
        <v>HIGH</v>
      </c>
      <c r="S268" s="8" t="str">
        <f>LOWER(G268)</f>
        <v>furniture</v>
      </c>
      <c r="T268" s="18" t="str">
        <f>RIGHT(A268,5)</f>
        <v>41338</v>
      </c>
      <c r="U268" s="27" t="s">
        <v>2943</v>
      </c>
      <c r="V268" s="16" t="s">
        <v>2689</v>
      </c>
      <c r="W268" s="30">
        <v>2013</v>
      </c>
      <c r="X268" t="s">
        <v>2943</v>
      </c>
      <c r="Y268" s="28">
        <v>41338</v>
      </c>
      <c r="Z268" s="28" t="str">
        <f>TRIM(A268)</f>
        <v>CA-2013-AH10195140-41338</v>
      </c>
      <c r="AA268">
        <f t="shared" si="16"/>
        <v>2013</v>
      </c>
      <c r="AB268">
        <f t="shared" si="17"/>
        <v>3</v>
      </c>
      <c r="AC268">
        <f t="shared" si="18"/>
        <v>3</v>
      </c>
      <c r="AD268">
        <f t="shared" si="19"/>
        <v>2</v>
      </c>
      <c r="AE268" s="62">
        <f>IF(I268="missing", IFERROR(INDEX([1]lookup!$I:$I, MATCH($A268, [1]lookup!$B:$B, 0)), 0), I268)</f>
        <v>33.567999999999998</v>
      </c>
    </row>
    <row r="269" spans="1:31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2684</v>
      </c>
      <c r="O269" s="13" t="str">
        <f>PROPER(D269)</f>
        <v>Alan Haines</v>
      </c>
      <c r="P269" s="13" t="str">
        <f>LEFT(A269,2)</f>
        <v>CA</v>
      </c>
      <c r="Q269" s="13" t="str">
        <f>MID(A269,4,4)</f>
        <v>2015</v>
      </c>
      <c r="R269" s="13" t="str">
        <f>UPPER(M269)</f>
        <v>CRITICAL</v>
      </c>
      <c r="S269" s="13" t="str">
        <f>LOWER(G269)</f>
        <v>office supplies</v>
      </c>
      <c r="T269" s="21" t="str">
        <f>RIGHT(A269,5)</f>
        <v>42314</v>
      </c>
      <c r="U269" s="27" t="s">
        <v>2943</v>
      </c>
      <c r="V269" s="19" t="s">
        <v>2689</v>
      </c>
      <c r="W269" s="30">
        <v>2015</v>
      </c>
      <c r="X269" t="s">
        <v>2943</v>
      </c>
      <c r="Y269" s="28">
        <v>42314</v>
      </c>
      <c r="Z269" s="28" t="str">
        <f>TRIM(A269)</f>
        <v>CA-2015-AH10195140-42314</v>
      </c>
      <c r="AA269">
        <f t="shared" si="16"/>
        <v>2015</v>
      </c>
      <c r="AB269">
        <f t="shared" si="17"/>
        <v>11</v>
      </c>
      <c r="AC269">
        <f t="shared" si="18"/>
        <v>6</v>
      </c>
      <c r="AD269">
        <f t="shared" si="19"/>
        <v>2</v>
      </c>
      <c r="AE269" s="62">
        <f>IF(I269="missing", IFERROR(INDEX([1]lookup!$I:$I, MATCH($A269, [1]lookup!$B:$B, 0)), 0), I269)</f>
        <v>16.029999999999902</v>
      </c>
    </row>
    <row r="270" spans="1:31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2684</v>
      </c>
      <c r="O270" s="8" t="str">
        <f>PROPER(D270)</f>
        <v>Brian Dahlen</v>
      </c>
      <c r="P270" s="8" t="str">
        <f>LEFT(A270,2)</f>
        <v>ID</v>
      </c>
      <c r="Q270" s="8" t="str">
        <f>MID(A270,4,4)</f>
        <v>2015</v>
      </c>
      <c r="R270" s="8" t="str">
        <f>UPPER(M270)</f>
        <v>HIGH</v>
      </c>
      <c r="S270" s="8" t="str">
        <f>LOWER(G270)</f>
        <v>furniture</v>
      </c>
      <c r="T270" s="18" t="str">
        <f>RIGHT(A270,5)</f>
        <v>42103</v>
      </c>
      <c r="U270" s="27" t="s">
        <v>2948</v>
      </c>
      <c r="V270" s="16" t="s">
        <v>2738</v>
      </c>
      <c r="W270" s="30">
        <v>2015</v>
      </c>
      <c r="X270" t="s">
        <v>2948</v>
      </c>
      <c r="Y270" s="28">
        <v>42103</v>
      </c>
      <c r="Z270" s="28" t="str">
        <f>TRIM(A270)</f>
        <v>ID-2015-BD116057-42103</v>
      </c>
      <c r="AA270">
        <f t="shared" si="16"/>
        <v>2015</v>
      </c>
      <c r="AB270">
        <f t="shared" si="17"/>
        <v>9</v>
      </c>
      <c r="AC270">
        <f t="shared" si="18"/>
        <v>6</v>
      </c>
      <c r="AD270">
        <f t="shared" si="19"/>
        <v>-144</v>
      </c>
      <c r="AE270" s="62">
        <f>IF(I270="missing", IFERROR(INDEX([1]lookup!$I:$I, MATCH($A270, [1]lookup!$B:$B, 0)), 0), I270)</f>
        <v>1656.71999999999</v>
      </c>
    </row>
    <row r="271" spans="1:31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2684</v>
      </c>
      <c r="O271" s="13" t="str">
        <f>PROPER(D271)</f>
        <v>Sonia Cooley</v>
      </c>
      <c r="P271" s="13" t="str">
        <f>LEFT(A271,2)</f>
        <v>US</v>
      </c>
      <c r="Q271" s="13" t="str">
        <f>MID(A271,4,4)</f>
        <v>2015</v>
      </c>
      <c r="R271" s="13" t="str">
        <f>UPPER(M271)</f>
        <v>CRITICAL</v>
      </c>
      <c r="S271" s="13" t="str">
        <f>LOWER(G271)</f>
        <v>furniture</v>
      </c>
      <c r="T271" s="21" t="str">
        <f>RIGHT(A271,5)</f>
        <v>42342</v>
      </c>
      <c r="U271" s="27" t="s">
        <v>2949</v>
      </c>
      <c r="V271" s="19" t="s">
        <v>2694</v>
      </c>
      <c r="W271" s="30">
        <v>2015</v>
      </c>
      <c r="X271" t="s">
        <v>2949</v>
      </c>
      <c r="Y271" s="28">
        <v>42342</v>
      </c>
      <c r="Z271" s="28" t="str">
        <f>TRIM(A271)</f>
        <v>US-2015-SC2057582-42342</v>
      </c>
      <c r="AA271">
        <f t="shared" si="16"/>
        <v>2015</v>
      </c>
      <c r="AB271">
        <f t="shared" si="17"/>
        <v>12</v>
      </c>
      <c r="AC271">
        <f t="shared" si="18"/>
        <v>6</v>
      </c>
      <c r="AD271">
        <f t="shared" si="19"/>
        <v>3</v>
      </c>
      <c r="AE271" s="62">
        <f>IF(I271="missing", IFERROR(INDEX([1]lookup!$I:$I, MATCH($A271, [1]lookup!$B:$B, 0)), 0), I271)</f>
        <v>1410.3999999999901</v>
      </c>
    </row>
    <row r="272" spans="1:31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2684</v>
      </c>
      <c r="O272" s="8" t="str">
        <f>PROPER(D272)</f>
        <v>Alan Hwang</v>
      </c>
      <c r="P272" s="8" t="str">
        <f>LEFT(A272,2)</f>
        <v>CA</v>
      </c>
      <c r="Q272" s="8" t="str">
        <f>MID(A272,4,4)</f>
        <v>2015</v>
      </c>
      <c r="R272" s="8" t="str">
        <f>UPPER(M272)</f>
        <v>MEDIUM</v>
      </c>
      <c r="S272" s="8" t="str">
        <f>LOWER(G272)</f>
        <v>office supplies</v>
      </c>
      <c r="T272" s="18" t="str">
        <f>RIGHT(A272,5)</f>
        <v>42250</v>
      </c>
      <c r="U272" s="27" t="s">
        <v>2950</v>
      </c>
      <c r="V272" s="16" t="s">
        <v>2689</v>
      </c>
      <c r="W272" s="30">
        <v>2015</v>
      </c>
      <c r="X272" t="s">
        <v>2950</v>
      </c>
      <c r="Y272" s="28">
        <v>42250</v>
      </c>
      <c r="Z272" s="28" t="str">
        <f>TRIM(A272)</f>
        <v>CA-2015-AH10210140-42250</v>
      </c>
      <c r="AA272">
        <f t="shared" si="16"/>
        <v>2015</v>
      </c>
      <c r="AB272">
        <f t="shared" si="17"/>
        <v>9</v>
      </c>
      <c r="AC272">
        <f t="shared" si="18"/>
        <v>5</v>
      </c>
      <c r="AD272">
        <f t="shared" si="19"/>
        <v>4</v>
      </c>
      <c r="AE272" s="62">
        <f>IF(I272="missing", IFERROR(INDEX([1]lookup!$I:$I, MATCH($A272, [1]lookup!$B:$B, 0)), 0), I272)</f>
        <v>1577.94</v>
      </c>
    </row>
    <row r="273" spans="1:31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2684</v>
      </c>
      <c r="O273" s="13" t="str">
        <f>PROPER(D273)</f>
        <v>Bill Shonely</v>
      </c>
      <c r="P273" s="13" t="str">
        <f>LEFT(A273,2)</f>
        <v>MX</v>
      </c>
      <c r="Q273" s="13" t="str">
        <f>MID(A273,4,4)</f>
        <v>2015</v>
      </c>
      <c r="R273" s="13" t="str">
        <f>UPPER(M273)</f>
        <v>HIGH</v>
      </c>
      <c r="S273" s="13" t="str">
        <f>LOWER(G273)</f>
        <v>technology</v>
      </c>
      <c r="T273" s="21" t="str">
        <f>RIGHT(A273,5)</f>
        <v>42199</v>
      </c>
      <c r="U273" s="27" t="s">
        <v>2951</v>
      </c>
      <c r="V273" s="19" t="s">
        <v>2718</v>
      </c>
      <c r="W273" s="30">
        <v>2015</v>
      </c>
      <c r="X273" t="s">
        <v>2951</v>
      </c>
      <c r="Y273" s="28">
        <v>42199</v>
      </c>
      <c r="Z273" s="28" t="str">
        <f>TRIM(A273)</f>
        <v>MX-2015-BS1136518-42199</v>
      </c>
      <c r="AA273">
        <f t="shared" si="16"/>
        <v>2015</v>
      </c>
      <c r="AB273">
        <f t="shared" si="17"/>
        <v>7</v>
      </c>
      <c r="AC273">
        <f t="shared" si="18"/>
        <v>3</v>
      </c>
      <c r="AD273">
        <f t="shared" si="19"/>
        <v>2</v>
      </c>
      <c r="AE273" s="62">
        <f>IF(I273="missing", IFERROR(INDEX([1]lookup!$I:$I, MATCH($A273, [1]lookup!$B:$B, 0)), 0), I273)</f>
        <v>997.80039999999894</v>
      </c>
    </row>
    <row r="274" spans="1:31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2684</v>
      </c>
      <c r="O274" s="8" t="str">
        <f>PROPER(D274)</f>
        <v>Kunst Miller</v>
      </c>
      <c r="P274" s="8" t="str">
        <f>LEFT(A274,2)</f>
        <v>IR</v>
      </c>
      <c r="Q274" s="8" t="str">
        <f>MID(A274,4,4)</f>
        <v>2013</v>
      </c>
      <c r="R274" s="8" t="str">
        <f>UPPER(M274)</f>
        <v>HIGH</v>
      </c>
      <c r="S274" s="8" t="str">
        <f>LOWER(G274)</f>
        <v>furniture</v>
      </c>
      <c r="T274" s="18" t="str">
        <f>RIGHT(A274,5)</f>
        <v>41389</v>
      </c>
      <c r="U274" s="27" t="s">
        <v>2952</v>
      </c>
      <c r="V274" s="16" t="s">
        <v>2814</v>
      </c>
      <c r="W274" s="30">
        <v>2013</v>
      </c>
      <c r="X274" t="s">
        <v>2952</v>
      </c>
      <c r="Y274" s="28">
        <v>41389</v>
      </c>
      <c r="Z274" s="28" t="str">
        <f>TRIM(A274)</f>
        <v>IR-2013-KM672060-41389</v>
      </c>
      <c r="AA274">
        <f t="shared" si="16"/>
        <v>2013</v>
      </c>
      <c r="AB274">
        <f t="shared" si="17"/>
        <v>4</v>
      </c>
      <c r="AC274">
        <f t="shared" si="18"/>
        <v>5</v>
      </c>
      <c r="AD274">
        <f t="shared" si="19"/>
        <v>0</v>
      </c>
      <c r="AE274" s="62">
        <f>IF(I274="missing", IFERROR(INDEX([1]lookup!$I:$I, MATCH($A274, [1]lookup!$B:$B, 0)), 0), I274)</f>
        <v>1647</v>
      </c>
    </row>
    <row r="275" spans="1:31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2684</v>
      </c>
      <c r="O275" s="13" t="str">
        <f>PROPER(D275)</f>
        <v>Barbara Fisher</v>
      </c>
      <c r="P275" s="13" t="str">
        <f>LEFT(A275,2)</f>
        <v>IN</v>
      </c>
      <c r="Q275" s="13" t="str">
        <f>MID(A275,4,4)</f>
        <v>2012</v>
      </c>
      <c r="R275" s="13" t="str">
        <f>UPPER(M275)</f>
        <v>MEDIUM</v>
      </c>
      <c r="S275" s="13" t="str">
        <f>LOWER(G275)</f>
        <v>technology</v>
      </c>
      <c r="T275" s="21" t="str">
        <f>RIGHT(A275,5)</f>
        <v>41128</v>
      </c>
      <c r="U275" s="27" t="s">
        <v>2953</v>
      </c>
      <c r="V275" s="19" t="s">
        <v>2686</v>
      </c>
      <c r="W275" s="30">
        <v>2012</v>
      </c>
      <c r="X275" t="s">
        <v>2953</v>
      </c>
      <c r="Y275" s="28">
        <v>41128</v>
      </c>
      <c r="Z275" s="28" t="str">
        <f>TRIM(A275)</f>
        <v>IN-2012-BF1097527-41128</v>
      </c>
      <c r="AA275">
        <f t="shared" si="16"/>
        <v>2012</v>
      </c>
      <c r="AB275">
        <f t="shared" si="17"/>
        <v>8</v>
      </c>
      <c r="AC275">
        <f t="shared" si="18"/>
        <v>3</v>
      </c>
      <c r="AD275">
        <f t="shared" si="19"/>
        <v>0</v>
      </c>
      <c r="AE275" s="62">
        <f>IF(I275="missing", IFERROR(INDEX([1]lookup!$I:$I, MATCH($A275, [1]lookup!$B:$B, 0)), 0), I275)</f>
        <v>1273.56</v>
      </c>
    </row>
    <row r="276" spans="1:31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2684</v>
      </c>
      <c r="O276" s="8" t="str">
        <f>PROPER(D276)</f>
        <v>Michelle Moray</v>
      </c>
      <c r="P276" s="8" t="str">
        <f>LEFT(A276,2)</f>
        <v>ES</v>
      </c>
      <c r="Q276" s="8" t="str">
        <f>MID(A276,4,4)</f>
        <v>2012</v>
      </c>
      <c r="R276" s="8" t="str">
        <f>UPPER(M276)</f>
        <v>MEDIUM</v>
      </c>
      <c r="S276" s="8" t="str">
        <f>LOWER(G276)</f>
        <v>technology</v>
      </c>
      <c r="T276" s="18" t="str">
        <f>RIGHT(A276,5)</f>
        <v>41259</v>
      </c>
      <c r="U276" s="27" t="s">
        <v>2954</v>
      </c>
      <c r="V276" s="16" t="s">
        <v>2743</v>
      </c>
      <c r="W276" s="30">
        <v>2012</v>
      </c>
      <c r="X276" t="s">
        <v>2954</v>
      </c>
      <c r="Y276" s="28">
        <v>41259</v>
      </c>
      <c r="Z276" s="28" t="str">
        <f>TRIM(A276)</f>
        <v>ES-2012-MM1805548-41259</v>
      </c>
      <c r="AA276">
        <f t="shared" si="16"/>
        <v>2012</v>
      </c>
      <c r="AB276">
        <f t="shared" si="17"/>
        <v>12</v>
      </c>
      <c r="AC276">
        <f t="shared" si="18"/>
        <v>1</v>
      </c>
      <c r="AD276">
        <f t="shared" si="19"/>
        <v>4</v>
      </c>
      <c r="AE276" s="62">
        <f>IF(I276="missing", IFERROR(INDEX([1]lookup!$I:$I, MATCH($A276, [1]lookup!$B:$B, 0)), 0), I276)</f>
        <v>1908.18</v>
      </c>
    </row>
    <row r="277" spans="1:31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2684</v>
      </c>
      <c r="O277" s="13" t="str">
        <f>PROPER(D277)</f>
        <v>Nathan Cano</v>
      </c>
      <c r="P277" s="13" t="str">
        <f>LEFT(A277,2)</f>
        <v>UP</v>
      </c>
      <c r="Q277" s="13" t="str">
        <f>MID(A277,4,4)</f>
        <v>2013</v>
      </c>
      <c r="R277" s="13" t="str">
        <f>UPPER(M277)</f>
        <v>CRITICAL</v>
      </c>
      <c r="S277" s="13" t="str">
        <f>LOWER(G277)</f>
        <v xml:space="preserve"> technology </v>
      </c>
      <c r="T277" s="21" t="str">
        <f>RIGHT(A277,5)</f>
        <v>41583</v>
      </c>
      <c r="U277" s="27" t="s">
        <v>2955</v>
      </c>
      <c r="V277" s="19" t="s">
        <v>2795</v>
      </c>
      <c r="W277" s="30">
        <v>2013</v>
      </c>
      <c r="X277" t="s">
        <v>2955</v>
      </c>
      <c r="Y277" s="28">
        <v>41583</v>
      </c>
      <c r="Z277" s="28" t="str">
        <f>TRIM(A277)</f>
        <v>UP-2013-NC8415137-41583</v>
      </c>
      <c r="AA277">
        <f t="shared" si="16"/>
        <v>2013</v>
      </c>
      <c r="AB277">
        <f t="shared" si="17"/>
        <v>11</v>
      </c>
      <c r="AC277">
        <f t="shared" si="18"/>
        <v>3</v>
      </c>
      <c r="AD277">
        <f t="shared" si="19"/>
        <v>3</v>
      </c>
      <c r="AE277" s="62">
        <f>IF(I277="missing", IFERROR(INDEX([1]lookup!$I:$I, MATCH($A277, [1]lookup!$B:$B, 0)), 0), I277)</f>
        <v>680.28</v>
      </c>
    </row>
    <row r="278" spans="1:31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2684</v>
      </c>
      <c r="O278" s="8" t="str">
        <f>PROPER(D278)</f>
        <v>Georgia Rosenberg</v>
      </c>
      <c r="P278" s="8" t="str">
        <f>LEFT(A278,2)</f>
        <v>ES</v>
      </c>
      <c r="Q278" s="8" t="str">
        <f>MID(A278,4,4)</f>
        <v>2013</v>
      </c>
      <c r="R278" s="8" t="str">
        <f>UPPER(M278)</f>
        <v>MEDIUM</v>
      </c>
      <c r="S278" s="8" t="str">
        <f>LOWER(G278)</f>
        <v>technology</v>
      </c>
      <c r="T278" s="18" t="str">
        <f>RIGHT(A278,5)</f>
        <v>41280</v>
      </c>
      <c r="U278" s="27" t="s">
        <v>2956</v>
      </c>
      <c r="V278" s="16" t="s">
        <v>2743</v>
      </c>
      <c r="W278" s="30">
        <v>2013</v>
      </c>
      <c r="X278" t="s">
        <v>2956</v>
      </c>
      <c r="Y278" s="28">
        <v>41280</v>
      </c>
      <c r="Z278" s="28" t="str">
        <f>TRIM(A278)</f>
        <v>ES-2013-GR1456096-41280</v>
      </c>
      <c r="AA278">
        <f t="shared" si="16"/>
        <v>2013</v>
      </c>
      <c r="AB278">
        <f t="shared" si="17"/>
        <v>1</v>
      </c>
      <c r="AC278">
        <f t="shared" si="18"/>
        <v>1</v>
      </c>
      <c r="AD278">
        <f t="shared" si="19"/>
        <v>3</v>
      </c>
      <c r="AE278" s="62">
        <f>IF(I278="missing", IFERROR(INDEX([1]lookup!$I:$I, MATCH($A278, [1]lookup!$B:$B, 0)), 0), I278)</f>
        <v>964.07999999999902</v>
      </c>
    </row>
    <row r="279" spans="1:31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2684</v>
      </c>
      <c r="O279" s="13" t="str">
        <f>PROPER(D279)</f>
        <v>Alan Hwang</v>
      </c>
      <c r="P279" s="13" t="str">
        <f>LEFT(A279,2)</f>
        <v>CA</v>
      </c>
      <c r="Q279" s="13" t="str">
        <f>MID(A279,4,4)</f>
        <v>2015</v>
      </c>
      <c r="R279" s="13" t="str">
        <f>UPPER(M279)</f>
        <v>MEDIUM</v>
      </c>
      <c r="S279" s="13" t="str">
        <f>LOWER(G279)</f>
        <v>office supplies</v>
      </c>
      <c r="T279" s="21" t="str">
        <f>RIGHT(A279,5)</f>
        <v>42072</v>
      </c>
      <c r="U279" s="27" t="s">
        <v>2950</v>
      </c>
      <c r="V279" s="19" t="s">
        <v>2689</v>
      </c>
      <c r="W279" s="30">
        <v>2015</v>
      </c>
      <c r="X279" t="s">
        <v>2950</v>
      </c>
      <c r="Y279" s="28">
        <v>42072</v>
      </c>
      <c r="Z279" s="28" t="str">
        <f>TRIM(A279)</f>
        <v>CA-2015-AH10210140-42072</v>
      </c>
      <c r="AA279">
        <f t="shared" si="16"/>
        <v>2015</v>
      </c>
      <c r="AB279">
        <f t="shared" si="17"/>
        <v>3</v>
      </c>
      <c r="AC279">
        <f t="shared" si="18"/>
        <v>2</v>
      </c>
      <c r="AD279">
        <f t="shared" si="19"/>
        <v>7</v>
      </c>
      <c r="AE279" s="62">
        <f>IF(I279="missing", IFERROR(INDEX([1]lookup!$I:$I, MATCH($A279, [1]lookup!$B:$B, 0)), 0), I279)</f>
        <v>171.2</v>
      </c>
    </row>
    <row r="280" spans="1:31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2684</v>
      </c>
      <c r="O280" s="8" t="str">
        <f>PROPER(D280)</f>
        <v>Alan Hwang</v>
      </c>
      <c r="P280" s="8" t="str">
        <f>LEFT(A280,2)</f>
        <v>CA</v>
      </c>
      <c r="Q280" s="8" t="str">
        <f>MID(A280,4,4)</f>
        <v>2013</v>
      </c>
      <c r="R280" s="8" t="str">
        <f>UPPER(M280)</f>
        <v>MEDIUM</v>
      </c>
      <c r="S280" s="8" t="str">
        <f>LOWER(G280)</f>
        <v>technology</v>
      </c>
      <c r="T280" s="18" t="str">
        <f>RIGHT(A280,5)</f>
        <v>41588</v>
      </c>
      <c r="U280" s="27" t="s">
        <v>2950</v>
      </c>
      <c r="V280" s="16" t="s">
        <v>2689</v>
      </c>
      <c r="W280" s="30">
        <v>2013</v>
      </c>
      <c r="X280" t="s">
        <v>2950</v>
      </c>
      <c r="Y280" s="28">
        <v>41588</v>
      </c>
      <c r="Z280" s="28" t="str">
        <f>TRIM(A280)</f>
        <v>CA-2013-AH10210140-41588</v>
      </c>
      <c r="AA280">
        <f t="shared" si="16"/>
        <v>2013</v>
      </c>
      <c r="AB280">
        <f t="shared" si="17"/>
        <v>11</v>
      </c>
      <c r="AC280">
        <f t="shared" si="18"/>
        <v>1</v>
      </c>
      <c r="AD280">
        <f t="shared" si="19"/>
        <v>5</v>
      </c>
      <c r="AE280" s="62">
        <f>IF(I280="missing", IFERROR(INDEX([1]lookup!$I:$I, MATCH($A280, [1]lookup!$B:$B, 0)), 0), I280)</f>
        <v>79.900000000000006</v>
      </c>
    </row>
    <row r="281" spans="1:31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2684</v>
      </c>
      <c r="O281" s="13" t="str">
        <f>PROPER(D281)</f>
        <v>Andy Yotov</v>
      </c>
      <c r="P281" s="13" t="str">
        <f>LEFT(A281,2)</f>
        <v>ES</v>
      </c>
      <c r="Q281" s="13" t="str">
        <f>MID(A281,4,4)</f>
        <v>2013</v>
      </c>
      <c r="R281" s="13" t="str">
        <f>UPPER(M281)</f>
        <v>MEDIUM</v>
      </c>
      <c r="S281" s="13" t="str">
        <f>LOWER(G281)</f>
        <v>technology</v>
      </c>
      <c r="T281" s="21" t="str">
        <f>RIGHT(A281,5)</f>
        <v>41430</v>
      </c>
      <c r="U281" s="27" t="s">
        <v>2957</v>
      </c>
      <c r="V281" s="19" t="s">
        <v>2743</v>
      </c>
      <c r="W281" s="30">
        <v>2013</v>
      </c>
      <c r="X281" t="s">
        <v>2957</v>
      </c>
      <c r="Y281" s="28">
        <v>41430</v>
      </c>
      <c r="Z281" s="28" t="str">
        <f>TRIM(A281)</f>
        <v>ES-2013-AY10555139-41430</v>
      </c>
      <c r="AA281">
        <f t="shared" si="16"/>
        <v>2013</v>
      </c>
      <c r="AB281">
        <f t="shared" si="17"/>
        <v>6</v>
      </c>
      <c r="AC281">
        <f t="shared" si="18"/>
        <v>4</v>
      </c>
      <c r="AD281">
        <f t="shared" si="19"/>
        <v>6</v>
      </c>
      <c r="AE281" s="62">
        <f>IF(I281="missing", IFERROR(INDEX([1]lookup!$I:$I, MATCH($A281, [1]lookup!$B:$B, 0)), 0), I281)</f>
        <v>1891.5</v>
      </c>
    </row>
    <row r="282" spans="1:31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2684</v>
      </c>
      <c r="O282" s="8" t="str">
        <f>PROPER(D282)</f>
        <v>Christine Phan</v>
      </c>
      <c r="P282" s="8" t="str">
        <f>LEFT(A282,2)</f>
        <v>MX</v>
      </c>
      <c r="Q282" s="8" t="str">
        <f>MID(A282,4,4)</f>
        <v>2014</v>
      </c>
      <c r="R282" s="8" t="str">
        <f>UPPER(M282)</f>
        <v>HIGH</v>
      </c>
      <c r="S282" s="8" t="str">
        <f>LOWER(G282)</f>
        <v>office supplies</v>
      </c>
      <c r="T282" s="18" t="str">
        <f>RIGHT(A282,5)</f>
        <v>41762</v>
      </c>
      <c r="U282" s="27" t="s">
        <v>2958</v>
      </c>
      <c r="V282" s="16" t="s">
        <v>2718</v>
      </c>
      <c r="W282" s="30">
        <v>2014</v>
      </c>
      <c r="X282" t="s">
        <v>2958</v>
      </c>
      <c r="Y282" s="28">
        <v>41762</v>
      </c>
      <c r="Z282" s="28" t="str">
        <f>TRIM(A282)</f>
        <v>MX-2014-CP1234036-41762</v>
      </c>
      <c r="AA282">
        <f t="shared" si="16"/>
        <v>2014</v>
      </c>
      <c r="AB282">
        <f t="shared" si="17"/>
        <v>5</v>
      </c>
      <c r="AC282">
        <f t="shared" si="18"/>
        <v>7</v>
      </c>
      <c r="AD282">
        <f t="shared" si="19"/>
        <v>1</v>
      </c>
      <c r="AE282" s="62">
        <f>IF(I282="missing", IFERROR(INDEX([1]lookup!$I:$I, MATCH($A282, [1]lookup!$B:$B, 0)), 0), I282)</f>
        <v>912.24</v>
      </c>
    </row>
    <row r="283" spans="1:31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2684</v>
      </c>
      <c r="O283" s="13" t="str">
        <f>PROPER(D283)</f>
        <v>Mark Packer</v>
      </c>
      <c r="P283" s="13" t="str">
        <f>LEFT(A283,2)</f>
        <v>MX</v>
      </c>
      <c r="Q283" s="13" t="str">
        <f>MID(A283,4,4)</f>
        <v>2014</v>
      </c>
      <c r="R283" s="13" t="str">
        <f>UPPER(M283)</f>
        <v>HIGH</v>
      </c>
      <c r="S283" s="13" t="str">
        <f>LOWER(G283)</f>
        <v>technology</v>
      </c>
      <c r="T283" s="21" t="str">
        <f>RIGHT(A283,5)</f>
        <v>41914</v>
      </c>
      <c r="U283" s="27" t="s">
        <v>2959</v>
      </c>
      <c r="V283" s="19" t="s">
        <v>2718</v>
      </c>
      <c r="W283" s="30">
        <v>2014</v>
      </c>
      <c r="X283" t="s">
        <v>2959</v>
      </c>
      <c r="Y283" s="28">
        <v>41914</v>
      </c>
      <c r="Z283" s="28" t="str">
        <f>TRIM(A283)</f>
        <v>MX-2014-MP1747093-41914</v>
      </c>
      <c r="AA283">
        <f t="shared" si="16"/>
        <v>2014</v>
      </c>
      <c r="AB283">
        <f t="shared" si="17"/>
        <v>10</v>
      </c>
      <c r="AC283">
        <f t="shared" si="18"/>
        <v>5</v>
      </c>
      <c r="AD283">
        <f t="shared" si="19"/>
        <v>3</v>
      </c>
      <c r="AE283" s="62">
        <f>IF(I283="missing", IFERROR(INDEX([1]lookup!$I:$I, MATCH($A283, [1]lookup!$B:$B, 0)), 0), I283)</f>
        <v>947.22176000000002</v>
      </c>
    </row>
    <row r="284" spans="1:31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2684</v>
      </c>
      <c r="O284" s="8" t="str">
        <f>PROPER(D284)</f>
        <v>Pauline Johnson</v>
      </c>
      <c r="P284" s="8" t="str">
        <f>LEFT(A284,2)</f>
        <v>ES</v>
      </c>
      <c r="Q284" s="8" t="str">
        <f>MID(A284,4,4)</f>
        <v>2012</v>
      </c>
      <c r="R284" s="8" t="str">
        <f>UPPER(M284)</f>
        <v>HIGH</v>
      </c>
      <c r="S284" s="8" t="str">
        <f>LOWER(G284)</f>
        <v>furniture</v>
      </c>
      <c r="T284" s="18" t="str">
        <f>RIGHT(A284,5)</f>
        <v>41257</v>
      </c>
      <c r="U284" s="27" t="s">
        <v>2960</v>
      </c>
      <c r="V284" s="16" t="s">
        <v>2743</v>
      </c>
      <c r="W284" s="30">
        <v>2012</v>
      </c>
      <c r="X284" t="s">
        <v>2960</v>
      </c>
      <c r="Y284" s="28">
        <v>41257</v>
      </c>
      <c r="Z284" s="28" t="str">
        <f>TRIM(A284)</f>
        <v>ES-2012-PJ19015139-41257</v>
      </c>
      <c r="AA284">
        <f t="shared" si="16"/>
        <v>0</v>
      </c>
      <c r="AB284">
        <f t="shared" si="17"/>
        <v>0</v>
      </c>
      <c r="AC284">
        <f t="shared" si="18"/>
        <v>0</v>
      </c>
      <c r="AD284">
        <f t="shared" si="19"/>
        <v>0</v>
      </c>
      <c r="AE284" s="62">
        <f>IF(I284="missing", IFERROR(INDEX([1]lookup!$I:$I, MATCH($A284, [1]lookup!$B:$B, 0)), 0), I284)</f>
        <v>1983.0149999999901</v>
      </c>
    </row>
    <row r="285" spans="1:31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2684</v>
      </c>
      <c r="O285" s="13" t="str">
        <f>PROPER(D285)</f>
        <v>Nathan Cano</v>
      </c>
      <c r="P285" s="13" t="str">
        <f>LEFT(A285,2)</f>
        <v>MX</v>
      </c>
      <c r="Q285" s="13" t="str">
        <f>MID(A285,4,4)</f>
        <v>2013</v>
      </c>
      <c r="R285" s="13" t="str">
        <f>UPPER(M285)</f>
        <v>MEDIUM</v>
      </c>
      <c r="S285" s="13" t="str">
        <f>LOWER(G285)</f>
        <v>technology</v>
      </c>
      <c r="T285" s="21" t="str">
        <f>RIGHT(A285,5)</f>
        <v>41572</v>
      </c>
      <c r="U285" s="27" t="s">
        <v>2961</v>
      </c>
      <c r="V285" s="19" t="s">
        <v>2718</v>
      </c>
      <c r="W285" s="30">
        <v>2013</v>
      </c>
      <c r="X285" t="s">
        <v>2961</v>
      </c>
      <c r="Y285" s="28">
        <v>41572</v>
      </c>
      <c r="Z285" s="28" t="str">
        <f>TRIM(A285)</f>
        <v>MX-2013-NC1841593-41572</v>
      </c>
      <c r="AA285">
        <f t="shared" si="16"/>
        <v>2013</v>
      </c>
      <c r="AB285">
        <f t="shared" si="17"/>
        <v>10</v>
      </c>
      <c r="AC285">
        <f t="shared" si="18"/>
        <v>6</v>
      </c>
      <c r="AD285">
        <f t="shared" si="19"/>
        <v>4</v>
      </c>
      <c r="AE285" s="62">
        <f>IF(I285="missing", IFERROR(INDEX([1]lookup!$I:$I, MATCH($A285, [1]lookup!$B:$B, 0)), 0), I285)</f>
        <v>2146.6</v>
      </c>
    </row>
    <row r="286" spans="1:31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2684</v>
      </c>
      <c r="O286" s="8" t="str">
        <f>PROPER(D286)</f>
        <v>Laurel Workman</v>
      </c>
      <c r="P286" s="8" t="str">
        <f>LEFT(A286,2)</f>
        <v>ES</v>
      </c>
      <c r="Q286" s="8" t="str">
        <f>MID(A286,4,4)</f>
        <v>2015</v>
      </c>
      <c r="R286" s="8" t="str">
        <f>UPPER(M286)</f>
        <v>HIGH</v>
      </c>
      <c r="S286" s="8" t="str">
        <f>LOWER(G286)</f>
        <v>furniture</v>
      </c>
      <c r="T286" s="18" t="str">
        <f>RIGHT(A286,5)</f>
        <v>42258</v>
      </c>
      <c r="U286" s="27" t="s">
        <v>2962</v>
      </c>
      <c r="V286" s="16" t="s">
        <v>2743</v>
      </c>
      <c r="W286" s="30">
        <v>2015</v>
      </c>
      <c r="X286" t="s">
        <v>2962</v>
      </c>
      <c r="Y286" s="28">
        <v>42258</v>
      </c>
      <c r="Z286" s="28" t="str">
        <f>TRIM(A286)</f>
        <v>ES-2015-LW1682545-42258</v>
      </c>
      <c r="AA286">
        <f t="shared" si="16"/>
        <v>2015</v>
      </c>
      <c r="AB286">
        <f t="shared" si="17"/>
        <v>9</v>
      </c>
      <c r="AC286">
        <f t="shared" si="18"/>
        <v>6</v>
      </c>
      <c r="AD286">
        <f t="shared" si="19"/>
        <v>1</v>
      </c>
      <c r="AE286" s="62">
        <f>IF(I286="missing", IFERROR(INDEX([1]lookup!$I:$I, MATCH($A286, [1]lookup!$B:$B, 0)), 0), I286)</f>
        <v>1622.01</v>
      </c>
    </row>
    <row r="287" spans="1:31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2684</v>
      </c>
      <c r="O287" s="13" t="str">
        <f>PROPER(D287)</f>
        <v>Alan Hwang</v>
      </c>
      <c r="P287" s="13" t="str">
        <f>LEFT(A287,2)</f>
        <v>CA</v>
      </c>
      <c r="Q287" s="13" t="str">
        <f>MID(A287,4,4)</f>
        <v>2013</v>
      </c>
      <c r="R287" s="13" t="str">
        <f>UPPER(M287)</f>
        <v>MEDIUM</v>
      </c>
      <c r="S287" s="13" t="str">
        <f>LOWER(G287)</f>
        <v>office supplies</v>
      </c>
      <c r="T287" s="21" t="str">
        <f>RIGHT(A287,5)</f>
        <v>41615</v>
      </c>
      <c r="U287" s="27" t="s">
        <v>2950</v>
      </c>
      <c r="V287" s="19" t="s">
        <v>2689</v>
      </c>
      <c r="W287" s="30">
        <v>2013</v>
      </c>
      <c r="X287" t="s">
        <v>2950</v>
      </c>
      <c r="Y287" s="28">
        <v>41615</v>
      </c>
      <c r="Z287" s="28" t="str">
        <f>TRIM(A287)</f>
        <v>CA-2013-AH10210140-41615</v>
      </c>
      <c r="AA287">
        <f t="shared" si="16"/>
        <v>2013</v>
      </c>
      <c r="AB287">
        <f t="shared" si="17"/>
        <v>12</v>
      </c>
      <c r="AC287">
        <f t="shared" si="18"/>
        <v>7</v>
      </c>
      <c r="AD287">
        <f t="shared" si="19"/>
        <v>2</v>
      </c>
      <c r="AE287" s="62">
        <f>IF(I287="missing", IFERROR(INDEX([1]lookup!$I:$I, MATCH($A287, [1]lookup!$B:$B, 0)), 0), I287)</f>
        <v>21.36</v>
      </c>
    </row>
    <row r="288" spans="1:31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2684</v>
      </c>
      <c r="O288" s="8" t="str">
        <f>PROPER(D288)</f>
        <v>Cari Sayre</v>
      </c>
      <c r="P288" s="8" t="str">
        <f>LEFT(A288,2)</f>
        <v>MX</v>
      </c>
      <c r="Q288" s="8" t="str">
        <f>MID(A288,4,4)</f>
        <v>2012</v>
      </c>
      <c r="R288" s="8" t="str">
        <f>UPPER(M288)</f>
        <v>HIGH</v>
      </c>
      <c r="S288" s="8" t="str">
        <f>LOWER(G288)</f>
        <v>office supplies</v>
      </c>
      <c r="T288" s="18" t="str">
        <f>RIGHT(A288,5)</f>
        <v>41216</v>
      </c>
      <c r="U288" s="27" t="s">
        <v>2963</v>
      </c>
      <c r="V288" s="16" t="s">
        <v>2718</v>
      </c>
      <c r="W288" s="30">
        <v>2012</v>
      </c>
      <c r="X288" t="s">
        <v>2963</v>
      </c>
      <c r="Y288" s="28">
        <v>41216</v>
      </c>
      <c r="Z288" s="28" t="str">
        <f>TRIM(A288)</f>
        <v>MX-2012-CS1184516-41216</v>
      </c>
      <c r="AA288">
        <f t="shared" si="16"/>
        <v>2012</v>
      </c>
      <c r="AB288">
        <f t="shared" si="17"/>
        <v>11</v>
      </c>
      <c r="AC288">
        <f t="shared" si="18"/>
        <v>7</v>
      </c>
      <c r="AD288">
        <f t="shared" si="19"/>
        <v>2</v>
      </c>
      <c r="AE288" s="62">
        <f>IF(I288="missing", IFERROR(INDEX([1]lookup!$I:$I, MATCH($A288, [1]lookup!$B:$B, 0)), 0), I288)</f>
        <v>1401.84</v>
      </c>
    </row>
    <row r="289" spans="1:31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2684</v>
      </c>
      <c r="O289" s="13" t="str">
        <f>PROPER(D289)</f>
        <v>Kimberly Carter</v>
      </c>
      <c r="P289" s="13" t="str">
        <f>LEFT(A289,2)</f>
        <v>IT</v>
      </c>
      <c r="Q289" s="13" t="str">
        <f>MID(A289,4,4)</f>
        <v>2014</v>
      </c>
      <c r="R289" s="13" t="str">
        <f>UPPER(M289)</f>
        <v>CRITICAL</v>
      </c>
      <c r="S289" s="13" t="str">
        <f>LOWER(G289)</f>
        <v>technology</v>
      </c>
      <c r="T289" s="21" t="str">
        <f>RIGHT(A289,5)</f>
        <v>41882</v>
      </c>
      <c r="U289" s="27" t="s">
        <v>2964</v>
      </c>
      <c r="V289" s="19" t="s">
        <v>2710</v>
      </c>
      <c r="W289" s="30">
        <v>2014</v>
      </c>
      <c r="X289" t="s">
        <v>2964</v>
      </c>
      <c r="Y289" s="28">
        <v>41882</v>
      </c>
      <c r="Z289" s="28" t="str">
        <f>TRIM(A289)</f>
        <v>IT-2014-KC1667548-41882</v>
      </c>
      <c r="AA289">
        <f t="shared" si="16"/>
        <v>2014</v>
      </c>
      <c r="AB289">
        <f t="shared" si="17"/>
        <v>8</v>
      </c>
      <c r="AC289">
        <f t="shared" si="18"/>
        <v>1</v>
      </c>
      <c r="AD289">
        <f t="shared" si="19"/>
        <v>3</v>
      </c>
      <c r="AE289" s="62">
        <f>IF(I289="missing", IFERROR(INDEX([1]lookup!$I:$I, MATCH($A289, [1]lookup!$B:$B, 0)), 0), I289)</f>
        <v>794.7</v>
      </c>
    </row>
    <row r="290" spans="1:31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2684</v>
      </c>
      <c r="O290" s="8" t="str">
        <f>PROPER(D290)</f>
        <v>Alan Hwang</v>
      </c>
      <c r="P290" s="8" t="str">
        <f>LEFT(A290,2)</f>
        <v>CA</v>
      </c>
      <c r="Q290" s="8" t="str">
        <f>MID(A290,4,4)</f>
        <v>2012</v>
      </c>
      <c r="R290" s="8" t="str">
        <f>UPPER(M290)</f>
        <v>MEDIUM</v>
      </c>
      <c r="S290" s="8" t="str">
        <f>LOWER(G290)</f>
        <v>office supplies</v>
      </c>
      <c r="T290" s="18" t="str">
        <f>RIGHT(A290,5)</f>
        <v>41241</v>
      </c>
      <c r="U290" s="27" t="s">
        <v>2950</v>
      </c>
      <c r="V290" s="16" t="s">
        <v>2689</v>
      </c>
      <c r="W290" s="30">
        <v>2012</v>
      </c>
      <c r="X290" t="s">
        <v>2950</v>
      </c>
      <c r="Y290" s="28">
        <v>41241</v>
      </c>
      <c r="Z290" s="28" t="str">
        <f>TRIM(A290)</f>
        <v>CA-2012-AH10210140-41241</v>
      </c>
      <c r="AA290">
        <f t="shared" si="16"/>
        <v>2012</v>
      </c>
      <c r="AB290">
        <f t="shared" si="17"/>
        <v>11</v>
      </c>
      <c r="AC290">
        <f t="shared" si="18"/>
        <v>4</v>
      </c>
      <c r="AD290">
        <f t="shared" si="19"/>
        <v>7</v>
      </c>
      <c r="AE290" s="62">
        <f>IF(I290="missing", IFERROR(INDEX([1]lookup!$I:$I, MATCH($A290, [1]lookup!$B:$B, 0)), 0), I290)</f>
        <v>30.4</v>
      </c>
    </row>
    <row r="291" spans="1:31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2684</v>
      </c>
      <c r="O291" s="13" t="str">
        <f>PROPER(D291)</f>
        <v>Parhena Norris</v>
      </c>
      <c r="P291" s="13" t="str">
        <f>LEFT(A291,2)</f>
        <v>IN</v>
      </c>
      <c r="Q291" s="13" t="str">
        <f>MID(A291,4,4)</f>
        <v>2013</v>
      </c>
      <c r="R291" s="13" t="str">
        <f>UPPER(M291)</f>
        <v>HIGH</v>
      </c>
      <c r="S291" s="13" t="str">
        <f>LOWER(G291)</f>
        <v>furniture</v>
      </c>
      <c r="T291" s="21" t="str">
        <f>RIGHT(A291,5)</f>
        <v>41527</v>
      </c>
      <c r="U291" s="27" t="s">
        <v>2965</v>
      </c>
      <c r="V291" s="19" t="s">
        <v>2686</v>
      </c>
      <c r="W291" s="30">
        <v>2013</v>
      </c>
      <c r="X291" t="s">
        <v>2965</v>
      </c>
      <c r="Y291" s="28">
        <v>41527</v>
      </c>
      <c r="Z291" s="28" t="str">
        <f>TRIM(A291)</f>
        <v>IN-2013-PN1877527-41527</v>
      </c>
      <c r="AA291">
        <f t="shared" si="16"/>
        <v>2013</v>
      </c>
      <c r="AB291">
        <f t="shared" si="17"/>
        <v>9</v>
      </c>
      <c r="AC291">
        <f t="shared" si="18"/>
        <v>3</v>
      </c>
      <c r="AD291">
        <f t="shared" si="19"/>
        <v>2</v>
      </c>
      <c r="AE291" s="62">
        <f>IF(I291="missing", IFERROR(INDEX([1]lookup!$I:$I, MATCH($A291, [1]lookup!$B:$B, 0)), 0), I291)</f>
        <v>1859.99999999999</v>
      </c>
    </row>
    <row r="292" spans="1:31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2684</v>
      </c>
      <c r="O292" s="8" t="str">
        <f>PROPER(D292)</f>
        <v>Eugene Hildebrand</v>
      </c>
      <c r="P292" s="8" t="str">
        <f>LEFT(A292,2)</f>
        <v>IN</v>
      </c>
      <c r="Q292" s="8" t="str">
        <f>MID(A292,4,4)</f>
        <v>2014</v>
      </c>
      <c r="R292" s="8" t="str">
        <f>UPPER(M292)</f>
        <v>HIGH</v>
      </c>
      <c r="S292" s="8" t="str">
        <f>LOWER(G292)</f>
        <v>technology</v>
      </c>
      <c r="T292" s="18" t="str">
        <f>RIGHT(A292,5)</f>
        <v>41936</v>
      </c>
      <c r="U292" s="27" t="s">
        <v>2966</v>
      </c>
      <c r="V292" s="16" t="s">
        <v>2686</v>
      </c>
      <c r="W292" s="30">
        <v>2014</v>
      </c>
      <c r="X292" t="s">
        <v>2966</v>
      </c>
      <c r="Y292" s="28">
        <v>41936</v>
      </c>
      <c r="Z292" s="28" t="str">
        <f>TRIM(A292)</f>
        <v>IN-2014-EH1412578-41936</v>
      </c>
      <c r="AA292">
        <f t="shared" si="16"/>
        <v>2014</v>
      </c>
      <c r="AB292">
        <f t="shared" si="17"/>
        <v>10</v>
      </c>
      <c r="AC292">
        <f t="shared" si="18"/>
        <v>6</v>
      </c>
      <c r="AD292">
        <f t="shared" si="19"/>
        <v>0</v>
      </c>
      <c r="AE292" s="62">
        <f>IF(I292="missing", IFERROR(INDEX([1]lookup!$I:$I, MATCH($A292, [1]lookup!$B:$B, 0)), 0), I292)</f>
        <v>881.1</v>
      </c>
    </row>
    <row r="293" spans="1:31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2684</v>
      </c>
      <c r="O293" s="13" t="str">
        <f>PROPER(D293)</f>
        <v>Arthur Gainer</v>
      </c>
      <c r="P293" s="13" t="str">
        <f>LEFT(A293,2)</f>
        <v xml:space="preserve"> E</v>
      </c>
      <c r="Q293" s="13" t="str">
        <f>MID(A293,4,4)</f>
        <v>-201</v>
      </c>
      <c r="R293" s="13" t="str">
        <f>UPPER(M293)</f>
        <v>HIGH</v>
      </c>
      <c r="S293" s="13" t="str">
        <f>LOWER(G293)</f>
        <v>technology</v>
      </c>
      <c r="T293" s="21" t="str">
        <f>RIGHT(A293,5)</f>
        <v xml:space="preserve">1801 </v>
      </c>
      <c r="U293" s="27" t="s">
        <v>2967</v>
      </c>
      <c r="V293" s="19" t="s">
        <v>2910</v>
      </c>
      <c r="W293" s="30">
        <v>2014</v>
      </c>
      <c r="X293" t="s">
        <v>2967</v>
      </c>
      <c r="Y293" s="28">
        <v>41801</v>
      </c>
      <c r="Z293" s="28" t="str">
        <f>TRIM(A293)</f>
        <v>ES-2014-AG1090045-41801</v>
      </c>
      <c r="AA293">
        <f t="shared" si="16"/>
        <v>2014</v>
      </c>
      <c r="AB293">
        <f t="shared" si="17"/>
        <v>6</v>
      </c>
      <c r="AC293">
        <f t="shared" si="18"/>
        <v>4</v>
      </c>
      <c r="AD293">
        <f t="shared" si="19"/>
        <v>4</v>
      </c>
      <c r="AE293" s="62">
        <f>IF(I293="missing", IFERROR(INDEX([1]lookup!$I:$I, MATCH($A293, [1]lookup!$B:$B, 0)), 0), I293)</f>
        <v>1622.1824999999999</v>
      </c>
    </row>
    <row r="294" spans="1:31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2684</v>
      </c>
      <c r="O294" s="8" t="str">
        <f>PROPER(D294)</f>
        <v>Alan Hwang</v>
      </c>
      <c r="P294" s="8" t="str">
        <f>LEFT(A294,2)</f>
        <v>CA</v>
      </c>
      <c r="Q294" s="8" t="str">
        <f>MID(A294,4,4)</f>
        <v>2014</v>
      </c>
      <c r="R294" s="8" t="str">
        <f>UPPER(M294)</f>
        <v>MEDIUM</v>
      </c>
      <c r="S294" s="8" t="str">
        <f>LOWER(G294)</f>
        <v>office supplies</v>
      </c>
      <c r="T294" s="18" t="str">
        <f>RIGHT(A294,5)</f>
        <v>41690</v>
      </c>
      <c r="U294" s="27" t="s">
        <v>2950</v>
      </c>
      <c r="V294" s="16" t="s">
        <v>2689</v>
      </c>
      <c r="W294" s="30">
        <v>2014</v>
      </c>
      <c r="X294" t="s">
        <v>2950</v>
      </c>
      <c r="Y294" s="28">
        <v>41690</v>
      </c>
      <c r="Z294" s="28" t="str">
        <f>TRIM(A294)</f>
        <v>CA-2014-AH10210140-41690</v>
      </c>
      <c r="AA294">
        <f t="shared" si="16"/>
        <v>2014</v>
      </c>
      <c r="AB294">
        <f t="shared" si="17"/>
        <v>2</v>
      </c>
      <c r="AC294">
        <f t="shared" si="18"/>
        <v>5</v>
      </c>
      <c r="AD294">
        <f t="shared" si="19"/>
        <v>7</v>
      </c>
      <c r="AE294" s="62">
        <f>IF(I294="missing", IFERROR(INDEX([1]lookup!$I:$I, MATCH($A294, [1]lookup!$B:$B, 0)), 0), I294)</f>
        <v>16.495999999999999</v>
      </c>
    </row>
    <row r="295" spans="1:31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2684</v>
      </c>
      <c r="O295" s="13" t="str">
        <f>PROPER(D295)</f>
        <v>Brosina Hoffman</v>
      </c>
      <c r="P295" s="13" t="str">
        <f>LEFT(A295,2)</f>
        <v>MX</v>
      </c>
      <c r="Q295" s="13" t="str">
        <f>MID(A295,4,4)</f>
        <v>2014</v>
      </c>
      <c r="R295" s="13" t="str">
        <f>UPPER(M295)</f>
        <v>HIGH</v>
      </c>
      <c r="S295" s="13" t="str">
        <f>LOWER(G295)</f>
        <v>technology</v>
      </c>
      <c r="T295" s="21" t="str">
        <f>RIGHT(A295,5)</f>
        <v>41930</v>
      </c>
      <c r="U295" s="27" t="s">
        <v>2968</v>
      </c>
      <c r="V295" s="19" t="s">
        <v>2718</v>
      </c>
      <c r="W295" s="30">
        <v>2014</v>
      </c>
      <c r="X295" t="s">
        <v>2968</v>
      </c>
      <c r="Y295" s="28">
        <v>41930</v>
      </c>
      <c r="Z295" s="28" t="str">
        <f>TRIM(A295)</f>
        <v>MX-2014-BH1171039-41930</v>
      </c>
      <c r="AA295">
        <f t="shared" si="16"/>
        <v>2014</v>
      </c>
      <c r="AB295">
        <f t="shared" si="17"/>
        <v>10</v>
      </c>
      <c r="AC295">
        <f t="shared" si="18"/>
        <v>7</v>
      </c>
      <c r="AD295">
        <f t="shared" si="19"/>
        <v>4</v>
      </c>
      <c r="AE295" s="62">
        <f>IF(I295="missing", IFERROR(INDEX([1]lookup!$I:$I, MATCH($A295, [1]lookup!$B:$B, 0)), 0), I295)</f>
        <v>2120.8000000000002</v>
      </c>
    </row>
    <row r="296" spans="1:31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2684</v>
      </c>
      <c r="O296" s="8" t="str">
        <f>PROPER(D296)</f>
        <v>Stuart Calhoun</v>
      </c>
      <c r="P296" s="8" t="str">
        <f>LEFT(A296,2)</f>
        <v>IN</v>
      </c>
      <c r="Q296" s="8" t="str">
        <f>MID(A296,4,4)</f>
        <v>2013</v>
      </c>
      <c r="R296" s="8" t="str">
        <f>UPPER(M296)</f>
        <v>HIGH</v>
      </c>
      <c r="S296" s="8" t="str">
        <f>LOWER(G296)</f>
        <v>furniture</v>
      </c>
      <c r="T296" s="18" t="str">
        <f>RIGHT(A296,5)</f>
        <v>41310</v>
      </c>
      <c r="U296" s="27" t="s">
        <v>2969</v>
      </c>
      <c r="V296" s="16" t="s">
        <v>2686</v>
      </c>
      <c r="W296" s="30">
        <v>2013</v>
      </c>
      <c r="X296" t="s">
        <v>2969</v>
      </c>
      <c r="Y296" s="28">
        <v>41310</v>
      </c>
      <c r="Z296" s="28" t="str">
        <f>TRIM(A296)</f>
        <v>IN-2013-SC2080058-41310</v>
      </c>
      <c r="AA296">
        <f t="shared" si="16"/>
        <v>2013</v>
      </c>
      <c r="AB296">
        <f t="shared" si="17"/>
        <v>2</v>
      </c>
      <c r="AC296">
        <f t="shared" si="18"/>
        <v>3</v>
      </c>
      <c r="AD296">
        <f t="shared" si="19"/>
        <v>5</v>
      </c>
      <c r="AE296" s="62">
        <f>IF(I296="missing", IFERROR(INDEX([1]lookup!$I:$I, MATCH($A296, [1]lookup!$B:$B, 0)), 0), I296)</f>
        <v>1236.33</v>
      </c>
    </row>
    <row r="297" spans="1:31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2684</v>
      </c>
      <c r="O297" s="13" t="str">
        <f>PROPER(D297)</f>
        <v>Alan Hwang</v>
      </c>
      <c r="P297" s="13" t="str">
        <f>LEFT(A297,2)</f>
        <v>CA</v>
      </c>
      <c r="Q297" s="13" t="str">
        <f>MID(A297,4,4)</f>
        <v>2013</v>
      </c>
      <c r="R297" s="13" t="str">
        <f>UPPER(M297)</f>
        <v>MEDIUM</v>
      </c>
      <c r="S297" s="13" t="str">
        <f>LOWER(G297)</f>
        <v>office supplies</v>
      </c>
      <c r="T297" s="21" t="str">
        <f>RIGHT(A297,5)</f>
        <v>41615</v>
      </c>
      <c r="U297" s="27" t="s">
        <v>2950</v>
      </c>
      <c r="V297" s="19" t="s">
        <v>2689</v>
      </c>
      <c r="W297" s="30">
        <v>2013</v>
      </c>
      <c r="X297" t="s">
        <v>2950</v>
      </c>
      <c r="Y297" s="28">
        <v>41615</v>
      </c>
      <c r="Z297" s="28" t="str">
        <f>TRIM(A297)</f>
        <v>CA-2013-AH10210140-41615</v>
      </c>
      <c r="AA297">
        <f t="shared" si="16"/>
        <v>2013</v>
      </c>
      <c r="AB297">
        <f t="shared" si="17"/>
        <v>12</v>
      </c>
      <c r="AC297">
        <f t="shared" si="18"/>
        <v>7</v>
      </c>
      <c r="AD297">
        <f t="shared" si="19"/>
        <v>2</v>
      </c>
      <c r="AE297" s="62">
        <f>IF(I297="missing", IFERROR(INDEX([1]lookup!$I:$I, MATCH($A297, [1]lookup!$B:$B, 0)), 0), I297)</f>
        <v>6.6879999999999997</v>
      </c>
    </row>
    <row r="298" spans="1:31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2684</v>
      </c>
      <c r="O298" s="8" t="str">
        <f>PROPER(D298)</f>
        <v>Arthur Prichep</v>
      </c>
      <c r="P298" s="8" t="str">
        <f>LEFT(A298,2)</f>
        <v>IN</v>
      </c>
      <c r="Q298" s="8" t="str">
        <f>MID(A298,4,4)</f>
        <v>2015</v>
      </c>
      <c r="R298" s="8" t="str">
        <f>UPPER(M298)</f>
        <v>HIGH</v>
      </c>
      <c r="S298" s="8" t="str">
        <f>LOWER(G298)</f>
        <v>technology</v>
      </c>
      <c r="T298" s="18" t="str">
        <f>RIGHT(A298,5)</f>
        <v>42244</v>
      </c>
      <c r="U298" s="27" t="s">
        <v>2970</v>
      </c>
      <c r="V298" s="16" t="s">
        <v>2686</v>
      </c>
      <c r="W298" s="30">
        <v>2015</v>
      </c>
      <c r="X298" t="s">
        <v>2970</v>
      </c>
      <c r="Y298" s="28">
        <v>42244</v>
      </c>
      <c r="Z298" s="28" t="str">
        <f>TRIM(A298)</f>
        <v>IN-2015-AP1091527-42244</v>
      </c>
      <c r="AA298">
        <f t="shared" si="16"/>
        <v>2015</v>
      </c>
      <c r="AB298">
        <f t="shared" si="17"/>
        <v>8</v>
      </c>
      <c r="AC298">
        <f t="shared" si="18"/>
        <v>6</v>
      </c>
      <c r="AD298">
        <f t="shared" si="19"/>
        <v>1</v>
      </c>
      <c r="AE298" s="62">
        <f>IF(I298="missing", IFERROR(INDEX([1]lookup!$I:$I, MATCH($A298, [1]lookup!$B:$B, 0)), 0), I298)</f>
        <v>759.66</v>
      </c>
    </row>
    <row r="299" spans="1:31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2684</v>
      </c>
      <c r="O299" s="13" t="str">
        <f>PROPER(D299)</f>
        <v>Alan Hwang</v>
      </c>
      <c r="P299" s="13" t="str">
        <f>LEFT(A299,2)</f>
        <v>CA</v>
      </c>
      <c r="Q299" s="13" t="str">
        <f>MID(A299,4,4)</f>
        <v>2015</v>
      </c>
      <c r="R299" s="13" t="str">
        <f>UPPER(M299)</f>
        <v>MEDIUM</v>
      </c>
      <c r="S299" s="13" t="str">
        <f>LOWER(G299)</f>
        <v>office supplies</v>
      </c>
      <c r="T299" s="21" t="str">
        <f>RIGHT(A299,5)</f>
        <v>42072</v>
      </c>
      <c r="U299" s="27" t="s">
        <v>2950</v>
      </c>
      <c r="V299" s="19" t="s">
        <v>2689</v>
      </c>
      <c r="W299" s="30">
        <v>2015</v>
      </c>
      <c r="X299" t="s">
        <v>2950</v>
      </c>
      <c r="Y299" s="28">
        <v>42072</v>
      </c>
      <c r="Z299" s="28" t="str">
        <f>TRIM(A299)</f>
        <v>CA-2015-AH10210140-42072</v>
      </c>
      <c r="AA299">
        <f t="shared" si="16"/>
        <v>2015</v>
      </c>
      <c r="AB299">
        <f t="shared" si="17"/>
        <v>3</v>
      </c>
      <c r="AC299">
        <f t="shared" si="18"/>
        <v>2</v>
      </c>
      <c r="AD299">
        <f t="shared" si="19"/>
        <v>7</v>
      </c>
      <c r="AE299" s="62">
        <f>IF(I299="missing", IFERROR(INDEX([1]lookup!$I:$I, MATCH($A299, [1]lookup!$B:$B, 0)), 0), I299)</f>
        <v>3.36</v>
      </c>
    </row>
    <row r="300" spans="1:31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2684</v>
      </c>
      <c r="O300" s="8" t="str">
        <f>PROPER(D300)</f>
        <v>Mike Pelletier</v>
      </c>
      <c r="P300" s="8" t="str">
        <f>LEFT(A300,2)</f>
        <v>IT</v>
      </c>
      <c r="Q300" s="8" t="str">
        <f>MID(A300,4,4)</f>
        <v>2012</v>
      </c>
      <c r="R300" s="8" t="str">
        <f>UPPER(M300)</f>
        <v>CRITICAL</v>
      </c>
      <c r="S300" s="8" t="str">
        <f>LOWER(G300)</f>
        <v>furniture</v>
      </c>
      <c r="T300" s="18" t="str">
        <f>RIGHT(A300,5)</f>
        <v>41040</v>
      </c>
      <c r="U300" s="27" t="s">
        <v>2971</v>
      </c>
      <c r="V300" s="16" t="s">
        <v>2710</v>
      </c>
      <c r="W300" s="30">
        <v>2012</v>
      </c>
      <c r="X300" t="s">
        <v>2971</v>
      </c>
      <c r="Y300" s="28">
        <v>41040</v>
      </c>
      <c r="Z300" s="28" t="str">
        <f>TRIM(A300)</f>
        <v>IT-2012-MP1817545-41040</v>
      </c>
      <c r="AA300">
        <f t="shared" si="16"/>
        <v>2012</v>
      </c>
      <c r="AB300">
        <f t="shared" si="17"/>
        <v>5</v>
      </c>
      <c r="AC300">
        <f t="shared" si="18"/>
        <v>6</v>
      </c>
      <c r="AD300">
        <f t="shared" si="19"/>
        <v>2</v>
      </c>
      <c r="AE300" s="62">
        <f>IF(I300="missing", IFERROR(INDEX([1]lookup!$I:$I, MATCH($A300, [1]lookup!$B:$B, 0)), 0), I300)</f>
        <v>627.27599999999995</v>
      </c>
    </row>
    <row r="301" spans="1:31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2684</v>
      </c>
      <c r="O301" s="13" t="str">
        <f>PROPER(D301)</f>
        <v>Tonja Turnell</v>
      </c>
      <c r="P301" s="13" t="str">
        <f>LEFT(A301,2)</f>
        <v>AL</v>
      </c>
      <c r="Q301" s="13" t="str">
        <f>MID(A301,4,4)</f>
        <v>2014</v>
      </c>
      <c r="R301" s="13" t="str">
        <f>UPPER(M301)</f>
        <v>CRITICAL</v>
      </c>
      <c r="S301" s="13" t="str">
        <f>LOWER(G301)</f>
        <v>technology</v>
      </c>
      <c r="T301" s="21" t="str">
        <f>RIGHT(A301,5)</f>
        <v>41863</v>
      </c>
      <c r="U301" s="27" t="s">
        <v>2972</v>
      </c>
      <c r="V301" s="19" t="s">
        <v>2973</v>
      </c>
      <c r="W301" s="30">
        <v>2014</v>
      </c>
      <c r="X301" t="s">
        <v>2972</v>
      </c>
      <c r="Y301" s="28">
        <v>41863</v>
      </c>
      <c r="Z301" s="28" t="str">
        <f>TRIM(A301)</f>
        <v>AL-2014-TT114602-41863</v>
      </c>
      <c r="AA301">
        <f t="shared" si="16"/>
        <v>2014</v>
      </c>
      <c r="AB301">
        <f t="shared" si="17"/>
        <v>8</v>
      </c>
      <c r="AC301">
        <f t="shared" si="18"/>
        <v>3</v>
      </c>
      <c r="AD301">
        <f t="shared" si="19"/>
        <v>2</v>
      </c>
      <c r="AE301" s="62">
        <f>IF(I301="missing", IFERROR(INDEX([1]lookup!$I:$I, MATCH($A301, [1]lookup!$B:$B, 0)), 0), I301)</f>
        <v>553.91999999999996</v>
      </c>
    </row>
    <row r="302" spans="1:31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2684</v>
      </c>
      <c r="O302" s="8" t="str">
        <f>PROPER(D302)</f>
        <v>Rick Reed</v>
      </c>
      <c r="P302" s="8" t="str">
        <f>LEFT(A302,2)</f>
        <v>IN</v>
      </c>
      <c r="Q302" s="8" t="str">
        <f>MID(A302,4,4)</f>
        <v>2015</v>
      </c>
      <c r="R302" s="8" t="str">
        <f>UPPER(M302)</f>
        <v>CRITICAL</v>
      </c>
      <c r="S302" s="8" t="str">
        <f>LOWER(G302)</f>
        <v>technology</v>
      </c>
      <c r="T302" s="18" t="str">
        <f>RIGHT(A302,5)</f>
        <v>42035</v>
      </c>
      <c r="U302" s="27" t="s">
        <v>2974</v>
      </c>
      <c r="V302" s="16" t="s">
        <v>2686</v>
      </c>
      <c r="W302" s="30">
        <v>2015</v>
      </c>
      <c r="X302" t="s">
        <v>2974</v>
      </c>
      <c r="Y302" s="28">
        <v>42035</v>
      </c>
      <c r="Z302" s="28" t="str">
        <f>TRIM(A302)</f>
        <v>IN-2015-RR1952527-42035</v>
      </c>
      <c r="AA302">
        <f t="shared" si="16"/>
        <v>2015</v>
      </c>
      <c r="AB302">
        <f t="shared" si="17"/>
        <v>1</v>
      </c>
      <c r="AC302">
        <f t="shared" si="18"/>
        <v>7</v>
      </c>
      <c r="AD302">
        <f t="shared" si="19"/>
        <v>1</v>
      </c>
      <c r="AE302" s="62">
        <f>IF(I302="missing", IFERROR(INDEX([1]lookup!$I:$I, MATCH($A302, [1]lookup!$B:$B, 0)), 0), I302)</f>
        <v>791.19</v>
      </c>
    </row>
    <row r="303" spans="1:31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2684</v>
      </c>
      <c r="O303" s="13" t="str">
        <f>PROPER(D303)</f>
        <v>Toby Ritter</v>
      </c>
      <c r="P303" s="13" t="str">
        <f>LEFT(A303,2)</f>
        <v>TZ</v>
      </c>
      <c r="Q303" s="13" t="str">
        <f>MID(A303,4,4)</f>
        <v>2012</v>
      </c>
      <c r="R303" s="13" t="str">
        <f>UPPER(M303)</f>
        <v>CRITICAL</v>
      </c>
      <c r="S303" s="13" t="str">
        <f>LOWER(G303)</f>
        <v>technology</v>
      </c>
      <c r="T303" s="21" t="str">
        <f>RIGHT(A303,5)</f>
        <v>41031</v>
      </c>
      <c r="U303" s="27" t="s">
        <v>2975</v>
      </c>
      <c r="V303" s="19" t="s">
        <v>2976</v>
      </c>
      <c r="W303" s="30">
        <v>2012</v>
      </c>
      <c r="X303" t="s">
        <v>2975</v>
      </c>
      <c r="Y303" s="28">
        <v>41031</v>
      </c>
      <c r="Z303" s="28" t="str">
        <f>TRIM(A303)</f>
        <v>TZ-2012-TR11325129-41031</v>
      </c>
      <c r="AA303">
        <f t="shared" si="16"/>
        <v>2012</v>
      </c>
      <c r="AB303">
        <f t="shared" si="17"/>
        <v>5</v>
      </c>
      <c r="AC303">
        <f t="shared" si="18"/>
        <v>4</v>
      </c>
      <c r="AD303">
        <f t="shared" si="19"/>
        <v>2</v>
      </c>
      <c r="AE303" s="62">
        <f>IF(I303="missing", IFERROR(INDEX([1]lookup!$I:$I, MATCH($A303, [1]lookup!$B:$B, 0)), 0), I303)</f>
        <v>642.719999999999</v>
      </c>
    </row>
    <row r="304" spans="1:31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2684</v>
      </c>
      <c r="O304" s="8" t="str">
        <f>PROPER(D304)</f>
        <v>Shaun Chance</v>
      </c>
      <c r="P304" s="8" t="str">
        <f>LEFT(A304,2)</f>
        <v>MX</v>
      </c>
      <c r="Q304" s="8" t="str">
        <f>MID(A304,4,4)</f>
        <v>2014</v>
      </c>
      <c r="R304" s="8" t="str">
        <f>UPPER(M304)</f>
        <v xml:space="preserve"> HIGH </v>
      </c>
      <c r="S304" s="8" t="str">
        <f>LOWER(G304)</f>
        <v>technology</v>
      </c>
      <c r="T304" s="18" t="str">
        <f>RIGHT(A304,5)</f>
        <v>41877</v>
      </c>
      <c r="U304" s="27" t="s">
        <v>2977</v>
      </c>
      <c r="V304" s="16" t="s">
        <v>2718</v>
      </c>
      <c r="W304" s="30">
        <v>2014</v>
      </c>
      <c r="X304" t="s">
        <v>2977</v>
      </c>
      <c r="Y304" s="28">
        <v>41877</v>
      </c>
      <c r="Z304" s="28" t="str">
        <f>TRIM(A304)</f>
        <v>MX-2014-SC2044082-41877</v>
      </c>
      <c r="AA304">
        <f t="shared" si="16"/>
        <v>2014</v>
      </c>
      <c r="AB304">
        <f t="shared" si="17"/>
        <v>8</v>
      </c>
      <c r="AC304">
        <f t="shared" si="18"/>
        <v>3</v>
      </c>
      <c r="AD304">
        <f t="shared" si="19"/>
        <v>1</v>
      </c>
      <c r="AE304" s="62">
        <f>IF(I304="missing", IFERROR(INDEX([1]lookup!$I:$I, MATCH($A304, [1]lookup!$B:$B, 0)), 0), I304)</f>
        <v>1308.48</v>
      </c>
    </row>
    <row r="305" spans="1:31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2684</v>
      </c>
      <c r="O305" s="13" t="str">
        <f>PROPER(D305)</f>
        <v>Bill Eplett</v>
      </c>
      <c r="P305" s="13" t="str">
        <f>LEFT(A305,2)</f>
        <v>ES</v>
      </c>
      <c r="Q305" s="13" t="str">
        <f>MID(A305,4,4)</f>
        <v>2013</v>
      </c>
      <c r="R305" s="13" t="str">
        <f>UPPER(M305)</f>
        <v>MEDIUM</v>
      </c>
      <c r="S305" s="13" t="str">
        <f>LOWER(G305)</f>
        <v>technology</v>
      </c>
      <c r="T305" s="21" t="str">
        <f>RIGHT(A305,5)</f>
        <v>41340</v>
      </c>
      <c r="U305" s="27" t="s">
        <v>2978</v>
      </c>
      <c r="V305" s="19" t="s">
        <v>2743</v>
      </c>
      <c r="W305" s="30">
        <v>2013</v>
      </c>
      <c r="X305" t="s">
        <v>2978</v>
      </c>
      <c r="Y305" s="28">
        <v>41340</v>
      </c>
      <c r="Z305" s="28" t="str">
        <f>TRIM(A305)</f>
        <v>ES-2013-BE11335139-41340</v>
      </c>
      <c r="AA305">
        <f t="shared" si="16"/>
        <v>2013</v>
      </c>
      <c r="AB305">
        <f t="shared" si="17"/>
        <v>3</v>
      </c>
      <c r="AC305">
        <f t="shared" si="18"/>
        <v>5</v>
      </c>
      <c r="AD305">
        <f t="shared" si="19"/>
        <v>5</v>
      </c>
      <c r="AE305" s="62">
        <f>IF(I305="missing", IFERROR(INDEX([1]lookup!$I:$I, MATCH($A305, [1]lookup!$B:$B, 0)), 0), I305)</f>
        <v>1893.3</v>
      </c>
    </row>
    <row r="306" spans="1:31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2684</v>
      </c>
      <c r="O306" s="8" t="str">
        <f>PROPER(D306)</f>
        <v>Joni Blumstein</v>
      </c>
      <c r="P306" s="8" t="str">
        <f>LEFT(A306,2)</f>
        <v>IT</v>
      </c>
      <c r="Q306" s="8" t="str">
        <f>MID(A306,4,4)</f>
        <v>2014</v>
      </c>
      <c r="R306" s="8" t="str">
        <f>UPPER(M306)</f>
        <v>MEDIUM</v>
      </c>
      <c r="S306" s="8" t="str">
        <f>LOWER(G306)</f>
        <v>technology</v>
      </c>
      <c r="T306" s="18" t="str">
        <f>RIGHT(A306,5)</f>
        <v>-1789</v>
      </c>
      <c r="U306" s="27" t="s">
        <v>2979</v>
      </c>
      <c r="V306" s="16" t="s">
        <v>2710</v>
      </c>
      <c r="W306" s="30">
        <v>2014</v>
      </c>
      <c r="X306" t="s">
        <v>2979</v>
      </c>
      <c r="Y306" s="28">
        <v>1789</v>
      </c>
      <c r="Z306" s="28" t="str">
        <f>TRIM(A306)</f>
        <v>IT-2014-JB15925484-1789</v>
      </c>
      <c r="AA306">
        <f t="shared" si="16"/>
        <v>2014</v>
      </c>
      <c r="AB306">
        <f t="shared" si="17"/>
        <v>5</v>
      </c>
      <c r="AC306">
        <f t="shared" si="18"/>
        <v>6</v>
      </c>
      <c r="AD306">
        <f t="shared" si="19"/>
        <v>5</v>
      </c>
      <c r="AE306" s="62">
        <f>IF(I306="missing", IFERROR(INDEX([1]lookup!$I:$I, MATCH($A306, [1]lookup!$B:$B, 0)), 0), I306)</f>
        <v>2570.7599999999902</v>
      </c>
    </row>
    <row r="307" spans="1:31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2684</v>
      </c>
      <c r="O307" s="13" t="str">
        <f>PROPER(D307)</f>
        <v>Tamara Willingham</v>
      </c>
      <c r="P307" s="13" t="str">
        <f>LEFT(A307,2)</f>
        <v>ES</v>
      </c>
      <c r="Q307" s="13" t="str">
        <f>MID(A307,4,4)</f>
        <v>2014</v>
      </c>
      <c r="R307" s="13" t="str">
        <f>UPPER(M307)</f>
        <v>MEDIUM</v>
      </c>
      <c r="S307" s="13" t="str">
        <f>LOWER(G307)</f>
        <v>technology</v>
      </c>
      <c r="T307" s="21" t="str">
        <f>RIGHT(A307,5)</f>
        <v>41807</v>
      </c>
      <c r="U307" s="27" t="s">
        <v>2980</v>
      </c>
      <c r="V307" s="19" t="s">
        <v>2743</v>
      </c>
      <c r="W307" s="30">
        <v>2014</v>
      </c>
      <c r="X307" t="s">
        <v>2980</v>
      </c>
      <c r="Y307" s="28">
        <v>41807</v>
      </c>
      <c r="Z307" s="28" t="str">
        <f>TRIM(A307)</f>
        <v>ES-2014-TW21025139-41807</v>
      </c>
      <c r="AA307">
        <f t="shared" si="16"/>
        <v>2014</v>
      </c>
      <c r="AB307">
        <f t="shared" si="17"/>
        <v>6</v>
      </c>
      <c r="AC307">
        <f t="shared" si="18"/>
        <v>3</v>
      </c>
      <c r="AD307">
        <f t="shared" si="19"/>
        <v>3</v>
      </c>
      <c r="AE307" s="62">
        <f>IF(I307="missing", IFERROR(INDEX([1]lookup!$I:$I, MATCH($A307, [1]lookup!$B:$B, 0)), 0), I307)</f>
        <v>1199.76</v>
      </c>
    </row>
    <row r="308" spans="1:31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2684</v>
      </c>
      <c r="O308" s="8" t="str">
        <f>PROPER(D308)</f>
        <v>Lena Radford</v>
      </c>
      <c r="P308" s="8" t="str">
        <f>LEFT(A308,2)</f>
        <v>ES</v>
      </c>
      <c r="Q308" s="8" t="str">
        <f>MID(A308,4,4)</f>
        <v>2013</v>
      </c>
      <c r="R308" s="8" t="str">
        <f>UPPER(M308)</f>
        <v>MEDIUM</v>
      </c>
      <c r="S308" s="8" t="str">
        <f>LOWER(G308)</f>
        <v>office supplies</v>
      </c>
      <c r="T308" s="18" t="str">
        <f>RIGHT(A308,5)</f>
        <v>41537</v>
      </c>
      <c r="U308" s="27" t="s">
        <v>2981</v>
      </c>
      <c r="V308" s="16" t="s">
        <v>2743</v>
      </c>
      <c r="W308" s="30">
        <v>2013</v>
      </c>
      <c r="X308" t="s">
        <v>2981</v>
      </c>
      <c r="Y308" s="28">
        <v>41537</v>
      </c>
      <c r="Z308" s="28" t="str">
        <f>TRIM(A308)</f>
        <v>ES-2013-LR1691544-41537</v>
      </c>
      <c r="AA308">
        <f t="shared" si="16"/>
        <v>2013</v>
      </c>
      <c r="AB308">
        <f t="shared" si="17"/>
        <v>9</v>
      </c>
      <c r="AC308">
        <f t="shared" si="18"/>
        <v>6</v>
      </c>
      <c r="AD308">
        <f t="shared" si="19"/>
        <v>5</v>
      </c>
      <c r="AE308" s="62">
        <f>IF(I308="missing", IFERROR(INDEX([1]lookup!$I:$I, MATCH($A308, [1]lookup!$B:$B, 0)), 0), I308)</f>
        <v>2145.7199999999998</v>
      </c>
    </row>
    <row r="309" spans="1:31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2684</v>
      </c>
      <c r="O309" s="13" t="str">
        <f>PROPER(D309)</f>
        <v>Alan Schoenberger</v>
      </c>
      <c r="P309" s="13" t="str">
        <f>LEFT(A309,2)</f>
        <v>CA</v>
      </c>
      <c r="Q309" s="13" t="str">
        <f>MID(A309,4,4)</f>
        <v>2015</v>
      </c>
      <c r="R309" s="13" t="str">
        <f>UPPER(M309)</f>
        <v>MEDIUM</v>
      </c>
      <c r="S309" s="13" t="str">
        <f>LOWER(G309)</f>
        <v>office supplies</v>
      </c>
      <c r="T309" s="21" t="str">
        <f>RIGHT(A309,5)</f>
        <v>42265</v>
      </c>
      <c r="U309" s="27" t="s">
        <v>2982</v>
      </c>
      <c r="V309" s="19" t="s">
        <v>2689</v>
      </c>
      <c r="W309" s="30">
        <v>2015</v>
      </c>
      <c r="X309" t="s">
        <v>2982</v>
      </c>
      <c r="Y309" s="28">
        <v>42265</v>
      </c>
      <c r="Z309" s="28" t="str">
        <f>TRIM(A309)</f>
        <v>CA-2015-AS10225140-42265</v>
      </c>
      <c r="AA309">
        <f t="shared" si="16"/>
        <v>2015</v>
      </c>
      <c r="AB309">
        <f t="shared" si="17"/>
        <v>9</v>
      </c>
      <c r="AC309">
        <f t="shared" si="18"/>
        <v>6</v>
      </c>
      <c r="AD309">
        <f t="shared" si="19"/>
        <v>4</v>
      </c>
      <c r="AE309" s="62">
        <f>IF(I309="missing", IFERROR(INDEX([1]lookup!$I:$I, MATCH($A309, [1]lookup!$B:$B, 0)), 0), I309)</f>
        <v>164.88</v>
      </c>
    </row>
    <row r="310" spans="1:31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2684</v>
      </c>
      <c r="O310" s="8" t="str">
        <f>PROPER(D310)</f>
        <v>Frank Olsen</v>
      </c>
      <c r="P310" s="8" t="str">
        <f>LEFT(A310,2)</f>
        <v>ES</v>
      </c>
      <c r="Q310" s="8" t="str">
        <f>MID(A310,4,4)</f>
        <v>2012</v>
      </c>
      <c r="R310" s="8" t="str">
        <f>UPPER(M310)</f>
        <v>HIGH</v>
      </c>
      <c r="S310" s="8" t="str">
        <f>LOWER(G310)</f>
        <v>office supplies</v>
      </c>
      <c r="T310" s="18" t="str">
        <f>RIGHT(A310,5)</f>
        <v>41141</v>
      </c>
      <c r="U310" s="27" t="s">
        <v>2983</v>
      </c>
      <c r="V310" s="16" t="s">
        <v>2743</v>
      </c>
      <c r="W310" s="30">
        <v>2012</v>
      </c>
      <c r="X310" t="s">
        <v>2983</v>
      </c>
      <c r="Y310" s="28">
        <v>41141</v>
      </c>
      <c r="Z310" s="28" t="str">
        <f>TRIM(A310)</f>
        <v>ES-2012-FO1430545-41141</v>
      </c>
      <c r="AA310">
        <f t="shared" si="16"/>
        <v>2012</v>
      </c>
      <c r="AB310">
        <f t="shared" si="17"/>
        <v>8</v>
      </c>
      <c r="AC310">
        <f t="shared" si="18"/>
        <v>2</v>
      </c>
      <c r="AD310">
        <f t="shared" si="19"/>
        <v>0</v>
      </c>
      <c r="AE310" s="62">
        <f>IF(I310="missing", IFERROR(INDEX([1]lookup!$I:$I, MATCH($A310, [1]lookup!$B:$B, 0)), 0), I310)</f>
        <v>895.05</v>
      </c>
    </row>
    <row r="311" spans="1:31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2684</v>
      </c>
      <c r="O311" s="13" t="str">
        <f>PROPER(D311)</f>
        <v>Clytie Kelty</v>
      </c>
      <c r="P311" s="13" t="str">
        <f>LEFT(A311,2)</f>
        <v>IN</v>
      </c>
      <c r="Q311" s="13" t="str">
        <f>MID(A311,4,4)</f>
        <v>2014</v>
      </c>
      <c r="R311" s="13" t="str">
        <f>UPPER(M311)</f>
        <v>CRITICAL</v>
      </c>
      <c r="S311" s="13" t="str">
        <f>LOWER(G311)</f>
        <v>technology</v>
      </c>
      <c r="T311" s="21" t="str">
        <f>RIGHT(A311,5)</f>
        <v>41929</v>
      </c>
      <c r="U311" s="27" t="s">
        <v>2864</v>
      </c>
      <c r="V311" s="19" t="s">
        <v>2686</v>
      </c>
      <c r="W311" s="30">
        <v>2014</v>
      </c>
      <c r="X311" t="s">
        <v>2864</v>
      </c>
      <c r="Y311" s="28">
        <v>41929</v>
      </c>
      <c r="Z311" s="28" t="str">
        <f>TRIM(A311)</f>
        <v>IN-2014-CK1259592-41929</v>
      </c>
      <c r="AA311">
        <f t="shared" si="16"/>
        <v>2014</v>
      </c>
      <c r="AB311">
        <f t="shared" si="17"/>
        <v>10</v>
      </c>
      <c r="AC311">
        <f t="shared" si="18"/>
        <v>6</v>
      </c>
      <c r="AD311">
        <f t="shared" si="19"/>
        <v>2</v>
      </c>
      <c r="AE311" s="62">
        <f>IF(I311="missing", IFERROR(INDEX([1]lookup!$I:$I, MATCH($A311, [1]lookup!$B:$B, 0)), 0), I311)</f>
        <v>636.78</v>
      </c>
    </row>
    <row r="312" spans="1:31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2684</v>
      </c>
      <c r="O312" s="8" t="str">
        <f>PROPER(D312)</f>
        <v>Roy Phan</v>
      </c>
      <c r="P312" s="8" t="str">
        <f>LEFT(A312,2)</f>
        <v>ID</v>
      </c>
      <c r="Q312" s="8" t="str">
        <f>MID(A312,4,4)</f>
        <v>2015</v>
      </c>
      <c r="R312" s="8" t="str">
        <f>UPPER(M312)</f>
        <v>MEDIUM</v>
      </c>
      <c r="S312" s="8" t="str">
        <f>LOWER(G312)</f>
        <v>technology</v>
      </c>
      <c r="T312" s="18" t="str">
        <f>RIGHT(A312,5)</f>
        <v>42348</v>
      </c>
      <c r="U312" s="27" t="s">
        <v>2984</v>
      </c>
      <c r="V312" s="16" t="s">
        <v>2738</v>
      </c>
      <c r="W312" s="30">
        <v>2015</v>
      </c>
      <c r="X312" t="s">
        <v>2984</v>
      </c>
      <c r="Y312" s="28">
        <v>42348</v>
      </c>
      <c r="Z312" s="28" t="str">
        <f>TRIM(A312)</f>
        <v>ID-2015-RP19855130-42348</v>
      </c>
      <c r="AA312">
        <f t="shared" si="16"/>
        <v>2015</v>
      </c>
      <c r="AB312">
        <f t="shared" si="17"/>
        <v>12</v>
      </c>
      <c r="AC312">
        <f t="shared" si="18"/>
        <v>5</v>
      </c>
      <c r="AD312">
        <f t="shared" si="19"/>
        <v>4</v>
      </c>
      <c r="AE312" s="62">
        <f>IF(I312="missing", IFERROR(INDEX([1]lookup!$I:$I, MATCH($A312, [1]lookup!$B:$B, 0)), 0), I312)</f>
        <v>1587.0014999999901</v>
      </c>
    </row>
    <row r="313" spans="1:31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>PROPER(D313)</f>
        <v>Craig Reiter</v>
      </c>
      <c r="P313" s="13" t="str">
        <f>LEFT(A313,2)</f>
        <v>IN</v>
      </c>
      <c r="Q313" s="13" t="str">
        <f>MID(A313,4,4)</f>
        <v>2014</v>
      </c>
      <c r="R313" s="13" t="str">
        <f>UPPER(M313)</f>
        <v>MEDIUM</v>
      </c>
      <c r="S313" s="13" t="str">
        <f>LOWER(G313)</f>
        <v>technology</v>
      </c>
      <c r="T313" s="21" t="str">
        <f>RIGHT(A313,5)</f>
        <v>41929</v>
      </c>
      <c r="U313" s="27" t="s">
        <v>2985</v>
      </c>
      <c r="V313" s="19" t="s">
        <v>2686</v>
      </c>
      <c r="W313" s="30">
        <v>2014</v>
      </c>
      <c r="X313" t="s">
        <v>2985</v>
      </c>
      <c r="Y313" s="28">
        <v>41929</v>
      </c>
      <c r="Z313" s="28" t="str">
        <f>TRIM(A313)</f>
        <v>IN-2014-CR127307-41929</v>
      </c>
      <c r="AA313">
        <f t="shared" si="16"/>
        <v>2014</v>
      </c>
      <c r="AB313">
        <f t="shared" si="17"/>
        <v>10</v>
      </c>
      <c r="AC313">
        <f t="shared" si="18"/>
        <v>6</v>
      </c>
      <c r="AD313">
        <f t="shared" si="19"/>
        <v>1</v>
      </c>
      <c r="AE313" s="62">
        <f>IF(I313="missing", IFERROR(INDEX([1]lookup!$I:$I, MATCH($A313, [1]lookup!$B:$B, 0)), 0), I313)</f>
        <v>5175.1710000000003</v>
      </c>
    </row>
    <row r="314" spans="1:31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>PROPER(D314)</f>
        <v>Peter Fuller</v>
      </c>
      <c r="P314" s="8" t="str">
        <f>LEFT(A314,2)</f>
        <v>IN</v>
      </c>
      <c r="Q314" s="8" t="str">
        <f>MID(A314,4,4)</f>
        <v>2014</v>
      </c>
      <c r="R314" s="8" t="str">
        <f>UPPER(M314)</f>
        <v>CRITICAL</v>
      </c>
      <c r="S314" s="8" t="str">
        <f>LOWER(G314)</f>
        <v>office supplies</v>
      </c>
      <c r="T314" s="18" t="str">
        <f>RIGHT(A314,5)</f>
        <v>41796</v>
      </c>
      <c r="U314" s="27" t="s">
        <v>2986</v>
      </c>
      <c r="V314" s="16" t="s">
        <v>2686</v>
      </c>
      <c r="W314" s="30">
        <v>2014</v>
      </c>
      <c r="X314" t="s">
        <v>2986</v>
      </c>
      <c r="Y314" s="28">
        <v>41796</v>
      </c>
      <c r="Z314" s="28" t="str">
        <f>TRIM(A314)</f>
        <v>IN-2014-PF1912027-41796</v>
      </c>
      <c r="AA314">
        <f t="shared" si="16"/>
        <v>2014</v>
      </c>
      <c r="AB314">
        <f t="shared" si="17"/>
        <v>6</v>
      </c>
      <c r="AC314">
        <f t="shared" si="18"/>
        <v>6</v>
      </c>
      <c r="AD314">
        <f t="shared" si="19"/>
        <v>2</v>
      </c>
      <c r="AE314" s="62">
        <f>IF(I314="missing", IFERROR(INDEX([1]lookup!$I:$I, MATCH($A314, [1]lookup!$B:$B, 0)), 0), I314)</f>
        <v>3701.51999999999</v>
      </c>
    </row>
    <row r="315" spans="1:31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>PROPER(D315)</f>
        <v>Ritsa Hightower</v>
      </c>
      <c r="P315" s="13" t="str">
        <f>LEFT(A315,2)</f>
        <v>TZ</v>
      </c>
      <c r="Q315" s="13" t="str">
        <f>MID(A315,4,4)</f>
        <v>2015</v>
      </c>
      <c r="R315" s="13" t="str">
        <f>UPPER(M315)</f>
        <v>HIGH</v>
      </c>
      <c r="S315" s="13" t="str">
        <f>LOWER(G315)</f>
        <v>office supplies</v>
      </c>
      <c r="T315" s="21" t="str">
        <f>RIGHT(A315,5)</f>
        <v>42343</v>
      </c>
      <c r="U315" s="27" t="s">
        <v>2987</v>
      </c>
      <c r="V315" s="19" t="s">
        <v>2976</v>
      </c>
      <c r="W315" s="30">
        <v>2015</v>
      </c>
      <c r="X315" t="s">
        <v>2987</v>
      </c>
      <c r="Y315" s="28">
        <v>42343</v>
      </c>
      <c r="Z315" s="28" t="str">
        <f>TRIM(A315)</f>
        <v>TZ-2015-RH9555129-42343</v>
      </c>
      <c r="AA315">
        <f t="shared" si="16"/>
        <v>2015</v>
      </c>
      <c r="AB315">
        <f t="shared" si="17"/>
        <v>12</v>
      </c>
      <c r="AC315">
        <f t="shared" si="18"/>
        <v>7</v>
      </c>
      <c r="AD315">
        <f t="shared" si="19"/>
        <v>2</v>
      </c>
      <c r="AE315" s="62">
        <f>IF(I315="missing", IFERROR(INDEX([1]lookup!$I:$I, MATCH($A315, [1]lookup!$B:$B, 0)), 0), I315)</f>
        <v>3409.74</v>
      </c>
    </row>
    <row r="316" spans="1:31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>PROPER(D316)</f>
        <v>Jason Klamczynski</v>
      </c>
      <c r="P316" s="8" t="str">
        <f>LEFT(A316,2)</f>
        <v>IN</v>
      </c>
      <c r="Q316" s="8" t="str">
        <f>MID(A316,4,4)</f>
        <v>2012</v>
      </c>
      <c r="R316" s="8" t="str">
        <f>UPPER(M316)</f>
        <v>CRITICAL</v>
      </c>
      <c r="S316" s="8" t="str">
        <f>LOWER(G316)</f>
        <v>furniture</v>
      </c>
      <c r="T316" s="18" t="str">
        <f>RIGHT(A316,5)</f>
        <v>41030</v>
      </c>
      <c r="U316" s="27" t="s">
        <v>2988</v>
      </c>
      <c r="V316" s="16" t="s">
        <v>2686</v>
      </c>
      <c r="W316" s="30">
        <v>2012</v>
      </c>
      <c r="X316" t="s">
        <v>2988</v>
      </c>
      <c r="Y316" s="28">
        <v>41030</v>
      </c>
      <c r="Z316" s="28" t="str">
        <f>TRIM(A316)</f>
        <v>IN-2012-JK1532527-41030</v>
      </c>
      <c r="AA316">
        <f t="shared" si="16"/>
        <v>2012</v>
      </c>
      <c r="AB316">
        <f t="shared" si="17"/>
        <v>5</v>
      </c>
      <c r="AC316">
        <f t="shared" si="18"/>
        <v>3</v>
      </c>
      <c r="AD316">
        <f t="shared" si="19"/>
        <v>1</v>
      </c>
      <c r="AE316" s="62">
        <f>IF(I316="missing", IFERROR(INDEX([1]lookup!$I:$I, MATCH($A316, [1]lookup!$B:$B, 0)), 0), I316)</f>
        <v>2753.99999999999</v>
      </c>
    </row>
    <row r="317" spans="1:31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>PROPER(D317)</f>
        <v>Valerie Dominguez</v>
      </c>
      <c r="P317" s="13" t="str">
        <f>LEFT(A317,2)</f>
        <v>MX</v>
      </c>
      <c r="Q317" s="13" t="str">
        <f>MID(A317,4,4)</f>
        <v>2015</v>
      </c>
      <c r="R317" s="13" t="str">
        <f>UPPER(M317)</f>
        <v>CRITICAL</v>
      </c>
      <c r="S317" s="13" t="str">
        <f>LOWER(G317)</f>
        <v>furniture</v>
      </c>
      <c r="T317" s="21" t="str">
        <f>RIGHT(A317,5)</f>
        <v>42252</v>
      </c>
      <c r="U317" s="27" t="s">
        <v>2989</v>
      </c>
      <c r="V317" s="19" t="s">
        <v>2718</v>
      </c>
      <c r="W317" s="30">
        <v>2015</v>
      </c>
      <c r="X317" t="s">
        <v>2989</v>
      </c>
      <c r="Y317" s="28">
        <v>42252</v>
      </c>
      <c r="Z317" s="28" t="str">
        <f>TRIM(A317)</f>
        <v>MX-2015-VD2167039-42252</v>
      </c>
      <c r="AA317">
        <f t="shared" si="16"/>
        <v>2015</v>
      </c>
      <c r="AB317">
        <f t="shared" si="17"/>
        <v>9</v>
      </c>
      <c r="AC317">
        <f t="shared" si="18"/>
        <v>7</v>
      </c>
      <c r="AD317">
        <f t="shared" si="19"/>
        <v>3</v>
      </c>
      <c r="AE317" s="62">
        <f>IF(I317="missing", IFERROR(INDEX([1]lookup!$I:$I, MATCH($A317, [1]lookup!$B:$B, 0)), 0), I317)</f>
        <v>2106.4960000000001</v>
      </c>
    </row>
    <row r="318" spans="1:31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>PROPER(D318)</f>
        <v>Aaron Hawkins</v>
      </c>
      <c r="P318" s="8" t="str">
        <f>LEFT(A318,2)</f>
        <v>CA</v>
      </c>
      <c r="Q318" s="8" t="str">
        <f>MID(A318,4,4)</f>
        <v>2012</v>
      </c>
      <c r="R318" s="8" t="str">
        <f>UPPER(M318)</f>
        <v>CRITICAL</v>
      </c>
      <c r="S318" s="8" t="str">
        <f>LOWER(G318)</f>
        <v>office supplies</v>
      </c>
      <c r="T318" s="18" t="str">
        <f>RIGHT(A318,5)</f>
        <v>41020</v>
      </c>
      <c r="U318" s="27" t="s">
        <v>2702</v>
      </c>
      <c r="V318" s="16" t="s">
        <v>2689</v>
      </c>
      <c r="W318" s="30">
        <v>2012</v>
      </c>
      <c r="X318" t="s">
        <v>2702</v>
      </c>
      <c r="Y318" s="28">
        <v>41020</v>
      </c>
      <c r="Z318" s="28" t="str">
        <f>TRIM(A318)</f>
        <v>CA-2012-AH10030140-41020</v>
      </c>
      <c r="AA318">
        <f t="shared" si="16"/>
        <v>2012</v>
      </c>
      <c r="AB318">
        <f t="shared" si="17"/>
        <v>4</v>
      </c>
      <c r="AC318">
        <f t="shared" si="18"/>
        <v>7</v>
      </c>
      <c r="AD318">
        <f t="shared" si="19"/>
        <v>2</v>
      </c>
      <c r="AE318" s="62">
        <f>IF(I318="missing", IFERROR(INDEX([1]lookup!$I:$I, MATCH($A318, [1]lookup!$B:$B, 0)), 0), I318)</f>
        <v>247.84</v>
      </c>
    </row>
    <row r="319" spans="1:31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>PROPER(D319)</f>
        <v>Bill Shonely</v>
      </c>
      <c r="P319" s="13" t="str">
        <f>LEFT(A319,2)</f>
        <v>ES</v>
      </c>
      <c r="Q319" s="13" t="str">
        <f>MID(A319,4,4)</f>
        <v>2013</v>
      </c>
      <c r="R319" s="13" t="str">
        <f>UPPER(M319)</f>
        <v>CRITICAL</v>
      </c>
      <c r="S319" s="13" t="str">
        <f>LOWER(G319)</f>
        <v>technology</v>
      </c>
      <c r="T319" s="21" t="str">
        <f>RIGHT(A319,5)</f>
        <v>41472</v>
      </c>
      <c r="U319" s="27" t="s">
        <v>2990</v>
      </c>
      <c r="V319" s="19" t="s">
        <v>2743</v>
      </c>
      <c r="W319" s="30">
        <v>2013</v>
      </c>
      <c r="X319" t="s">
        <v>2990</v>
      </c>
      <c r="Y319" s="28">
        <v>41472</v>
      </c>
      <c r="Z319" s="28" t="str">
        <f>TRIM(A319)</f>
        <v>ES-2013-BS1136545-41472</v>
      </c>
      <c r="AA319">
        <f t="shared" si="16"/>
        <v>2013</v>
      </c>
      <c r="AB319">
        <f t="shared" si="17"/>
        <v>7</v>
      </c>
      <c r="AC319">
        <f t="shared" si="18"/>
        <v>4</v>
      </c>
      <c r="AD319">
        <f t="shared" si="19"/>
        <v>2</v>
      </c>
      <c r="AE319" s="62">
        <f>IF(I319="missing", IFERROR(INDEX([1]lookup!$I:$I, MATCH($A319, [1]lookup!$B:$B, 0)), 0), I319)</f>
        <v>2402.8649999999998</v>
      </c>
    </row>
    <row r="320" spans="1:31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>PROPER(D320)</f>
        <v>Aaron Hawkins</v>
      </c>
      <c r="P320" s="8" t="str">
        <f>LEFT(A320,2)</f>
        <v>CA</v>
      </c>
      <c r="Q320" s="8" t="str">
        <f>MID(A320,4,4)</f>
        <v>2013</v>
      </c>
      <c r="R320" s="8" t="str">
        <f>UPPER(M320)</f>
        <v>MEDIUM</v>
      </c>
      <c r="S320" s="8" t="str">
        <f>LOWER(G320)</f>
        <v>technology</v>
      </c>
      <c r="T320" s="18" t="str">
        <f>RIGHT(A320,5)</f>
        <v>41635</v>
      </c>
      <c r="U320" s="27" t="s">
        <v>2991</v>
      </c>
      <c r="V320" s="16" t="s">
        <v>2689</v>
      </c>
      <c r="W320" s="30">
        <v>2013</v>
      </c>
      <c r="X320" t="s">
        <v>2991</v>
      </c>
      <c r="Y320" s="28">
        <v>41635</v>
      </c>
      <c r="Z320" s="28" t="str">
        <f>TRIM(A320)</f>
        <v>CA-2013-AH1003014-041635</v>
      </c>
      <c r="AA320">
        <f t="shared" si="16"/>
        <v>2013</v>
      </c>
      <c r="AB320">
        <f t="shared" si="17"/>
        <v>12</v>
      </c>
      <c r="AC320">
        <f t="shared" si="18"/>
        <v>6</v>
      </c>
      <c r="AD320">
        <f t="shared" si="19"/>
        <v>4</v>
      </c>
      <c r="AE320" s="62">
        <f>IF(I320="missing", IFERROR(INDEX([1]lookup!$I:$I, MATCH($A320, [1]lookup!$B:$B, 0)), 0), I320)</f>
        <v>668.16</v>
      </c>
    </row>
    <row r="321" spans="1:31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>PROPER(D321)</f>
        <v>Aaron Hawkins</v>
      </c>
      <c r="P321" s="13" t="str">
        <f>LEFT(A321,2)</f>
        <v>CG</v>
      </c>
      <c r="Q321" s="13" t="str">
        <f>MID(A321,4,4)</f>
        <v>2012</v>
      </c>
      <c r="R321" s="13" t="str">
        <f>UPPER(M321)</f>
        <v>HIGH</v>
      </c>
      <c r="S321" s="13" t="str">
        <f>LOWER(G321)</f>
        <v>technoolgy</v>
      </c>
      <c r="T321" s="21" t="str">
        <f>RIGHT(A321,5)</f>
        <v>41165</v>
      </c>
      <c r="U321" s="27" t="s">
        <v>2992</v>
      </c>
      <c r="V321" s="19" t="s">
        <v>2870</v>
      </c>
      <c r="W321" s="30">
        <v>2012</v>
      </c>
      <c r="X321" t="s">
        <v>2992</v>
      </c>
      <c r="Y321" s="28">
        <v>41165</v>
      </c>
      <c r="Z321" s="28" t="str">
        <f>TRIM(A321)</f>
        <v>CG-2012-AH1003033-41165</v>
      </c>
      <c r="AA321">
        <f t="shared" si="16"/>
        <v>2012</v>
      </c>
      <c r="AB321">
        <f t="shared" si="17"/>
        <v>9</v>
      </c>
      <c r="AC321">
        <f t="shared" si="18"/>
        <v>5</v>
      </c>
      <c r="AD321">
        <f t="shared" si="19"/>
        <v>1</v>
      </c>
      <c r="AE321" s="62">
        <f>IF(I321="missing", IFERROR(INDEX([1]lookup!$I:$I, MATCH($A321, [1]lookup!$B:$B, 0)), 0), I321)</f>
        <v>3817.26</v>
      </c>
    </row>
    <row r="322" spans="1:31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>PROPER(D322)</f>
        <v>Aaron Hawkins</v>
      </c>
      <c r="P322" s="8" t="str">
        <f>LEFT(A322,2)</f>
        <v>CA</v>
      </c>
      <c r="Q322" s="8" t="str">
        <f>MID(A322,4,4)</f>
        <v>2012</v>
      </c>
      <c r="R322" s="8" t="str">
        <f>UPPER(M322)</f>
        <v>MEDIUM</v>
      </c>
      <c r="S322" s="8" t="str">
        <f>LOWER(G322)</f>
        <v>furniture</v>
      </c>
      <c r="T322" s="18" t="str">
        <f>RIGHT(A322,5)</f>
        <v>41041</v>
      </c>
      <c r="U322" s="27" t="s">
        <v>2702</v>
      </c>
      <c r="V322" s="16" t="s">
        <v>2689</v>
      </c>
      <c r="W322" s="30">
        <v>2012</v>
      </c>
      <c r="X322" t="s">
        <v>2702</v>
      </c>
      <c r="Y322" s="28">
        <v>41041</v>
      </c>
      <c r="Z322" s="28" t="str">
        <f>TRIM(A322)</f>
        <v>CA-2012-AH10030140-41041</v>
      </c>
      <c r="AA322">
        <f t="shared" ref="AA322:AA385" si="20">IFERROR(YEAR(B322), 0)</f>
        <v>2012</v>
      </c>
      <c r="AB322">
        <f t="shared" ref="AB322:AB385" si="21">IFERROR(MONTH(B322), 0)</f>
        <v>5</v>
      </c>
      <c r="AC322">
        <f t="shared" ref="AC322:AC385" si="22">IFERROR(WEEKDAY(B322), 0)</f>
        <v>7</v>
      </c>
      <c r="AD322">
        <f t="shared" ref="AD322:AD385" si="23">IFERROR(C322 - B322, 0)</f>
        <v>0</v>
      </c>
      <c r="AE322" s="62">
        <f>IF(I322="missing", IFERROR(INDEX([1]lookup!$I:$I, MATCH($A322, [1]lookup!$B:$B, 0)), 0), I322)</f>
        <v>279.45600000000002</v>
      </c>
    </row>
    <row r="323" spans="1:31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>PROPER(D323)</f>
        <v>Joy Bell-</v>
      </c>
      <c r="P323" s="13" t="str">
        <f>LEFT(A323,2)</f>
        <v>ID</v>
      </c>
      <c r="Q323" s="13" t="str">
        <f>MID(A323,4,4)</f>
        <v>2014</v>
      </c>
      <c r="R323" s="13" t="str">
        <f>UPPER(M323)</f>
        <v>HIGH</v>
      </c>
      <c r="S323" s="13" t="str">
        <f>LOWER(G323)</f>
        <v>technology</v>
      </c>
      <c r="T323" s="21" t="str">
        <f>RIGHT(A323,5)</f>
        <v>41873</v>
      </c>
      <c r="U323" s="27" t="s">
        <v>2993</v>
      </c>
      <c r="V323" s="19" t="s">
        <v>2738</v>
      </c>
      <c r="W323" s="30">
        <v>2014</v>
      </c>
      <c r="X323" t="s">
        <v>2993</v>
      </c>
      <c r="Y323" s="28">
        <v>41873</v>
      </c>
      <c r="Z323" s="28" t="str">
        <f>TRIM(A323)</f>
        <v>ID-2014-JB1600059-41873</v>
      </c>
      <c r="AA323">
        <f t="shared" si="20"/>
        <v>2014</v>
      </c>
      <c r="AB323">
        <f t="shared" si="21"/>
        <v>8</v>
      </c>
      <c r="AC323">
        <f t="shared" si="22"/>
        <v>6</v>
      </c>
      <c r="AD323">
        <f t="shared" si="23"/>
        <v>4</v>
      </c>
      <c r="AE323" s="62">
        <f>IF(I323="missing", IFERROR(INDEX([1]lookup!$I:$I, MATCH($A323, [1]lookup!$B:$B, 0)), 0), I323)</f>
        <v>3200.5962</v>
      </c>
    </row>
    <row r="324" spans="1:31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>PROPER(D324)</f>
        <v>Barry Franz</v>
      </c>
      <c r="P324" s="8" t="str">
        <f>LEFT(A324,2)</f>
        <v>IN</v>
      </c>
      <c r="Q324" s="8" t="str">
        <f>MID(A324,4,4)</f>
        <v>2015</v>
      </c>
      <c r="R324" s="8" t="str">
        <f>UPPER(M324)</f>
        <v>HIGH</v>
      </c>
      <c r="S324" s="8" t="str">
        <f>LOWER(G324)</f>
        <v>technology</v>
      </c>
      <c r="T324" s="18" t="str">
        <f>RIGHT(A324,5)</f>
        <v>42319</v>
      </c>
      <c r="U324" s="27" t="s">
        <v>2994</v>
      </c>
      <c r="V324" s="16" t="s">
        <v>2686</v>
      </c>
      <c r="W324" s="30">
        <v>2015</v>
      </c>
      <c r="X324" t="s">
        <v>2994</v>
      </c>
      <c r="Y324" s="28">
        <v>42319</v>
      </c>
      <c r="Z324" s="28" t="str">
        <f>TRIM(A324)</f>
        <v>IN-2015-BF1100558-42319</v>
      </c>
      <c r="AA324">
        <f t="shared" si="20"/>
        <v>2015</v>
      </c>
      <c r="AB324">
        <f t="shared" si="21"/>
        <v>11</v>
      </c>
      <c r="AC324">
        <f t="shared" si="22"/>
        <v>4</v>
      </c>
      <c r="AD324">
        <f t="shared" si="23"/>
        <v>4</v>
      </c>
      <c r="AE324" s="62">
        <f>IF(I324="missing", IFERROR(INDEX([1]lookup!$I:$I, MATCH($A324, [1]lookup!$B:$B, 0)), 0), I324)</f>
        <v>4518.78</v>
      </c>
    </row>
    <row r="325" spans="1:31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>PROPER(D325)</f>
        <v>Vivek Grady</v>
      </c>
      <c r="P325" s="13" t="str">
        <f>LEFT(A325,2)</f>
        <v>IN</v>
      </c>
      <c r="Q325" s="13" t="str">
        <f>MID(A325,4,4)</f>
        <v>2015</v>
      </c>
      <c r="R325" s="13" t="str">
        <f>UPPER(M325)</f>
        <v>MEDIUM</v>
      </c>
      <c r="S325" s="13" t="str">
        <f>LOWER(G325)</f>
        <v>furniture</v>
      </c>
      <c r="T325" s="21" t="str">
        <f>RIGHT(A325,5)</f>
        <v>42273</v>
      </c>
      <c r="U325" s="27" t="s">
        <v>2995</v>
      </c>
      <c r="V325" s="19" t="s">
        <v>2686</v>
      </c>
      <c r="W325" s="30">
        <v>2015</v>
      </c>
      <c r="X325" t="s">
        <v>2995</v>
      </c>
      <c r="Y325" s="28">
        <v>42273</v>
      </c>
      <c r="Z325" s="28" t="str">
        <f>TRIM(A325)</f>
        <v>IN-2015-VG2180558-42273</v>
      </c>
      <c r="AA325">
        <f t="shared" si="20"/>
        <v>2015</v>
      </c>
      <c r="AB325">
        <f t="shared" si="21"/>
        <v>9</v>
      </c>
      <c r="AC325">
        <f t="shared" si="22"/>
        <v>7</v>
      </c>
      <c r="AD325">
        <f t="shared" si="23"/>
        <v>2</v>
      </c>
      <c r="AE325" s="62">
        <f>IF(I325="missing", IFERROR(INDEX([1]lookup!$I:$I, MATCH($A325, [1]lookup!$B:$B, 0)), 0), I325)</f>
        <v>5667.87</v>
      </c>
    </row>
    <row r="326" spans="1:31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>PROPER(D326)</f>
        <v>Greg Tran</v>
      </c>
      <c r="P326" s="8" t="str">
        <f>LEFT(A326,2)</f>
        <v>ES</v>
      </c>
      <c r="Q326" s="8" t="str">
        <f>MID(A326,4,4)</f>
        <v>2013</v>
      </c>
      <c r="R326" s="8" t="str">
        <f>UPPER(M326)</f>
        <v>HIGH</v>
      </c>
      <c r="S326" s="8" t="str">
        <f>LOWER(G326)</f>
        <v>technology</v>
      </c>
      <c r="T326" s="18" t="str">
        <f>RIGHT(A326,5)</f>
        <v>41621</v>
      </c>
      <c r="U326" s="27" t="s">
        <v>2996</v>
      </c>
      <c r="V326" s="16" t="s">
        <v>2743</v>
      </c>
      <c r="W326" s="30">
        <v>2013</v>
      </c>
      <c r="X326" t="s">
        <v>2996</v>
      </c>
      <c r="Y326" s="28">
        <v>41621</v>
      </c>
      <c r="Z326" s="28" t="str">
        <f>TRIM(A326)</f>
        <v>ES-2013-GT14710139-41621</v>
      </c>
      <c r="AA326">
        <f t="shared" si="20"/>
        <v>2013</v>
      </c>
      <c r="AB326">
        <f t="shared" si="21"/>
        <v>12</v>
      </c>
      <c r="AC326">
        <f t="shared" si="22"/>
        <v>6</v>
      </c>
      <c r="AD326">
        <f t="shared" si="23"/>
        <v>4</v>
      </c>
      <c r="AE326" s="62">
        <f>IF(I326="missing", IFERROR(INDEX([1]lookup!$I:$I, MATCH($A326, [1]lookup!$B:$B, 0)), 0), I326)</f>
        <v>5785.0199999999904</v>
      </c>
    </row>
    <row r="327" spans="1:31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>PROPER(D327)</f>
        <v>Zuschuss Carroll</v>
      </c>
      <c r="P327" s="13" t="str">
        <f>LEFT(A327,2)</f>
        <v>IT</v>
      </c>
      <c r="Q327" s="13" t="str">
        <f>MID(A327,4,4)</f>
        <v>2012</v>
      </c>
      <c r="R327" s="13" t="str">
        <f>UPPER(M327)</f>
        <v>CRITICAL</v>
      </c>
      <c r="S327" s="13" t="str">
        <f>LOWER(G327)</f>
        <v>office supplies</v>
      </c>
      <c r="T327" s="21" t="str">
        <f>RIGHT(A327,5)</f>
        <v>41174</v>
      </c>
      <c r="U327" s="27" t="s">
        <v>2997</v>
      </c>
      <c r="V327" s="19" t="s">
        <v>2710</v>
      </c>
      <c r="W327" s="30">
        <v>2012</v>
      </c>
      <c r="X327" t="s">
        <v>2997</v>
      </c>
      <c r="Y327" s="28">
        <v>41174</v>
      </c>
      <c r="Z327" s="28" t="str">
        <f>TRIM(A327)</f>
        <v>IT-2012-ZC2191048-41174</v>
      </c>
      <c r="AA327">
        <f t="shared" si="20"/>
        <v>2012</v>
      </c>
      <c r="AB327">
        <f t="shared" si="21"/>
        <v>9</v>
      </c>
      <c r="AC327">
        <f t="shared" si="22"/>
        <v>7</v>
      </c>
      <c r="AD327">
        <f t="shared" si="23"/>
        <v>2</v>
      </c>
      <c r="AE327" s="62">
        <f>IF(I327="missing", IFERROR(INDEX([1]lookup!$I:$I, MATCH($A327, [1]lookup!$B:$B, 0)), 0), I327)</f>
        <v>3018.6239999999998</v>
      </c>
    </row>
    <row r="328" spans="1:31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>PROPER(D328)</f>
        <v>Arthur Prichep</v>
      </c>
      <c r="P328" s="8" t="str">
        <f>LEFT(A328,2)</f>
        <v>IN</v>
      </c>
      <c r="Q328" s="8" t="str">
        <f>MID(A328,4,4)</f>
        <v>2015</v>
      </c>
      <c r="R328" s="8" t="str">
        <f>UPPER(M328)</f>
        <v>HIGH</v>
      </c>
      <c r="S328" s="8" t="str">
        <f>LOWER(G328)</f>
        <v>furniture</v>
      </c>
      <c r="T328" s="18" t="str">
        <f>RIGHT(A328,5)</f>
        <v>42244</v>
      </c>
      <c r="U328" s="27" t="s">
        <v>2970</v>
      </c>
      <c r="V328" s="16" t="s">
        <v>2686</v>
      </c>
      <c r="W328" s="30">
        <v>2015</v>
      </c>
      <c r="X328" t="s">
        <v>2970</v>
      </c>
      <c r="Y328" s="28">
        <v>42244</v>
      </c>
      <c r="Z328" s="28" t="str">
        <f>TRIM(A328)</f>
        <v>IN-2015-AP1091527-42244</v>
      </c>
      <c r="AA328">
        <f t="shared" si="20"/>
        <v>2015</v>
      </c>
      <c r="AB328">
        <f t="shared" si="21"/>
        <v>8</v>
      </c>
      <c r="AC328">
        <f t="shared" si="22"/>
        <v>6</v>
      </c>
      <c r="AD328">
        <f t="shared" si="23"/>
        <v>1</v>
      </c>
      <c r="AE328" s="62">
        <f>IF(I328="missing", IFERROR(INDEX([1]lookup!$I:$I, MATCH($A328, [1]lookup!$B:$B, 0)), 0), I328)</f>
        <v>2761.2</v>
      </c>
    </row>
    <row r="329" spans="1:31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>PROPER(D329)</f>
        <v>John Huston</v>
      </c>
      <c r="P329" s="13" t="str">
        <f>LEFT(A329,2)</f>
        <v>MX</v>
      </c>
      <c r="Q329" s="13" t="str">
        <f>MID(A329,4,4)</f>
        <v>2015</v>
      </c>
      <c r="R329" s="13" t="str">
        <f>UPPER(M329)</f>
        <v>HIGH</v>
      </c>
      <c r="S329" s="13" t="str">
        <f>LOWER(G329)</f>
        <v>furniture</v>
      </c>
      <c r="T329" s="21" t="str">
        <f>RIGHT(A329,5)</f>
        <v>42356</v>
      </c>
      <c r="U329" s="27" t="s">
        <v>2998</v>
      </c>
      <c r="V329" s="19" t="s">
        <v>2718</v>
      </c>
      <c r="W329" s="30">
        <v>2015</v>
      </c>
      <c r="X329" t="s">
        <v>2998</v>
      </c>
      <c r="Y329" s="28">
        <v>42356</v>
      </c>
      <c r="Z329" s="28" t="str">
        <f>TRIM(A329)</f>
        <v>MX-2015-JH15820141-42356</v>
      </c>
      <c r="AA329">
        <f t="shared" si="20"/>
        <v>0</v>
      </c>
      <c r="AB329">
        <f t="shared" si="21"/>
        <v>0</v>
      </c>
      <c r="AC329">
        <f t="shared" si="22"/>
        <v>0</v>
      </c>
      <c r="AD329">
        <f t="shared" si="23"/>
        <v>0</v>
      </c>
      <c r="AE329" s="62">
        <f>IF(I329="missing", IFERROR(INDEX([1]lookup!$I:$I, MATCH($A329, [1]lookup!$B:$B, 0)), 0), I329)</f>
        <v>0</v>
      </c>
    </row>
    <row r="330" spans="1:31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>PROPER(D330)</f>
        <v>Trudy Glocke</v>
      </c>
      <c r="P330" s="8" t="str">
        <f>LEFT(A330,2)</f>
        <v>IR</v>
      </c>
      <c r="Q330" s="8" t="str">
        <f>MID(A330,4,4)</f>
        <v>2015</v>
      </c>
      <c r="R330" s="8" t="str">
        <f>UPPER(M330)</f>
        <v>CRITICAL</v>
      </c>
      <c r="S330" s="8" t="str">
        <f>LOWER(G330)</f>
        <v>technology</v>
      </c>
      <c r="T330" s="18" t="str">
        <f>RIGHT(A330,5)</f>
        <v>42265</v>
      </c>
      <c r="U330" s="27" t="s">
        <v>2999</v>
      </c>
      <c r="V330" s="16" t="s">
        <v>2814</v>
      </c>
      <c r="W330" s="30">
        <v>2015</v>
      </c>
      <c r="X330" t="s">
        <v>2999</v>
      </c>
      <c r="Y330" s="28">
        <v>42265</v>
      </c>
      <c r="Z330" s="28" t="str">
        <f>TRIM(A330)</f>
        <v>IR-2015-TG1164060-42265</v>
      </c>
      <c r="AA330">
        <f t="shared" si="20"/>
        <v>2015</v>
      </c>
      <c r="AB330">
        <f t="shared" si="21"/>
        <v>9</v>
      </c>
      <c r="AC330">
        <f t="shared" si="22"/>
        <v>6</v>
      </c>
      <c r="AD330">
        <f t="shared" si="23"/>
        <v>3</v>
      </c>
      <c r="AE330" s="62">
        <f>IF(I330="missing", IFERROR(INDEX([1]lookup!$I:$I, MATCH($A330, [1]lookup!$B:$B, 0)), 0), I330)</f>
        <v>2108.64</v>
      </c>
    </row>
    <row r="331" spans="1:31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>PROPER(D331)</f>
        <v>Mitch Webber</v>
      </c>
      <c r="P331" s="13" t="str">
        <f>LEFT(A331,2)</f>
        <v>IN</v>
      </c>
      <c r="Q331" s="13" t="str">
        <f>MID(A331,4,4)</f>
        <v>2015</v>
      </c>
      <c r="R331" s="13" t="str">
        <f>UPPER(M331)</f>
        <v>HIGH</v>
      </c>
      <c r="S331" s="13" t="str">
        <f>LOWER(G331)</f>
        <v>office supplies</v>
      </c>
      <c r="T331" s="21" t="str">
        <f>RIGHT(A331,5)</f>
        <v>42221</v>
      </c>
      <c r="U331" s="27" t="s">
        <v>3000</v>
      </c>
      <c r="V331" s="19" t="s">
        <v>2686</v>
      </c>
      <c r="W331" s="30">
        <v>2015</v>
      </c>
      <c r="X331" t="s">
        <v>3000</v>
      </c>
      <c r="Y331" s="28">
        <v>42221</v>
      </c>
      <c r="Z331" s="28" t="str">
        <f>TRIM(A331)</f>
        <v>IN-2015-MW182207-42221</v>
      </c>
      <c r="AA331">
        <f t="shared" si="20"/>
        <v>2015</v>
      </c>
      <c r="AB331">
        <f t="shared" si="21"/>
        <v>8</v>
      </c>
      <c r="AC331">
        <f t="shared" si="22"/>
        <v>4</v>
      </c>
      <c r="AD331">
        <f t="shared" si="23"/>
        <v>1</v>
      </c>
      <c r="AE331" s="62">
        <f>IF(I331="missing", IFERROR(INDEX([1]lookup!$I:$I, MATCH($A331, [1]lookup!$B:$B, 0)), 0), I331)</f>
        <v>4191.5069999999996</v>
      </c>
    </row>
    <row r="332" spans="1:31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>PROPER(D332)</f>
        <v>Aaron Hawkins</v>
      </c>
      <c r="P332" s="8" t="str">
        <f>LEFT(A332,2)</f>
        <v>CA</v>
      </c>
      <c r="Q332" s="8" t="str">
        <f>MID(A332,4,4)</f>
        <v>2015</v>
      </c>
      <c r="R332" s="8" t="str">
        <f>UPPER(M332)</f>
        <v>MEDIUM</v>
      </c>
      <c r="S332" s="8" t="str">
        <f>LOWER(G332)</f>
        <v>office supplies</v>
      </c>
      <c r="T332" s="18" t="str">
        <f>RIGHT(A332,5)</f>
        <v>42357</v>
      </c>
      <c r="U332" s="27" t="s">
        <v>2702</v>
      </c>
      <c r="V332" s="16" t="s">
        <v>2689</v>
      </c>
      <c r="W332" s="30">
        <v>2015</v>
      </c>
      <c r="X332" t="s">
        <v>2702</v>
      </c>
      <c r="Y332" s="28">
        <v>42357</v>
      </c>
      <c r="Z332" s="28" t="str">
        <f>TRIM(A332)</f>
        <v>CA-2015-AH10030140-42357</v>
      </c>
      <c r="AA332">
        <f t="shared" si="20"/>
        <v>2015</v>
      </c>
      <c r="AB332">
        <f t="shared" si="21"/>
        <v>12</v>
      </c>
      <c r="AC332">
        <f t="shared" si="22"/>
        <v>7</v>
      </c>
      <c r="AD332">
        <f t="shared" si="23"/>
        <v>4</v>
      </c>
      <c r="AE332" s="62">
        <f>IF(I332="missing", IFERROR(INDEX([1]lookup!$I:$I, MATCH($A332, [1]lookup!$B:$B, 0)), 0), I332)</f>
        <v>18.704000000000001</v>
      </c>
    </row>
    <row r="333" spans="1:31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>PROPER(D333)</f>
        <v>Michael Stewart</v>
      </c>
      <c r="P333" s="13" t="str">
        <f>LEFT(A333,2)</f>
        <v>ES</v>
      </c>
      <c r="Q333" s="13" t="str">
        <f>MID(A333,4,4)</f>
        <v>2015</v>
      </c>
      <c r="R333" s="13" t="str">
        <f>UPPER(M333)</f>
        <v>MEDIUM</v>
      </c>
      <c r="S333" s="13" t="str">
        <f>LOWER(G333)</f>
        <v>technology</v>
      </c>
      <c r="T333" s="21" t="str">
        <f>RIGHT(A333,5)</f>
        <v>42227</v>
      </c>
      <c r="U333" s="27" t="s">
        <v>3001</v>
      </c>
      <c r="V333" s="19" t="s">
        <v>2743</v>
      </c>
      <c r="W333" s="30">
        <v>2015</v>
      </c>
      <c r="X333" t="s">
        <v>3001</v>
      </c>
      <c r="Y333" s="28">
        <v>42227</v>
      </c>
      <c r="Z333" s="28" t="str">
        <f>TRIM(A333)</f>
        <v>ES-2015-MS1798048-42227</v>
      </c>
      <c r="AA333">
        <f t="shared" si="20"/>
        <v>2015</v>
      </c>
      <c r="AB333">
        <f t="shared" si="21"/>
        <v>8</v>
      </c>
      <c r="AC333">
        <f t="shared" si="22"/>
        <v>3</v>
      </c>
      <c r="AD333">
        <f t="shared" si="23"/>
        <v>5</v>
      </c>
      <c r="AE333" s="62">
        <f>IF(I333="missing", IFERROR(INDEX([1]lookup!$I:$I, MATCH($A333, [1]lookup!$B:$B, 0)), 0), I333)</f>
        <v>4473</v>
      </c>
    </row>
    <row r="334" spans="1:31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>PROPER(D334)</f>
        <v>Kimberly Carter</v>
      </c>
      <c r="P334" s="8" t="str">
        <f>LEFT(A334,2)</f>
        <v>IT</v>
      </c>
      <c r="Q334" s="8" t="str">
        <f>MID(A334,4,4)</f>
        <v>2014</v>
      </c>
      <c r="R334" s="8" t="str">
        <f>UPPER(M334)</f>
        <v>CRITICAL</v>
      </c>
      <c r="S334" s="8" t="str">
        <f>LOWER(G334)</f>
        <v>technology</v>
      </c>
      <c r="T334" s="18" t="str">
        <f>RIGHT(A334,5)</f>
        <v>41882</v>
      </c>
      <c r="U334" s="27" t="s">
        <v>2964</v>
      </c>
      <c r="V334" s="16" t="s">
        <v>2710</v>
      </c>
      <c r="W334" s="30">
        <v>2014</v>
      </c>
      <c r="X334" t="s">
        <v>2964</v>
      </c>
      <c r="Y334" s="28">
        <v>41882</v>
      </c>
      <c r="Z334" s="28" t="str">
        <f>TRIM(A334)</f>
        <v>IT-2014-KC1667548-41882</v>
      </c>
      <c r="AA334">
        <f t="shared" si="20"/>
        <v>2014</v>
      </c>
      <c r="AB334">
        <f t="shared" si="21"/>
        <v>8</v>
      </c>
      <c r="AC334">
        <f t="shared" si="22"/>
        <v>1</v>
      </c>
      <c r="AD334">
        <f t="shared" si="23"/>
        <v>3</v>
      </c>
      <c r="AE334" s="62">
        <f>IF(I334="missing", IFERROR(INDEX([1]lookup!$I:$I, MATCH($A334, [1]lookup!$B:$B, 0)), 0), I334)</f>
        <v>1502.01</v>
      </c>
    </row>
    <row r="335" spans="1:31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>PROPER(D335)</f>
        <v>Denny Blanton</v>
      </c>
      <c r="P335" s="13" t="str">
        <f>LEFT(A335,2)</f>
        <v>IN</v>
      </c>
      <c r="Q335" s="13" t="str">
        <f>MID(A335,4,4)</f>
        <v>2015</v>
      </c>
      <c r="R335" s="13" t="str">
        <f>UPPER(M335)</f>
        <v>HIGH</v>
      </c>
      <c r="S335" s="13" t="str">
        <f>LOWER(G335)</f>
        <v>furniture</v>
      </c>
      <c r="T335" s="21" t="str">
        <f>RIGHT(A335,5)</f>
        <v>42022</v>
      </c>
      <c r="U335" s="27" t="s">
        <v>3002</v>
      </c>
      <c r="V335" s="19" t="s">
        <v>2686</v>
      </c>
      <c r="W335" s="30">
        <v>2015</v>
      </c>
      <c r="X335" t="s">
        <v>3002</v>
      </c>
      <c r="Y335" s="28">
        <v>42022</v>
      </c>
      <c r="Z335" s="28" t="str">
        <f>TRIM(A335)</f>
        <v>IN-2015-DB1340527-42022</v>
      </c>
      <c r="AA335">
        <f t="shared" si="20"/>
        <v>2015</v>
      </c>
      <c r="AB335">
        <f t="shared" si="21"/>
        <v>1</v>
      </c>
      <c r="AC335">
        <f t="shared" si="22"/>
        <v>1</v>
      </c>
      <c r="AD335">
        <f t="shared" si="23"/>
        <v>5</v>
      </c>
      <c r="AE335" s="62">
        <f>IF(I335="missing", IFERROR(INDEX([1]lookup!$I:$I, MATCH($A335, [1]lookup!$B:$B, 0)), 0), I335)</f>
        <v>5048.99999999999</v>
      </c>
    </row>
    <row r="336" spans="1:31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>PROPER(D336)</f>
        <v>Alan Schoenberger</v>
      </c>
      <c r="P336" s="8" t="str">
        <f>LEFT(A336,2)</f>
        <v>IN</v>
      </c>
      <c r="Q336" s="8" t="str">
        <f>MID(A336,4,4)</f>
        <v>2014</v>
      </c>
      <c r="R336" s="8" t="str">
        <f>UPPER(M336)</f>
        <v>HIGH</v>
      </c>
      <c r="S336" s="8" t="str">
        <f>LOWER(G336)</f>
        <v>furniture</v>
      </c>
      <c r="T336" s="18" t="str">
        <f>RIGHT(A336,5)</f>
        <v>47197</v>
      </c>
      <c r="U336" s="27" t="s">
        <v>3003</v>
      </c>
      <c r="V336" s="16" t="s">
        <v>2686</v>
      </c>
      <c r="W336" s="30">
        <v>2014</v>
      </c>
      <c r="X336" t="s">
        <v>3003</v>
      </c>
      <c r="Y336" s="28">
        <v>47197</v>
      </c>
      <c r="Z336" s="28" t="str">
        <f>TRIM(A336)</f>
        <v>IN-2014-AS1022527-47197</v>
      </c>
      <c r="AA336">
        <f t="shared" si="20"/>
        <v>2014</v>
      </c>
      <c r="AB336">
        <f t="shared" si="21"/>
        <v>7</v>
      </c>
      <c r="AC336">
        <f t="shared" si="22"/>
        <v>1</v>
      </c>
      <c r="AD336">
        <f t="shared" si="23"/>
        <v>-27</v>
      </c>
      <c r="AE336" s="62">
        <f>IF(I336="missing", IFERROR(INDEX([1]lookup!$I:$I, MATCH($A336, [1]lookup!$B:$B, 0)), 0), I336)</f>
        <v>3298.2599999999902</v>
      </c>
    </row>
    <row r="337" spans="1:31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>PROPER(D337)</f>
        <v>Shui Tom</v>
      </c>
      <c r="P337" s="13" t="str">
        <f>LEFT(A337,2)</f>
        <v>MX</v>
      </c>
      <c r="Q337" s="13" t="str">
        <f>MID(A337,4,4)</f>
        <v>2012</v>
      </c>
      <c r="R337" s="13" t="str">
        <f>UPPER(M337)</f>
        <v>MEDIUM</v>
      </c>
      <c r="S337" s="13" t="str">
        <f>LOWER(G337)</f>
        <v>office supplies</v>
      </c>
      <c r="T337" s="21" t="str">
        <f>RIGHT(A337,5)</f>
        <v>41234</v>
      </c>
      <c r="U337" s="27" t="s">
        <v>3004</v>
      </c>
      <c r="V337" s="19" t="s">
        <v>2718</v>
      </c>
      <c r="W337" s="30">
        <v>2012</v>
      </c>
      <c r="X337" t="s">
        <v>3004</v>
      </c>
      <c r="Y337" s="28">
        <v>41234</v>
      </c>
      <c r="Z337" s="28" t="str">
        <f>TRIM(A337)</f>
        <v>MX-2012-ST2053093-41234</v>
      </c>
      <c r="AA337">
        <f t="shared" si="20"/>
        <v>2012</v>
      </c>
      <c r="AB337">
        <f t="shared" si="21"/>
        <v>11</v>
      </c>
      <c r="AC337">
        <f t="shared" si="22"/>
        <v>4</v>
      </c>
      <c r="AD337">
        <f t="shared" si="23"/>
        <v>1</v>
      </c>
      <c r="AE337" s="62">
        <f>IF(I337="missing", IFERROR(INDEX([1]lookup!$I:$I, MATCH($A337, [1]lookup!$B:$B, 0)), 0), I337)</f>
        <v>2443.48</v>
      </c>
    </row>
    <row r="338" spans="1:31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>PROPER(D338)</f>
        <v>Sam Zeldin</v>
      </c>
      <c r="P338" s="8" t="str">
        <f>LEFT(A338,2)</f>
        <v>IN</v>
      </c>
      <c r="Q338" s="8" t="str">
        <f>MID(A338,4,4)</f>
        <v>2012</v>
      </c>
      <c r="R338" s="8" t="str">
        <f>UPPER(M338)</f>
        <v>MEDIUM#</v>
      </c>
      <c r="S338" s="8" t="str">
        <f>LOWER(G338)</f>
        <v>technology</v>
      </c>
      <c r="T338" s="18" t="str">
        <f>RIGHT(A338,5)</f>
        <v>41221</v>
      </c>
      <c r="U338" s="27" t="s">
        <v>3005</v>
      </c>
      <c r="V338" s="16" t="s">
        <v>2686</v>
      </c>
      <c r="W338" s="30">
        <v>2012</v>
      </c>
      <c r="X338" t="s">
        <v>3005</v>
      </c>
      <c r="Y338" s="28">
        <v>41221</v>
      </c>
      <c r="Z338" s="28" t="str">
        <f>TRIM(A338)</f>
        <v>IN-2012-SZ2003527-41221</v>
      </c>
      <c r="AA338">
        <f t="shared" si="20"/>
        <v>2012</v>
      </c>
      <c r="AB338">
        <f t="shared" si="21"/>
        <v>11</v>
      </c>
      <c r="AC338">
        <f t="shared" si="22"/>
        <v>5</v>
      </c>
      <c r="AD338">
        <f t="shared" si="23"/>
        <v>2</v>
      </c>
      <c r="AE338" s="62">
        <f>IF(I338="missing", IFERROR(INDEX([1]lookup!$I:$I, MATCH($A338, [1]lookup!$B:$B, 0)), 0), I338)</f>
        <v>3200.04</v>
      </c>
    </row>
    <row r="339" spans="1:31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>PROPER(D339)</f>
        <v>Dave Poirier</v>
      </c>
      <c r="P339" s="13" t="str">
        <f>LEFT(A339,2)</f>
        <v>MO</v>
      </c>
      <c r="Q339" s="13" t="str">
        <f>MID(A339,4,4)</f>
        <v>2015</v>
      </c>
      <c r="R339" s="13" t="str">
        <f>UPPER(M339)</f>
        <v>MEDIUM</v>
      </c>
      <c r="S339" s="13" t="str">
        <f>LOWER(G339)</f>
        <v>technology</v>
      </c>
      <c r="T339" s="21" t="str">
        <f>RIGHT(A339,5)</f>
        <v>42305</v>
      </c>
      <c r="U339" s="27" t="s">
        <v>3006</v>
      </c>
      <c r="V339" s="19" t="s">
        <v>2721</v>
      </c>
      <c r="W339" s="30">
        <v>2015</v>
      </c>
      <c r="X339" t="s">
        <v>3006</v>
      </c>
      <c r="Y339" s="28">
        <v>42305</v>
      </c>
      <c r="Z339" s="28" t="str">
        <f>TRIM(A339)</f>
        <v>MO-2015-DP310586-42305</v>
      </c>
      <c r="AA339">
        <f t="shared" si="20"/>
        <v>2015</v>
      </c>
      <c r="AB339">
        <f t="shared" si="21"/>
        <v>10</v>
      </c>
      <c r="AC339">
        <f t="shared" si="22"/>
        <v>4</v>
      </c>
      <c r="AD339">
        <f t="shared" si="23"/>
        <v>2</v>
      </c>
      <c r="AE339" s="62">
        <f>IF(I339="missing", IFERROR(INDEX([1]lookup!$I:$I, MATCH($A339, [1]lookup!$B:$B, 0)), 0), I339)</f>
        <v>5301.24</v>
      </c>
    </row>
    <row r="340" spans="1:31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>PROPER(D340)</f>
        <v xml:space="preserve"> Aaron Smayling </v>
      </c>
      <c r="P340" s="8" t="str">
        <f>LEFT(A340,2)</f>
        <v>US</v>
      </c>
      <c r="Q340" s="8" t="str">
        <f>MID(A340,4,4)</f>
        <v>2015</v>
      </c>
      <c r="R340" s="8" t="str">
        <f>UPPER(M340)</f>
        <v>HIGH</v>
      </c>
      <c r="S340" s="8" t="str">
        <f>LOWER(G340)</f>
        <v>office supplies</v>
      </c>
      <c r="T340" s="18" t="str">
        <f>RIGHT(A340,5)</f>
        <v>42252</v>
      </c>
      <c r="U340" s="27" t="s">
        <v>2727</v>
      </c>
      <c r="V340" s="16" t="s">
        <v>2694</v>
      </c>
      <c r="W340" s="30">
        <v>2015</v>
      </c>
      <c r="X340" t="s">
        <v>2727</v>
      </c>
      <c r="Y340" s="28">
        <v>42252</v>
      </c>
      <c r="Z340" s="28" t="str">
        <f>TRIM(A340)</f>
        <v>US-2015-AS10045140-42252</v>
      </c>
      <c r="AA340">
        <f t="shared" si="20"/>
        <v>2015</v>
      </c>
      <c r="AB340">
        <f t="shared" si="21"/>
        <v>9</v>
      </c>
      <c r="AC340">
        <f t="shared" si="22"/>
        <v>7</v>
      </c>
      <c r="AD340">
        <f t="shared" si="23"/>
        <v>1</v>
      </c>
      <c r="AE340" s="62">
        <f>IF(I340="missing", IFERROR(INDEX([1]lookup!$I:$I, MATCH($A340, [1]lookup!$B:$B, 0)), 0), I340)</f>
        <v>88.073999999999998</v>
      </c>
    </row>
    <row r="341" spans="1:31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>PROPER(D341)</f>
        <v>Berenike Kampe</v>
      </c>
      <c r="P341" s="13" t="str">
        <f>LEFT(A341,2)</f>
        <v>IN</v>
      </c>
      <c r="Q341" s="13" t="str">
        <f>MID(A341,4,4)</f>
        <v>2014</v>
      </c>
      <c r="R341" s="13" t="str">
        <f>UPPER(M341)</f>
        <v>MEDIUM</v>
      </c>
      <c r="S341" s="13" t="str">
        <f>LOWER(G341)</f>
        <v>furniture</v>
      </c>
      <c r="T341" s="21" t="str">
        <f>RIGHT(A341,5)</f>
        <v>41940</v>
      </c>
      <c r="U341" s="27" t="s">
        <v>3007</v>
      </c>
      <c r="V341" s="19" t="s">
        <v>2686</v>
      </c>
      <c r="W341" s="30">
        <v>2014</v>
      </c>
      <c r="X341" t="s">
        <v>3007</v>
      </c>
      <c r="Y341" s="28">
        <v>41940</v>
      </c>
      <c r="Z341" s="28" t="str">
        <f>TRIM(A341)</f>
        <v>IN-2014-BK1126011-41940</v>
      </c>
      <c r="AA341">
        <f t="shared" si="20"/>
        <v>2014</v>
      </c>
      <c r="AB341">
        <f t="shared" si="21"/>
        <v>10</v>
      </c>
      <c r="AC341">
        <f t="shared" si="22"/>
        <v>3</v>
      </c>
      <c r="AD341">
        <f t="shared" si="23"/>
        <v>3</v>
      </c>
      <c r="AE341" s="62">
        <f>IF(I341="missing", IFERROR(INDEX([1]lookup!$I:$I, MATCH($A341, [1]lookup!$B:$B, 0)), 0), I341)</f>
        <v>3728.4299999999898</v>
      </c>
    </row>
    <row r="342" spans="1:31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>PROPER(D342)</f>
        <v>Steve Chapman</v>
      </c>
      <c r="P342" s="8" t="str">
        <f>LEFT(A342,2)</f>
        <v>ID</v>
      </c>
      <c r="Q342" s="8" t="str">
        <f>MID(A342,4,4)</f>
        <v>2014</v>
      </c>
      <c r="R342" s="8" t="str">
        <f>UPPER(M342)</f>
        <v>HIGH</v>
      </c>
      <c r="S342" s="8" t="str">
        <f>LOWER(G342)</f>
        <v>furniture</v>
      </c>
      <c r="T342" s="18" t="str">
        <f>RIGHT(A342,5)</f>
        <v>41667</v>
      </c>
      <c r="U342" s="27" t="s">
        <v>3008</v>
      </c>
      <c r="V342" s="16" t="s">
        <v>2738</v>
      </c>
      <c r="W342" s="30">
        <v>2014</v>
      </c>
      <c r="X342" t="s">
        <v>3008</v>
      </c>
      <c r="Y342" s="28">
        <v>41667</v>
      </c>
      <c r="Z342" s="28" t="str">
        <f>TRIM(A342)</f>
        <v>ID-2014-SC20695102-41667</v>
      </c>
      <c r="AA342">
        <f t="shared" si="20"/>
        <v>2014</v>
      </c>
      <c r="AB342">
        <f t="shared" si="21"/>
        <v>1</v>
      </c>
      <c r="AC342">
        <f t="shared" si="22"/>
        <v>3</v>
      </c>
      <c r="AD342">
        <f t="shared" si="23"/>
        <v>2</v>
      </c>
      <c r="AE342" s="62">
        <f>IF(I342="missing", IFERROR(INDEX([1]lookup!$I:$I, MATCH($A342, [1]lookup!$B:$B, 0)), 0), I342)</f>
        <v>0</v>
      </c>
    </row>
    <row r="343" spans="1:31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>PROPER(D343)</f>
        <v>Nick Zandusky</v>
      </c>
      <c r="P343" s="13" t="str">
        <f>LEFT(A343,2)</f>
        <v>IN</v>
      </c>
      <c r="Q343" s="13" t="str">
        <f>MID(A343,4,4)</f>
        <v>2013</v>
      </c>
      <c r="R343" s="13" t="str">
        <f>UPPER(M343)</f>
        <v>MEDIUM</v>
      </c>
      <c r="S343" s="13" t="str">
        <f>LOWER(G343)</f>
        <v>furniture</v>
      </c>
      <c r="T343" s="21" t="str">
        <f>RIGHT(A343,5)</f>
        <v>41606</v>
      </c>
      <c r="U343" s="27" t="s">
        <v>3009</v>
      </c>
      <c r="V343" s="19" t="s">
        <v>2686</v>
      </c>
      <c r="W343" s="30">
        <v>2013</v>
      </c>
      <c r="X343" t="s">
        <v>3009</v>
      </c>
      <c r="Y343" s="28">
        <v>41606</v>
      </c>
      <c r="Z343" s="28" t="str">
        <f>TRIM(A343)</f>
        <v>IN-2013-NZ185657-41606</v>
      </c>
      <c r="AA343">
        <f t="shared" si="20"/>
        <v>2013</v>
      </c>
      <c r="AB343">
        <f t="shared" si="21"/>
        <v>11</v>
      </c>
      <c r="AC343">
        <f t="shared" si="22"/>
        <v>5</v>
      </c>
      <c r="AD343">
        <f t="shared" si="23"/>
        <v>4</v>
      </c>
      <c r="AE343" s="62">
        <f>IF(I343="missing", IFERROR(INDEX([1]lookup!$I:$I, MATCH($A343, [1]lookup!$B:$B, 0)), 0), I343)</f>
        <v>2891.6999999999898</v>
      </c>
    </row>
    <row r="344" spans="1:31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>PROPER(D344)</f>
        <v>Paul Macintyre</v>
      </c>
      <c r="P344" s="8" t="str">
        <f>LEFT(A344,2)</f>
        <v>IT</v>
      </c>
      <c r="Q344" s="8" t="str">
        <f>MID(A344,4,4)</f>
        <v>2013</v>
      </c>
      <c r="R344" s="8" t="str">
        <f>UPPER(M344)</f>
        <v>CRITICAL</v>
      </c>
      <c r="S344" s="8" t="str">
        <f>LOWER(G344)</f>
        <v>technology</v>
      </c>
      <c r="T344" s="18" t="str">
        <f>RIGHT(A344,5)</f>
        <v>41546</v>
      </c>
      <c r="U344" s="27" t="s">
        <v>3010</v>
      </c>
      <c r="V344" s="16" t="s">
        <v>2710</v>
      </c>
      <c r="W344" s="30">
        <v>2013</v>
      </c>
      <c r="X344" t="s">
        <v>3010</v>
      </c>
      <c r="Y344" s="28">
        <v>41546</v>
      </c>
      <c r="Z344" s="28" t="str">
        <f>TRIM(A344)</f>
        <v>IT-2013-PM1984045-41546</v>
      </c>
      <c r="AA344">
        <f t="shared" si="20"/>
        <v>2013</v>
      </c>
      <c r="AB344">
        <f t="shared" si="21"/>
        <v>9</v>
      </c>
      <c r="AC344">
        <f t="shared" si="22"/>
        <v>1</v>
      </c>
      <c r="AD344">
        <f t="shared" si="23"/>
        <v>0</v>
      </c>
      <c r="AE344" s="62">
        <f>IF(I344="missing", IFERROR(INDEX([1]lookup!$I:$I, MATCH($A344, [1]lookup!$B:$B, 0)), 0), I344)</f>
        <v>2016.846</v>
      </c>
    </row>
    <row r="345" spans="1:31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>PROPER(D345)</f>
        <v>Maria Zettner</v>
      </c>
      <c r="P345" s="13" t="str">
        <f>LEFT(A345,2)</f>
        <v>ES</v>
      </c>
      <c r="Q345" s="13" t="str">
        <f>MID(A345,4,4)</f>
        <v>2014</v>
      </c>
      <c r="R345" s="13" t="str">
        <f>UPPER(M345)</f>
        <v>HIGH</v>
      </c>
      <c r="S345" s="13" t="str">
        <f>LOWER(G345)</f>
        <v>office supplies</v>
      </c>
      <c r="T345" s="21" t="str">
        <f>RIGHT(A345,5)</f>
        <v>41885</v>
      </c>
      <c r="U345" s="27" t="s">
        <v>3011</v>
      </c>
      <c r="V345" s="19" t="s">
        <v>2743</v>
      </c>
      <c r="W345" s="30">
        <v>2014</v>
      </c>
      <c r="X345" t="s">
        <v>3011</v>
      </c>
      <c r="Y345" s="28">
        <v>41885</v>
      </c>
      <c r="Z345" s="28" t="str">
        <f>TRIM(A345)</f>
        <v>ES-2014-MZ1733545-41885</v>
      </c>
      <c r="AA345">
        <f t="shared" si="20"/>
        <v>2014</v>
      </c>
      <c r="AB345">
        <f t="shared" si="21"/>
        <v>3</v>
      </c>
      <c r="AC345">
        <f t="shared" si="22"/>
        <v>1</v>
      </c>
      <c r="AD345">
        <f t="shared" si="23"/>
        <v>180</v>
      </c>
      <c r="AE345" s="62">
        <f>IF(I345="missing", IFERROR(INDEX([1]lookup!$I:$I, MATCH($A345, [1]lookup!$B:$B, 0)), 0), I345)</f>
        <v>3155.5439999999999</v>
      </c>
    </row>
    <row r="346" spans="1:31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>PROPER(D346)</f>
        <v>Rick Wilson</v>
      </c>
      <c r="P346" s="8" t="str">
        <f>LEFT(A346,2)</f>
        <v>IN</v>
      </c>
      <c r="Q346" s="8" t="str">
        <f>MID(A346,4,4)</f>
        <v>2015</v>
      </c>
      <c r="R346" s="8" t="str">
        <f>UPPER(M346)</f>
        <v>LOW</v>
      </c>
      <c r="S346" s="8" t="str">
        <f>LOWER(G346)</f>
        <v>technology</v>
      </c>
      <c r="T346" s="18" t="str">
        <f>RIGHT(A346,5)</f>
        <v>42327</v>
      </c>
      <c r="U346" s="27" t="s">
        <v>3012</v>
      </c>
      <c r="V346" s="16" t="s">
        <v>2686</v>
      </c>
      <c r="W346" s="30">
        <v>2015</v>
      </c>
      <c r="X346" t="s">
        <v>3012</v>
      </c>
      <c r="Y346" s="28">
        <v>42327</v>
      </c>
      <c r="Z346" s="28" t="str">
        <f>TRIM(A346)</f>
        <v>IN-2015-RW195407-42327</v>
      </c>
      <c r="AA346">
        <f t="shared" si="20"/>
        <v>2015</v>
      </c>
      <c r="AB346">
        <f t="shared" si="21"/>
        <v>11</v>
      </c>
      <c r="AC346">
        <f t="shared" si="22"/>
        <v>5</v>
      </c>
      <c r="AD346">
        <f t="shared" si="23"/>
        <v>6</v>
      </c>
      <c r="AE346" s="62">
        <f>IF(I346="missing", IFERROR(INDEX([1]lookup!$I:$I, MATCH($A346, [1]lookup!$B:$B, 0)), 0), I346)</f>
        <v>3524.4720000000002</v>
      </c>
    </row>
    <row r="347" spans="1:31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>PROPER(D347)</f>
        <v>Aaron Smayling</v>
      </c>
      <c r="P347" s="13" t="str">
        <f>LEFT(A347,2)</f>
        <v>US</v>
      </c>
      <c r="Q347" s="13" t="str">
        <f>MID(A347,4,4)</f>
        <v>2012</v>
      </c>
      <c r="R347" s="13" t="str">
        <f>UPPER(M347)</f>
        <v>MEDIUM</v>
      </c>
      <c r="S347" s="13" t="str">
        <f>LOWER(G347)</f>
        <v>office supplies</v>
      </c>
      <c r="T347" s="21" t="str">
        <f>RIGHT(A347,5)</f>
        <v>41116</v>
      </c>
      <c r="U347" s="27" t="s">
        <v>2727</v>
      </c>
      <c r="V347" s="19" t="s">
        <v>2694</v>
      </c>
      <c r="W347" s="30">
        <v>2012</v>
      </c>
      <c r="X347" t="s">
        <v>2727</v>
      </c>
      <c r="Y347" s="28">
        <v>41116</v>
      </c>
      <c r="Z347" s="28" t="str">
        <f>TRIM(A347)</f>
        <v>US-2012-AS10045140-41116</v>
      </c>
      <c r="AA347">
        <f t="shared" si="20"/>
        <v>2012</v>
      </c>
      <c r="AB347">
        <f t="shared" si="21"/>
        <v>7</v>
      </c>
      <c r="AC347">
        <f t="shared" si="22"/>
        <v>5</v>
      </c>
      <c r="AD347">
        <f t="shared" si="23"/>
        <v>6</v>
      </c>
      <c r="AE347" s="62">
        <f>IF(I347="missing", IFERROR(INDEX([1]lookup!$I:$I, MATCH($A347, [1]lookup!$B:$B, 0)), 0), I347)</f>
        <v>65.78</v>
      </c>
    </row>
    <row r="348" spans="1:31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>PROPER(D348)</f>
        <v>Dave Brooks</v>
      </c>
      <c r="P348" s="8" t="str">
        <f>LEFT(A348,2)</f>
        <v>IN</v>
      </c>
      <c r="Q348" s="8" t="str">
        <f>MID(A348,4,4)</f>
        <v>2014</v>
      </c>
      <c r="R348" s="8" t="str">
        <f>UPPER(M348)</f>
        <v>HIGH</v>
      </c>
      <c r="S348" s="8" t="str">
        <f>LOWER(G348)</f>
        <v>office supplies</v>
      </c>
      <c r="T348" s="18" t="str">
        <f>RIGHT(A348,5)</f>
        <v>41999</v>
      </c>
      <c r="U348" s="27" t="s">
        <v>3013</v>
      </c>
      <c r="V348" s="16" t="s">
        <v>2686</v>
      </c>
      <c r="W348" s="30">
        <v>2014</v>
      </c>
      <c r="X348" t="s">
        <v>3013</v>
      </c>
      <c r="Y348" s="28">
        <v>41999</v>
      </c>
      <c r="Z348" s="28" t="str">
        <f>TRIM(A348)</f>
        <v>IN-2014-DB130607-41999</v>
      </c>
      <c r="AA348">
        <f t="shared" si="20"/>
        <v>2014</v>
      </c>
      <c r="AB348">
        <f t="shared" si="21"/>
        <v>12</v>
      </c>
      <c r="AC348">
        <f t="shared" si="22"/>
        <v>6</v>
      </c>
      <c r="AD348">
        <f t="shared" si="23"/>
        <v>0</v>
      </c>
      <c r="AE348" s="62">
        <f>IF(I348="missing", IFERROR(INDEX([1]lookup!$I:$I, MATCH($A348, [1]lookup!$B:$B, 0)), 0), I348)</f>
        <v>3739.1759999999899</v>
      </c>
    </row>
    <row r="349" spans="1:31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>PROPER(D349)</f>
        <v>Valerie Mitchum</v>
      </c>
      <c r="P349" s="13" t="str">
        <f>LEFT(A349,2)</f>
        <v>IT</v>
      </c>
      <c r="Q349" s="13" t="str">
        <f>MID(A349,4,4)</f>
        <v>2014</v>
      </c>
      <c r="R349" s="13" t="str">
        <f>UPPER(M349)</f>
        <v>HIGH</v>
      </c>
      <c r="S349" s="13" t="str">
        <f>LOWER(G349)</f>
        <v>furniture</v>
      </c>
      <c r="T349" s="21" t="str">
        <f>RIGHT(A349,5)</f>
        <v>41711</v>
      </c>
      <c r="U349" s="27" t="s">
        <v>3014</v>
      </c>
      <c r="V349" s="19" t="s">
        <v>2710</v>
      </c>
      <c r="W349" s="30">
        <v>2014</v>
      </c>
      <c r="X349" t="s">
        <v>3014</v>
      </c>
      <c r="Y349" s="28">
        <v>41711</v>
      </c>
      <c r="Z349" s="28" t="str">
        <f>TRIM(A349)</f>
        <v>IT-2014-VM2168591-41711</v>
      </c>
      <c r="AA349">
        <f t="shared" si="20"/>
        <v>2014</v>
      </c>
      <c r="AB349">
        <f t="shared" si="21"/>
        <v>3</v>
      </c>
      <c r="AC349">
        <f t="shared" si="22"/>
        <v>5</v>
      </c>
      <c r="AD349">
        <f t="shared" si="23"/>
        <v>0</v>
      </c>
      <c r="AE349" s="62">
        <f>IF(I349="missing", IFERROR(INDEX([1]lookup!$I:$I, MATCH($A349, [1]lookup!$B:$B, 0)), 0), I349)</f>
        <v>2570.8649999999998</v>
      </c>
    </row>
    <row r="350" spans="1:31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>PROPER(D350)</f>
        <v>Don Miller</v>
      </c>
      <c r="P350" s="8" t="str">
        <f>LEFT(A350,2)</f>
        <v>ES</v>
      </c>
      <c r="Q350" s="8" t="str">
        <f>MID(A350,4,4)</f>
        <v>2013</v>
      </c>
      <c r="R350" s="8" t="str">
        <f>UPPER(M350)</f>
        <v>HIGH</v>
      </c>
      <c r="S350" s="8" t="str">
        <f>LOWER(G350)</f>
        <v>technology</v>
      </c>
      <c r="T350" s="18" t="str">
        <f>RIGHT(A350,5)</f>
        <v>41369</v>
      </c>
      <c r="U350" s="27" t="s">
        <v>3015</v>
      </c>
      <c r="V350" s="16" t="s">
        <v>2743</v>
      </c>
      <c r="W350" s="30">
        <v>2013</v>
      </c>
      <c r="X350" t="s">
        <v>3015</v>
      </c>
      <c r="Y350" s="28">
        <v>41369</v>
      </c>
      <c r="Z350" s="28" t="str">
        <f>TRIM(A350)</f>
        <v>ES-2013-DM1352548-41369</v>
      </c>
      <c r="AA350">
        <f t="shared" si="20"/>
        <v>2013</v>
      </c>
      <c r="AB350">
        <f t="shared" si="21"/>
        <v>4</v>
      </c>
      <c r="AC350">
        <f t="shared" si="22"/>
        <v>6</v>
      </c>
      <c r="AD350">
        <f t="shared" si="23"/>
        <v>0</v>
      </c>
      <c r="AE350" s="62">
        <f>IF(I350="missing", IFERROR(INDEX([1]lookup!$I:$I, MATCH($A350, [1]lookup!$B:$B, 0)), 0), I350)</f>
        <v>2875.77</v>
      </c>
    </row>
    <row r="351" spans="1:31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>PROPER(D351)</f>
        <v>Odella Nelson</v>
      </c>
      <c r="P351" s="13" t="str">
        <f>LEFT(A351,2)</f>
        <v>IT</v>
      </c>
      <c r="Q351" s="13" t="str">
        <f>MID(A351,4,4)</f>
        <v>2012</v>
      </c>
      <c r="R351" s="13" t="str">
        <f>UPPER(M351)</f>
        <v>MEDIUM</v>
      </c>
      <c r="S351" s="13" t="str">
        <f>LOWER(G351)</f>
        <v>furniture</v>
      </c>
      <c r="T351" s="21" t="str">
        <f>RIGHT(A351,5)</f>
        <v>40955</v>
      </c>
      <c r="U351" s="27" t="s">
        <v>3016</v>
      </c>
      <c r="V351" s="19" t="s">
        <v>2710</v>
      </c>
      <c r="W351" s="30">
        <v>2012</v>
      </c>
      <c r="X351" t="s">
        <v>3016</v>
      </c>
      <c r="Y351" s="28">
        <v>40955</v>
      </c>
      <c r="Z351" s="28" t="str">
        <f>TRIM(A351)</f>
        <v>IT-2012-ON1871545-40955</v>
      </c>
      <c r="AA351">
        <f t="shared" si="20"/>
        <v>2012</v>
      </c>
      <c r="AB351">
        <f t="shared" si="21"/>
        <v>2</v>
      </c>
      <c r="AC351">
        <f t="shared" si="22"/>
        <v>5</v>
      </c>
      <c r="AD351">
        <f t="shared" si="23"/>
        <v>3</v>
      </c>
      <c r="AE351" s="62">
        <f>IF(I351="missing", IFERROR(INDEX([1]lookup!$I:$I, MATCH($A351, [1]lookup!$B:$B, 0)), 0), I351)</f>
        <v>4544.0999999999904</v>
      </c>
    </row>
    <row r="352" spans="1:31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>PROPER(D352)</f>
        <v>Chad Mcguire</v>
      </c>
      <c r="P352" s="8" t="str">
        <f>LEFT(A352,2)</f>
        <v>IN</v>
      </c>
      <c r="Q352" s="8" t="str">
        <f>MID(A352,4,4)</f>
        <v>2014</v>
      </c>
      <c r="R352" s="8" t="str">
        <f>UPPER(M352)</f>
        <v>HIGH</v>
      </c>
      <c r="S352" s="8" t="str">
        <f>LOWER(G352)</f>
        <v>technology</v>
      </c>
      <c r="T352" s="18" t="str">
        <f>RIGHT(A352,5)</f>
        <v>41913</v>
      </c>
      <c r="U352" s="27" t="s">
        <v>3017</v>
      </c>
      <c r="V352" s="16" t="s">
        <v>2686</v>
      </c>
      <c r="W352" s="30">
        <v>2014</v>
      </c>
      <c r="X352" t="s">
        <v>3017</v>
      </c>
      <c r="Y352" s="28">
        <v>41913</v>
      </c>
      <c r="Z352" s="28" t="str">
        <f>TRIM(A352)</f>
        <v>IN-2014-CM121157-41913</v>
      </c>
      <c r="AA352">
        <f t="shared" si="20"/>
        <v>2014</v>
      </c>
      <c r="AB352">
        <f t="shared" si="21"/>
        <v>10</v>
      </c>
      <c r="AC352">
        <f t="shared" si="22"/>
        <v>4</v>
      </c>
      <c r="AD352">
        <f t="shared" si="23"/>
        <v>1</v>
      </c>
      <c r="AE352" s="62">
        <f>IF(I352="missing", IFERROR(INDEX([1]lookup!$I:$I, MATCH($A352, [1]lookup!$B:$B, 0)), 0), I352)</f>
        <v>1943.19</v>
      </c>
    </row>
    <row r="353" spans="1:31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>PROPER(D353)</f>
        <v>Adam Bellavance</v>
      </c>
      <c r="P353" s="13" t="str">
        <f>LEFT(A353,2)</f>
        <v>CA</v>
      </c>
      <c r="Q353" s="13" t="str">
        <f>MID(A353,4,4)</f>
        <v>2015</v>
      </c>
      <c r="R353" s="13" t="str">
        <f>UPPER(M353)</f>
        <v>LOW</v>
      </c>
      <c r="S353" s="13" t="str">
        <f>LOWER(G353)</f>
        <v>furniture</v>
      </c>
      <c r="T353" s="21" t="str">
        <f>RIGHT(A353,5)</f>
        <v>42315</v>
      </c>
      <c r="U353" s="27" t="s">
        <v>2736</v>
      </c>
      <c r="V353" s="19" t="s">
        <v>2689</v>
      </c>
      <c r="W353" s="30">
        <v>2015</v>
      </c>
      <c r="X353" t="s">
        <v>2736</v>
      </c>
      <c r="Y353" s="28">
        <v>42315</v>
      </c>
      <c r="Z353" s="28" t="str">
        <f>TRIM(A353)</f>
        <v>CA-2015-AB10060140-42315</v>
      </c>
      <c r="AA353">
        <f t="shared" si="20"/>
        <v>2015</v>
      </c>
      <c r="AB353">
        <f t="shared" si="21"/>
        <v>11</v>
      </c>
      <c r="AC353">
        <f t="shared" si="22"/>
        <v>7</v>
      </c>
      <c r="AD353">
        <f t="shared" si="23"/>
        <v>7</v>
      </c>
      <c r="AE353" s="62">
        <f>IF(I353="missing", IFERROR(INDEX([1]lookup!$I:$I, MATCH($A353, [1]lookup!$B:$B, 0)), 0), I353)</f>
        <v>2036.86</v>
      </c>
    </row>
    <row r="354" spans="1:31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>PROPER(D354)</f>
        <v>Rachel Payne</v>
      </c>
      <c r="P354" s="8" t="str">
        <f>LEFT(A354,2)</f>
        <v>IT</v>
      </c>
      <c r="Q354" s="8" t="str">
        <f>MID(A354,4,4)</f>
        <v>2015</v>
      </c>
      <c r="R354" s="8" t="str">
        <f>UPPER(M354)</f>
        <v>CRITICAL</v>
      </c>
      <c r="S354" s="8" t="str">
        <f>LOWER(G354)</f>
        <v>technology</v>
      </c>
      <c r="T354" s="18" t="str">
        <f>RIGHT(A354,5)</f>
        <v>42081</v>
      </c>
      <c r="U354" s="27" t="s">
        <v>3018</v>
      </c>
      <c r="V354" s="16" t="s">
        <v>2710</v>
      </c>
      <c r="W354" s="30">
        <v>2015</v>
      </c>
      <c r="X354" t="s">
        <v>3018</v>
      </c>
      <c r="Y354" s="28">
        <v>42081</v>
      </c>
      <c r="Z354" s="28" t="str">
        <f>TRIM(A354)</f>
        <v>IT-2015-RP1927045-42081</v>
      </c>
      <c r="AA354">
        <f t="shared" si="20"/>
        <v>2015</v>
      </c>
      <c r="AB354">
        <f t="shared" si="21"/>
        <v>3</v>
      </c>
      <c r="AC354">
        <f t="shared" si="22"/>
        <v>4</v>
      </c>
      <c r="AD354">
        <f t="shared" si="23"/>
        <v>0</v>
      </c>
      <c r="AE354" s="62">
        <f>IF(I354="missing", IFERROR(INDEX([1]lookup!$I:$I, MATCH($A354, [1]lookup!$B:$B, 0)), 0), I354)</f>
        <v>1505.97899999999</v>
      </c>
    </row>
    <row r="355" spans="1:31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>PROPER(D355)</f>
        <v>Gary Mcgarr</v>
      </c>
      <c r="P355" s="13" t="str">
        <f>LEFT(A355,2)</f>
        <v>MX</v>
      </c>
      <c r="Q355" s="13" t="str">
        <f>MID(A355,4,4)</f>
        <v>2015</v>
      </c>
      <c r="R355" s="13" t="str">
        <f>UPPER(M355)</f>
        <v>CRITICAL</v>
      </c>
      <c r="S355" s="13" t="str">
        <f>LOWER(G355)</f>
        <v>technology</v>
      </c>
      <c r="T355" s="21" t="str">
        <f>RIGHT(A355,5)</f>
        <v>2265#</v>
      </c>
      <c r="U355" s="27" t="s">
        <v>3019</v>
      </c>
      <c r="V355" s="19" t="s">
        <v>2718</v>
      </c>
      <c r="W355" s="30">
        <v>2015</v>
      </c>
      <c r="X355" t="s">
        <v>3019</v>
      </c>
      <c r="Y355" s="28" t="s">
        <v>3020</v>
      </c>
      <c r="Z355" s="28" t="str">
        <f>TRIM(A355)</f>
        <v>MX-2015-GM1444037-42265#</v>
      </c>
      <c r="AA355">
        <f t="shared" si="20"/>
        <v>2015</v>
      </c>
      <c r="AB355">
        <f t="shared" si="21"/>
        <v>9</v>
      </c>
      <c r="AC355">
        <f t="shared" si="22"/>
        <v>6</v>
      </c>
      <c r="AD355">
        <f t="shared" si="23"/>
        <v>0</v>
      </c>
      <c r="AE355" s="62">
        <f>IF(I355="missing", IFERROR(INDEX([1]lookup!$I:$I, MATCH($A355, [1]lookup!$B:$B, 0)), 0), I355)</f>
        <v>1213.18876</v>
      </c>
    </row>
    <row r="356" spans="1:31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>PROPER(D356)</f>
        <v>Julie Kriz</v>
      </c>
      <c r="P356" s="8" t="str">
        <f>LEFT(A356,2)</f>
        <v>IN</v>
      </c>
      <c r="Q356" s="8" t="str">
        <f>MID(A356,4,4)</f>
        <v>2015</v>
      </c>
      <c r="R356" s="8" t="str">
        <f>UPPER(M356)</f>
        <v>HIGH</v>
      </c>
      <c r="S356" s="8" t="str">
        <f>LOWER(G356)</f>
        <v>furniture</v>
      </c>
      <c r="T356" s="18" t="str">
        <f>RIGHT(A356,5)</f>
        <v>42204</v>
      </c>
      <c r="U356" s="27" t="s">
        <v>3021</v>
      </c>
      <c r="V356" s="16" t="s">
        <v>2686</v>
      </c>
      <c r="W356" s="30">
        <v>2015</v>
      </c>
      <c r="X356" t="s">
        <v>3021</v>
      </c>
      <c r="Y356" s="28">
        <v>42204</v>
      </c>
      <c r="Z356" s="28" t="str">
        <f>TRIM(A356)</f>
        <v>IN-2015-JK1612059-42204</v>
      </c>
      <c r="AA356">
        <f t="shared" si="20"/>
        <v>2015</v>
      </c>
      <c r="AB356">
        <f t="shared" si="21"/>
        <v>7</v>
      </c>
      <c r="AC356">
        <f t="shared" si="22"/>
        <v>1</v>
      </c>
      <c r="AD356">
        <f t="shared" si="23"/>
        <v>4</v>
      </c>
      <c r="AE356" s="62">
        <f>IF(I356="missing", IFERROR(INDEX([1]lookup!$I:$I, MATCH($A356, [1]lookup!$B:$B, 0)), 0), I356)</f>
        <v>3278.5847999999901</v>
      </c>
    </row>
    <row r="357" spans="1:31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>PROPER(D357)</f>
        <v>Evan Minnotte</v>
      </c>
      <c r="P357" s="13" t="str">
        <f>LEFT(A357,2)</f>
        <v>ID</v>
      </c>
      <c r="Q357" s="13" t="str">
        <f>MID(A357,4,4)</f>
        <v>2013</v>
      </c>
      <c r="R357" s="13" t="str">
        <f>UPPER(M357)</f>
        <v>HIGH</v>
      </c>
      <c r="S357" s="13" t="str">
        <f>LOWER(G357)</f>
        <v>technology</v>
      </c>
      <c r="T357" s="21" t="str">
        <f>RIGHT(A357,5)</f>
        <v>41502</v>
      </c>
      <c r="U357" s="27" t="s">
        <v>3022</v>
      </c>
      <c r="V357" s="19" t="s">
        <v>2738</v>
      </c>
      <c r="W357" s="30">
        <v>2013</v>
      </c>
      <c r="X357" t="s">
        <v>3022</v>
      </c>
      <c r="Y357" s="28">
        <v>41502</v>
      </c>
      <c r="Z357" s="28" t="str">
        <f>TRIM(A357)</f>
        <v>ID-2013-EM14200130-41502</v>
      </c>
      <c r="AA357">
        <f t="shared" si="20"/>
        <v>2013</v>
      </c>
      <c r="AB357">
        <f t="shared" si="21"/>
        <v>8</v>
      </c>
      <c r="AC357">
        <f t="shared" si="22"/>
        <v>6</v>
      </c>
      <c r="AD357">
        <f t="shared" si="23"/>
        <v>0</v>
      </c>
      <c r="AE357" s="62">
        <f>IF(I357="missing", IFERROR(INDEX([1]lookup!$I:$I, MATCH($A357, [1]lookup!$B:$B, 0)), 0), I357)</f>
        <v>3741.5237999999899</v>
      </c>
    </row>
    <row r="358" spans="1:31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>PROPER(D358)</f>
        <v>Paul Macintyre</v>
      </c>
      <c r="P358" s="8" t="str">
        <f>LEFT(A358,2)</f>
        <v>IN</v>
      </c>
      <c r="Q358" s="8" t="str">
        <f>MID(A358,4,4)</f>
        <v>2013</v>
      </c>
      <c r="R358" s="8" t="str">
        <f>UPPER(M358)</f>
        <v>HIGH</v>
      </c>
      <c r="S358" s="8" t="str">
        <f>LOWER(G358)</f>
        <v>furniture</v>
      </c>
      <c r="T358" s="18" t="str">
        <f>RIGHT(A358,5)</f>
        <v>41284</v>
      </c>
      <c r="U358" s="27" t="s">
        <v>3023</v>
      </c>
      <c r="V358" s="16" t="s">
        <v>2686</v>
      </c>
      <c r="W358" s="30">
        <v>2013</v>
      </c>
      <c r="X358" t="s">
        <v>3023</v>
      </c>
      <c r="Y358" s="28">
        <v>41284</v>
      </c>
      <c r="Z358" s="28" t="str">
        <f>TRIM(A358)</f>
        <v>IN-2013-PM1894059-41284</v>
      </c>
      <c r="AA358">
        <f t="shared" si="20"/>
        <v>2013</v>
      </c>
      <c r="AB358">
        <f t="shared" si="21"/>
        <v>1</v>
      </c>
      <c r="AC358">
        <f t="shared" si="22"/>
        <v>5</v>
      </c>
      <c r="AD358">
        <f t="shared" si="23"/>
        <v>4</v>
      </c>
      <c r="AE358" s="62">
        <f>IF(I358="missing", IFERROR(INDEX([1]lookup!$I:$I, MATCH($A358, [1]lookup!$B:$B, 0)), 0), I358)</f>
        <v>3637.6019999999899</v>
      </c>
    </row>
    <row r="359" spans="1:31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>PROPER(D359)</f>
        <v>Paul Van Hugh</v>
      </c>
      <c r="P359" s="13" t="str">
        <f>LEFT(A359,2)</f>
        <v>MX</v>
      </c>
      <c r="Q359" s="13" t="str">
        <f>MID(A359,4,4)</f>
        <v>2013</v>
      </c>
      <c r="R359" s="13" t="str">
        <f>UPPER(M359)</f>
        <v>HIGH</v>
      </c>
      <c r="S359" s="13" t="str">
        <f>LOWER(G359)</f>
        <v>technology</v>
      </c>
      <c r="T359" s="21" t="str">
        <f>RIGHT(A359,5)</f>
        <v>41614</v>
      </c>
      <c r="U359" s="27" t="s">
        <v>3024</v>
      </c>
      <c r="V359" s="19" t="s">
        <v>2718</v>
      </c>
      <c r="W359" s="30">
        <v>2013</v>
      </c>
      <c r="X359" t="s">
        <v>3024</v>
      </c>
      <c r="Y359" s="28">
        <v>41614</v>
      </c>
      <c r="Z359" s="28" t="str">
        <f>TRIM(A359)</f>
        <v>MX-2013-PV1898518-41614</v>
      </c>
      <c r="AA359">
        <f t="shared" si="20"/>
        <v>2013</v>
      </c>
      <c r="AB359">
        <f t="shared" si="21"/>
        <v>12</v>
      </c>
      <c r="AC359">
        <f t="shared" si="22"/>
        <v>6</v>
      </c>
      <c r="AD359">
        <f t="shared" si="23"/>
        <v>2</v>
      </c>
      <c r="AE359" s="62">
        <f>IF(I359="missing", IFERROR(INDEX([1]lookup!$I:$I, MATCH($A359, [1]lookup!$B:$B, 0)), 0), I359)</f>
        <v>2297.96</v>
      </c>
    </row>
    <row r="360" spans="1:31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>PROPER(D360)</f>
        <v>Sally Matthias</v>
      </c>
      <c r="P360" s="8" t="str">
        <f>LEFT(A360,2)</f>
        <v>SO</v>
      </c>
      <c r="Q360" s="8" t="str">
        <f>MID(A360,4,4)</f>
        <v>2015</v>
      </c>
      <c r="R360" s="8" t="str">
        <f>UPPER(M360)</f>
        <v>HIGH</v>
      </c>
      <c r="S360" s="8" t="str">
        <f>LOWER(G360)</f>
        <v>technology</v>
      </c>
      <c r="T360" s="18" t="str">
        <f>RIGHT(A360,5)</f>
        <v>42265</v>
      </c>
      <c r="U360" s="27" t="s">
        <v>3025</v>
      </c>
      <c r="V360" s="16" t="s">
        <v>3026</v>
      </c>
      <c r="W360" s="30">
        <v>2015</v>
      </c>
      <c r="X360" t="s">
        <v>3025</v>
      </c>
      <c r="Y360" s="28">
        <v>42265</v>
      </c>
      <c r="Z360" s="28" t="str">
        <f>TRIM(A360)</f>
        <v>SO-2015-SM10005116-42265</v>
      </c>
      <c r="AA360">
        <f t="shared" si="20"/>
        <v>2015</v>
      </c>
      <c r="AB360">
        <f t="shared" si="21"/>
        <v>9</v>
      </c>
      <c r="AC360">
        <f t="shared" si="22"/>
        <v>6</v>
      </c>
      <c r="AD360">
        <f t="shared" si="23"/>
        <v>2</v>
      </c>
      <c r="AE360" s="62">
        <f>IF(I360="missing", IFERROR(INDEX([1]lookup!$I:$I, MATCH($A360, [1]lookup!$B:$B, 0)), 0), I360)</f>
        <v>3834</v>
      </c>
    </row>
    <row r="361" spans="1:31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>PROPER(D361)</f>
        <v>Katharine Harms</v>
      </c>
      <c r="P361" s="13" t="str">
        <f>LEFT(A361,2)</f>
        <v>IN</v>
      </c>
      <c r="Q361" s="13" t="str">
        <f>MID(A361,4,4)</f>
        <v>2013</v>
      </c>
      <c r="R361" s="13" t="str">
        <f>UPPER(M361)</f>
        <v>HIGH</v>
      </c>
      <c r="S361" s="13" t="str">
        <f>LOWER(G361)</f>
        <v>office supplies</v>
      </c>
      <c r="T361" s="21" t="str">
        <f>RIGHT(A361,5)</f>
        <v>41489</v>
      </c>
      <c r="U361" s="27" t="s">
        <v>3027</v>
      </c>
      <c r="V361" s="19" t="s">
        <v>2686</v>
      </c>
      <c r="W361" s="30">
        <v>2013</v>
      </c>
      <c r="X361" t="s">
        <v>3027</v>
      </c>
      <c r="Y361" s="28">
        <v>41489</v>
      </c>
      <c r="Z361" s="28" t="str">
        <f>TRIM(A361)</f>
        <v>IN-2013-KH1633059-41489</v>
      </c>
      <c r="AA361">
        <f t="shared" si="20"/>
        <v>2013</v>
      </c>
      <c r="AB361">
        <f t="shared" si="21"/>
        <v>8</v>
      </c>
      <c r="AC361">
        <f t="shared" si="22"/>
        <v>7</v>
      </c>
      <c r="AD361">
        <f t="shared" si="23"/>
        <v>5</v>
      </c>
      <c r="AE361" s="62">
        <f>IF(I361="missing", IFERROR(INDEX([1]lookup!$I:$I, MATCH($A361, [1]lookup!$B:$B, 0)), 0), I361)</f>
        <v>3501.7367999999901</v>
      </c>
    </row>
    <row r="362" spans="1:31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>PROPER(D362)</f>
        <v>Corey Roper</v>
      </c>
      <c r="P362" s="8" t="str">
        <f>LEFT(A362,2)</f>
        <v>ID</v>
      </c>
      <c r="Q362" s="8" t="str">
        <f>MID(A362,4,4)</f>
        <v>2014</v>
      </c>
      <c r="R362" s="8" t="str">
        <f>UPPER(M362)</f>
        <v>HIGH</v>
      </c>
      <c r="S362" s="8" t="str">
        <f>LOWER(G362)</f>
        <v>furniture</v>
      </c>
      <c r="T362" s="18" t="str">
        <f>RIGHT(A362,5)</f>
        <v>41878</v>
      </c>
      <c r="U362" s="27" t="s">
        <v>3028</v>
      </c>
      <c r="V362" s="16" t="s">
        <v>2738</v>
      </c>
      <c r="W362" s="30">
        <v>2014</v>
      </c>
      <c r="X362" t="s">
        <v>3028</v>
      </c>
      <c r="Y362" s="28">
        <v>41878</v>
      </c>
      <c r="Z362" s="28" t="str">
        <f>TRIM(A362)</f>
        <v>ID-2014-CR126257-41878</v>
      </c>
      <c r="AA362">
        <f t="shared" si="20"/>
        <v>2014</v>
      </c>
      <c r="AB362">
        <f t="shared" si="21"/>
        <v>8</v>
      </c>
      <c r="AC362">
        <f t="shared" si="22"/>
        <v>4</v>
      </c>
      <c r="AD362">
        <f t="shared" si="23"/>
        <v>2</v>
      </c>
      <c r="AE362" s="62">
        <f>IF(I362="missing", IFERROR(INDEX([1]lookup!$I:$I, MATCH($A362, [1]lookup!$B:$B, 0)), 0), I362)</f>
        <v>2760.3449999999998</v>
      </c>
    </row>
    <row r="363" spans="1:31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>PROPER(D363)</f>
        <v>Dave Brooks</v>
      </c>
      <c r="P363" s="13" t="str">
        <f>LEFT(A363,2)</f>
        <v>ES</v>
      </c>
      <c r="Q363" s="13" t="str">
        <f>MID(A363,4,4)</f>
        <v>2012</v>
      </c>
      <c r="R363" s="13" t="str">
        <f>UPPER(M363)</f>
        <v>CRITICAL</v>
      </c>
      <c r="S363" s="13" t="str">
        <f>LOWER(G363)</f>
        <v>technology</v>
      </c>
      <c r="T363" s="21" t="str">
        <f>RIGHT(A363,5)</f>
        <v>41171</v>
      </c>
      <c r="U363" s="27" t="s">
        <v>3029</v>
      </c>
      <c r="V363" s="19" t="s">
        <v>2743</v>
      </c>
      <c r="W363" s="30">
        <v>2012</v>
      </c>
      <c r="X363" t="s">
        <v>3029</v>
      </c>
      <c r="Y363" s="28">
        <v>41171</v>
      </c>
      <c r="Z363" s="28" t="str">
        <f>TRIM(A363)</f>
        <v>ES-2012-DB1306048-41171</v>
      </c>
      <c r="AA363">
        <f t="shared" si="20"/>
        <v>2012</v>
      </c>
      <c r="AB363">
        <f t="shared" si="21"/>
        <v>9</v>
      </c>
      <c r="AC363">
        <f t="shared" si="22"/>
        <v>4</v>
      </c>
      <c r="AD363">
        <f t="shared" si="23"/>
        <v>0</v>
      </c>
      <c r="AE363" s="62">
        <f>IF(I363="missing", IFERROR(INDEX([1]lookup!$I:$I, MATCH($A363, [1]lookup!$B:$B, 0)), 0), I363)</f>
        <v>3616.5</v>
      </c>
    </row>
    <row r="364" spans="1:31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>PROPER(D364)</f>
        <v>Dario Medina</v>
      </c>
      <c r="P364" s="8" t="str">
        <f>LEFT(A364,2)</f>
        <v>MX</v>
      </c>
      <c r="Q364" s="8" t="str">
        <f>MID(A364,4,4)</f>
        <v>2015</v>
      </c>
      <c r="R364" s="8" t="str">
        <f>UPPER(M364)</f>
        <v>HIGH</v>
      </c>
      <c r="S364" s="8" t="str">
        <f>LOWER(G364)</f>
        <v>furniture</v>
      </c>
      <c r="T364" s="18" t="str">
        <f>RIGHT(A364,5)</f>
        <v>42103</v>
      </c>
      <c r="U364" s="27" t="s">
        <v>3030</v>
      </c>
      <c r="V364" s="16" t="s">
        <v>2718</v>
      </c>
      <c r="W364" s="30">
        <v>2015</v>
      </c>
      <c r="X364" t="s">
        <v>3030</v>
      </c>
      <c r="Y364" s="28">
        <v>42103</v>
      </c>
      <c r="Z364" s="28" t="str">
        <f>TRIM(A364)</f>
        <v>MX-2015-DM1295551-42103</v>
      </c>
      <c r="AA364">
        <f t="shared" si="20"/>
        <v>2015</v>
      </c>
      <c r="AB364">
        <f t="shared" si="21"/>
        <v>4</v>
      </c>
      <c r="AC364">
        <f t="shared" si="22"/>
        <v>5</v>
      </c>
      <c r="AD364">
        <f t="shared" si="23"/>
        <v>4</v>
      </c>
      <c r="AE364" s="62">
        <f>IF(I364="missing", IFERROR(INDEX([1]lookup!$I:$I, MATCH($A364, [1]lookup!$B:$B, 0)), 0), I364)</f>
        <v>3117.0879999999902</v>
      </c>
    </row>
    <row r="365" spans="1:31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>PROPER(D365)</f>
        <v>Sean O'Donnell</v>
      </c>
      <c r="P365" s="13" t="str">
        <f>LEFT(A365,2)</f>
        <v>IN</v>
      </c>
      <c r="Q365" s="13" t="str">
        <f>MID(A365,4,4)</f>
        <v>2014</v>
      </c>
      <c r="R365" s="13" t="str">
        <f>UPPER(M365)</f>
        <v>HIGH</v>
      </c>
      <c r="S365" s="13" t="str">
        <f>LOWER(G365)</f>
        <v>office supplies</v>
      </c>
      <c r="T365" s="21" t="str">
        <f>RIGHT(A365,5)</f>
        <v>41914</v>
      </c>
      <c r="U365" s="27" t="s">
        <v>3031</v>
      </c>
      <c r="V365" s="19" t="s">
        <v>2686</v>
      </c>
      <c r="W365" s="30">
        <v>2014</v>
      </c>
      <c r="X365" t="s">
        <v>3031</v>
      </c>
      <c r="Y365" s="28">
        <v>41914</v>
      </c>
      <c r="Z365" s="28" t="str">
        <f>TRIM(A365)</f>
        <v>IN-2014-SO2033527-41914</v>
      </c>
      <c r="AA365">
        <f t="shared" si="20"/>
        <v>2014</v>
      </c>
      <c r="AB365">
        <f t="shared" si="21"/>
        <v>10</v>
      </c>
      <c r="AC365">
        <f t="shared" si="22"/>
        <v>5</v>
      </c>
      <c r="AD365">
        <f t="shared" si="23"/>
        <v>2</v>
      </c>
      <c r="AE365" s="62">
        <f>IF(I365="missing", IFERROR(INDEX([1]lookup!$I:$I, MATCH($A365, [1]lookup!$B:$B, 0)), 0), I365)</f>
        <v>3000.7799999999902</v>
      </c>
    </row>
    <row r="366" spans="1:31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>PROPER(D366)</f>
        <v>Liz Carlisle</v>
      </c>
      <c r="P366" s="8" t="str">
        <f>LEFT(A366,2)</f>
        <v>SA</v>
      </c>
      <c r="Q366" s="8" t="str">
        <f>MID(A366,4,4)</f>
        <v>2015</v>
      </c>
      <c r="R366" s="8" t="str">
        <f>UPPER(M366)</f>
        <v>MEDIUM</v>
      </c>
      <c r="S366" s="8" t="str">
        <f>LOWER(G366)</f>
        <v>technology</v>
      </c>
      <c r="T366" s="18" t="str">
        <f>RIGHT(A366,5)</f>
        <v>42236</v>
      </c>
      <c r="U366" s="27" t="s">
        <v>3032</v>
      </c>
      <c r="V366" s="16" t="s">
        <v>2902</v>
      </c>
      <c r="W366" s="30">
        <v>2015</v>
      </c>
      <c r="X366" t="s">
        <v>3032</v>
      </c>
      <c r="Y366" s="28">
        <v>42236</v>
      </c>
      <c r="Z366" s="28" t="str">
        <f>TRIM(A366)</f>
        <v>SA-2015-LC7050110-42236</v>
      </c>
      <c r="AA366">
        <f t="shared" si="20"/>
        <v>2015</v>
      </c>
      <c r="AB366">
        <f t="shared" si="21"/>
        <v>8</v>
      </c>
      <c r="AC366">
        <f t="shared" si="22"/>
        <v>5</v>
      </c>
      <c r="AD366">
        <f t="shared" si="23"/>
        <v>5</v>
      </c>
      <c r="AE366" s="62">
        <f>IF(I366="missing", IFERROR(INDEX([1]lookup!$I:$I, MATCH($A366, [1]lookup!$B:$B, 0)), 0), I366)</f>
        <v>5211.12</v>
      </c>
    </row>
    <row r="367" spans="1:31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>PROPER(D367)</f>
        <v>Alan Dominguez</v>
      </c>
      <c r="P367" s="13" t="str">
        <f>LEFT(A367,2)</f>
        <v>ID</v>
      </c>
      <c r="Q367" s="13" t="str">
        <f>MID(A367,4,4)</f>
        <v>2014</v>
      </c>
      <c r="R367" s="13" t="str">
        <f>UPPER(M367)</f>
        <v>HIGH</v>
      </c>
      <c r="S367" s="13" t="str">
        <f>LOWER(G367)</f>
        <v>furniture</v>
      </c>
      <c r="T367" s="21" t="str">
        <f>RIGHT(A367,5)</f>
        <v>41801</v>
      </c>
      <c r="U367" s="27" t="s">
        <v>3033</v>
      </c>
      <c r="V367" s="19" t="s">
        <v>2738</v>
      </c>
      <c r="W367" s="30">
        <v>2014</v>
      </c>
      <c r="X367" t="s">
        <v>3033</v>
      </c>
      <c r="Y367" s="28">
        <v>41801</v>
      </c>
      <c r="Z367" s="28" t="str">
        <f>TRIM(A367)</f>
        <v>ID-2014-AD1018059-41801</v>
      </c>
      <c r="AA367">
        <f t="shared" si="20"/>
        <v>2014</v>
      </c>
      <c r="AB367">
        <f t="shared" si="21"/>
        <v>6</v>
      </c>
      <c r="AC367">
        <f t="shared" si="22"/>
        <v>4</v>
      </c>
      <c r="AD367">
        <f t="shared" si="23"/>
        <v>4</v>
      </c>
      <c r="AE367" s="62">
        <f>IF(I367="missing", IFERROR(INDEX([1]lookup!$I:$I, MATCH($A367, [1]lookup!$B:$B, 0)), 0), I367)</f>
        <v>3126.40019999999</v>
      </c>
    </row>
    <row r="368" spans="1:31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>PROPER(D368)</f>
        <v>Becky Pak#</v>
      </c>
      <c r="P368" s="8" t="str">
        <f>LEFT(A368,2)</f>
        <v>ES</v>
      </c>
      <c r="Q368" s="8" t="str">
        <f>MID(A368,4,4)</f>
        <v>2012</v>
      </c>
      <c r="R368" s="8" t="str">
        <f>UPPER(M368)</f>
        <v>MEDIUM</v>
      </c>
      <c r="S368" s="8" t="str">
        <f>LOWER(G368)</f>
        <v>technology</v>
      </c>
      <c r="T368" s="18" t="str">
        <f>RIGHT(A368,5)</f>
        <v>41130</v>
      </c>
      <c r="U368" s="27" t="s">
        <v>3034</v>
      </c>
      <c r="V368" s="16" t="s">
        <v>2743</v>
      </c>
      <c r="W368" s="30">
        <v>2012</v>
      </c>
      <c r="X368" t="s">
        <v>3034</v>
      </c>
      <c r="Y368" s="28">
        <v>41130</v>
      </c>
      <c r="Z368" s="28" t="str">
        <f>TRIM(A368)</f>
        <v>ES-2012-BP11155139-41130</v>
      </c>
      <c r="AA368">
        <f t="shared" si="20"/>
        <v>2012</v>
      </c>
      <c r="AB368">
        <f t="shared" si="21"/>
        <v>8</v>
      </c>
      <c r="AC368">
        <f t="shared" si="22"/>
        <v>5</v>
      </c>
      <c r="AD368">
        <f t="shared" si="23"/>
        <v>7</v>
      </c>
      <c r="AE368" s="62">
        <f>IF(I368="missing", IFERROR(INDEX([1]lookup!$I:$I, MATCH($A368, [1]lookup!$B:$B, 0)), 0), I368)</f>
        <v>5276.9880000000003</v>
      </c>
    </row>
    <row r="369" spans="1:31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>PROPER(D369)</f>
        <v>Jason Fortune-</v>
      </c>
      <c r="P369" s="13" t="str">
        <f>LEFT(A369,2)</f>
        <v>ES</v>
      </c>
      <c r="Q369" s="13" t="str">
        <f>MID(A369,4,4)</f>
        <v>2014</v>
      </c>
      <c r="R369" s="13" t="str">
        <f>UPPER(M369)</f>
        <v>CRITICAL</v>
      </c>
      <c r="S369" s="13" t="str">
        <f>LOWER(G369)</f>
        <v>technology</v>
      </c>
      <c r="T369" s="21" t="str">
        <f>RIGHT(A369,5)</f>
        <v>41924</v>
      </c>
      <c r="U369" s="27" t="s">
        <v>3035</v>
      </c>
      <c r="V369" s="19" t="s">
        <v>2743</v>
      </c>
      <c r="W369" s="30">
        <v>2014</v>
      </c>
      <c r="X369" t="s">
        <v>3035</v>
      </c>
      <c r="Y369" s="28">
        <v>41924</v>
      </c>
      <c r="Z369" s="28" t="str">
        <f>TRIM(A369)</f>
        <v>ES-2014-JF15295120-41924</v>
      </c>
      <c r="AA369">
        <f t="shared" si="20"/>
        <v>2014</v>
      </c>
      <c r="AB369">
        <f t="shared" si="21"/>
        <v>10</v>
      </c>
      <c r="AC369">
        <f t="shared" si="22"/>
        <v>1</v>
      </c>
      <c r="AD369">
        <f t="shared" si="23"/>
        <v>0</v>
      </c>
      <c r="AE369" s="62">
        <f>IF(I369="missing", IFERROR(INDEX([1]lookup!$I:$I, MATCH($A369, [1]lookup!$B:$B, 0)), 0), I369)</f>
        <v>1549.98</v>
      </c>
    </row>
    <row r="370" spans="1:31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>PROPER(D370)</f>
        <v>Don Jones</v>
      </c>
      <c r="P370" s="8" t="str">
        <f>LEFT(A370,2)</f>
        <v>UP</v>
      </c>
      <c r="Q370" s="8" t="str">
        <f>MID(A370,4,4)</f>
        <v>2015</v>
      </c>
      <c r="R370" s="8" t="str">
        <f>UPPER(M370)</f>
        <v>CRITICAL</v>
      </c>
      <c r="S370" s="8" t="str">
        <f>LOWER(G370)</f>
        <v>office supplies</v>
      </c>
      <c r="T370" s="18" t="str">
        <f>RIGHT(A370,5)</f>
        <v>42202</v>
      </c>
      <c r="U370" s="27" t="s">
        <v>3036</v>
      </c>
      <c r="V370" s="16" t="s">
        <v>2795</v>
      </c>
      <c r="W370" s="30">
        <v>2015</v>
      </c>
      <c r="X370" t="s">
        <v>3036</v>
      </c>
      <c r="Y370" s="28">
        <v>42202</v>
      </c>
      <c r="Z370" s="28" t="str">
        <f>TRIM(A370)</f>
        <v>UP-2015-DJ3510137-42202</v>
      </c>
      <c r="AA370">
        <f t="shared" si="20"/>
        <v>2015</v>
      </c>
      <c r="AB370">
        <f t="shared" si="21"/>
        <v>7</v>
      </c>
      <c r="AC370">
        <f t="shared" si="22"/>
        <v>6</v>
      </c>
      <c r="AD370">
        <f t="shared" si="23"/>
        <v>2</v>
      </c>
      <c r="AE370" s="62">
        <f>IF(I370="missing", IFERROR(INDEX([1]lookup!$I:$I, MATCH($A370, [1]lookup!$B:$B, 0)), 0), I370)</f>
        <v>3146.3999999999901</v>
      </c>
    </row>
    <row r="371" spans="1:31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>PROPER(D371)</f>
        <v>Monica Federle</v>
      </c>
      <c r="P371" s="13" t="str">
        <f>LEFT(A371,2)</f>
        <v>ES</v>
      </c>
      <c r="Q371" s="13" t="str">
        <f>MID(A371,4,4)</f>
        <v>2015</v>
      </c>
      <c r="R371" s="13" t="str">
        <f>UPPER(M371)</f>
        <v>LOW</v>
      </c>
      <c r="S371" s="13" t="str">
        <f>LOWER(G371)</f>
        <v>technology</v>
      </c>
      <c r="T371" s="21" t="str">
        <f>RIGHT(A371,5)</f>
        <v>42330</v>
      </c>
      <c r="U371" s="27" t="s">
        <v>3037</v>
      </c>
      <c r="V371" s="19" t="s">
        <v>2743</v>
      </c>
      <c r="W371" s="30">
        <v>2015</v>
      </c>
      <c r="X371" t="s">
        <v>3037</v>
      </c>
      <c r="Y371" s="28">
        <v>42330</v>
      </c>
      <c r="Z371" s="28" t="str">
        <f>TRIM(A371)</f>
        <v>ES-2015-MF1825045-42330</v>
      </c>
      <c r="AA371">
        <f t="shared" si="20"/>
        <v>2015</v>
      </c>
      <c r="AB371">
        <f t="shared" si="21"/>
        <v>11</v>
      </c>
      <c r="AC371">
        <f t="shared" si="22"/>
        <v>1</v>
      </c>
      <c r="AD371">
        <f t="shared" si="23"/>
        <v>6</v>
      </c>
      <c r="AE371" s="62">
        <f>IF(I371="missing", IFERROR(INDEX([1]lookup!$I:$I, MATCH($A371, [1]lookup!$B:$B, 0)), 0), I371)</f>
        <v>2456.6190000000001</v>
      </c>
    </row>
    <row r="372" spans="1:31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>PROPER(D372)</f>
        <v>Eugene Hildebrand</v>
      </c>
      <c r="P372" s="8" t="str">
        <f>LEFT(A372,2)</f>
        <v>ES</v>
      </c>
      <c r="Q372" s="8" t="str">
        <f>MID(A372,4,4)</f>
        <v>2015</v>
      </c>
      <c r="R372" s="8" t="str">
        <f>UPPER(M372)</f>
        <v>MEDIUM</v>
      </c>
      <c r="S372" s="8" t="str">
        <f>LOWER(G372)</f>
        <v>technology</v>
      </c>
      <c r="T372" s="18" t="str">
        <f>RIGHT(A372,5)</f>
        <v>42245</v>
      </c>
      <c r="U372" s="27" t="s">
        <v>3038</v>
      </c>
      <c r="V372" s="16" t="s">
        <v>2743</v>
      </c>
      <c r="W372" s="30">
        <v>2015</v>
      </c>
      <c r="X372" t="s">
        <v>3038</v>
      </c>
      <c r="Y372" s="28">
        <v>42245</v>
      </c>
      <c r="Z372" s="28" t="str">
        <f>TRIM(A372)</f>
        <v>ES-2015-EH1412545-42245</v>
      </c>
      <c r="AA372">
        <f t="shared" si="20"/>
        <v>2015</v>
      </c>
      <c r="AB372">
        <f t="shared" si="21"/>
        <v>8</v>
      </c>
      <c r="AC372">
        <f t="shared" si="22"/>
        <v>7</v>
      </c>
      <c r="AD372">
        <f t="shared" si="23"/>
        <v>5</v>
      </c>
      <c r="AE372" s="62">
        <f>IF(I372="missing", IFERROR(INDEX([1]lookup!$I:$I, MATCH($A372, [1]lookup!$B:$B, 0)), 0), I372)</f>
        <v>4876.875</v>
      </c>
    </row>
    <row r="373" spans="1:31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>PROPER(D373)</f>
        <v>Barry Franz</v>
      </c>
      <c r="P373" s="13" t="str">
        <f>LEFT(A373,2)</f>
        <v>IN</v>
      </c>
      <c r="Q373" s="13" t="str">
        <f>MID(A373,4,4)</f>
        <v>2015</v>
      </c>
      <c r="R373" s="13" t="str">
        <f>UPPER(M373)</f>
        <v>HIGH</v>
      </c>
      <c r="S373" s="13" t="str">
        <f>LOWER(G373)</f>
        <v>office supplies</v>
      </c>
      <c r="T373" s="21" t="str">
        <f>RIGHT(A373,5)</f>
        <v>42319</v>
      </c>
      <c r="U373" s="27" t="s">
        <v>2994</v>
      </c>
      <c r="V373" s="19" t="s">
        <v>2686</v>
      </c>
      <c r="W373" s="30">
        <v>2015</v>
      </c>
      <c r="X373" t="s">
        <v>2994</v>
      </c>
      <c r="Y373" s="28">
        <v>42319</v>
      </c>
      <c r="Z373" s="28" t="str">
        <f>TRIM(A373)</f>
        <v>IN-2015-BF1100558-42319</v>
      </c>
      <c r="AA373">
        <f t="shared" si="20"/>
        <v>2015</v>
      </c>
      <c r="AB373">
        <f t="shared" si="21"/>
        <v>11</v>
      </c>
      <c r="AC373">
        <f t="shared" si="22"/>
        <v>4</v>
      </c>
      <c r="AD373">
        <f t="shared" si="23"/>
        <v>4</v>
      </c>
      <c r="AE373" s="62">
        <f>IF(I373="missing", IFERROR(INDEX([1]lookup!$I:$I, MATCH($A373, [1]lookup!$B:$B, 0)), 0), I373)</f>
        <v>3622.28999999999</v>
      </c>
    </row>
    <row r="374" spans="1:31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>PROPER(D374)</f>
        <v>Alice Mccarthy</v>
      </c>
      <c r="P374" s="8" t="str">
        <f>LEFT(A374,2)</f>
        <v>ES</v>
      </c>
      <c r="Q374" s="8" t="str">
        <f>MID(A374,4,4)</f>
        <v>2012</v>
      </c>
      <c r="R374" s="8" t="str">
        <f>UPPER(M374)</f>
        <v>MEDIUM</v>
      </c>
      <c r="S374" s="8" t="str">
        <f>LOWER(G374)</f>
        <v>technology</v>
      </c>
      <c r="T374" s="18" t="str">
        <f>RIGHT(A374,5)</f>
        <v>41136</v>
      </c>
      <c r="U374" s="27" t="s">
        <v>3039</v>
      </c>
      <c r="V374" s="16" t="s">
        <v>2743</v>
      </c>
      <c r="W374" s="30">
        <v>2012</v>
      </c>
      <c r="X374" t="s">
        <v>3039</v>
      </c>
      <c r="Y374" s="28">
        <v>41136</v>
      </c>
      <c r="Z374" s="28" t="str">
        <f>TRIM(A374)</f>
        <v>ES-2012-AM10360139-41136</v>
      </c>
      <c r="AA374">
        <f t="shared" si="20"/>
        <v>2012</v>
      </c>
      <c r="AB374">
        <f t="shared" si="21"/>
        <v>8</v>
      </c>
      <c r="AC374">
        <f t="shared" si="22"/>
        <v>4</v>
      </c>
      <c r="AD374">
        <f t="shared" si="23"/>
        <v>5</v>
      </c>
      <c r="AE374" s="62">
        <f>IF(I374="missing", IFERROR(INDEX([1]lookup!$I:$I, MATCH($A374, [1]lookup!$B:$B, 0)), 0), I374)</f>
        <v>4453.05</v>
      </c>
    </row>
    <row r="375" spans="1:31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>PROPER(D375)</f>
        <v>Daniel Raglin</v>
      </c>
      <c r="P375" s="13" t="str">
        <f>LEFT(A375,2)</f>
        <v>IN</v>
      </c>
      <c r="Q375" s="13" t="str">
        <f>MID(A375,4,4)</f>
        <v>2012</v>
      </c>
      <c r="R375" s="13" t="str">
        <f>UPPER(M375)</f>
        <v>MEDIUM</v>
      </c>
      <c r="S375" s="13" t="str">
        <f>LOWER(G375)</f>
        <v>office supplies</v>
      </c>
      <c r="T375" s="21" t="str">
        <f>RIGHT(A375,5)</f>
        <v>41066</v>
      </c>
      <c r="U375" s="27" t="s">
        <v>3040</v>
      </c>
      <c r="V375" s="19" t="s">
        <v>2686</v>
      </c>
      <c r="W375" s="30">
        <v>2012</v>
      </c>
      <c r="X375" t="s">
        <v>3040</v>
      </c>
      <c r="Y375" s="28">
        <v>41066</v>
      </c>
      <c r="Z375" s="28" t="str">
        <f>TRIM(A375)</f>
        <v>IN-2012-DR129407-41066</v>
      </c>
      <c r="AA375">
        <f t="shared" si="20"/>
        <v>2012</v>
      </c>
      <c r="AB375">
        <f t="shared" si="21"/>
        <v>6</v>
      </c>
      <c r="AC375">
        <f t="shared" si="22"/>
        <v>4</v>
      </c>
      <c r="AD375">
        <f t="shared" si="23"/>
        <v>4</v>
      </c>
      <c r="AE375" s="62">
        <f>IF(I375="missing", IFERROR(INDEX([1]lookup!$I:$I, MATCH($A375, [1]lookup!$B:$B, 0)), 0), I375)</f>
        <v>4624.29</v>
      </c>
    </row>
    <row r="376" spans="1:31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>PROPER(D376)</f>
        <v>Nona Balk</v>
      </c>
      <c r="P376" s="8" t="str">
        <f>LEFT(A376,2)</f>
        <v>ES</v>
      </c>
      <c r="Q376" s="8" t="str">
        <f>MID(A376,4,4)</f>
        <v>2012</v>
      </c>
      <c r="R376" s="8" t="str">
        <f>UPPER(M376)</f>
        <v>CRITICAL</v>
      </c>
      <c r="S376" s="8" t="str">
        <f>LOWER(G376)</f>
        <v>office supplies</v>
      </c>
      <c r="T376" s="18" t="str">
        <f>RIGHT(A376,5)</f>
        <v>41194</v>
      </c>
      <c r="U376" s="27" t="s">
        <v>3041</v>
      </c>
      <c r="V376" s="16" t="s">
        <v>2743</v>
      </c>
      <c r="W376" s="30">
        <v>2012</v>
      </c>
      <c r="X376" t="s">
        <v>3041</v>
      </c>
      <c r="Y376" s="28">
        <v>41194</v>
      </c>
      <c r="Z376" s="28" t="str">
        <f>TRIM(A376)</f>
        <v>ES-2012-NB1865548-41194</v>
      </c>
      <c r="AA376">
        <f t="shared" si="20"/>
        <v>2012</v>
      </c>
      <c r="AB376">
        <f t="shared" si="21"/>
        <v>10</v>
      </c>
      <c r="AC376">
        <f t="shared" si="22"/>
        <v>6</v>
      </c>
      <c r="AD376">
        <f t="shared" si="23"/>
        <v>0</v>
      </c>
      <c r="AE376" s="62">
        <f>IF(I376="missing", IFERROR(INDEX([1]lookup!$I:$I, MATCH($A376, [1]lookup!$B:$B, 0)), 0), I376)</f>
        <v>1066.4459999999999</v>
      </c>
    </row>
    <row r="377" spans="1:31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>PROPER(D377)</f>
        <v>Larry Hughes</v>
      </c>
      <c r="P377" s="13" t="str">
        <f>LEFT(A377,2)</f>
        <v>US</v>
      </c>
      <c r="Q377" s="13" t="str">
        <f>MID(A377,4,4)</f>
        <v>2012</v>
      </c>
      <c r="R377" s="13" t="str">
        <f>UPPER(M377)</f>
        <v>HIGH</v>
      </c>
      <c r="S377" s="13" t="str">
        <f>LOWER(G377)</f>
        <v>technology</v>
      </c>
      <c r="T377" s="21" t="str">
        <f>RIGHT(A377,5)</f>
        <v>41129</v>
      </c>
      <c r="U377" s="27" t="s">
        <v>3042</v>
      </c>
      <c r="V377" s="19" t="s">
        <v>2694</v>
      </c>
      <c r="W377" s="30">
        <v>2012</v>
      </c>
      <c r="X377" t="s">
        <v>3042</v>
      </c>
      <c r="Y377" s="28">
        <v>41129</v>
      </c>
      <c r="Z377" s="28" t="str">
        <f>TRIM(A377)</f>
        <v>US-2012-LH1675036-41129</v>
      </c>
      <c r="AA377">
        <f t="shared" si="20"/>
        <v>2012</v>
      </c>
      <c r="AB377">
        <f t="shared" si="21"/>
        <v>8</v>
      </c>
      <c r="AC377">
        <f t="shared" si="22"/>
        <v>4</v>
      </c>
      <c r="AD377">
        <f t="shared" si="23"/>
        <v>0</v>
      </c>
      <c r="AE377" s="62">
        <f>IF(I377="missing", IFERROR(INDEX([1]lookup!$I:$I, MATCH($A377, [1]lookup!$B:$B, 0)), 0), I377)</f>
        <v>2044.8</v>
      </c>
    </row>
    <row r="378" spans="1:31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>PROPER(D378)</f>
        <v>Dave Kipp</v>
      </c>
      <c r="P378" s="8" t="str">
        <f>LEFT(A378,2)</f>
        <v>IN</v>
      </c>
      <c r="Q378" s="8" t="str">
        <f>MID(A378,4,4)</f>
        <v>2015</v>
      </c>
      <c r="R378" s="8" t="str">
        <f>UPPER(M378)</f>
        <v>HIGH</v>
      </c>
      <c r="S378" s="8" t="str">
        <f>LOWER(G378)</f>
        <v>technology</v>
      </c>
      <c r="T378" s="18" t="str">
        <f>RIGHT(A378,5)</f>
        <v>42308</v>
      </c>
      <c r="U378" s="27" t="s">
        <v>3043</v>
      </c>
      <c r="V378" s="16" t="s">
        <v>2686</v>
      </c>
      <c r="W378" s="30">
        <v>2015</v>
      </c>
      <c r="X378" t="s">
        <v>3043</v>
      </c>
      <c r="Y378" s="28">
        <v>42308</v>
      </c>
      <c r="Z378" s="28" t="str">
        <f>TRIM(A378)</f>
        <v>IN-2015-DK1309027-42308</v>
      </c>
      <c r="AA378">
        <f t="shared" si="20"/>
        <v>2015</v>
      </c>
      <c r="AB378">
        <f t="shared" si="21"/>
        <v>10</v>
      </c>
      <c r="AC378">
        <f t="shared" si="22"/>
        <v>7</v>
      </c>
      <c r="AD378">
        <f t="shared" si="23"/>
        <v>3</v>
      </c>
      <c r="AE378" s="62">
        <f>IF(I378="missing", IFERROR(INDEX([1]lookup!$I:$I, MATCH($A378, [1]lookup!$B:$B, 0)), 0), I378)</f>
        <v>2272.86</v>
      </c>
    </row>
    <row r="379" spans="1:31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>PROPER(D379)</f>
        <v>Ellis Ballard</v>
      </c>
      <c r="P379" s="13" t="str">
        <f>LEFT(A379,2)</f>
        <v>ES</v>
      </c>
      <c r="Q379" s="13" t="str">
        <f>MID(A379,4,4)</f>
        <v>2013</v>
      </c>
      <c r="R379" s="13" t="str">
        <f>UPPER(M379)</f>
        <v>MEDIUM</v>
      </c>
      <c r="S379" s="13" t="str">
        <f>LOWER(G379)</f>
        <v>office supplies</v>
      </c>
      <c r="T379" s="21" t="str">
        <f>RIGHT(A379,5)</f>
        <v>41487</v>
      </c>
      <c r="U379" s="27" t="s">
        <v>3044</v>
      </c>
      <c r="V379" s="19" t="s">
        <v>2743</v>
      </c>
      <c r="W379" s="30">
        <v>2013</v>
      </c>
      <c r="X379" t="s">
        <v>3044</v>
      </c>
      <c r="Y379" s="28">
        <v>41487</v>
      </c>
      <c r="Z379" s="28" t="str">
        <f>TRIM(A379)</f>
        <v>ES-2013-EB13840139-41487</v>
      </c>
      <c r="AA379">
        <f t="shared" si="20"/>
        <v>2013</v>
      </c>
      <c r="AB379">
        <f t="shared" si="21"/>
        <v>8</v>
      </c>
      <c r="AC379">
        <f t="shared" si="22"/>
        <v>5</v>
      </c>
      <c r="AD379">
        <f t="shared" si="23"/>
        <v>5</v>
      </c>
      <c r="AE379" s="62">
        <f>IF(I379="missing", IFERROR(INDEX([1]lookup!$I:$I, MATCH($A379, [1]lookup!$B:$B, 0)), 0), I379)</f>
        <v>3979.29</v>
      </c>
    </row>
    <row r="380" spans="1:31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>PROPER(D380)</f>
        <v>Adam Hart</v>
      </c>
      <c r="P380" s="8" t="str">
        <f>LEFT(A380,2)</f>
        <v>CA</v>
      </c>
      <c r="Q380" s="8" t="str">
        <f>MID(A380,4,4)</f>
        <v>2014</v>
      </c>
      <c r="R380" s="8" t="str">
        <f>UPPER(M380)</f>
        <v>MEDIUM</v>
      </c>
      <c r="S380" s="8" t="str">
        <f>LOWER(G380)</f>
        <v>office supplies</v>
      </c>
      <c r="T380" s="18" t="str">
        <f>RIGHT(A380,5)</f>
        <v>41991</v>
      </c>
      <c r="U380" s="27" t="s">
        <v>2750</v>
      </c>
      <c r="V380" s="16" t="s">
        <v>2689</v>
      </c>
      <c r="W380" s="30">
        <v>2014</v>
      </c>
      <c r="X380" t="s">
        <v>2750</v>
      </c>
      <c r="Y380" s="28">
        <v>41991</v>
      </c>
      <c r="Z380" s="28" t="str">
        <f>TRIM(A380)</f>
        <v>CA-2014-AH10075140-41991</v>
      </c>
      <c r="AA380">
        <f t="shared" si="20"/>
        <v>2014</v>
      </c>
      <c r="AB380">
        <f t="shared" si="21"/>
        <v>12</v>
      </c>
      <c r="AC380">
        <f t="shared" si="22"/>
        <v>5</v>
      </c>
      <c r="AD380">
        <f t="shared" si="23"/>
        <v>4</v>
      </c>
      <c r="AE380" s="62">
        <f>IF(I380="missing", IFERROR(INDEX([1]lookup!$I:$I, MATCH($A380, [1]lookup!$B:$B, 0)), 0), I380)</f>
        <v>51.84</v>
      </c>
    </row>
    <row r="381" spans="1:31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>PROPER(D381)</f>
        <v>Maxwell Schwartz</v>
      </c>
      <c r="P381" s="13" t="str">
        <f>LEFT(A381,2)</f>
        <v>ES</v>
      </c>
      <c r="Q381" s="13" t="str">
        <f>MID(A381,4,4)</f>
        <v>2015</v>
      </c>
      <c r="R381" s="13" t="str">
        <f>UPPER(M381)</f>
        <v>HIGH</v>
      </c>
      <c r="S381" s="13" t="str">
        <f>LOWER(G381)</f>
        <v>furniture</v>
      </c>
      <c r="T381" s="21" t="str">
        <f>RIGHT(A381,5)</f>
        <v>42275</v>
      </c>
      <c r="U381" s="27" t="s">
        <v>3045</v>
      </c>
      <c r="V381" s="19" t="s">
        <v>2743</v>
      </c>
      <c r="W381" s="30">
        <v>2015</v>
      </c>
      <c r="X381" t="s">
        <v>3045</v>
      </c>
      <c r="Y381" s="28">
        <v>42275</v>
      </c>
      <c r="Z381" s="28" t="str">
        <f>TRIM(A381)</f>
        <v>ES-2015-MS17770139-42275</v>
      </c>
      <c r="AA381">
        <f t="shared" si="20"/>
        <v>2015</v>
      </c>
      <c r="AB381">
        <f t="shared" si="21"/>
        <v>9</v>
      </c>
      <c r="AC381">
        <f t="shared" si="22"/>
        <v>2</v>
      </c>
      <c r="AD381">
        <f t="shared" si="23"/>
        <v>3</v>
      </c>
      <c r="AE381" s="62">
        <f>IF(I381="missing", IFERROR(INDEX([1]lookup!$I:$I, MATCH($A381, [1]lookup!$B:$B, 0)), 0), I381)</f>
        <v>2898.21</v>
      </c>
    </row>
    <row r="382" spans="1:31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>PROPER(D382)</f>
        <v>Julie Creighton</v>
      </c>
      <c r="P382" s="8" t="str">
        <f>LEFT(A382,2)</f>
        <v>LH</v>
      </c>
      <c r="Q382" s="8" t="str">
        <f>MID(A382,4,4)</f>
        <v>2015</v>
      </c>
      <c r="R382" s="8" t="str">
        <f>UPPER(M382)</f>
        <v>HIGH</v>
      </c>
      <c r="S382" s="8" t="str">
        <f>LOWER(G382)</f>
        <v>furniture</v>
      </c>
      <c r="T382" s="18" t="str">
        <f>RIGHT(A382,5)</f>
        <v>42032</v>
      </c>
      <c r="U382" s="27" t="s">
        <v>3046</v>
      </c>
      <c r="V382" s="16" t="s">
        <v>3047</v>
      </c>
      <c r="W382" s="30">
        <v>2015</v>
      </c>
      <c r="X382" t="s">
        <v>3046</v>
      </c>
      <c r="Y382" s="28">
        <v>42032</v>
      </c>
      <c r="Z382" s="28" t="str">
        <f>TRIM(A382)</f>
        <v>LH-2015-JC610575-42032</v>
      </c>
      <c r="AA382">
        <f t="shared" si="20"/>
        <v>2015</v>
      </c>
      <c r="AB382">
        <f t="shared" si="21"/>
        <v>1</v>
      </c>
      <c r="AC382">
        <f t="shared" si="22"/>
        <v>4</v>
      </c>
      <c r="AD382">
        <f t="shared" si="23"/>
        <v>2</v>
      </c>
      <c r="AE382" s="62">
        <f>IF(I382="missing", IFERROR(INDEX([1]lookup!$I:$I, MATCH($A382, [1]lookup!$B:$B, 0)), 0), I382)</f>
        <v>2171.16</v>
      </c>
    </row>
    <row r="383" spans="1:31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>PROPER(D383)</f>
        <v>George Ebll</v>
      </c>
      <c r="P383" s="13" t="str">
        <f>LEFT(A383,2)</f>
        <v>IN</v>
      </c>
      <c r="Q383" s="13" t="str">
        <f>MID(A383,4,4)</f>
        <v>2015</v>
      </c>
      <c r="R383" s="13" t="str">
        <f>UPPER(M383)</f>
        <v>MEDIUM</v>
      </c>
      <c r="S383" s="13" t="str">
        <f>LOWER(G383)</f>
        <v>technology</v>
      </c>
      <c r="T383" s="21" t="str">
        <f>RIGHT(A383,5)</f>
        <v>42260</v>
      </c>
      <c r="U383" s="27" t="s">
        <v>3048</v>
      </c>
      <c r="V383" s="19" t="s">
        <v>2686</v>
      </c>
      <c r="W383" s="30">
        <v>2015</v>
      </c>
      <c r="X383" t="s">
        <v>3048</v>
      </c>
      <c r="Y383" s="28">
        <v>42260</v>
      </c>
      <c r="Z383" s="28" t="str">
        <f>TRIM(A383)</f>
        <v>IN-2015-GB145307-42260</v>
      </c>
      <c r="AA383">
        <f t="shared" si="20"/>
        <v>2015</v>
      </c>
      <c r="AB383">
        <f t="shared" si="21"/>
        <v>9</v>
      </c>
      <c r="AC383">
        <f t="shared" si="22"/>
        <v>1</v>
      </c>
      <c r="AD383">
        <f t="shared" si="23"/>
        <v>0</v>
      </c>
      <c r="AE383" s="62">
        <f>IF(I383="missing", IFERROR(INDEX([1]lookup!$I:$I, MATCH($A383, [1]lookup!$B:$B, 0)), 0), I383)</f>
        <v>4448.223</v>
      </c>
    </row>
    <row r="384" spans="1:31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>PROPER(D384)</f>
        <v>Justin Hirsh</v>
      </c>
      <c r="P384" s="8" t="str">
        <f>LEFT(A384,2)</f>
        <v>US</v>
      </c>
      <c r="Q384" s="8" t="str">
        <f>MID(A384,4,4)</f>
        <v>2012</v>
      </c>
      <c r="R384" s="8" t="str">
        <f>UPPER(M384)</f>
        <v>HIGH</v>
      </c>
      <c r="S384" s="8" t="str">
        <f>LOWER(G384)</f>
        <v>technology</v>
      </c>
      <c r="T384" s="18" t="str">
        <f>RIGHT(A384,5)</f>
        <v>41264</v>
      </c>
      <c r="U384" s="27" t="s">
        <v>3049</v>
      </c>
      <c r="V384" s="16" t="s">
        <v>2694</v>
      </c>
      <c r="W384" s="30">
        <v>2012</v>
      </c>
      <c r="X384" t="s">
        <v>3049</v>
      </c>
      <c r="Y384" s="28">
        <v>41264</v>
      </c>
      <c r="Z384" s="28" t="str">
        <f>TRIM(A384)</f>
        <v>US-2012-JH161805-41264</v>
      </c>
      <c r="AA384">
        <f t="shared" si="20"/>
        <v>2012</v>
      </c>
      <c r="AB384">
        <f t="shared" si="21"/>
        <v>12</v>
      </c>
      <c r="AC384">
        <f t="shared" si="22"/>
        <v>6</v>
      </c>
      <c r="AD384">
        <f t="shared" si="23"/>
        <v>2</v>
      </c>
      <c r="AE384" s="62">
        <f>IF(I384="missing", IFERROR(INDEX([1]lookup!$I:$I, MATCH($A384, [1]lookup!$B:$B, 0)), 0), I384)</f>
        <v>2300.61599999999</v>
      </c>
    </row>
    <row r="385" spans="1:31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>PROPER(D385)</f>
        <v>Dana Kaydos</v>
      </c>
      <c r="P385" s="13" t="str">
        <f>LEFT(A385,2)</f>
        <v>ID</v>
      </c>
      <c r="Q385" s="13" t="str">
        <f>MID(A385,4,4)</f>
        <v>2015</v>
      </c>
      <c r="R385" s="13" t="str">
        <f>UPPER(M385)</f>
        <v>HIGH</v>
      </c>
      <c r="S385" s="13" t="str">
        <f>LOWER(G385)</f>
        <v>office supplies</v>
      </c>
      <c r="T385" s="21" t="str">
        <f>RIGHT(A385,5)</f>
        <v>42315</v>
      </c>
      <c r="U385" s="27" t="s">
        <v>3050</v>
      </c>
      <c r="V385" s="19" t="s">
        <v>2738</v>
      </c>
      <c r="W385" s="30">
        <v>2015</v>
      </c>
      <c r="X385" t="s">
        <v>3050</v>
      </c>
      <c r="Y385" s="28">
        <v>42315</v>
      </c>
      <c r="Z385" s="28" t="str">
        <f>TRIM(A385)</f>
        <v>ID-2015-DK1289559-42315</v>
      </c>
      <c r="AA385">
        <f t="shared" si="20"/>
        <v>2015</v>
      </c>
      <c r="AB385">
        <f t="shared" si="21"/>
        <v>11</v>
      </c>
      <c r="AC385">
        <f t="shared" si="22"/>
        <v>7</v>
      </c>
      <c r="AD385">
        <f t="shared" si="23"/>
        <v>2</v>
      </c>
      <c r="AE385" s="62">
        <f>IF(I385="missing", IFERROR(INDEX([1]lookup!$I:$I, MATCH($A385, [1]lookup!$B:$B, 0)), 0), I385)</f>
        <v>3309.2597999999998</v>
      </c>
    </row>
    <row r="386" spans="1:31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>PROPER(D386)</f>
        <v>Karen Daniels</v>
      </c>
      <c r="P386" s="8" t="str">
        <f>LEFT(A386,2)</f>
        <v>MX</v>
      </c>
      <c r="Q386" s="8" t="str">
        <f>MID(A386,4,4)</f>
        <v>2015</v>
      </c>
      <c r="R386" s="8" t="str">
        <f>UPPER(M386)</f>
        <v>CRITICAL</v>
      </c>
      <c r="S386" s="8" t="str">
        <f>LOWER(G386)</f>
        <v xml:space="preserve"> furniture </v>
      </c>
      <c r="T386" s="18" t="str">
        <f>RIGHT(A386,5)</f>
        <v>42330</v>
      </c>
      <c r="U386" s="27" t="s">
        <v>3051</v>
      </c>
      <c r="V386" s="16" t="s">
        <v>2718</v>
      </c>
      <c r="W386" s="30">
        <v>2015</v>
      </c>
      <c r="X386" t="s">
        <v>3051</v>
      </c>
      <c r="Y386" s="28">
        <v>42330</v>
      </c>
      <c r="Z386" s="28" t="str">
        <f>TRIM(A386)</f>
        <v>MX-2015-KD1627018-42330</v>
      </c>
      <c r="AA386">
        <f t="shared" ref="AA386:AA449" si="24">IFERROR(YEAR(B386), 0)</f>
        <v>2015</v>
      </c>
      <c r="AB386">
        <f t="shared" ref="AB386:AB449" si="25">IFERROR(MONTH(B386), 0)</f>
        <v>11</v>
      </c>
      <c r="AC386">
        <f t="shared" ref="AC386:AC449" si="26">IFERROR(WEEKDAY(B386), 0)</f>
        <v>1</v>
      </c>
      <c r="AD386">
        <f t="shared" ref="AD386:AD449" si="27">IFERROR(C386 - B386, 0)</f>
        <v>0</v>
      </c>
      <c r="AE386" s="62">
        <f>IF(I386="missing", IFERROR(INDEX([1]lookup!$I:$I, MATCH($A386, [1]lookup!$B:$B, 0)), 0), I386)</f>
        <v>897.48</v>
      </c>
    </row>
    <row r="387" spans="1:31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>PROPER(D387)</f>
        <v>Hunter Lopez</v>
      </c>
      <c r="P387" s="13" t="str">
        <f>LEFT(A387,2)</f>
        <v>IN</v>
      </c>
      <c r="Q387" s="13" t="str">
        <f>MID(A387,4,4)</f>
        <v>2012</v>
      </c>
      <c r="R387" s="13" t="str">
        <f>UPPER(M387)</f>
        <v>CRITICAL</v>
      </c>
      <c r="S387" s="13" t="str">
        <f>LOWER(G387)</f>
        <v>technology</v>
      </c>
      <c r="T387" s="21" t="str">
        <f>RIGHT(A387,5)</f>
        <v>41237</v>
      </c>
      <c r="U387" s="27" t="s">
        <v>3052</v>
      </c>
      <c r="V387" s="19" t="s">
        <v>2686</v>
      </c>
      <c r="W387" s="30">
        <v>2012</v>
      </c>
      <c r="X387" t="s">
        <v>3052</v>
      </c>
      <c r="Y387" s="28">
        <v>41237</v>
      </c>
      <c r="Z387" s="28" t="str">
        <f>TRIM(A387)</f>
        <v>IN-2012-HL150407-41237</v>
      </c>
      <c r="AA387">
        <f t="shared" si="24"/>
        <v>2012</v>
      </c>
      <c r="AB387">
        <f t="shared" si="25"/>
        <v>11</v>
      </c>
      <c r="AC387">
        <f t="shared" si="26"/>
        <v>7</v>
      </c>
      <c r="AD387">
        <f t="shared" si="27"/>
        <v>0</v>
      </c>
      <c r="AE387" s="62">
        <f>IF(I387="missing", IFERROR(INDEX([1]lookup!$I:$I, MATCH($A387, [1]lookup!$B:$B, 0)), 0), I387)</f>
        <v>1336.356</v>
      </c>
    </row>
    <row r="388" spans="1:31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>PROPER(D388)</f>
        <v>Carol Triggs</v>
      </c>
      <c r="P388" s="8" t="str">
        <f>LEFT(A388,2)</f>
        <v>IN</v>
      </c>
      <c r="Q388" s="8" t="str">
        <f>MID(A388,4,4)</f>
        <v>2013</v>
      </c>
      <c r="R388" s="8" t="str">
        <f>UPPER(M388)</f>
        <v>HIGH</v>
      </c>
      <c r="S388" s="8" t="str">
        <f>LOWER(G388)</f>
        <v>technology</v>
      </c>
      <c r="T388" s="18" t="str">
        <f>RIGHT(A388,5)</f>
        <v>41496</v>
      </c>
      <c r="U388" s="27" t="s">
        <v>3053</v>
      </c>
      <c r="V388" s="16" t="s">
        <v>2686</v>
      </c>
      <c r="W388" s="30">
        <v>2013</v>
      </c>
      <c r="X388" t="s">
        <v>3053</v>
      </c>
      <c r="Y388" s="28">
        <v>41496</v>
      </c>
      <c r="Z388" s="28" t="str">
        <f>TRIM(A388)</f>
        <v>IN-2013-CT1199566-41496</v>
      </c>
      <c r="AA388">
        <f t="shared" si="24"/>
        <v>2013</v>
      </c>
      <c r="AB388">
        <f t="shared" si="25"/>
        <v>8</v>
      </c>
      <c r="AC388">
        <f t="shared" si="26"/>
        <v>7</v>
      </c>
      <c r="AD388">
        <f t="shared" si="27"/>
        <v>2</v>
      </c>
      <c r="AE388" s="62">
        <f>IF(I388="missing", IFERROR(INDEX([1]lookup!$I:$I, MATCH($A388, [1]lookup!$B:$B, 0)), 0), I388)</f>
        <v>3038.64</v>
      </c>
    </row>
    <row r="389" spans="1:31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>PROPER(D389)</f>
        <v>Georgia Rosenberg</v>
      </c>
      <c r="P389" s="13" t="str">
        <f>LEFT(A389,2)</f>
        <v>LT</v>
      </c>
      <c r="Q389" s="13" t="str">
        <f>MID(A389,4,4)</f>
        <v>2014</v>
      </c>
      <c r="R389" s="13" t="str">
        <f>UPPER(M389)</f>
        <v>MEDIUM</v>
      </c>
      <c r="S389" s="13" t="str">
        <f>LOWER(G389)</f>
        <v>technology</v>
      </c>
      <c r="T389" s="21" t="str">
        <f>RIGHT(A389,5)</f>
        <v>42003</v>
      </c>
      <c r="U389" s="27" t="s">
        <v>3054</v>
      </c>
      <c r="V389" s="19" t="s">
        <v>3055</v>
      </c>
      <c r="W389" s="30">
        <v>2014</v>
      </c>
      <c r="X389" t="s">
        <v>3054</v>
      </c>
      <c r="Y389" s="28">
        <v>42003</v>
      </c>
      <c r="Z389" s="28" t="str">
        <f>TRIM(A389)</f>
        <v>LT-2014-GR456072-42003</v>
      </c>
      <c r="AA389">
        <f t="shared" si="24"/>
        <v>2014</v>
      </c>
      <c r="AB389">
        <f t="shared" si="25"/>
        <v>12</v>
      </c>
      <c r="AC389">
        <f t="shared" si="26"/>
        <v>3</v>
      </c>
      <c r="AD389">
        <f t="shared" si="27"/>
        <v>5</v>
      </c>
      <c r="AE389" s="62">
        <f>IF(I389="missing", IFERROR(INDEX([1]lookup!$I:$I, MATCH($A389, [1]lookup!$B:$B, 0)), 0), I389)</f>
        <v>3799.08</v>
      </c>
    </row>
    <row r="390" spans="1:31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>PROPER(D390)</f>
        <v>Speros Goranitis</v>
      </c>
      <c r="P390" s="8" t="str">
        <f>LEFT(A390,2)</f>
        <v>RO</v>
      </c>
      <c r="Q390" s="8" t="str">
        <f>MID(A390,4,4)</f>
        <v>2013</v>
      </c>
      <c r="R390" s="8" t="str">
        <f>UPPER(M390)</f>
        <v>HIGH</v>
      </c>
      <c r="S390" s="8" t="str">
        <f>LOWER(G390)</f>
        <v>technology</v>
      </c>
      <c r="T390" s="18" t="str">
        <f>RIGHT(A390,5)</f>
        <v>41614</v>
      </c>
      <c r="U390" s="27" t="s">
        <v>3056</v>
      </c>
      <c r="V390" s="16" t="s">
        <v>3057</v>
      </c>
      <c r="W390" s="30">
        <v>2013</v>
      </c>
      <c r="X390" t="s">
        <v>3056</v>
      </c>
      <c r="Y390" s="28">
        <v>41614</v>
      </c>
      <c r="Z390" s="28" t="str">
        <f>TRIM(A390)</f>
        <v>RO-2013-SG10605107-41614</v>
      </c>
      <c r="AA390">
        <f t="shared" si="24"/>
        <v>2013</v>
      </c>
      <c r="AB390">
        <f t="shared" si="25"/>
        <v>12</v>
      </c>
      <c r="AC390">
        <f t="shared" si="26"/>
        <v>6</v>
      </c>
      <c r="AD390">
        <f t="shared" si="27"/>
        <v>0</v>
      </c>
      <c r="AE390" s="62">
        <f>IF(I390="missing", IFERROR(INDEX([1]lookup!$I:$I, MATCH($A390, [1]lookup!$B:$B, 0)), 0), I390)</f>
        <v>1554.48</v>
      </c>
    </row>
    <row r="391" spans="1:31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>PROPER(D391)</f>
        <v>Fred Hopkins</v>
      </c>
      <c r="P391" s="13" t="str">
        <f>LEFT(A391,2)</f>
        <v>MX</v>
      </c>
      <c r="Q391" s="13" t="str">
        <f>MID(A391,4,4)</f>
        <v>2013</v>
      </c>
      <c r="R391" s="13" t="str">
        <f>UPPER(M391)</f>
        <v>HIGH</v>
      </c>
      <c r="S391" s="13" t="str">
        <f>LOWER(G391)</f>
        <v>technology</v>
      </c>
      <c r="T391" s="21" t="str">
        <f>RIGHT(A391,5)</f>
        <v>41628</v>
      </c>
      <c r="U391" s="27" t="s">
        <v>3058</v>
      </c>
      <c r="V391" s="19" t="s">
        <v>2718</v>
      </c>
      <c r="W391" s="30">
        <v>2013</v>
      </c>
      <c r="X391" t="s">
        <v>3058</v>
      </c>
      <c r="Y391" s="28">
        <v>41628</v>
      </c>
      <c r="Z391" s="28" t="str">
        <f>TRIM(A391)</f>
        <v>MX-2013-FH1436582-41628</v>
      </c>
      <c r="AA391">
        <f t="shared" si="24"/>
        <v>2013</v>
      </c>
      <c r="AB391">
        <f t="shared" si="25"/>
        <v>12</v>
      </c>
      <c r="AC391">
        <f t="shared" si="26"/>
        <v>6</v>
      </c>
      <c r="AD391">
        <f t="shared" si="27"/>
        <v>4</v>
      </c>
      <c r="AE391" s="62">
        <f>IF(I391="missing", IFERROR(INDEX([1]lookup!$I:$I, MATCH($A391, [1]lookup!$B:$B, 0)), 0), I391)</f>
        <v>3474.08</v>
      </c>
    </row>
    <row r="392" spans="1:31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>PROPER(D392)</f>
        <v>Jane Waco</v>
      </c>
      <c r="P392" s="8" t="str">
        <f>LEFT(A392,2)</f>
        <v>SG</v>
      </c>
      <c r="Q392" s="8" t="str">
        <f>MID(A392,4,4)</f>
        <v>2015</v>
      </c>
      <c r="R392" s="8" t="str">
        <f>UPPER(M392)</f>
        <v>MEIDUM</v>
      </c>
      <c r="S392" s="8" t="str">
        <f>LOWER(G392)</f>
        <v>technology</v>
      </c>
      <c r="T392" s="18" t="str">
        <f>RIGHT(A392,5)</f>
        <v>42108</v>
      </c>
      <c r="U392" s="27" t="s">
        <v>3059</v>
      </c>
      <c r="V392" s="16" t="s">
        <v>3060</v>
      </c>
      <c r="W392" s="30">
        <v>2015</v>
      </c>
      <c r="X392" t="s">
        <v>3059</v>
      </c>
      <c r="Y392" s="28">
        <v>42108</v>
      </c>
      <c r="Z392" s="28" t="str">
        <f>TRIM(A392)</f>
        <v>SG-2015-JW5220111-42108</v>
      </c>
      <c r="AA392">
        <f t="shared" si="24"/>
        <v>0</v>
      </c>
      <c r="AB392">
        <f t="shared" si="25"/>
        <v>0</v>
      </c>
      <c r="AC392">
        <f t="shared" si="26"/>
        <v>0</v>
      </c>
      <c r="AD392">
        <f t="shared" si="27"/>
        <v>0</v>
      </c>
      <c r="AE392" s="62">
        <f>IF(I392="missing", IFERROR(INDEX([1]lookup!$I:$I, MATCH($A392, [1]lookup!$B:$B, 0)), 0), I392)</f>
        <v>3908.88</v>
      </c>
    </row>
    <row r="393" spans="1:31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>PROPER(D393)</f>
        <v>Russell D'Ascenzo</v>
      </c>
      <c r="P393" s="13" t="str">
        <f>LEFT(A393,2)</f>
        <v>ID</v>
      </c>
      <c r="Q393" s="13" t="str">
        <f>MID(A393,4,4)</f>
        <v>2015</v>
      </c>
      <c r="R393" s="13" t="str">
        <f>UPPER(M393)</f>
        <v>HIGH</v>
      </c>
      <c r="S393" s="13" t="str">
        <f>LOWER(G393)</f>
        <v>office_supplies</v>
      </c>
      <c r="T393" s="21" t="str">
        <f>RIGHT(A393,5)</f>
        <v>42140</v>
      </c>
      <c r="U393" s="27" t="s">
        <v>3061</v>
      </c>
      <c r="V393" s="19" t="s">
        <v>2738</v>
      </c>
      <c r="W393" s="30">
        <v>2015</v>
      </c>
      <c r="X393" t="s">
        <v>3061</v>
      </c>
      <c r="Y393" s="28">
        <v>42140</v>
      </c>
      <c r="Z393" s="28" t="str">
        <f>TRIM(A393)</f>
        <v>ID-2015-RD1993092-42140</v>
      </c>
      <c r="AA393">
        <f t="shared" si="24"/>
        <v>2015</v>
      </c>
      <c r="AB393">
        <f t="shared" si="25"/>
        <v>5</v>
      </c>
      <c r="AC393">
        <f t="shared" si="26"/>
        <v>7</v>
      </c>
      <c r="AD393">
        <f t="shared" si="27"/>
        <v>2</v>
      </c>
      <c r="AE393" s="62">
        <f>IF(I393="missing", IFERROR(INDEX([1]lookup!$I:$I, MATCH($A393, [1]lookup!$B:$B, 0)), 0), I393)</f>
        <v>1900.5839999999901</v>
      </c>
    </row>
    <row r="394" spans="1:31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>PROPER(D394)</f>
        <v>Charles Sheldon</v>
      </c>
      <c r="P394" s="8" t="str">
        <f>LEFT(A394,2)</f>
        <v>IN</v>
      </c>
      <c r="Q394" s="8" t="str">
        <f>MID(A394,4,4)</f>
        <v>2014</v>
      </c>
      <c r="R394" s="8" t="str">
        <f>UPPER(M394)</f>
        <v>MEDIUM</v>
      </c>
      <c r="S394" s="8" t="str">
        <f>LOWER(G394)</f>
        <v>technology</v>
      </c>
      <c r="T394" s="18" t="str">
        <f>RIGHT(A394,5)</f>
        <v>41788</v>
      </c>
      <c r="U394" s="27" t="s">
        <v>3062</v>
      </c>
      <c r="V394" s="16" t="s">
        <v>2686</v>
      </c>
      <c r="W394" s="30">
        <v>2014</v>
      </c>
      <c r="X394" t="s">
        <v>3062</v>
      </c>
      <c r="Y394" s="28">
        <v>41788</v>
      </c>
      <c r="Z394" s="28" t="str">
        <f>TRIM(A394)</f>
        <v>IN-2014-CS12175130-41788</v>
      </c>
      <c r="AA394">
        <f t="shared" si="24"/>
        <v>2014</v>
      </c>
      <c r="AB394">
        <f t="shared" si="25"/>
        <v>5</v>
      </c>
      <c r="AC394">
        <f t="shared" si="26"/>
        <v>5</v>
      </c>
      <c r="AD394">
        <f t="shared" si="27"/>
        <v>3</v>
      </c>
      <c r="AE394" s="62">
        <f>IF(I394="missing", IFERROR(INDEX([1]lookup!$I:$I, MATCH($A394, [1]lookup!$B:$B, 0)), 0), I394)</f>
        <v>3181.7718</v>
      </c>
    </row>
    <row r="395" spans="1:31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>PROPER(D395)</f>
        <v>Julia Dunbar</v>
      </c>
      <c r="P395" s="13" t="str">
        <f>LEFT(A395,2)</f>
        <v>IT</v>
      </c>
      <c r="Q395" s="13" t="str">
        <f>MID(A395,4,4)</f>
        <v>2013</v>
      </c>
      <c r="R395" s="13" t="str">
        <f>UPPER(M395)</f>
        <v>CRITICAL</v>
      </c>
      <c r="S395" s="13" t="str">
        <f>LOWER(G395)</f>
        <v>office supplies</v>
      </c>
      <c r="T395" s="21" t="str">
        <f>RIGHT(A395,5)</f>
        <v>41515</v>
      </c>
      <c r="U395" s="27" t="s">
        <v>3063</v>
      </c>
      <c r="V395" s="19" t="s">
        <v>2710</v>
      </c>
      <c r="W395" s="30">
        <v>2013</v>
      </c>
      <c r="X395" t="s">
        <v>3063</v>
      </c>
      <c r="Y395" s="28">
        <v>41515</v>
      </c>
      <c r="Z395" s="28" t="str">
        <f>TRIM(A395)</f>
        <v>IT-2013-JD16060120-41515</v>
      </c>
      <c r="AA395">
        <f t="shared" si="24"/>
        <v>2013</v>
      </c>
      <c r="AB395">
        <f t="shared" si="25"/>
        <v>8</v>
      </c>
      <c r="AC395">
        <f t="shared" si="26"/>
        <v>5</v>
      </c>
      <c r="AD395">
        <f t="shared" si="27"/>
        <v>3</v>
      </c>
      <c r="AE395" s="62">
        <f>IF(I395="missing", IFERROR(INDEX([1]lookup!$I:$I, MATCH($A395, [1]lookup!$B:$B, 0)), 0), I395)</f>
        <v>1392.633</v>
      </c>
    </row>
    <row r="396" spans="1:31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>PROPER(D396)</f>
        <v>Thomas Seio</v>
      </c>
      <c r="P396" s="8" t="str">
        <f>LEFT(A396,2)</f>
        <v>IN</v>
      </c>
      <c r="Q396" s="8" t="str">
        <f>MID(A396,4,4)</f>
        <v>2014</v>
      </c>
      <c r="R396" s="8" t="str">
        <f>UPPER(M396)</f>
        <v>CRITICAL</v>
      </c>
      <c r="S396" s="8" t="str">
        <f>LOWER(G396)</f>
        <v>furniture</v>
      </c>
      <c r="T396" s="18" t="str">
        <f>RIGHT(A396,5)</f>
        <v>41852</v>
      </c>
      <c r="U396" s="27" t="s">
        <v>3064</v>
      </c>
      <c r="V396" s="16" t="s">
        <v>2686</v>
      </c>
      <c r="W396" s="30">
        <v>2014</v>
      </c>
      <c r="X396" t="s">
        <v>3064</v>
      </c>
      <c r="Y396" s="28">
        <v>41852</v>
      </c>
      <c r="Z396" s="28" t="str">
        <f>TRIM(A396)</f>
        <v>IN-2014-TS212057-41852</v>
      </c>
      <c r="AA396">
        <f t="shared" si="24"/>
        <v>2014</v>
      </c>
      <c r="AB396">
        <f t="shared" si="25"/>
        <v>8</v>
      </c>
      <c r="AC396">
        <f t="shared" si="26"/>
        <v>6</v>
      </c>
      <c r="AD396">
        <f t="shared" si="27"/>
        <v>3</v>
      </c>
      <c r="AE396" s="62">
        <f>IF(I396="missing", IFERROR(INDEX([1]lookup!$I:$I, MATCH($A396, [1]lookup!$B:$B, 0)), 0), I396)</f>
        <v>1512</v>
      </c>
    </row>
    <row r="397" spans="1:31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>PROPER(D397)</f>
        <v>Adam Shillingsburg</v>
      </c>
      <c r="P397" s="13" t="str">
        <f>LEFT(A397,2)</f>
        <v>CA</v>
      </c>
      <c r="Q397" s="13" t="str">
        <f>MID(A397,4,4)</f>
        <v>2014</v>
      </c>
      <c r="R397" s="13" t="str">
        <f>UPPER(M397)</f>
        <v>HIGH</v>
      </c>
      <c r="S397" s="13" t="str">
        <f>LOWER(G397)</f>
        <v>office supplies</v>
      </c>
      <c r="T397" s="21" t="str">
        <f>RIGHT(A397,5)</f>
        <v>41812</v>
      </c>
      <c r="U397" s="27" t="s">
        <v>2775</v>
      </c>
      <c r="V397" s="19" t="s">
        <v>2689</v>
      </c>
      <c r="W397" s="30">
        <v>2014</v>
      </c>
      <c r="X397" t="s">
        <v>2775</v>
      </c>
      <c r="Y397" s="28">
        <v>41812</v>
      </c>
      <c r="Z397" s="28" t="str">
        <f>TRIM(A397)</f>
        <v>CA-2014-AS10090140-41812</v>
      </c>
      <c r="AA397">
        <f t="shared" si="24"/>
        <v>2014</v>
      </c>
      <c r="AB397">
        <f t="shared" si="25"/>
        <v>6</v>
      </c>
      <c r="AC397">
        <f t="shared" si="26"/>
        <v>1</v>
      </c>
      <c r="AD397">
        <f t="shared" si="27"/>
        <v>5</v>
      </c>
      <c r="AE397" s="62">
        <f>IF(I397="missing", IFERROR(INDEX([1]lookup!$I:$I, MATCH($A397, [1]lookup!$B:$B, 0)), 0), I397)</f>
        <v>186.14400000000001</v>
      </c>
    </row>
    <row r="398" spans="1:31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>PROPER(D398)</f>
        <v>Pamela Stobb</v>
      </c>
      <c r="P398" s="8" t="str">
        <f>LEFT(A398,2)</f>
        <v>IN</v>
      </c>
      <c r="Q398" s="8" t="str">
        <f>MID(A398,4,4)</f>
        <v>2015</v>
      </c>
      <c r="R398" s="8" t="str">
        <f>UPPER(M398)</f>
        <v>CRITICAL</v>
      </c>
      <c r="S398" s="8" t="str">
        <f>LOWER(G398)</f>
        <v>furniture</v>
      </c>
      <c r="T398" s="18" t="str">
        <f>RIGHT(A398,5)</f>
        <v>42288</v>
      </c>
      <c r="U398" s="27" t="s">
        <v>3065</v>
      </c>
      <c r="V398" s="16" t="s">
        <v>2686</v>
      </c>
      <c r="W398" s="30">
        <v>2015</v>
      </c>
      <c r="X398" t="s">
        <v>3065</v>
      </c>
      <c r="Y398" s="28">
        <v>42288</v>
      </c>
      <c r="Z398" s="28" t="str">
        <f>TRIM(A398)</f>
        <v>IN-2015-PS1876059-42288</v>
      </c>
      <c r="AA398">
        <f t="shared" si="24"/>
        <v>2015</v>
      </c>
      <c r="AB398">
        <f t="shared" si="25"/>
        <v>10</v>
      </c>
      <c r="AC398">
        <f t="shared" si="26"/>
        <v>1</v>
      </c>
      <c r="AD398">
        <f t="shared" si="27"/>
        <v>2</v>
      </c>
      <c r="AE398" s="62">
        <f>IF(I398="missing", IFERROR(INDEX([1]lookup!$I:$I, MATCH($A398, [1]lookup!$B:$B, 0)), 0), I398)</f>
        <v>1029.25889999999</v>
      </c>
    </row>
    <row r="399" spans="1:31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>PROPER(D399)</f>
        <v>Cynthia Arntzen</v>
      </c>
      <c r="P399" s="13" t="str">
        <f>LEFT(A399,2)</f>
        <v>IN</v>
      </c>
      <c r="Q399" s="13" t="str">
        <f>MID(A399,4,4)</f>
        <v>2014</v>
      </c>
      <c r="R399" s="13" t="str">
        <f>UPPER(M399)</f>
        <v>MEDIUM</v>
      </c>
      <c r="S399" s="13" t="str">
        <f>LOWER(G399)</f>
        <v>technology</v>
      </c>
      <c r="T399" s="21" t="str">
        <f>RIGHT(A399,5)</f>
        <v>41802</v>
      </c>
      <c r="U399" s="27" t="s">
        <v>3066</v>
      </c>
      <c r="V399" s="19" t="s">
        <v>2686</v>
      </c>
      <c r="W399" s="30">
        <v>2014</v>
      </c>
      <c r="X399" t="s">
        <v>3066</v>
      </c>
      <c r="Y399" s="28">
        <v>41802</v>
      </c>
      <c r="Z399" s="28" t="str">
        <f>TRIM(A399)</f>
        <v>IN-2014-CA1277558-41802</v>
      </c>
      <c r="AA399">
        <f t="shared" si="24"/>
        <v>2014</v>
      </c>
      <c r="AB399">
        <f t="shared" si="25"/>
        <v>6</v>
      </c>
      <c r="AC399">
        <f t="shared" si="26"/>
        <v>5</v>
      </c>
      <c r="AD399">
        <f t="shared" si="27"/>
        <v>5</v>
      </c>
      <c r="AE399" s="62">
        <f>IF(I399="missing", IFERROR(INDEX([1]lookup!$I:$I, MATCH($A399, [1]lookup!$B:$B, 0)), 0), I399)</f>
        <v>5751.54</v>
      </c>
    </row>
    <row r="400" spans="1:31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>PROPER(D400)</f>
        <v>Cynthia Delaney</v>
      </c>
      <c r="P400" s="8" t="str">
        <f>LEFT(A400,2)</f>
        <v>ES</v>
      </c>
      <c r="Q400" s="8" t="str">
        <f>MID(A400,4,4)</f>
        <v>2014</v>
      </c>
      <c r="R400" s="8" t="str">
        <f>UPPER(M400)</f>
        <v>HIGH</v>
      </c>
      <c r="S400" s="8" t="str">
        <f>LOWER(G400)</f>
        <v>furniture</v>
      </c>
      <c r="T400" s="18" t="str">
        <f>RIGHT(A400,5)</f>
        <v>41899</v>
      </c>
      <c r="U400" s="27" t="s">
        <v>3067</v>
      </c>
      <c r="V400" s="16" t="s">
        <v>2743</v>
      </c>
      <c r="W400" s="30">
        <v>2014</v>
      </c>
      <c r="X400" t="s">
        <v>3067</v>
      </c>
      <c r="Y400" s="28">
        <v>41899</v>
      </c>
      <c r="Z400" s="28" t="str">
        <f>TRIM(A400)</f>
        <v>ES-2014-CD1279048-41899</v>
      </c>
      <c r="AA400">
        <f t="shared" si="24"/>
        <v>2014</v>
      </c>
      <c r="AB400">
        <f t="shared" si="25"/>
        <v>9</v>
      </c>
      <c r="AC400">
        <f t="shared" si="26"/>
        <v>4</v>
      </c>
      <c r="AD400">
        <f t="shared" si="27"/>
        <v>3</v>
      </c>
      <c r="AE400" s="62">
        <f>IF(I400="missing", IFERROR(INDEX([1]lookup!$I:$I, MATCH($A400, [1]lookup!$B:$B, 0)), 0), I400)</f>
        <v>2442.069</v>
      </c>
    </row>
    <row r="401" spans="1:31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>PROPER(D401)</f>
        <v>Ken Brennan</v>
      </c>
      <c r="P401" s="13" t="str">
        <f>LEFT(A401,2)</f>
        <v>IN</v>
      </c>
      <c r="Q401" s="13" t="str">
        <f>MID(A401,4,4)</f>
        <v>2012</v>
      </c>
      <c r="R401" s="13" t="str">
        <f>UPPER(M401)</f>
        <v>MEDIUM</v>
      </c>
      <c r="S401" s="13" t="str">
        <f>LOWER(G401)</f>
        <v>furniture</v>
      </c>
      <c r="T401" s="21" t="str">
        <f>RIGHT(A401,5)</f>
        <v>41136</v>
      </c>
      <c r="U401" s="27" t="s">
        <v>3068</v>
      </c>
      <c r="V401" s="19" t="s">
        <v>2686</v>
      </c>
      <c r="W401" s="30">
        <v>2012</v>
      </c>
      <c r="X401" t="s">
        <v>3068</v>
      </c>
      <c r="Y401" s="28">
        <v>41136</v>
      </c>
      <c r="Z401" s="28" t="str">
        <f>TRIM(A401)</f>
        <v>IN-2012-KB1660058-41136</v>
      </c>
      <c r="AA401">
        <f t="shared" si="24"/>
        <v>2012</v>
      </c>
      <c r="AB401">
        <f t="shared" si="25"/>
        <v>8</v>
      </c>
      <c r="AC401">
        <f t="shared" si="26"/>
        <v>4</v>
      </c>
      <c r="AD401">
        <f t="shared" si="27"/>
        <v>4</v>
      </c>
      <c r="AE401" s="62">
        <f>IF(I401="missing", IFERROR(INDEX([1]lookup!$I:$I, MATCH($A401, [1]lookup!$B:$B, 0)), 0), I401)</f>
        <v>3274.02</v>
      </c>
    </row>
    <row r="402" spans="1:31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>PROPER(D402)</f>
        <v>Adam Shillingsburg</v>
      </c>
      <c r="P402" s="8" t="str">
        <f>LEFT(A402,2)</f>
        <v>CA</v>
      </c>
      <c r="Q402" s="8" t="str">
        <f>MID(A402,4,4)</f>
        <v>2015</v>
      </c>
      <c r="R402" s="8" t="str">
        <f>UPPER(M402)</f>
        <v>HIGH</v>
      </c>
      <c r="S402" s="8" t="str">
        <f>LOWER(G402)</f>
        <v>office supplies</v>
      </c>
      <c r="T402" s="18" t="str">
        <f>RIGHT(A402,5)</f>
        <v>42096</v>
      </c>
      <c r="U402" s="27" t="s">
        <v>2775</v>
      </c>
      <c r="V402" s="16" t="s">
        <v>2689</v>
      </c>
      <c r="W402" s="30">
        <v>2015</v>
      </c>
      <c r="X402" t="s">
        <v>2775</v>
      </c>
      <c r="Y402" s="28">
        <v>42096</v>
      </c>
      <c r="Z402" s="28" t="str">
        <f>TRIM(A402)</f>
        <v>CA-2015-AS10090140-42096</v>
      </c>
      <c r="AA402">
        <f t="shared" si="24"/>
        <v>2015</v>
      </c>
      <c r="AB402">
        <f t="shared" si="25"/>
        <v>4</v>
      </c>
      <c r="AC402">
        <f t="shared" si="26"/>
        <v>5</v>
      </c>
      <c r="AD402">
        <f t="shared" si="27"/>
        <v>0</v>
      </c>
      <c r="AE402" s="62">
        <f>IF(I402="missing", IFERROR(INDEX([1]lookup!$I:$I, MATCH($A402, [1]lookup!$B:$B, 0)), 0), I402)</f>
        <v>94.199999999999903</v>
      </c>
    </row>
    <row r="403" spans="1:31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>PROPER(D403)</f>
        <v>Maureen Gnade</v>
      </c>
      <c r="P403" s="13" t="str">
        <f>LEFT(A403,2)</f>
        <v>ES</v>
      </c>
      <c r="Q403" s="13" t="str">
        <f>MID(A403,4,4)</f>
        <v>2015</v>
      </c>
      <c r="R403" s="13" t="str">
        <f>UPPER(M403)</f>
        <v>HIGH</v>
      </c>
      <c r="S403" s="13" t="str">
        <f>LOWER(G403)</f>
        <v>technology</v>
      </c>
      <c r="T403" s="21" t="str">
        <f>RIGHT(A403,5)</f>
        <v>42018</v>
      </c>
      <c r="U403" s="27" t="s">
        <v>3069</v>
      </c>
      <c r="V403" s="19" t="s">
        <v>2743</v>
      </c>
      <c r="W403" s="30">
        <v>2015</v>
      </c>
      <c r="X403" t="s">
        <v>3069</v>
      </c>
      <c r="Y403" s="28">
        <v>42018</v>
      </c>
      <c r="Z403" s="28" t="str">
        <f>TRIM(A403)</f>
        <v>ES-2015-MG1769564-42018</v>
      </c>
      <c r="AA403">
        <f t="shared" si="24"/>
        <v>2015</v>
      </c>
      <c r="AB403">
        <f t="shared" si="25"/>
        <v>1</v>
      </c>
      <c r="AC403">
        <f t="shared" si="26"/>
        <v>4</v>
      </c>
      <c r="AD403">
        <f t="shared" si="27"/>
        <v>2</v>
      </c>
      <c r="AE403" s="62">
        <f>IF(I403="missing", IFERROR(INDEX([1]lookup!$I:$I, MATCH($A403, [1]lookup!$B:$B, 0)), 0), I403)</f>
        <v>2847.36</v>
      </c>
    </row>
    <row r="404" spans="1:31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>PROPER(D404)</f>
        <v>Beth Paige</v>
      </c>
      <c r="P404" s="8" t="str">
        <f>LEFT(A404,2)</f>
        <v>IN</v>
      </c>
      <c r="Q404" s="8" t="str">
        <f>MID(A404,4,4)</f>
        <v>2015</v>
      </c>
      <c r="R404" s="8" t="str">
        <f>UPPER(M404)</f>
        <v>CRITICAL</v>
      </c>
      <c r="S404" s="8" t="str">
        <f>LOWER(G404)</f>
        <v>technology</v>
      </c>
      <c r="T404" s="18" t="str">
        <f>RIGHT(A404,5)</f>
        <v>42269</v>
      </c>
      <c r="U404" s="27" t="s">
        <v>3070</v>
      </c>
      <c r="V404" s="16" t="s">
        <v>2686</v>
      </c>
      <c r="W404" s="30">
        <v>2015</v>
      </c>
      <c r="X404" t="s">
        <v>3070</v>
      </c>
      <c r="Y404" s="28">
        <v>42269</v>
      </c>
      <c r="Z404" s="28" t="str">
        <f>TRIM(A404)</f>
        <v>IN-2015-BP11290113-42269</v>
      </c>
      <c r="AA404">
        <f t="shared" si="24"/>
        <v>2015</v>
      </c>
      <c r="AB404">
        <f t="shared" si="25"/>
        <v>9</v>
      </c>
      <c r="AC404">
        <f t="shared" si="26"/>
        <v>3</v>
      </c>
      <c r="AD404">
        <f t="shared" si="27"/>
        <v>3</v>
      </c>
      <c r="AE404" s="62">
        <f>IF(I404="missing", IFERROR(INDEX([1]lookup!$I:$I, MATCH($A404, [1]lookup!$B:$B, 0)), 0), I404)</f>
        <v>1282.22999999999</v>
      </c>
    </row>
    <row r="405" spans="1:31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>PROPER(D405)</f>
        <v>Bryan Spruell</v>
      </c>
      <c r="P405" s="13" t="str">
        <f>LEFT(A405,2)</f>
        <v>IN</v>
      </c>
      <c r="Q405" s="13" t="str">
        <f>MID(A405,4,4)</f>
        <v>2015</v>
      </c>
      <c r="R405" s="13" t="str">
        <f>UPPER(M405)</f>
        <v>MEDIUM</v>
      </c>
      <c r="S405" s="13" t="str">
        <f>LOWER(G405)</f>
        <v>office supplies</v>
      </c>
      <c r="T405" s="21" t="str">
        <f>RIGHT(A405,5)</f>
        <v>42124</v>
      </c>
      <c r="U405" s="27" t="s">
        <v>3071</v>
      </c>
      <c r="V405" s="19" t="s">
        <v>2686</v>
      </c>
      <c r="W405" s="30">
        <v>2015</v>
      </c>
      <c r="X405" t="s">
        <v>3071</v>
      </c>
      <c r="Y405" s="28">
        <v>42124</v>
      </c>
      <c r="Z405" s="28" t="str">
        <f>TRIM(A405)</f>
        <v>IN-2015-BS1180059-42124</v>
      </c>
      <c r="AA405">
        <f t="shared" si="24"/>
        <v>2015</v>
      </c>
      <c r="AB405">
        <f t="shared" si="25"/>
        <v>4</v>
      </c>
      <c r="AC405">
        <f t="shared" si="26"/>
        <v>5</v>
      </c>
      <c r="AD405">
        <f t="shared" si="27"/>
        <v>4</v>
      </c>
      <c r="AE405" s="62">
        <f>IF(I405="missing", IFERROR(INDEX([1]lookup!$I:$I, MATCH($A405, [1]lookup!$B:$B, 0)), 0), I405)</f>
        <v>4135.6409999999996</v>
      </c>
    </row>
    <row r="406" spans="1:31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>PROPER(D406)</f>
        <v>Dianna Vittorini</v>
      </c>
      <c r="P406" s="8" t="str">
        <f>LEFT(A406,2)</f>
        <v>MX</v>
      </c>
      <c r="Q406" s="8" t="str">
        <f>MID(A406,4,4)</f>
        <v>2012</v>
      </c>
      <c r="R406" s="8" t="str">
        <f>UPPER(M406)</f>
        <v>HIGH</v>
      </c>
      <c r="S406" s="8" t="str">
        <f>LOWER(G406)</f>
        <v>furniture</v>
      </c>
      <c r="T406" s="18" t="str">
        <f>RIGHT(A406,5)</f>
        <v>41179</v>
      </c>
      <c r="U406" s="27" t="s">
        <v>3072</v>
      </c>
      <c r="V406" s="16" t="s">
        <v>2718</v>
      </c>
      <c r="W406" s="30">
        <v>2012</v>
      </c>
      <c r="X406" t="s">
        <v>3072</v>
      </c>
      <c r="Y406" s="28">
        <v>41179</v>
      </c>
      <c r="Z406" s="28" t="str">
        <f>TRIM(A406)</f>
        <v>MX-2012-DV1346539-41179</v>
      </c>
      <c r="AA406">
        <f t="shared" si="24"/>
        <v>2102</v>
      </c>
      <c r="AB406">
        <f t="shared" si="25"/>
        <v>9</v>
      </c>
      <c r="AC406">
        <f t="shared" si="26"/>
        <v>4</v>
      </c>
      <c r="AD406">
        <f t="shared" si="27"/>
        <v>0</v>
      </c>
      <c r="AE406" s="62">
        <f>IF(I406="missing", IFERROR(INDEX([1]lookup!$I:$I, MATCH($A406, [1]lookup!$B:$B, 0)), 0), I406)</f>
        <v>2325.2800000000002</v>
      </c>
    </row>
    <row r="407" spans="1:31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>PROPER(D407)</f>
        <v>Duane Benoit</v>
      </c>
      <c r="P407" s="13" t="str">
        <f>LEFT(A407,2)</f>
        <v>RO</v>
      </c>
      <c r="Q407" s="13" t="str">
        <f>MID(A407,4,4)</f>
        <v>2013</v>
      </c>
      <c r="R407" s="13" t="str">
        <f>UPPER(M407)</f>
        <v>CRITICAL</v>
      </c>
      <c r="S407" s="13" t="str">
        <f>LOWER(G407)</f>
        <v>furniture</v>
      </c>
      <c r="T407" s="21" t="str">
        <f>RIGHT(A407,5)</f>
        <v>41503</v>
      </c>
      <c r="U407" s="27" t="s">
        <v>3073</v>
      </c>
      <c r="V407" s="19" t="s">
        <v>3057</v>
      </c>
      <c r="W407" s="30">
        <v>2013</v>
      </c>
      <c r="X407" t="s">
        <v>3073</v>
      </c>
      <c r="Y407" s="28">
        <v>41503</v>
      </c>
      <c r="Z407" s="28" t="str">
        <f>TRIM(A407)</f>
        <v>RO-2013-DB3660107-41503</v>
      </c>
      <c r="AA407">
        <f t="shared" si="24"/>
        <v>2013</v>
      </c>
      <c r="AB407">
        <f t="shared" si="25"/>
        <v>8</v>
      </c>
      <c r="AC407">
        <f t="shared" si="26"/>
        <v>7</v>
      </c>
      <c r="AD407">
        <f t="shared" si="27"/>
        <v>2</v>
      </c>
      <c r="AE407" s="62">
        <f>IF(I407="missing", IFERROR(INDEX([1]lookup!$I:$I, MATCH($A407, [1]lookup!$B:$B, 0)), 0), I407)</f>
        <v>1391.52</v>
      </c>
    </row>
    <row r="408" spans="1:31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>PROPER(D408)</f>
        <v>Karl Braun#</v>
      </c>
      <c r="P408" s="8" t="str">
        <f>LEFT(A408,2)</f>
        <v>IN</v>
      </c>
      <c r="Q408" s="8" t="str">
        <f>MID(A408,4,4)</f>
        <v>2013</v>
      </c>
      <c r="R408" s="8" t="str">
        <f>UPPER(M408)</f>
        <v>CRITICAL</v>
      </c>
      <c r="S408" s="8" t="str">
        <f>LOWER(G408)</f>
        <v>technology</v>
      </c>
      <c r="T408" s="18" t="str">
        <f>RIGHT(A408,5)</f>
        <v>41495</v>
      </c>
      <c r="U408" s="27" t="s">
        <v>3074</v>
      </c>
      <c r="V408" s="16" t="s">
        <v>2686</v>
      </c>
      <c r="W408" s="30">
        <v>2013</v>
      </c>
      <c r="X408" t="s">
        <v>3074</v>
      </c>
      <c r="Y408" s="28">
        <v>41495</v>
      </c>
      <c r="Z408" s="28" t="str">
        <f>TRIM(A408)</f>
        <v>IN-2013-KB1631578-41495</v>
      </c>
      <c r="AA408">
        <f t="shared" si="24"/>
        <v>2013</v>
      </c>
      <c r="AB408">
        <f t="shared" si="25"/>
        <v>8</v>
      </c>
      <c r="AC408">
        <f t="shared" si="26"/>
        <v>6</v>
      </c>
      <c r="AD408">
        <f t="shared" si="27"/>
        <v>0</v>
      </c>
      <c r="AE408" s="62">
        <f>IF(I408="missing", IFERROR(INDEX([1]lookup!$I:$I, MATCH($A408, [1]lookup!$B:$B, 0)), 0), I408)</f>
        <v>0</v>
      </c>
    </row>
    <row r="409" spans="1:31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>PROPER(D409)</f>
        <v>Charles Sheldon</v>
      </c>
      <c r="P409" s="13" t="str">
        <f>LEFT(A409,2)</f>
        <v>ID</v>
      </c>
      <c r="Q409" s="13" t="str">
        <f>MID(A409,4,4)</f>
        <v>2013</v>
      </c>
      <c r="R409" s="13" t="str">
        <f>UPPER(M409)</f>
        <v>HIGH</v>
      </c>
      <c r="S409" s="13" t="str">
        <f>LOWER(G409)</f>
        <v>technology</v>
      </c>
      <c r="T409" s="21" t="str">
        <f>RIGHT(A409,5)</f>
        <v>1473#</v>
      </c>
      <c r="U409" s="27" t="s">
        <v>3075</v>
      </c>
      <c r="V409" s="19" t="s">
        <v>2738</v>
      </c>
      <c r="W409" s="30">
        <v>2013</v>
      </c>
      <c r="X409" t="s">
        <v>3075</v>
      </c>
      <c r="Y409" s="28" t="s">
        <v>3076</v>
      </c>
      <c r="Z409" s="28" t="str">
        <f>TRIM(A409)</f>
        <v>ID-2013-CS121757-41473#</v>
      </c>
      <c r="AA409">
        <f t="shared" si="24"/>
        <v>0</v>
      </c>
      <c r="AB409">
        <f t="shared" si="25"/>
        <v>0</v>
      </c>
      <c r="AC409">
        <f t="shared" si="26"/>
        <v>0</v>
      </c>
      <c r="AD409">
        <f t="shared" si="27"/>
        <v>0</v>
      </c>
      <c r="AE409" s="62">
        <f>IF(I409="missing", IFERROR(INDEX([1]lookup!$I:$I, MATCH($A409, [1]lookup!$B:$B, 0)), 0), I409)</f>
        <v>1863</v>
      </c>
    </row>
    <row r="410" spans="1:31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>PROPER(D410)</f>
        <v>Dario Medina</v>
      </c>
      <c r="P410" s="8" t="str">
        <f>LEFT(A410,2)</f>
        <v>ES</v>
      </c>
      <c r="Q410" s="8" t="str">
        <f>MID(A410,4,4)</f>
        <v>2014</v>
      </c>
      <c r="R410" s="8" t="str">
        <f>UPPER(M410)</f>
        <v>HIGH</v>
      </c>
      <c r="S410" s="8" t="str">
        <f>LOWER(G410)</f>
        <v>technology</v>
      </c>
      <c r="T410" s="18" t="str">
        <f>RIGHT(A410,5)</f>
        <v>42004</v>
      </c>
      <c r="U410" s="27" t="s">
        <v>3077</v>
      </c>
      <c r="V410" s="16" t="s">
        <v>2743</v>
      </c>
      <c r="W410" s="30">
        <v>2014</v>
      </c>
      <c r="X410" t="s">
        <v>3077</v>
      </c>
      <c r="Y410" s="28">
        <v>42004</v>
      </c>
      <c r="Z410" s="28" t="str">
        <f>TRIM(A410)</f>
        <v>ES-2014-DM1295545-42004</v>
      </c>
      <c r="AA410">
        <f t="shared" si="24"/>
        <v>2014</v>
      </c>
      <c r="AB410">
        <f t="shared" si="25"/>
        <v>12</v>
      </c>
      <c r="AC410">
        <f t="shared" si="26"/>
        <v>4</v>
      </c>
      <c r="AD410">
        <f t="shared" si="27"/>
        <v>2</v>
      </c>
      <c r="AE410" s="62">
        <f>IF(I410="missing", IFERROR(INDEX([1]lookup!$I:$I, MATCH($A410, [1]lookup!$B:$B, 0)), 0), I410)</f>
        <v>1946.3129999999901</v>
      </c>
    </row>
    <row r="411" spans="1:31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>PROPER(D411)</f>
        <v>Corey Catlett</v>
      </c>
      <c r="P411" s="13" t="str">
        <f>LEFT(A411,2)</f>
        <v>IT</v>
      </c>
      <c r="Q411" s="13" t="str">
        <f>MID(A411,4,4)</f>
        <v>2013</v>
      </c>
      <c r="R411" s="13" t="str">
        <f>UPPER(M411)</f>
        <v>HIGH</v>
      </c>
      <c r="S411" s="13" t="str">
        <f>LOWER(G411)</f>
        <v>office supplies</v>
      </c>
      <c r="T411" s="21" t="str">
        <f>RIGHT(A411,5)</f>
        <v>41289</v>
      </c>
      <c r="U411" s="27" t="s">
        <v>3078</v>
      </c>
      <c r="V411" s="19" t="s">
        <v>2710</v>
      </c>
      <c r="W411" s="30">
        <v>2013</v>
      </c>
      <c r="X411" t="s">
        <v>3078</v>
      </c>
      <c r="Y411" s="28">
        <v>41289</v>
      </c>
      <c r="Z411" s="28" t="str">
        <f>TRIM(A411)</f>
        <v>IT-2013-CC1261048-41289</v>
      </c>
      <c r="AA411">
        <f t="shared" si="24"/>
        <v>2013</v>
      </c>
      <c r="AB411">
        <f t="shared" si="25"/>
        <v>1</v>
      </c>
      <c r="AC411">
        <f t="shared" si="26"/>
        <v>3</v>
      </c>
      <c r="AD411">
        <f t="shared" si="27"/>
        <v>2</v>
      </c>
      <c r="AE411" s="62">
        <f>IF(I411="missing", IFERROR(INDEX([1]lookup!$I:$I, MATCH($A411, [1]lookup!$B:$B, 0)), 0), I411)</f>
        <v>2283.7139999999999</v>
      </c>
    </row>
    <row r="412" spans="1:31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>PROPER(D412)</f>
        <v>Trudy Glocke#</v>
      </c>
      <c r="P412" s="8" t="str">
        <f>LEFT(A412,2)</f>
        <v>ES</v>
      </c>
      <c r="Q412" s="8" t="str">
        <f>MID(A412,4,4)</f>
        <v>2013</v>
      </c>
      <c r="R412" s="8" t="str">
        <f>UPPER(M412)</f>
        <v>HIGH</v>
      </c>
      <c r="S412" s="8" t="str">
        <f>LOWER(G412)</f>
        <v>office supplies</v>
      </c>
      <c r="T412" s="18" t="str">
        <f>RIGHT(A412,5)</f>
        <v>41591</v>
      </c>
      <c r="U412" s="27" t="s">
        <v>3079</v>
      </c>
      <c r="V412" s="16" t="s">
        <v>2743</v>
      </c>
      <c r="W412" s="30">
        <v>2013</v>
      </c>
      <c r="X412" t="s">
        <v>3079</v>
      </c>
      <c r="Y412" s="28">
        <v>41591</v>
      </c>
      <c r="Z412" s="28" t="str">
        <f>TRIM(A412)</f>
        <v>ES-2013-TG2164014-41591</v>
      </c>
      <c r="AA412">
        <f t="shared" si="24"/>
        <v>2013</v>
      </c>
      <c r="AB412">
        <f t="shared" si="25"/>
        <v>11</v>
      </c>
      <c r="AC412">
        <f t="shared" si="26"/>
        <v>4</v>
      </c>
      <c r="AD412">
        <f t="shared" si="27"/>
        <v>4</v>
      </c>
      <c r="AE412" s="62">
        <f>IF(I412="missing", IFERROR(INDEX([1]lookup!$I:$I, MATCH($A412, [1]lookup!$B:$B, 0)), 0), I412)</f>
        <v>2489.3999999999901</v>
      </c>
    </row>
    <row r="413" spans="1:31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>PROPER(D413)</f>
        <v>Skye Norling</v>
      </c>
      <c r="P413" s="13" t="str">
        <f>LEFT(A413,2)</f>
        <v>ID</v>
      </c>
      <c r="Q413" s="13" t="str">
        <f>MID(A413,4,4)</f>
        <v>2014</v>
      </c>
      <c r="R413" s="13" t="str">
        <f>UPPER(M413)</f>
        <v>MEDIUM</v>
      </c>
      <c r="S413" s="13" t="str">
        <f>LOWER(G413)</f>
        <v>technology</v>
      </c>
      <c r="T413" s="21" t="str">
        <f>RIGHT(A413,5)</f>
        <v>41896</v>
      </c>
      <c r="U413" s="27" t="s">
        <v>3080</v>
      </c>
      <c r="V413" s="19" t="s">
        <v>2738</v>
      </c>
      <c r="W413" s="30">
        <v>2014</v>
      </c>
      <c r="X413" t="s">
        <v>3080</v>
      </c>
      <c r="Y413" s="28">
        <v>41896</v>
      </c>
      <c r="Z413" s="28" t="str">
        <f>TRIM(A413)</f>
        <v>ID-2014-SN2056097-41896</v>
      </c>
      <c r="AA413">
        <f t="shared" si="24"/>
        <v>2014</v>
      </c>
      <c r="AB413">
        <f t="shared" si="25"/>
        <v>9</v>
      </c>
      <c r="AC413">
        <f t="shared" si="26"/>
        <v>1</v>
      </c>
      <c r="AD413">
        <f t="shared" si="27"/>
        <v>0</v>
      </c>
      <c r="AE413" s="62">
        <f>IF(I413="missing", IFERROR(INDEX([1]lookup!$I:$I, MATCH($A413, [1]lookup!$B:$B, 0)), 0), I413)</f>
        <v>3499.1550000000002</v>
      </c>
    </row>
    <row r="414" spans="1:31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>PROPER(D414)</f>
        <v>Clay Cheatham</v>
      </c>
      <c r="P414" s="8" t="str">
        <f>LEFT(A414,2)</f>
        <v>IN</v>
      </c>
      <c r="Q414" s="8" t="str">
        <f>MID(A414,4,4)</f>
        <v>2015</v>
      </c>
      <c r="R414" s="8" t="str">
        <f>UPPER(M414)</f>
        <v>CRITICAL</v>
      </c>
      <c r="S414" s="8" t="str">
        <f>LOWER(G414)</f>
        <v>technology</v>
      </c>
      <c r="T414" s="18" t="str">
        <f>RIGHT(A414,5)</f>
        <v>42046</v>
      </c>
      <c r="U414" s="27" t="s">
        <v>3081</v>
      </c>
      <c r="V414" s="16" t="s">
        <v>2686</v>
      </c>
      <c r="W414" s="30">
        <v>2015</v>
      </c>
      <c r="X414" t="s">
        <v>3081</v>
      </c>
      <c r="Y414" s="28">
        <v>42046</v>
      </c>
      <c r="Z414" s="28" t="str">
        <f>TRIM(A414)</f>
        <v>IN-2015-CC125507-42046</v>
      </c>
      <c r="AA414">
        <f t="shared" si="24"/>
        <v>2015</v>
      </c>
      <c r="AB414">
        <f t="shared" si="25"/>
        <v>2</v>
      </c>
      <c r="AC414">
        <f t="shared" si="26"/>
        <v>4</v>
      </c>
      <c r="AD414">
        <f t="shared" si="27"/>
        <v>0</v>
      </c>
      <c r="AE414" s="62">
        <f>IF(I414="missing", IFERROR(INDEX([1]lookup!$I:$I, MATCH($A414, [1]lookup!$B:$B, 0)), 0), I414)</f>
        <v>1027.7280000000001</v>
      </c>
    </row>
    <row r="415" spans="1:31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>PROPER(D415)</f>
        <v>Stewart Visinsky</v>
      </c>
      <c r="P415" s="13" t="str">
        <f>LEFT(A415,2)</f>
        <v>IN</v>
      </c>
      <c r="Q415" s="13" t="str">
        <f>MID(A415,4,4)</f>
        <v>2015</v>
      </c>
      <c r="R415" s="13" t="str">
        <f>UPPER(M415)</f>
        <v>HIGH</v>
      </c>
      <c r="S415" s="13" t="str">
        <f>LOWER(G415)</f>
        <v>office_supplies</v>
      </c>
      <c r="T415" s="21" t="str">
        <f>RIGHT(A415,5)</f>
        <v>42110</v>
      </c>
      <c r="U415" s="27" t="s">
        <v>3082</v>
      </c>
      <c r="V415" s="19" t="s">
        <v>2686</v>
      </c>
      <c r="W415" s="30">
        <v>2015</v>
      </c>
      <c r="X415" t="s">
        <v>3082</v>
      </c>
      <c r="Y415" s="28">
        <v>42110</v>
      </c>
      <c r="Z415" s="28" t="str">
        <f>TRIM(A415)</f>
        <v>IN-2015-SV2078559-42110</v>
      </c>
      <c r="AA415">
        <f t="shared" si="24"/>
        <v>2015</v>
      </c>
      <c r="AB415">
        <f t="shared" si="25"/>
        <v>4</v>
      </c>
      <c r="AC415">
        <f t="shared" si="26"/>
        <v>5</v>
      </c>
      <c r="AD415">
        <f t="shared" si="27"/>
        <v>2</v>
      </c>
      <c r="AE415" s="62">
        <f>IF(I415="missing", IFERROR(INDEX([1]lookup!$I:$I, MATCH($A415, [1]lookup!$B:$B, 0)), 0), I415)</f>
        <v>1803.0836999999999</v>
      </c>
    </row>
    <row r="416" spans="1:31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>PROPER(D416)</f>
        <v>Alejandro Savely</v>
      </c>
      <c r="P416" s="8" t="str">
        <f>LEFT(A416,2)</f>
        <v>IN</v>
      </c>
      <c r="Q416" s="8" t="str">
        <f>MID(A416,4,4)</f>
        <v>2012</v>
      </c>
      <c r="R416" s="8" t="str">
        <f>UPPER(M416)</f>
        <v>CRITICAL</v>
      </c>
      <c r="S416" s="8" t="str">
        <f>LOWER(G416)</f>
        <v>furniture</v>
      </c>
      <c r="T416" s="18" t="str">
        <f>RIGHT(A416,5)</f>
        <v>41221</v>
      </c>
      <c r="U416" s="27" t="s">
        <v>3083</v>
      </c>
      <c r="V416" s="16" t="s">
        <v>2686</v>
      </c>
      <c r="W416" s="30">
        <v>2012</v>
      </c>
      <c r="X416" t="s">
        <v>3083</v>
      </c>
      <c r="Y416" s="28">
        <v>41221</v>
      </c>
      <c r="Z416" s="28" t="str">
        <f>TRIM(A416)</f>
        <v>IN-2012-AS1028558-41221</v>
      </c>
      <c r="AA416">
        <f t="shared" si="24"/>
        <v>2012</v>
      </c>
      <c r="AB416">
        <f t="shared" si="25"/>
        <v>11</v>
      </c>
      <c r="AC416">
        <f t="shared" si="26"/>
        <v>5</v>
      </c>
      <c r="AD416">
        <f t="shared" si="27"/>
        <v>2</v>
      </c>
      <c r="AE416" s="62">
        <f>IF(I416="missing", IFERROR(INDEX([1]lookup!$I:$I, MATCH($A416, [1]lookup!$B:$B, 0)), 0), I416)</f>
        <v>969.36</v>
      </c>
    </row>
    <row r="417" spans="1:31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>PROPER(D417)</f>
        <v>Dave Brooks</v>
      </c>
      <c r="P417" s="13" t="str">
        <f>LEFT(A417,2)</f>
        <v>IN</v>
      </c>
      <c r="Q417" s="13" t="str">
        <f>MID(A417,4,4)</f>
        <v>2015</v>
      </c>
      <c r="R417" s="13" t="str">
        <f>UPPER(M417)</f>
        <v>HIGH</v>
      </c>
      <c r="S417" s="13" t="str">
        <f>LOWER(G417)</f>
        <v>technology</v>
      </c>
      <c r="T417" s="21" t="str">
        <f>RIGHT(A417,5)</f>
        <v>42353</v>
      </c>
      <c r="U417" s="27" t="s">
        <v>3084</v>
      </c>
      <c r="V417" s="19" t="s">
        <v>2686</v>
      </c>
      <c r="W417" s="30">
        <v>2015</v>
      </c>
      <c r="X417" t="s">
        <v>3084</v>
      </c>
      <c r="Y417" s="28">
        <v>42353</v>
      </c>
      <c r="Z417" s="28" t="str">
        <f>TRIM(A417)</f>
        <v>IN-2015-DB1306027-42353</v>
      </c>
      <c r="AA417">
        <f t="shared" si="24"/>
        <v>2015</v>
      </c>
      <c r="AB417">
        <f t="shared" si="25"/>
        <v>12</v>
      </c>
      <c r="AC417">
        <f t="shared" si="26"/>
        <v>3</v>
      </c>
      <c r="AD417">
        <f t="shared" si="27"/>
        <v>2</v>
      </c>
      <c r="AE417" s="62">
        <f>IF(I417="missing", IFERROR(INDEX([1]lookup!$I:$I, MATCH($A417, [1]lookup!$B:$B, 0)), 0), I417)</f>
        <v>2043.72</v>
      </c>
    </row>
    <row r="418" spans="1:31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>PROPER(D418)</f>
        <v xml:space="preserve"> Jane Waco </v>
      </c>
      <c r="P418" s="8" t="str">
        <f>LEFT(A418,2)</f>
        <v>MZ</v>
      </c>
      <c r="Q418" s="8" t="str">
        <f>MID(A418,4,4)</f>
        <v>2015</v>
      </c>
      <c r="R418" s="8" t="str">
        <f>UPPER(M418)</f>
        <v>CRITICAL</v>
      </c>
      <c r="S418" s="8" t="str">
        <f>LOWER(G418)</f>
        <v>office supplies</v>
      </c>
      <c r="T418" s="18" t="str">
        <f>RIGHT(A418,5)</f>
        <v>42183</v>
      </c>
      <c r="U418" s="27" t="s">
        <v>3085</v>
      </c>
      <c r="V418" s="16" t="s">
        <v>3086</v>
      </c>
      <c r="W418" s="30">
        <v>2015</v>
      </c>
      <c r="X418" t="s">
        <v>3085</v>
      </c>
      <c r="Y418" s="28">
        <v>42183</v>
      </c>
      <c r="Z418" s="28" t="str">
        <f>TRIM(A418)</f>
        <v>MZ-2015-JW522087-42183</v>
      </c>
      <c r="AA418">
        <f t="shared" si="24"/>
        <v>2015</v>
      </c>
      <c r="AB418">
        <f t="shared" si="25"/>
        <v>6</v>
      </c>
      <c r="AC418">
        <f t="shared" si="26"/>
        <v>1</v>
      </c>
      <c r="AD418">
        <f t="shared" si="27"/>
        <v>0</v>
      </c>
      <c r="AE418" s="62">
        <f>IF(I418="missing", IFERROR(INDEX([1]lookup!$I:$I, MATCH($A418, [1]lookup!$B:$B, 0)), 0), I418)</f>
        <v>856.8</v>
      </c>
    </row>
    <row r="419" spans="1:31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>PROPER(D419)</f>
        <v>Elna Hernandez</v>
      </c>
      <c r="P419" s="13" t="str">
        <f>LEFT(A419,2)</f>
        <v>MX</v>
      </c>
      <c r="Q419" s="13" t="str">
        <f>MID(A419,4,4)</f>
        <v>2013</v>
      </c>
      <c r="R419" s="13" t="str">
        <f>UPPER(M419)</f>
        <v>MEDIUM</v>
      </c>
      <c r="S419" s="13" t="str">
        <f>LOWER(G419)</f>
        <v>office supplies</v>
      </c>
      <c r="T419" s="21" t="str">
        <f>RIGHT(A419,5)</f>
        <v>41489</v>
      </c>
      <c r="U419" s="27" t="s">
        <v>3087</v>
      </c>
      <c r="V419" s="19" t="s">
        <v>2718</v>
      </c>
      <c r="W419" s="30">
        <v>2013</v>
      </c>
      <c r="X419" t="s">
        <v>3087</v>
      </c>
      <c r="Y419" s="28">
        <v>41489</v>
      </c>
      <c r="Z419" s="28" t="str">
        <f>TRIM(A419)</f>
        <v>MX-2013-LH1690018-41489</v>
      </c>
      <c r="AA419">
        <f t="shared" si="24"/>
        <v>2013</v>
      </c>
      <c r="AB419">
        <f t="shared" si="25"/>
        <v>8</v>
      </c>
      <c r="AC419">
        <f t="shared" si="26"/>
        <v>7</v>
      </c>
      <c r="AD419">
        <f t="shared" si="27"/>
        <v>2</v>
      </c>
      <c r="AE419" s="62">
        <f>IF(I419="missing", IFERROR(INDEX([1]lookup!$I:$I, MATCH($A419, [1]lookup!$B:$B, 0)), 0), I419)</f>
        <v>1455.08</v>
      </c>
    </row>
    <row r="420" spans="1:31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>PROPER(D420)</f>
        <v>Bradley Talbott</v>
      </c>
      <c r="P420" s="8" t="str">
        <f>LEFT(A420,2)</f>
        <v>IN</v>
      </c>
      <c r="Q420" s="8" t="str">
        <f>MID(A420,4,4)</f>
        <v>2013</v>
      </c>
      <c r="R420" s="8" t="str">
        <f>UPPER(M420)</f>
        <v>MEDIUM</v>
      </c>
      <c r="S420" s="8" t="str">
        <f>LOWER(G420)</f>
        <v>furniture</v>
      </c>
      <c r="T420" s="18" t="str">
        <f>RIGHT(A420,5)</f>
        <v>41331</v>
      </c>
      <c r="U420" s="27" t="s">
        <v>3088</v>
      </c>
      <c r="V420" s="16" t="s">
        <v>2686</v>
      </c>
      <c r="W420" s="30">
        <v>2013</v>
      </c>
      <c r="X420" t="s">
        <v>3088</v>
      </c>
      <c r="Y420" s="28">
        <v>41331</v>
      </c>
      <c r="Z420" s="28" t="str">
        <f>TRIM(A420)</f>
        <v>IN-2013-BT1153058-41331</v>
      </c>
      <c r="AA420">
        <f t="shared" si="24"/>
        <v>2103</v>
      </c>
      <c r="AB420">
        <f t="shared" si="25"/>
        <v>2</v>
      </c>
      <c r="AC420">
        <f t="shared" si="26"/>
        <v>2</v>
      </c>
      <c r="AD420">
        <f t="shared" si="27"/>
        <v>-32865</v>
      </c>
      <c r="AE420" s="62">
        <f>IF(I420="missing", IFERROR(INDEX([1]lookup!$I:$I, MATCH($A420, [1]lookup!$B:$B, 0)), 0), I420)</f>
        <v>0</v>
      </c>
    </row>
    <row r="421" spans="1:31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>PROPER(D421)</f>
        <v>Sarah Jordon</v>
      </c>
      <c r="P421" s="13" t="str">
        <f>LEFT(A421,2)</f>
        <v>MX</v>
      </c>
      <c r="Q421" s="13" t="str">
        <f>MID(A421,4,4)</f>
        <v>2015</v>
      </c>
      <c r="R421" s="13" t="str">
        <f>UPPER(M421)</f>
        <v>HIGH</v>
      </c>
      <c r="S421" s="13" t="str">
        <f>LOWER(G421)</f>
        <v>technology</v>
      </c>
      <c r="T421" s="21" t="str">
        <f>RIGHT(A421,5)</f>
        <v>42179</v>
      </c>
      <c r="U421" s="27" t="s">
        <v>3089</v>
      </c>
      <c r="V421" s="19" t="s">
        <v>2718</v>
      </c>
      <c r="W421" s="30">
        <v>2015</v>
      </c>
      <c r="X421" t="s">
        <v>3089</v>
      </c>
      <c r="Y421" s="28">
        <v>42179</v>
      </c>
      <c r="Z421" s="28" t="str">
        <f>TRIM(A421)</f>
        <v>MX-2015-SJ2021582-42179</v>
      </c>
      <c r="AA421">
        <f t="shared" si="24"/>
        <v>2015</v>
      </c>
      <c r="AB421">
        <f t="shared" si="25"/>
        <v>6</v>
      </c>
      <c r="AC421">
        <f t="shared" si="26"/>
        <v>4</v>
      </c>
      <c r="AD421">
        <f t="shared" si="27"/>
        <v>2</v>
      </c>
      <c r="AE421" s="62">
        <f>IF(I421="missing", IFERROR(INDEX([1]lookup!$I:$I, MATCH($A421, [1]lookup!$B:$B, 0)), 0), I421)</f>
        <v>3045.8399999999901</v>
      </c>
    </row>
    <row r="422" spans="1:31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>PROPER(D422)</f>
        <v>David Kendrick</v>
      </c>
      <c r="P422" s="8" t="str">
        <f>LEFT(A422,2)</f>
        <v>ES</v>
      </c>
      <c r="Q422" s="8" t="str">
        <f>MID(A422,4,4)</f>
        <v>2013</v>
      </c>
      <c r="R422" s="8" t="str">
        <f>UPPER(M422)</f>
        <v>MEDIUM</v>
      </c>
      <c r="S422" s="8" t="str">
        <f>LOWER(G422)</f>
        <v>technology</v>
      </c>
      <c r="T422" s="18" t="str">
        <f>RIGHT(A422,5)</f>
        <v>41386</v>
      </c>
      <c r="U422" s="27" t="s">
        <v>3090</v>
      </c>
      <c r="V422" s="16" t="s">
        <v>2743</v>
      </c>
      <c r="W422" s="30">
        <v>2013</v>
      </c>
      <c r="X422" t="s">
        <v>3090</v>
      </c>
      <c r="Y422" s="28">
        <v>41386</v>
      </c>
      <c r="Z422" s="28" t="str">
        <f>TRIM(A422)</f>
        <v>ES-2013-DK1315048-41386</v>
      </c>
      <c r="AA422">
        <f t="shared" si="24"/>
        <v>0</v>
      </c>
      <c r="AB422">
        <f t="shared" si="25"/>
        <v>0</v>
      </c>
      <c r="AC422">
        <f t="shared" si="26"/>
        <v>0</v>
      </c>
      <c r="AD422">
        <f t="shared" si="27"/>
        <v>0</v>
      </c>
      <c r="AE422" s="62">
        <f>IF(I422="missing", IFERROR(INDEX([1]lookup!$I:$I, MATCH($A422, [1]lookup!$B:$B, 0)), 0), I422)</f>
        <v>4748.4359999999997</v>
      </c>
    </row>
    <row r="423" spans="1:31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>PROPER(D423)</f>
        <v>Rick Wilson</v>
      </c>
      <c r="P423" s="13" t="str">
        <f>LEFT(A423,2)</f>
        <v>SF</v>
      </c>
      <c r="Q423" s="13" t="str">
        <f>MID(A423,4,4)</f>
        <v>2014</v>
      </c>
      <c r="R423" s="13" t="str">
        <f>UPPER(M423)</f>
        <v>HIGH</v>
      </c>
      <c r="S423" s="13" t="str">
        <f>LOWER(G423)</f>
        <v>technology</v>
      </c>
      <c r="T423" s="21" t="str">
        <f>RIGHT(A423,5)</f>
        <v>41942</v>
      </c>
      <c r="U423" s="27" t="s">
        <v>3091</v>
      </c>
      <c r="V423" s="19" t="s">
        <v>2764</v>
      </c>
      <c r="W423" s="30">
        <v>2014</v>
      </c>
      <c r="X423" t="s">
        <v>3091</v>
      </c>
      <c r="Y423" s="28">
        <v>41942</v>
      </c>
      <c r="Z423" s="28" t="str">
        <f>TRIM(A423)</f>
        <v>SF-2014-RW9540117-41942</v>
      </c>
      <c r="AA423">
        <f t="shared" si="24"/>
        <v>2014</v>
      </c>
      <c r="AB423">
        <f t="shared" si="25"/>
        <v>10</v>
      </c>
      <c r="AC423">
        <f t="shared" si="26"/>
        <v>5</v>
      </c>
      <c r="AD423">
        <f t="shared" si="27"/>
        <v>5</v>
      </c>
      <c r="AE423" s="62">
        <f>IF(I423="missing", IFERROR(INDEX([1]lookup!$I:$I, MATCH($A423, [1]lookup!$B:$B, 0)), 0), I423)</f>
        <v>1867.5</v>
      </c>
    </row>
    <row r="424" spans="1:31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>PROPER(D424)</f>
        <v>Adrian Barton</v>
      </c>
      <c r="P424" s="8" t="str">
        <f>LEFT(A424,2)</f>
        <v>CA</v>
      </c>
      <c r="Q424" s="8" t="str">
        <f>MID(A424,4,4)</f>
        <v>2014</v>
      </c>
      <c r="R424" s="8" t="str">
        <f>UPPER(M424)</f>
        <v>MEDIUM</v>
      </c>
      <c r="S424" s="8" t="str">
        <f>LOWER(G424)</f>
        <v>office_supplies</v>
      </c>
      <c r="T424" s="18" t="str">
        <f>RIGHT(A424,5)</f>
        <v>41991</v>
      </c>
      <c r="U424" s="27" t="s">
        <v>2809</v>
      </c>
      <c r="V424" s="16" t="s">
        <v>2689</v>
      </c>
      <c r="W424" s="30">
        <v>2014</v>
      </c>
      <c r="X424" t="s">
        <v>2809</v>
      </c>
      <c r="Y424" s="28">
        <v>41991</v>
      </c>
      <c r="Z424" s="28" t="str">
        <f>TRIM(A424)</f>
        <v>CA-2014-AB10105140-41991</v>
      </c>
      <c r="AA424">
        <f t="shared" si="24"/>
        <v>2014</v>
      </c>
      <c r="AB424">
        <f t="shared" si="25"/>
        <v>12</v>
      </c>
      <c r="AC424">
        <f t="shared" si="26"/>
        <v>5</v>
      </c>
      <c r="AD424">
        <f t="shared" si="27"/>
        <v>4</v>
      </c>
      <c r="AE424" s="62">
        <f>IF(I424="missing", IFERROR(INDEX([1]lookup!$I:$I, MATCH($A424, [1]lookup!$B:$B, 0)), 0), I424)</f>
        <v>9892.74</v>
      </c>
    </row>
    <row r="425" spans="1:31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>PROPER(D425)</f>
        <v>Adrian Barton</v>
      </c>
      <c r="P425" s="13" t="str">
        <f>LEFT(A425,2)</f>
        <v>CA</v>
      </c>
      <c r="Q425" s="13" t="str">
        <f>MID(A425,4,4)</f>
        <v>2015</v>
      </c>
      <c r="R425" s="13" t="str">
        <f>UPPER(M425)</f>
        <v>MEDIUM</v>
      </c>
      <c r="S425" s="13" t="str">
        <f>LOWER(G425)</f>
        <v>furniture</v>
      </c>
      <c r="T425" s="21" t="str">
        <f>RIGHT(A425,5)</f>
        <v>42328</v>
      </c>
      <c r="U425" s="27" t="s">
        <v>2809</v>
      </c>
      <c r="V425" s="19" t="s">
        <v>2689</v>
      </c>
      <c r="W425" s="30">
        <v>2015</v>
      </c>
      <c r="X425" t="s">
        <v>2809</v>
      </c>
      <c r="Y425" s="28">
        <v>42328</v>
      </c>
      <c r="Z425" s="28" t="str">
        <f>TRIM(A425)</f>
        <v>CA-2015-AB10105140-42328</v>
      </c>
      <c r="AA425">
        <f t="shared" si="24"/>
        <v>2015</v>
      </c>
      <c r="AB425">
        <f t="shared" si="25"/>
        <v>11</v>
      </c>
      <c r="AC425">
        <f t="shared" si="26"/>
        <v>6</v>
      </c>
      <c r="AD425">
        <f t="shared" si="27"/>
        <v>4</v>
      </c>
      <c r="AE425" s="62">
        <f>IF(I425="missing", IFERROR(INDEX([1]lookup!$I:$I, MATCH($A425, [1]lookup!$B:$B, 0)), 0), I425)</f>
        <v>821.87999999999897</v>
      </c>
    </row>
    <row r="426" spans="1:31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>PROPER(D426)</f>
        <v>Caroline Jumper</v>
      </c>
      <c r="P426" s="8" t="str">
        <f>LEFT(A426,2)</f>
        <v>IN</v>
      </c>
      <c r="Q426" s="8" t="str">
        <f>MID(A426,4,4)</f>
        <v>2014</v>
      </c>
      <c r="R426" s="8" t="str">
        <f>UPPER(M426)</f>
        <v>CRITICAL</v>
      </c>
      <c r="S426" s="8" t="str">
        <f>LOWER(G426)</f>
        <v>technology</v>
      </c>
      <c r="T426" s="18" t="str">
        <f>RIGHT(A426,5)</f>
        <v>41810</v>
      </c>
      <c r="U426" s="27" t="s">
        <v>3092</v>
      </c>
      <c r="V426" s="16" t="s">
        <v>2686</v>
      </c>
      <c r="W426" s="30">
        <v>2014</v>
      </c>
      <c r="X426" t="s">
        <v>3092</v>
      </c>
      <c r="Y426" s="28">
        <v>41810</v>
      </c>
      <c r="Z426" s="28" t="str">
        <f>TRIM(A426)</f>
        <v>IN-2014-CJ1201027-41810</v>
      </c>
      <c r="AA426">
        <f t="shared" si="24"/>
        <v>2014</v>
      </c>
      <c r="AB426">
        <f t="shared" si="25"/>
        <v>6</v>
      </c>
      <c r="AC426">
        <f t="shared" si="26"/>
        <v>6</v>
      </c>
      <c r="AD426">
        <f t="shared" si="27"/>
        <v>2</v>
      </c>
      <c r="AE426" s="62">
        <f>IF(I426="missing", IFERROR(INDEX([1]lookup!$I:$I, MATCH($A426, [1]lookup!$B:$B, 0)), 0), I426)</f>
        <v>1063.44</v>
      </c>
    </row>
    <row r="427" spans="1:31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>PROPER(D427)</f>
        <v>Brenda Bowman</v>
      </c>
      <c r="P427" s="13" t="str">
        <f>LEFT(A427,2)</f>
        <v>ES</v>
      </c>
      <c r="Q427" s="13" t="str">
        <f>MID(A427,4,4)</f>
        <v>2015</v>
      </c>
      <c r="R427" s="13" t="str">
        <f>UPPER(M427)</f>
        <v>HIHG</v>
      </c>
      <c r="S427" s="13" t="str">
        <f>LOWER(G427)</f>
        <v>furniture</v>
      </c>
      <c r="T427" s="21" t="str">
        <f>RIGHT(A427,5)</f>
        <v>42336</v>
      </c>
      <c r="U427" s="27" t="s">
        <v>3093</v>
      </c>
      <c r="V427" s="19" t="s">
        <v>2743</v>
      </c>
      <c r="W427" s="30">
        <v>2015</v>
      </c>
      <c r="X427" t="s">
        <v>3093</v>
      </c>
      <c r="Y427" s="28">
        <v>42336</v>
      </c>
      <c r="Z427" s="28" t="str">
        <f>TRIM(A427)</f>
        <v>ES-2015-BB1154548-42336</v>
      </c>
      <c r="AA427">
        <f t="shared" si="24"/>
        <v>2015</v>
      </c>
      <c r="AB427">
        <f t="shared" si="25"/>
        <v>11</v>
      </c>
      <c r="AC427">
        <f t="shared" si="26"/>
        <v>7</v>
      </c>
      <c r="AD427">
        <f t="shared" si="27"/>
        <v>5</v>
      </c>
      <c r="AE427" s="62">
        <f>IF(I427="missing", IFERROR(INDEX([1]lookup!$I:$I, MATCH($A427, [1]lookup!$B:$B, 0)), 0), I427)</f>
        <v>2455.6770000000001</v>
      </c>
    </row>
    <row r="428" spans="1:31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>PROPER(D428)</f>
        <v>Susan Pistek</v>
      </c>
      <c r="P428" s="8" t="str">
        <f>LEFT(A428,2)</f>
        <v>IN</v>
      </c>
      <c r="Q428" s="8" t="str">
        <f>MID(A428,4,4)</f>
        <v>2014</v>
      </c>
      <c r="R428" s="8" t="str">
        <f>UPPER(M428)</f>
        <v>MEDIUM</v>
      </c>
      <c r="S428" s="8" t="str">
        <f>LOWER(G428)</f>
        <v>technology</v>
      </c>
      <c r="T428" s="18" t="str">
        <f>RIGHT(A428,5)</f>
        <v>41808</v>
      </c>
      <c r="U428" s="27" t="s">
        <v>3094</v>
      </c>
      <c r="V428" s="16" t="s">
        <v>2686</v>
      </c>
      <c r="W428" s="30">
        <v>2014</v>
      </c>
      <c r="X428" t="s">
        <v>3094</v>
      </c>
      <c r="Y428" s="28">
        <v>41808</v>
      </c>
      <c r="Z428" s="28" t="str">
        <f>TRIM(A428)</f>
        <v>IN-2014-SP20920130-41808</v>
      </c>
      <c r="AA428">
        <f t="shared" si="24"/>
        <v>2014</v>
      </c>
      <c r="AB428">
        <f t="shared" si="25"/>
        <v>6</v>
      </c>
      <c r="AC428">
        <f t="shared" si="26"/>
        <v>4</v>
      </c>
      <c r="AD428">
        <f t="shared" si="27"/>
        <v>6</v>
      </c>
      <c r="AE428" s="62">
        <f>IF(I428="missing", IFERROR(INDEX([1]lookup!$I:$I, MATCH($A428, [1]lookup!$B:$B, 0)), 0), I428)</f>
        <v>3712.59</v>
      </c>
    </row>
    <row r="429" spans="1:31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>PROPER(D429)</f>
        <v>Nick Zandusky</v>
      </c>
      <c r="P429" s="13" t="str">
        <f>LEFT(A429,2)</f>
        <v>IN</v>
      </c>
      <c r="Q429" s="13" t="str">
        <f>MID(A429,4,4)</f>
        <v>2013</v>
      </c>
      <c r="R429" s="13" t="str">
        <f>UPPER(M429)</f>
        <v>HIGH</v>
      </c>
      <c r="S429" s="13" t="str">
        <f>LOWER(G429)</f>
        <v>technology</v>
      </c>
      <c r="T429" s="21" t="str">
        <f>RIGHT(A429,5)</f>
        <v>1398#</v>
      </c>
      <c r="U429" s="27" t="s">
        <v>3095</v>
      </c>
      <c r="V429" s="19" t="s">
        <v>2686</v>
      </c>
      <c r="W429" s="30">
        <v>2013</v>
      </c>
      <c r="X429" t="s">
        <v>3095</v>
      </c>
      <c r="Y429" s="28" t="s">
        <v>3096</v>
      </c>
      <c r="Z429" s="28" t="str">
        <f>TRIM(A429)</f>
        <v>IN-2013-NZ1856558-41398#</v>
      </c>
      <c r="AA429">
        <f t="shared" si="24"/>
        <v>2013</v>
      </c>
      <c r="AB429">
        <f t="shared" si="25"/>
        <v>5</v>
      </c>
      <c r="AC429">
        <f t="shared" si="26"/>
        <v>7</v>
      </c>
      <c r="AD429">
        <f t="shared" si="27"/>
        <v>2</v>
      </c>
      <c r="AE429" s="62">
        <f>IF(I429="missing", IFERROR(INDEX([1]lookup!$I:$I, MATCH($A429, [1]lookup!$B:$B, 0)), 0), I429)</f>
        <v>2372.2199999999998</v>
      </c>
    </row>
    <row r="430" spans="1:31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>PROPER(D430)</f>
        <v>Bill Stewart</v>
      </c>
      <c r="P430" s="8" t="str">
        <f>LEFT(A430,2)</f>
        <v>ID</v>
      </c>
      <c r="Q430" s="8" t="str">
        <f>MID(A430,4,4)</f>
        <v>2013</v>
      </c>
      <c r="R430" s="8" t="str">
        <f>UPPER(M430)</f>
        <v>MEDIUM</v>
      </c>
      <c r="S430" s="8" t="str">
        <f>LOWER(G430)</f>
        <v>technology</v>
      </c>
      <c r="T430" s="18" t="str">
        <f>RIGHT(A430,5)</f>
        <v>41577</v>
      </c>
      <c r="U430" s="27" t="s">
        <v>3097</v>
      </c>
      <c r="V430" s="16" t="s">
        <v>2738</v>
      </c>
      <c r="W430" s="30">
        <v>2013</v>
      </c>
      <c r="X430" t="s">
        <v>3097</v>
      </c>
      <c r="Y430" s="28">
        <v>41577</v>
      </c>
      <c r="Z430" s="28" t="str">
        <f>TRIM(A430)</f>
        <v>ID-2013-BS1138059-41577</v>
      </c>
      <c r="AA430">
        <f t="shared" si="24"/>
        <v>2013</v>
      </c>
      <c r="AB430">
        <f t="shared" si="25"/>
        <v>10</v>
      </c>
      <c r="AC430">
        <f t="shared" si="26"/>
        <v>4</v>
      </c>
      <c r="AD430">
        <f t="shared" si="27"/>
        <v>4</v>
      </c>
      <c r="AE430" s="62">
        <f>IF(I430="missing", IFERROR(INDEX([1]lookup!$I:$I, MATCH($A430, [1]lookup!$B:$B, 0)), 0), I430)</f>
        <v>2991.10319999999</v>
      </c>
    </row>
    <row r="431" spans="1:31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>PROPER(D431)</f>
        <v>Ed Ludwig</v>
      </c>
      <c r="P431" s="13" t="str">
        <f>LEFT(A431,2)</f>
        <v>IN</v>
      </c>
      <c r="Q431" s="13" t="str">
        <f>MID(A431,4,4)</f>
        <v>2014</v>
      </c>
      <c r="R431" s="13" t="str">
        <f>UPPER(M431)</f>
        <v>MEDIUM</v>
      </c>
      <c r="S431" s="13" t="str">
        <f>LOWER(G431)</f>
        <v>furniture</v>
      </c>
      <c r="T431" s="21" t="str">
        <f>RIGHT(A431,5)</f>
        <v>41943</v>
      </c>
      <c r="U431" s="27" t="s">
        <v>3098</v>
      </c>
      <c r="V431" s="19" t="s">
        <v>2686</v>
      </c>
      <c r="W431" s="30">
        <v>2014</v>
      </c>
      <c r="X431" t="s">
        <v>3098</v>
      </c>
      <c r="Y431" s="28">
        <v>41943</v>
      </c>
      <c r="Z431" s="28" t="str">
        <f>TRIM(A431)</f>
        <v>IN-2014-EL137357-41943</v>
      </c>
      <c r="AA431">
        <f t="shared" si="24"/>
        <v>2014</v>
      </c>
      <c r="AB431">
        <f t="shared" si="25"/>
        <v>10</v>
      </c>
      <c r="AC431">
        <f t="shared" si="26"/>
        <v>6</v>
      </c>
      <c r="AD431">
        <f t="shared" si="27"/>
        <v>0</v>
      </c>
      <c r="AE431" s="62">
        <f>IF(I431="missing", IFERROR(INDEX([1]lookup!$I:$I, MATCH($A431, [1]lookup!$B:$B, 0)), 0), I431)</f>
        <v>2634.5519999999901</v>
      </c>
    </row>
    <row r="432" spans="1:31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>PROPER(D432)</f>
        <v>Frank Hawley</v>
      </c>
      <c r="P432" s="8" t="str">
        <f>LEFT(A432,2)</f>
        <v>IN</v>
      </c>
      <c r="Q432" s="8" t="str">
        <f>MID(A432,4,4)</f>
        <v>2014</v>
      </c>
      <c r="R432" s="8" t="str">
        <f>UPPER(M432)</f>
        <v>MEDIUM</v>
      </c>
      <c r="S432" s="8" t="str">
        <f>LOWER(G432)</f>
        <v>furniture</v>
      </c>
      <c r="T432" s="18" t="str">
        <f>RIGHT(A432,5)</f>
        <v>41991</v>
      </c>
      <c r="U432" s="27" t="s">
        <v>3099</v>
      </c>
      <c r="V432" s="16" t="s">
        <v>2686</v>
      </c>
      <c r="W432" s="30">
        <v>2014</v>
      </c>
      <c r="X432" t="s">
        <v>3099</v>
      </c>
      <c r="Y432" s="28">
        <v>41991</v>
      </c>
      <c r="Z432" s="28" t="str">
        <f>TRIM(A432)</f>
        <v>IN-2014-FH1427559-41991</v>
      </c>
      <c r="AA432">
        <f t="shared" si="24"/>
        <v>2014</v>
      </c>
      <c r="AB432">
        <f t="shared" si="25"/>
        <v>12</v>
      </c>
      <c r="AC432">
        <f t="shared" si="26"/>
        <v>5</v>
      </c>
      <c r="AD432">
        <f t="shared" si="27"/>
        <v>7</v>
      </c>
      <c r="AE432" s="62">
        <f>IF(I432="missing", IFERROR(INDEX([1]lookup!$I:$I, MATCH($A432, [1]lookup!$B:$B, 0)), 0), I432)</f>
        <v>3707.3519999999999</v>
      </c>
    </row>
    <row r="433" spans="1:31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>PROPER(D433)</f>
        <v>Tom Stivers</v>
      </c>
      <c r="P433" s="13" t="str">
        <f>LEFT(A433,2)</f>
        <v>MW</v>
      </c>
      <c r="Q433" s="13" t="str">
        <f>MID(A433,4,4)</f>
        <v>2015</v>
      </c>
      <c r="R433" s="13" t="str">
        <f>UPPER(M433)</f>
        <v>MEDIUM</v>
      </c>
      <c r="S433" s="13" t="str">
        <f>LOWER(G433)</f>
        <v>office supplies</v>
      </c>
      <c r="T433" s="21" t="str">
        <f>RIGHT(A433,5)</f>
        <v>42220</v>
      </c>
      <c r="U433" s="27" t="s">
        <v>3100</v>
      </c>
      <c r="V433" s="19" t="s">
        <v>3101</v>
      </c>
      <c r="W433" s="30">
        <v>2015</v>
      </c>
      <c r="X433" t="s">
        <v>3100</v>
      </c>
      <c r="Y433" s="28">
        <v>42220</v>
      </c>
      <c r="Z433" s="28" t="str">
        <f>TRIM(A433)</f>
        <v>MW-2015-TS1143085-42220</v>
      </c>
      <c r="AA433">
        <f t="shared" si="24"/>
        <v>0</v>
      </c>
      <c r="AB433">
        <f t="shared" si="25"/>
        <v>0</v>
      </c>
      <c r="AC433">
        <f t="shared" si="26"/>
        <v>0</v>
      </c>
      <c r="AD433">
        <f t="shared" si="27"/>
        <v>0</v>
      </c>
      <c r="AE433" s="62">
        <f>IF(I433="missing", IFERROR(INDEX([1]lookup!$I:$I, MATCH($A433, [1]lookup!$B:$B, 0)), 0), I433)</f>
        <v>3234.24</v>
      </c>
    </row>
    <row r="434" spans="1:31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>PROPER(D434)</f>
        <v>Candace Mcmahon</v>
      </c>
      <c r="P434" s="8" t="str">
        <f>LEFT(A434,2)</f>
        <v>IN</v>
      </c>
      <c r="Q434" s="8" t="str">
        <f>MID(A434,4,4)</f>
        <v>2014</v>
      </c>
      <c r="R434" s="8" t="str">
        <f>UPPER(M434)</f>
        <v>MEDIUM</v>
      </c>
      <c r="S434" s="8" t="str">
        <f>LOWER(G434)</f>
        <v>technology</v>
      </c>
      <c r="T434" s="18" t="str">
        <f>RIGHT(A434,5)</f>
        <v>41870</v>
      </c>
      <c r="U434" s="27" t="s">
        <v>3102</v>
      </c>
      <c r="V434" s="16" t="s">
        <v>2686</v>
      </c>
      <c r="W434" s="30">
        <v>2014</v>
      </c>
      <c r="X434" t="s">
        <v>3102</v>
      </c>
      <c r="Y434" s="28">
        <v>41870</v>
      </c>
      <c r="Z434" s="28" t="str">
        <f>TRIM(A434)</f>
        <v>IN-2014-CM1181597-41870</v>
      </c>
      <c r="AA434">
        <f t="shared" si="24"/>
        <v>2014</v>
      </c>
      <c r="AB434">
        <f t="shared" si="25"/>
        <v>8</v>
      </c>
      <c r="AC434">
        <f t="shared" si="26"/>
        <v>3</v>
      </c>
      <c r="AD434">
        <f t="shared" si="27"/>
        <v>2</v>
      </c>
      <c r="AE434" s="62">
        <f>IF(I434="missing", IFERROR(INDEX([1]lookup!$I:$I, MATCH($A434, [1]lookup!$B:$B, 0)), 0), I434)</f>
        <v>2863.08</v>
      </c>
    </row>
    <row r="435" spans="1:31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>PROPER(D435)</f>
        <v>Kristina Nunn</v>
      </c>
      <c r="P435" s="13" t="str">
        <f>LEFT(A435,2)</f>
        <v>IR</v>
      </c>
      <c r="Q435" s="13" t="str">
        <f>MID(A435,4,4)</f>
        <v>2013</v>
      </c>
      <c r="R435" s="13" t="str">
        <f>UPPER(M435)</f>
        <v>LOW</v>
      </c>
      <c r="S435" s="13" t="str">
        <f>LOWER(G435)</f>
        <v>office supplies</v>
      </c>
      <c r="T435" s="21" t="str">
        <f>RIGHT(A435,5)</f>
        <v>41508</v>
      </c>
      <c r="U435" s="27" t="s">
        <v>3103</v>
      </c>
      <c r="V435" s="19" t="s">
        <v>2814</v>
      </c>
      <c r="W435" s="30">
        <v>2013</v>
      </c>
      <c r="X435" t="s">
        <v>3103</v>
      </c>
      <c r="Y435" s="28">
        <v>41508</v>
      </c>
      <c r="Z435" s="28" t="str">
        <f>TRIM(A435)</f>
        <v>IR-2013-KN670560-41508</v>
      </c>
      <c r="AA435">
        <f t="shared" si="24"/>
        <v>2013</v>
      </c>
      <c r="AB435">
        <f t="shared" si="25"/>
        <v>8</v>
      </c>
      <c r="AC435">
        <f t="shared" si="26"/>
        <v>5</v>
      </c>
      <c r="AD435">
        <f t="shared" si="27"/>
        <v>7</v>
      </c>
      <c r="AE435" s="62">
        <f>IF(I435="missing", IFERROR(INDEX([1]lookup!$I:$I, MATCH($A435, [1]lookup!$B:$B, 0)), 0), I435)</f>
        <v>3369.24</v>
      </c>
    </row>
    <row r="436" spans="1:31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>PROPER(D436)</f>
        <v>Gary Mcgarr</v>
      </c>
      <c r="P436" s="8" t="str">
        <f>LEFT(A436,2)</f>
        <v>IT</v>
      </c>
      <c r="Q436" s="8" t="str">
        <f>MID(A436,4,4)</f>
        <v>2013</v>
      </c>
      <c r="R436" s="8" t="str">
        <f>UPPER(M436)</f>
        <v>HIGH</v>
      </c>
      <c r="S436" s="8" t="str">
        <f>LOWER(G436)</f>
        <v>furniture</v>
      </c>
      <c r="T436" s="18" t="str">
        <f>RIGHT(A436,5)</f>
        <v>41347</v>
      </c>
      <c r="U436" s="27" t="s">
        <v>3104</v>
      </c>
      <c r="V436" s="16" t="s">
        <v>2710</v>
      </c>
      <c r="W436" s="30">
        <v>2013</v>
      </c>
      <c r="X436" t="s">
        <v>3104</v>
      </c>
      <c r="Y436" s="28">
        <v>41347</v>
      </c>
      <c r="Z436" s="28" t="str">
        <f>TRIM(A436)</f>
        <v>IT-2013-GM1444091-41347</v>
      </c>
      <c r="AA436">
        <f t="shared" si="24"/>
        <v>2013</v>
      </c>
      <c r="AB436">
        <f t="shared" si="25"/>
        <v>3</v>
      </c>
      <c r="AC436">
        <f t="shared" si="26"/>
        <v>5</v>
      </c>
      <c r="AD436">
        <f t="shared" si="27"/>
        <v>3</v>
      </c>
      <c r="AE436" s="62">
        <f>IF(I436="missing", IFERROR(INDEX([1]lookup!$I:$I, MATCH($A436, [1]lookup!$B:$B, 0)), 0), I436)</f>
        <v>1273.125</v>
      </c>
    </row>
    <row r="437" spans="1:31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>PROPER(D437)</f>
        <v>Jason Fortune-</v>
      </c>
      <c r="P437" s="13" t="str">
        <f>LEFT(A437,2)</f>
        <v>MX</v>
      </c>
      <c r="Q437" s="13" t="str">
        <f>MID(A437,4,4)</f>
        <v>2013</v>
      </c>
      <c r="R437" s="13" t="str">
        <f>UPPER(M437)</f>
        <v>HGIH</v>
      </c>
      <c r="S437" s="13" t="str">
        <f>LOWER(G437)</f>
        <v>furniture</v>
      </c>
      <c r="T437" s="21" t="str">
        <f>RIGHT(A437,5)</f>
        <v>41564</v>
      </c>
      <c r="U437" s="27" t="s">
        <v>3105</v>
      </c>
      <c r="V437" s="19" t="s">
        <v>2718</v>
      </c>
      <c r="W437" s="30">
        <v>2013</v>
      </c>
      <c r="X437" t="s">
        <v>3105</v>
      </c>
      <c r="Y437" s="28">
        <v>41564</v>
      </c>
      <c r="Z437" s="28" t="str">
        <f>TRIM(A437)</f>
        <v>MX-2013-JF1529531-41564</v>
      </c>
      <c r="AA437">
        <f t="shared" si="24"/>
        <v>2013</v>
      </c>
      <c r="AB437">
        <f t="shared" si="25"/>
        <v>10</v>
      </c>
      <c r="AC437">
        <f t="shared" si="26"/>
        <v>5</v>
      </c>
      <c r="AD437">
        <f t="shared" si="27"/>
        <v>4</v>
      </c>
      <c r="AE437" s="62">
        <f>IF(I437="missing", IFERROR(INDEX([1]lookup!$I:$I, MATCH($A437, [1]lookup!$B:$B, 0)), 0), I437)</f>
        <v>2818.0799999999899</v>
      </c>
    </row>
    <row r="438" spans="1:31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>PROPER(D438)</f>
        <v>Michael Dominguez</v>
      </c>
      <c r="P438" s="8" t="str">
        <f>LEFT(A438,2)</f>
        <v>IN</v>
      </c>
      <c r="Q438" s="8" t="str">
        <f>MID(A438,4,4)</f>
        <v>2015</v>
      </c>
      <c r="R438" s="8" t="str">
        <f>UPPER(M438)</f>
        <v>HIGH</v>
      </c>
      <c r="S438" s="8" t="str">
        <f>LOWER(G438)</f>
        <v>technology</v>
      </c>
      <c r="T438" s="18" t="str">
        <f>RIGHT(A438,5)</f>
        <v>42171</v>
      </c>
      <c r="U438" s="27" t="s">
        <v>3106</v>
      </c>
      <c r="V438" s="16" t="s">
        <v>2686</v>
      </c>
      <c r="W438" s="30">
        <v>2015</v>
      </c>
      <c r="X438" t="s">
        <v>3106</v>
      </c>
      <c r="Y438" s="28">
        <v>42171</v>
      </c>
      <c r="Z438" s="28" t="str">
        <f>TRIM(A438)</f>
        <v>IN-2015-MD178607-42171</v>
      </c>
      <c r="AA438">
        <f t="shared" si="24"/>
        <v>2015</v>
      </c>
      <c r="AB438">
        <f t="shared" si="25"/>
        <v>6</v>
      </c>
      <c r="AC438">
        <f t="shared" si="26"/>
        <v>3</v>
      </c>
      <c r="AD438">
        <f t="shared" si="27"/>
        <v>5</v>
      </c>
      <c r="AE438" s="62">
        <f>IF(I438="missing", IFERROR(INDEX([1]lookup!$I:$I, MATCH($A438, [1]lookup!$B:$B, 0)), 0), I438)</f>
        <v>2293.4879999999998</v>
      </c>
    </row>
    <row r="439" spans="1:31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>PROPER(D439)</f>
        <v>John Murray</v>
      </c>
      <c r="P439" s="13" t="str">
        <f>LEFT(A439,2)</f>
        <v>MX</v>
      </c>
      <c r="Q439" s="13" t="str">
        <f>MID(A439,4,4)</f>
        <v>2015</v>
      </c>
      <c r="R439" s="13" t="str">
        <f>UPPER(M439)</f>
        <v>HIGH</v>
      </c>
      <c r="S439" s="13" t="str">
        <f>LOWER(G439)</f>
        <v>furniture</v>
      </c>
      <c r="T439" s="21" t="str">
        <f>RIGHT(A439,5)</f>
        <v>42137</v>
      </c>
      <c r="U439" s="27" t="s">
        <v>3107</v>
      </c>
      <c r="V439" s="19" t="s">
        <v>2718</v>
      </c>
      <c r="W439" s="30">
        <v>2015</v>
      </c>
      <c r="X439" t="s">
        <v>3107</v>
      </c>
      <c r="Y439" s="28">
        <v>42137</v>
      </c>
      <c r="Z439" s="28" t="str">
        <f>TRIM(A439)</f>
        <v>MX-2015-JM1586582-42137</v>
      </c>
      <c r="AA439">
        <f t="shared" si="24"/>
        <v>2015</v>
      </c>
      <c r="AB439">
        <f t="shared" si="25"/>
        <v>5</v>
      </c>
      <c r="AC439">
        <f t="shared" si="26"/>
        <v>4</v>
      </c>
      <c r="AD439">
        <f t="shared" si="27"/>
        <v>4</v>
      </c>
      <c r="AE439" s="62">
        <f>IF(I439="missing", IFERROR(INDEX([1]lookup!$I:$I, MATCH($A439, [1]lookup!$B:$B, 0)), 0), I439)</f>
        <v>1715.05599999999</v>
      </c>
    </row>
    <row r="440" spans="1:31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>PROPER(D440)</f>
        <v>Juliana Krohn</v>
      </c>
      <c r="P440" s="8" t="str">
        <f>LEFT(A440,2)</f>
        <v>IN</v>
      </c>
      <c r="Q440" s="8" t="str">
        <f>MID(A440,4,4)</f>
        <v>2015</v>
      </c>
      <c r="R440" s="8" t="str">
        <f>UPPER(M440)</f>
        <v>HIGH</v>
      </c>
      <c r="S440" s="8" t="str">
        <f>LOWER(G440)</f>
        <v>office supplies#</v>
      </c>
      <c r="T440" s="18" t="str">
        <f>RIGHT(A440,5)</f>
        <v>42288</v>
      </c>
      <c r="U440" s="27" t="s">
        <v>3108</v>
      </c>
      <c r="V440" s="16" t="s">
        <v>2686</v>
      </c>
      <c r="W440" s="30">
        <v>2015</v>
      </c>
      <c r="X440" t="s">
        <v>3108</v>
      </c>
      <c r="Y440" s="28">
        <v>42288</v>
      </c>
      <c r="Z440" s="28" t="str">
        <f>TRIM(A440)</f>
        <v>IN-2015-JK1609058-42288</v>
      </c>
      <c r="AA440">
        <f t="shared" si="24"/>
        <v>2015</v>
      </c>
      <c r="AB440">
        <f t="shared" si="25"/>
        <v>10</v>
      </c>
      <c r="AC440">
        <f t="shared" si="26"/>
        <v>1</v>
      </c>
      <c r="AD440">
        <f t="shared" si="27"/>
        <v>3</v>
      </c>
      <c r="AE440" s="62">
        <f>IF(I440="missing", IFERROR(INDEX([1]lookup!$I:$I, MATCH($A440, [1]lookup!$B:$B, 0)), 0), I440)</f>
        <v>2488.56</v>
      </c>
    </row>
    <row r="441" spans="1:31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>PROPER(D441)</f>
        <v>Sean Miller</v>
      </c>
      <c r="P441" s="13" t="str">
        <f>LEFT(A441,2)</f>
        <v>MX</v>
      </c>
      <c r="Q441" s="13" t="str">
        <f>MID(A441,4,4)</f>
        <v>2012</v>
      </c>
      <c r="R441" s="13" t="str">
        <f>UPPER(M441)</f>
        <v>CRITICAL</v>
      </c>
      <c r="S441" s="13" t="str">
        <f>LOWER(G441)</f>
        <v>office supplies</v>
      </c>
      <c r="T441" s="21" t="str">
        <f>RIGHT(A441,5)</f>
        <v>41234</v>
      </c>
      <c r="U441" s="27" t="s">
        <v>3109</v>
      </c>
      <c r="V441" s="19" t="s">
        <v>2718</v>
      </c>
      <c r="W441" s="30">
        <v>2012</v>
      </c>
      <c r="X441" t="s">
        <v>3109</v>
      </c>
      <c r="Y441" s="28">
        <v>41234</v>
      </c>
      <c r="Z441" s="28" t="str">
        <f>TRIM(A441)</f>
        <v>MX-2012-SM2032036-41234</v>
      </c>
      <c r="AA441">
        <f t="shared" si="24"/>
        <v>2012</v>
      </c>
      <c r="AB441">
        <f t="shared" si="25"/>
        <v>11</v>
      </c>
      <c r="AC441">
        <f t="shared" si="26"/>
        <v>4</v>
      </c>
      <c r="AD441">
        <f t="shared" si="27"/>
        <v>3</v>
      </c>
      <c r="AE441" s="62">
        <f>IF(I441="missing", IFERROR(INDEX([1]lookup!$I:$I, MATCH($A441, [1]lookup!$B:$B, 0)), 0), I441)</f>
        <v>1124.2559999999901</v>
      </c>
    </row>
    <row r="442" spans="1:31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>PROPER(D442)</f>
        <v>Duane Huffman</v>
      </c>
      <c r="P442" s="8" t="str">
        <f>LEFT(A442,2)</f>
        <v>MA</v>
      </c>
      <c r="Q442" s="8" t="str">
        <f>MID(A442,4,4)</f>
        <v>2014</v>
      </c>
      <c r="R442" s="8" t="str">
        <f>UPPER(M442)</f>
        <v>RCITICAL</v>
      </c>
      <c r="S442" s="8" t="str">
        <f>LOWER(G442)</f>
        <v>technology</v>
      </c>
      <c r="T442" s="18" t="str">
        <f>RIGHT(A442,5)</f>
        <v>41926</v>
      </c>
      <c r="U442" s="27" t="s">
        <v>3110</v>
      </c>
      <c r="V442" s="16" t="s">
        <v>3111</v>
      </c>
      <c r="W442" s="30">
        <v>2014</v>
      </c>
      <c r="X442" t="s">
        <v>3110</v>
      </c>
      <c r="Y442" s="28">
        <v>41926</v>
      </c>
      <c r="Z442" s="28" t="str">
        <f>TRIM(A442)</f>
        <v>MA-2014-DH367577-41926</v>
      </c>
      <c r="AA442">
        <f t="shared" si="24"/>
        <v>2014</v>
      </c>
      <c r="AB442">
        <f t="shared" si="25"/>
        <v>10</v>
      </c>
      <c r="AC442">
        <f t="shared" si="26"/>
        <v>3</v>
      </c>
      <c r="AD442">
        <f t="shared" si="27"/>
        <v>1</v>
      </c>
      <c r="AE442" s="62">
        <f>IF(I442="missing", IFERROR(INDEX([1]lookup!$I:$I, MATCH($A442, [1]lookup!$B:$B, 0)), 0), I442)</f>
        <v>1519.92</v>
      </c>
    </row>
    <row r="443" spans="1:31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>PROPER(D443)</f>
        <v>John Murray</v>
      </c>
      <c r="P443" s="13" t="str">
        <f>LEFT(A443,2)</f>
        <v>ID</v>
      </c>
      <c r="Q443" s="13" t="str">
        <f>MID(A443,4,4)</f>
        <v>2013</v>
      </c>
      <c r="R443" s="13" t="str">
        <f>UPPER(M443)</f>
        <v xml:space="preserve"> CRITICAL </v>
      </c>
      <c r="S443" s="13" t="str">
        <f>LOWER(G443)</f>
        <v>office supplies</v>
      </c>
      <c r="T443" s="21" t="str">
        <f>RIGHT(A443,5)</f>
        <v>41628</v>
      </c>
      <c r="U443" s="27" t="s">
        <v>3112</v>
      </c>
      <c r="V443" s="19" t="s">
        <v>2738</v>
      </c>
      <c r="W443" s="30">
        <v>2013</v>
      </c>
      <c r="X443" t="s">
        <v>3112</v>
      </c>
      <c r="Y443" s="28">
        <v>41628</v>
      </c>
      <c r="Z443" s="28" t="str">
        <f>TRIM(A443)</f>
        <v>ID-2013-JM1586597-41628</v>
      </c>
      <c r="AA443">
        <f t="shared" si="24"/>
        <v>2013</v>
      </c>
      <c r="AB443">
        <f t="shared" si="25"/>
        <v>12</v>
      </c>
      <c r="AC443">
        <f t="shared" si="26"/>
        <v>6</v>
      </c>
      <c r="AD443">
        <f t="shared" si="27"/>
        <v>3</v>
      </c>
      <c r="AE443" s="62">
        <f>IF(I443="missing", IFERROR(INDEX([1]lookup!$I:$I, MATCH($A443, [1]lookup!$B:$B, 0)), 0), I443)</f>
        <v>1704.87</v>
      </c>
    </row>
    <row r="444" spans="1:31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>PROPER(D444)</f>
        <v>Chad Mcguire</v>
      </c>
      <c r="P444" s="8" t="str">
        <f>LEFT(A444,2)</f>
        <v>ES</v>
      </c>
      <c r="Q444" s="8" t="str">
        <f>MID(A444,4,4)</f>
        <v>2013</v>
      </c>
      <c r="R444" s="8" t="str">
        <f>UPPER(M444)</f>
        <v>HIGH#</v>
      </c>
      <c r="S444" s="8" t="str">
        <f>LOWER(G444)</f>
        <v>technology</v>
      </c>
      <c r="T444" s="18" t="str">
        <f>RIGHT(A444,5)</f>
        <v>41489</v>
      </c>
      <c r="U444" s="27" t="s">
        <v>3113</v>
      </c>
      <c r="V444" s="16" t="s">
        <v>2743</v>
      </c>
      <c r="W444" s="30">
        <v>2013</v>
      </c>
      <c r="X444" t="s">
        <v>3113</v>
      </c>
      <c r="Y444" s="28">
        <v>41489</v>
      </c>
      <c r="Z444" s="28" t="str">
        <f>TRIM(A444)</f>
        <v>ES-2013-CM1211564-41489</v>
      </c>
      <c r="AA444">
        <f t="shared" si="24"/>
        <v>2013</v>
      </c>
      <c r="AB444">
        <f t="shared" si="25"/>
        <v>8</v>
      </c>
      <c r="AC444">
        <f t="shared" si="26"/>
        <v>7</v>
      </c>
      <c r="AD444">
        <f t="shared" si="27"/>
        <v>4</v>
      </c>
      <c r="AE444" s="62">
        <f>IF(I444="missing", IFERROR(INDEX([1]lookup!$I:$I, MATCH($A444, [1]lookup!$B:$B, 0)), 0), I444)</f>
        <v>1715.9099999999901</v>
      </c>
    </row>
    <row r="445" spans="1:31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>PROPER(D445)</f>
        <v>Fred Hopkins</v>
      </c>
      <c r="P445" s="13" t="str">
        <f>LEFT(A445,2)</f>
        <v>MX</v>
      </c>
      <c r="Q445" s="13" t="str">
        <f>MID(A445,4,4)</f>
        <v>2013</v>
      </c>
      <c r="R445" s="13" t="str">
        <f>UPPER(M445)</f>
        <v>MEDIUM</v>
      </c>
      <c r="S445" s="13" t="str">
        <f>LOWER(G445)</f>
        <v>technology</v>
      </c>
      <c r="T445" s="21" t="str">
        <f>RIGHT(A445,5)</f>
        <v>41558</v>
      </c>
      <c r="U445" s="27" t="s">
        <v>3058</v>
      </c>
      <c r="V445" s="19" t="s">
        <v>2718</v>
      </c>
      <c r="W445" s="30">
        <v>2013</v>
      </c>
      <c r="X445" t="s">
        <v>3058</v>
      </c>
      <c r="Y445" s="28">
        <v>41558</v>
      </c>
      <c r="Z445" s="28" t="str">
        <f>TRIM(A445)</f>
        <v>MX-2013-FH1436582-41558</v>
      </c>
      <c r="AA445">
        <f t="shared" si="24"/>
        <v>2013</v>
      </c>
      <c r="AB445">
        <f t="shared" si="25"/>
        <v>10</v>
      </c>
      <c r="AC445">
        <f t="shared" si="26"/>
        <v>6</v>
      </c>
      <c r="AD445">
        <f t="shared" si="27"/>
        <v>3</v>
      </c>
      <c r="AE445" s="62">
        <f>IF(I445="missing", IFERROR(INDEX([1]lookup!$I:$I, MATCH($A445, [1]lookup!$B:$B, 0)), 0), I445)</f>
        <v>2968.97999999999</v>
      </c>
    </row>
    <row r="446" spans="1:31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>PROPER(D446)</f>
        <v>Andrew Gjertsen</v>
      </c>
      <c r="P446" s="8" t="str">
        <f>LEFT(A446,2)</f>
        <v>IN</v>
      </c>
      <c r="Q446" s="8" t="str">
        <f>MID(A446,4,4)</f>
        <v>2012</v>
      </c>
      <c r="R446" s="8" t="str">
        <f>UPPER(M446)</f>
        <v>MEDIUM</v>
      </c>
      <c r="S446" s="8" t="str">
        <f>LOWER(G446)</f>
        <v>technology</v>
      </c>
      <c r="T446" s="18" t="str">
        <f>RIGHT(A446,5)</f>
        <v>41248</v>
      </c>
      <c r="U446" s="27" t="s">
        <v>3114</v>
      </c>
      <c r="V446" s="16" t="s">
        <v>2686</v>
      </c>
      <c r="W446" s="30">
        <v>2012</v>
      </c>
      <c r="X446" t="s">
        <v>3114</v>
      </c>
      <c r="Y446" s="28">
        <v>41248</v>
      </c>
      <c r="Z446" s="28" t="str">
        <f>TRIM(A446)</f>
        <v>IN-2012-AG1049527-41248</v>
      </c>
      <c r="AA446">
        <f t="shared" si="24"/>
        <v>2012</v>
      </c>
      <c r="AB446">
        <f t="shared" si="25"/>
        <v>12</v>
      </c>
      <c r="AC446">
        <f t="shared" si="26"/>
        <v>4</v>
      </c>
      <c r="AD446">
        <f t="shared" si="27"/>
        <v>7</v>
      </c>
      <c r="AE446" s="62">
        <f>IF(I446="missing", IFERROR(INDEX([1]lookup!$I:$I, MATCH($A446, [1]lookup!$B:$B, 0)), 0), I446)</f>
        <v>2518.9499999999998</v>
      </c>
    </row>
    <row r="447" spans="1:31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>PROPER(D447)</f>
        <v>Arthur Gainer</v>
      </c>
      <c r="P447" s="13" t="str">
        <f>LEFT(A447,2)</f>
        <v>MX</v>
      </c>
      <c r="Q447" s="13" t="str">
        <f>MID(A447,4,4)</f>
        <v>2013</v>
      </c>
      <c r="R447" s="13" t="str">
        <f>UPPER(M447)</f>
        <v>MEDIUM</v>
      </c>
      <c r="S447" s="13" t="str">
        <f>LOWER(G447)</f>
        <v>office supplies</v>
      </c>
      <c r="T447" s="21" t="str">
        <f>RIGHT(A447,5)</f>
        <v>41398</v>
      </c>
      <c r="U447" s="27" t="s">
        <v>3115</v>
      </c>
      <c r="V447" s="19" t="s">
        <v>2718</v>
      </c>
      <c r="W447" s="30">
        <v>2013</v>
      </c>
      <c r="X447" t="s">
        <v>3115</v>
      </c>
      <c r="Y447" s="28">
        <v>41398</v>
      </c>
      <c r="Z447" s="28" t="str">
        <f>TRIM(A447)</f>
        <v>MX-2013-AG1090082-41398</v>
      </c>
      <c r="AA447">
        <f t="shared" si="24"/>
        <v>2013</v>
      </c>
      <c r="AB447">
        <f t="shared" si="25"/>
        <v>5</v>
      </c>
      <c r="AC447">
        <f t="shared" si="26"/>
        <v>7</v>
      </c>
      <c r="AD447">
        <f t="shared" si="27"/>
        <v>5</v>
      </c>
      <c r="AE447" s="62">
        <f>IF(I447="missing", IFERROR(INDEX([1]lookup!$I:$I, MATCH($A447, [1]lookup!$B:$B, 0)), 0), I447)</f>
        <v>3242.88</v>
      </c>
    </row>
    <row r="448" spans="1:31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>PROPER(D448)</f>
        <v>Jason Fortune-</v>
      </c>
      <c r="P448" s="8" t="str">
        <f>LEFT(A448,2)</f>
        <v xml:space="preserve"> I</v>
      </c>
      <c r="Q448" s="8" t="str">
        <f>MID(A448,4,4)</f>
        <v>-201</v>
      </c>
      <c r="R448" s="8" t="str">
        <f>UPPER(M448)</f>
        <v>HIGH</v>
      </c>
      <c r="S448" s="8" t="str">
        <f>LOWER(G448)</f>
        <v>office supplies</v>
      </c>
      <c r="T448" s="18" t="str">
        <f>RIGHT(A448,5)</f>
        <v xml:space="preserve">1668 </v>
      </c>
      <c r="U448" s="27" t="s">
        <v>3035</v>
      </c>
      <c r="V448" s="16" t="s">
        <v>3116</v>
      </c>
      <c r="W448" s="30">
        <v>2014</v>
      </c>
      <c r="X448" t="s">
        <v>3035</v>
      </c>
      <c r="Y448" s="28">
        <v>41668</v>
      </c>
      <c r="Z448" s="28" t="str">
        <f>TRIM(A448)</f>
        <v>IT-2014-JF15295120-41668</v>
      </c>
      <c r="AA448">
        <f t="shared" si="24"/>
        <v>2014</v>
      </c>
      <c r="AB448">
        <f t="shared" si="25"/>
        <v>1</v>
      </c>
      <c r="AC448">
        <f t="shared" si="26"/>
        <v>4</v>
      </c>
      <c r="AD448">
        <f t="shared" si="27"/>
        <v>2</v>
      </c>
      <c r="AE448" s="62">
        <f>IF(I448="missing", IFERROR(INDEX([1]lookup!$I:$I, MATCH($A448, [1]lookup!$B:$B, 0)), 0), I448)</f>
        <v>1271.4569999999901</v>
      </c>
    </row>
    <row r="449" spans="1:31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>PROPER(D449)</f>
        <v>Maribeth Schnelling</v>
      </c>
      <c r="P449" s="13" t="str">
        <f>LEFT(A449,2)</f>
        <v>MX</v>
      </c>
      <c r="Q449" s="13" t="str">
        <f>MID(A449,4,4)</f>
        <v>2014</v>
      </c>
      <c r="R449" s="13" t="str">
        <f>UPPER(M449)</f>
        <v>HIGH</v>
      </c>
      <c r="S449" s="13" t="str">
        <f>LOWER(G449)</f>
        <v>technology</v>
      </c>
      <c r="T449" s="21" t="str">
        <f>RIGHT(A449,5)</f>
        <v>41780</v>
      </c>
      <c r="U449" s="27" t="s">
        <v>3117</v>
      </c>
      <c r="V449" s="19" t="s">
        <v>2718</v>
      </c>
      <c r="W449" s="30">
        <v>2014</v>
      </c>
      <c r="X449" t="s">
        <v>3117</v>
      </c>
      <c r="Y449" s="28">
        <v>41780</v>
      </c>
      <c r="Z449" s="28" t="str">
        <f>TRIM(A449)</f>
        <v>MX-2014-MS1736539-41780</v>
      </c>
      <c r="AA449">
        <f t="shared" si="24"/>
        <v>2014</v>
      </c>
      <c r="AB449">
        <f t="shared" si="25"/>
        <v>5</v>
      </c>
      <c r="AC449">
        <f t="shared" si="26"/>
        <v>4</v>
      </c>
      <c r="AD449">
        <f t="shared" si="27"/>
        <v>2</v>
      </c>
      <c r="AE449" s="62">
        <f>IF(I449="missing", IFERROR(INDEX([1]lookup!$I:$I, MATCH($A449, [1]lookup!$B:$B, 0)), 0), I449)</f>
        <v>2544.2399999999998</v>
      </c>
    </row>
    <row r="450" spans="1:31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>PROPER(D450)</f>
        <v>Sarah Bern</v>
      </c>
      <c r="P450" s="8" t="str">
        <f>LEFT(A450,2)</f>
        <v>IN</v>
      </c>
      <c r="Q450" s="8" t="str">
        <f>MID(A450,4,4)</f>
        <v>2012</v>
      </c>
      <c r="R450" s="8" t="str">
        <f>UPPER(M450)</f>
        <v>MEDIUM#</v>
      </c>
      <c r="S450" s="8" t="str">
        <f>LOWER(G450)</f>
        <v>furniture</v>
      </c>
      <c r="T450" s="18" t="str">
        <f>RIGHT(A450,5)</f>
        <v>41208</v>
      </c>
      <c r="U450" s="27" t="s">
        <v>3118</v>
      </c>
      <c r="V450" s="16" t="s">
        <v>2686</v>
      </c>
      <c r="W450" s="30">
        <v>2012</v>
      </c>
      <c r="X450" t="s">
        <v>3118</v>
      </c>
      <c r="Y450" s="28">
        <v>41208</v>
      </c>
      <c r="Z450" s="28" t="str">
        <f>TRIM(A450)</f>
        <v>IN-2012-SB2017027-41208</v>
      </c>
      <c r="AA450">
        <f t="shared" ref="AA450:AA513" si="28">IFERROR(YEAR(B450), 0)</f>
        <v>2012</v>
      </c>
      <c r="AB450">
        <f t="shared" ref="AB450:AB513" si="29">IFERROR(MONTH(B450), 0)</f>
        <v>10</v>
      </c>
      <c r="AC450">
        <f t="shared" ref="AC450:AC513" si="30">IFERROR(WEEKDAY(B450), 0)</f>
        <v>6</v>
      </c>
      <c r="AD450">
        <f t="shared" ref="AD450:AD513" si="31">IFERROR(C450 - B450, 0)</f>
        <v>2</v>
      </c>
      <c r="AE450" s="62">
        <f>IF(I450="missing", IFERROR(INDEX([1]lookup!$I:$I, MATCH($A450, [1]lookup!$B:$B, 0)), 0), I450)</f>
        <v>2470.5</v>
      </c>
    </row>
    <row r="451" spans="1:31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>PROPER(D451)</f>
        <v>Adrian Barton</v>
      </c>
      <c r="P451" s="13" t="str">
        <f>LEFT(A451,2)</f>
        <v>CA</v>
      </c>
      <c r="Q451" s="13" t="str">
        <f>MID(A451,4,4)</f>
        <v>2013</v>
      </c>
      <c r="R451" s="13" t="str">
        <f>UPPER(M451)</f>
        <v>MEDIUM</v>
      </c>
      <c r="S451" s="13" t="str">
        <f>LOWER(G451)</f>
        <v>office supplies</v>
      </c>
      <c r="T451" s="21" t="str">
        <f>RIGHT(A451,5)</f>
        <v>41585</v>
      </c>
      <c r="U451" s="27" t="s">
        <v>2809</v>
      </c>
      <c r="V451" s="19" t="s">
        <v>2689</v>
      </c>
      <c r="W451" s="30">
        <v>2013</v>
      </c>
      <c r="X451" t="s">
        <v>2809</v>
      </c>
      <c r="Y451" s="28">
        <v>41585</v>
      </c>
      <c r="Z451" s="28" t="str">
        <f>TRIM(A451)</f>
        <v>CA-2013-AB10105140-41585</v>
      </c>
      <c r="AA451">
        <f t="shared" si="28"/>
        <v>2013</v>
      </c>
      <c r="AB451">
        <f t="shared" si="29"/>
        <v>11</v>
      </c>
      <c r="AC451">
        <f t="shared" si="30"/>
        <v>5</v>
      </c>
      <c r="AD451">
        <f t="shared" si="31"/>
        <v>34</v>
      </c>
      <c r="AE451" s="62">
        <f>IF(I451="missing", IFERROR(INDEX([1]lookup!$I:$I, MATCH($A451, [1]lookup!$B:$B, 0)), 0), I451)</f>
        <v>32.059999999999903</v>
      </c>
    </row>
    <row r="452" spans="1:31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>PROPER(D452)</f>
        <v>Becky Castell</v>
      </c>
      <c r="P452" s="8" t="str">
        <f>LEFT(A452,2)</f>
        <v>IN</v>
      </c>
      <c r="Q452" s="8" t="str">
        <f>MID(A452,4,4)</f>
        <v>2013</v>
      </c>
      <c r="R452" s="8" t="str">
        <f>UPPER(M452)</f>
        <v>MEDIUM</v>
      </c>
      <c r="S452" s="8" t="str">
        <f>LOWER(G452)</f>
        <v>technology</v>
      </c>
      <c r="T452" s="18" t="str">
        <f>RIGHT(A452,5)</f>
        <v>41401</v>
      </c>
      <c r="U452" s="27" t="s">
        <v>3119</v>
      </c>
      <c r="V452" s="16" t="s">
        <v>2686</v>
      </c>
      <c r="W452" s="30">
        <v>2013</v>
      </c>
      <c r="X452" t="s">
        <v>3119</v>
      </c>
      <c r="Y452" s="28">
        <v>41401</v>
      </c>
      <c r="Z452" s="28" t="str">
        <f>TRIM(A452)</f>
        <v>IN-2013-BC1112592-41401</v>
      </c>
      <c r="AA452">
        <f t="shared" si="28"/>
        <v>2013</v>
      </c>
      <c r="AB452">
        <f t="shared" si="29"/>
        <v>5</v>
      </c>
      <c r="AC452">
        <f t="shared" si="30"/>
        <v>3</v>
      </c>
      <c r="AD452">
        <f t="shared" si="31"/>
        <v>151</v>
      </c>
      <c r="AE452" s="62">
        <f>IF(I452="missing", IFERROR(INDEX([1]lookup!$I:$I, MATCH($A452, [1]lookup!$B:$B, 0)), 0), I452)</f>
        <v>1917.36</v>
      </c>
    </row>
    <row r="453" spans="1:31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>PROPER(D453)</f>
        <v>Nicole Fjeld</v>
      </c>
      <c r="P453" s="13" t="str">
        <f>LEFT(A453,2)</f>
        <v>IN</v>
      </c>
      <c r="Q453" s="13" t="str">
        <f>MID(A453,4,4)</f>
        <v>2012</v>
      </c>
      <c r="R453" s="13" t="str">
        <f>UPPER(M453)</f>
        <v>MEDIUM</v>
      </c>
      <c r="S453" s="13" t="str">
        <f>LOWER(G453)</f>
        <v>technology</v>
      </c>
      <c r="T453" s="21" t="str">
        <f>RIGHT(A453,5)</f>
        <v>40916</v>
      </c>
      <c r="U453" s="27" t="s">
        <v>3120</v>
      </c>
      <c r="V453" s="19" t="s">
        <v>2686</v>
      </c>
      <c r="W453" s="30">
        <v>2012</v>
      </c>
      <c r="X453" t="s">
        <v>3120</v>
      </c>
      <c r="Y453" s="28">
        <v>40916</v>
      </c>
      <c r="Z453" s="28" t="str">
        <f>TRIM(A453)</f>
        <v>IN-2012-NF1859527-40916</v>
      </c>
      <c r="AA453">
        <f t="shared" si="28"/>
        <v>2012</v>
      </c>
      <c r="AB453">
        <f t="shared" si="29"/>
        <v>1</v>
      </c>
      <c r="AC453">
        <f t="shared" si="30"/>
        <v>1</v>
      </c>
      <c r="AD453">
        <f t="shared" si="31"/>
        <v>4</v>
      </c>
      <c r="AE453" s="62">
        <f>IF(I453="missing", IFERROR(INDEX([1]lookup!$I:$I, MATCH($A453, [1]lookup!$B:$B, 0)), 0), I453)</f>
        <v>2173.5</v>
      </c>
    </row>
    <row r="454" spans="1:31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>PROPER(D454)</f>
        <v>Rob Dowd</v>
      </c>
      <c r="P454" s="8" t="str">
        <f>LEFT(A454,2)</f>
        <v>ES</v>
      </c>
      <c r="Q454" s="8" t="str">
        <f>MID(A454,4,4)</f>
        <v>2015</v>
      </c>
      <c r="R454" s="8" t="str">
        <f>UPPER(M454)</f>
        <v>HIGH</v>
      </c>
      <c r="S454" s="8" t="str">
        <f>LOWER(G454)</f>
        <v>technology</v>
      </c>
      <c r="T454" s="18" t="str">
        <f>RIGHT(A454,5)</f>
        <v>42007</v>
      </c>
      <c r="U454" s="27" t="s">
        <v>3121</v>
      </c>
      <c r="V454" s="16" t="s">
        <v>2743</v>
      </c>
      <c r="W454" s="30">
        <v>2015</v>
      </c>
      <c r="X454" t="s">
        <v>3121</v>
      </c>
      <c r="Y454" s="28">
        <v>42007</v>
      </c>
      <c r="Z454" s="28" t="str">
        <f>TRIM(A454)</f>
        <v>ES-2015-RD19585120-42007</v>
      </c>
      <c r="AA454">
        <f t="shared" si="28"/>
        <v>2015</v>
      </c>
      <c r="AB454">
        <f t="shared" si="29"/>
        <v>1</v>
      </c>
      <c r="AC454">
        <f t="shared" si="30"/>
        <v>7</v>
      </c>
      <c r="AD454">
        <f t="shared" si="31"/>
        <v>1</v>
      </c>
      <c r="AE454" s="62">
        <f>IF(I454="missing", IFERROR(INDEX([1]lookup!$I:$I, MATCH($A454, [1]lookup!$B:$B, 0)), 0), I454)</f>
        <v>2097.12</v>
      </c>
    </row>
    <row r="455" spans="1:31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>PROPER(D455)</f>
        <v>Adrian Hane</v>
      </c>
      <c r="P455" s="13" t="str">
        <f>LEFT(A455,2)</f>
        <v>CA</v>
      </c>
      <c r="Q455" s="13" t="str">
        <f>MID(A455,4,4)</f>
        <v>2015</v>
      </c>
      <c r="R455" s="13" t="str">
        <f>UPPER(M455)</f>
        <v>LOW</v>
      </c>
      <c r="S455" s="13" t="str">
        <f>LOWER(G455)</f>
        <v>technology</v>
      </c>
      <c r="T455" s="21" t="str">
        <f>RIGHT(A455,5)</f>
        <v>42234</v>
      </c>
      <c r="U455" s="27" t="s">
        <v>2851</v>
      </c>
      <c r="V455" s="19" t="s">
        <v>2689</v>
      </c>
      <c r="W455" s="30">
        <v>2015</v>
      </c>
      <c r="X455" t="s">
        <v>2851</v>
      </c>
      <c r="Y455" s="28">
        <v>42234</v>
      </c>
      <c r="Z455" s="28" t="str">
        <f>TRIM(A455)</f>
        <v>CA-2015-AH10120140-42234</v>
      </c>
      <c r="AA455">
        <f t="shared" si="28"/>
        <v>2015</v>
      </c>
      <c r="AB455">
        <f t="shared" si="29"/>
        <v>8</v>
      </c>
      <c r="AC455">
        <f t="shared" si="30"/>
        <v>3</v>
      </c>
      <c r="AD455">
        <f t="shared" si="31"/>
        <v>6</v>
      </c>
      <c r="AE455" s="62">
        <f>IF(I455="missing", IFERROR(INDEX([1]lookup!$I:$I, MATCH($A455, [1]lookup!$B:$B, 0)), 0), I455)</f>
        <v>98.16</v>
      </c>
    </row>
    <row r="456" spans="1:31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>PROPER(D456)</f>
        <v>Michael Dominguez</v>
      </c>
      <c r="P456" s="8" t="str">
        <f>LEFT(A456,2)</f>
        <v>UP</v>
      </c>
      <c r="Q456" s="8" t="str">
        <f>MID(A456,4,4)</f>
        <v>2014</v>
      </c>
      <c r="R456" s="8" t="str">
        <f>UPPER(M456)</f>
        <v>HIGH</v>
      </c>
      <c r="S456" s="8" t="str">
        <f>LOWER(G456)</f>
        <v>office supplies</v>
      </c>
      <c r="T456" s="18" t="str">
        <f>RIGHT(A456,5)</f>
        <v>41810</v>
      </c>
      <c r="U456" s="27" t="s">
        <v>3122</v>
      </c>
      <c r="V456" s="16" t="s">
        <v>2795</v>
      </c>
      <c r="W456" s="30">
        <v>2014</v>
      </c>
      <c r="X456" t="s">
        <v>3122</v>
      </c>
      <c r="Y456" s="28">
        <v>41810</v>
      </c>
      <c r="Z456" s="28" t="str">
        <f>TRIM(A456)</f>
        <v>UP-2014-MD7860137-41810</v>
      </c>
      <c r="AA456">
        <f t="shared" si="28"/>
        <v>2014</v>
      </c>
      <c r="AB456">
        <f t="shared" si="29"/>
        <v>6</v>
      </c>
      <c r="AC456">
        <f t="shared" si="30"/>
        <v>6</v>
      </c>
      <c r="AD456">
        <f t="shared" si="31"/>
        <v>4</v>
      </c>
      <c r="AE456" s="62">
        <f>IF(I456="missing", IFERROR(INDEX([1]lookup!$I:$I, MATCH($A456, [1]lookup!$B:$B, 0)), 0), I456)</f>
        <v>3955.14</v>
      </c>
    </row>
    <row r="457" spans="1:31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>PROPER(D457)</f>
        <v>Charles Crestani</v>
      </c>
      <c r="P457" s="13" t="str">
        <f>LEFT(A457,2)</f>
        <v>ES</v>
      </c>
      <c r="Q457" s="13" t="str">
        <f>MID(A457,4,4)</f>
        <v>2015</v>
      </c>
      <c r="R457" s="13" t="str">
        <f>UPPER(M457)</f>
        <v>MEDIUM#</v>
      </c>
      <c r="S457" s="13" t="str">
        <f>LOWER(G457)</f>
        <v>technology</v>
      </c>
      <c r="T457" s="21" t="str">
        <f>RIGHT(A457,5)</f>
        <v>42118</v>
      </c>
      <c r="U457" s="27" t="s">
        <v>3123</v>
      </c>
      <c r="V457" s="19" t="s">
        <v>2743</v>
      </c>
      <c r="W457" s="30">
        <v>2015</v>
      </c>
      <c r="X457" t="s">
        <v>3123</v>
      </c>
      <c r="Y457" s="28">
        <v>42118</v>
      </c>
      <c r="Z457" s="28" t="str">
        <f>TRIM(A457)</f>
        <v>ES-2015-CC1214548-42118</v>
      </c>
      <c r="AA457">
        <f t="shared" si="28"/>
        <v>2015</v>
      </c>
      <c r="AB457">
        <f t="shared" si="29"/>
        <v>4</v>
      </c>
      <c r="AC457">
        <f t="shared" si="30"/>
        <v>6</v>
      </c>
      <c r="AD457">
        <f t="shared" si="31"/>
        <v>3</v>
      </c>
      <c r="AE457" s="62">
        <f>IF(I457="missing", IFERROR(INDEX([1]lookup!$I:$I, MATCH($A457, [1]lookup!$B:$B, 0)), 0), I457)</f>
        <v>2305.2600000000002</v>
      </c>
    </row>
    <row r="458" spans="1:31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>PROPER(D458)</f>
        <v>Xylona Preis</v>
      </c>
      <c r="P458" s="8" t="str">
        <f>LEFT(A458,2)</f>
        <v>MX</v>
      </c>
      <c r="Q458" s="8" t="str">
        <f>MID(A458,4,4)</f>
        <v>2012</v>
      </c>
      <c r="R458" s="8" t="str">
        <f>UPPER(M458)</f>
        <v>HIGH</v>
      </c>
      <c r="S458" s="8" t="str">
        <f>LOWER(G458)</f>
        <v>furniture</v>
      </c>
      <c r="T458" s="18" t="str">
        <f>RIGHT(A458,5)</f>
        <v>41032</v>
      </c>
      <c r="U458" s="27" t="s">
        <v>3124</v>
      </c>
      <c r="V458" s="16" t="s">
        <v>2718</v>
      </c>
      <c r="W458" s="30">
        <v>2012</v>
      </c>
      <c r="X458" t="s">
        <v>3124</v>
      </c>
      <c r="Y458" s="28">
        <v>41032</v>
      </c>
      <c r="Z458" s="28" t="str">
        <f>TRIM(A458)</f>
        <v>MX-2012-XP2186539-41032</v>
      </c>
      <c r="AA458">
        <f t="shared" si="28"/>
        <v>2012</v>
      </c>
      <c r="AB458">
        <f t="shared" si="29"/>
        <v>5</v>
      </c>
      <c r="AC458">
        <f t="shared" si="30"/>
        <v>5</v>
      </c>
      <c r="AD458">
        <f t="shared" si="31"/>
        <v>4</v>
      </c>
      <c r="AE458" s="62">
        <f>IF(I458="missing", IFERROR(INDEX([1]lookup!$I:$I, MATCH($A458, [1]lookup!$B:$B, 0)), 0), I458)</f>
        <v>2833.7599999999902</v>
      </c>
    </row>
    <row r="459" spans="1:31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>PROPER(D459)</f>
        <v>Maris Laware</v>
      </c>
      <c r="P459" s="13" t="str">
        <f>LEFT(A459,2)</f>
        <v>MX</v>
      </c>
      <c r="Q459" s="13" t="str">
        <f>MID(A459,4,4)</f>
        <v>2015</v>
      </c>
      <c r="R459" s="13" t="str">
        <f>UPPER(M459)</f>
        <v>HIGH</v>
      </c>
      <c r="S459" s="13" t="str">
        <f>LOWER(G459)</f>
        <v>furniture</v>
      </c>
      <c r="T459" s="21" t="str">
        <f>RIGHT(A459,5)</f>
        <v>42320</v>
      </c>
      <c r="U459" s="27" t="s">
        <v>3125</v>
      </c>
      <c r="V459" s="19" t="s">
        <v>2718</v>
      </c>
      <c r="W459" s="30">
        <v>2015</v>
      </c>
      <c r="X459" t="s">
        <v>3125</v>
      </c>
      <c r="Y459" s="28">
        <v>42320</v>
      </c>
      <c r="Z459" s="28" t="str">
        <f>TRIM(A459)</f>
        <v>MX-2015-ML1741031-42320</v>
      </c>
      <c r="AA459">
        <f t="shared" si="28"/>
        <v>2015</v>
      </c>
      <c r="AB459">
        <f t="shared" si="29"/>
        <v>11</v>
      </c>
      <c r="AC459">
        <f t="shared" si="30"/>
        <v>5</v>
      </c>
      <c r="AD459">
        <f t="shared" si="31"/>
        <v>4</v>
      </c>
      <c r="AE459" s="62">
        <f>IF(I459="missing", IFERROR(INDEX([1]lookup!$I:$I, MATCH($A459, [1]lookup!$B:$B, 0)), 0), I459)</f>
        <v>1916.8799999999901</v>
      </c>
    </row>
    <row r="460" spans="1:31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>PROPER(D460)</f>
        <v>Quincy Jones</v>
      </c>
      <c r="P460" s="8" t="str">
        <f>LEFT(A460,2)</f>
        <v>IN</v>
      </c>
      <c r="Q460" s="8" t="str">
        <f>MID(A460,4,4)</f>
        <v>2015</v>
      </c>
      <c r="R460" s="8" t="str">
        <f>UPPER(M460)</f>
        <v>MEDIUM</v>
      </c>
      <c r="S460" s="8" t="str">
        <f>LOWER(G460)</f>
        <v>technology</v>
      </c>
      <c r="T460" s="18" t="str">
        <f>RIGHT(A460,5)</f>
        <v>42283</v>
      </c>
      <c r="U460" s="27" t="s">
        <v>3126</v>
      </c>
      <c r="V460" s="16" t="s">
        <v>2686</v>
      </c>
      <c r="W460" s="30">
        <v>2015</v>
      </c>
      <c r="X460" t="s">
        <v>3126</v>
      </c>
      <c r="Y460" s="28">
        <v>42283</v>
      </c>
      <c r="Z460" s="28" t="str">
        <f>TRIM(A460)</f>
        <v>IN-2015-QJ1925527-42283</v>
      </c>
      <c r="AA460">
        <f t="shared" si="28"/>
        <v>2015</v>
      </c>
      <c r="AB460">
        <f t="shared" si="29"/>
        <v>10</v>
      </c>
      <c r="AC460">
        <f t="shared" si="30"/>
        <v>3</v>
      </c>
      <c r="AD460">
        <f t="shared" si="31"/>
        <v>6</v>
      </c>
      <c r="AE460" s="62">
        <f>IF(I460="missing", IFERROR(INDEX([1]lookup!$I:$I, MATCH($A460, [1]lookup!$B:$B, 0)), 0), I460)</f>
        <v>3391.74</v>
      </c>
    </row>
    <row r="461" spans="1:31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>PROPER(D461)</f>
        <v>Cathy Prescott</v>
      </c>
      <c r="P461" s="13" t="str">
        <f>LEFT(A461,2)</f>
        <v>SF</v>
      </c>
      <c r="Q461" s="13" t="str">
        <f>MID(A461,4,4)</f>
        <v>2013</v>
      </c>
      <c r="R461" s="13" t="str">
        <f>UPPER(M461)</f>
        <v>CRITICAL</v>
      </c>
      <c r="S461" s="13" t="str">
        <f>LOWER(G461)</f>
        <v>furniture</v>
      </c>
      <c r="T461" s="21" t="str">
        <f>RIGHT(A461,5)</f>
        <v>41506</v>
      </c>
      <c r="U461" s="27" t="s">
        <v>3127</v>
      </c>
      <c r="V461" s="19" t="s">
        <v>2764</v>
      </c>
      <c r="W461" s="30">
        <v>2013</v>
      </c>
      <c r="X461" t="s">
        <v>3127</v>
      </c>
      <c r="Y461" s="28">
        <v>41506</v>
      </c>
      <c r="Z461" s="28" t="str">
        <f>TRIM(A461)</f>
        <v>SF-2013-CP2085117-41506</v>
      </c>
      <c r="AA461">
        <f t="shared" si="28"/>
        <v>2013</v>
      </c>
      <c r="AB461">
        <f t="shared" si="29"/>
        <v>8</v>
      </c>
      <c r="AC461">
        <f t="shared" si="30"/>
        <v>3</v>
      </c>
      <c r="AD461">
        <f t="shared" si="31"/>
        <v>2</v>
      </c>
      <c r="AE461" s="62">
        <f>IF(I461="missing", IFERROR(INDEX([1]lookup!$I:$I, MATCH($A461, [1]lookup!$B:$B, 0)), 0), I461)</f>
        <v>889.02</v>
      </c>
    </row>
    <row r="462" spans="1:31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>PROPER(D462)</f>
        <v>Erica Hernandez</v>
      </c>
      <c r="P462" s="8" t="str">
        <f>LEFT(A462,2)</f>
        <v>IT</v>
      </c>
      <c r="Q462" s="8" t="str">
        <f>MID(A462,4,4)</f>
        <v>2014</v>
      </c>
      <c r="R462" s="8" t="str">
        <f>UPPER(M462)</f>
        <v>CRITICAL</v>
      </c>
      <c r="S462" s="8" t="str">
        <f>LOWER(G462)</f>
        <v>office supplies</v>
      </c>
      <c r="T462" s="18" t="str">
        <f>RIGHT(A462,5)</f>
        <v>41992</v>
      </c>
      <c r="U462" s="27" t="s">
        <v>3128</v>
      </c>
      <c r="V462" s="16" t="s">
        <v>2710</v>
      </c>
      <c r="W462" s="30">
        <v>2014</v>
      </c>
      <c r="X462" t="s">
        <v>3128</v>
      </c>
      <c r="Y462" s="28">
        <v>41992</v>
      </c>
      <c r="Z462" s="28" t="str">
        <f>TRIM(A462)</f>
        <v>IT-2014-EH14005120-41992</v>
      </c>
      <c r="AA462">
        <f t="shared" si="28"/>
        <v>2014</v>
      </c>
      <c r="AB462">
        <f t="shared" si="29"/>
        <v>12</v>
      </c>
      <c r="AC462">
        <f t="shared" si="30"/>
        <v>6</v>
      </c>
      <c r="AD462">
        <f t="shared" si="31"/>
        <v>2</v>
      </c>
      <c r="AE462" s="62">
        <f>IF(I462="missing", IFERROR(INDEX([1]lookup!$I:$I, MATCH($A462, [1]lookup!$B:$B, 0)), 0), I462)</f>
        <v>845.20799999999997</v>
      </c>
    </row>
    <row r="463" spans="1:31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>PROPER(D463)</f>
        <v>Jocasta Rupert</v>
      </c>
      <c r="P463" s="13" t="str">
        <f>LEFT(A463,2)</f>
        <v>IN</v>
      </c>
      <c r="Q463" s="13" t="str">
        <f>MID(A463,4,4)</f>
        <v>2013</v>
      </c>
      <c r="R463" s="13" t="str">
        <f>UPPER(M463)</f>
        <v>MEDIUM</v>
      </c>
      <c r="S463" s="13" t="str">
        <f>LOWER(G463)</f>
        <v>office supplies</v>
      </c>
      <c r="T463" s="21" t="str">
        <f>RIGHT(A463,5)</f>
        <v>41441</v>
      </c>
      <c r="U463" s="27" t="s">
        <v>3129</v>
      </c>
      <c r="V463" s="19" t="s">
        <v>2686</v>
      </c>
      <c r="W463" s="30">
        <v>2013</v>
      </c>
      <c r="X463" t="s">
        <v>3129</v>
      </c>
      <c r="Y463" s="28">
        <v>41441</v>
      </c>
      <c r="Z463" s="28" t="str">
        <f>TRIM(A463)</f>
        <v>IN-2013-JR1570058-41441</v>
      </c>
      <c r="AA463">
        <f t="shared" si="28"/>
        <v>2013</v>
      </c>
      <c r="AB463">
        <f t="shared" si="29"/>
        <v>6</v>
      </c>
      <c r="AC463">
        <f t="shared" si="30"/>
        <v>1</v>
      </c>
      <c r="AD463">
        <f t="shared" si="31"/>
        <v>6</v>
      </c>
      <c r="AE463" s="62">
        <f>IF(I463="missing", IFERROR(INDEX([1]lookup!$I:$I, MATCH($A463, [1]lookup!$B:$B, 0)), 0), I463)</f>
        <v>2799.63</v>
      </c>
    </row>
    <row r="464" spans="1:31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>PROPER(D464)</f>
        <v>Paul Lucas</v>
      </c>
      <c r="P464" s="8" t="str">
        <f>LEFT(A464,2)</f>
        <v>IN</v>
      </c>
      <c r="Q464" s="8" t="str">
        <f>MID(A464,4,4)</f>
        <v>2014</v>
      </c>
      <c r="R464" s="8" t="str">
        <f>UPPER(M464)</f>
        <v>CRITICAL</v>
      </c>
      <c r="S464" s="8" t="str">
        <f>LOWER(G464)</f>
        <v>office supplies</v>
      </c>
      <c r="T464" s="18" t="str">
        <f>RIGHT(A464,5)</f>
        <v>41871</v>
      </c>
      <c r="U464" s="27" t="s">
        <v>3130</v>
      </c>
      <c r="V464" s="16" t="s">
        <v>2686</v>
      </c>
      <c r="W464" s="30">
        <v>2014</v>
      </c>
      <c r="X464" t="s">
        <v>3130</v>
      </c>
      <c r="Y464" s="28">
        <v>41871</v>
      </c>
      <c r="Z464" s="28" t="str">
        <f>TRIM(A464)</f>
        <v>IN-2014-PL1892588-41871</v>
      </c>
      <c r="AA464">
        <f t="shared" si="28"/>
        <v>2014</v>
      </c>
      <c r="AB464">
        <f t="shared" si="29"/>
        <v>8</v>
      </c>
      <c r="AC464">
        <f t="shared" si="30"/>
        <v>4</v>
      </c>
      <c r="AD464">
        <f t="shared" si="31"/>
        <v>0</v>
      </c>
      <c r="AE464" s="62">
        <f>IF(I464="missing", IFERROR(INDEX([1]lookup!$I:$I, MATCH($A464, [1]lookup!$B:$B, 0)), 0), I464)</f>
        <v>1549.12859999999</v>
      </c>
    </row>
    <row r="465" spans="1:31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>PROPER(D465)</f>
        <v>Sanjit Chand</v>
      </c>
      <c r="P465" s="13" t="str">
        <f>LEFT(A465,2)</f>
        <v>ES</v>
      </c>
      <c r="Q465" s="13" t="str">
        <f>MID(A465,4,4)</f>
        <v>2014</v>
      </c>
      <c r="R465" s="13" t="str">
        <f>UPPER(M465)</f>
        <v>HIGH</v>
      </c>
      <c r="S465" s="13" t="str">
        <f>LOWER(G465)</f>
        <v>technology</v>
      </c>
      <c r="T465" s="21" t="str">
        <f>RIGHT(A465,5)</f>
        <v>41991</v>
      </c>
      <c r="U465" s="27" t="s">
        <v>3131</v>
      </c>
      <c r="V465" s="19" t="s">
        <v>2743</v>
      </c>
      <c r="W465" s="30">
        <v>2014</v>
      </c>
      <c r="X465" t="s">
        <v>3131</v>
      </c>
      <c r="Y465" s="28">
        <v>41991</v>
      </c>
      <c r="Z465" s="28" t="str">
        <f>TRIM(A465)</f>
        <v>ES-2014-SC2009545-41991</v>
      </c>
      <c r="AA465">
        <f t="shared" si="28"/>
        <v>2014</v>
      </c>
      <c r="AB465">
        <f t="shared" si="29"/>
        <v>12</v>
      </c>
      <c r="AC465">
        <f t="shared" si="30"/>
        <v>5</v>
      </c>
      <c r="AD465">
        <f t="shared" si="31"/>
        <v>4</v>
      </c>
      <c r="AE465" s="62">
        <f>IF(I465="missing", IFERROR(INDEX([1]lookup!$I:$I, MATCH($A465, [1]lookup!$B:$B, 0)), 0), I465)</f>
        <v>1654.64399999999</v>
      </c>
    </row>
    <row r="466" spans="1:31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>PROPER(D466)</f>
        <v>Guy Phonely</v>
      </c>
      <c r="P466" s="8" t="str">
        <f>LEFT(A466,2)</f>
        <v>MO</v>
      </c>
      <c r="Q466" s="8" t="str">
        <f>MID(A466,4,4)</f>
        <v>2014</v>
      </c>
      <c r="R466" s="8" t="str">
        <f>UPPER(M466)</f>
        <v>CRITICAL</v>
      </c>
      <c r="S466" s="8" t="str">
        <f>LOWER(G466)</f>
        <v>technology</v>
      </c>
      <c r="T466" s="18" t="str">
        <f>RIGHT(A466,5)</f>
        <v>41678</v>
      </c>
      <c r="U466" s="27" t="s">
        <v>3132</v>
      </c>
      <c r="V466" s="16" t="s">
        <v>2721</v>
      </c>
      <c r="W466" s="30">
        <v>2014</v>
      </c>
      <c r="X466" t="s">
        <v>3132</v>
      </c>
      <c r="Y466" s="28">
        <v>41678</v>
      </c>
      <c r="Z466" s="28" t="str">
        <f>TRIM(A466)</f>
        <v>MO-2014-GP474086-41678</v>
      </c>
      <c r="AA466">
        <f t="shared" si="28"/>
        <v>2014</v>
      </c>
      <c r="AB466">
        <f t="shared" si="29"/>
        <v>2</v>
      </c>
      <c r="AC466">
        <f t="shared" si="30"/>
        <v>7</v>
      </c>
      <c r="AD466">
        <f t="shared" si="31"/>
        <v>0</v>
      </c>
      <c r="AE466" s="62">
        <f>IF(I466="missing", IFERROR(INDEX([1]lookup!$I:$I, MATCH($A466, [1]lookup!$B:$B, 0)), 0), I466)</f>
        <v>1457.28</v>
      </c>
    </row>
    <row r="467" spans="1:31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>PROPER(D467)</f>
        <v>Charles Mccrossin</v>
      </c>
      <c r="P467" s="13" t="str">
        <f>LEFT(A467,2)</f>
        <v>IN</v>
      </c>
      <c r="Q467" s="13" t="str">
        <f>MID(A467,4,4)</f>
        <v>2013</v>
      </c>
      <c r="R467" s="13" t="str">
        <f>UPPER(M467)</f>
        <v>MEDIUM</v>
      </c>
      <c r="S467" s="13" t="str">
        <f>LOWER(G467)</f>
        <v>technology</v>
      </c>
      <c r="T467" s="21" t="str">
        <f>RIGHT(A467,5)</f>
        <v>41506</v>
      </c>
      <c r="U467" s="27" t="s">
        <v>3133</v>
      </c>
      <c r="V467" s="19" t="s">
        <v>2686</v>
      </c>
      <c r="W467" s="30">
        <v>2013</v>
      </c>
      <c r="X467" t="s">
        <v>3133</v>
      </c>
      <c r="Y467" s="28">
        <v>41506</v>
      </c>
      <c r="Z467" s="28" t="str">
        <f>TRIM(A467)</f>
        <v>IN-2013-CM1216027-41506</v>
      </c>
      <c r="AA467">
        <f t="shared" si="28"/>
        <v>2013</v>
      </c>
      <c r="AB467">
        <f t="shared" si="29"/>
        <v>8</v>
      </c>
      <c r="AC467">
        <f t="shared" si="30"/>
        <v>3</v>
      </c>
      <c r="AD467">
        <f t="shared" si="31"/>
        <v>4</v>
      </c>
      <c r="AE467" s="62">
        <f>IF(I467="missing", IFERROR(INDEX([1]lookup!$I:$I, MATCH($A467, [1]lookup!$B:$B, 0)), 0), I467)</f>
        <v>5737.5</v>
      </c>
    </row>
    <row r="468" spans="1:31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>PROPER(D468)</f>
        <v xml:space="preserve"> Daniel Lacy </v>
      </c>
      <c r="P468" s="8" t="str">
        <f>LEFT(A468,2)</f>
        <v>IN</v>
      </c>
      <c r="Q468" s="8" t="str">
        <f>MID(A468,4,4)</f>
        <v>2013</v>
      </c>
      <c r="R468" s="8" t="str">
        <f>UPPER(M468)</f>
        <v>HIGH</v>
      </c>
      <c r="S468" s="8" t="str">
        <f>LOWER(G468)</f>
        <v>technology</v>
      </c>
      <c r="T468" s="18" t="str">
        <f>RIGHT(A468,5)</f>
        <v>41418</v>
      </c>
      <c r="U468" s="27" t="s">
        <v>3134</v>
      </c>
      <c r="V468" s="16" t="s">
        <v>2686</v>
      </c>
      <c r="W468" s="30">
        <v>2013</v>
      </c>
      <c r="X468" t="s">
        <v>3134</v>
      </c>
      <c r="Y468" s="28">
        <v>41418</v>
      </c>
      <c r="Z468" s="28" t="str">
        <f>TRIM(A468)</f>
        <v>IN-2013-DL129257-41418</v>
      </c>
      <c r="AA468">
        <f t="shared" si="28"/>
        <v>2013</v>
      </c>
      <c r="AB468">
        <f t="shared" si="29"/>
        <v>5</v>
      </c>
      <c r="AC468">
        <f t="shared" si="30"/>
        <v>6</v>
      </c>
      <c r="AD468">
        <f t="shared" si="31"/>
        <v>4</v>
      </c>
      <c r="AE468" s="62">
        <f>IF(I468="missing", IFERROR(INDEX([1]lookup!$I:$I, MATCH($A468, [1]lookup!$B:$B, 0)), 0), I468)</f>
        <v>1641.087</v>
      </c>
    </row>
    <row r="469" spans="1:31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>PROPER(D469)</f>
        <v>Cari Macintyre</v>
      </c>
      <c r="P469" s="13" t="str">
        <f>LEFT(A469,2)</f>
        <v>ES</v>
      </c>
      <c r="Q469" s="13" t="str">
        <f>MID(A469,4,4)</f>
        <v>2014</v>
      </c>
      <c r="R469" s="13" t="str">
        <f>UPPER(M469)</f>
        <v>HIGH</v>
      </c>
      <c r="S469" s="13" t="str">
        <f>LOWER(G469)</f>
        <v>technology</v>
      </c>
      <c r="T469" s="21" t="str">
        <f>RIGHT(A469,5)</f>
        <v>41773</v>
      </c>
      <c r="U469" s="27" t="s">
        <v>3135</v>
      </c>
      <c r="V469" s="19" t="s">
        <v>2743</v>
      </c>
      <c r="W469" s="30">
        <v>2014</v>
      </c>
      <c r="X469" t="s">
        <v>3135</v>
      </c>
      <c r="Y469" s="28">
        <v>41773</v>
      </c>
      <c r="Z469" s="28" t="str">
        <f>TRIM(A469)</f>
        <v>ES-2014-CM1183045-41773</v>
      </c>
      <c r="AA469">
        <f t="shared" si="28"/>
        <v>0</v>
      </c>
      <c r="AB469">
        <f t="shared" si="29"/>
        <v>0</v>
      </c>
      <c r="AC469">
        <f t="shared" si="30"/>
        <v>0</v>
      </c>
      <c r="AD469">
        <f t="shared" si="31"/>
        <v>0</v>
      </c>
      <c r="AE469" s="62">
        <f>IF(I469="missing", IFERROR(INDEX([1]lookup!$I:$I, MATCH($A469, [1]lookup!$B:$B, 0)), 0), I469)</f>
        <v>2910.1875</v>
      </c>
    </row>
    <row r="470" spans="1:31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>PROPER(D470)</f>
        <v>Cindy Schnelling</v>
      </c>
      <c r="P470" s="8" t="str">
        <f>LEFT(A470,2)</f>
        <v>MX</v>
      </c>
      <c r="Q470" s="8" t="str">
        <f>MID(A470,4,4)</f>
        <v>2014</v>
      </c>
      <c r="R470" s="8" t="str">
        <f>UPPER(M470)</f>
        <v>HIGH</v>
      </c>
      <c r="S470" s="8" t="str">
        <f>LOWER(G470)</f>
        <v>furniture</v>
      </c>
      <c r="T470" s="18" t="str">
        <f>RIGHT(A470,5)</f>
        <v>41763</v>
      </c>
      <c r="U470" s="27" t="s">
        <v>3136</v>
      </c>
      <c r="V470" s="16" t="s">
        <v>2718</v>
      </c>
      <c r="W470" s="30">
        <v>2014</v>
      </c>
      <c r="X470" t="s">
        <v>3136</v>
      </c>
      <c r="Y470" s="28">
        <v>41763</v>
      </c>
      <c r="Z470" s="28" t="str">
        <f>TRIM(A470)</f>
        <v>MX-2014-CS1249082-41763</v>
      </c>
      <c r="AA470">
        <f t="shared" si="28"/>
        <v>2014</v>
      </c>
      <c r="AB470">
        <f t="shared" si="29"/>
        <v>5</v>
      </c>
      <c r="AC470">
        <f t="shared" si="30"/>
        <v>1</v>
      </c>
      <c r="AD470">
        <f t="shared" si="31"/>
        <v>4</v>
      </c>
      <c r="AE470" s="62">
        <f>IF(I470="missing", IFERROR(INDEX([1]lookup!$I:$I, MATCH($A470, [1]lookup!$B:$B, 0)), 0), I470)</f>
        <v>1731.0719999999901</v>
      </c>
    </row>
    <row r="471" spans="1:31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>PROPER(D471)</f>
        <v>Matthew Clasen</v>
      </c>
      <c r="P471" s="13" t="str">
        <f>LEFT(A471,2)</f>
        <v>MX</v>
      </c>
      <c r="Q471" s="13" t="str">
        <f>MID(A471,4,4)</f>
        <v>2015</v>
      </c>
      <c r="R471" s="13" t="str">
        <f>UPPER(M471)</f>
        <v>MEDIUM</v>
      </c>
      <c r="S471" s="13" t="str">
        <f>LOWER(G471)</f>
        <v>technology</v>
      </c>
      <c r="T471" s="21" t="str">
        <f>RIGHT(A471,5)</f>
        <v>42340</v>
      </c>
      <c r="U471" s="27" t="s">
        <v>3137</v>
      </c>
      <c r="V471" s="19" t="s">
        <v>2718</v>
      </c>
      <c r="W471" s="30">
        <v>2015</v>
      </c>
      <c r="X471" t="s">
        <v>3137</v>
      </c>
      <c r="Y471" s="28">
        <v>42340</v>
      </c>
      <c r="Z471" s="28" t="str">
        <f>TRIM(A471)</f>
        <v>MX-2015-MC1763536-42340</v>
      </c>
      <c r="AA471">
        <f t="shared" si="28"/>
        <v>2015</v>
      </c>
      <c r="AB471">
        <f t="shared" si="29"/>
        <v>12</v>
      </c>
      <c r="AC471">
        <f t="shared" si="30"/>
        <v>4</v>
      </c>
      <c r="AD471">
        <f t="shared" si="31"/>
        <v>4</v>
      </c>
      <c r="AE471" s="62">
        <f>IF(I471="missing", IFERROR(INDEX([1]lookup!$I:$I, MATCH($A471, [1]lookup!$B:$B, 0)), 0), I471)</f>
        <v>1914.0799999999899</v>
      </c>
    </row>
    <row r="472" spans="1:31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>PROPER(D472)</f>
        <v>Valerie Takahito</v>
      </c>
      <c r="P472" s="8" t="str">
        <f>LEFT(A472,2)</f>
        <v>MX</v>
      </c>
      <c r="Q472" s="8" t="str">
        <f>MID(A472,4,4)</f>
        <v>2015</v>
      </c>
      <c r="R472" s="8" t="str">
        <f>UPPER(M472)</f>
        <v>MEDIUM</v>
      </c>
      <c r="S472" s="8" t="str">
        <f>LOWER(G472)</f>
        <v>technology</v>
      </c>
      <c r="T472" s="18" t="str">
        <f>RIGHT(A472,5)</f>
        <v>42012</v>
      </c>
      <c r="U472" s="27" t="s">
        <v>3138</v>
      </c>
      <c r="V472" s="16" t="s">
        <v>2718</v>
      </c>
      <c r="W472" s="30">
        <v>2015</v>
      </c>
      <c r="X472" t="s">
        <v>3138</v>
      </c>
      <c r="Y472" s="28">
        <v>42012</v>
      </c>
      <c r="Z472" s="28" t="str">
        <f>TRIM(A472)</f>
        <v>MX-2015-VT2170018-42012</v>
      </c>
      <c r="AA472">
        <f t="shared" si="28"/>
        <v>2015</v>
      </c>
      <c r="AB472">
        <f t="shared" si="29"/>
        <v>1</v>
      </c>
      <c r="AC472">
        <f t="shared" si="30"/>
        <v>5</v>
      </c>
      <c r="AD472">
        <f t="shared" si="31"/>
        <v>5</v>
      </c>
      <c r="AE472" s="62">
        <f>IF(I472="missing", IFERROR(INDEX([1]lookup!$I:$I, MATCH($A472, [1]lookup!$B:$B, 0)), 0), I472)</f>
        <v>3393.12</v>
      </c>
    </row>
    <row r="473" spans="1:31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>PROPER(D473)</f>
        <v>Adrian Hane</v>
      </c>
      <c r="P473" s="13" t="str">
        <f>LEFT(A473,2)</f>
        <v>CA</v>
      </c>
      <c r="Q473" s="13" t="str">
        <f>MID(A473,4,4)</f>
        <v>2014</v>
      </c>
      <c r="R473" s="13" t="str">
        <f>UPPER(M473)</f>
        <v>MEDIUM</v>
      </c>
      <c r="S473" s="13" t="str">
        <f>LOWER(G473)</f>
        <v>technology</v>
      </c>
      <c r="T473" s="21" t="str">
        <f>RIGHT(A473,5)</f>
        <v>41821</v>
      </c>
      <c r="U473" s="27" t="s">
        <v>2851</v>
      </c>
      <c r="V473" s="19" t="s">
        <v>2689</v>
      </c>
      <c r="W473" s="30">
        <v>2014</v>
      </c>
      <c r="X473" t="s">
        <v>2851</v>
      </c>
      <c r="Y473" s="28">
        <v>41821</v>
      </c>
      <c r="Z473" s="28" t="str">
        <f>TRIM(A473)</f>
        <v>CA-2014-AH10120140-41821</v>
      </c>
      <c r="AA473">
        <f t="shared" si="28"/>
        <v>2014</v>
      </c>
      <c r="AB473">
        <f t="shared" si="29"/>
        <v>7</v>
      </c>
      <c r="AC473">
        <f t="shared" si="30"/>
        <v>3</v>
      </c>
      <c r="AD473">
        <f t="shared" si="31"/>
        <v>3</v>
      </c>
      <c r="AE473" s="62">
        <f>IF(I473="missing", IFERROR(INDEX([1]lookup!$I:$I, MATCH($A473, [1]lookup!$B:$B, 0)), 0), I473)</f>
        <v>50.12</v>
      </c>
    </row>
    <row r="474" spans="1:31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>PROPER(D474)</f>
        <v>Carlos Daly</v>
      </c>
      <c r="P474" s="8" t="str">
        <f>LEFT(A474,2)</f>
        <v>IN</v>
      </c>
      <c r="Q474" s="8" t="str">
        <f>MID(A474,4,4)</f>
        <v>2012</v>
      </c>
      <c r="R474" s="8" t="str">
        <f>UPPER(M474)</f>
        <v>MEDIUM</v>
      </c>
      <c r="S474" s="8" t="str">
        <f>LOWER(G474)</f>
        <v>furniture</v>
      </c>
      <c r="T474" s="18" t="str">
        <f>RIGHT(A474,5)</f>
        <v>40979</v>
      </c>
      <c r="U474" s="27" t="s">
        <v>3139</v>
      </c>
      <c r="V474" s="16" t="s">
        <v>2686</v>
      </c>
      <c r="W474" s="30">
        <v>2012</v>
      </c>
      <c r="X474" t="s">
        <v>3139</v>
      </c>
      <c r="Y474" s="28">
        <v>40979</v>
      </c>
      <c r="Z474" s="28" t="str">
        <f>TRIM(A474)</f>
        <v>IN-2012-CD1192027-40979</v>
      </c>
      <c r="AA474">
        <f t="shared" si="28"/>
        <v>2012</v>
      </c>
      <c r="AB474">
        <f t="shared" si="29"/>
        <v>3</v>
      </c>
      <c r="AC474">
        <f t="shared" si="30"/>
        <v>1</v>
      </c>
      <c r="AD474">
        <f t="shared" si="31"/>
        <v>5</v>
      </c>
      <c r="AE474" s="62">
        <f>IF(I474="missing", IFERROR(INDEX([1]lookup!$I:$I, MATCH($A474, [1]lookup!$B:$B, 0)), 0), I474)</f>
        <v>3272.0099999999902</v>
      </c>
    </row>
    <row r="475" spans="1:31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>PROPER(D475)</f>
        <v xml:space="preserve"> Tom Ashbrook </v>
      </c>
      <c r="P475" s="13" t="str">
        <f>LEFT(A475,2)</f>
        <v>ID</v>
      </c>
      <c r="Q475" s="13" t="str">
        <f>MID(A475,4,4)</f>
        <v>2014</v>
      </c>
      <c r="R475" s="13" t="str">
        <f>UPPER(M475)</f>
        <v>LOW</v>
      </c>
      <c r="S475" s="13" t="str">
        <f>LOWER(G475)</f>
        <v>office supplies</v>
      </c>
      <c r="T475" s="21" t="str">
        <f>RIGHT(A475,5)</f>
        <v>41654</v>
      </c>
      <c r="U475" s="27" t="s">
        <v>3140</v>
      </c>
      <c r="V475" s="19" t="s">
        <v>2738</v>
      </c>
      <c r="W475" s="30">
        <v>2014</v>
      </c>
      <c r="X475" t="s">
        <v>3140</v>
      </c>
      <c r="Y475" s="28">
        <v>41654</v>
      </c>
      <c r="Z475" s="28" t="str">
        <f>TRIM(A475)</f>
        <v>ID-2014-TA21385102-41654</v>
      </c>
      <c r="AA475">
        <f t="shared" si="28"/>
        <v>2014</v>
      </c>
      <c r="AB475">
        <f t="shared" si="29"/>
        <v>1</v>
      </c>
      <c r="AC475">
        <f t="shared" si="30"/>
        <v>4</v>
      </c>
      <c r="AD475">
        <f t="shared" si="31"/>
        <v>6</v>
      </c>
      <c r="AE475" s="62">
        <f>IF(I475="missing", IFERROR(INDEX([1]lookup!$I:$I, MATCH($A475, [1]lookup!$B:$B, 0)), 0), I475)</f>
        <v>3386.8589999999999</v>
      </c>
    </row>
    <row r="476" spans="1:31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>PROPER(D476)</f>
        <v>Denny Joy</v>
      </c>
      <c r="P476" s="8" t="str">
        <f>LEFT(A476,2)</f>
        <v>ES</v>
      </c>
      <c r="Q476" s="8" t="str">
        <f>MID(A476,4,4)</f>
        <v>2012</v>
      </c>
      <c r="R476" s="8" t="str">
        <f>UPPER(M476)</f>
        <v>CRITICAL</v>
      </c>
      <c r="S476" s="8" t="str">
        <f>LOWER(G476)</f>
        <v>technology</v>
      </c>
      <c r="T476" s="18" t="str">
        <f>RIGHT(A476,5)</f>
        <v>41231</v>
      </c>
      <c r="U476" s="27" t="s">
        <v>3141</v>
      </c>
      <c r="V476" s="16" t="s">
        <v>2743</v>
      </c>
      <c r="W476" s="30">
        <v>2012</v>
      </c>
      <c r="X476" t="s">
        <v>3141</v>
      </c>
      <c r="Y476" s="28">
        <v>41231</v>
      </c>
      <c r="Z476" s="28" t="str">
        <f>TRIM(A476)</f>
        <v>ES-2012-DJ88887148-41231</v>
      </c>
      <c r="AA476">
        <f t="shared" si="28"/>
        <v>2012</v>
      </c>
      <c r="AB476">
        <f t="shared" si="29"/>
        <v>11</v>
      </c>
      <c r="AC476">
        <f t="shared" si="30"/>
        <v>1</v>
      </c>
      <c r="AD476">
        <f t="shared" si="31"/>
        <v>2</v>
      </c>
      <c r="AE476" s="62">
        <f>IF(I476="missing", IFERROR(INDEX([1]lookup!$I:$I, MATCH($A476, [1]lookup!$B:$B, 0)), 0), I476)</f>
        <v>728.53200000000004</v>
      </c>
    </row>
    <row r="477" spans="1:31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>PROPER(D477)</f>
        <v>Andrew Roberts</v>
      </c>
      <c r="P477" s="13" t="str">
        <f>LEFT(A477,2)</f>
        <v>ES</v>
      </c>
      <c r="Q477" s="13" t="str">
        <f>MID(A477,4,4)</f>
        <v>2013</v>
      </c>
      <c r="R477" s="13" t="str">
        <f>UPPER(M477)</f>
        <v>HIGH</v>
      </c>
      <c r="S477" s="13" t="str">
        <f>LOWER(G477)</f>
        <v>furniture</v>
      </c>
      <c r="T477" s="21" t="str">
        <f>RIGHT(A477,5)</f>
        <v>41441</v>
      </c>
      <c r="U477" s="27" t="s">
        <v>3142</v>
      </c>
      <c r="V477" s="19" t="s">
        <v>2743</v>
      </c>
      <c r="W477" s="30">
        <v>2013</v>
      </c>
      <c r="X477" t="s">
        <v>3142</v>
      </c>
      <c r="Y477" s="28">
        <v>41441</v>
      </c>
      <c r="Z477" s="28" t="str">
        <f>TRIM(A477)</f>
        <v>ES-2013-AR1051064-41441</v>
      </c>
      <c r="AA477">
        <f t="shared" si="28"/>
        <v>0</v>
      </c>
      <c r="AB477">
        <f t="shared" si="29"/>
        <v>0</v>
      </c>
      <c r="AC477">
        <f t="shared" si="30"/>
        <v>0</v>
      </c>
      <c r="AD477">
        <f t="shared" si="31"/>
        <v>0</v>
      </c>
      <c r="AE477" s="62">
        <f>IF(I477="missing", IFERROR(INDEX([1]lookup!$I:$I, MATCH($A477, [1]lookup!$B:$B, 0)), 0), I477)</f>
        <v>2546.46</v>
      </c>
    </row>
    <row r="478" spans="1:31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>PROPER(D478)</f>
        <v>Jonathan Howell</v>
      </c>
      <c r="P478" s="8" t="str">
        <f>LEFT(A478,2)</f>
        <v>IN</v>
      </c>
      <c r="Q478" s="8" t="str">
        <f>MID(A478,4,4)</f>
        <v>2014</v>
      </c>
      <c r="R478" s="8" t="str">
        <f>UPPER(M478)</f>
        <v>MEDIUM</v>
      </c>
      <c r="S478" s="8" t="str">
        <f>LOWER(G478)</f>
        <v>furniture</v>
      </c>
      <c r="T478" s="18" t="str">
        <f>RIGHT(A478,5)</f>
        <v>41831</v>
      </c>
      <c r="U478" s="27" t="s">
        <v>3143</v>
      </c>
      <c r="V478" s="16" t="s">
        <v>2686</v>
      </c>
      <c r="W478" s="30">
        <v>2014</v>
      </c>
      <c r="X478" t="s">
        <v>3143</v>
      </c>
      <c r="Y478" s="28">
        <v>41831</v>
      </c>
      <c r="Z478" s="28" t="str">
        <f>TRIM(A478)</f>
        <v>IN-2014-JH1591066-41831</v>
      </c>
      <c r="AA478">
        <f t="shared" si="28"/>
        <v>2014</v>
      </c>
      <c r="AB478">
        <f t="shared" si="29"/>
        <v>7</v>
      </c>
      <c r="AC478">
        <f t="shared" si="30"/>
        <v>6</v>
      </c>
      <c r="AD478">
        <f t="shared" si="31"/>
        <v>4</v>
      </c>
      <c r="AE478" s="62">
        <f>IF(I478="missing", IFERROR(INDEX([1]lookup!$I:$I, MATCH($A478, [1]lookup!$B:$B, 0)), 0), I478)</f>
        <v>2888.76</v>
      </c>
    </row>
    <row r="479" spans="1:31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>PROPER(D479)</f>
        <v>Chris Mcafee</v>
      </c>
      <c r="P479" s="13" t="str">
        <f>LEFT(A479,2)</f>
        <v>ES</v>
      </c>
      <c r="Q479" s="13" t="str">
        <f>MID(A479,4,4)</f>
        <v>2015</v>
      </c>
      <c r="R479" s="13" t="str">
        <f>UPPER(M479)</f>
        <v>HIGH</v>
      </c>
      <c r="S479" s="13" t="str">
        <f>LOWER(G479)</f>
        <v>technology</v>
      </c>
      <c r="T479" s="21" t="str">
        <f>RIGHT(A479,5)</f>
        <v>42221</v>
      </c>
      <c r="U479" s="27" t="s">
        <v>3144</v>
      </c>
      <c r="V479" s="19" t="s">
        <v>2743</v>
      </c>
      <c r="W479" s="30">
        <v>2015</v>
      </c>
      <c r="X479" t="s">
        <v>3144</v>
      </c>
      <c r="Y479" s="28">
        <v>42221</v>
      </c>
      <c r="Z479" s="28" t="str">
        <f>TRIM(A479)</f>
        <v>ES-2015-CM12235139-42221</v>
      </c>
      <c r="AA479">
        <f t="shared" si="28"/>
        <v>2015</v>
      </c>
      <c r="AB479">
        <f t="shared" si="29"/>
        <v>8</v>
      </c>
      <c r="AC479">
        <f t="shared" si="30"/>
        <v>4</v>
      </c>
      <c r="AD479">
        <f t="shared" si="31"/>
        <v>4</v>
      </c>
      <c r="AE479" s="62">
        <f>IF(I479="missing", IFERROR(INDEX([1]lookup!$I:$I, MATCH($A479, [1]lookup!$B:$B, 0)), 0), I479)</f>
        <v>1237.44</v>
      </c>
    </row>
    <row r="480" spans="1:31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>PROPER(D480)</f>
        <v>Neoma Murray</v>
      </c>
      <c r="P480" s="8" t="str">
        <f>LEFT(A480,2)</f>
        <v>ES</v>
      </c>
      <c r="Q480" s="8" t="str">
        <f>MID(A480,4,4)</f>
        <v>2013</v>
      </c>
      <c r="R480" s="8" t="str">
        <f>UPPER(M480)</f>
        <v>CRITICAL</v>
      </c>
      <c r="S480" s="8" t="str">
        <f>LOWER(G480)</f>
        <v>office supplies</v>
      </c>
      <c r="T480" s="18" t="str">
        <f>RIGHT(A480,5)</f>
        <v>41634</v>
      </c>
      <c r="U480" s="27" t="s">
        <v>3145</v>
      </c>
      <c r="V480" s="16" t="s">
        <v>2743</v>
      </c>
      <c r="W480" s="30">
        <v>2013</v>
      </c>
      <c r="X480" t="s">
        <v>3145</v>
      </c>
      <c r="Y480" s="28">
        <v>41634</v>
      </c>
      <c r="Z480" s="28" t="str">
        <f>TRIM(A480)</f>
        <v>ES-2013-NM18520120-41634</v>
      </c>
      <c r="AA480">
        <f t="shared" si="28"/>
        <v>2013</v>
      </c>
      <c r="AB480">
        <f t="shared" si="29"/>
        <v>12</v>
      </c>
      <c r="AC480">
        <f t="shared" si="30"/>
        <v>5</v>
      </c>
      <c r="AD480">
        <f t="shared" si="31"/>
        <v>2</v>
      </c>
      <c r="AE480" s="62">
        <f>IF(I480="missing", IFERROR(INDEX([1]lookup!$I:$I, MATCH($A480, [1]lookup!$B:$B, 0)), 0), I480)</f>
        <v>600.6</v>
      </c>
    </row>
    <row r="481" spans="1:31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>PROPER(D481)</f>
        <v>Carl Ludwig</v>
      </c>
      <c r="P481" s="13" t="str">
        <f>LEFT(A481,2)</f>
        <v>US</v>
      </c>
      <c r="Q481" s="13" t="str">
        <f>MID(A481,4,4)</f>
        <v>2013</v>
      </c>
      <c r="R481" s="13" t="str">
        <f>UPPER(M481)</f>
        <v>CRITICAL</v>
      </c>
      <c r="S481" s="13" t="str">
        <f>LOWER(G481)</f>
        <v>technology</v>
      </c>
      <c r="T481" s="21" t="str">
        <f>RIGHT(A481,5)</f>
        <v>41459</v>
      </c>
      <c r="U481" s="27" t="s">
        <v>3146</v>
      </c>
      <c r="V481" s="19" t="s">
        <v>2694</v>
      </c>
      <c r="W481" s="30">
        <v>2013</v>
      </c>
      <c r="X481" t="s">
        <v>3146</v>
      </c>
      <c r="Y481" s="28">
        <v>41459</v>
      </c>
      <c r="Z481" s="28" t="str">
        <f>TRIM(A481)</f>
        <v>US-2013-CL1189018-41459</v>
      </c>
      <c r="AA481">
        <f t="shared" si="28"/>
        <v>2013</v>
      </c>
      <c r="AB481">
        <f t="shared" si="29"/>
        <v>7</v>
      </c>
      <c r="AC481">
        <f t="shared" si="30"/>
        <v>5</v>
      </c>
      <c r="AD481">
        <f t="shared" si="31"/>
        <v>0</v>
      </c>
      <c r="AE481" s="62">
        <f>IF(I481="missing", IFERROR(INDEX([1]lookup!$I:$I, MATCH($A481, [1]lookup!$B:$B, 0)), 0), I481)</f>
        <v>1363.2</v>
      </c>
    </row>
    <row r="482" spans="1:31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>PROPER(D482)</f>
        <v>Christina Anderson</v>
      </c>
      <c r="P482" s="8" t="str">
        <f>LEFT(A482,2)</f>
        <v>ES</v>
      </c>
      <c r="Q482" s="8" t="str">
        <f>MID(A482,4,4)</f>
        <v>2013</v>
      </c>
      <c r="R482" s="8" t="str">
        <f>UPPER(M482)</f>
        <v>HIGH</v>
      </c>
      <c r="S482" s="8" t="str">
        <f>LOWER(G482)</f>
        <v>furniture</v>
      </c>
      <c r="T482" s="18" t="str">
        <f>RIGHT(A482,5)</f>
        <v>41506</v>
      </c>
      <c r="U482" s="27" t="s">
        <v>3147</v>
      </c>
      <c r="V482" s="16" t="s">
        <v>2743</v>
      </c>
      <c r="W482" s="30">
        <v>2013</v>
      </c>
      <c r="X482" t="s">
        <v>3147</v>
      </c>
      <c r="Y482" s="28">
        <v>41506</v>
      </c>
      <c r="Z482" s="28" t="str">
        <f>TRIM(A482)</f>
        <v>ES-2013-CA12265139-41506</v>
      </c>
      <c r="AA482">
        <f t="shared" si="28"/>
        <v>2013</v>
      </c>
      <c r="AB482">
        <f t="shared" si="29"/>
        <v>8</v>
      </c>
      <c r="AC482">
        <f t="shared" si="30"/>
        <v>3</v>
      </c>
      <c r="AD482">
        <f t="shared" si="31"/>
        <v>4</v>
      </c>
      <c r="AE482" s="62">
        <f>IF(I482="missing", IFERROR(INDEX([1]lookup!$I:$I, MATCH($A482, [1]lookup!$B:$B, 0)), 0), I482)</f>
        <v>3315.26999999999</v>
      </c>
    </row>
    <row r="483" spans="1:31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>PROPER(D483)</f>
        <v>Adrian Shami</v>
      </c>
      <c r="P483" s="13" t="str">
        <f>LEFT(A483,2)</f>
        <v>CA</v>
      </c>
      <c r="Q483" s="13" t="str">
        <f>MID(A483,4,4)</f>
        <v>2013</v>
      </c>
      <c r="R483" s="13" t="str">
        <f>UPPER(M483)</f>
        <v>MEIDUM</v>
      </c>
      <c r="S483" s="13" t="str">
        <f>LOWER(G483)</f>
        <v>office supplies</v>
      </c>
      <c r="T483" s="21" t="str">
        <f>RIGHT(A483,5)</f>
        <v>41403</v>
      </c>
      <c r="U483" s="27" t="s">
        <v>3148</v>
      </c>
      <c r="V483" s="19" t="s">
        <v>2689</v>
      </c>
      <c r="W483" s="30">
        <v>2013</v>
      </c>
      <c r="X483" t="s">
        <v>3148</v>
      </c>
      <c r="Y483" s="28">
        <v>41403</v>
      </c>
      <c r="Z483" s="28" t="str">
        <f>TRIM(A483)</f>
        <v>CA-2013-AS13523-41403</v>
      </c>
      <c r="AA483">
        <f t="shared" si="28"/>
        <v>2013</v>
      </c>
      <c r="AB483">
        <f t="shared" si="29"/>
        <v>5</v>
      </c>
      <c r="AC483">
        <f t="shared" si="30"/>
        <v>5</v>
      </c>
      <c r="AD483">
        <f t="shared" si="31"/>
        <v>4</v>
      </c>
      <c r="AE483" s="62">
        <f>IF(I483="missing", IFERROR(INDEX([1]lookup!$I:$I, MATCH($A483, [1]lookup!$B:$B, 0)), 0), I483)</f>
        <v>187.01999999999899</v>
      </c>
    </row>
    <row r="484" spans="1:31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>PROPER(D484)</f>
        <v>Neil Franzã¶Sisch</v>
      </c>
      <c r="P484" s="8" t="str">
        <f>LEFT(A484,2)</f>
        <v>ES</v>
      </c>
      <c r="Q484" s="8" t="str">
        <f>MID(A484,4,4)</f>
        <v>2015</v>
      </c>
      <c r="R484" s="8" t="str">
        <f>UPPER(M484)</f>
        <v>CRITICAL</v>
      </c>
      <c r="S484" s="8" t="str">
        <f>LOWER(G484)</f>
        <v>technology</v>
      </c>
      <c r="T484" s="18" t="str">
        <f>RIGHT(A484,5)</f>
        <v>42248</v>
      </c>
      <c r="U484" s="27" t="s">
        <v>2752</v>
      </c>
      <c r="V484" s="16" t="s">
        <v>2743</v>
      </c>
      <c r="W484" s="30">
        <v>2015</v>
      </c>
      <c r="X484" t="s">
        <v>2752</v>
      </c>
      <c r="Y484" s="28">
        <v>42248</v>
      </c>
      <c r="Z484" s="28" t="str">
        <f>TRIM(A484)</f>
        <v>ES-2015-NF1847548-42248</v>
      </c>
      <c r="AA484">
        <f t="shared" si="28"/>
        <v>2015</v>
      </c>
      <c r="AB484">
        <f t="shared" si="29"/>
        <v>9</v>
      </c>
      <c r="AC484">
        <f t="shared" si="30"/>
        <v>3</v>
      </c>
      <c r="AD484">
        <f t="shared" si="31"/>
        <v>0</v>
      </c>
      <c r="AE484" s="62">
        <f>IF(I484="missing", IFERROR(INDEX([1]lookup!$I:$I, MATCH($A484, [1]lookup!$B:$B, 0)), 0), I484)</f>
        <v>1350.09</v>
      </c>
    </row>
    <row r="485" spans="1:31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>PROPER(D485)</f>
        <v>John Huston#</v>
      </c>
      <c r="P485" s="13" t="str">
        <f>LEFT(A485,2)</f>
        <v>ES</v>
      </c>
      <c r="Q485" s="13" t="str">
        <f>MID(A485,4,4)</f>
        <v>2013</v>
      </c>
      <c r="R485" s="13" t="str">
        <f>UPPER(M485)</f>
        <v>HIGH</v>
      </c>
      <c r="S485" s="13" t="str">
        <f>LOWER(G485)</f>
        <v xml:space="preserve"> technology </v>
      </c>
      <c r="T485" s="21" t="str">
        <f>RIGHT(A485,5)</f>
        <v>41306</v>
      </c>
      <c r="U485" s="27" t="s">
        <v>2742</v>
      </c>
      <c r="V485" s="19" t="s">
        <v>2743</v>
      </c>
      <c r="W485" s="30">
        <v>2013</v>
      </c>
      <c r="X485" t="s">
        <v>2742</v>
      </c>
      <c r="Y485" s="28">
        <v>41306</v>
      </c>
      <c r="Z485" s="28" t="str">
        <f>TRIM(A485)</f>
        <v>ES-2013-JH1582048-41306</v>
      </c>
      <c r="AA485">
        <f t="shared" si="28"/>
        <v>2013</v>
      </c>
      <c r="AB485">
        <f t="shared" si="29"/>
        <v>2</v>
      </c>
      <c r="AC485">
        <f t="shared" si="30"/>
        <v>6</v>
      </c>
      <c r="AD485">
        <f t="shared" si="31"/>
        <v>3</v>
      </c>
      <c r="AE485" s="62">
        <f>IF(I485="missing", IFERROR(INDEX([1]lookup!$I:$I, MATCH($A485, [1]lookup!$B:$B, 0)), 0), I485)</f>
        <v>965.16</v>
      </c>
    </row>
    <row r="486" spans="1:31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>PROPER(D486)</f>
        <v>Filia Mcadams</v>
      </c>
      <c r="P486" s="8" t="str">
        <f>LEFT(A486,2)</f>
        <v>ES</v>
      </c>
      <c r="Q486" s="8" t="str">
        <f>MID(A486,4,4)</f>
        <v>2014</v>
      </c>
      <c r="R486" s="8" t="str">
        <f>UPPER(M486)</f>
        <v>MEDIUM</v>
      </c>
      <c r="S486" s="8" t="str">
        <f>LOWER(G486)</f>
        <v>technology</v>
      </c>
      <c r="T486" s="18" t="str">
        <f>RIGHT(A486,5)</f>
        <v>41804</v>
      </c>
      <c r="U486" s="27" t="s">
        <v>3149</v>
      </c>
      <c r="V486" s="16" t="s">
        <v>2743</v>
      </c>
      <c r="W486" s="30">
        <v>2014</v>
      </c>
      <c r="X486" t="s">
        <v>3149</v>
      </c>
      <c r="Y486" s="28">
        <v>41804</v>
      </c>
      <c r="Z486" s="28" t="str">
        <f>TRIM(A486)</f>
        <v>ES-2014-FM1421564-41804</v>
      </c>
      <c r="AA486">
        <f t="shared" si="28"/>
        <v>2014</v>
      </c>
      <c r="AB486">
        <f t="shared" si="29"/>
        <v>6</v>
      </c>
      <c r="AC486">
        <f t="shared" si="30"/>
        <v>7</v>
      </c>
      <c r="AD486">
        <f t="shared" si="31"/>
        <v>2</v>
      </c>
      <c r="AE486" s="62">
        <f>IF(I486="missing", IFERROR(INDEX([1]lookup!$I:$I, MATCH($A486, [1]lookup!$B:$B, 0)), 0), I486)</f>
        <v>1552.5</v>
      </c>
    </row>
    <row r="487" spans="1:31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>PROPER(D487)</f>
        <v>Aimee Bixby</v>
      </c>
      <c r="P487" s="13" t="str">
        <f>LEFT(A487,2)</f>
        <v>CA</v>
      </c>
      <c r="Q487" s="13" t="str">
        <f>MID(A487,4,4)</f>
        <v>2012</v>
      </c>
      <c r="R487" s="13" t="str">
        <f>UPPER(M487)</f>
        <v>MEDIUM</v>
      </c>
      <c r="S487" s="13" t="str">
        <f>LOWER(G487)</f>
        <v>office supplies</v>
      </c>
      <c r="T487" s="21" t="str">
        <f>RIGHT(A487,5)</f>
        <v>40972</v>
      </c>
      <c r="U487" s="27" t="s">
        <v>2878</v>
      </c>
      <c r="V487" s="19" t="s">
        <v>2689</v>
      </c>
      <c r="W487" s="30">
        <v>2012</v>
      </c>
      <c r="X487" t="s">
        <v>2878</v>
      </c>
      <c r="Y487" s="28">
        <v>40972</v>
      </c>
      <c r="Z487" s="28" t="str">
        <f>TRIM(A487)</f>
        <v>CA-2012-AB10150140-40972</v>
      </c>
      <c r="AA487">
        <f t="shared" si="28"/>
        <v>2012</v>
      </c>
      <c r="AB487">
        <f t="shared" si="29"/>
        <v>3</v>
      </c>
      <c r="AC487">
        <f t="shared" si="30"/>
        <v>1</v>
      </c>
      <c r="AD487">
        <f t="shared" si="31"/>
        <v>3</v>
      </c>
      <c r="AE487" s="62">
        <f>IF(I487="missing", IFERROR(INDEX([1]lookup!$I:$I, MATCH($A487, [1]lookup!$B:$B, 0)), 0), I487)</f>
        <v>49.631999999999998</v>
      </c>
    </row>
    <row r="488" spans="1:31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>PROPER(D488)</f>
        <v>Phillina Ober</v>
      </c>
      <c r="P488" s="8" t="str">
        <f>LEFT(A488,2)</f>
        <v>IN</v>
      </c>
      <c r="Q488" s="8" t="str">
        <f>MID(A488,4,4)</f>
        <v>2012</v>
      </c>
      <c r="R488" s="8" t="str">
        <f>UPPER(M488)</f>
        <v>HGIH</v>
      </c>
      <c r="S488" s="8" t="str">
        <f>LOWER(G488)</f>
        <v>furniture</v>
      </c>
      <c r="T488" s="18" t="str">
        <f>RIGHT(A488,5)</f>
        <v>41200</v>
      </c>
      <c r="U488" s="27" t="s">
        <v>3150</v>
      </c>
      <c r="V488" s="16" t="s">
        <v>2686</v>
      </c>
      <c r="W488" s="30">
        <v>2012</v>
      </c>
      <c r="X488" t="s">
        <v>3150</v>
      </c>
      <c r="Y488" s="28">
        <v>41200</v>
      </c>
      <c r="Z488" s="28" t="str">
        <f>TRIM(A488)</f>
        <v>IN-2012-PO1919527-41200</v>
      </c>
      <c r="AA488">
        <f t="shared" si="28"/>
        <v>2012</v>
      </c>
      <c r="AB488">
        <f t="shared" si="29"/>
        <v>10</v>
      </c>
      <c r="AC488">
        <f t="shared" si="30"/>
        <v>5</v>
      </c>
      <c r="AD488">
        <f t="shared" si="31"/>
        <v>5</v>
      </c>
      <c r="AE488" s="62">
        <f>IF(I488="missing", IFERROR(INDEX([1]lookup!$I:$I, MATCH($A488, [1]lookup!$B:$B, 0)), 0), I488)</f>
        <v>2018.3309999999999</v>
      </c>
    </row>
    <row r="489" spans="1:31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>PROPER(D489)</f>
        <v>Katherine Ducich</v>
      </c>
      <c r="P489" s="13" t="str">
        <f>LEFT(A489,2)</f>
        <v>IN</v>
      </c>
      <c r="Q489" s="13" t="str">
        <f>MID(A489,4,4)</f>
        <v>2015</v>
      </c>
      <c r="R489" s="13" t="str">
        <f>UPPER(M489)</f>
        <v>MEDIUM</v>
      </c>
      <c r="S489" s="13" t="str">
        <f>LOWER(G489)</f>
        <v>furniture</v>
      </c>
      <c r="T489" s="21" t="str">
        <f>RIGHT(A489,5)</f>
        <v>42029</v>
      </c>
      <c r="U489" s="27" t="s">
        <v>3151</v>
      </c>
      <c r="V489" s="19" t="s">
        <v>2686</v>
      </c>
      <c r="W489" s="30">
        <v>2015</v>
      </c>
      <c r="X489" t="s">
        <v>3151</v>
      </c>
      <c r="Y489" s="28">
        <v>42029</v>
      </c>
      <c r="Z489" s="28" t="str">
        <f>TRIM(A489)</f>
        <v>IN-2015-KD1634558-42029</v>
      </c>
      <c r="AA489">
        <f t="shared" si="28"/>
        <v>2015</v>
      </c>
      <c r="AB489">
        <f t="shared" si="29"/>
        <v>1</v>
      </c>
      <c r="AC489">
        <f t="shared" si="30"/>
        <v>1</v>
      </c>
      <c r="AD489">
        <f t="shared" si="31"/>
        <v>4</v>
      </c>
      <c r="AE489" s="62">
        <f>IF(I489="missing", IFERROR(INDEX([1]lookup!$I:$I, MATCH($A489, [1]lookup!$B:$B, 0)), 0), I489)</f>
        <v>2485.6199999999899</v>
      </c>
    </row>
    <row r="490" spans="1:31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>PROPER(D490)</f>
        <v>Denny Joy</v>
      </c>
      <c r="P490" s="8" t="str">
        <f>LEFT(A490,2)</f>
        <v>ES</v>
      </c>
      <c r="Q490" s="8" t="str">
        <f>MID(A490,4,4)</f>
        <v>2015</v>
      </c>
      <c r="R490" s="8" t="str">
        <f>UPPER(M490)</f>
        <v>HIGH</v>
      </c>
      <c r="S490" s="8" t="str">
        <f>LOWER(G490)</f>
        <v>technology</v>
      </c>
      <c r="T490" s="18" t="str">
        <f>RIGHT(A490,5)</f>
        <v>42035</v>
      </c>
      <c r="U490" s="27" t="s">
        <v>3152</v>
      </c>
      <c r="V490" s="16" t="s">
        <v>2743</v>
      </c>
      <c r="W490" s="30">
        <v>2015</v>
      </c>
      <c r="X490" t="s">
        <v>3152</v>
      </c>
      <c r="Y490" s="28">
        <v>42035</v>
      </c>
      <c r="Z490" s="28" t="str">
        <f>TRIM(A490)</f>
        <v>ES-2015-DJ1342045-42035</v>
      </c>
      <c r="AA490">
        <f t="shared" si="28"/>
        <v>2015</v>
      </c>
      <c r="AB490">
        <f t="shared" si="29"/>
        <v>1</v>
      </c>
      <c r="AC490">
        <f t="shared" si="30"/>
        <v>7</v>
      </c>
      <c r="AD490">
        <f t="shared" si="31"/>
        <v>4</v>
      </c>
      <c r="AE490" s="62">
        <f>IF(I490="missing", IFERROR(INDEX([1]lookup!$I:$I, MATCH($A490, [1]lookup!$B:$B, 0)), 0), I490)</f>
        <v>2102.8319999999999</v>
      </c>
    </row>
    <row r="491" spans="1:31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>PROPER(D491)</f>
        <v>Hilary Holden</v>
      </c>
      <c r="P491" s="13" t="str">
        <f>LEFT(A491,2)</f>
        <v>TZ</v>
      </c>
      <c r="Q491" s="13" t="str">
        <f>MID(A491,4,4)</f>
        <v>2014</v>
      </c>
      <c r="R491" s="13" t="str">
        <f>UPPER(M491)</f>
        <v>CRITICAL</v>
      </c>
      <c r="S491" s="13" t="str">
        <f>LOWER(G491)</f>
        <v>office supplies</v>
      </c>
      <c r="T491" s="21" t="str">
        <f>RIGHT(A491,5)</f>
        <v>41906</v>
      </c>
      <c r="U491" s="27" t="s">
        <v>3153</v>
      </c>
      <c r="V491" s="19" t="s">
        <v>2976</v>
      </c>
      <c r="W491" s="30">
        <v>2014</v>
      </c>
      <c r="X491" t="s">
        <v>3153</v>
      </c>
      <c r="Y491" s="28">
        <v>41906</v>
      </c>
      <c r="Z491" s="28" t="str">
        <f>TRIM(A491)</f>
        <v>TZ-2014-HH5010129-41906</v>
      </c>
      <c r="AA491">
        <f t="shared" si="28"/>
        <v>2014</v>
      </c>
      <c r="AB491">
        <f t="shared" si="29"/>
        <v>9</v>
      </c>
      <c r="AC491">
        <f t="shared" si="30"/>
        <v>4</v>
      </c>
      <c r="AD491">
        <f t="shared" si="31"/>
        <v>0</v>
      </c>
      <c r="AE491" s="62">
        <f>IF(I491="missing", IFERROR(INDEX([1]lookup!$I:$I, MATCH($A491, [1]lookup!$B:$B, 0)), 0), I491)</f>
        <v>553.44000000000005</v>
      </c>
    </row>
    <row r="492" spans="1:31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>PROPER(D492)</f>
        <v>Natalie Fritzler</v>
      </c>
      <c r="P492" s="8" t="str">
        <f>LEFT(A492,2)</f>
        <v>MX</v>
      </c>
      <c r="Q492" s="8" t="str">
        <f>MID(A492,4,4)</f>
        <v>2015</v>
      </c>
      <c r="R492" s="8" t="str">
        <f>UPPER(M492)</f>
        <v>HIGH</v>
      </c>
      <c r="S492" s="8" t="str">
        <f>LOWER(G492)</f>
        <v>furniture</v>
      </c>
      <c r="T492" s="18" t="str">
        <f>RIGHT(A492,5)</f>
        <v>42087</v>
      </c>
      <c r="U492" s="27" t="s">
        <v>3154</v>
      </c>
      <c r="V492" s="16" t="s">
        <v>2718</v>
      </c>
      <c r="W492" s="30">
        <v>2015</v>
      </c>
      <c r="X492" t="s">
        <v>3154</v>
      </c>
      <c r="Y492" s="28">
        <v>42087</v>
      </c>
      <c r="Z492" s="28" t="str">
        <f>TRIM(A492)</f>
        <v>MX-2015-NF1838582-42087</v>
      </c>
      <c r="AA492">
        <f t="shared" si="28"/>
        <v>2015</v>
      </c>
      <c r="AB492">
        <f t="shared" si="29"/>
        <v>3</v>
      </c>
      <c r="AC492">
        <f t="shared" si="30"/>
        <v>3</v>
      </c>
      <c r="AD492">
        <f t="shared" si="31"/>
        <v>4</v>
      </c>
      <c r="AE492" s="62">
        <f>IF(I492="missing", IFERROR(INDEX([1]lookup!$I:$I, MATCH($A492, [1]lookup!$B:$B, 0)), 0), I492)</f>
        <v>2205.5680000000002</v>
      </c>
    </row>
    <row r="493" spans="1:31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>PROPER(D493)</f>
        <v>Art Ferguson</v>
      </c>
      <c r="P493" s="13" t="str">
        <f>LEFT(A493,2)</f>
        <v>ES</v>
      </c>
      <c r="Q493" s="13" t="str">
        <f>MID(A493,4,4)</f>
        <v>2015</v>
      </c>
      <c r="R493" s="13" t="str">
        <f>UPPER(M493)</f>
        <v>HIGH</v>
      </c>
      <c r="S493" s="13" t="str">
        <f>LOWER(G493)</f>
        <v>furniture</v>
      </c>
      <c r="T493" s="21" t="str">
        <f>RIGHT(A493,5)</f>
        <v>42169</v>
      </c>
      <c r="U493" s="27" t="s">
        <v>3155</v>
      </c>
      <c r="V493" s="19" t="s">
        <v>2743</v>
      </c>
      <c r="W493" s="30">
        <v>2015</v>
      </c>
      <c r="X493" t="s">
        <v>3155</v>
      </c>
      <c r="Y493" s="28">
        <v>42169</v>
      </c>
      <c r="Z493" s="28" t="str">
        <f>TRIM(A493)</f>
        <v>ES-2015-AF1087048-42169</v>
      </c>
      <c r="AA493">
        <f t="shared" si="28"/>
        <v>2015</v>
      </c>
      <c r="AB493">
        <f t="shared" si="29"/>
        <v>6</v>
      </c>
      <c r="AC493">
        <f t="shared" si="30"/>
        <v>1</v>
      </c>
      <c r="AD493">
        <f t="shared" si="31"/>
        <v>3</v>
      </c>
      <c r="AE493" s="62">
        <f>IF(I493="missing", IFERROR(INDEX([1]lookup!$I:$I, MATCH($A493, [1]lookup!$B:$B, 0)), 0), I493)</f>
        <v>2291.835</v>
      </c>
    </row>
    <row r="494" spans="1:31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>PROPER(D494)</f>
        <v>Alejandro Savely</v>
      </c>
      <c r="P494" s="8" t="str">
        <f>LEFT(A494,2)</f>
        <v>RS</v>
      </c>
      <c r="Q494" s="8" t="str">
        <f>MID(A494,4,4)</f>
        <v>2012</v>
      </c>
      <c r="R494" s="8" t="str">
        <f>UPPER(M494)</f>
        <v>CRITICAL</v>
      </c>
      <c r="S494" s="8" t="str">
        <f>LOWER(G494)</f>
        <v>furniture</v>
      </c>
      <c r="T494" s="18" t="str">
        <f>RIGHT(A494,5)</f>
        <v>41137</v>
      </c>
      <c r="U494" s="27" t="s">
        <v>3156</v>
      </c>
      <c r="V494" s="16" t="s">
        <v>2857</v>
      </c>
      <c r="W494" s="30">
        <v>2012</v>
      </c>
      <c r="X494" t="s">
        <v>3156</v>
      </c>
      <c r="Y494" s="28">
        <v>41137</v>
      </c>
      <c r="Z494" s="28" t="str">
        <f>TRIM(A494)</f>
        <v>RS-2012-AS285108-41137</v>
      </c>
      <c r="AA494">
        <f t="shared" si="28"/>
        <v>2012</v>
      </c>
      <c r="AB494">
        <f t="shared" si="29"/>
        <v>8</v>
      </c>
      <c r="AC494">
        <f t="shared" si="30"/>
        <v>5</v>
      </c>
      <c r="AD494">
        <f t="shared" si="31"/>
        <v>2</v>
      </c>
      <c r="AE494" s="62">
        <f>IF(I494="missing", IFERROR(INDEX([1]lookup!$I:$I, MATCH($A494, [1]lookup!$B:$B, 0)), 0), I494)</f>
        <v>954.6</v>
      </c>
    </row>
    <row r="495" spans="1:31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>PROPER(D495)</f>
        <v>Maria Bertelson</v>
      </c>
      <c r="P495" s="13" t="str">
        <f>LEFT(A495,2)</f>
        <v>CG</v>
      </c>
      <c r="Q495" s="13" t="str">
        <f>MID(A495,4,4)</f>
        <v>2014</v>
      </c>
      <c r="R495" s="13" t="str">
        <f>UPPER(M495)</f>
        <v>MEDIUM</v>
      </c>
      <c r="S495" s="13" t="str">
        <f>LOWER(G495)</f>
        <v>furniture</v>
      </c>
      <c r="T495" s="21" t="str">
        <f>RIGHT(A495,5)</f>
        <v>41688</v>
      </c>
      <c r="U495" s="27" t="s">
        <v>3157</v>
      </c>
      <c r="V495" s="19" t="s">
        <v>2870</v>
      </c>
      <c r="W495" s="30">
        <v>2014</v>
      </c>
      <c r="X495" t="s">
        <v>3157</v>
      </c>
      <c r="Y495" s="28">
        <v>41688</v>
      </c>
      <c r="Z495" s="28" t="str">
        <f>TRIM(A495)</f>
        <v>CG-2014-MB730533-41688</v>
      </c>
      <c r="AA495">
        <f t="shared" si="28"/>
        <v>2014</v>
      </c>
      <c r="AB495">
        <f t="shared" si="29"/>
        <v>2</v>
      </c>
      <c r="AC495">
        <f t="shared" si="30"/>
        <v>3</v>
      </c>
      <c r="AD495">
        <f t="shared" si="31"/>
        <v>5</v>
      </c>
      <c r="AE495" s="62">
        <f>IF(I495="missing", IFERROR(INDEX([1]lookup!$I:$I, MATCH($A495, [1]lookup!$B:$B, 0)), 0), I495)</f>
        <v>3877.68</v>
      </c>
    </row>
    <row r="496" spans="1:31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>PROPER(D496)</f>
        <v>Alan Barnes</v>
      </c>
      <c r="P496" s="8" t="str">
        <f>LEFT(A496,2)</f>
        <v>CA</v>
      </c>
      <c r="Q496" s="8" t="str">
        <f>MID(A496,4,4)</f>
        <v>2014</v>
      </c>
      <c r="R496" s="8" t="str">
        <f>UPPER(M496)</f>
        <v>HIGH</v>
      </c>
      <c r="S496" s="8" t="str">
        <f>LOWER(G496)</f>
        <v>office supplies</v>
      </c>
      <c r="T496" s="18" t="str">
        <f>RIGHT(A496,5)</f>
        <v>41660</v>
      </c>
      <c r="U496" s="27" t="s">
        <v>3158</v>
      </c>
      <c r="V496" s="16" t="s">
        <v>2689</v>
      </c>
      <c r="W496" s="30">
        <v>2014</v>
      </c>
      <c r="X496" t="s">
        <v>3158</v>
      </c>
      <c r="Y496" s="28">
        <v>41660</v>
      </c>
      <c r="Z496" s="28" t="str">
        <f>TRIM(A496)</f>
        <v>CA-2014-AB16523-41660</v>
      </c>
      <c r="AA496">
        <f t="shared" si="28"/>
        <v>2014</v>
      </c>
      <c r="AB496">
        <f t="shared" si="29"/>
        <v>1</v>
      </c>
      <c r="AC496">
        <f t="shared" si="30"/>
        <v>3</v>
      </c>
      <c r="AD496">
        <f t="shared" si="31"/>
        <v>0</v>
      </c>
      <c r="AE496" s="62">
        <f>IF(I496="missing", IFERROR(INDEX([1]lookup!$I:$I, MATCH($A496, [1]lookup!$B:$B, 0)), 0), I496)</f>
        <v>410.87999999999897</v>
      </c>
    </row>
    <row r="497" spans="1:31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>PROPER(D497)</f>
        <v>Andy Gerbode</v>
      </c>
      <c r="P497" s="13" t="str">
        <f>LEFT(A497,2)</f>
        <v>IR</v>
      </c>
      <c r="Q497" s="13" t="str">
        <f>MID(A497,4,4)</f>
        <v>2014</v>
      </c>
      <c r="R497" s="13" t="str">
        <f>UPPER(M497)</f>
        <v>HIGH</v>
      </c>
      <c r="S497" s="13" t="str">
        <f>LOWER(G497)</f>
        <v>technology</v>
      </c>
      <c r="T497" s="21" t="str">
        <f>RIGHT(A497,5)</f>
        <v>41641</v>
      </c>
      <c r="U497" s="27" t="s">
        <v>3159</v>
      </c>
      <c r="V497" s="19" t="s">
        <v>2814</v>
      </c>
      <c r="W497" s="30">
        <v>2014</v>
      </c>
      <c r="X497" t="s">
        <v>3159</v>
      </c>
      <c r="Y497" s="28">
        <v>41641</v>
      </c>
      <c r="Z497" s="28" t="str">
        <f>TRIM(A497)</f>
        <v>IR-2014-AG52560-41641</v>
      </c>
      <c r="AA497">
        <f t="shared" si="28"/>
        <v>2014</v>
      </c>
      <c r="AB497">
        <f t="shared" si="29"/>
        <v>1</v>
      </c>
      <c r="AC497">
        <f t="shared" si="30"/>
        <v>5</v>
      </c>
      <c r="AD497">
        <f t="shared" si="31"/>
        <v>2</v>
      </c>
      <c r="AE497" s="62">
        <f>IF(I497="missing", IFERROR(INDEX([1]lookup!$I:$I, MATCH($A497, [1]lookup!$B:$B, 0)), 0), I497)</f>
        <v>2021.88</v>
      </c>
    </row>
    <row r="498" spans="1:31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>PROPER(D498)</f>
        <v>Frank Carlisle</v>
      </c>
      <c r="P498" s="8" t="str">
        <f>LEFT(A498,2)</f>
        <v>IN</v>
      </c>
      <c r="Q498" s="8" t="str">
        <f>MID(A498,4,4)</f>
        <v>2015</v>
      </c>
      <c r="R498" s="8" t="str">
        <f>UPPER(M498)</f>
        <v>HIGH</v>
      </c>
      <c r="S498" s="8" t="str">
        <f>LOWER(G498)</f>
        <v>technology</v>
      </c>
      <c r="T498" s="18" t="str">
        <f>RIGHT(A498,5)</f>
        <v>42326</v>
      </c>
      <c r="U498" s="27" t="s">
        <v>3160</v>
      </c>
      <c r="V498" s="16" t="s">
        <v>2686</v>
      </c>
      <c r="W498" s="30">
        <v>2015</v>
      </c>
      <c r="X498" t="s">
        <v>3160</v>
      </c>
      <c r="Y498" s="28">
        <v>42326</v>
      </c>
      <c r="Z498" s="28" t="str">
        <f>TRIM(A498)</f>
        <v>IN-2015-FC142457-42326</v>
      </c>
      <c r="AA498">
        <f t="shared" si="28"/>
        <v>2015</v>
      </c>
      <c r="AB498">
        <f t="shared" si="29"/>
        <v>11</v>
      </c>
      <c r="AC498">
        <f t="shared" si="30"/>
        <v>4</v>
      </c>
      <c r="AD498">
        <f t="shared" si="31"/>
        <v>4</v>
      </c>
      <c r="AE498" s="62">
        <f>IF(I498="missing", IFERROR(INDEX([1]lookup!$I:$I, MATCH($A498, [1]lookup!$B:$B, 0)), 0), I498)</f>
        <v>1221.5609999999999</v>
      </c>
    </row>
    <row r="499" spans="1:31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>PROPER(D499)</f>
        <v>Tiffany House</v>
      </c>
      <c r="P499" s="13" t="str">
        <f>LEFT(A499,2)</f>
        <v>ID</v>
      </c>
      <c r="Q499" s="13" t="str">
        <f>MID(A499,4,4)</f>
        <v>2015</v>
      </c>
      <c r="R499" s="13" t="str">
        <f>UPPER(M499)</f>
        <v>MEDIUM</v>
      </c>
      <c r="S499" s="13" t="str">
        <f>LOWER(G499)</f>
        <v>technology</v>
      </c>
      <c r="T499" s="21" t="str">
        <f>RIGHT(A499,5)</f>
        <v>42175</v>
      </c>
      <c r="U499" s="27" t="s">
        <v>3161</v>
      </c>
      <c r="V499" s="19" t="s">
        <v>2738</v>
      </c>
      <c r="W499" s="30">
        <v>2015</v>
      </c>
      <c r="X499" t="s">
        <v>3161</v>
      </c>
      <c r="Y499" s="28">
        <v>42175</v>
      </c>
      <c r="Z499" s="28" t="str">
        <f>TRIM(A499)</f>
        <v>ID-2015-TH212357-42175</v>
      </c>
      <c r="AA499">
        <f t="shared" si="28"/>
        <v>2015</v>
      </c>
      <c r="AB499">
        <f t="shared" si="29"/>
        <v>6</v>
      </c>
      <c r="AC499">
        <f t="shared" si="30"/>
        <v>7</v>
      </c>
      <c r="AD499">
        <f t="shared" si="31"/>
        <v>3</v>
      </c>
      <c r="AE499" s="62">
        <f>IF(I499="missing", IFERROR(INDEX([1]lookup!$I:$I, MATCH($A499, [1]lookup!$B:$B, 0)), 0), I499)</f>
        <v>1596.50999999999</v>
      </c>
    </row>
    <row r="500" spans="1:31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>PROPER(D500)</f>
        <v>Tamara Willingham</v>
      </c>
      <c r="P500" s="8" t="str">
        <f>LEFT(A500,2)</f>
        <v>IN</v>
      </c>
      <c r="Q500" s="8" t="str">
        <f>MID(A500,4,4)</f>
        <v>2014</v>
      </c>
      <c r="R500" s="8" t="str">
        <f>UPPER(M500)</f>
        <v>MEDIUM</v>
      </c>
      <c r="S500" s="8" t="str">
        <f>LOWER(G500)</f>
        <v>technology</v>
      </c>
      <c r="T500" s="18" t="str">
        <f>RIGHT(A500,5)</f>
        <v>41780</v>
      </c>
      <c r="U500" s="27" t="s">
        <v>3162</v>
      </c>
      <c r="V500" s="16" t="s">
        <v>2686</v>
      </c>
      <c r="W500" s="30">
        <v>2014</v>
      </c>
      <c r="X500" t="s">
        <v>3162</v>
      </c>
      <c r="Y500" s="28">
        <v>41780</v>
      </c>
      <c r="Z500" s="28" t="str">
        <f>TRIM(A500)</f>
        <v>IN-2014-TW2102527-41780</v>
      </c>
      <c r="AA500">
        <f t="shared" si="28"/>
        <v>2014</v>
      </c>
      <c r="AB500">
        <f t="shared" si="29"/>
        <v>5</v>
      </c>
      <c r="AC500">
        <f t="shared" si="30"/>
        <v>4</v>
      </c>
      <c r="AD500">
        <f t="shared" si="31"/>
        <v>4</v>
      </c>
      <c r="AE500" s="62">
        <f>IF(I500="missing", IFERROR(INDEX([1]lookup!$I:$I, MATCH($A500, [1]lookup!$B:$B, 0)), 0), I500)</f>
        <v>2018.88</v>
      </c>
    </row>
    <row r="501" spans="1:31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>PROPER(D501)</f>
        <v>Liz Thompson</v>
      </c>
      <c r="P501" s="13" t="str">
        <f>LEFT(A501,2)</f>
        <v>SF</v>
      </c>
      <c r="Q501" s="13" t="str">
        <f>MID(A501,4,4)</f>
        <v>2015</v>
      </c>
      <c r="R501" s="13" t="str">
        <f>UPPER(M501)</f>
        <v>HIGH</v>
      </c>
      <c r="S501" s="13" t="str">
        <f>LOWER(G501)</f>
        <v>technology</v>
      </c>
      <c r="T501" s="21" t="str">
        <f>RIGHT(A501,5)</f>
        <v>42280</v>
      </c>
      <c r="U501" s="27" t="s">
        <v>3163</v>
      </c>
      <c r="V501" s="19" t="s">
        <v>2764</v>
      </c>
      <c r="W501" s="30">
        <v>2015</v>
      </c>
      <c r="X501" t="s">
        <v>3163</v>
      </c>
      <c r="Y501" s="28">
        <v>42280</v>
      </c>
      <c r="Z501" s="28" t="str">
        <f>TRIM(A501)</f>
        <v>SF-2015-LT7110117-42280</v>
      </c>
      <c r="AA501">
        <f t="shared" si="28"/>
        <v>2015</v>
      </c>
      <c r="AB501">
        <f t="shared" si="29"/>
        <v>10</v>
      </c>
      <c r="AC501">
        <f t="shared" si="30"/>
        <v>7</v>
      </c>
      <c r="AD501">
        <f t="shared" si="31"/>
        <v>4</v>
      </c>
      <c r="AE501" s="62">
        <f>IF(I501="missing", IFERROR(INDEX([1]lookup!$I:$I, MATCH($A501, [1]lookup!$B:$B, 0)), 0), I501)</f>
        <v>1885.32</v>
      </c>
    </row>
    <row r="502" spans="1:31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>PROPER(D502)</f>
        <v>Katherine Nockton</v>
      </c>
      <c r="P502" s="8" t="str">
        <f>LEFT(A502,2)</f>
        <v>IT</v>
      </c>
      <c r="Q502" s="8" t="str">
        <f>MID(A502,4,4)</f>
        <v>2012</v>
      </c>
      <c r="R502" s="8" t="str">
        <f>UPPER(M502)</f>
        <v>MEDIUM</v>
      </c>
      <c r="S502" s="8" t="str">
        <f>LOWER(G502)</f>
        <v>furniture</v>
      </c>
      <c r="T502" s="18" t="str">
        <f>RIGHT(A502,5)</f>
        <v>41268</v>
      </c>
      <c r="U502" s="27" t="s">
        <v>3164</v>
      </c>
      <c r="V502" s="16" t="s">
        <v>2710</v>
      </c>
      <c r="W502" s="30">
        <v>2012</v>
      </c>
      <c r="X502" t="s">
        <v>3164</v>
      </c>
      <c r="Y502" s="28">
        <v>41268</v>
      </c>
      <c r="Z502" s="28" t="str">
        <f>TRIM(A502)</f>
        <v>IT-2012-KN16390139-41268</v>
      </c>
      <c r="AA502">
        <f t="shared" si="28"/>
        <v>2012</v>
      </c>
      <c r="AB502">
        <f t="shared" si="29"/>
        <v>12</v>
      </c>
      <c r="AC502">
        <f t="shared" si="30"/>
        <v>3</v>
      </c>
      <c r="AD502">
        <f t="shared" si="31"/>
        <v>5</v>
      </c>
      <c r="AE502" s="62">
        <f>IF(I502="missing", IFERROR(INDEX([1]lookup!$I:$I, MATCH($A502, [1]lookup!$B:$B, 0)), 0), I502)</f>
        <v>3119.34</v>
      </c>
    </row>
    <row r="503" spans="1:31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>PROPER(D503)</f>
        <v>Harold Dahlen</v>
      </c>
      <c r="P503" s="13" t="str">
        <f>LEFT(A503,2)</f>
        <v>ES</v>
      </c>
      <c r="Q503" s="13" t="str">
        <f>MID(A503,4,4)</f>
        <v>2015</v>
      </c>
      <c r="R503" s="13" t="str">
        <f>UPPER(M503)</f>
        <v>LOW</v>
      </c>
      <c r="S503" s="13" t="str">
        <f>LOWER(G503)</f>
        <v>furniture</v>
      </c>
      <c r="T503" s="21" t="str">
        <f>RIGHT(A503,5)</f>
        <v>42271</v>
      </c>
      <c r="U503" s="27" t="s">
        <v>3165</v>
      </c>
      <c r="V503" s="19" t="s">
        <v>2743</v>
      </c>
      <c r="W503" s="30">
        <v>2015</v>
      </c>
      <c r="X503" t="s">
        <v>3165</v>
      </c>
      <c r="Y503" s="28">
        <v>42271</v>
      </c>
      <c r="Z503" s="28" t="str">
        <f>TRIM(A503)</f>
        <v>ES-2015-HD1478548-42271</v>
      </c>
      <c r="AA503">
        <f t="shared" si="28"/>
        <v>2015</v>
      </c>
      <c r="AB503">
        <f t="shared" si="29"/>
        <v>9</v>
      </c>
      <c r="AC503">
        <f t="shared" si="30"/>
        <v>5</v>
      </c>
      <c r="AD503">
        <f t="shared" si="31"/>
        <v>7</v>
      </c>
      <c r="AE503" s="62">
        <f>IF(I503="missing", IFERROR(INDEX([1]lookup!$I:$I, MATCH($A503, [1]lookup!$B:$B, 0)), 0), I503)</f>
        <v>1964.25</v>
      </c>
    </row>
    <row r="504" spans="1:31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>PROPER(D504)</f>
        <v>Brad Eason</v>
      </c>
      <c r="P504" s="8" t="str">
        <f>LEFT(A504,2)</f>
        <v>ID</v>
      </c>
      <c r="Q504" s="8" t="str">
        <f>MID(A504,4,4)</f>
        <v>2015</v>
      </c>
      <c r="R504" s="8" t="str">
        <f>UPPER(M504)</f>
        <v>HIGH</v>
      </c>
      <c r="S504" s="8" t="str">
        <f>LOWER(G504)</f>
        <v>furniture</v>
      </c>
      <c r="T504" s="18" t="str">
        <f>RIGHT(A504,5)</f>
        <v>42242</v>
      </c>
      <c r="U504" s="27" t="s">
        <v>3166</v>
      </c>
      <c r="V504" s="16" t="s">
        <v>2738</v>
      </c>
      <c r="W504" s="30">
        <v>2015</v>
      </c>
      <c r="X504" t="s">
        <v>3166</v>
      </c>
      <c r="Y504" s="28">
        <v>42242</v>
      </c>
      <c r="Z504" s="28" t="str">
        <f>TRIM(A504)</f>
        <v>ID-2015-BE114557-42242</v>
      </c>
      <c r="AA504">
        <f t="shared" si="28"/>
        <v>2015</v>
      </c>
      <c r="AB504">
        <f t="shared" si="29"/>
        <v>8</v>
      </c>
      <c r="AC504">
        <f t="shared" si="30"/>
        <v>4</v>
      </c>
      <c r="AD504">
        <f t="shared" si="31"/>
        <v>2</v>
      </c>
      <c r="AE504" s="62">
        <f>IF(I504="missing", IFERROR(INDEX([1]lookup!$I:$I, MATCH($A504, [1]lookup!$B:$B, 0)), 0), I504)</f>
        <v>1653.8039999999901</v>
      </c>
    </row>
    <row r="505" spans="1:31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>PROPER(D505)</f>
        <v>Cyra Reiten</v>
      </c>
      <c r="P505" s="13" t="str">
        <f>LEFT(A505,2)</f>
        <v>MX</v>
      </c>
      <c r="Q505" s="13" t="str">
        <f>MID(A505,4,4)</f>
        <v>2013</v>
      </c>
      <c r="R505" s="13" t="str">
        <f>UPPER(M505)</f>
        <v>MEDIUM</v>
      </c>
      <c r="S505" s="13" t="str">
        <f>LOWER(G505)</f>
        <v>technology</v>
      </c>
      <c r="T505" s="21" t="str">
        <f>RIGHT(A505,5)</f>
        <v>41543</v>
      </c>
      <c r="U505" s="27" t="s">
        <v>3167</v>
      </c>
      <c r="V505" s="19" t="s">
        <v>2718</v>
      </c>
      <c r="W505" s="30">
        <v>2013</v>
      </c>
      <c r="X505" t="s">
        <v>3167</v>
      </c>
      <c r="Y505" s="28">
        <v>41543</v>
      </c>
      <c r="Z505" s="28" t="str">
        <f>TRIM(A505)</f>
        <v>MX-2013-CR1282051-41543</v>
      </c>
      <c r="AA505">
        <f t="shared" si="28"/>
        <v>2013</v>
      </c>
      <c r="AB505">
        <f t="shared" si="29"/>
        <v>9</v>
      </c>
      <c r="AC505">
        <f t="shared" si="30"/>
        <v>5</v>
      </c>
      <c r="AD505">
        <f t="shared" si="31"/>
        <v>2</v>
      </c>
      <c r="AE505" s="62">
        <f>IF(I505="missing", IFERROR(INDEX([1]lookup!$I:$I, MATCH($A505, [1]lookup!$B:$B, 0)), 0), I505)</f>
        <v>1902.10816</v>
      </c>
    </row>
    <row r="506" spans="1:31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>PROPER(D506)</f>
        <v>Harry Marie</v>
      </c>
      <c r="P506" s="8" t="str">
        <f>LEFT(A506,2)</f>
        <v>ES</v>
      </c>
      <c r="Q506" s="8" t="str">
        <f>MID(A506,4,4)</f>
        <v>2015</v>
      </c>
      <c r="R506" s="8" t="str">
        <f>UPPER(M506)</f>
        <v>CRITICAL</v>
      </c>
      <c r="S506" s="8" t="str">
        <f>LOWER(G506)</f>
        <v>technology</v>
      </c>
      <c r="T506" s="18" t="str">
        <f>RIGHT(A506,5)</f>
        <v>42368</v>
      </c>
      <c r="U506" s="27" t="s">
        <v>3168</v>
      </c>
      <c r="V506" s="16" t="s">
        <v>2743</v>
      </c>
      <c r="W506" s="30">
        <v>2015</v>
      </c>
      <c r="X506" t="s">
        <v>3168</v>
      </c>
      <c r="Y506" s="28">
        <v>42368</v>
      </c>
      <c r="Z506" s="28" t="str">
        <f>TRIM(A506)</f>
        <v>ES-2015-HM14860125-42368</v>
      </c>
      <c r="AA506">
        <f t="shared" si="28"/>
        <v>2015</v>
      </c>
      <c r="AB506">
        <f t="shared" si="29"/>
        <v>12</v>
      </c>
      <c r="AC506">
        <f t="shared" si="30"/>
        <v>4</v>
      </c>
      <c r="AD506">
        <f t="shared" si="31"/>
        <v>3</v>
      </c>
      <c r="AE506" s="62">
        <f>IF(I506="missing", IFERROR(INDEX([1]lookup!$I:$I, MATCH($A506, [1]lookup!$B:$B, 0)), 0), I506)</f>
        <v>1913.3999999999901</v>
      </c>
    </row>
    <row r="507" spans="1:31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>PROPER(D507)</f>
        <v>Charlotte Melton</v>
      </c>
      <c r="P507" s="13" t="str">
        <f>LEFT(A507,2)</f>
        <v>ES</v>
      </c>
      <c r="Q507" s="13" t="str">
        <f>MID(A507,4,4)</f>
        <v>2015</v>
      </c>
      <c r="R507" s="13" t="str">
        <f>UPPER(M507)</f>
        <v>MEDIUM</v>
      </c>
      <c r="S507" s="13" t="str">
        <f>LOWER(G507)</f>
        <v>furniture</v>
      </c>
      <c r="T507" s="21" t="str">
        <f>RIGHT(A507,5)</f>
        <v>42094</v>
      </c>
      <c r="U507" s="27" t="s">
        <v>3169</v>
      </c>
      <c r="V507" s="19" t="s">
        <v>2743</v>
      </c>
      <c r="W507" s="30">
        <v>2015</v>
      </c>
      <c r="X507" t="s">
        <v>3169</v>
      </c>
      <c r="Y507" s="28">
        <v>42094</v>
      </c>
      <c r="Z507" s="28" t="str">
        <f>TRIM(A507)</f>
        <v>ES-2015-CM1219045-42094</v>
      </c>
      <c r="AA507">
        <f t="shared" si="28"/>
        <v>2015</v>
      </c>
      <c r="AB507">
        <f t="shared" si="29"/>
        <v>3</v>
      </c>
      <c r="AC507">
        <f t="shared" si="30"/>
        <v>3</v>
      </c>
      <c r="AD507">
        <f t="shared" si="31"/>
        <v>0</v>
      </c>
      <c r="AE507" s="62">
        <f>IF(I507="missing", IFERROR(INDEX([1]lookup!$I:$I, MATCH($A507, [1]lookup!$B:$B, 0)), 0), I507)</f>
        <v>2953.5839999999998</v>
      </c>
    </row>
    <row r="508" spans="1:31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>PROPER(D508)</f>
        <v>Sarah Brown</v>
      </c>
      <c r="P508" s="8" t="str">
        <f>LEFT(A508,2)</f>
        <v>MX</v>
      </c>
      <c r="Q508" s="8" t="str">
        <f>MID(A508,4,4)</f>
        <v>2015</v>
      </c>
      <c r="R508" s="8" t="str">
        <f>UPPER(M508)</f>
        <v>MEDIUM</v>
      </c>
      <c r="S508" s="8" t="str">
        <f>LOWER(G508)</f>
        <v>office supplies</v>
      </c>
      <c r="T508" s="18" t="str">
        <f>RIGHT(A508,5)</f>
        <v>42245</v>
      </c>
      <c r="U508" s="27" t="s">
        <v>3170</v>
      </c>
      <c r="V508" s="16" t="s">
        <v>2718</v>
      </c>
      <c r="W508" s="30">
        <v>2015</v>
      </c>
      <c r="X508" t="s">
        <v>3170</v>
      </c>
      <c r="Y508" s="28">
        <v>42245</v>
      </c>
      <c r="Z508" s="28" t="str">
        <f>TRIM(A508)</f>
        <v>MX-2015-SB2018518-42245</v>
      </c>
      <c r="AA508">
        <f t="shared" si="28"/>
        <v>2015</v>
      </c>
      <c r="AB508">
        <f t="shared" si="29"/>
        <v>8</v>
      </c>
      <c r="AC508">
        <f t="shared" si="30"/>
        <v>7</v>
      </c>
      <c r="AD508">
        <f t="shared" si="31"/>
        <v>5</v>
      </c>
      <c r="AE508" s="62">
        <f>IF(I508="missing", IFERROR(INDEX([1]lookup!$I:$I, MATCH($A508, [1]lookup!$B:$B, 0)), 0), I508)</f>
        <v>3044.8</v>
      </c>
    </row>
    <row r="509" spans="1:31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>PROPER(D509)</f>
        <v>Jennifer Ferguson</v>
      </c>
      <c r="P509" s="13" t="str">
        <f>LEFT(A509,2)</f>
        <v>ES</v>
      </c>
      <c r="Q509" s="13" t="str">
        <f>MID(A509,4,4)</f>
        <v>2015</v>
      </c>
      <c r="R509" s="13" t="str">
        <f>UPPER(M509)</f>
        <v>MEDIUM</v>
      </c>
      <c r="S509" s="13" t="str">
        <f>LOWER(G509)</f>
        <v>technology</v>
      </c>
      <c r="T509" s="21" t="str">
        <f>RIGHT(A509,5)</f>
        <v>42132</v>
      </c>
      <c r="U509" s="27" t="s">
        <v>3171</v>
      </c>
      <c r="V509" s="19" t="s">
        <v>2743</v>
      </c>
      <c r="W509" s="30">
        <v>2015</v>
      </c>
      <c r="X509" t="s">
        <v>3171</v>
      </c>
      <c r="Y509" s="28">
        <v>42132</v>
      </c>
      <c r="Z509" s="28" t="str">
        <f>TRIM(A509)</f>
        <v>ES-2015-JF15415139-42132</v>
      </c>
      <c r="AA509">
        <f t="shared" si="28"/>
        <v>2015</v>
      </c>
      <c r="AB509">
        <f t="shared" si="29"/>
        <v>5</v>
      </c>
      <c r="AC509">
        <f t="shared" si="30"/>
        <v>6</v>
      </c>
      <c r="AD509">
        <f t="shared" si="31"/>
        <v>5</v>
      </c>
      <c r="AE509" s="62">
        <f>IF(I509="missing", IFERROR(INDEX([1]lookup!$I:$I, MATCH($A509, [1]lookup!$B:$B, 0)), 0), I509)</f>
        <v>2518.9499999999998</v>
      </c>
    </row>
    <row r="510" spans="1:31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>PROPER(D510)</f>
        <v>Michelle Tran</v>
      </c>
      <c r="P510" s="8" t="str">
        <f>LEFT(A510,2)</f>
        <v>NI</v>
      </c>
      <c r="Q510" s="8" t="str">
        <f>MID(A510,4,4)</f>
        <v>2014</v>
      </c>
      <c r="R510" s="8" t="str">
        <f>UPPER(M510)</f>
        <v>MEDIUM</v>
      </c>
      <c r="S510" s="8" t="str">
        <f>LOWER(G510)</f>
        <v>furniture</v>
      </c>
      <c r="T510" s="18" t="str">
        <f>RIGHT(A510,5)</f>
        <v>41870</v>
      </c>
      <c r="U510" s="27" t="s">
        <v>3172</v>
      </c>
      <c r="V510" s="16" t="s">
        <v>3173</v>
      </c>
      <c r="W510" s="30">
        <v>2014</v>
      </c>
      <c r="X510" t="s">
        <v>3172</v>
      </c>
      <c r="Y510" s="28">
        <v>41870</v>
      </c>
      <c r="Z510" s="28" t="str">
        <f>TRIM(A510)</f>
        <v>NI-2014-MT807095-41870</v>
      </c>
      <c r="AA510">
        <f t="shared" si="28"/>
        <v>2014</v>
      </c>
      <c r="AB510">
        <f t="shared" si="29"/>
        <v>8</v>
      </c>
      <c r="AC510">
        <f t="shared" si="30"/>
        <v>3</v>
      </c>
      <c r="AD510">
        <f t="shared" si="31"/>
        <v>1</v>
      </c>
      <c r="AE510" s="62">
        <f>IF(I510="missing", IFERROR(INDEX([1]lookup!$I:$I, MATCH($A510, [1]lookup!$B:$B, 0)), 0), I510)</f>
        <v>1669.248</v>
      </c>
    </row>
    <row r="511" spans="1:31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>PROPER(D511)</f>
        <v>Erica Smith</v>
      </c>
      <c r="P511" s="13" t="str">
        <f>LEFT(A511,2)</f>
        <v>ES</v>
      </c>
      <c r="Q511" s="13" t="str">
        <f>MID(A511,4,4)</f>
        <v>2014</v>
      </c>
      <c r="R511" s="13" t="str">
        <f>UPPER(M511)</f>
        <v>HIGH</v>
      </c>
      <c r="S511" s="13" t="str">
        <f>LOWER(G511)</f>
        <v>furniture</v>
      </c>
      <c r="T511" s="21" t="str">
        <f>RIGHT(A511,5)</f>
        <v>41817</v>
      </c>
      <c r="U511" s="27" t="s">
        <v>3174</v>
      </c>
      <c r="V511" s="19" t="s">
        <v>2743</v>
      </c>
      <c r="W511" s="30">
        <v>2014</v>
      </c>
      <c r="X511" t="s">
        <v>3174</v>
      </c>
      <c r="Y511" s="28">
        <v>41817</v>
      </c>
      <c r="Z511" s="28" t="str">
        <f>TRIM(A511)</f>
        <v>ES-2014-ES14020120-41817</v>
      </c>
      <c r="AA511">
        <f t="shared" si="28"/>
        <v>2014</v>
      </c>
      <c r="AB511">
        <f t="shared" si="29"/>
        <v>6</v>
      </c>
      <c r="AC511">
        <f t="shared" si="30"/>
        <v>6</v>
      </c>
      <c r="AD511">
        <f t="shared" si="31"/>
        <v>0</v>
      </c>
      <c r="AE511" s="62">
        <f>IF(I511="missing", IFERROR(INDEX([1]lookup!$I:$I, MATCH($A511, [1]lookup!$B:$B, 0)), 0), I511)</f>
        <v>2476.08</v>
      </c>
    </row>
    <row r="512" spans="1:31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>PROPER(D512)</f>
        <v>Eugene Hildebrand</v>
      </c>
      <c r="P512" s="8" t="str">
        <f>LEFT(A512,2)</f>
        <v>TU</v>
      </c>
      <c r="Q512" s="8" t="str">
        <f>MID(A512,4,4)</f>
        <v>2015</v>
      </c>
      <c r="R512" s="8" t="str">
        <f>UPPER(M512)</f>
        <v>HIGH</v>
      </c>
      <c r="S512" s="8" t="str">
        <f>LOWER(G512)</f>
        <v>furniture</v>
      </c>
      <c r="T512" s="18" t="str">
        <f>RIGHT(A512,5)</f>
        <v>42068</v>
      </c>
      <c r="U512" s="27" t="s">
        <v>3175</v>
      </c>
      <c r="V512" s="16" t="s">
        <v>3176</v>
      </c>
      <c r="W512" s="30">
        <v>2015</v>
      </c>
      <c r="X512" t="s">
        <v>3175</v>
      </c>
      <c r="Y512" s="28">
        <v>42068</v>
      </c>
      <c r="Z512" s="28" t="str">
        <f>TRIM(A512)</f>
        <v>TU-2015-EH4125134-42068</v>
      </c>
      <c r="AA512">
        <f t="shared" si="28"/>
        <v>2015</v>
      </c>
      <c r="AB512">
        <f t="shared" si="29"/>
        <v>3</v>
      </c>
      <c r="AC512">
        <f t="shared" si="30"/>
        <v>5</v>
      </c>
      <c r="AD512">
        <f t="shared" si="31"/>
        <v>2</v>
      </c>
      <c r="AE512" s="62">
        <f>IF(I512="missing", IFERROR(INDEX([1]lookup!$I:$I, MATCH($A512, [1]lookup!$B:$B, 0)), 0), I512)</f>
        <v>1136.66399999999</v>
      </c>
    </row>
    <row r="513" spans="1:31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>PROPER(D513)</f>
        <v>Irene Maddox</v>
      </c>
      <c r="P513" s="13" t="str">
        <f>LEFT(A513,2)</f>
        <v>IN</v>
      </c>
      <c r="Q513" s="13" t="str">
        <f>MID(A513,4,4)</f>
        <v>2015</v>
      </c>
      <c r="R513" s="13" t="str">
        <f>UPPER(M513)</f>
        <v>MEDIUM</v>
      </c>
      <c r="S513" s="13" t="str">
        <f>LOWER(G513)</f>
        <v>technology</v>
      </c>
      <c r="T513" s="21" t="str">
        <f>RIGHT(A513,5)</f>
        <v>42157</v>
      </c>
      <c r="U513" s="27" t="s">
        <v>3177</v>
      </c>
      <c r="V513" s="19" t="s">
        <v>2686</v>
      </c>
      <c r="W513" s="30">
        <v>2015</v>
      </c>
      <c r="X513" t="s">
        <v>3177</v>
      </c>
      <c r="Y513" s="28">
        <v>42157</v>
      </c>
      <c r="Z513" s="28" t="str">
        <f>TRIM(A513)</f>
        <v>IN-2015-IM1507059-42157</v>
      </c>
      <c r="AA513">
        <f t="shared" si="28"/>
        <v>2015</v>
      </c>
      <c r="AB513">
        <f t="shared" si="29"/>
        <v>6</v>
      </c>
      <c r="AC513">
        <f t="shared" si="30"/>
        <v>3</v>
      </c>
      <c r="AD513">
        <f t="shared" si="31"/>
        <v>2</v>
      </c>
      <c r="AE513" s="62">
        <f>IF(I513="missing", IFERROR(INDEX([1]lookup!$I:$I, MATCH($A513, [1]lookup!$B:$B, 0)), 0), I513)</f>
        <v>1043.9304</v>
      </c>
    </row>
    <row r="514" spans="1:31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>PROPER(D514)</f>
        <v>Dianna Arnett</v>
      </c>
      <c r="P514" s="8" t="str">
        <f>LEFT(A514,2)</f>
        <v>US</v>
      </c>
      <c r="Q514" s="8" t="str">
        <f>MID(A514,4,4)</f>
        <v>2014</v>
      </c>
      <c r="R514" s="8" t="str">
        <f>UPPER(M514)</f>
        <v>MEDIUM#</v>
      </c>
      <c r="S514" s="8" t="str">
        <f>LOWER(G514)</f>
        <v>office supplies</v>
      </c>
      <c r="T514" s="18" t="str">
        <f>RIGHT(A514,5)</f>
        <v>41795</v>
      </c>
      <c r="U514" s="27" t="s">
        <v>3178</v>
      </c>
      <c r="V514" s="16" t="s">
        <v>2694</v>
      </c>
      <c r="W514" s="30">
        <v>2014</v>
      </c>
      <c r="X514" t="s">
        <v>3178</v>
      </c>
      <c r="Y514" s="28">
        <v>41795</v>
      </c>
      <c r="Z514" s="28" t="str">
        <f>TRIM(A514)</f>
        <v>US-2014-DA1345055-41795</v>
      </c>
      <c r="AA514">
        <f t="shared" ref="AA514:AA577" si="32">IFERROR(YEAR(B514), 0)</f>
        <v>2014</v>
      </c>
      <c r="AB514">
        <f t="shared" ref="AB514:AB577" si="33">IFERROR(MONTH(B514), 0)</f>
        <v>6</v>
      </c>
      <c r="AC514">
        <f t="shared" ref="AC514:AC577" si="34">IFERROR(WEEKDAY(B514), 0)</f>
        <v>5</v>
      </c>
      <c r="AD514">
        <f t="shared" ref="AD514:AD577" si="35">IFERROR(C514 - B514, 0)</f>
        <v>4</v>
      </c>
      <c r="AE514" s="62">
        <f>IF(I514="missing", IFERROR(INDEX([1]lookup!$I:$I, MATCH($A514, [1]lookup!$B:$B, 0)), 0), I514)</f>
        <v>2180.2439999999901</v>
      </c>
    </row>
    <row r="515" spans="1:31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>PROPER(D515)</f>
        <v>Dave Brooks</v>
      </c>
      <c r="P515" s="13" t="str">
        <f>LEFT(A515,2)</f>
        <v>ES</v>
      </c>
      <c r="Q515" s="13" t="str">
        <f>MID(A515,4,4)</f>
        <v>2014</v>
      </c>
      <c r="R515" s="13" t="str">
        <f>UPPER(M515)</f>
        <v>HIGH</v>
      </c>
      <c r="S515" s="13" t="str">
        <f>LOWER(G515)</f>
        <v>tecnhology</v>
      </c>
      <c r="T515" s="21" t="str">
        <f>RIGHT(A515,5)</f>
        <v>41928</v>
      </c>
      <c r="U515" s="27" t="s">
        <v>3179</v>
      </c>
      <c r="V515" s="19" t="s">
        <v>2743</v>
      </c>
      <c r="W515" s="30">
        <v>2014</v>
      </c>
      <c r="X515" t="s">
        <v>3179</v>
      </c>
      <c r="Y515" s="28">
        <v>41928</v>
      </c>
      <c r="Z515" s="28" t="str">
        <f>TRIM(A515)</f>
        <v>ES-2014-DB1306045-41928</v>
      </c>
      <c r="AA515">
        <f t="shared" si="32"/>
        <v>2014</v>
      </c>
      <c r="AB515">
        <f t="shared" si="33"/>
        <v>10</v>
      </c>
      <c r="AC515">
        <f t="shared" si="34"/>
        <v>5</v>
      </c>
      <c r="AD515">
        <f t="shared" si="35"/>
        <v>2</v>
      </c>
      <c r="AE515" s="62">
        <f>IF(I515="missing", IFERROR(INDEX([1]lookup!$I:$I, MATCH($A515, [1]lookup!$B:$B, 0)), 0), I515)</f>
        <v>1306.4670000000001</v>
      </c>
    </row>
    <row r="516" spans="1:31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>PROPER(D516)</f>
        <v>Tamara Chand</v>
      </c>
      <c r="P516" s="8" t="str">
        <f>LEFT(A516,2)</f>
        <v>ES</v>
      </c>
      <c r="Q516" s="8" t="str">
        <f>MID(A516,4,4)</f>
        <v>2013</v>
      </c>
      <c r="R516" s="8" t="str">
        <f>UPPER(M516)</f>
        <v>MEDIUM</v>
      </c>
      <c r="S516" s="8" t="str">
        <f>LOWER(G516)</f>
        <v>furniture</v>
      </c>
      <c r="T516" s="18" t="str">
        <f>RIGHT(A516,5)</f>
        <v>41588</v>
      </c>
      <c r="U516" s="27" t="s">
        <v>3180</v>
      </c>
      <c r="V516" s="16" t="s">
        <v>2743</v>
      </c>
      <c r="W516" s="30">
        <v>2013</v>
      </c>
      <c r="X516" t="s">
        <v>3180</v>
      </c>
      <c r="Y516" s="28">
        <v>41588</v>
      </c>
      <c r="Z516" s="28" t="str">
        <f>TRIM(A516)</f>
        <v>ES-2013-TC2098045-41588</v>
      </c>
      <c r="AA516">
        <f t="shared" si="32"/>
        <v>2013</v>
      </c>
      <c r="AB516">
        <f t="shared" si="33"/>
        <v>11</v>
      </c>
      <c r="AC516">
        <f t="shared" si="34"/>
        <v>1</v>
      </c>
      <c r="AD516">
        <f t="shared" si="35"/>
        <v>3</v>
      </c>
      <c r="AE516" s="62">
        <f>IF(I516="missing", IFERROR(INDEX([1]lookup!$I:$I, MATCH($A516, [1]lookup!$B:$B, 0)), 0), I516)</f>
        <v>2012.049</v>
      </c>
    </row>
    <row r="517" spans="1:31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>PROPER(D517)</f>
        <v>Cari Macintyre</v>
      </c>
      <c r="P517" s="13" t="str">
        <f>LEFT(A517,2)</f>
        <v>SF</v>
      </c>
      <c r="Q517" s="13" t="str">
        <f>MID(A517,4,4)</f>
        <v>2013</v>
      </c>
      <c r="R517" s="13" t="str">
        <f>UPPER(M517)</f>
        <v>MEDIUM</v>
      </c>
      <c r="S517" s="13" t="str">
        <f>LOWER(G517)</f>
        <v>furniture</v>
      </c>
      <c r="T517" s="21" t="str">
        <f>RIGHT(A517,5)</f>
        <v>41389</v>
      </c>
      <c r="U517" s="27" t="s">
        <v>3181</v>
      </c>
      <c r="V517" s="19" t="s">
        <v>2764</v>
      </c>
      <c r="W517" s="30">
        <v>2013</v>
      </c>
      <c r="X517" t="s">
        <v>3181</v>
      </c>
      <c r="Y517" s="28">
        <v>41389</v>
      </c>
      <c r="Z517" s="28" t="str">
        <f>TRIM(A517)</f>
        <v>SF-2013-CM1830117-41389</v>
      </c>
      <c r="AA517">
        <f t="shared" si="32"/>
        <v>2013</v>
      </c>
      <c r="AB517">
        <f t="shared" si="33"/>
        <v>4</v>
      </c>
      <c r="AC517">
        <f t="shared" si="34"/>
        <v>5</v>
      </c>
      <c r="AD517">
        <f t="shared" si="35"/>
        <v>5</v>
      </c>
      <c r="AE517" s="62">
        <f>IF(I517="missing", IFERROR(INDEX([1]lookup!$I:$I, MATCH($A517, [1]lookup!$B:$B, 0)), 0), I517)</f>
        <v>2182.6799999999998</v>
      </c>
    </row>
    <row r="518" spans="1:31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>PROPER(D518)</f>
        <v>Meg O'Connel</v>
      </c>
      <c r="P518" s="8" t="str">
        <f>LEFT(A518,2)</f>
        <v>MX</v>
      </c>
      <c r="Q518" s="8" t="str">
        <f>MID(A518,4,4)</f>
        <v>2013</v>
      </c>
      <c r="R518" s="8" t="str">
        <f>UPPER(M518)</f>
        <v>EMDIUM</v>
      </c>
      <c r="S518" s="8" t="str">
        <f>LOWER(G518)</f>
        <v>technology</v>
      </c>
      <c r="T518" s="18" t="str">
        <f>RIGHT(A518,5)</f>
        <v>41382</v>
      </c>
      <c r="U518" s="27" t="s">
        <v>3182</v>
      </c>
      <c r="V518" s="16" t="s">
        <v>2718</v>
      </c>
      <c r="W518" s="30">
        <v>2013</v>
      </c>
      <c r="X518" t="s">
        <v>3182</v>
      </c>
      <c r="Y518" s="28">
        <v>41382</v>
      </c>
      <c r="Z518" s="28" t="str">
        <f>TRIM(A518)</f>
        <v>MX-2013-MO1780051-41382</v>
      </c>
      <c r="AA518">
        <f t="shared" si="32"/>
        <v>2013</v>
      </c>
      <c r="AB518">
        <f t="shared" si="33"/>
        <v>4</v>
      </c>
      <c r="AC518">
        <f t="shared" si="34"/>
        <v>5</v>
      </c>
      <c r="AD518">
        <f t="shared" si="35"/>
        <v>3</v>
      </c>
      <c r="AE518" s="62">
        <f>IF(I518="missing", IFERROR(INDEX([1]lookup!$I:$I, MATCH($A518, [1]lookup!$B:$B, 0)), 0), I518)</f>
        <v>1479.36</v>
      </c>
    </row>
    <row r="519" spans="1:31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>PROPER(D519)</f>
        <v>Henry Goldwyn</v>
      </c>
      <c r="P519" s="13" t="str">
        <f>LEFT(A519,2)</f>
        <v xml:space="preserve"> I</v>
      </c>
      <c r="Q519" s="13" t="str">
        <f>MID(A519,4,4)</f>
        <v>-201</v>
      </c>
      <c r="R519" s="13" t="str">
        <f>UPPER(M519)</f>
        <v>HIGH</v>
      </c>
      <c r="S519" s="13" t="str">
        <f>LOWER(G519)</f>
        <v>office_supplies</v>
      </c>
      <c r="T519" s="21" t="str">
        <f>RIGHT(A519,5)</f>
        <v xml:space="preserve">2230 </v>
      </c>
      <c r="U519" s="27" t="s">
        <v>3183</v>
      </c>
      <c r="V519" s="19" t="s">
        <v>2872</v>
      </c>
      <c r="W519" s="30">
        <v>2015</v>
      </c>
      <c r="X519" t="s">
        <v>3183</v>
      </c>
      <c r="Y519" s="28">
        <v>42230</v>
      </c>
      <c r="Z519" s="28" t="str">
        <f>TRIM(A519)</f>
        <v>ID-2015-HG1496597-42230</v>
      </c>
      <c r="AA519">
        <f t="shared" si="32"/>
        <v>2015</v>
      </c>
      <c r="AB519">
        <f t="shared" si="33"/>
        <v>8</v>
      </c>
      <c r="AC519">
        <f t="shared" si="34"/>
        <v>6</v>
      </c>
      <c r="AD519">
        <f t="shared" si="35"/>
        <v>4</v>
      </c>
      <c r="AE519" s="62">
        <f>IF(I519="missing", IFERROR(INDEX([1]lookup!$I:$I, MATCH($A519, [1]lookup!$B:$B, 0)), 0), I519)</f>
        <v>1582.11</v>
      </c>
    </row>
    <row r="520" spans="1:31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>PROPER(D520)</f>
        <v>Debra Catini</v>
      </c>
      <c r="P520" s="8" t="str">
        <f>LEFT(A520,2)</f>
        <v>MX</v>
      </c>
      <c r="Q520" s="8" t="str">
        <f>MID(A520,4,4)</f>
        <v>2014</v>
      </c>
      <c r="R520" s="8" t="str">
        <f>UPPER(M520)</f>
        <v>MEDIUM</v>
      </c>
      <c r="S520" s="8" t="str">
        <f>LOWER(G520)</f>
        <v>technology</v>
      </c>
      <c r="T520" s="18" t="str">
        <f>RIGHT(A520,5)</f>
        <v>41885</v>
      </c>
      <c r="U520" s="27" t="s">
        <v>3184</v>
      </c>
      <c r="V520" s="16" t="s">
        <v>2718</v>
      </c>
      <c r="W520" s="30">
        <v>2014</v>
      </c>
      <c r="X520" t="s">
        <v>3184</v>
      </c>
      <c r="Y520" s="28">
        <v>41885</v>
      </c>
      <c r="Z520" s="28" t="str">
        <f>TRIM(A520)</f>
        <v>MX-2014-DC1328551-41885</v>
      </c>
      <c r="AA520">
        <f t="shared" si="32"/>
        <v>2014</v>
      </c>
      <c r="AB520">
        <f t="shared" si="33"/>
        <v>9</v>
      </c>
      <c r="AC520">
        <f t="shared" si="34"/>
        <v>4</v>
      </c>
      <c r="AD520">
        <f t="shared" si="35"/>
        <v>6</v>
      </c>
      <c r="AE520" s="62">
        <f>IF(I520="missing", IFERROR(INDEX([1]lookup!$I:$I, MATCH($A520, [1]lookup!$B:$B, 0)), 0), I520)</f>
        <v>2616.96</v>
      </c>
    </row>
    <row r="521" spans="1:31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>PROPER(D521)</f>
        <v>Tiffany House</v>
      </c>
      <c r="P521" s="13" t="str">
        <f>LEFT(A521,2)</f>
        <v>ES</v>
      </c>
      <c r="Q521" s="13" t="str">
        <f>MID(A521,4,4)</f>
        <v>2014</v>
      </c>
      <c r="R521" s="13" t="str">
        <f>UPPER(M521)</f>
        <v>MEDIUM</v>
      </c>
      <c r="S521" s="13" t="str">
        <f>LOWER(G521)</f>
        <v>technology</v>
      </c>
      <c r="T521" s="21" t="str">
        <f>RIGHT(A521,5)</f>
        <v>41814</v>
      </c>
      <c r="U521" s="27" t="s">
        <v>3185</v>
      </c>
      <c r="V521" s="19" t="s">
        <v>2743</v>
      </c>
      <c r="W521" s="30">
        <v>2014</v>
      </c>
      <c r="X521" t="s">
        <v>3185</v>
      </c>
      <c r="Y521" s="28">
        <v>41814</v>
      </c>
      <c r="Z521" s="28" t="str">
        <f>TRIM(A521)</f>
        <v>ES-2014-TH21235125-41814</v>
      </c>
      <c r="AA521">
        <f t="shared" si="32"/>
        <v>2014</v>
      </c>
      <c r="AB521">
        <f t="shared" si="33"/>
        <v>6</v>
      </c>
      <c r="AC521">
        <f t="shared" si="34"/>
        <v>3</v>
      </c>
      <c r="AD521">
        <f t="shared" si="35"/>
        <v>7</v>
      </c>
      <c r="AE521" s="62">
        <f>IF(I521="missing", IFERROR(INDEX([1]lookup!$I:$I, MATCH($A521, [1]lookup!$B:$B, 0)), 0), I521)</f>
        <v>3421.71</v>
      </c>
    </row>
    <row r="522" spans="1:31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>PROPER(D522)</f>
        <v>Jay Kimmel</v>
      </c>
      <c r="P522" s="8" t="str">
        <f>LEFT(A522,2)</f>
        <v>MX</v>
      </c>
      <c r="Q522" s="8" t="str">
        <f>MID(A522,4,4)</f>
        <v>2015</v>
      </c>
      <c r="R522" s="8" t="str">
        <f>UPPER(M522)</f>
        <v>CRITICAL</v>
      </c>
      <c r="S522" s="8" t="str">
        <f>LOWER(G522)</f>
        <v>technology</v>
      </c>
      <c r="T522" s="18" t="str">
        <f>RIGHT(A522,5)</f>
        <v>42132</v>
      </c>
      <c r="U522" s="27" t="s">
        <v>3186</v>
      </c>
      <c r="V522" s="16" t="s">
        <v>2718</v>
      </c>
      <c r="W522" s="30">
        <v>2015</v>
      </c>
      <c r="X522" t="s">
        <v>3186</v>
      </c>
      <c r="Y522" s="28">
        <v>42132</v>
      </c>
      <c r="Z522" s="28" t="str">
        <f>TRIM(A522)</f>
        <v>MX-2015-JK15370100-42132</v>
      </c>
      <c r="AA522">
        <f t="shared" si="32"/>
        <v>2015</v>
      </c>
      <c r="AB522">
        <f t="shared" si="33"/>
        <v>5</v>
      </c>
      <c r="AC522">
        <f t="shared" si="34"/>
        <v>6</v>
      </c>
      <c r="AD522">
        <f t="shared" si="35"/>
        <v>2</v>
      </c>
      <c r="AE522" s="62">
        <f>IF(I522="missing", IFERROR(INDEX([1]lookup!$I:$I, MATCH($A522, [1]lookup!$B:$B, 0)), 0), I522)</f>
        <v>820.08</v>
      </c>
    </row>
    <row r="523" spans="1:31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>PROPER(D523)</f>
        <v>Alan Barnes</v>
      </c>
      <c r="P523" s="13" t="str">
        <f>LEFT(A523,2)</f>
        <v>CA</v>
      </c>
      <c r="Q523" s="13" t="str">
        <f>MID(A523,4,4)</f>
        <v>2015</v>
      </c>
      <c r="R523" s="13" t="str">
        <f>UPPER(M523)</f>
        <v>MEDIUM</v>
      </c>
      <c r="S523" s="13" t="str">
        <f>LOWER(G523)</f>
        <v>office supplies</v>
      </c>
      <c r="T523" s="21" t="str">
        <f>RIGHT(A523,5)</f>
        <v>42344</v>
      </c>
      <c r="U523" s="27" t="s">
        <v>2898</v>
      </c>
      <c r="V523" s="19" t="s">
        <v>2689</v>
      </c>
      <c r="W523" s="30">
        <v>2015</v>
      </c>
      <c r="X523" t="s">
        <v>2898</v>
      </c>
      <c r="Y523" s="28">
        <v>42344</v>
      </c>
      <c r="Z523" s="28" t="str">
        <f>TRIM(A523)</f>
        <v>CA-2015-AB10165140-42344</v>
      </c>
      <c r="AA523">
        <f t="shared" si="32"/>
        <v>2015</v>
      </c>
      <c r="AB523">
        <f t="shared" si="33"/>
        <v>12</v>
      </c>
      <c r="AC523">
        <f t="shared" si="34"/>
        <v>1</v>
      </c>
      <c r="AD523">
        <f t="shared" si="35"/>
        <v>4</v>
      </c>
      <c r="AE523" s="62">
        <f>IF(I523="missing", IFERROR(INDEX([1]lookup!$I:$I, MATCH($A523, [1]lookup!$B:$B, 0)), 0), I523)</f>
        <v>14.976000000000001</v>
      </c>
    </row>
    <row r="524" spans="1:31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>PROPER(D524)</f>
        <v>Cathy Hwang</v>
      </c>
      <c r="P524" s="8" t="str">
        <f>LEFT(A524,2)</f>
        <v>IR</v>
      </c>
      <c r="Q524" s="8" t="str">
        <f>MID(A524,4,4)</f>
        <v>2015</v>
      </c>
      <c r="R524" s="8" t="str">
        <f>UPPER(M524)</f>
        <v>HIGH</v>
      </c>
      <c r="S524" s="8" t="str">
        <f>LOWER(G524)</f>
        <v>furniture</v>
      </c>
      <c r="T524" s="18" t="str">
        <f>RIGHT(A524,5)</f>
        <v>42048</v>
      </c>
      <c r="U524" s="27" t="s">
        <v>3187</v>
      </c>
      <c r="V524" s="16" t="s">
        <v>2814</v>
      </c>
      <c r="W524" s="30">
        <v>2015</v>
      </c>
      <c r="X524" t="s">
        <v>3187</v>
      </c>
      <c r="Y524" s="28">
        <v>42048</v>
      </c>
      <c r="Z524" s="28" t="str">
        <f>TRIM(A524)</f>
        <v>IR-2015-CH207060-42048</v>
      </c>
      <c r="AA524">
        <f t="shared" si="32"/>
        <v>2015</v>
      </c>
      <c r="AB524">
        <f t="shared" si="33"/>
        <v>2</v>
      </c>
      <c r="AC524">
        <f t="shared" si="34"/>
        <v>6</v>
      </c>
      <c r="AD524">
        <f t="shared" si="35"/>
        <v>1</v>
      </c>
      <c r="AE524" s="62">
        <f>IF(I524="missing", IFERROR(INDEX([1]lookup!$I:$I, MATCH($A524, [1]lookup!$B:$B, 0)), 0), I524)</f>
        <v>1198.56</v>
      </c>
    </row>
    <row r="525" spans="1:31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>PROPER(D525)</f>
        <v>Denny Ordway</v>
      </c>
      <c r="P525" s="13" t="str">
        <f>LEFT(A525,2)</f>
        <v>IN</v>
      </c>
      <c r="Q525" s="13" t="str">
        <f>MID(A525,4,4)</f>
        <v>2015</v>
      </c>
      <c r="R525" s="13" t="str">
        <f>UPPER(M525)</f>
        <v>MEDIUM</v>
      </c>
      <c r="S525" s="13" t="str">
        <f>LOWER(G525)</f>
        <v>furniture</v>
      </c>
      <c r="T525" s="21" t="str">
        <f>RIGHT(A525,5)</f>
        <v>42141</v>
      </c>
      <c r="U525" s="27" t="s">
        <v>3188</v>
      </c>
      <c r="V525" s="19" t="s">
        <v>2686</v>
      </c>
      <c r="W525" s="30">
        <v>2015</v>
      </c>
      <c r="X525" t="s">
        <v>3188</v>
      </c>
      <c r="Y525" s="28">
        <v>42141</v>
      </c>
      <c r="Z525" s="28" t="str">
        <f>TRIM(A525)</f>
        <v>IN-2015-DO1343558-42141</v>
      </c>
      <c r="AA525">
        <f t="shared" si="32"/>
        <v>2015</v>
      </c>
      <c r="AB525">
        <f t="shared" si="33"/>
        <v>5</v>
      </c>
      <c r="AC525">
        <f t="shared" si="34"/>
        <v>1</v>
      </c>
      <c r="AD525">
        <f t="shared" si="35"/>
        <v>5</v>
      </c>
      <c r="AE525" s="62">
        <f>IF(I525="missing", IFERROR(INDEX([1]lookup!$I:$I, MATCH($A525, [1]lookup!$B:$B, 0)), 0), I525)</f>
        <v>3094.56</v>
      </c>
    </row>
    <row r="526" spans="1:31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>PROPER(D526)</f>
        <v>Susan Gilcrest</v>
      </c>
      <c r="P526" s="8" t="str">
        <f>LEFT(A526,2)</f>
        <v>MX</v>
      </c>
      <c r="Q526" s="8" t="str">
        <f>MID(A526,4,4)</f>
        <v>2014</v>
      </c>
      <c r="R526" s="8" t="str">
        <f>UPPER(M526)</f>
        <v>HIGH</v>
      </c>
      <c r="S526" s="8" t="str">
        <f>LOWER(G526)</f>
        <v>technology</v>
      </c>
      <c r="T526" s="18" t="str">
        <f>RIGHT(A526,5)</f>
        <v>41752</v>
      </c>
      <c r="U526" s="27" t="s">
        <v>3189</v>
      </c>
      <c r="V526" s="16" t="s">
        <v>2718</v>
      </c>
      <c r="W526" s="30">
        <v>2014</v>
      </c>
      <c r="X526" t="s">
        <v>3189</v>
      </c>
      <c r="Y526" s="28">
        <v>41752</v>
      </c>
      <c r="Z526" s="28" t="str">
        <f>TRIM(A526)</f>
        <v>MX-2014-SG2089051-41752</v>
      </c>
      <c r="AA526">
        <f t="shared" si="32"/>
        <v>2014</v>
      </c>
      <c r="AB526">
        <f t="shared" si="33"/>
        <v>4</v>
      </c>
      <c r="AC526">
        <f t="shared" si="34"/>
        <v>4</v>
      </c>
      <c r="AD526">
        <f t="shared" si="35"/>
        <v>2</v>
      </c>
      <c r="AE526" s="62">
        <f>IF(I526="missing", IFERROR(INDEX([1]lookup!$I:$I, MATCH($A526, [1]lookup!$B:$B, 0)), 0), I526)</f>
        <v>882.03239999999903</v>
      </c>
    </row>
    <row r="527" spans="1:31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>PROPER(D527)</f>
        <v>Vivek Grady</v>
      </c>
      <c r="P527" s="13" t="str">
        <f>LEFT(A527,2)</f>
        <v>IN</v>
      </c>
      <c r="Q527" s="13" t="str">
        <f>MID(A527,4,4)</f>
        <v>2015</v>
      </c>
      <c r="R527" s="13" t="str">
        <f>UPPER(M527)</f>
        <v>MEDIUM</v>
      </c>
      <c r="S527" s="13" t="str">
        <f>LOWER(G527)</f>
        <v>furniture</v>
      </c>
      <c r="T527" s="21" t="str">
        <f>RIGHT(A527,5)</f>
        <v>42273</v>
      </c>
      <c r="U527" s="27" t="s">
        <v>2995</v>
      </c>
      <c r="V527" s="19" t="s">
        <v>2686</v>
      </c>
      <c r="W527" s="30">
        <v>2015</v>
      </c>
      <c r="X527" t="s">
        <v>2995</v>
      </c>
      <c r="Y527" s="28">
        <v>42273</v>
      </c>
      <c r="Z527" s="28" t="str">
        <f>TRIM(A527)</f>
        <v>IN-2015-VG2180558-42273</v>
      </c>
      <c r="AA527">
        <f t="shared" si="32"/>
        <v>2015</v>
      </c>
      <c r="AB527">
        <f t="shared" si="33"/>
        <v>9</v>
      </c>
      <c r="AC527">
        <f t="shared" si="34"/>
        <v>7</v>
      </c>
      <c r="AD527">
        <f t="shared" si="35"/>
        <v>2</v>
      </c>
      <c r="AE527" s="62">
        <f>IF(I527="missing", IFERROR(INDEX([1]lookup!$I:$I, MATCH($A527, [1]lookup!$B:$B, 0)), 0), I527)</f>
        <v>2871.54</v>
      </c>
    </row>
    <row r="528" spans="1:31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>PROPER(D528)</f>
        <v>Theresa Coyne</v>
      </c>
      <c r="P528" s="8" t="str">
        <f>LEFT(A528,2)</f>
        <v>RS</v>
      </c>
      <c r="Q528" s="8" t="str">
        <f>MID(A528,4,4)</f>
        <v>2015</v>
      </c>
      <c r="R528" s="8" t="str">
        <f>UPPER(M528)</f>
        <v>HIGH</v>
      </c>
      <c r="S528" s="8" t="str">
        <f>LOWER(G528)</f>
        <v>technology</v>
      </c>
      <c r="T528" s="18" t="str">
        <f>RIGHT(A528,5)</f>
        <v>42178</v>
      </c>
      <c r="U528" s="27" t="s">
        <v>3190</v>
      </c>
      <c r="V528" s="16" t="s">
        <v>2857</v>
      </c>
      <c r="W528" s="30">
        <v>2015</v>
      </c>
      <c r="X528" t="s">
        <v>3190</v>
      </c>
      <c r="Y528" s="28">
        <v>42178</v>
      </c>
      <c r="Z528" s="28" t="str">
        <f>TRIM(A528)</f>
        <v>RS-2015-TC11145108-42178</v>
      </c>
      <c r="AA528">
        <f t="shared" si="32"/>
        <v>2015</v>
      </c>
      <c r="AB528">
        <f t="shared" si="33"/>
        <v>6</v>
      </c>
      <c r="AC528">
        <f t="shared" si="34"/>
        <v>3</v>
      </c>
      <c r="AD528">
        <f t="shared" si="35"/>
        <v>0</v>
      </c>
      <c r="AE528" s="62">
        <f>IF(I528="missing", IFERROR(INDEX([1]lookup!$I:$I, MATCH($A528, [1]lookup!$B:$B, 0)), 0), I528)</f>
        <v>827.28</v>
      </c>
    </row>
    <row r="529" spans="1:31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>PROPER(D529)</f>
        <v>Denise Monton</v>
      </c>
      <c r="P529" s="13" t="str">
        <f>LEFT(A529,2)</f>
        <v>IN</v>
      </c>
      <c r="Q529" s="13" t="str">
        <f>MID(A529,4,4)</f>
        <v>2015</v>
      </c>
      <c r="R529" s="13" t="str">
        <f>UPPER(M529)</f>
        <v>MEDIUM</v>
      </c>
      <c r="S529" s="13" t="str">
        <f>LOWER(G529)</f>
        <v>technology</v>
      </c>
      <c r="T529" s="21" t="str">
        <f>RIGHT(A529,5)</f>
        <v>42182</v>
      </c>
      <c r="U529" s="27" t="s">
        <v>3191</v>
      </c>
      <c r="V529" s="19" t="s">
        <v>2686</v>
      </c>
      <c r="W529" s="30">
        <v>2015</v>
      </c>
      <c r="X529" t="s">
        <v>3191</v>
      </c>
      <c r="Y529" s="28">
        <v>42182</v>
      </c>
      <c r="Z529" s="28" t="str">
        <f>TRIM(A529)</f>
        <v>IN-2015-DM1334558-42182</v>
      </c>
      <c r="AA529">
        <f t="shared" si="32"/>
        <v>2015</v>
      </c>
      <c r="AB529">
        <f t="shared" si="33"/>
        <v>6</v>
      </c>
      <c r="AC529">
        <f t="shared" si="34"/>
        <v>7</v>
      </c>
      <c r="AD529">
        <f t="shared" si="35"/>
        <v>5</v>
      </c>
      <c r="AE529" s="62">
        <f>IF(I529="missing", IFERROR(INDEX([1]lookup!$I:$I, MATCH($A529, [1]lookup!$B:$B, 0)), 0), I529)</f>
        <v>2098.3200000000002</v>
      </c>
    </row>
    <row r="530" spans="1:31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>PROPER(D530)</f>
        <v xml:space="preserve"> Barry Gonzalez </v>
      </c>
      <c r="P530" s="8" t="str">
        <f>LEFT(A530,2)</f>
        <v>ES</v>
      </c>
      <c r="Q530" s="8" t="str">
        <f>MID(A530,4,4)</f>
        <v>2015</v>
      </c>
      <c r="R530" s="8" t="str">
        <f>UPPER(M530)</f>
        <v>MEDIUM</v>
      </c>
      <c r="S530" s="8" t="str">
        <f>LOWER(G530)</f>
        <v>furniture</v>
      </c>
      <c r="T530" s="18" t="str">
        <f>RIGHT(A530,5)</f>
        <v>42251</v>
      </c>
      <c r="U530" s="27" t="s">
        <v>3192</v>
      </c>
      <c r="V530" s="16" t="s">
        <v>2743</v>
      </c>
      <c r="W530" s="30">
        <v>2015</v>
      </c>
      <c r="X530" t="s">
        <v>3192</v>
      </c>
      <c r="Y530" s="28">
        <v>42251</v>
      </c>
      <c r="Z530" s="28" t="str">
        <f>TRIM(A530)</f>
        <v>ES-2015-BG1103564-42251</v>
      </c>
      <c r="AA530">
        <f t="shared" si="32"/>
        <v>2015</v>
      </c>
      <c r="AB530">
        <f t="shared" si="33"/>
        <v>9</v>
      </c>
      <c r="AC530">
        <f t="shared" si="34"/>
        <v>6</v>
      </c>
      <c r="AD530">
        <f t="shared" si="35"/>
        <v>4</v>
      </c>
      <c r="AE530" s="62">
        <f>IF(I530="missing", IFERROR(INDEX([1]lookup!$I:$I, MATCH($A530, [1]lookup!$B:$B, 0)), 0), I530)</f>
        <v>2927.2799999999902</v>
      </c>
    </row>
    <row r="531" spans="1:31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>PROPER(D531)</f>
        <v>Alan Dominguez</v>
      </c>
      <c r="P531" s="13" t="str">
        <f>LEFT(A531,2)</f>
        <v>CA</v>
      </c>
      <c r="Q531" s="13" t="str">
        <f>MID(A531,4,4)</f>
        <v>2013</v>
      </c>
      <c r="R531" s="13" t="str">
        <f>UPPER(M531)</f>
        <v>HIGH</v>
      </c>
      <c r="S531" s="13" t="str">
        <f>LOWER(G531)</f>
        <v>furniture</v>
      </c>
      <c r="T531" s="21" t="str">
        <f>RIGHT(A531,5)</f>
        <v>41439</v>
      </c>
      <c r="U531" s="27" t="s">
        <v>2927</v>
      </c>
      <c r="V531" s="19" t="s">
        <v>2689</v>
      </c>
      <c r="W531" s="30">
        <v>2013</v>
      </c>
      <c r="X531" t="s">
        <v>2927</v>
      </c>
      <c r="Y531" s="28">
        <v>41439</v>
      </c>
      <c r="Z531" s="28" t="str">
        <f>TRIM(A531)</f>
        <v>CA-2013-AD10180140-41439</v>
      </c>
      <c r="AA531">
        <f t="shared" si="32"/>
        <v>2013</v>
      </c>
      <c r="AB531">
        <f t="shared" si="33"/>
        <v>6</v>
      </c>
      <c r="AC531">
        <f t="shared" si="34"/>
        <v>6</v>
      </c>
      <c r="AD531">
        <f t="shared" si="35"/>
        <v>4</v>
      </c>
      <c r="AE531" s="62">
        <f>IF(I531="missing", IFERROR(INDEX([1]lookup!$I:$I, MATCH($A531, [1]lookup!$B:$B, 0)), 0), I531)</f>
        <v>51.072000000000003</v>
      </c>
    </row>
    <row r="532" spans="1:31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>PROPER(D532)</f>
        <v>Michael Granlund</v>
      </c>
      <c r="P532" s="8" t="str">
        <f>LEFT(A532,2)</f>
        <v>IN</v>
      </c>
      <c r="Q532" s="8" t="str">
        <f>MID(A532,4,4)</f>
        <v>2015</v>
      </c>
      <c r="R532" s="8" t="str">
        <f>UPPER(M532)</f>
        <v>HIGH</v>
      </c>
      <c r="S532" s="8" t="str">
        <f>LOWER(G532)</f>
        <v>office supplies</v>
      </c>
      <c r="T532" s="18" t="str">
        <f>RIGHT(A532,5)</f>
        <v>42022</v>
      </c>
      <c r="U532" s="27" t="s">
        <v>3193</v>
      </c>
      <c r="V532" s="16" t="s">
        <v>2686</v>
      </c>
      <c r="W532" s="30">
        <v>2015</v>
      </c>
      <c r="X532" t="s">
        <v>3193</v>
      </c>
      <c r="Y532" s="28">
        <v>42022</v>
      </c>
      <c r="Z532" s="28" t="str">
        <f>TRIM(A532)</f>
        <v>IN-2015-MG1789097-42022</v>
      </c>
      <c r="AA532">
        <f t="shared" si="32"/>
        <v>2015</v>
      </c>
      <c r="AB532">
        <f t="shared" si="33"/>
        <v>1</v>
      </c>
      <c r="AC532">
        <f t="shared" si="34"/>
        <v>1</v>
      </c>
      <c r="AD532">
        <f t="shared" si="35"/>
        <v>4</v>
      </c>
      <c r="AE532" s="62">
        <f>IF(I532="missing", IFERROR(INDEX([1]lookup!$I:$I, MATCH($A532, [1]lookup!$B:$B, 0)), 0), I532)</f>
        <v>2117.2199999999998</v>
      </c>
    </row>
    <row r="533" spans="1:31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>PROPER(D533)</f>
        <v>Magdelene Morse</v>
      </c>
      <c r="P533" s="13" t="str">
        <f>LEFT(A533,2)</f>
        <v>ID</v>
      </c>
      <c r="Q533" s="13" t="str">
        <f>MID(A533,4,4)</f>
        <v>2015</v>
      </c>
      <c r="R533" s="13" t="str">
        <f>UPPER(M533)</f>
        <v>MEDIUM</v>
      </c>
      <c r="S533" s="13" t="str">
        <f>LOWER(G533)</f>
        <v>furniture</v>
      </c>
      <c r="T533" s="21" t="str">
        <f>RIGHT(A533,5)</f>
        <v>42181</v>
      </c>
      <c r="U533" s="27" t="s">
        <v>3194</v>
      </c>
      <c r="V533" s="19" t="s">
        <v>2738</v>
      </c>
      <c r="W533" s="30">
        <v>2015</v>
      </c>
      <c r="X533" t="s">
        <v>3194</v>
      </c>
      <c r="Y533" s="28">
        <v>42181</v>
      </c>
      <c r="Z533" s="28" t="str">
        <f>TRIM(A533)</f>
        <v>ID-2015-MM1726078-42181</v>
      </c>
      <c r="AA533">
        <f t="shared" si="32"/>
        <v>2015</v>
      </c>
      <c r="AB533">
        <f t="shared" si="33"/>
        <v>6</v>
      </c>
      <c r="AC533">
        <f t="shared" si="34"/>
        <v>6</v>
      </c>
      <c r="AD533">
        <f t="shared" si="35"/>
        <v>5</v>
      </c>
      <c r="AE533" s="62">
        <f>IF(I533="missing", IFERROR(INDEX([1]lookup!$I:$I, MATCH($A533, [1]lookup!$B:$B, 0)), 0), I533)</f>
        <v>2747.7</v>
      </c>
    </row>
    <row r="534" spans="1:31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>PROPER(D534)</f>
        <v>Christopher Conant</v>
      </c>
      <c r="P534" s="8" t="str">
        <f>LEFT(A534,2)</f>
        <v>IN</v>
      </c>
      <c r="Q534" s="8" t="str">
        <f>MID(A534,4,4)</f>
        <v>2013</v>
      </c>
      <c r="R534" s="8" t="str">
        <f>UPPER(M534)</f>
        <v>MEDIUM</v>
      </c>
      <c r="S534" s="8" t="str">
        <f>LOWER(G534)</f>
        <v>technology</v>
      </c>
      <c r="T534" s="18" t="str">
        <f>RIGHT(A534,5)</f>
        <v>41462</v>
      </c>
      <c r="U534" s="27" t="s">
        <v>3195</v>
      </c>
      <c r="V534" s="16" t="s">
        <v>2686</v>
      </c>
      <c r="W534" s="30">
        <v>2013</v>
      </c>
      <c r="X534" t="s">
        <v>3195</v>
      </c>
      <c r="Y534" s="28">
        <v>41462</v>
      </c>
      <c r="Z534" s="28" t="str">
        <f>TRIM(A534)</f>
        <v>IN-2013-CC1237011-41462</v>
      </c>
      <c r="AA534">
        <f t="shared" si="32"/>
        <v>2013</v>
      </c>
      <c r="AB534">
        <f t="shared" si="33"/>
        <v>7</v>
      </c>
      <c r="AC534">
        <f t="shared" si="34"/>
        <v>1</v>
      </c>
      <c r="AD534">
        <f t="shared" si="35"/>
        <v>5</v>
      </c>
      <c r="AE534" s="62">
        <f>IF(I534="missing", IFERROR(INDEX([1]lookup!$I:$I, MATCH($A534, [1]lookup!$B:$B, 0)), 0), I534)</f>
        <v>1591.56</v>
      </c>
    </row>
    <row r="535" spans="1:31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>PROPER(D535)</f>
        <v>Cassandra Brandow</v>
      </c>
      <c r="P535" s="13" t="str">
        <f>LEFT(A535,2)</f>
        <v>ID</v>
      </c>
      <c r="Q535" s="13" t="str">
        <f>MID(A535,4,4)</f>
        <v>2013</v>
      </c>
      <c r="R535" s="13" t="str">
        <f>UPPER(M535)</f>
        <v>HIGH</v>
      </c>
      <c r="S535" s="13" t="str">
        <f>LOWER(G535)</f>
        <v>office supplies</v>
      </c>
      <c r="T535" s="21" t="str">
        <f>RIGHT(A535,5)</f>
        <v>41615</v>
      </c>
      <c r="U535" s="27" t="s">
        <v>3196</v>
      </c>
      <c r="V535" s="19" t="s">
        <v>2738</v>
      </c>
      <c r="W535" s="30">
        <v>2013</v>
      </c>
      <c r="X535" t="s">
        <v>3196</v>
      </c>
      <c r="Y535" s="28">
        <v>41615</v>
      </c>
      <c r="Z535" s="28" t="str">
        <f>TRIM(A535)</f>
        <v>ID-2013-CB1202559-41615</v>
      </c>
      <c r="AA535">
        <f t="shared" si="32"/>
        <v>2013</v>
      </c>
      <c r="AB535">
        <f t="shared" si="33"/>
        <v>12</v>
      </c>
      <c r="AC535">
        <f t="shared" si="34"/>
        <v>7</v>
      </c>
      <c r="AD535">
        <f t="shared" si="35"/>
        <v>2</v>
      </c>
      <c r="AE535" s="62">
        <f>IF(I535="missing", IFERROR(INDEX([1]lookup!$I:$I, MATCH($A535, [1]lookup!$B:$B, 0)), 0), I535)</f>
        <v>1053.8676</v>
      </c>
    </row>
    <row r="536" spans="1:31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>PROPER(D536)</f>
        <v>Shirley Jackson</v>
      </c>
      <c r="P536" s="8" t="str">
        <f>LEFT(A536,2)</f>
        <v>MX</v>
      </c>
      <c r="Q536" s="8" t="str">
        <f>MID(A536,4,4)</f>
        <v>2014</v>
      </c>
      <c r="R536" s="8" t="str">
        <f>UPPER(M536)</f>
        <v>LOW</v>
      </c>
      <c r="S536" s="8" t="str">
        <f>LOWER(G536)</f>
        <v>furniture</v>
      </c>
      <c r="T536" s="18" t="str">
        <f>RIGHT(A536,5)</f>
        <v>41962</v>
      </c>
      <c r="U536" s="27" t="s">
        <v>3197</v>
      </c>
      <c r="V536" s="16" t="s">
        <v>2718</v>
      </c>
      <c r="W536" s="30">
        <v>2014</v>
      </c>
      <c r="X536" t="s">
        <v>3197</v>
      </c>
      <c r="Y536" s="28">
        <v>41962</v>
      </c>
      <c r="Z536" s="28" t="str">
        <f>TRIM(A536)</f>
        <v>MX-2014-SJ2050051-41962</v>
      </c>
      <c r="AA536">
        <f t="shared" si="32"/>
        <v>2014</v>
      </c>
      <c r="AB536">
        <f t="shared" si="33"/>
        <v>11</v>
      </c>
      <c r="AC536">
        <f t="shared" si="34"/>
        <v>4</v>
      </c>
      <c r="AD536">
        <f t="shared" si="35"/>
        <v>6</v>
      </c>
      <c r="AE536" s="62">
        <f>IF(I536="missing", IFERROR(INDEX([1]lookup!$I:$I, MATCH($A536, [1]lookup!$B:$B, 0)), 0), I536)</f>
        <v>2040.92</v>
      </c>
    </row>
    <row r="537" spans="1:31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>PROPER(D537)</f>
        <v>Michael Chen</v>
      </c>
      <c r="P537" s="13" t="str">
        <f>LEFT(A537,2)</f>
        <v>IT</v>
      </c>
      <c r="Q537" s="13" t="str">
        <f>MID(A537,4,4)</f>
        <v>2015</v>
      </c>
      <c r="R537" s="13" t="str">
        <f>UPPER(M537)</f>
        <v>HIGH</v>
      </c>
      <c r="S537" s="13" t="str">
        <f>LOWER(G537)</f>
        <v>office suppiles</v>
      </c>
      <c r="T537" s="21" t="str">
        <f>RIGHT(A537,5)</f>
        <v>42249</v>
      </c>
      <c r="U537" s="27" t="s">
        <v>3198</v>
      </c>
      <c r="V537" s="19" t="s">
        <v>2710</v>
      </c>
      <c r="W537" s="30">
        <v>2015</v>
      </c>
      <c r="X537" t="s">
        <v>3198</v>
      </c>
      <c r="Y537" s="28">
        <v>42249</v>
      </c>
      <c r="Z537" s="28" t="str">
        <f>TRIM(A537)</f>
        <v>IT-2015-MC1784545-42249</v>
      </c>
      <c r="AA537">
        <f t="shared" si="32"/>
        <v>2015</v>
      </c>
      <c r="AB537">
        <f t="shared" si="33"/>
        <v>9</v>
      </c>
      <c r="AC537">
        <f t="shared" si="34"/>
        <v>4</v>
      </c>
      <c r="AD537">
        <f t="shared" si="35"/>
        <v>2</v>
      </c>
      <c r="AE537" s="62">
        <f>IF(I537="missing", IFERROR(INDEX([1]lookup!$I:$I, MATCH($A537, [1]lookup!$B:$B, 0)), 0), I537)</f>
        <v>1068.7139999999999</v>
      </c>
    </row>
    <row r="538" spans="1:31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>PROPER(D538)</f>
        <v>Vivek Gonzalez</v>
      </c>
      <c r="P538" s="8" t="str">
        <f>LEFT(A538,2)</f>
        <v>US</v>
      </c>
      <c r="Q538" s="8" t="str">
        <f>MID(A538,4,4)</f>
        <v>2014</v>
      </c>
      <c r="R538" s="8" t="str">
        <f>UPPER(M538)</f>
        <v>HIGH</v>
      </c>
      <c r="S538" s="8" t="str">
        <f>LOWER(G538)</f>
        <v>furniture</v>
      </c>
      <c r="T538" s="18" t="str">
        <f>RIGHT(A538,5)</f>
        <v>1800#</v>
      </c>
      <c r="U538" s="27" t="s">
        <v>3199</v>
      </c>
      <c r="V538" s="16" t="s">
        <v>2694</v>
      </c>
      <c r="W538" s="30">
        <v>2014</v>
      </c>
      <c r="X538" t="s">
        <v>3199</v>
      </c>
      <c r="Y538" s="28" t="s">
        <v>3200</v>
      </c>
      <c r="Z538" s="28" t="str">
        <f>TRIM(A538)</f>
        <v>US-2014-VG217905-41800#</v>
      </c>
      <c r="AA538">
        <f t="shared" si="32"/>
        <v>2014</v>
      </c>
      <c r="AB538">
        <f t="shared" si="33"/>
        <v>6</v>
      </c>
      <c r="AC538">
        <f t="shared" si="34"/>
        <v>3</v>
      </c>
      <c r="AD538">
        <f t="shared" si="35"/>
        <v>5</v>
      </c>
      <c r="AE538" s="62">
        <f>IF(I538="missing", IFERROR(INDEX([1]lookup!$I:$I, MATCH($A538, [1]lookup!$B:$B, 0)), 0), I538)</f>
        <v>1682.74799999999</v>
      </c>
    </row>
    <row r="539" spans="1:31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>PROPER(D539)</f>
        <v>Shahid Shariari</v>
      </c>
      <c r="P539" s="13" t="str">
        <f>LEFT(A539,2)</f>
        <v>ES</v>
      </c>
      <c r="Q539" s="13" t="str">
        <f>MID(A539,4,4)</f>
        <v>2014</v>
      </c>
      <c r="R539" s="13" t="str">
        <f>UPPER(M539)</f>
        <v>MEDIUM</v>
      </c>
      <c r="S539" s="13" t="str">
        <f>LOWER(G539)</f>
        <v>technology</v>
      </c>
      <c r="T539" s="21" t="str">
        <f>RIGHT(A539,5)</f>
        <v>41999</v>
      </c>
      <c r="U539" s="27" t="s">
        <v>3201</v>
      </c>
      <c r="V539" s="19" t="s">
        <v>2743</v>
      </c>
      <c r="W539" s="30">
        <v>2014</v>
      </c>
      <c r="X539" t="s">
        <v>3201</v>
      </c>
      <c r="Y539" s="28">
        <v>41999</v>
      </c>
      <c r="Z539" s="28" t="str">
        <f>TRIM(A539)</f>
        <v>ES-2014-SS2041045-41999</v>
      </c>
      <c r="AA539">
        <f t="shared" si="32"/>
        <v>2014</v>
      </c>
      <c r="AB539">
        <f t="shared" si="33"/>
        <v>12</v>
      </c>
      <c r="AC539">
        <f t="shared" si="34"/>
        <v>6</v>
      </c>
      <c r="AD539">
        <f t="shared" si="35"/>
        <v>6</v>
      </c>
      <c r="AE539" s="62">
        <f>IF(I539="missing", IFERROR(INDEX([1]lookup!$I:$I, MATCH($A539, [1]lookup!$B:$B, 0)), 0), I539)</f>
        <v>2764.3274999999999</v>
      </c>
    </row>
    <row r="540" spans="1:31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>PROPER(D540)</f>
        <v>Alan Haines</v>
      </c>
      <c r="P540" s="8" t="str">
        <f>LEFT(A540,2)</f>
        <v>CA</v>
      </c>
      <c r="Q540" s="8" t="str">
        <f>MID(A540,4,4)</f>
        <v>2014</v>
      </c>
      <c r="R540" s="8" t="str">
        <f>UPPER(M540)</f>
        <v>MEDIUM</v>
      </c>
      <c r="S540" s="8" t="str">
        <f>LOWER(G540)</f>
        <v>office supplies</v>
      </c>
      <c r="T540" s="18" t="str">
        <f>RIGHT(A540,5)</f>
        <v>1992#</v>
      </c>
      <c r="U540" s="27" t="s">
        <v>2943</v>
      </c>
      <c r="V540" s="16" t="s">
        <v>2689</v>
      </c>
      <c r="W540" s="30">
        <v>2014</v>
      </c>
      <c r="X540" t="s">
        <v>2943</v>
      </c>
      <c r="Y540" s="28" t="s">
        <v>3202</v>
      </c>
      <c r="Z540" s="28" t="str">
        <f>TRIM(A540)</f>
        <v>CA-2014-AH10195140-41992#</v>
      </c>
      <c r="AA540">
        <f t="shared" si="32"/>
        <v>2014</v>
      </c>
      <c r="AB540">
        <f t="shared" si="33"/>
        <v>12</v>
      </c>
      <c r="AC540">
        <f t="shared" si="34"/>
        <v>6</v>
      </c>
      <c r="AD540">
        <f t="shared" si="35"/>
        <v>2</v>
      </c>
      <c r="AE540" s="62">
        <f>IF(I540="missing", IFERROR(INDEX([1]lookup!$I:$I, MATCH($A540, [1]lookup!$B:$B, 0)), 0), I540)</f>
        <v>254.05799999999999</v>
      </c>
    </row>
    <row r="541" spans="1:31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>PROPER(D541)</f>
        <v>Peter Fuller</v>
      </c>
      <c r="P541" s="13" t="str">
        <f>LEFT(A541,2)</f>
        <v>IN</v>
      </c>
      <c r="Q541" s="13" t="str">
        <f>MID(A541,4,4)</f>
        <v>2014</v>
      </c>
      <c r="R541" s="13" t="str">
        <f>UPPER(M541)</f>
        <v>MEDIUM</v>
      </c>
      <c r="S541" s="13" t="str">
        <f>LOWER(G541)</f>
        <v>furniture</v>
      </c>
      <c r="T541" s="21" t="str">
        <f>RIGHT(A541,5)</f>
        <v>41916</v>
      </c>
      <c r="U541" s="27" t="s">
        <v>2986</v>
      </c>
      <c r="V541" s="19" t="s">
        <v>2686</v>
      </c>
      <c r="W541" s="30">
        <v>2014</v>
      </c>
      <c r="X541" t="s">
        <v>2986</v>
      </c>
      <c r="Y541" s="28">
        <v>41916</v>
      </c>
      <c r="Z541" s="28" t="str">
        <f>TRIM(A541)</f>
        <v>IN-2014-PF1912027-41916</v>
      </c>
      <c r="AA541">
        <f t="shared" si="32"/>
        <v>2014</v>
      </c>
      <c r="AB541">
        <f t="shared" si="33"/>
        <v>10</v>
      </c>
      <c r="AC541">
        <f t="shared" si="34"/>
        <v>7</v>
      </c>
      <c r="AD541">
        <f t="shared" si="35"/>
        <v>4</v>
      </c>
      <c r="AE541" s="62">
        <f>IF(I541="missing", IFERROR(INDEX([1]lookup!$I:$I, MATCH($A541, [1]lookup!$B:$B, 0)), 0), I541)</f>
        <v>2819.51999999999</v>
      </c>
    </row>
    <row r="542" spans="1:31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>PROPER(D542)</f>
        <v>Alan Haines</v>
      </c>
      <c r="P542" s="8" t="str">
        <f>LEFT(A542,2)</f>
        <v>CA</v>
      </c>
      <c r="Q542" s="8" t="str">
        <f>MID(A542,4,4)</f>
        <v>2012</v>
      </c>
      <c r="R542" s="8" t="str">
        <f>UPPER(M542)</f>
        <v>MEDIUM</v>
      </c>
      <c r="S542" s="8" t="str">
        <f>LOWER(G542)</f>
        <v>office supplies</v>
      </c>
      <c r="T542" s="18" t="str">
        <f>RIGHT(A542,5)</f>
        <v>41129</v>
      </c>
      <c r="U542" s="27" t="s">
        <v>3203</v>
      </c>
      <c r="V542" s="16" t="s">
        <v>2689</v>
      </c>
      <c r="W542" s="30">
        <v>2012</v>
      </c>
      <c r="X542" t="s">
        <v>3203</v>
      </c>
      <c r="Y542" s="28">
        <v>41129</v>
      </c>
      <c r="Z542" s="28" t="str">
        <f>TRIM(A542)</f>
        <v>CA-2012-AH19523-41129</v>
      </c>
      <c r="AA542">
        <f t="shared" si="32"/>
        <v>2012</v>
      </c>
      <c r="AB542">
        <f t="shared" si="33"/>
        <v>8</v>
      </c>
      <c r="AC542">
        <f t="shared" si="34"/>
        <v>4</v>
      </c>
      <c r="AD542">
        <f t="shared" si="35"/>
        <v>4</v>
      </c>
      <c r="AE542" s="62">
        <f>IF(I542="missing", IFERROR(INDEX([1]lookup!$I:$I, MATCH($A542, [1]lookup!$B:$B, 0)), 0), I542)</f>
        <v>87.84</v>
      </c>
    </row>
    <row r="543" spans="1:31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>PROPER(D543)</f>
        <v>Andy Gerbode</v>
      </c>
      <c r="P543" s="13" t="str">
        <f>LEFT(A543,2)</f>
        <v>US</v>
      </c>
      <c r="Q543" s="13" t="str">
        <f>MID(A543,4,4)</f>
        <v>2015</v>
      </c>
      <c r="R543" s="13" t="str">
        <f>UPPER(M543)</f>
        <v>HIGH</v>
      </c>
      <c r="S543" s="13" t="str">
        <f>LOWER(G543)</f>
        <v>furniture</v>
      </c>
      <c r="T543" s="21" t="str">
        <f>RIGHT(A543,5)</f>
        <v>42355</v>
      </c>
      <c r="U543" s="27" t="s">
        <v>3204</v>
      </c>
      <c r="V543" s="19" t="s">
        <v>2694</v>
      </c>
      <c r="W543" s="30">
        <v>2015</v>
      </c>
      <c r="X543" t="s">
        <v>3204</v>
      </c>
      <c r="Y543" s="28">
        <v>42355</v>
      </c>
      <c r="Z543" s="28" t="str">
        <f>TRIM(A543)</f>
        <v>US-2015-AG1052582-42355</v>
      </c>
      <c r="AA543">
        <f t="shared" si="32"/>
        <v>2015</v>
      </c>
      <c r="AB543">
        <f t="shared" si="33"/>
        <v>12</v>
      </c>
      <c r="AC543">
        <f t="shared" si="34"/>
        <v>5</v>
      </c>
      <c r="AD543">
        <f t="shared" si="35"/>
        <v>4</v>
      </c>
      <c r="AE543" s="62">
        <f>IF(I543="missing", IFERROR(INDEX([1]lookup!$I:$I, MATCH($A543, [1]lookup!$B:$B, 0)), 0), I543)</f>
        <v>1697.5839999999901</v>
      </c>
    </row>
    <row r="544" spans="1:31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>PROPER(D544)</f>
        <v>Aaron Bergman</v>
      </c>
      <c r="P544" s="8" t="str">
        <f>LEFT(A544,2)</f>
        <v>ES</v>
      </c>
      <c r="Q544" s="8" t="str">
        <f>MID(A544,4,4)</f>
        <v>2014</v>
      </c>
      <c r="R544" s="8" t="str">
        <f>UPPER(M544)</f>
        <v>CRITICAL</v>
      </c>
      <c r="S544" s="8" t="str">
        <f>LOWER(G544)</f>
        <v>technology</v>
      </c>
      <c r="T544" s="18" t="str">
        <f>RIGHT(A544,5)</f>
        <v>41930</v>
      </c>
      <c r="U544" s="27" t="s">
        <v>3205</v>
      </c>
      <c r="V544" s="16" t="s">
        <v>2743</v>
      </c>
      <c r="W544" s="30">
        <v>2014</v>
      </c>
      <c r="X544" t="s">
        <v>3205</v>
      </c>
      <c r="Y544" s="28">
        <v>41930</v>
      </c>
      <c r="Z544" s="28" t="str">
        <f>TRIM(A544)</f>
        <v>ES-2014-AB1001545-41930</v>
      </c>
      <c r="AA544">
        <f t="shared" si="32"/>
        <v>2014</v>
      </c>
      <c r="AB544">
        <f t="shared" si="33"/>
        <v>10</v>
      </c>
      <c r="AC544">
        <f t="shared" si="34"/>
        <v>7</v>
      </c>
      <c r="AD544">
        <f t="shared" si="35"/>
        <v>2</v>
      </c>
      <c r="AE544" s="62">
        <f>IF(I544="missing", IFERROR(INDEX([1]lookup!$I:$I, MATCH($A544, [1]lookup!$B:$B, 0)), 0), I544)</f>
        <v>632.04300000000001</v>
      </c>
    </row>
    <row r="545" spans="1:31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>PROPER(D545)</f>
        <v>Denny Ordway</v>
      </c>
      <c r="P545" s="13" t="str">
        <f>LEFT(A545,2)</f>
        <v>BN</v>
      </c>
      <c r="Q545" s="13" t="str">
        <f>MID(A545,4,4)</f>
        <v>2012</v>
      </c>
      <c r="R545" s="13" t="str">
        <f>UPPER(M545)</f>
        <v>HIGH</v>
      </c>
      <c r="S545" s="13" t="str">
        <f>LOWER(G545)</f>
        <v>technology</v>
      </c>
      <c r="T545" s="21" t="str">
        <f>RIGHT(A545,5)</f>
        <v>41172</v>
      </c>
      <c r="U545" s="27" t="s">
        <v>3206</v>
      </c>
      <c r="V545" s="19" t="s">
        <v>3207</v>
      </c>
      <c r="W545" s="30">
        <v>2012</v>
      </c>
      <c r="X545" t="s">
        <v>3206</v>
      </c>
      <c r="Y545" s="28">
        <v>41172</v>
      </c>
      <c r="Z545" s="28" t="str">
        <f>TRIM(A545)</f>
        <v>BN-2012-DO343515-41172</v>
      </c>
      <c r="AA545">
        <f t="shared" si="32"/>
        <v>2012</v>
      </c>
      <c r="AB545">
        <f t="shared" si="33"/>
        <v>9</v>
      </c>
      <c r="AC545">
        <f t="shared" si="34"/>
        <v>5</v>
      </c>
      <c r="AD545">
        <f t="shared" si="35"/>
        <v>5</v>
      </c>
      <c r="AE545" s="62">
        <f>IF(I545="missing", IFERROR(INDEX([1]lookup!$I:$I, MATCH($A545, [1]lookup!$B:$B, 0)), 0), I545)</f>
        <v>1377.8999999999901</v>
      </c>
    </row>
    <row r="546" spans="1:31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>PROPER(D546)</f>
        <v>Neola Schneider</v>
      </c>
      <c r="P546" s="8" t="str">
        <f>LEFT(A546,2)</f>
        <v>MX</v>
      </c>
      <c r="Q546" s="8" t="str">
        <f>MID(A546,4,4)</f>
        <v>2012</v>
      </c>
      <c r="R546" s="8" t="str">
        <f>UPPER(M546)</f>
        <v>MEDIUM</v>
      </c>
      <c r="S546" s="8" t="str">
        <f>LOWER(G546)</f>
        <v>technology</v>
      </c>
      <c r="T546" s="18" t="str">
        <f>RIGHT(A546,5)</f>
        <v>41223</v>
      </c>
      <c r="U546" s="27" t="s">
        <v>3208</v>
      </c>
      <c r="V546" s="16" t="s">
        <v>2718</v>
      </c>
      <c r="W546" s="30">
        <v>2012</v>
      </c>
      <c r="X546" t="s">
        <v>3208</v>
      </c>
      <c r="Y546" s="28">
        <v>41223</v>
      </c>
      <c r="Z546" s="28" t="str">
        <f>TRIM(A546)</f>
        <v>MX-2012-NS1850582-41223</v>
      </c>
      <c r="AA546">
        <f t="shared" si="32"/>
        <v>2012</v>
      </c>
      <c r="AB546">
        <f t="shared" si="33"/>
        <v>11</v>
      </c>
      <c r="AC546">
        <f t="shared" si="34"/>
        <v>7</v>
      </c>
      <c r="AD546">
        <f t="shared" si="35"/>
        <v>7</v>
      </c>
      <c r="AE546" s="62">
        <f>IF(I546="missing", IFERROR(INDEX([1]lookup!$I:$I, MATCH($A546, [1]lookup!$B:$B, 0)), 0), I546)</f>
        <v>2582.16</v>
      </c>
    </row>
    <row r="547" spans="1:31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>PROPER(D547)</f>
        <v>Tom Stivers</v>
      </c>
      <c r="P547" s="13" t="str">
        <f>LEFT(A547,2)</f>
        <v>IT</v>
      </c>
      <c r="Q547" s="13" t="str">
        <f>MID(A547,4,4)</f>
        <v>2013</v>
      </c>
      <c r="R547" s="13" t="str">
        <f>UPPER(M547)</f>
        <v>HIGH</v>
      </c>
      <c r="S547" s="13" t="str">
        <f>LOWER(G547)</f>
        <v>technology</v>
      </c>
      <c r="T547" s="21" t="str">
        <f>RIGHT(A547,5)</f>
        <v>41346</v>
      </c>
      <c r="U547" s="27" t="s">
        <v>3209</v>
      </c>
      <c r="V547" s="19" t="s">
        <v>2710</v>
      </c>
      <c r="W547" s="30">
        <v>2013</v>
      </c>
      <c r="X547" t="s">
        <v>3209</v>
      </c>
      <c r="Y547" s="28">
        <v>41346</v>
      </c>
      <c r="Z547" s="28" t="str">
        <f>TRIM(A547)</f>
        <v>IT-2013-TS2143045-41346</v>
      </c>
      <c r="AA547">
        <f t="shared" si="32"/>
        <v>2013</v>
      </c>
      <c r="AB547">
        <f t="shared" si="33"/>
        <v>3</v>
      </c>
      <c r="AC547">
        <f t="shared" si="34"/>
        <v>4</v>
      </c>
      <c r="AD547">
        <f t="shared" si="35"/>
        <v>2</v>
      </c>
      <c r="AE547" s="62">
        <f>IF(I547="missing", IFERROR(INDEX([1]lookup!$I:$I, MATCH($A547, [1]lookup!$B:$B, 0)), 0), I547)</f>
        <v>1257.4559999999999</v>
      </c>
    </row>
    <row r="548" spans="1:31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>PROPER(D548)</f>
        <v>Alan Hwang</v>
      </c>
      <c r="P548" s="8" t="str">
        <f>LEFT(A548,2)</f>
        <v>CA</v>
      </c>
      <c r="Q548" s="8" t="str">
        <f>MID(A548,4,4)</f>
        <v>2015</v>
      </c>
      <c r="R548" s="8" t="str">
        <f>UPPER(M548)</f>
        <v>LOW</v>
      </c>
      <c r="S548" s="8" t="str">
        <f>LOWER(G548)</f>
        <v>office supplies</v>
      </c>
      <c r="T548" s="18" t="str">
        <f>RIGHT(A548,5)</f>
        <v>42363</v>
      </c>
      <c r="U548" s="27" t="s">
        <v>2950</v>
      </c>
      <c r="V548" s="16" t="s">
        <v>2689</v>
      </c>
      <c r="W548" s="30">
        <v>2015</v>
      </c>
      <c r="X548" t="s">
        <v>2950</v>
      </c>
      <c r="Y548" s="28">
        <v>42363</v>
      </c>
      <c r="Z548" s="28" t="str">
        <f>TRIM(A548)</f>
        <v>CA-2015-AH10210140-42363</v>
      </c>
      <c r="AA548">
        <f t="shared" si="32"/>
        <v>2015</v>
      </c>
      <c r="AB548">
        <f t="shared" si="33"/>
        <v>12</v>
      </c>
      <c r="AC548">
        <f t="shared" si="34"/>
        <v>6</v>
      </c>
      <c r="AD548">
        <f t="shared" si="35"/>
        <v>7</v>
      </c>
      <c r="AE548" s="62">
        <f>IF(I548="missing", IFERROR(INDEX([1]lookup!$I:$I, MATCH($A548, [1]lookup!$B:$B, 0)), 0), I548)</f>
        <v>1003.62</v>
      </c>
    </row>
    <row r="549" spans="1:31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>PROPER(D549)</f>
        <v>Annie Zypern</v>
      </c>
      <c r="P549" s="13" t="str">
        <f>LEFT(A549,2)</f>
        <v>MX</v>
      </c>
      <c r="Q549" s="13" t="str">
        <f>MID(A549,4,4)</f>
        <v>2012</v>
      </c>
      <c r="R549" s="13" t="str">
        <f>UPPER(M549)</f>
        <v>MEDIUM</v>
      </c>
      <c r="S549" s="13" t="str">
        <f>LOWER(G549)</f>
        <v>furniture</v>
      </c>
      <c r="T549" s="21" t="str">
        <f>RIGHT(A549,5)</f>
        <v>41271</v>
      </c>
      <c r="U549" s="27" t="s">
        <v>3210</v>
      </c>
      <c r="V549" s="19" t="s">
        <v>2718</v>
      </c>
      <c r="W549" s="30">
        <v>2012</v>
      </c>
      <c r="X549" t="s">
        <v>3210</v>
      </c>
      <c r="Y549" s="28">
        <v>41271</v>
      </c>
      <c r="Z549" s="28" t="str">
        <f>TRIM(A549)</f>
        <v>MX-2012-AZ1075093-41271</v>
      </c>
      <c r="AA549">
        <f t="shared" si="32"/>
        <v>2012</v>
      </c>
      <c r="AB549">
        <f t="shared" si="33"/>
        <v>12</v>
      </c>
      <c r="AC549">
        <f t="shared" si="34"/>
        <v>6</v>
      </c>
      <c r="AD549">
        <f t="shared" si="35"/>
        <v>2</v>
      </c>
      <c r="AE549" s="62">
        <f>IF(I549="missing", IFERROR(INDEX([1]lookup!$I:$I, MATCH($A549, [1]lookup!$B:$B, 0)), 0), I549)</f>
        <v>2429.4399999999901</v>
      </c>
    </row>
    <row r="550" spans="1:31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>PROPER(D550)</f>
        <v>Alan Hwang</v>
      </c>
      <c r="P550" s="8" t="str">
        <f>LEFT(A550,2)</f>
        <v>US</v>
      </c>
      <c r="Q550" s="8" t="str">
        <f>MID(A550,4,4)</f>
        <v>2015</v>
      </c>
      <c r="R550" s="8" t="str">
        <f>UPPER(M550)</f>
        <v>HIGH</v>
      </c>
      <c r="S550" s="8" t="str">
        <f>LOWER(G550)</f>
        <v>office supplies</v>
      </c>
      <c r="T550" s="18" t="str">
        <f>RIGHT(A550,5)</f>
        <v>42291</v>
      </c>
      <c r="U550" s="27" t="s">
        <v>2950</v>
      </c>
      <c r="V550" s="16" t="s">
        <v>2694</v>
      </c>
      <c r="W550" s="30">
        <v>2015</v>
      </c>
      <c r="X550" t="s">
        <v>2950</v>
      </c>
      <c r="Y550" s="28">
        <v>42291</v>
      </c>
      <c r="Z550" s="28" t="str">
        <f>TRIM(A550)</f>
        <v>US-2015-AH10210140-42291</v>
      </c>
      <c r="AA550">
        <f t="shared" si="32"/>
        <v>2015</v>
      </c>
      <c r="AB550">
        <f t="shared" si="33"/>
        <v>10</v>
      </c>
      <c r="AC550">
        <f t="shared" si="34"/>
        <v>4</v>
      </c>
      <c r="AD550">
        <f t="shared" si="35"/>
        <v>2</v>
      </c>
      <c r="AE550" s="62">
        <f>IF(I550="missing", IFERROR(INDEX([1]lookup!$I:$I, MATCH($A550, [1]lookup!$B:$B, 0)), 0), I550)</f>
        <v>348.56</v>
      </c>
    </row>
    <row r="551" spans="1:31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>PROPER(D551)</f>
        <v>Sung Pak</v>
      </c>
      <c r="P551" s="13" t="str">
        <f>LEFT(A551,2)</f>
        <v>IT</v>
      </c>
      <c r="Q551" s="13" t="str">
        <f>MID(A551,4,4)</f>
        <v>2014</v>
      </c>
      <c r="R551" s="13" t="str">
        <f>UPPER(M551)</f>
        <v>MEDIUM</v>
      </c>
      <c r="S551" s="13" t="str">
        <f>LOWER(G551)</f>
        <v>furniture</v>
      </c>
      <c r="T551" s="21" t="str">
        <f>RIGHT(A551,5)</f>
        <v>41956</v>
      </c>
      <c r="U551" s="27" t="s">
        <v>3211</v>
      </c>
      <c r="V551" s="19" t="s">
        <v>2710</v>
      </c>
      <c r="W551" s="30">
        <v>2014</v>
      </c>
      <c r="X551" t="s">
        <v>3211</v>
      </c>
      <c r="Y551" s="28">
        <v>41956</v>
      </c>
      <c r="Z551" s="28" t="str">
        <f>TRIM(A551)</f>
        <v>IT-2014-SP2086045-41956</v>
      </c>
      <c r="AA551">
        <f t="shared" si="32"/>
        <v>2014</v>
      </c>
      <c r="AB551">
        <f t="shared" si="33"/>
        <v>11</v>
      </c>
      <c r="AC551">
        <f t="shared" si="34"/>
        <v>5</v>
      </c>
      <c r="AD551">
        <f t="shared" si="35"/>
        <v>5</v>
      </c>
      <c r="AE551" s="62">
        <f>IF(I551="missing", IFERROR(INDEX([1]lookup!$I:$I, MATCH($A551, [1]lookup!$B:$B, 0)), 0), I551)</f>
        <v>2891.6999999999898</v>
      </c>
    </row>
    <row r="552" spans="1:31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>PROPER(D552)</f>
        <v>Kalyca Meade</v>
      </c>
      <c r="P552" s="8" t="str">
        <f>LEFT(A552,2)</f>
        <v>ID</v>
      </c>
      <c r="Q552" s="8" t="str">
        <f>MID(A552,4,4)</f>
        <v>2013</v>
      </c>
      <c r="R552" s="8" t="str">
        <f>UPPER(M552)</f>
        <v>HIGH</v>
      </c>
      <c r="S552" s="8" t="str">
        <f>LOWER(G552)</f>
        <v>technology</v>
      </c>
      <c r="T552" s="18" t="str">
        <f>RIGHT(A552,5)</f>
        <v>41501</v>
      </c>
      <c r="U552" s="27" t="s">
        <v>3212</v>
      </c>
      <c r="V552" s="16" t="s">
        <v>2738</v>
      </c>
      <c r="W552" s="30">
        <v>2013</v>
      </c>
      <c r="X552" t="s">
        <v>3212</v>
      </c>
      <c r="Y552" s="28">
        <v>41501</v>
      </c>
      <c r="Z552" s="28" t="str">
        <f>TRIM(A552)</f>
        <v>ID-2013-KM162257-41501</v>
      </c>
      <c r="AA552">
        <f t="shared" si="32"/>
        <v>2013</v>
      </c>
      <c r="AB552">
        <f t="shared" si="33"/>
        <v>8</v>
      </c>
      <c r="AC552">
        <f t="shared" si="34"/>
        <v>5</v>
      </c>
      <c r="AD552">
        <f t="shared" si="35"/>
        <v>4</v>
      </c>
      <c r="AE552" s="62">
        <f>IF(I552="missing", IFERROR(INDEX([1]lookup!$I:$I, MATCH($A552, [1]lookup!$B:$B, 0)), 0), I552)</f>
        <v>2042.82</v>
      </c>
    </row>
    <row r="553" spans="1:31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>PROPER(D553)</f>
        <v>Benjamin Venier</v>
      </c>
      <c r="P553" s="13" t="str">
        <f>LEFT(A553,2)</f>
        <v>ES</v>
      </c>
      <c r="Q553" s="13" t="str">
        <f>MID(A553,4,4)</f>
        <v>2014</v>
      </c>
      <c r="R553" s="13" t="str">
        <f>UPPER(M553)</f>
        <v>MEDIUM</v>
      </c>
      <c r="S553" s="13" t="str">
        <f>LOWER(G553)</f>
        <v>technology</v>
      </c>
      <c r="T553" s="21" t="str">
        <f>RIGHT(A553,5)</f>
        <v>41688</v>
      </c>
      <c r="U553" s="27" t="s">
        <v>3213</v>
      </c>
      <c r="V553" s="19" t="s">
        <v>2743</v>
      </c>
      <c r="W553" s="30">
        <v>2014</v>
      </c>
      <c r="X553" t="s">
        <v>3213</v>
      </c>
      <c r="Y553" s="28">
        <v>41688</v>
      </c>
      <c r="Z553" s="28" t="str">
        <f>TRIM(A553)</f>
        <v>ES-2014-BV11245120-41688</v>
      </c>
      <c r="AA553">
        <f t="shared" si="32"/>
        <v>2014</v>
      </c>
      <c r="AB553">
        <f t="shared" si="33"/>
        <v>2</v>
      </c>
      <c r="AC553">
        <f t="shared" si="34"/>
        <v>3</v>
      </c>
      <c r="AD553">
        <f t="shared" si="35"/>
        <v>7</v>
      </c>
      <c r="AE553" s="62">
        <f>IF(I553="missing", IFERROR(INDEX([1]lookup!$I:$I, MATCH($A553, [1]lookup!$B:$B, 0)), 0), I553)</f>
        <v>2879.82</v>
      </c>
    </row>
    <row r="554" spans="1:31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>PROPER(D554)</f>
        <v>Ken Black</v>
      </c>
      <c r="P554" s="8" t="str">
        <f>LEFT(A554,2)</f>
        <v>ES</v>
      </c>
      <c r="Q554" s="8" t="str">
        <f>MID(A554,4,4)</f>
        <v>2015</v>
      </c>
      <c r="R554" s="8" t="str">
        <f>UPPER(M554)</f>
        <v>LOW</v>
      </c>
      <c r="S554" s="8" t="str">
        <f>LOWER(G554)</f>
        <v>technology</v>
      </c>
      <c r="T554" s="18" t="str">
        <f>RIGHT(A554,5)</f>
        <v>42276</v>
      </c>
      <c r="U554" s="27" t="s">
        <v>3214</v>
      </c>
      <c r="V554" s="16" t="s">
        <v>2743</v>
      </c>
      <c r="W554" s="30">
        <v>2015</v>
      </c>
      <c r="X554" t="s">
        <v>3214</v>
      </c>
      <c r="Y554" s="28">
        <v>42276</v>
      </c>
      <c r="Z554" s="28" t="str">
        <f>TRIM(A554)</f>
        <v>ES-2015-KB1658548-42276</v>
      </c>
      <c r="AA554">
        <f t="shared" si="32"/>
        <v>2015</v>
      </c>
      <c r="AB554">
        <f t="shared" si="33"/>
        <v>9</v>
      </c>
      <c r="AC554">
        <f t="shared" si="34"/>
        <v>3</v>
      </c>
      <c r="AD554">
        <f t="shared" si="35"/>
        <v>7</v>
      </c>
      <c r="AE554" s="62">
        <f>IF(I554="missing", IFERROR(INDEX([1]lookup!$I:$I, MATCH($A554, [1]lookup!$B:$B, 0)), 0), I554)</f>
        <v>2088.2399999999998</v>
      </c>
    </row>
    <row r="555" spans="1:31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>PROPER(D555)</f>
        <v>Eugene Moren</v>
      </c>
      <c r="P555" s="13" t="str">
        <f>LEFT(A555,2)</f>
        <v>IN</v>
      </c>
      <c r="Q555" s="13" t="str">
        <f>MID(A555,4,4)</f>
        <v>2015</v>
      </c>
      <c r="R555" s="13" t="str">
        <f>UPPER(M555)</f>
        <v>HIGH</v>
      </c>
      <c r="S555" s="13" t="str">
        <f>LOWER(G555)</f>
        <v>furniture</v>
      </c>
      <c r="T555" s="21" t="str">
        <f>RIGHT(A555,5)</f>
        <v>42194</v>
      </c>
      <c r="U555" s="27" t="s">
        <v>3215</v>
      </c>
      <c r="V555" s="19" t="s">
        <v>2686</v>
      </c>
      <c r="W555" s="30">
        <v>2015</v>
      </c>
      <c r="X555" t="s">
        <v>3215</v>
      </c>
      <c r="Y555" s="28">
        <v>42194</v>
      </c>
      <c r="Z555" s="28" t="str">
        <f>TRIM(A555)</f>
        <v>IN-2015-EM1414058-42194</v>
      </c>
      <c r="AA555">
        <f t="shared" si="32"/>
        <v>2015</v>
      </c>
      <c r="AB555">
        <f t="shared" si="33"/>
        <v>7</v>
      </c>
      <c r="AC555">
        <f t="shared" si="34"/>
        <v>5</v>
      </c>
      <c r="AD555">
        <f t="shared" si="35"/>
        <v>4</v>
      </c>
      <c r="AE555" s="62">
        <f>IF(I555="missing", IFERROR(INDEX([1]lookup!$I:$I, MATCH($A555, [1]lookup!$B:$B, 0)), 0), I555)</f>
        <v>2194.5300000000002</v>
      </c>
    </row>
    <row r="556" spans="1:31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>PROPER(D556)</f>
        <v>Chad Mcguire</v>
      </c>
      <c r="P556" s="8" t="str">
        <f>LEFT(A556,2)</f>
        <v>IN</v>
      </c>
      <c r="Q556" s="8" t="str">
        <f>MID(A556,4,4)</f>
        <v>2014</v>
      </c>
      <c r="R556" s="8" t="str">
        <f>UPPER(M556)</f>
        <v>MEDIUM</v>
      </c>
      <c r="S556" s="8" t="str">
        <f>LOWER(G556)</f>
        <v>furniture</v>
      </c>
      <c r="T556" s="18" t="str">
        <f>RIGHT(A556,5)</f>
        <v>41783</v>
      </c>
      <c r="U556" s="27" t="s">
        <v>3216</v>
      </c>
      <c r="V556" s="16" t="s">
        <v>2686</v>
      </c>
      <c r="W556" s="30">
        <v>2014</v>
      </c>
      <c r="X556" t="s">
        <v>3216</v>
      </c>
      <c r="Y556" s="28">
        <v>41783</v>
      </c>
      <c r="Z556" s="28" t="str">
        <f>TRIM(A556)</f>
        <v>IN-2014-CM1211578-41783</v>
      </c>
      <c r="AA556">
        <f t="shared" si="32"/>
        <v>2014</v>
      </c>
      <c r="AB556">
        <f t="shared" si="33"/>
        <v>5</v>
      </c>
      <c r="AC556">
        <f t="shared" si="34"/>
        <v>7</v>
      </c>
      <c r="AD556">
        <f t="shared" si="35"/>
        <v>4</v>
      </c>
      <c r="AE556" s="62">
        <f>IF(I556="missing", IFERROR(INDEX([1]lookup!$I:$I, MATCH($A556, [1]lookup!$B:$B, 0)), 0), I556)</f>
        <v>2761.2</v>
      </c>
    </row>
    <row r="557" spans="1:31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>PROPER(D557)</f>
        <v>Aimee Bixby</v>
      </c>
      <c r="P557" s="13" t="str">
        <f>LEFT(A557,2)</f>
        <v>ES</v>
      </c>
      <c r="Q557" s="13" t="str">
        <f>MID(A557,4,4)</f>
        <v>2013</v>
      </c>
      <c r="R557" s="13" t="str">
        <f>UPPER(M557)</f>
        <v>HIGH</v>
      </c>
      <c r="S557" s="13" t="str">
        <f>LOWER(G557)</f>
        <v>technology</v>
      </c>
      <c r="T557" s="21" t="str">
        <f>RIGHT(A557,5)</f>
        <v>41537</v>
      </c>
      <c r="U557" s="27" t="s">
        <v>3217</v>
      </c>
      <c r="V557" s="19" t="s">
        <v>2743</v>
      </c>
      <c r="W557" s="30">
        <v>2013</v>
      </c>
      <c r="X557" t="s">
        <v>3217</v>
      </c>
      <c r="Y557" s="28">
        <v>41537</v>
      </c>
      <c r="Z557" s="28" t="str">
        <f>TRIM(A557)</f>
        <v>ES-2013-AB10150139-41537</v>
      </c>
      <c r="AA557">
        <f t="shared" si="32"/>
        <v>2013</v>
      </c>
      <c r="AB557">
        <f t="shared" si="33"/>
        <v>9</v>
      </c>
      <c r="AC557">
        <f t="shared" si="34"/>
        <v>6</v>
      </c>
      <c r="AD557">
        <f t="shared" si="35"/>
        <v>2</v>
      </c>
      <c r="AE557" s="62">
        <f>IF(I557="missing", IFERROR(INDEX([1]lookup!$I:$I, MATCH($A557, [1]lookup!$B:$B, 0)), 0), I557)</f>
        <v>1677.1859999999999</v>
      </c>
    </row>
    <row r="558" spans="1:31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>PROPER(D558)</f>
        <v>Alejandro Savely</v>
      </c>
      <c r="P558" s="8" t="str">
        <f>LEFT(A558,2)</f>
        <v>I-</v>
      </c>
      <c r="Q558" s="8" t="str">
        <f>MID(A558,4,4)</f>
        <v>2014</v>
      </c>
      <c r="R558" s="8" t="str">
        <f>UPPER(M558)</f>
        <v>HIGH</v>
      </c>
      <c r="S558" s="8" t="str">
        <f>LOWER(G558)</f>
        <v>technology</v>
      </c>
      <c r="T558" s="18" t="str">
        <f>RIGHT(A558,5)</f>
        <v>41972</v>
      </c>
      <c r="U558" s="27" t="s">
        <v>3218</v>
      </c>
      <c r="V558" s="16" t="s">
        <v>3219</v>
      </c>
      <c r="W558" s="30" t="s">
        <v>3220</v>
      </c>
      <c r="X558" t="s">
        <v>3218</v>
      </c>
      <c r="Y558" s="28">
        <v>41972</v>
      </c>
      <c r="Z558" s="28" t="str">
        <f>TRIM(A558)</f>
        <v>I-R2014-AS28560-41972</v>
      </c>
      <c r="AA558">
        <f t="shared" si="32"/>
        <v>2014</v>
      </c>
      <c r="AB558">
        <f t="shared" si="33"/>
        <v>11</v>
      </c>
      <c r="AC558">
        <f t="shared" si="34"/>
        <v>7</v>
      </c>
      <c r="AD558">
        <f t="shared" si="35"/>
        <v>5</v>
      </c>
      <c r="AE558" s="62">
        <f>IF(I558="missing", IFERROR(INDEX([1]lookup!$I:$I, MATCH($A558, [1]lookup!$B:$B, 0)), 0), I558)</f>
        <v>1531.2</v>
      </c>
    </row>
    <row r="559" spans="1:31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>PROPER(D559)</f>
        <v>Stuart Van</v>
      </c>
      <c r="P559" s="13" t="str">
        <f>LEFT(A559,2)</f>
        <v>ID</v>
      </c>
      <c r="Q559" s="13" t="str">
        <f>MID(A559,4,4)</f>
        <v>2014</v>
      </c>
      <c r="R559" s="13" t="str">
        <f>UPPER(M559)</f>
        <v>MEDIUM</v>
      </c>
      <c r="S559" s="13" t="str">
        <f>LOWER(G559)</f>
        <v>furniture</v>
      </c>
      <c r="T559" s="21" t="str">
        <f>RIGHT(A559,5)</f>
        <v>41679</v>
      </c>
      <c r="U559" s="27" t="s">
        <v>3221</v>
      </c>
      <c r="V559" s="19" t="s">
        <v>2738</v>
      </c>
      <c r="W559" s="30">
        <v>2014</v>
      </c>
      <c r="X559" t="s">
        <v>3221</v>
      </c>
      <c r="Y559" s="28">
        <v>41679</v>
      </c>
      <c r="Z559" s="28" t="str">
        <f>TRIM(A559)</f>
        <v>ID-2014-SV208157-41679</v>
      </c>
      <c r="AA559">
        <f t="shared" si="32"/>
        <v>2014</v>
      </c>
      <c r="AB559">
        <f t="shared" si="33"/>
        <v>2</v>
      </c>
      <c r="AC559">
        <f t="shared" si="34"/>
        <v>1</v>
      </c>
      <c r="AD559">
        <f t="shared" si="35"/>
        <v>6</v>
      </c>
      <c r="AE559" s="62">
        <f>IF(I559="missing", IFERROR(INDEX([1]lookup!$I:$I, MATCH($A559, [1]lookup!$B:$B, 0)), 0), I559)</f>
        <v>2951.991</v>
      </c>
    </row>
    <row r="560" spans="1:31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>PROPER(D560)</f>
        <v>Pamela Stobb</v>
      </c>
      <c r="P560" s="8" t="str">
        <f>LEFT(A560,2)</f>
        <v>ES</v>
      </c>
      <c r="Q560" s="8" t="str">
        <f>MID(A560,4,4)</f>
        <v>2015</v>
      </c>
      <c r="R560" s="8" t="str">
        <f>UPPER(M560)</f>
        <v>MEDIUM</v>
      </c>
      <c r="S560" s="8" t="str">
        <f>LOWER(G560)</f>
        <v>technology</v>
      </c>
      <c r="T560" s="18" t="str">
        <f>RIGHT(A560,5)</f>
        <v>42179</v>
      </c>
      <c r="U560" s="27" t="s">
        <v>3222</v>
      </c>
      <c r="V560" s="16" t="s">
        <v>2743</v>
      </c>
      <c r="W560" s="30">
        <v>2015</v>
      </c>
      <c r="X560" t="s">
        <v>3222</v>
      </c>
      <c r="Y560" s="28">
        <v>42179</v>
      </c>
      <c r="Z560" s="28" t="str">
        <f>TRIM(A560)</f>
        <v>ES-2015-PS1876048-42179</v>
      </c>
      <c r="AA560">
        <f t="shared" si="32"/>
        <v>2015</v>
      </c>
      <c r="AB560">
        <f t="shared" si="33"/>
        <v>6</v>
      </c>
      <c r="AC560">
        <f t="shared" si="34"/>
        <v>4</v>
      </c>
      <c r="AD560">
        <f t="shared" si="35"/>
        <v>6</v>
      </c>
      <c r="AE560" s="62">
        <f>IF(I560="missing", IFERROR(INDEX([1]lookup!$I:$I, MATCH($A560, [1]lookup!$B:$B, 0)), 0), I560)</f>
        <v>3873.24</v>
      </c>
    </row>
    <row r="561" spans="1:31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>PROPER(D561)</f>
        <v>Catherine Glotzbach</v>
      </c>
      <c r="P561" s="13" t="str">
        <f>LEFT(A561,2)</f>
        <v>IN</v>
      </c>
      <c r="Q561" s="13" t="str">
        <f>MID(A561,4,4)</f>
        <v>2015</v>
      </c>
      <c r="R561" s="13" t="str">
        <f>UPPER(M561)</f>
        <v>CRITICAL</v>
      </c>
      <c r="S561" s="13" t="str">
        <f>LOWER(G561)</f>
        <v>furniture</v>
      </c>
      <c r="T561" s="21" t="str">
        <f>RIGHT(A561,5)</f>
        <v>42032</v>
      </c>
      <c r="U561" s="27" t="s">
        <v>3223</v>
      </c>
      <c r="V561" s="19" t="s">
        <v>2686</v>
      </c>
      <c r="W561" s="30">
        <v>2015</v>
      </c>
      <c r="X561" t="s">
        <v>3223</v>
      </c>
      <c r="Y561" s="28">
        <v>42032</v>
      </c>
      <c r="Z561" s="28" t="str">
        <f>TRIM(A561)</f>
        <v>IN-2015-CG1204092-42032</v>
      </c>
      <c r="AA561">
        <f t="shared" si="32"/>
        <v>2015</v>
      </c>
      <c r="AB561">
        <f t="shared" si="33"/>
        <v>1</v>
      </c>
      <c r="AC561">
        <f t="shared" si="34"/>
        <v>4</v>
      </c>
      <c r="AD561">
        <f t="shared" si="35"/>
        <v>2</v>
      </c>
      <c r="AE561" s="62">
        <f>IF(I561="missing", IFERROR(INDEX([1]lookup!$I:$I, MATCH($A561, [1]lookup!$B:$B, 0)), 0), I561)</f>
        <v>759.06</v>
      </c>
    </row>
    <row r="562" spans="1:31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>PROPER(D562)</f>
        <v>Clay Rozendal</v>
      </c>
      <c r="P562" s="8" t="str">
        <f>LEFT(A562,2)</f>
        <v>ID</v>
      </c>
      <c r="Q562" s="8" t="str">
        <f>MID(A562,4,4)</f>
        <v>2012</v>
      </c>
      <c r="R562" s="8" t="str">
        <f>UPPER(M562)</f>
        <v>HIGH</v>
      </c>
      <c r="S562" s="8" t="str">
        <f>LOWER(G562)</f>
        <v>technology</v>
      </c>
      <c r="T562" s="18" t="str">
        <f>RIGHT(A562,5)</f>
        <v>41132</v>
      </c>
      <c r="U562" s="27" t="s">
        <v>3224</v>
      </c>
      <c r="V562" s="16" t="s">
        <v>2738</v>
      </c>
      <c r="W562" s="30">
        <v>2012</v>
      </c>
      <c r="X562" t="s">
        <v>3224</v>
      </c>
      <c r="Y562" s="28">
        <v>41132</v>
      </c>
      <c r="Z562" s="28" t="str">
        <f>TRIM(A562)</f>
        <v>ID-2012-CR12580144-41132</v>
      </c>
      <c r="AA562">
        <f t="shared" si="32"/>
        <v>2012</v>
      </c>
      <c r="AB562">
        <f t="shared" si="33"/>
        <v>8</v>
      </c>
      <c r="AC562">
        <f t="shared" si="34"/>
        <v>7</v>
      </c>
      <c r="AD562">
        <f t="shared" si="35"/>
        <v>3</v>
      </c>
      <c r="AE562" s="62">
        <f>IF(I562="missing", IFERROR(INDEX([1]lookup!$I:$I, MATCH($A562, [1]lookup!$B:$B, 0)), 0), I562)</f>
        <v>1161.1971000000001</v>
      </c>
    </row>
    <row r="563" spans="1:31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>PROPER(D563)</f>
        <v>Cynthia Arntzen</v>
      </c>
      <c r="P563" s="13" t="str">
        <f>LEFT(A563,2)</f>
        <v>IN</v>
      </c>
      <c r="Q563" s="13" t="str">
        <f>MID(A563,4,4)</f>
        <v>2013</v>
      </c>
      <c r="R563" s="13" t="str">
        <f>UPPER(M563)</f>
        <v>MEDIUM</v>
      </c>
      <c r="S563" s="13" t="str">
        <f>LOWER(G563)</f>
        <v>furniture</v>
      </c>
      <c r="T563" s="21" t="str">
        <f>RIGHT(A563,5)</f>
        <v>41548</v>
      </c>
      <c r="U563" s="27" t="s">
        <v>3066</v>
      </c>
      <c r="V563" s="19" t="s">
        <v>2686</v>
      </c>
      <c r="W563" s="30">
        <v>2013</v>
      </c>
      <c r="X563" t="s">
        <v>3066</v>
      </c>
      <c r="Y563" s="28">
        <v>41548</v>
      </c>
      <c r="Z563" s="28" t="str">
        <f>TRIM(A563)</f>
        <v>IN-2013-CA1277558-41548</v>
      </c>
      <c r="AA563">
        <f t="shared" si="32"/>
        <v>2013</v>
      </c>
      <c r="AB563">
        <f t="shared" si="33"/>
        <v>1</v>
      </c>
      <c r="AC563">
        <f t="shared" si="34"/>
        <v>5</v>
      </c>
      <c r="AD563">
        <f t="shared" si="35"/>
        <v>270</v>
      </c>
      <c r="AE563" s="62">
        <f>IF(I563="missing", IFERROR(INDEX([1]lookup!$I:$I, MATCH($A563, [1]lookup!$B:$B, 0)), 0), I563)</f>
        <v>3547.44</v>
      </c>
    </row>
    <row r="564" spans="1:31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>PROPER(D564)</f>
        <v>Debra Catini</v>
      </c>
      <c r="P564" s="8" t="str">
        <f>LEFT(A564,2)</f>
        <v>MX</v>
      </c>
      <c r="Q564" s="8" t="str">
        <f>MID(A564,4,4)</f>
        <v>2015</v>
      </c>
      <c r="R564" s="8" t="str">
        <f>UPPER(M564)</f>
        <v>HIGH</v>
      </c>
      <c r="S564" s="8" t="str">
        <f>LOWER(G564)</f>
        <v>furniture</v>
      </c>
      <c r="T564" s="18" t="str">
        <f>RIGHT(A564,5)</f>
        <v>42091</v>
      </c>
      <c r="U564" s="27" t="s">
        <v>3225</v>
      </c>
      <c r="V564" s="16" t="s">
        <v>2718</v>
      </c>
      <c r="W564" s="30">
        <v>2015</v>
      </c>
      <c r="X564" t="s">
        <v>3225</v>
      </c>
      <c r="Y564" s="28">
        <v>42091</v>
      </c>
      <c r="Z564" s="28" t="str">
        <f>TRIM(A564)</f>
        <v>MX-2015-DC1328582-42091</v>
      </c>
      <c r="AA564">
        <f t="shared" si="32"/>
        <v>2015</v>
      </c>
      <c r="AB564">
        <f t="shared" si="33"/>
        <v>3</v>
      </c>
      <c r="AC564">
        <f t="shared" si="34"/>
        <v>7</v>
      </c>
      <c r="AD564">
        <f t="shared" si="35"/>
        <v>2</v>
      </c>
      <c r="AE564" s="62">
        <f>IF(I564="missing", IFERROR(INDEX([1]lookup!$I:$I, MATCH($A564, [1]lookup!$B:$B, 0)), 0), I564)</f>
        <v>1011.69599999999</v>
      </c>
    </row>
    <row r="565" spans="1:31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>PROPER(D565)</f>
        <v>Joel Eaton</v>
      </c>
      <c r="P565" s="13" t="str">
        <f>LEFT(A565,2)</f>
        <v>MX</v>
      </c>
      <c r="Q565" s="13" t="str">
        <f>MID(A565,4,4)</f>
        <v>2015</v>
      </c>
      <c r="R565" s="13" t="str">
        <f>UPPER(M565)</f>
        <v>HIGH</v>
      </c>
      <c r="S565" s="13" t="str">
        <f>LOWER(G565)</f>
        <v>furniture</v>
      </c>
      <c r="T565" s="21" t="str">
        <f>RIGHT(A565,5)</f>
        <v>42255</v>
      </c>
      <c r="U565" s="27" t="s">
        <v>3226</v>
      </c>
      <c r="V565" s="19" t="s">
        <v>2718</v>
      </c>
      <c r="W565" s="30">
        <v>2015</v>
      </c>
      <c r="X565" t="s">
        <v>3226</v>
      </c>
      <c r="Y565" s="28">
        <v>42255</v>
      </c>
      <c r="Z565" s="28" t="str">
        <f>TRIM(A565)</f>
        <v>MX-2015-JE1574531-42255</v>
      </c>
      <c r="AA565">
        <f t="shared" si="32"/>
        <v>2015</v>
      </c>
      <c r="AB565">
        <f t="shared" si="33"/>
        <v>9</v>
      </c>
      <c r="AC565">
        <f t="shared" si="34"/>
        <v>3</v>
      </c>
      <c r="AD565">
        <f t="shared" si="35"/>
        <v>4</v>
      </c>
      <c r="AE565" s="62">
        <f>IF(I565="missing", IFERROR(INDEX([1]lookup!$I:$I, MATCH($A565, [1]lookup!$B:$B, 0)), 0), I565)</f>
        <v>2419.1999999999998</v>
      </c>
    </row>
    <row r="566" spans="1:31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>PROPER(D566)</f>
        <v>Luke Schmidt</v>
      </c>
      <c r="P566" s="8" t="str">
        <f>LEFT(A566,2)</f>
        <v>MX</v>
      </c>
      <c r="Q566" s="8" t="str">
        <f>MID(A566,4,4)</f>
        <v>2015</v>
      </c>
      <c r="R566" s="8" t="str">
        <f>UPPER(M566)</f>
        <v>HIGH</v>
      </c>
      <c r="S566" s="8" t="str">
        <f>LOWER(G566)</f>
        <v>furniture</v>
      </c>
      <c r="T566" s="18" t="str">
        <f>RIGHT(A566,5)</f>
        <v>42294</v>
      </c>
      <c r="U566" s="27" t="s">
        <v>3227</v>
      </c>
      <c r="V566" s="16" t="s">
        <v>2718</v>
      </c>
      <c r="W566" s="30">
        <v>2015</v>
      </c>
      <c r="X566" t="s">
        <v>3227</v>
      </c>
      <c r="Y566" s="28">
        <v>42294</v>
      </c>
      <c r="Z566" s="28" t="str">
        <f>TRIM(A566)</f>
        <v>MX-2015-LS1720080-42294</v>
      </c>
      <c r="AA566">
        <f t="shared" si="32"/>
        <v>2015</v>
      </c>
      <c r="AB566">
        <f t="shared" si="33"/>
        <v>10</v>
      </c>
      <c r="AC566">
        <f t="shared" si="34"/>
        <v>7</v>
      </c>
      <c r="AD566">
        <f t="shared" si="35"/>
        <v>3</v>
      </c>
      <c r="AE566" s="62">
        <f>IF(I566="missing", IFERROR(INDEX([1]lookup!$I:$I, MATCH($A566, [1]lookup!$B:$B, 0)), 0), I566)</f>
        <v>1773.71999999999</v>
      </c>
    </row>
    <row r="567" spans="1:31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>PROPER(D567)</f>
        <v>Melanie Seite</v>
      </c>
      <c r="P567" s="13" t="str">
        <f>LEFT(A567,2)</f>
        <v>IT</v>
      </c>
      <c r="Q567" s="13" t="str">
        <f>MID(A567,4,4)</f>
        <v>2012</v>
      </c>
      <c r="R567" s="13" t="str">
        <f>UPPER(M567)</f>
        <v>CRITICAL</v>
      </c>
      <c r="S567" s="13" t="str">
        <f>LOWER(G567)</f>
        <v>technology</v>
      </c>
      <c r="T567" s="21" t="str">
        <f>RIGHT(A567,5)</f>
        <v>41103</v>
      </c>
      <c r="U567" s="27" t="s">
        <v>2796</v>
      </c>
      <c r="V567" s="19" t="s">
        <v>2710</v>
      </c>
      <c r="W567" s="30">
        <v>2012</v>
      </c>
      <c r="X567" t="s">
        <v>2796</v>
      </c>
      <c r="Y567" s="28">
        <v>41103</v>
      </c>
      <c r="Z567" s="28" t="str">
        <f>TRIM(A567)</f>
        <v>IT-2012-MS17830139-41103</v>
      </c>
      <c r="AA567">
        <f t="shared" si="32"/>
        <v>2012</v>
      </c>
      <c r="AB567">
        <f t="shared" si="33"/>
        <v>7</v>
      </c>
      <c r="AC567">
        <f t="shared" si="34"/>
        <v>6</v>
      </c>
      <c r="AD567">
        <f t="shared" si="35"/>
        <v>1</v>
      </c>
      <c r="AE567" s="62">
        <f>IF(I567="missing", IFERROR(INDEX([1]lookup!$I:$I, MATCH($A567, [1]lookup!$B:$B, 0)), 0), I567)</f>
        <v>737.91</v>
      </c>
    </row>
    <row r="568" spans="1:31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>PROPER(D568)</f>
        <v>Jennifer Ferguson</v>
      </c>
      <c r="P568" s="8" t="str">
        <f>LEFT(A568,2)</f>
        <v>IN</v>
      </c>
      <c r="Q568" s="8" t="str">
        <f>MID(A568,4,4)</f>
        <v>2015</v>
      </c>
      <c r="R568" s="8" t="str">
        <f>UPPER(M568)</f>
        <v>MEDIUM</v>
      </c>
      <c r="S568" s="8" t="str">
        <f>LOWER(G568)</f>
        <v>furniture</v>
      </c>
      <c r="T568" s="18" t="str">
        <f>RIGHT(A568,5)</f>
        <v>42095</v>
      </c>
      <c r="U568" s="27" t="s">
        <v>3228</v>
      </c>
      <c r="V568" s="16" t="s">
        <v>2686</v>
      </c>
      <c r="W568" s="30">
        <v>2015</v>
      </c>
      <c r="X568" t="s">
        <v>3228</v>
      </c>
      <c r="Y568" s="28">
        <v>42095</v>
      </c>
      <c r="Z568" s="28" t="str">
        <f>TRIM(A568)</f>
        <v>IN-2015-JF1541527-42095</v>
      </c>
      <c r="AA568">
        <f t="shared" si="32"/>
        <v>2015</v>
      </c>
      <c r="AB568">
        <f t="shared" si="33"/>
        <v>4</v>
      </c>
      <c r="AC568">
        <f t="shared" si="34"/>
        <v>4</v>
      </c>
      <c r="AD568">
        <f t="shared" si="35"/>
        <v>4</v>
      </c>
      <c r="AE568" s="62">
        <f>IF(I568="missing", IFERROR(INDEX([1]lookup!$I:$I, MATCH($A568, [1]lookup!$B:$B, 0)), 0), I568)</f>
        <v>2614.6889999999898</v>
      </c>
    </row>
    <row r="569" spans="1:31">
      <c r="A569" s="32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4"/>
      <c r="U569" s="35"/>
      <c r="V569" s="32"/>
      <c r="W569" s="36"/>
      <c r="X569" s="35"/>
      <c r="Y569" s="37"/>
      <c r="Z569" s="37"/>
      <c r="AA569">
        <f t="shared" si="32"/>
        <v>1900</v>
      </c>
      <c r="AB569">
        <f t="shared" si="33"/>
        <v>1</v>
      </c>
      <c r="AC569">
        <f t="shared" si="34"/>
        <v>7</v>
      </c>
      <c r="AD569">
        <f t="shared" si="35"/>
        <v>0</v>
      </c>
      <c r="AE569" s="62">
        <f>IF(I569="missing", IFERROR(INDEX([1]lookup!$I:$I, MATCH($A569, [1]lookup!$B:$B, 0)), 0), I569)</f>
        <v>0</v>
      </c>
    </row>
    <row r="570" spans="1:3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7"/>
      <c r="W570" s="36"/>
      <c r="X570" s="35"/>
      <c r="Y570" s="37"/>
      <c r="Z570" s="37"/>
      <c r="AA570">
        <f t="shared" si="32"/>
        <v>1900</v>
      </c>
      <c r="AB570">
        <f t="shared" si="33"/>
        <v>1</v>
      </c>
      <c r="AC570">
        <f t="shared" si="34"/>
        <v>7</v>
      </c>
      <c r="AD570">
        <f t="shared" si="35"/>
        <v>0</v>
      </c>
      <c r="AE570" s="62">
        <f>IF(I570="missing", IFERROR(INDEX([1]lookup!$I:$I, MATCH($A570, [1]lookup!$B:$B, 0)), 0), I570)</f>
        <v>0</v>
      </c>
    </row>
    <row r="571" spans="1:3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7"/>
      <c r="W571" s="36"/>
      <c r="X571" s="35"/>
      <c r="Y571" s="37"/>
      <c r="Z571" s="37"/>
      <c r="AA571">
        <f t="shared" si="32"/>
        <v>1900</v>
      </c>
      <c r="AB571">
        <f t="shared" si="33"/>
        <v>1</v>
      </c>
      <c r="AC571">
        <f t="shared" si="34"/>
        <v>7</v>
      </c>
      <c r="AD571">
        <f t="shared" si="35"/>
        <v>0</v>
      </c>
      <c r="AE571" s="62">
        <f>IF(I571="missing", IFERROR(INDEX([1]lookup!$I:$I, MATCH($A571, [1]lookup!$B:$B, 0)), 0), I571)</f>
        <v>0</v>
      </c>
    </row>
    <row r="572" spans="1:3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7"/>
      <c r="W572" s="36"/>
      <c r="X572" s="35"/>
      <c r="Y572" s="37"/>
      <c r="Z572" s="37"/>
      <c r="AA572">
        <f t="shared" si="32"/>
        <v>1900</v>
      </c>
      <c r="AB572">
        <f t="shared" si="33"/>
        <v>1</v>
      </c>
      <c r="AC572">
        <f t="shared" si="34"/>
        <v>7</v>
      </c>
      <c r="AD572">
        <f t="shared" si="35"/>
        <v>0</v>
      </c>
      <c r="AE572" s="62">
        <f>IF(I572="missing", IFERROR(INDEX([1]lookup!$I:$I, MATCH($A572, [1]lookup!$B:$B, 0)), 0), I572)</f>
        <v>0</v>
      </c>
    </row>
    <row r="573" spans="1:3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7"/>
      <c r="W573" s="36"/>
      <c r="X573" s="35"/>
      <c r="Y573" s="37"/>
      <c r="Z573" s="37"/>
      <c r="AA573">
        <f t="shared" si="32"/>
        <v>1900</v>
      </c>
      <c r="AB573">
        <f t="shared" si="33"/>
        <v>1</v>
      </c>
      <c r="AC573">
        <f t="shared" si="34"/>
        <v>7</v>
      </c>
      <c r="AD573">
        <f t="shared" si="35"/>
        <v>0</v>
      </c>
      <c r="AE573" s="62">
        <f>IF(I573="missing", IFERROR(INDEX([1]lookup!$I:$I, MATCH($A573, [1]lookup!$B:$B, 0)), 0), I573)</f>
        <v>0</v>
      </c>
    </row>
    <row r="574" spans="1:3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7"/>
      <c r="W574" s="36"/>
      <c r="X574" s="35"/>
      <c r="Y574" s="37"/>
      <c r="Z574" s="37"/>
      <c r="AA574">
        <f t="shared" si="32"/>
        <v>1900</v>
      </c>
      <c r="AB574">
        <f t="shared" si="33"/>
        <v>1</v>
      </c>
      <c r="AC574">
        <f t="shared" si="34"/>
        <v>7</v>
      </c>
      <c r="AD574">
        <f t="shared" si="35"/>
        <v>0</v>
      </c>
      <c r="AE574" s="62">
        <f>IF(I574="missing", IFERROR(INDEX([1]lookup!$I:$I, MATCH($A574, [1]lookup!$B:$B, 0)), 0), I574)</f>
        <v>0</v>
      </c>
    </row>
    <row r="575" spans="1:3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7"/>
      <c r="W575" s="36"/>
      <c r="X575" s="35"/>
      <c r="Y575" s="37"/>
      <c r="Z575" s="37"/>
      <c r="AA575">
        <f t="shared" si="32"/>
        <v>1900</v>
      </c>
      <c r="AB575">
        <f t="shared" si="33"/>
        <v>1</v>
      </c>
      <c r="AC575">
        <f t="shared" si="34"/>
        <v>7</v>
      </c>
      <c r="AD575">
        <f t="shared" si="35"/>
        <v>0</v>
      </c>
      <c r="AE575" s="62">
        <f>IF(I575="missing", IFERROR(INDEX([1]lookup!$I:$I, MATCH($A575, [1]lookup!$B:$B, 0)), 0), I575)</f>
        <v>0</v>
      </c>
    </row>
    <row r="576" spans="1:3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7"/>
      <c r="W576" s="36"/>
      <c r="X576" s="35"/>
      <c r="Y576" s="37"/>
      <c r="Z576" s="37"/>
      <c r="AA576">
        <f t="shared" si="32"/>
        <v>1900</v>
      </c>
      <c r="AB576">
        <f t="shared" si="33"/>
        <v>1</v>
      </c>
      <c r="AC576">
        <f t="shared" si="34"/>
        <v>7</v>
      </c>
      <c r="AD576">
        <f t="shared" si="35"/>
        <v>0</v>
      </c>
      <c r="AE576" s="62">
        <f>IF(I576="missing", IFERROR(INDEX([1]lookup!$I:$I, MATCH($A576, [1]lookup!$B:$B, 0)), 0), I576)</f>
        <v>0</v>
      </c>
    </row>
    <row r="577" spans="1:3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7"/>
      <c r="W577" s="36"/>
      <c r="X577" s="35"/>
      <c r="Y577" s="37"/>
      <c r="Z577" s="37"/>
      <c r="AA577">
        <f t="shared" si="32"/>
        <v>1900</v>
      </c>
      <c r="AB577">
        <f t="shared" si="33"/>
        <v>1</v>
      </c>
      <c r="AC577">
        <f t="shared" si="34"/>
        <v>7</v>
      </c>
      <c r="AD577">
        <f t="shared" si="35"/>
        <v>0</v>
      </c>
      <c r="AE577" s="62">
        <f>IF(I577="missing", IFERROR(INDEX([1]lookup!$I:$I, MATCH($A577, [1]lookup!$B:$B, 0)), 0), I577)</f>
        <v>0</v>
      </c>
    </row>
    <row r="578" spans="1:3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7"/>
      <c r="W578" s="36"/>
      <c r="X578" s="35"/>
      <c r="Y578" s="37"/>
      <c r="Z578" s="37"/>
      <c r="AA578">
        <f t="shared" ref="AA578:AA641" si="36">IFERROR(YEAR(B578), 0)</f>
        <v>1900</v>
      </c>
      <c r="AB578">
        <f t="shared" ref="AB578:AB641" si="37">IFERROR(MONTH(B578), 0)</f>
        <v>1</v>
      </c>
      <c r="AC578">
        <f t="shared" ref="AC578:AC641" si="38">IFERROR(WEEKDAY(B578), 0)</f>
        <v>7</v>
      </c>
      <c r="AD578">
        <f t="shared" ref="AD578:AD641" si="39">IFERROR(C578 - B578, 0)</f>
        <v>0</v>
      </c>
      <c r="AE578" s="62">
        <f>IF(I578="missing", IFERROR(INDEX([1]lookup!$I:$I, MATCH($A578, [1]lookup!$B:$B, 0)), 0), I578)</f>
        <v>0</v>
      </c>
    </row>
    <row r="579" spans="1:3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7"/>
      <c r="W579" s="36"/>
      <c r="X579" s="35"/>
      <c r="Y579" s="37"/>
      <c r="Z579" s="37"/>
      <c r="AA579">
        <f t="shared" si="36"/>
        <v>1900</v>
      </c>
      <c r="AB579">
        <f t="shared" si="37"/>
        <v>1</v>
      </c>
      <c r="AC579">
        <f t="shared" si="38"/>
        <v>7</v>
      </c>
      <c r="AD579">
        <f t="shared" si="39"/>
        <v>0</v>
      </c>
      <c r="AE579" s="62">
        <f>IF(I579="missing", IFERROR(INDEX([1]lookup!$I:$I, MATCH($A579, [1]lookup!$B:$B, 0)), 0), I579)</f>
        <v>0</v>
      </c>
    </row>
    <row r="580" spans="1:3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7"/>
      <c r="W580" s="36"/>
      <c r="X580" s="35"/>
      <c r="Y580" s="37"/>
      <c r="Z580" s="37"/>
      <c r="AA580">
        <f t="shared" si="36"/>
        <v>1900</v>
      </c>
      <c r="AB580">
        <f t="shared" si="37"/>
        <v>1</v>
      </c>
      <c r="AC580">
        <f t="shared" si="38"/>
        <v>7</v>
      </c>
      <c r="AD580">
        <f t="shared" si="39"/>
        <v>0</v>
      </c>
      <c r="AE580" s="62">
        <f>IF(I580="missing", IFERROR(INDEX([1]lookup!$I:$I, MATCH($A580, [1]lookup!$B:$B, 0)), 0), I580)</f>
        <v>0</v>
      </c>
    </row>
    <row r="581" spans="1:3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7"/>
      <c r="W581" s="36"/>
      <c r="X581" s="35"/>
      <c r="Y581" s="37"/>
      <c r="Z581" s="37"/>
      <c r="AA581">
        <f t="shared" si="36"/>
        <v>1900</v>
      </c>
      <c r="AB581">
        <f t="shared" si="37"/>
        <v>1</v>
      </c>
      <c r="AC581">
        <f t="shared" si="38"/>
        <v>7</v>
      </c>
      <c r="AD581">
        <f t="shared" si="39"/>
        <v>0</v>
      </c>
      <c r="AE581" s="62">
        <f>IF(I581="missing", IFERROR(INDEX([1]lookup!$I:$I, MATCH($A581, [1]lookup!$B:$B, 0)), 0), I581)</f>
        <v>0</v>
      </c>
    </row>
    <row r="582" spans="1:3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7"/>
      <c r="W582" s="36"/>
      <c r="X582" s="35"/>
      <c r="Y582" s="37"/>
      <c r="Z582" s="37"/>
      <c r="AA582">
        <f t="shared" si="36"/>
        <v>1900</v>
      </c>
      <c r="AB582">
        <f t="shared" si="37"/>
        <v>1</v>
      </c>
      <c r="AC582">
        <f t="shared" si="38"/>
        <v>7</v>
      </c>
      <c r="AD582">
        <f t="shared" si="39"/>
        <v>0</v>
      </c>
      <c r="AE582" s="62">
        <f>IF(I582="missing", IFERROR(INDEX([1]lookup!$I:$I, MATCH($A582, [1]lookup!$B:$B, 0)), 0), I582)</f>
        <v>0</v>
      </c>
    </row>
    <row r="583" spans="1:3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7"/>
      <c r="W583" s="36"/>
      <c r="X583" s="35"/>
      <c r="Y583" s="37"/>
      <c r="Z583" s="37"/>
      <c r="AA583">
        <f t="shared" si="36"/>
        <v>1900</v>
      </c>
      <c r="AB583">
        <f t="shared" si="37"/>
        <v>1</v>
      </c>
      <c r="AC583">
        <f t="shared" si="38"/>
        <v>7</v>
      </c>
      <c r="AD583">
        <f t="shared" si="39"/>
        <v>0</v>
      </c>
      <c r="AE583" s="62">
        <f>IF(I583="missing", IFERROR(INDEX([1]lookup!$I:$I, MATCH($A583, [1]lookup!$B:$B, 0)), 0), I583)</f>
        <v>0</v>
      </c>
    </row>
    <row r="584" spans="1:3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7"/>
      <c r="W584" s="36"/>
      <c r="X584" s="35"/>
      <c r="Y584" s="37"/>
      <c r="Z584" s="37"/>
      <c r="AA584">
        <f t="shared" si="36"/>
        <v>1900</v>
      </c>
      <c r="AB584">
        <f t="shared" si="37"/>
        <v>1</v>
      </c>
      <c r="AC584">
        <f t="shared" si="38"/>
        <v>7</v>
      </c>
      <c r="AD584">
        <f t="shared" si="39"/>
        <v>0</v>
      </c>
      <c r="AE584" s="62">
        <f>IF(I584="missing", IFERROR(INDEX([1]lookup!$I:$I, MATCH($A584, [1]lookup!$B:$B, 0)), 0), I584)</f>
        <v>0</v>
      </c>
    </row>
    <row r="585" spans="1:3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7"/>
      <c r="W585" s="36"/>
      <c r="X585" s="35"/>
      <c r="Y585" s="37"/>
      <c r="Z585" s="37"/>
      <c r="AA585">
        <f t="shared" si="36"/>
        <v>1900</v>
      </c>
      <c r="AB585">
        <f t="shared" si="37"/>
        <v>1</v>
      </c>
      <c r="AC585">
        <f t="shared" si="38"/>
        <v>7</v>
      </c>
      <c r="AD585">
        <f t="shared" si="39"/>
        <v>0</v>
      </c>
      <c r="AE585" s="62">
        <f>IF(I585="missing", IFERROR(INDEX([1]lookup!$I:$I, MATCH($A585, [1]lookup!$B:$B, 0)), 0), I585)</f>
        <v>0</v>
      </c>
    </row>
    <row r="586" spans="1:3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7"/>
      <c r="W586" s="36"/>
      <c r="X586" s="35"/>
      <c r="Y586" s="37"/>
      <c r="Z586" s="37"/>
      <c r="AA586">
        <f t="shared" si="36"/>
        <v>1900</v>
      </c>
      <c r="AB586">
        <f t="shared" si="37"/>
        <v>1</v>
      </c>
      <c r="AC586">
        <f t="shared" si="38"/>
        <v>7</v>
      </c>
      <c r="AD586">
        <f t="shared" si="39"/>
        <v>0</v>
      </c>
      <c r="AE586" s="62">
        <f>IF(I586="missing", IFERROR(INDEX([1]lookup!$I:$I, MATCH($A586, [1]lookup!$B:$B, 0)), 0), I586)</f>
        <v>0</v>
      </c>
    </row>
    <row r="587" spans="1:3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7"/>
      <c r="W587" s="36"/>
      <c r="X587" s="35"/>
      <c r="Y587" s="37"/>
      <c r="Z587" s="37"/>
      <c r="AA587">
        <f t="shared" si="36"/>
        <v>1900</v>
      </c>
      <c r="AB587">
        <f t="shared" si="37"/>
        <v>1</v>
      </c>
      <c r="AC587">
        <f t="shared" si="38"/>
        <v>7</v>
      </c>
      <c r="AD587">
        <f t="shared" si="39"/>
        <v>0</v>
      </c>
      <c r="AE587" s="62">
        <f>IF(I587="missing", IFERROR(INDEX([1]lookup!$I:$I, MATCH($A587, [1]lookup!$B:$B, 0)), 0), I587)</f>
        <v>0</v>
      </c>
    </row>
    <row r="588" spans="1:3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7"/>
      <c r="W588" s="36"/>
      <c r="X588" s="35"/>
      <c r="Y588" s="37"/>
      <c r="Z588" s="37"/>
      <c r="AA588">
        <f t="shared" si="36"/>
        <v>1900</v>
      </c>
      <c r="AB588">
        <f t="shared" si="37"/>
        <v>1</v>
      </c>
      <c r="AC588">
        <f t="shared" si="38"/>
        <v>7</v>
      </c>
      <c r="AD588">
        <f t="shared" si="39"/>
        <v>0</v>
      </c>
      <c r="AE588" s="62">
        <f>IF(I588="missing", IFERROR(INDEX([1]lookup!$I:$I, MATCH($A588, [1]lookup!$B:$B, 0)), 0), I588)</f>
        <v>0</v>
      </c>
    </row>
    <row r="589" spans="1:3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7"/>
      <c r="W589" s="36"/>
      <c r="X589" s="35"/>
      <c r="Y589" s="37"/>
      <c r="Z589" s="37"/>
      <c r="AA589">
        <f t="shared" si="36"/>
        <v>1900</v>
      </c>
      <c r="AB589">
        <f t="shared" si="37"/>
        <v>1</v>
      </c>
      <c r="AC589">
        <f t="shared" si="38"/>
        <v>7</v>
      </c>
      <c r="AD589">
        <f t="shared" si="39"/>
        <v>0</v>
      </c>
      <c r="AE589" s="62">
        <f>IF(I589="missing", IFERROR(INDEX([1]lookup!$I:$I, MATCH($A589, [1]lookup!$B:$B, 0)), 0), I589)</f>
        <v>0</v>
      </c>
    </row>
    <row r="590" spans="1:3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7"/>
      <c r="W590" s="36"/>
      <c r="X590" s="35"/>
      <c r="Y590" s="37"/>
      <c r="Z590" s="37"/>
      <c r="AA590">
        <f t="shared" si="36"/>
        <v>1900</v>
      </c>
      <c r="AB590">
        <f t="shared" si="37"/>
        <v>1</v>
      </c>
      <c r="AC590">
        <f t="shared" si="38"/>
        <v>7</v>
      </c>
      <c r="AD590">
        <f t="shared" si="39"/>
        <v>0</v>
      </c>
      <c r="AE590" s="62">
        <f>IF(I590="missing", IFERROR(INDEX([1]lookup!$I:$I, MATCH($A590, [1]lookup!$B:$B, 0)), 0), I590)</f>
        <v>0</v>
      </c>
    </row>
    <row r="591" spans="1:3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7"/>
      <c r="W591" s="36"/>
      <c r="X591" s="35"/>
      <c r="Y591" s="37"/>
      <c r="Z591" s="37"/>
      <c r="AA591">
        <f t="shared" si="36"/>
        <v>1900</v>
      </c>
      <c r="AB591">
        <f t="shared" si="37"/>
        <v>1</v>
      </c>
      <c r="AC591">
        <f t="shared" si="38"/>
        <v>7</v>
      </c>
      <c r="AD591">
        <f t="shared" si="39"/>
        <v>0</v>
      </c>
      <c r="AE591" s="62">
        <f>IF(I591="missing", IFERROR(INDEX([1]lookup!$I:$I, MATCH($A591, [1]lookup!$B:$B, 0)), 0), I591)</f>
        <v>0</v>
      </c>
    </row>
    <row r="592" spans="1:3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7"/>
      <c r="W592" s="36"/>
      <c r="X592" s="35"/>
      <c r="Y592" s="37"/>
      <c r="Z592" s="37"/>
      <c r="AA592">
        <f t="shared" si="36"/>
        <v>1900</v>
      </c>
      <c r="AB592">
        <f t="shared" si="37"/>
        <v>1</v>
      </c>
      <c r="AC592">
        <f t="shared" si="38"/>
        <v>7</v>
      </c>
      <c r="AD592">
        <f t="shared" si="39"/>
        <v>0</v>
      </c>
      <c r="AE592" s="62">
        <f>IF(I592="missing", IFERROR(INDEX([1]lookup!$I:$I, MATCH($A592, [1]lookup!$B:$B, 0)), 0), I592)</f>
        <v>0</v>
      </c>
    </row>
    <row r="593" spans="1:3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7"/>
      <c r="W593" s="36"/>
      <c r="X593" s="35"/>
      <c r="Y593" s="37"/>
      <c r="Z593" s="37"/>
      <c r="AA593">
        <f t="shared" si="36"/>
        <v>1900</v>
      </c>
      <c r="AB593">
        <f t="shared" si="37"/>
        <v>1</v>
      </c>
      <c r="AC593">
        <f t="shared" si="38"/>
        <v>7</v>
      </c>
      <c r="AD593">
        <f t="shared" si="39"/>
        <v>0</v>
      </c>
      <c r="AE593" s="62">
        <f>IF(I593="missing", IFERROR(INDEX([1]lookup!$I:$I, MATCH($A593, [1]lookup!$B:$B, 0)), 0), I593)</f>
        <v>0</v>
      </c>
    </row>
    <row r="594" spans="1:3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7"/>
      <c r="W594" s="36"/>
      <c r="X594" s="35"/>
      <c r="Y594" s="37"/>
      <c r="Z594" s="37"/>
      <c r="AA594">
        <f t="shared" si="36"/>
        <v>1900</v>
      </c>
      <c r="AB594">
        <f t="shared" si="37"/>
        <v>1</v>
      </c>
      <c r="AC594">
        <f t="shared" si="38"/>
        <v>7</v>
      </c>
      <c r="AD594">
        <f t="shared" si="39"/>
        <v>0</v>
      </c>
      <c r="AE594" s="62">
        <f>IF(I594="missing", IFERROR(INDEX([1]lookup!$I:$I, MATCH($A594, [1]lookup!$B:$B, 0)), 0), I594)</f>
        <v>0</v>
      </c>
    </row>
    <row r="595" spans="1:3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7"/>
      <c r="W595" s="36"/>
      <c r="X595" s="35"/>
      <c r="Y595" s="37"/>
      <c r="Z595" s="37"/>
      <c r="AA595">
        <f t="shared" si="36"/>
        <v>1900</v>
      </c>
      <c r="AB595">
        <f t="shared" si="37"/>
        <v>1</v>
      </c>
      <c r="AC595">
        <f t="shared" si="38"/>
        <v>7</v>
      </c>
      <c r="AD595">
        <f t="shared" si="39"/>
        <v>0</v>
      </c>
      <c r="AE595" s="62">
        <f>IF(I595="missing", IFERROR(INDEX([1]lookup!$I:$I, MATCH($A595, [1]lookup!$B:$B, 0)), 0), I595)</f>
        <v>0</v>
      </c>
    </row>
    <row r="596" spans="1:3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7"/>
      <c r="W596" s="36"/>
      <c r="X596" s="35"/>
      <c r="Y596" s="37"/>
      <c r="Z596" s="37"/>
      <c r="AA596">
        <f t="shared" si="36"/>
        <v>1900</v>
      </c>
      <c r="AB596">
        <f t="shared" si="37"/>
        <v>1</v>
      </c>
      <c r="AC596">
        <f t="shared" si="38"/>
        <v>7</v>
      </c>
      <c r="AD596">
        <f t="shared" si="39"/>
        <v>0</v>
      </c>
      <c r="AE596" s="62">
        <f>IF(I596="missing", IFERROR(INDEX([1]lookup!$I:$I, MATCH($A596, [1]lookup!$B:$B, 0)), 0), I596)</f>
        <v>0</v>
      </c>
    </row>
    <row r="597" spans="1:3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7"/>
      <c r="W597" s="36"/>
      <c r="X597" s="35"/>
      <c r="Y597" s="37"/>
      <c r="Z597" s="37"/>
      <c r="AA597">
        <f t="shared" si="36"/>
        <v>1900</v>
      </c>
      <c r="AB597">
        <f t="shared" si="37"/>
        <v>1</v>
      </c>
      <c r="AC597">
        <f t="shared" si="38"/>
        <v>7</v>
      </c>
      <c r="AD597">
        <f t="shared" si="39"/>
        <v>0</v>
      </c>
      <c r="AE597" s="62">
        <f>IF(I597="missing", IFERROR(INDEX([1]lookup!$I:$I, MATCH($A597, [1]lookup!$B:$B, 0)), 0), I597)</f>
        <v>0</v>
      </c>
    </row>
    <row r="598" spans="1:3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7"/>
      <c r="W598" s="36"/>
      <c r="X598" s="35"/>
      <c r="Y598" s="37"/>
      <c r="Z598" s="37"/>
      <c r="AA598">
        <f t="shared" si="36"/>
        <v>1900</v>
      </c>
      <c r="AB598">
        <f t="shared" si="37"/>
        <v>1</v>
      </c>
      <c r="AC598">
        <f t="shared" si="38"/>
        <v>7</v>
      </c>
      <c r="AD598">
        <f t="shared" si="39"/>
        <v>0</v>
      </c>
      <c r="AE598" s="62">
        <f>IF(I598="missing", IFERROR(INDEX([1]lookup!$I:$I, MATCH($A598, [1]lookup!$B:$B, 0)), 0), I598)</f>
        <v>0</v>
      </c>
    </row>
    <row r="599" spans="1:3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7"/>
      <c r="W599" s="36"/>
      <c r="X599" s="35"/>
      <c r="Y599" s="37"/>
      <c r="Z599" s="37"/>
      <c r="AA599">
        <f t="shared" si="36"/>
        <v>1900</v>
      </c>
      <c r="AB599">
        <f t="shared" si="37"/>
        <v>1</v>
      </c>
      <c r="AC599">
        <f t="shared" si="38"/>
        <v>7</v>
      </c>
      <c r="AD599">
        <f t="shared" si="39"/>
        <v>0</v>
      </c>
      <c r="AE599" s="62">
        <f>IF(I599="missing", IFERROR(INDEX([1]lookup!$I:$I, MATCH($A599, [1]lookup!$B:$B, 0)), 0), I599)</f>
        <v>0</v>
      </c>
    </row>
    <row r="600" spans="1:3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7"/>
      <c r="W600" s="36"/>
      <c r="X600" s="35"/>
      <c r="Y600" s="37"/>
      <c r="Z600" s="37"/>
      <c r="AA600">
        <f t="shared" si="36"/>
        <v>1900</v>
      </c>
      <c r="AB600">
        <f t="shared" si="37"/>
        <v>1</v>
      </c>
      <c r="AC600">
        <f t="shared" si="38"/>
        <v>7</v>
      </c>
      <c r="AD600">
        <f t="shared" si="39"/>
        <v>0</v>
      </c>
      <c r="AE600" s="62">
        <f>IF(I600="missing", IFERROR(INDEX([1]lookup!$I:$I, MATCH($A600, [1]lookup!$B:$B, 0)), 0), I600)</f>
        <v>0</v>
      </c>
    </row>
    <row r="601" spans="1:3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7"/>
      <c r="W601" s="36"/>
      <c r="X601" s="35"/>
      <c r="Y601" s="37"/>
      <c r="Z601" s="37"/>
      <c r="AA601">
        <f t="shared" si="36"/>
        <v>1900</v>
      </c>
      <c r="AB601">
        <f t="shared" si="37"/>
        <v>1</v>
      </c>
      <c r="AC601">
        <f t="shared" si="38"/>
        <v>7</v>
      </c>
      <c r="AD601">
        <f t="shared" si="39"/>
        <v>0</v>
      </c>
      <c r="AE601" s="62">
        <f>IF(I601="missing", IFERROR(INDEX([1]lookup!$I:$I, MATCH($A601, [1]lookup!$B:$B, 0)), 0), I601)</f>
        <v>0</v>
      </c>
    </row>
    <row r="602" spans="1:3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7"/>
      <c r="W602" s="36"/>
      <c r="X602" s="35"/>
      <c r="Y602" s="37"/>
      <c r="Z602" s="37"/>
      <c r="AA602">
        <f t="shared" si="36"/>
        <v>1900</v>
      </c>
      <c r="AB602">
        <f t="shared" si="37"/>
        <v>1</v>
      </c>
      <c r="AC602">
        <f t="shared" si="38"/>
        <v>7</v>
      </c>
      <c r="AD602">
        <f t="shared" si="39"/>
        <v>0</v>
      </c>
      <c r="AE602" s="62">
        <f>IF(I602="missing", IFERROR(INDEX([1]lookup!$I:$I, MATCH($A602, [1]lookup!$B:$B, 0)), 0), I602)</f>
        <v>0</v>
      </c>
    </row>
    <row r="603" spans="1:3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7"/>
      <c r="W603" s="36"/>
      <c r="X603" s="35"/>
      <c r="Y603" s="37"/>
      <c r="Z603" s="37"/>
      <c r="AA603">
        <f t="shared" si="36"/>
        <v>1900</v>
      </c>
      <c r="AB603">
        <f t="shared" si="37"/>
        <v>1</v>
      </c>
      <c r="AC603">
        <f t="shared" si="38"/>
        <v>7</v>
      </c>
      <c r="AD603">
        <f t="shared" si="39"/>
        <v>0</v>
      </c>
      <c r="AE603" s="62">
        <f>IF(I603="missing", IFERROR(INDEX([1]lookup!$I:$I, MATCH($A603, [1]lookup!$B:$B, 0)), 0), I603)</f>
        <v>0</v>
      </c>
    </row>
    <row r="604" spans="1:3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7"/>
      <c r="W604" s="36"/>
      <c r="X604" s="35"/>
      <c r="Y604" s="37"/>
      <c r="Z604" s="37"/>
      <c r="AA604">
        <f t="shared" si="36"/>
        <v>1900</v>
      </c>
      <c r="AB604">
        <f t="shared" si="37"/>
        <v>1</v>
      </c>
      <c r="AC604">
        <f t="shared" si="38"/>
        <v>7</v>
      </c>
      <c r="AD604">
        <f t="shared" si="39"/>
        <v>0</v>
      </c>
      <c r="AE604" s="62">
        <f>IF(I604="missing", IFERROR(INDEX([1]lookup!$I:$I, MATCH($A604, [1]lookup!$B:$B, 0)), 0), I604)</f>
        <v>0</v>
      </c>
    </row>
    <row r="605" spans="1:3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7"/>
      <c r="W605" s="36"/>
      <c r="X605" s="35"/>
      <c r="Y605" s="37"/>
      <c r="Z605" s="37"/>
      <c r="AA605">
        <f t="shared" si="36"/>
        <v>1900</v>
      </c>
      <c r="AB605">
        <f t="shared" si="37"/>
        <v>1</v>
      </c>
      <c r="AC605">
        <f t="shared" si="38"/>
        <v>7</v>
      </c>
      <c r="AD605">
        <f t="shared" si="39"/>
        <v>0</v>
      </c>
      <c r="AE605" s="62">
        <f>IF(I605="missing", IFERROR(INDEX([1]lookup!$I:$I, MATCH($A605, [1]lookup!$B:$B, 0)), 0), I605)</f>
        <v>0</v>
      </c>
    </row>
    <row r="606" spans="1:3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7"/>
      <c r="W606" s="36"/>
      <c r="X606" s="35"/>
      <c r="Y606" s="37"/>
      <c r="Z606" s="37"/>
      <c r="AA606">
        <f t="shared" si="36"/>
        <v>1900</v>
      </c>
      <c r="AB606">
        <f t="shared" si="37"/>
        <v>1</v>
      </c>
      <c r="AC606">
        <f t="shared" si="38"/>
        <v>7</v>
      </c>
      <c r="AD606">
        <f t="shared" si="39"/>
        <v>0</v>
      </c>
      <c r="AE606" s="62">
        <f>IF(I606="missing", IFERROR(INDEX([1]lookup!$I:$I, MATCH($A606, [1]lookup!$B:$B, 0)), 0), I606)</f>
        <v>0</v>
      </c>
    </row>
    <row r="607" spans="1:3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7"/>
      <c r="W607" s="36"/>
      <c r="X607" s="35"/>
      <c r="Y607" s="37"/>
      <c r="Z607" s="37"/>
      <c r="AA607">
        <f t="shared" si="36"/>
        <v>1900</v>
      </c>
      <c r="AB607">
        <f t="shared" si="37"/>
        <v>1</v>
      </c>
      <c r="AC607">
        <f t="shared" si="38"/>
        <v>7</v>
      </c>
      <c r="AD607">
        <f t="shared" si="39"/>
        <v>0</v>
      </c>
      <c r="AE607" s="62">
        <f>IF(I607="missing", IFERROR(INDEX([1]lookup!$I:$I, MATCH($A607, [1]lookup!$B:$B, 0)), 0), I607)</f>
        <v>0</v>
      </c>
    </row>
    <row r="608" spans="1:3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7"/>
      <c r="W608" s="36"/>
      <c r="X608" s="35"/>
      <c r="Y608" s="37"/>
      <c r="Z608" s="37"/>
      <c r="AA608">
        <f t="shared" si="36"/>
        <v>1900</v>
      </c>
      <c r="AB608">
        <f t="shared" si="37"/>
        <v>1</v>
      </c>
      <c r="AC608">
        <f t="shared" si="38"/>
        <v>7</v>
      </c>
      <c r="AD608">
        <f t="shared" si="39"/>
        <v>0</v>
      </c>
      <c r="AE608" s="62">
        <f>IF(I608="missing", IFERROR(INDEX([1]lookup!$I:$I, MATCH($A608, [1]lookup!$B:$B, 0)), 0), I608)</f>
        <v>0</v>
      </c>
    </row>
    <row r="609" spans="1:3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7"/>
      <c r="W609" s="36"/>
      <c r="X609" s="35"/>
      <c r="Y609" s="37"/>
      <c r="Z609" s="37"/>
      <c r="AA609">
        <f t="shared" si="36"/>
        <v>1900</v>
      </c>
      <c r="AB609">
        <f t="shared" si="37"/>
        <v>1</v>
      </c>
      <c r="AC609">
        <f t="shared" si="38"/>
        <v>7</v>
      </c>
      <c r="AD609">
        <f t="shared" si="39"/>
        <v>0</v>
      </c>
      <c r="AE609" s="62">
        <f>IF(I609="missing", IFERROR(INDEX([1]lookup!$I:$I, MATCH($A609, [1]lookup!$B:$B, 0)), 0), I609)</f>
        <v>0</v>
      </c>
    </row>
    <row r="610" spans="1:3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7"/>
      <c r="W610" s="36"/>
      <c r="X610" s="35"/>
      <c r="Y610" s="37"/>
      <c r="Z610" s="37"/>
      <c r="AA610">
        <f t="shared" si="36"/>
        <v>1900</v>
      </c>
      <c r="AB610">
        <f t="shared" si="37"/>
        <v>1</v>
      </c>
      <c r="AC610">
        <f t="shared" si="38"/>
        <v>7</v>
      </c>
      <c r="AD610">
        <f t="shared" si="39"/>
        <v>0</v>
      </c>
      <c r="AE610" s="62">
        <f>IF(I610="missing", IFERROR(INDEX([1]lookup!$I:$I, MATCH($A610, [1]lookup!$B:$B, 0)), 0), I610)</f>
        <v>0</v>
      </c>
    </row>
    <row r="611" spans="1:3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7"/>
      <c r="W611" s="36"/>
      <c r="X611" s="35"/>
      <c r="Y611" s="37"/>
      <c r="Z611" s="37"/>
      <c r="AA611">
        <f t="shared" si="36"/>
        <v>1900</v>
      </c>
      <c r="AB611">
        <f t="shared" si="37"/>
        <v>1</v>
      </c>
      <c r="AC611">
        <f t="shared" si="38"/>
        <v>7</v>
      </c>
      <c r="AD611">
        <f t="shared" si="39"/>
        <v>0</v>
      </c>
      <c r="AE611" s="62">
        <f>IF(I611="missing", IFERROR(INDEX([1]lookup!$I:$I, MATCH($A611, [1]lookup!$B:$B, 0)), 0), I611)</f>
        <v>0</v>
      </c>
    </row>
    <row r="612" spans="1:3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7"/>
      <c r="W612" s="36"/>
      <c r="X612" s="35"/>
      <c r="Y612" s="37"/>
      <c r="Z612" s="37"/>
      <c r="AA612">
        <f t="shared" si="36"/>
        <v>1900</v>
      </c>
      <c r="AB612">
        <f t="shared" si="37"/>
        <v>1</v>
      </c>
      <c r="AC612">
        <f t="shared" si="38"/>
        <v>7</v>
      </c>
      <c r="AD612">
        <f t="shared" si="39"/>
        <v>0</v>
      </c>
      <c r="AE612" s="62">
        <f>IF(I612="missing", IFERROR(INDEX([1]lookup!$I:$I, MATCH($A612, [1]lookup!$B:$B, 0)), 0), I612)</f>
        <v>0</v>
      </c>
    </row>
    <row r="613" spans="1:3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7"/>
      <c r="W613" s="36"/>
      <c r="X613" s="35"/>
      <c r="Y613" s="37"/>
      <c r="Z613" s="37"/>
      <c r="AA613">
        <f t="shared" si="36"/>
        <v>1900</v>
      </c>
      <c r="AB613">
        <f t="shared" si="37"/>
        <v>1</v>
      </c>
      <c r="AC613">
        <f t="shared" si="38"/>
        <v>7</v>
      </c>
      <c r="AD613">
        <f t="shared" si="39"/>
        <v>0</v>
      </c>
      <c r="AE613" s="62">
        <f>IF(I613="missing", IFERROR(INDEX([1]lookup!$I:$I, MATCH($A613, [1]lookup!$B:$B, 0)), 0), I613)</f>
        <v>0</v>
      </c>
    </row>
    <row r="614" spans="1:3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7"/>
      <c r="W614" s="36"/>
      <c r="X614" s="35"/>
      <c r="Y614" s="37"/>
      <c r="Z614" s="37"/>
      <c r="AA614">
        <f t="shared" si="36"/>
        <v>1900</v>
      </c>
      <c r="AB614">
        <f t="shared" si="37"/>
        <v>1</v>
      </c>
      <c r="AC614">
        <f t="shared" si="38"/>
        <v>7</v>
      </c>
      <c r="AD614">
        <f t="shared" si="39"/>
        <v>0</v>
      </c>
      <c r="AE614" s="62">
        <f>IF(I614="missing", IFERROR(INDEX([1]lookup!$I:$I, MATCH($A614, [1]lookup!$B:$B, 0)), 0), I614)</f>
        <v>0</v>
      </c>
    </row>
    <row r="615" spans="1:3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7"/>
      <c r="W615" s="36"/>
      <c r="X615" s="35"/>
      <c r="Y615" s="37"/>
      <c r="Z615" s="37"/>
      <c r="AA615">
        <f t="shared" si="36"/>
        <v>1900</v>
      </c>
      <c r="AB615">
        <f t="shared" si="37"/>
        <v>1</v>
      </c>
      <c r="AC615">
        <f t="shared" si="38"/>
        <v>7</v>
      </c>
      <c r="AD615">
        <f t="shared" si="39"/>
        <v>0</v>
      </c>
      <c r="AE615" s="62">
        <f>IF(I615="missing", IFERROR(INDEX([1]lookup!$I:$I, MATCH($A615, [1]lookup!$B:$B, 0)), 0), I615)</f>
        <v>0</v>
      </c>
    </row>
    <row r="616" spans="1:3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7"/>
      <c r="W616" s="36"/>
      <c r="X616" s="35"/>
      <c r="Y616" s="37"/>
      <c r="Z616" s="37"/>
      <c r="AA616">
        <f t="shared" si="36"/>
        <v>1900</v>
      </c>
      <c r="AB616">
        <f t="shared" si="37"/>
        <v>1</v>
      </c>
      <c r="AC616">
        <f t="shared" si="38"/>
        <v>7</v>
      </c>
      <c r="AD616">
        <f t="shared" si="39"/>
        <v>0</v>
      </c>
      <c r="AE616" s="62">
        <f>IF(I616="missing", IFERROR(INDEX([1]lookup!$I:$I, MATCH($A616, [1]lookup!$B:$B, 0)), 0), I616)</f>
        <v>0</v>
      </c>
    </row>
    <row r="617" spans="1:3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7"/>
      <c r="W617" s="36"/>
      <c r="X617" s="35"/>
      <c r="Y617" s="37"/>
      <c r="Z617" s="37"/>
      <c r="AA617">
        <f t="shared" si="36"/>
        <v>1900</v>
      </c>
      <c r="AB617">
        <f t="shared" si="37"/>
        <v>1</v>
      </c>
      <c r="AC617">
        <f t="shared" si="38"/>
        <v>7</v>
      </c>
      <c r="AD617">
        <f t="shared" si="39"/>
        <v>0</v>
      </c>
      <c r="AE617" s="62">
        <f>IF(I617="missing", IFERROR(INDEX([1]lookup!$I:$I, MATCH($A617, [1]lookup!$B:$B, 0)), 0), I617)</f>
        <v>0</v>
      </c>
    </row>
    <row r="618" spans="1:3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7"/>
      <c r="W618" s="36"/>
      <c r="X618" s="35"/>
      <c r="Y618" s="37"/>
      <c r="Z618" s="37"/>
      <c r="AA618">
        <f t="shared" si="36"/>
        <v>1900</v>
      </c>
      <c r="AB618">
        <f t="shared" si="37"/>
        <v>1</v>
      </c>
      <c r="AC618">
        <f t="shared" si="38"/>
        <v>7</v>
      </c>
      <c r="AD618">
        <f t="shared" si="39"/>
        <v>0</v>
      </c>
      <c r="AE618" s="62">
        <f>IF(I618="missing", IFERROR(INDEX([1]lookup!$I:$I, MATCH($A618, [1]lookup!$B:$B, 0)), 0), I618)</f>
        <v>0</v>
      </c>
    </row>
    <row r="619" spans="1:3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7"/>
      <c r="W619" s="36"/>
      <c r="X619" s="35"/>
      <c r="Y619" s="37"/>
      <c r="Z619" s="37"/>
      <c r="AA619">
        <f t="shared" si="36"/>
        <v>1900</v>
      </c>
      <c r="AB619">
        <f t="shared" si="37"/>
        <v>1</v>
      </c>
      <c r="AC619">
        <f t="shared" si="38"/>
        <v>7</v>
      </c>
      <c r="AD619">
        <f t="shared" si="39"/>
        <v>0</v>
      </c>
      <c r="AE619" s="62">
        <f>IF(I619="missing", IFERROR(INDEX([1]lookup!$I:$I, MATCH($A619, [1]lookup!$B:$B, 0)), 0), I619)</f>
        <v>0</v>
      </c>
    </row>
    <row r="620" spans="1:3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7"/>
      <c r="W620" s="36"/>
      <c r="X620" s="35"/>
      <c r="Y620" s="37"/>
      <c r="Z620" s="37"/>
      <c r="AA620">
        <f t="shared" si="36"/>
        <v>1900</v>
      </c>
      <c r="AB620">
        <f t="shared" si="37"/>
        <v>1</v>
      </c>
      <c r="AC620">
        <f t="shared" si="38"/>
        <v>7</v>
      </c>
      <c r="AD620">
        <f t="shared" si="39"/>
        <v>0</v>
      </c>
      <c r="AE620" s="62">
        <f>IF(I620="missing", IFERROR(INDEX([1]lookup!$I:$I, MATCH($A620, [1]lookup!$B:$B, 0)), 0), I620)</f>
        <v>0</v>
      </c>
    </row>
    <row r="621" spans="1:3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7"/>
      <c r="W621" s="36"/>
      <c r="X621" s="35"/>
      <c r="Y621" s="37"/>
      <c r="Z621" s="37"/>
      <c r="AA621">
        <f t="shared" si="36"/>
        <v>1900</v>
      </c>
      <c r="AB621">
        <f t="shared" si="37"/>
        <v>1</v>
      </c>
      <c r="AC621">
        <f t="shared" si="38"/>
        <v>7</v>
      </c>
      <c r="AD621">
        <f t="shared" si="39"/>
        <v>0</v>
      </c>
      <c r="AE621" s="62">
        <f>IF(I621="missing", IFERROR(INDEX([1]lookup!$I:$I, MATCH($A621, [1]lookup!$B:$B, 0)), 0), I621)</f>
        <v>0</v>
      </c>
    </row>
    <row r="622" spans="1:3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7"/>
      <c r="W622" s="36"/>
      <c r="X622" s="35"/>
      <c r="Y622" s="37"/>
      <c r="Z622" s="37"/>
      <c r="AA622">
        <f t="shared" si="36"/>
        <v>1900</v>
      </c>
      <c r="AB622">
        <f t="shared" si="37"/>
        <v>1</v>
      </c>
      <c r="AC622">
        <f t="shared" si="38"/>
        <v>7</v>
      </c>
      <c r="AD622">
        <f t="shared" si="39"/>
        <v>0</v>
      </c>
      <c r="AE622" s="62">
        <f>IF(I622="missing", IFERROR(INDEX([1]lookup!$I:$I, MATCH($A622, [1]lookup!$B:$B, 0)), 0), I622)</f>
        <v>0</v>
      </c>
    </row>
    <row r="623" spans="1:3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7"/>
      <c r="W623" s="36"/>
      <c r="X623" s="35"/>
      <c r="Y623" s="37"/>
      <c r="Z623" s="37"/>
      <c r="AA623">
        <f t="shared" si="36"/>
        <v>1900</v>
      </c>
      <c r="AB623">
        <f t="shared" si="37"/>
        <v>1</v>
      </c>
      <c r="AC623">
        <f t="shared" si="38"/>
        <v>7</v>
      </c>
      <c r="AD623">
        <f t="shared" si="39"/>
        <v>0</v>
      </c>
      <c r="AE623" s="62">
        <f>IF(I623="missing", IFERROR(INDEX([1]lookup!$I:$I, MATCH($A623, [1]lookup!$B:$B, 0)), 0), I623)</f>
        <v>0</v>
      </c>
    </row>
    <row r="624" spans="1:3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7"/>
      <c r="W624" s="36"/>
      <c r="X624" s="35"/>
      <c r="Y624" s="37"/>
      <c r="Z624" s="37"/>
      <c r="AA624">
        <f t="shared" si="36"/>
        <v>1900</v>
      </c>
      <c r="AB624">
        <f t="shared" si="37"/>
        <v>1</v>
      </c>
      <c r="AC624">
        <f t="shared" si="38"/>
        <v>7</v>
      </c>
      <c r="AD624">
        <f t="shared" si="39"/>
        <v>0</v>
      </c>
      <c r="AE624" s="62">
        <f>IF(I624="missing", IFERROR(INDEX([1]lookup!$I:$I, MATCH($A624, [1]lookup!$B:$B, 0)), 0), I624)</f>
        <v>0</v>
      </c>
    </row>
    <row r="625" spans="1:3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7"/>
      <c r="W625" s="36"/>
      <c r="X625" s="35"/>
      <c r="Y625" s="37"/>
      <c r="Z625" s="37"/>
      <c r="AA625">
        <f t="shared" si="36"/>
        <v>1900</v>
      </c>
      <c r="AB625">
        <f t="shared" si="37"/>
        <v>1</v>
      </c>
      <c r="AC625">
        <f t="shared" si="38"/>
        <v>7</v>
      </c>
      <c r="AD625">
        <f t="shared" si="39"/>
        <v>0</v>
      </c>
      <c r="AE625" s="62">
        <f>IF(I625="missing", IFERROR(INDEX([1]lookup!$I:$I, MATCH($A625, [1]lookup!$B:$B, 0)), 0), I625)</f>
        <v>0</v>
      </c>
    </row>
    <row r="626" spans="1:3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7"/>
      <c r="W626" s="36"/>
      <c r="X626" s="35"/>
      <c r="Y626" s="37"/>
      <c r="Z626" s="37"/>
      <c r="AA626">
        <f t="shared" si="36"/>
        <v>1900</v>
      </c>
      <c r="AB626">
        <f t="shared" si="37"/>
        <v>1</v>
      </c>
      <c r="AC626">
        <f t="shared" si="38"/>
        <v>7</v>
      </c>
      <c r="AD626">
        <f t="shared" si="39"/>
        <v>0</v>
      </c>
      <c r="AE626" s="62">
        <f>IF(I626="missing", IFERROR(INDEX([1]lookup!$I:$I, MATCH($A626, [1]lookup!$B:$B, 0)), 0), I626)</f>
        <v>0</v>
      </c>
    </row>
    <row r="627" spans="1:3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7"/>
      <c r="W627" s="36"/>
      <c r="X627" s="35"/>
      <c r="Y627" s="37"/>
      <c r="Z627" s="37"/>
      <c r="AA627">
        <f t="shared" si="36"/>
        <v>1900</v>
      </c>
      <c r="AB627">
        <f t="shared" si="37"/>
        <v>1</v>
      </c>
      <c r="AC627">
        <f t="shared" si="38"/>
        <v>7</v>
      </c>
      <c r="AD627">
        <f t="shared" si="39"/>
        <v>0</v>
      </c>
      <c r="AE627" s="62">
        <f>IF(I627="missing", IFERROR(INDEX([1]lookup!$I:$I, MATCH($A627, [1]lookup!$B:$B, 0)), 0), I627)</f>
        <v>0</v>
      </c>
    </row>
    <row r="628" spans="1:3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7"/>
      <c r="W628" s="36"/>
      <c r="X628" s="35"/>
      <c r="Y628" s="37"/>
      <c r="Z628" s="37"/>
      <c r="AA628">
        <f t="shared" si="36"/>
        <v>1900</v>
      </c>
      <c r="AB628">
        <f t="shared" si="37"/>
        <v>1</v>
      </c>
      <c r="AC628">
        <f t="shared" si="38"/>
        <v>7</v>
      </c>
      <c r="AD628">
        <f t="shared" si="39"/>
        <v>0</v>
      </c>
      <c r="AE628" s="62">
        <f>IF(I628="missing", IFERROR(INDEX([1]lookup!$I:$I, MATCH($A628, [1]lookup!$B:$B, 0)), 0), I628)</f>
        <v>0</v>
      </c>
    </row>
    <row r="629" spans="1:3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7"/>
      <c r="W629" s="36"/>
      <c r="X629" s="35"/>
      <c r="Y629" s="37"/>
      <c r="Z629" s="37"/>
      <c r="AA629">
        <f t="shared" si="36"/>
        <v>1900</v>
      </c>
      <c r="AB629">
        <f t="shared" si="37"/>
        <v>1</v>
      </c>
      <c r="AC629">
        <f t="shared" si="38"/>
        <v>7</v>
      </c>
      <c r="AD629">
        <f t="shared" si="39"/>
        <v>0</v>
      </c>
      <c r="AE629" s="62">
        <f>IF(I629="missing", IFERROR(INDEX([1]lookup!$I:$I, MATCH($A629, [1]lookup!$B:$B, 0)), 0), I629)</f>
        <v>0</v>
      </c>
    </row>
    <row r="630" spans="1:3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7"/>
      <c r="W630" s="36"/>
      <c r="X630" s="35"/>
      <c r="Y630" s="37"/>
      <c r="Z630" s="37"/>
      <c r="AA630">
        <f t="shared" si="36"/>
        <v>1900</v>
      </c>
      <c r="AB630">
        <f t="shared" si="37"/>
        <v>1</v>
      </c>
      <c r="AC630">
        <f t="shared" si="38"/>
        <v>7</v>
      </c>
      <c r="AD630">
        <f t="shared" si="39"/>
        <v>0</v>
      </c>
      <c r="AE630" s="62">
        <f>IF(I630="missing", IFERROR(INDEX([1]lookup!$I:$I, MATCH($A630, [1]lookup!$B:$B, 0)), 0), I630)</f>
        <v>0</v>
      </c>
    </row>
    <row r="631" spans="1: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7"/>
      <c r="W631" s="36"/>
      <c r="X631" s="35"/>
      <c r="Y631" s="37"/>
      <c r="Z631" s="37"/>
      <c r="AA631">
        <f t="shared" si="36"/>
        <v>1900</v>
      </c>
      <c r="AB631">
        <f t="shared" si="37"/>
        <v>1</v>
      </c>
      <c r="AC631">
        <f t="shared" si="38"/>
        <v>7</v>
      </c>
      <c r="AD631">
        <f t="shared" si="39"/>
        <v>0</v>
      </c>
      <c r="AE631" s="62">
        <f>IF(I631="missing", IFERROR(INDEX([1]lookup!$I:$I, MATCH($A631, [1]lookup!$B:$B, 0)), 0), I631)</f>
        <v>0</v>
      </c>
    </row>
    <row r="632" spans="1:3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7"/>
      <c r="W632" s="36"/>
      <c r="X632" s="35"/>
      <c r="Y632" s="37"/>
      <c r="Z632" s="37"/>
      <c r="AA632">
        <f t="shared" si="36"/>
        <v>1900</v>
      </c>
      <c r="AB632">
        <f t="shared" si="37"/>
        <v>1</v>
      </c>
      <c r="AC632">
        <f t="shared" si="38"/>
        <v>7</v>
      </c>
      <c r="AD632">
        <f t="shared" si="39"/>
        <v>0</v>
      </c>
      <c r="AE632" s="62">
        <f>IF(I632="missing", IFERROR(INDEX([1]lookup!$I:$I, MATCH($A632, [1]lookup!$B:$B, 0)), 0), I632)</f>
        <v>0</v>
      </c>
    </row>
    <row r="633" spans="1:3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7"/>
      <c r="W633" s="36"/>
      <c r="X633" s="35"/>
      <c r="Y633" s="37"/>
      <c r="Z633" s="37"/>
      <c r="AA633">
        <f t="shared" si="36"/>
        <v>1900</v>
      </c>
      <c r="AB633">
        <f t="shared" si="37"/>
        <v>1</v>
      </c>
      <c r="AC633">
        <f t="shared" si="38"/>
        <v>7</v>
      </c>
      <c r="AD633">
        <f t="shared" si="39"/>
        <v>0</v>
      </c>
      <c r="AE633" s="62">
        <f>IF(I633="missing", IFERROR(INDEX([1]lookup!$I:$I, MATCH($A633, [1]lookup!$B:$B, 0)), 0), I633)</f>
        <v>0</v>
      </c>
    </row>
    <row r="634" spans="1:3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7"/>
      <c r="W634" s="36"/>
      <c r="X634" s="35"/>
      <c r="Y634" s="37"/>
      <c r="Z634" s="37"/>
      <c r="AA634">
        <f t="shared" si="36"/>
        <v>1900</v>
      </c>
      <c r="AB634">
        <f t="shared" si="37"/>
        <v>1</v>
      </c>
      <c r="AC634">
        <f t="shared" si="38"/>
        <v>7</v>
      </c>
      <c r="AD634">
        <f t="shared" si="39"/>
        <v>0</v>
      </c>
      <c r="AE634" s="62">
        <f>IF(I634="missing", IFERROR(INDEX([1]lookup!$I:$I, MATCH($A634, [1]lookup!$B:$B, 0)), 0), I634)</f>
        <v>0</v>
      </c>
    </row>
    <row r="635" spans="1:3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7"/>
      <c r="W635" s="36"/>
      <c r="X635" s="35"/>
      <c r="Y635" s="37"/>
      <c r="Z635" s="37"/>
      <c r="AA635">
        <f t="shared" si="36"/>
        <v>1900</v>
      </c>
      <c r="AB635">
        <f t="shared" si="37"/>
        <v>1</v>
      </c>
      <c r="AC635">
        <f t="shared" si="38"/>
        <v>7</v>
      </c>
      <c r="AD635">
        <f t="shared" si="39"/>
        <v>0</v>
      </c>
      <c r="AE635" s="62">
        <f>IF(I635="missing", IFERROR(INDEX([1]lookup!$I:$I, MATCH($A635, [1]lookup!$B:$B, 0)), 0), I635)</f>
        <v>0</v>
      </c>
    </row>
    <row r="636" spans="1:3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7"/>
      <c r="W636" s="36"/>
      <c r="X636" s="35"/>
      <c r="Y636" s="37"/>
      <c r="Z636" s="37"/>
      <c r="AA636">
        <f t="shared" si="36"/>
        <v>1900</v>
      </c>
      <c r="AB636">
        <f t="shared" si="37"/>
        <v>1</v>
      </c>
      <c r="AC636">
        <f t="shared" si="38"/>
        <v>7</v>
      </c>
      <c r="AD636">
        <f t="shared" si="39"/>
        <v>0</v>
      </c>
      <c r="AE636" s="62">
        <f>IF(I636="missing", IFERROR(INDEX([1]lookup!$I:$I, MATCH($A636, [1]lookup!$B:$B, 0)), 0), I636)</f>
        <v>0</v>
      </c>
    </row>
    <row r="637" spans="1:3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7"/>
      <c r="W637" s="36"/>
      <c r="X637" s="35"/>
      <c r="Y637" s="37"/>
      <c r="Z637" s="37"/>
      <c r="AA637">
        <f t="shared" si="36"/>
        <v>1900</v>
      </c>
      <c r="AB637">
        <f t="shared" si="37"/>
        <v>1</v>
      </c>
      <c r="AC637">
        <f t="shared" si="38"/>
        <v>7</v>
      </c>
      <c r="AD637">
        <f t="shared" si="39"/>
        <v>0</v>
      </c>
      <c r="AE637" s="62">
        <f>IF(I637="missing", IFERROR(INDEX([1]lookup!$I:$I, MATCH($A637, [1]lookup!$B:$B, 0)), 0), I637)</f>
        <v>0</v>
      </c>
    </row>
    <row r="638" spans="1:3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7"/>
      <c r="W638" s="36"/>
      <c r="X638" s="35"/>
      <c r="Y638" s="37"/>
      <c r="Z638" s="37"/>
      <c r="AA638">
        <f t="shared" si="36"/>
        <v>1900</v>
      </c>
      <c r="AB638">
        <f t="shared" si="37"/>
        <v>1</v>
      </c>
      <c r="AC638">
        <f t="shared" si="38"/>
        <v>7</v>
      </c>
      <c r="AD638">
        <f t="shared" si="39"/>
        <v>0</v>
      </c>
      <c r="AE638" s="62">
        <f>IF(I638="missing", IFERROR(INDEX([1]lookup!$I:$I, MATCH($A638, [1]lookup!$B:$B, 0)), 0), I638)</f>
        <v>0</v>
      </c>
    </row>
    <row r="639" spans="1:3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7"/>
      <c r="W639" s="36"/>
      <c r="X639" s="35"/>
      <c r="Y639" s="37"/>
      <c r="Z639" s="37"/>
      <c r="AA639">
        <f t="shared" si="36"/>
        <v>1900</v>
      </c>
      <c r="AB639">
        <f t="shared" si="37"/>
        <v>1</v>
      </c>
      <c r="AC639">
        <f t="shared" si="38"/>
        <v>7</v>
      </c>
      <c r="AD639">
        <f t="shared" si="39"/>
        <v>0</v>
      </c>
      <c r="AE639" s="62">
        <f>IF(I639="missing", IFERROR(INDEX([1]lookup!$I:$I, MATCH($A639, [1]lookup!$B:$B, 0)), 0), I639)</f>
        <v>0</v>
      </c>
    </row>
    <row r="640" spans="1:3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7"/>
      <c r="W640" s="36"/>
      <c r="X640" s="35"/>
      <c r="Y640" s="37"/>
      <c r="Z640" s="37"/>
      <c r="AA640">
        <f t="shared" si="36"/>
        <v>1900</v>
      </c>
      <c r="AB640">
        <f t="shared" si="37"/>
        <v>1</v>
      </c>
      <c r="AC640">
        <f t="shared" si="38"/>
        <v>7</v>
      </c>
      <c r="AD640">
        <f t="shared" si="39"/>
        <v>0</v>
      </c>
      <c r="AE640" s="62">
        <f>IF(I640="missing", IFERROR(INDEX([1]lookup!$I:$I, MATCH($A640, [1]lookup!$B:$B, 0)), 0), I640)</f>
        <v>0</v>
      </c>
    </row>
    <row r="641" spans="1:3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7"/>
      <c r="W641" s="36"/>
      <c r="X641" s="35"/>
      <c r="Y641" s="37"/>
      <c r="Z641" s="37"/>
      <c r="AA641">
        <f t="shared" si="36"/>
        <v>1900</v>
      </c>
      <c r="AB641">
        <f t="shared" si="37"/>
        <v>1</v>
      </c>
      <c r="AC641">
        <f t="shared" si="38"/>
        <v>7</v>
      </c>
      <c r="AD641">
        <f t="shared" si="39"/>
        <v>0</v>
      </c>
      <c r="AE641" s="62">
        <f>IF(I641="missing", IFERROR(INDEX([1]lookup!$I:$I, MATCH($A641, [1]lookup!$B:$B, 0)), 0), I641)</f>
        <v>0</v>
      </c>
    </row>
    <row r="642" spans="1:3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7"/>
      <c r="W642" s="36"/>
      <c r="X642" s="35"/>
      <c r="Y642" s="37"/>
      <c r="Z642" s="37"/>
      <c r="AA642">
        <f t="shared" ref="AA642:AA705" si="40">IFERROR(YEAR(B642), 0)</f>
        <v>1900</v>
      </c>
      <c r="AB642">
        <f t="shared" ref="AB642:AB705" si="41">IFERROR(MONTH(B642), 0)</f>
        <v>1</v>
      </c>
      <c r="AC642">
        <f t="shared" ref="AC642:AC705" si="42">IFERROR(WEEKDAY(B642), 0)</f>
        <v>7</v>
      </c>
      <c r="AD642">
        <f t="shared" ref="AD642:AD705" si="43">IFERROR(C642 - B642, 0)</f>
        <v>0</v>
      </c>
      <c r="AE642" s="62">
        <f>IF(I642="missing", IFERROR(INDEX([1]lookup!$I:$I, MATCH($A642, [1]lookup!$B:$B, 0)), 0), I642)</f>
        <v>0</v>
      </c>
    </row>
    <row r="643" spans="1:3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7"/>
      <c r="W643" s="36"/>
      <c r="X643" s="35"/>
      <c r="Y643" s="37"/>
      <c r="Z643" s="37"/>
      <c r="AA643">
        <f t="shared" si="40"/>
        <v>1900</v>
      </c>
      <c r="AB643">
        <f t="shared" si="41"/>
        <v>1</v>
      </c>
      <c r="AC643">
        <f t="shared" si="42"/>
        <v>7</v>
      </c>
      <c r="AD643">
        <f t="shared" si="43"/>
        <v>0</v>
      </c>
      <c r="AE643" s="62">
        <f>IF(I643="missing", IFERROR(INDEX([1]lookup!$I:$I, MATCH($A643, [1]lookup!$B:$B, 0)), 0), I643)</f>
        <v>0</v>
      </c>
    </row>
    <row r="644" spans="1:3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7"/>
      <c r="W644" s="36"/>
      <c r="X644" s="35"/>
      <c r="Y644" s="37"/>
      <c r="Z644" s="37"/>
      <c r="AA644">
        <f t="shared" si="40"/>
        <v>1900</v>
      </c>
      <c r="AB644">
        <f t="shared" si="41"/>
        <v>1</v>
      </c>
      <c r="AC644">
        <f t="shared" si="42"/>
        <v>7</v>
      </c>
      <c r="AD644">
        <f t="shared" si="43"/>
        <v>0</v>
      </c>
      <c r="AE644" s="62">
        <f>IF(I644="missing", IFERROR(INDEX([1]lookup!$I:$I, MATCH($A644, [1]lookup!$B:$B, 0)), 0), I644)</f>
        <v>0</v>
      </c>
    </row>
    <row r="645" spans="1:3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7"/>
      <c r="W645" s="36"/>
      <c r="X645" s="35"/>
      <c r="Y645" s="37"/>
      <c r="Z645" s="37"/>
      <c r="AA645">
        <f t="shared" si="40"/>
        <v>1900</v>
      </c>
      <c r="AB645">
        <f t="shared" si="41"/>
        <v>1</v>
      </c>
      <c r="AC645">
        <f t="shared" si="42"/>
        <v>7</v>
      </c>
      <c r="AD645">
        <f t="shared" si="43"/>
        <v>0</v>
      </c>
      <c r="AE645" s="62">
        <f>IF(I645="missing", IFERROR(INDEX([1]lookup!$I:$I, MATCH($A645, [1]lookup!$B:$B, 0)), 0), I645)</f>
        <v>0</v>
      </c>
    </row>
    <row r="646" spans="1:3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7"/>
      <c r="W646" s="36"/>
      <c r="X646" s="35"/>
      <c r="Y646" s="37"/>
      <c r="Z646" s="37"/>
      <c r="AA646">
        <f t="shared" si="40"/>
        <v>1900</v>
      </c>
      <c r="AB646">
        <f t="shared" si="41"/>
        <v>1</v>
      </c>
      <c r="AC646">
        <f t="shared" si="42"/>
        <v>7</v>
      </c>
      <c r="AD646">
        <f t="shared" si="43"/>
        <v>0</v>
      </c>
      <c r="AE646" s="62">
        <f>IF(I646="missing", IFERROR(INDEX([1]lookup!$I:$I, MATCH($A646, [1]lookup!$B:$B, 0)), 0), I646)</f>
        <v>0</v>
      </c>
    </row>
    <row r="647" spans="1:3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7"/>
      <c r="W647" s="36"/>
      <c r="X647" s="35"/>
      <c r="Y647" s="37"/>
      <c r="Z647" s="37"/>
      <c r="AA647">
        <f t="shared" si="40"/>
        <v>1900</v>
      </c>
      <c r="AB647">
        <f t="shared" si="41"/>
        <v>1</v>
      </c>
      <c r="AC647">
        <f t="shared" si="42"/>
        <v>7</v>
      </c>
      <c r="AD647">
        <f t="shared" si="43"/>
        <v>0</v>
      </c>
      <c r="AE647" s="62">
        <f>IF(I647="missing", IFERROR(INDEX([1]lookup!$I:$I, MATCH($A647, [1]lookup!$B:$B, 0)), 0), I647)</f>
        <v>0</v>
      </c>
    </row>
    <row r="648" spans="1:3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7"/>
      <c r="W648" s="36"/>
      <c r="X648" s="35"/>
      <c r="Y648" s="37"/>
      <c r="Z648" s="37"/>
      <c r="AA648">
        <f t="shared" si="40"/>
        <v>1900</v>
      </c>
      <c r="AB648">
        <f t="shared" si="41"/>
        <v>1</v>
      </c>
      <c r="AC648">
        <f t="shared" si="42"/>
        <v>7</v>
      </c>
      <c r="AD648">
        <f t="shared" si="43"/>
        <v>0</v>
      </c>
      <c r="AE648" s="62">
        <f>IF(I648="missing", IFERROR(INDEX([1]lookup!$I:$I, MATCH($A648, [1]lookup!$B:$B, 0)), 0), I648)</f>
        <v>0</v>
      </c>
    </row>
    <row r="649" spans="1:3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7"/>
      <c r="W649" s="36"/>
      <c r="X649" s="35"/>
      <c r="Y649" s="37"/>
      <c r="Z649" s="37"/>
      <c r="AA649">
        <f t="shared" si="40"/>
        <v>1900</v>
      </c>
      <c r="AB649">
        <f t="shared" si="41"/>
        <v>1</v>
      </c>
      <c r="AC649">
        <f t="shared" si="42"/>
        <v>7</v>
      </c>
      <c r="AD649">
        <f t="shared" si="43"/>
        <v>0</v>
      </c>
      <c r="AE649" s="62">
        <f>IF(I649="missing", IFERROR(INDEX([1]lookup!$I:$I, MATCH($A649, [1]lookup!$B:$B, 0)), 0), I649)</f>
        <v>0</v>
      </c>
    </row>
    <row r="650" spans="1:3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7"/>
      <c r="W650" s="36"/>
      <c r="X650" s="35"/>
      <c r="Y650" s="37"/>
      <c r="Z650" s="37"/>
      <c r="AA650">
        <f t="shared" si="40"/>
        <v>1900</v>
      </c>
      <c r="AB650">
        <f t="shared" si="41"/>
        <v>1</v>
      </c>
      <c r="AC650">
        <f t="shared" si="42"/>
        <v>7</v>
      </c>
      <c r="AD650">
        <f t="shared" si="43"/>
        <v>0</v>
      </c>
      <c r="AE650" s="62">
        <f>IF(I650="missing", IFERROR(INDEX([1]lookup!$I:$I, MATCH($A650, [1]lookup!$B:$B, 0)), 0), I650)</f>
        <v>0</v>
      </c>
    </row>
    <row r="651" spans="1:3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7"/>
      <c r="W651" s="36"/>
      <c r="X651" s="35"/>
      <c r="Y651" s="37"/>
      <c r="Z651" s="37"/>
      <c r="AA651">
        <f t="shared" si="40"/>
        <v>1900</v>
      </c>
      <c r="AB651">
        <f t="shared" si="41"/>
        <v>1</v>
      </c>
      <c r="AC651">
        <f t="shared" si="42"/>
        <v>7</v>
      </c>
      <c r="AD651">
        <f t="shared" si="43"/>
        <v>0</v>
      </c>
      <c r="AE651" s="62">
        <f>IF(I651="missing", IFERROR(INDEX([1]lookup!$I:$I, MATCH($A651, [1]lookup!$B:$B, 0)), 0), I651)</f>
        <v>0</v>
      </c>
    </row>
    <row r="652" spans="1:3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7"/>
      <c r="W652" s="36"/>
      <c r="X652" s="35"/>
      <c r="Y652" s="37"/>
      <c r="Z652" s="37"/>
      <c r="AA652">
        <f t="shared" si="40"/>
        <v>1900</v>
      </c>
      <c r="AB652">
        <f t="shared" si="41"/>
        <v>1</v>
      </c>
      <c r="AC652">
        <f t="shared" si="42"/>
        <v>7</v>
      </c>
      <c r="AD652">
        <f t="shared" si="43"/>
        <v>0</v>
      </c>
      <c r="AE652" s="62">
        <f>IF(I652="missing", IFERROR(INDEX([1]lookup!$I:$I, MATCH($A652, [1]lookup!$B:$B, 0)), 0), I652)</f>
        <v>0</v>
      </c>
    </row>
    <row r="653" spans="1:3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7"/>
      <c r="W653" s="36"/>
      <c r="X653" s="35"/>
      <c r="Y653" s="37"/>
      <c r="Z653" s="37"/>
      <c r="AA653">
        <f t="shared" si="40"/>
        <v>1900</v>
      </c>
      <c r="AB653">
        <f t="shared" si="41"/>
        <v>1</v>
      </c>
      <c r="AC653">
        <f t="shared" si="42"/>
        <v>7</v>
      </c>
      <c r="AD653">
        <f t="shared" si="43"/>
        <v>0</v>
      </c>
      <c r="AE653" s="62">
        <f>IF(I653="missing", IFERROR(INDEX([1]lookup!$I:$I, MATCH($A653, [1]lookup!$B:$B, 0)), 0), I653)</f>
        <v>0</v>
      </c>
    </row>
    <row r="654" spans="1:3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7"/>
      <c r="W654" s="36"/>
      <c r="X654" s="35"/>
      <c r="Y654" s="37"/>
      <c r="Z654" s="37"/>
      <c r="AA654">
        <f t="shared" si="40"/>
        <v>1900</v>
      </c>
      <c r="AB654">
        <f t="shared" si="41"/>
        <v>1</v>
      </c>
      <c r="AC654">
        <f t="shared" si="42"/>
        <v>7</v>
      </c>
      <c r="AD654">
        <f t="shared" si="43"/>
        <v>0</v>
      </c>
      <c r="AE654" s="62">
        <f>IF(I654="missing", IFERROR(INDEX([1]lookup!$I:$I, MATCH($A654, [1]lookup!$B:$B, 0)), 0), I654)</f>
        <v>0</v>
      </c>
    </row>
    <row r="655" spans="1:3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7"/>
      <c r="W655" s="36"/>
      <c r="X655" s="35"/>
      <c r="Y655" s="37"/>
      <c r="Z655" s="37"/>
      <c r="AA655">
        <f t="shared" si="40"/>
        <v>1900</v>
      </c>
      <c r="AB655">
        <f t="shared" si="41"/>
        <v>1</v>
      </c>
      <c r="AC655">
        <f t="shared" si="42"/>
        <v>7</v>
      </c>
      <c r="AD655">
        <f t="shared" si="43"/>
        <v>0</v>
      </c>
      <c r="AE655" s="62">
        <f>IF(I655="missing", IFERROR(INDEX([1]lookup!$I:$I, MATCH($A655, [1]lookup!$B:$B, 0)), 0), I655)</f>
        <v>0</v>
      </c>
    </row>
    <row r="656" spans="1:3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7"/>
      <c r="W656" s="36"/>
      <c r="X656" s="35"/>
      <c r="Y656" s="37"/>
      <c r="Z656" s="37"/>
      <c r="AA656">
        <f t="shared" si="40"/>
        <v>1900</v>
      </c>
      <c r="AB656">
        <f t="shared" si="41"/>
        <v>1</v>
      </c>
      <c r="AC656">
        <f t="shared" si="42"/>
        <v>7</v>
      </c>
      <c r="AD656">
        <f t="shared" si="43"/>
        <v>0</v>
      </c>
      <c r="AE656" s="62">
        <f>IF(I656="missing", IFERROR(INDEX([1]lookup!$I:$I, MATCH($A656, [1]lookup!$B:$B, 0)), 0), I656)</f>
        <v>0</v>
      </c>
    </row>
    <row r="657" spans="1:3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7"/>
      <c r="W657" s="36"/>
      <c r="X657" s="35"/>
      <c r="Y657" s="37"/>
      <c r="Z657" s="37"/>
      <c r="AA657">
        <f t="shared" si="40"/>
        <v>1900</v>
      </c>
      <c r="AB657">
        <f t="shared" si="41"/>
        <v>1</v>
      </c>
      <c r="AC657">
        <f t="shared" si="42"/>
        <v>7</v>
      </c>
      <c r="AD657">
        <f t="shared" si="43"/>
        <v>0</v>
      </c>
      <c r="AE657" s="62">
        <f>IF(I657="missing", IFERROR(INDEX([1]lookup!$I:$I, MATCH($A657, [1]lookup!$B:$B, 0)), 0), I657)</f>
        <v>0</v>
      </c>
    </row>
    <row r="658" spans="1:3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7"/>
      <c r="W658" s="36"/>
      <c r="X658" s="35"/>
      <c r="Y658" s="37"/>
      <c r="Z658" s="37"/>
      <c r="AA658">
        <f t="shared" si="40"/>
        <v>1900</v>
      </c>
      <c r="AB658">
        <f t="shared" si="41"/>
        <v>1</v>
      </c>
      <c r="AC658">
        <f t="shared" si="42"/>
        <v>7</v>
      </c>
      <c r="AD658">
        <f t="shared" si="43"/>
        <v>0</v>
      </c>
      <c r="AE658" s="62">
        <f>IF(I658="missing", IFERROR(INDEX([1]lookup!$I:$I, MATCH($A658, [1]lookup!$B:$B, 0)), 0), I658)</f>
        <v>0</v>
      </c>
    </row>
    <row r="659" spans="1:3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7"/>
      <c r="W659" s="36"/>
      <c r="X659" s="35"/>
      <c r="Y659" s="37"/>
      <c r="Z659" s="37"/>
      <c r="AA659">
        <f t="shared" si="40"/>
        <v>1900</v>
      </c>
      <c r="AB659">
        <f t="shared" si="41"/>
        <v>1</v>
      </c>
      <c r="AC659">
        <f t="shared" si="42"/>
        <v>7</v>
      </c>
      <c r="AD659">
        <f t="shared" si="43"/>
        <v>0</v>
      </c>
      <c r="AE659" s="62">
        <f>IF(I659="missing", IFERROR(INDEX([1]lookup!$I:$I, MATCH($A659, [1]lookup!$B:$B, 0)), 0), I659)</f>
        <v>0</v>
      </c>
    </row>
    <row r="660" spans="1:3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7"/>
      <c r="W660" s="36"/>
      <c r="X660" s="35"/>
      <c r="Y660" s="37"/>
      <c r="Z660" s="37"/>
      <c r="AA660">
        <f t="shared" si="40"/>
        <v>1900</v>
      </c>
      <c r="AB660">
        <f t="shared" si="41"/>
        <v>1</v>
      </c>
      <c r="AC660">
        <f t="shared" si="42"/>
        <v>7</v>
      </c>
      <c r="AD660">
        <f t="shared" si="43"/>
        <v>0</v>
      </c>
      <c r="AE660" s="62">
        <f>IF(I660="missing", IFERROR(INDEX([1]lookup!$I:$I, MATCH($A660, [1]lookup!$B:$B, 0)), 0), I660)</f>
        <v>0</v>
      </c>
    </row>
    <row r="661" spans="1:3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7"/>
      <c r="W661" s="36"/>
      <c r="X661" s="35"/>
      <c r="Y661" s="37"/>
      <c r="Z661" s="37"/>
      <c r="AA661">
        <f t="shared" si="40"/>
        <v>1900</v>
      </c>
      <c r="AB661">
        <f t="shared" si="41"/>
        <v>1</v>
      </c>
      <c r="AC661">
        <f t="shared" si="42"/>
        <v>7</v>
      </c>
      <c r="AD661">
        <f t="shared" si="43"/>
        <v>0</v>
      </c>
      <c r="AE661" s="62">
        <f>IF(I661="missing", IFERROR(INDEX([1]lookup!$I:$I, MATCH($A661, [1]lookup!$B:$B, 0)), 0), I661)</f>
        <v>0</v>
      </c>
    </row>
    <row r="662" spans="1:3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7"/>
      <c r="W662" s="36"/>
      <c r="X662" s="35"/>
      <c r="Y662" s="37"/>
      <c r="Z662" s="37"/>
      <c r="AA662">
        <f t="shared" si="40"/>
        <v>1900</v>
      </c>
      <c r="AB662">
        <f t="shared" si="41"/>
        <v>1</v>
      </c>
      <c r="AC662">
        <f t="shared" si="42"/>
        <v>7</v>
      </c>
      <c r="AD662">
        <f t="shared" si="43"/>
        <v>0</v>
      </c>
      <c r="AE662" s="62">
        <f>IF(I662="missing", IFERROR(INDEX([1]lookup!$I:$I, MATCH($A662, [1]lookup!$B:$B, 0)), 0), I662)</f>
        <v>0</v>
      </c>
    </row>
    <row r="663" spans="1:3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7"/>
      <c r="W663" s="36"/>
      <c r="X663" s="35"/>
      <c r="Y663" s="37"/>
      <c r="Z663" s="37"/>
      <c r="AA663">
        <f t="shared" si="40"/>
        <v>1900</v>
      </c>
      <c r="AB663">
        <f t="shared" si="41"/>
        <v>1</v>
      </c>
      <c r="AC663">
        <f t="shared" si="42"/>
        <v>7</v>
      </c>
      <c r="AD663">
        <f t="shared" si="43"/>
        <v>0</v>
      </c>
      <c r="AE663" s="62">
        <f>IF(I663="missing", IFERROR(INDEX([1]lookup!$I:$I, MATCH($A663, [1]lookup!$B:$B, 0)), 0), I663)</f>
        <v>0</v>
      </c>
    </row>
    <row r="664" spans="1:3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7"/>
      <c r="W664" s="36"/>
      <c r="X664" s="35"/>
      <c r="Y664" s="37"/>
      <c r="Z664" s="37"/>
      <c r="AA664">
        <f t="shared" si="40"/>
        <v>1900</v>
      </c>
      <c r="AB664">
        <f t="shared" si="41"/>
        <v>1</v>
      </c>
      <c r="AC664">
        <f t="shared" si="42"/>
        <v>7</v>
      </c>
      <c r="AD664">
        <f t="shared" si="43"/>
        <v>0</v>
      </c>
      <c r="AE664" s="62">
        <f>IF(I664="missing", IFERROR(INDEX([1]lookup!$I:$I, MATCH($A664, [1]lookup!$B:$B, 0)), 0), I664)</f>
        <v>0</v>
      </c>
    </row>
    <row r="665" spans="1:3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7"/>
      <c r="W665" s="36"/>
      <c r="X665" s="35"/>
      <c r="Y665" s="37"/>
      <c r="Z665" s="37"/>
      <c r="AA665">
        <f t="shared" si="40"/>
        <v>1900</v>
      </c>
      <c r="AB665">
        <f t="shared" si="41"/>
        <v>1</v>
      </c>
      <c r="AC665">
        <f t="shared" si="42"/>
        <v>7</v>
      </c>
      <c r="AD665">
        <f t="shared" si="43"/>
        <v>0</v>
      </c>
      <c r="AE665" s="62">
        <f>IF(I665="missing", IFERROR(INDEX([1]lookup!$I:$I, MATCH($A665, [1]lookup!$B:$B, 0)), 0), I665)</f>
        <v>0</v>
      </c>
    </row>
    <row r="666" spans="1:3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7"/>
      <c r="W666" s="36"/>
      <c r="X666" s="35"/>
      <c r="Y666" s="37"/>
      <c r="Z666" s="37"/>
      <c r="AA666">
        <f t="shared" si="40"/>
        <v>1900</v>
      </c>
      <c r="AB666">
        <f t="shared" si="41"/>
        <v>1</v>
      </c>
      <c r="AC666">
        <f t="shared" si="42"/>
        <v>7</v>
      </c>
      <c r="AD666">
        <f t="shared" si="43"/>
        <v>0</v>
      </c>
      <c r="AE666" s="62">
        <f>IF(I666="missing", IFERROR(INDEX([1]lookup!$I:$I, MATCH($A666, [1]lookup!$B:$B, 0)), 0), I666)</f>
        <v>0</v>
      </c>
    </row>
    <row r="667" spans="1:3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7"/>
      <c r="W667" s="36"/>
      <c r="X667" s="35"/>
      <c r="Y667" s="37"/>
      <c r="Z667" s="37"/>
      <c r="AA667">
        <f t="shared" si="40"/>
        <v>1900</v>
      </c>
      <c r="AB667">
        <f t="shared" si="41"/>
        <v>1</v>
      </c>
      <c r="AC667">
        <f t="shared" si="42"/>
        <v>7</v>
      </c>
      <c r="AD667">
        <f t="shared" si="43"/>
        <v>0</v>
      </c>
      <c r="AE667" s="62">
        <f>IF(I667="missing", IFERROR(INDEX([1]lookup!$I:$I, MATCH($A667, [1]lookup!$B:$B, 0)), 0), I667)</f>
        <v>0</v>
      </c>
    </row>
    <row r="668" spans="1:3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7"/>
      <c r="W668" s="36"/>
      <c r="X668" s="35"/>
      <c r="Y668" s="37"/>
      <c r="Z668" s="37"/>
      <c r="AA668">
        <f t="shared" si="40"/>
        <v>1900</v>
      </c>
      <c r="AB668">
        <f t="shared" si="41"/>
        <v>1</v>
      </c>
      <c r="AC668">
        <f t="shared" si="42"/>
        <v>7</v>
      </c>
      <c r="AD668">
        <f t="shared" si="43"/>
        <v>0</v>
      </c>
      <c r="AE668" s="62">
        <f>IF(I668="missing", IFERROR(INDEX([1]lookup!$I:$I, MATCH($A668, [1]lookup!$B:$B, 0)), 0), I668)</f>
        <v>0</v>
      </c>
    </row>
    <row r="669" spans="1:3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7"/>
      <c r="W669" s="36"/>
      <c r="X669" s="35"/>
      <c r="Y669" s="37"/>
      <c r="Z669" s="37"/>
      <c r="AA669">
        <f t="shared" si="40"/>
        <v>1900</v>
      </c>
      <c r="AB669">
        <f t="shared" si="41"/>
        <v>1</v>
      </c>
      <c r="AC669">
        <f t="shared" si="42"/>
        <v>7</v>
      </c>
      <c r="AD669">
        <f t="shared" si="43"/>
        <v>0</v>
      </c>
      <c r="AE669" s="62">
        <f>IF(I669="missing", IFERROR(INDEX([1]lookup!$I:$I, MATCH($A669, [1]lookup!$B:$B, 0)), 0), I669)</f>
        <v>0</v>
      </c>
    </row>
    <row r="670" spans="1:3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7"/>
      <c r="W670" s="36"/>
      <c r="X670" s="35"/>
      <c r="Y670" s="37"/>
      <c r="Z670" s="37"/>
      <c r="AA670">
        <f t="shared" si="40"/>
        <v>1900</v>
      </c>
      <c r="AB670">
        <f t="shared" si="41"/>
        <v>1</v>
      </c>
      <c r="AC670">
        <f t="shared" si="42"/>
        <v>7</v>
      </c>
      <c r="AD670">
        <f t="shared" si="43"/>
        <v>0</v>
      </c>
      <c r="AE670" s="62">
        <f>IF(I670="missing", IFERROR(INDEX([1]lookup!$I:$I, MATCH($A670, [1]lookup!$B:$B, 0)), 0), I670)</f>
        <v>0</v>
      </c>
    </row>
    <row r="671" spans="1:3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7"/>
      <c r="W671" s="36"/>
      <c r="X671" s="35"/>
      <c r="Y671" s="37"/>
      <c r="Z671" s="37"/>
      <c r="AA671">
        <f t="shared" si="40"/>
        <v>1900</v>
      </c>
      <c r="AB671">
        <f t="shared" si="41"/>
        <v>1</v>
      </c>
      <c r="AC671">
        <f t="shared" si="42"/>
        <v>7</v>
      </c>
      <c r="AD671">
        <f t="shared" si="43"/>
        <v>0</v>
      </c>
      <c r="AE671" s="62">
        <f>IF(I671="missing", IFERROR(INDEX([1]lookup!$I:$I, MATCH($A671, [1]lookup!$B:$B, 0)), 0), I671)</f>
        <v>0</v>
      </c>
    </row>
    <row r="672" spans="1:3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7"/>
      <c r="W672" s="36"/>
      <c r="X672" s="35"/>
      <c r="Y672" s="37"/>
      <c r="Z672" s="37"/>
      <c r="AA672">
        <f t="shared" si="40"/>
        <v>1900</v>
      </c>
      <c r="AB672">
        <f t="shared" si="41"/>
        <v>1</v>
      </c>
      <c r="AC672">
        <f t="shared" si="42"/>
        <v>7</v>
      </c>
      <c r="AD672">
        <f t="shared" si="43"/>
        <v>0</v>
      </c>
      <c r="AE672" s="62">
        <f>IF(I672="missing", IFERROR(INDEX([1]lookup!$I:$I, MATCH($A672, [1]lookup!$B:$B, 0)), 0), I672)</f>
        <v>0</v>
      </c>
    </row>
    <row r="673" spans="1:3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7"/>
      <c r="W673" s="36"/>
      <c r="X673" s="35"/>
      <c r="Y673" s="37"/>
      <c r="Z673" s="37"/>
      <c r="AA673">
        <f t="shared" si="40"/>
        <v>1900</v>
      </c>
      <c r="AB673">
        <f t="shared" si="41"/>
        <v>1</v>
      </c>
      <c r="AC673">
        <f t="shared" si="42"/>
        <v>7</v>
      </c>
      <c r="AD673">
        <f t="shared" si="43"/>
        <v>0</v>
      </c>
      <c r="AE673" s="62">
        <f>IF(I673="missing", IFERROR(INDEX([1]lookup!$I:$I, MATCH($A673, [1]lookup!$B:$B, 0)), 0), I673)</f>
        <v>0</v>
      </c>
    </row>
    <row r="674" spans="1:3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7"/>
      <c r="W674" s="36"/>
      <c r="X674" s="35"/>
      <c r="Y674" s="37"/>
      <c r="Z674" s="37"/>
      <c r="AA674">
        <f t="shared" si="40"/>
        <v>1900</v>
      </c>
      <c r="AB674">
        <f t="shared" si="41"/>
        <v>1</v>
      </c>
      <c r="AC674">
        <f t="shared" si="42"/>
        <v>7</v>
      </c>
      <c r="AD674">
        <f t="shared" si="43"/>
        <v>0</v>
      </c>
      <c r="AE674" s="62">
        <f>IF(I674="missing", IFERROR(INDEX([1]lookup!$I:$I, MATCH($A674, [1]lookup!$B:$B, 0)), 0), I674)</f>
        <v>0</v>
      </c>
    </row>
    <row r="675" spans="1:3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7"/>
      <c r="W675" s="36"/>
      <c r="X675" s="35"/>
      <c r="Y675" s="37"/>
      <c r="Z675" s="37"/>
      <c r="AA675">
        <f t="shared" si="40"/>
        <v>1900</v>
      </c>
      <c r="AB675">
        <f t="shared" si="41"/>
        <v>1</v>
      </c>
      <c r="AC675">
        <f t="shared" si="42"/>
        <v>7</v>
      </c>
      <c r="AD675">
        <f t="shared" si="43"/>
        <v>0</v>
      </c>
      <c r="AE675" s="62">
        <f>IF(I675="missing", IFERROR(INDEX([1]lookup!$I:$I, MATCH($A675, [1]lookup!$B:$B, 0)), 0), I675)</f>
        <v>0</v>
      </c>
    </row>
    <row r="676" spans="1:3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7"/>
      <c r="W676" s="36"/>
      <c r="X676" s="35"/>
      <c r="Y676" s="37"/>
      <c r="Z676" s="37"/>
      <c r="AA676">
        <f t="shared" si="40"/>
        <v>1900</v>
      </c>
      <c r="AB676">
        <f t="shared" si="41"/>
        <v>1</v>
      </c>
      <c r="AC676">
        <f t="shared" si="42"/>
        <v>7</v>
      </c>
      <c r="AD676">
        <f t="shared" si="43"/>
        <v>0</v>
      </c>
      <c r="AE676" s="62">
        <f>IF(I676="missing", IFERROR(INDEX([1]lookup!$I:$I, MATCH($A676, [1]lookup!$B:$B, 0)), 0), I676)</f>
        <v>0</v>
      </c>
    </row>
    <row r="677" spans="1:3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7"/>
      <c r="W677" s="36"/>
      <c r="X677" s="35"/>
      <c r="Y677" s="37"/>
      <c r="Z677" s="37"/>
      <c r="AA677">
        <f t="shared" si="40"/>
        <v>1900</v>
      </c>
      <c r="AB677">
        <f t="shared" si="41"/>
        <v>1</v>
      </c>
      <c r="AC677">
        <f t="shared" si="42"/>
        <v>7</v>
      </c>
      <c r="AD677">
        <f t="shared" si="43"/>
        <v>0</v>
      </c>
      <c r="AE677" s="62">
        <f>IF(I677="missing", IFERROR(INDEX([1]lookup!$I:$I, MATCH($A677, [1]lookup!$B:$B, 0)), 0), I677)</f>
        <v>0</v>
      </c>
    </row>
    <row r="678" spans="1:3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7"/>
      <c r="W678" s="36"/>
      <c r="X678" s="35"/>
      <c r="Y678" s="37"/>
      <c r="Z678" s="37"/>
      <c r="AA678">
        <f t="shared" si="40"/>
        <v>1900</v>
      </c>
      <c r="AB678">
        <f t="shared" si="41"/>
        <v>1</v>
      </c>
      <c r="AC678">
        <f t="shared" si="42"/>
        <v>7</v>
      </c>
      <c r="AD678">
        <f t="shared" si="43"/>
        <v>0</v>
      </c>
      <c r="AE678" s="62">
        <f>IF(I678="missing", IFERROR(INDEX([1]lookup!$I:$I, MATCH($A678, [1]lookup!$B:$B, 0)), 0), I678)</f>
        <v>0</v>
      </c>
    </row>
    <row r="679" spans="1:3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7"/>
      <c r="W679" s="36"/>
      <c r="X679" s="35"/>
      <c r="Y679" s="37"/>
      <c r="Z679" s="37"/>
      <c r="AA679">
        <f t="shared" si="40"/>
        <v>1900</v>
      </c>
      <c r="AB679">
        <f t="shared" si="41"/>
        <v>1</v>
      </c>
      <c r="AC679">
        <f t="shared" si="42"/>
        <v>7</v>
      </c>
      <c r="AD679">
        <f t="shared" si="43"/>
        <v>0</v>
      </c>
      <c r="AE679" s="62">
        <f>IF(I679="missing", IFERROR(INDEX([1]lookup!$I:$I, MATCH($A679, [1]lookup!$B:$B, 0)), 0), I679)</f>
        <v>0</v>
      </c>
    </row>
    <row r="680" spans="1:3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7"/>
      <c r="W680" s="36"/>
      <c r="X680" s="35"/>
      <c r="Y680" s="37"/>
      <c r="Z680" s="37"/>
      <c r="AA680">
        <f t="shared" si="40"/>
        <v>1900</v>
      </c>
      <c r="AB680">
        <f t="shared" si="41"/>
        <v>1</v>
      </c>
      <c r="AC680">
        <f t="shared" si="42"/>
        <v>7</v>
      </c>
      <c r="AD680">
        <f t="shared" si="43"/>
        <v>0</v>
      </c>
      <c r="AE680" s="62">
        <f>IF(I680="missing", IFERROR(INDEX([1]lookup!$I:$I, MATCH($A680, [1]lookup!$B:$B, 0)), 0), I680)</f>
        <v>0</v>
      </c>
    </row>
    <row r="681" spans="1:3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7"/>
      <c r="W681" s="36"/>
      <c r="X681" s="35"/>
      <c r="Y681" s="37"/>
      <c r="Z681" s="37"/>
      <c r="AA681">
        <f t="shared" si="40"/>
        <v>1900</v>
      </c>
      <c r="AB681">
        <f t="shared" si="41"/>
        <v>1</v>
      </c>
      <c r="AC681">
        <f t="shared" si="42"/>
        <v>7</v>
      </c>
      <c r="AD681">
        <f t="shared" si="43"/>
        <v>0</v>
      </c>
      <c r="AE681" s="62">
        <f>IF(I681="missing", IFERROR(INDEX([1]lookup!$I:$I, MATCH($A681, [1]lookup!$B:$B, 0)), 0), I681)</f>
        <v>0</v>
      </c>
    </row>
    <row r="682" spans="1:3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7"/>
      <c r="W682" s="36"/>
      <c r="X682" s="35"/>
      <c r="Y682" s="37"/>
      <c r="Z682" s="37"/>
      <c r="AA682">
        <f t="shared" si="40"/>
        <v>1900</v>
      </c>
      <c r="AB682">
        <f t="shared" si="41"/>
        <v>1</v>
      </c>
      <c r="AC682">
        <f t="shared" si="42"/>
        <v>7</v>
      </c>
      <c r="AD682">
        <f t="shared" si="43"/>
        <v>0</v>
      </c>
      <c r="AE682" s="62">
        <f>IF(I682="missing", IFERROR(INDEX([1]lookup!$I:$I, MATCH($A682, [1]lookup!$B:$B, 0)), 0), I682)</f>
        <v>0</v>
      </c>
    </row>
    <row r="683" spans="1:3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7"/>
      <c r="W683" s="36"/>
      <c r="X683" s="35"/>
      <c r="Y683" s="37"/>
      <c r="Z683" s="37"/>
      <c r="AA683">
        <f t="shared" si="40"/>
        <v>1900</v>
      </c>
      <c r="AB683">
        <f t="shared" si="41"/>
        <v>1</v>
      </c>
      <c r="AC683">
        <f t="shared" si="42"/>
        <v>7</v>
      </c>
      <c r="AD683">
        <f t="shared" si="43"/>
        <v>0</v>
      </c>
      <c r="AE683" s="62">
        <f>IF(I683="missing", IFERROR(INDEX([1]lookup!$I:$I, MATCH($A683, [1]lookup!$B:$B, 0)), 0), I683)</f>
        <v>0</v>
      </c>
    </row>
    <row r="684" spans="1:3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7"/>
      <c r="W684" s="36"/>
      <c r="X684" s="35"/>
      <c r="Y684" s="37"/>
      <c r="Z684" s="37"/>
      <c r="AA684">
        <f t="shared" si="40"/>
        <v>1900</v>
      </c>
      <c r="AB684">
        <f t="shared" si="41"/>
        <v>1</v>
      </c>
      <c r="AC684">
        <f t="shared" si="42"/>
        <v>7</v>
      </c>
      <c r="AD684">
        <f t="shared" si="43"/>
        <v>0</v>
      </c>
      <c r="AE684" s="62">
        <f>IF(I684="missing", IFERROR(INDEX([1]lookup!$I:$I, MATCH($A684, [1]lookup!$B:$B, 0)), 0), I684)</f>
        <v>0</v>
      </c>
    </row>
    <row r="685" spans="1:3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7"/>
      <c r="W685" s="36"/>
      <c r="X685" s="35"/>
      <c r="Y685" s="37"/>
      <c r="Z685" s="37"/>
      <c r="AA685">
        <f t="shared" si="40"/>
        <v>1900</v>
      </c>
      <c r="AB685">
        <f t="shared" si="41"/>
        <v>1</v>
      </c>
      <c r="AC685">
        <f t="shared" si="42"/>
        <v>7</v>
      </c>
      <c r="AD685">
        <f t="shared" si="43"/>
        <v>0</v>
      </c>
      <c r="AE685" s="62">
        <f>IF(I685="missing", IFERROR(INDEX([1]lookup!$I:$I, MATCH($A685, [1]lookup!$B:$B, 0)), 0), I685)</f>
        <v>0</v>
      </c>
    </row>
    <row r="686" spans="1:3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7"/>
      <c r="W686" s="36"/>
      <c r="X686" s="35"/>
      <c r="Y686" s="37"/>
      <c r="Z686" s="37"/>
      <c r="AA686">
        <f t="shared" si="40"/>
        <v>1900</v>
      </c>
      <c r="AB686">
        <f t="shared" si="41"/>
        <v>1</v>
      </c>
      <c r="AC686">
        <f t="shared" si="42"/>
        <v>7</v>
      </c>
      <c r="AD686">
        <f t="shared" si="43"/>
        <v>0</v>
      </c>
      <c r="AE686" s="62">
        <f>IF(I686="missing", IFERROR(INDEX([1]lookup!$I:$I, MATCH($A686, [1]lookup!$B:$B, 0)), 0), I686)</f>
        <v>0</v>
      </c>
    </row>
    <row r="687" spans="1:3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7"/>
      <c r="W687" s="36"/>
      <c r="X687" s="35"/>
      <c r="Y687" s="37"/>
      <c r="Z687" s="37"/>
      <c r="AA687">
        <f t="shared" si="40"/>
        <v>1900</v>
      </c>
      <c r="AB687">
        <f t="shared" si="41"/>
        <v>1</v>
      </c>
      <c r="AC687">
        <f t="shared" si="42"/>
        <v>7</v>
      </c>
      <c r="AD687">
        <f t="shared" si="43"/>
        <v>0</v>
      </c>
      <c r="AE687" s="62">
        <f>IF(I687="missing", IFERROR(INDEX([1]lookup!$I:$I, MATCH($A687, [1]lookup!$B:$B, 0)), 0), I687)</f>
        <v>0</v>
      </c>
    </row>
    <row r="688" spans="1:3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7"/>
      <c r="W688" s="36"/>
      <c r="X688" s="35"/>
      <c r="Y688" s="37"/>
      <c r="Z688" s="37"/>
      <c r="AA688">
        <f t="shared" si="40"/>
        <v>1900</v>
      </c>
      <c r="AB688">
        <f t="shared" si="41"/>
        <v>1</v>
      </c>
      <c r="AC688">
        <f t="shared" si="42"/>
        <v>7</v>
      </c>
      <c r="AD688">
        <f t="shared" si="43"/>
        <v>0</v>
      </c>
      <c r="AE688" s="62">
        <f>IF(I688="missing", IFERROR(INDEX([1]lookup!$I:$I, MATCH($A688, [1]lookup!$B:$B, 0)), 0), I688)</f>
        <v>0</v>
      </c>
    </row>
    <row r="689" spans="1:3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7"/>
      <c r="W689" s="36"/>
      <c r="X689" s="35"/>
      <c r="Y689" s="37"/>
      <c r="Z689" s="37"/>
      <c r="AA689">
        <f t="shared" si="40"/>
        <v>1900</v>
      </c>
      <c r="AB689">
        <f t="shared" si="41"/>
        <v>1</v>
      </c>
      <c r="AC689">
        <f t="shared" si="42"/>
        <v>7</v>
      </c>
      <c r="AD689">
        <f t="shared" si="43"/>
        <v>0</v>
      </c>
      <c r="AE689" s="62">
        <f>IF(I689="missing", IFERROR(INDEX([1]lookup!$I:$I, MATCH($A689, [1]lookup!$B:$B, 0)), 0), I689)</f>
        <v>0</v>
      </c>
    </row>
    <row r="690" spans="1:3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7"/>
      <c r="W690" s="36"/>
      <c r="X690" s="35"/>
      <c r="Y690" s="37"/>
      <c r="Z690" s="37"/>
      <c r="AA690">
        <f t="shared" si="40"/>
        <v>1900</v>
      </c>
      <c r="AB690">
        <f t="shared" si="41"/>
        <v>1</v>
      </c>
      <c r="AC690">
        <f t="shared" si="42"/>
        <v>7</v>
      </c>
      <c r="AD690">
        <f t="shared" si="43"/>
        <v>0</v>
      </c>
      <c r="AE690" s="62">
        <f>IF(I690="missing", IFERROR(INDEX([1]lookup!$I:$I, MATCH($A690, [1]lookup!$B:$B, 0)), 0), I690)</f>
        <v>0</v>
      </c>
    </row>
    <row r="691" spans="1:3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7"/>
      <c r="W691" s="36"/>
      <c r="X691" s="35"/>
      <c r="Y691" s="37"/>
      <c r="Z691" s="37"/>
      <c r="AA691">
        <f t="shared" si="40"/>
        <v>1900</v>
      </c>
      <c r="AB691">
        <f t="shared" si="41"/>
        <v>1</v>
      </c>
      <c r="AC691">
        <f t="shared" si="42"/>
        <v>7</v>
      </c>
      <c r="AD691">
        <f t="shared" si="43"/>
        <v>0</v>
      </c>
      <c r="AE691" s="62">
        <f>IF(I691="missing", IFERROR(INDEX([1]lookup!$I:$I, MATCH($A691, [1]lookup!$B:$B, 0)), 0), I691)</f>
        <v>0</v>
      </c>
    </row>
    <row r="692" spans="1:3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7"/>
      <c r="W692" s="36"/>
      <c r="X692" s="35"/>
      <c r="Y692" s="37"/>
      <c r="Z692" s="37"/>
      <c r="AA692">
        <f t="shared" si="40"/>
        <v>1900</v>
      </c>
      <c r="AB692">
        <f t="shared" si="41"/>
        <v>1</v>
      </c>
      <c r="AC692">
        <f t="shared" si="42"/>
        <v>7</v>
      </c>
      <c r="AD692">
        <f t="shared" si="43"/>
        <v>0</v>
      </c>
      <c r="AE692" s="62">
        <f>IF(I692="missing", IFERROR(INDEX([1]lookup!$I:$I, MATCH($A692, [1]lookup!$B:$B, 0)), 0), I692)</f>
        <v>0</v>
      </c>
    </row>
    <row r="693" spans="1:3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7"/>
      <c r="W693" s="36"/>
      <c r="X693" s="35"/>
      <c r="Y693" s="37"/>
      <c r="Z693" s="37"/>
      <c r="AA693">
        <f t="shared" si="40"/>
        <v>1900</v>
      </c>
      <c r="AB693">
        <f t="shared" si="41"/>
        <v>1</v>
      </c>
      <c r="AC693">
        <f t="shared" si="42"/>
        <v>7</v>
      </c>
      <c r="AD693">
        <f t="shared" si="43"/>
        <v>0</v>
      </c>
      <c r="AE693" s="62">
        <f>IF(I693="missing", IFERROR(INDEX([1]lookup!$I:$I, MATCH($A693, [1]lookup!$B:$B, 0)), 0), I693)</f>
        <v>0</v>
      </c>
    </row>
    <row r="694" spans="1:3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7"/>
      <c r="W694" s="36"/>
      <c r="X694" s="35"/>
      <c r="Y694" s="37"/>
      <c r="Z694" s="37"/>
      <c r="AA694">
        <f t="shared" si="40"/>
        <v>1900</v>
      </c>
      <c r="AB694">
        <f t="shared" si="41"/>
        <v>1</v>
      </c>
      <c r="AC694">
        <f t="shared" si="42"/>
        <v>7</v>
      </c>
      <c r="AD694">
        <f t="shared" si="43"/>
        <v>0</v>
      </c>
      <c r="AE694" s="62">
        <f>IF(I694="missing", IFERROR(INDEX([1]lookup!$I:$I, MATCH($A694, [1]lookup!$B:$B, 0)), 0), I694)</f>
        <v>0</v>
      </c>
    </row>
    <row r="695" spans="1:3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7"/>
      <c r="W695" s="36"/>
      <c r="X695" s="35"/>
      <c r="Y695" s="37"/>
      <c r="Z695" s="37"/>
      <c r="AA695">
        <f t="shared" si="40"/>
        <v>1900</v>
      </c>
      <c r="AB695">
        <f t="shared" si="41"/>
        <v>1</v>
      </c>
      <c r="AC695">
        <f t="shared" si="42"/>
        <v>7</v>
      </c>
      <c r="AD695">
        <f t="shared" si="43"/>
        <v>0</v>
      </c>
      <c r="AE695" s="62">
        <f>IF(I695="missing", IFERROR(INDEX([1]lookup!$I:$I, MATCH($A695, [1]lookup!$B:$B, 0)), 0), I695)</f>
        <v>0</v>
      </c>
    </row>
    <row r="696" spans="1:3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7"/>
      <c r="W696" s="36"/>
      <c r="X696" s="35"/>
      <c r="Y696" s="37"/>
      <c r="Z696" s="37"/>
      <c r="AA696">
        <f t="shared" si="40"/>
        <v>1900</v>
      </c>
      <c r="AB696">
        <f t="shared" si="41"/>
        <v>1</v>
      </c>
      <c r="AC696">
        <f t="shared" si="42"/>
        <v>7</v>
      </c>
      <c r="AD696">
        <f t="shared" si="43"/>
        <v>0</v>
      </c>
      <c r="AE696" s="62">
        <f>IF(I696="missing", IFERROR(INDEX([1]lookup!$I:$I, MATCH($A696, [1]lookup!$B:$B, 0)), 0), I696)</f>
        <v>0</v>
      </c>
    </row>
    <row r="697" spans="1:3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7"/>
      <c r="W697" s="36"/>
      <c r="X697" s="35"/>
      <c r="Y697" s="37"/>
      <c r="Z697" s="37"/>
      <c r="AA697">
        <f t="shared" si="40"/>
        <v>1900</v>
      </c>
      <c r="AB697">
        <f t="shared" si="41"/>
        <v>1</v>
      </c>
      <c r="AC697">
        <f t="shared" si="42"/>
        <v>7</v>
      </c>
      <c r="AD697">
        <f t="shared" si="43"/>
        <v>0</v>
      </c>
      <c r="AE697" s="62">
        <f>IF(I697="missing", IFERROR(INDEX([1]lookup!$I:$I, MATCH($A697, [1]lookup!$B:$B, 0)), 0), I697)</f>
        <v>0</v>
      </c>
    </row>
    <row r="698" spans="1:3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7"/>
      <c r="W698" s="36"/>
      <c r="X698" s="35"/>
      <c r="Y698" s="37"/>
      <c r="Z698" s="37"/>
      <c r="AA698">
        <f t="shared" si="40"/>
        <v>1900</v>
      </c>
      <c r="AB698">
        <f t="shared" si="41"/>
        <v>1</v>
      </c>
      <c r="AC698">
        <f t="shared" si="42"/>
        <v>7</v>
      </c>
      <c r="AD698">
        <f t="shared" si="43"/>
        <v>0</v>
      </c>
      <c r="AE698" s="62">
        <f>IF(I698="missing", IFERROR(INDEX([1]lookup!$I:$I, MATCH($A698, [1]lookup!$B:$B, 0)), 0), I698)</f>
        <v>0</v>
      </c>
    </row>
    <row r="699" spans="1:3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7"/>
      <c r="W699" s="36"/>
      <c r="X699" s="35"/>
      <c r="Y699" s="37"/>
      <c r="Z699" s="37"/>
      <c r="AA699">
        <f t="shared" si="40"/>
        <v>1900</v>
      </c>
      <c r="AB699">
        <f t="shared" si="41"/>
        <v>1</v>
      </c>
      <c r="AC699">
        <f t="shared" si="42"/>
        <v>7</v>
      </c>
      <c r="AD699">
        <f t="shared" si="43"/>
        <v>0</v>
      </c>
      <c r="AE699" s="62">
        <f>IF(I699="missing", IFERROR(INDEX([1]lookup!$I:$I, MATCH($A699, [1]lookup!$B:$B, 0)), 0), I699)</f>
        <v>0</v>
      </c>
    </row>
    <row r="700" spans="1:3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7"/>
      <c r="W700" s="36"/>
      <c r="X700" s="35"/>
      <c r="Y700" s="37"/>
      <c r="Z700" s="37"/>
      <c r="AA700">
        <f t="shared" si="40"/>
        <v>1900</v>
      </c>
      <c r="AB700">
        <f t="shared" si="41"/>
        <v>1</v>
      </c>
      <c r="AC700">
        <f t="shared" si="42"/>
        <v>7</v>
      </c>
      <c r="AD700">
        <f t="shared" si="43"/>
        <v>0</v>
      </c>
      <c r="AE700" s="62">
        <f>IF(I700="missing", IFERROR(INDEX([1]lookup!$I:$I, MATCH($A700, [1]lookup!$B:$B, 0)), 0), I700)</f>
        <v>0</v>
      </c>
    </row>
    <row r="701" spans="1:3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7"/>
      <c r="W701" s="36"/>
      <c r="X701" s="35"/>
      <c r="Y701" s="37"/>
      <c r="Z701" s="37"/>
      <c r="AA701">
        <f t="shared" si="40"/>
        <v>1900</v>
      </c>
      <c r="AB701">
        <f t="shared" si="41"/>
        <v>1</v>
      </c>
      <c r="AC701">
        <f t="shared" si="42"/>
        <v>7</v>
      </c>
      <c r="AD701">
        <f t="shared" si="43"/>
        <v>0</v>
      </c>
      <c r="AE701" s="62">
        <f>IF(I701="missing", IFERROR(INDEX([1]lookup!$I:$I, MATCH($A701, [1]lookup!$B:$B, 0)), 0), I701)</f>
        <v>0</v>
      </c>
    </row>
    <row r="702" spans="1:3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7"/>
      <c r="W702" s="36"/>
      <c r="X702" s="35"/>
      <c r="Y702" s="37"/>
      <c r="Z702" s="37"/>
      <c r="AA702">
        <f t="shared" si="40"/>
        <v>1900</v>
      </c>
      <c r="AB702">
        <f t="shared" si="41"/>
        <v>1</v>
      </c>
      <c r="AC702">
        <f t="shared" si="42"/>
        <v>7</v>
      </c>
      <c r="AD702">
        <f t="shared" si="43"/>
        <v>0</v>
      </c>
      <c r="AE702" s="62">
        <f>IF(I702="missing", IFERROR(INDEX([1]lookup!$I:$I, MATCH($A702, [1]lookup!$B:$B, 0)), 0), I702)</f>
        <v>0</v>
      </c>
    </row>
    <row r="703" spans="1:3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7"/>
      <c r="W703" s="36"/>
      <c r="X703" s="35"/>
      <c r="Y703" s="37"/>
      <c r="Z703" s="37"/>
      <c r="AA703">
        <f t="shared" si="40"/>
        <v>1900</v>
      </c>
      <c r="AB703">
        <f t="shared" si="41"/>
        <v>1</v>
      </c>
      <c r="AC703">
        <f t="shared" si="42"/>
        <v>7</v>
      </c>
      <c r="AD703">
        <f t="shared" si="43"/>
        <v>0</v>
      </c>
      <c r="AE703" s="62">
        <f>IF(I703="missing", IFERROR(INDEX([1]lookup!$I:$I, MATCH($A703, [1]lookup!$B:$B, 0)), 0), I703)</f>
        <v>0</v>
      </c>
    </row>
    <row r="704" spans="1:3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7"/>
      <c r="W704" s="36"/>
      <c r="X704" s="35"/>
      <c r="Y704" s="37"/>
      <c r="Z704" s="37"/>
      <c r="AA704">
        <f t="shared" si="40"/>
        <v>1900</v>
      </c>
      <c r="AB704">
        <f t="shared" si="41"/>
        <v>1</v>
      </c>
      <c r="AC704">
        <f t="shared" si="42"/>
        <v>7</v>
      </c>
      <c r="AD704">
        <f t="shared" si="43"/>
        <v>0</v>
      </c>
      <c r="AE704" s="62">
        <f>IF(I704="missing", IFERROR(INDEX([1]lookup!$I:$I, MATCH($A704, [1]lookup!$B:$B, 0)), 0), I704)</f>
        <v>0</v>
      </c>
    </row>
    <row r="705" spans="1:3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7"/>
      <c r="W705" s="36"/>
      <c r="X705" s="35"/>
      <c r="Y705" s="37"/>
      <c r="Z705" s="37"/>
      <c r="AA705">
        <f t="shared" si="40"/>
        <v>1900</v>
      </c>
      <c r="AB705">
        <f t="shared" si="41"/>
        <v>1</v>
      </c>
      <c r="AC705">
        <f t="shared" si="42"/>
        <v>7</v>
      </c>
      <c r="AD705">
        <f t="shared" si="43"/>
        <v>0</v>
      </c>
      <c r="AE705" s="62">
        <f>IF(I705="missing", IFERROR(INDEX([1]lookup!$I:$I, MATCH($A705, [1]lookup!$B:$B, 0)), 0), I705)</f>
        <v>0</v>
      </c>
    </row>
    <row r="706" spans="1:3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7"/>
      <c r="W706" s="36"/>
      <c r="X706" s="35"/>
      <c r="Y706" s="37"/>
      <c r="Z706" s="37"/>
      <c r="AA706">
        <f t="shared" ref="AA706:AA769" si="44">IFERROR(YEAR(B706), 0)</f>
        <v>1900</v>
      </c>
      <c r="AB706">
        <f t="shared" ref="AB706:AB769" si="45">IFERROR(MONTH(B706), 0)</f>
        <v>1</v>
      </c>
      <c r="AC706">
        <f t="shared" ref="AC706:AC769" si="46">IFERROR(WEEKDAY(B706), 0)</f>
        <v>7</v>
      </c>
      <c r="AD706">
        <f t="shared" ref="AD706:AD769" si="47">IFERROR(C706 - B706, 0)</f>
        <v>0</v>
      </c>
      <c r="AE706" s="62">
        <f>IF(I706="missing", IFERROR(INDEX([1]lookup!$I:$I, MATCH($A706, [1]lookup!$B:$B, 0)), 0), I706)</f>
        <v>0</v>
      </c>
    </row>
    <row r="707" spans="1:3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7"/>
      <c r="W707" s="36"/>
      <c r="X707" s="35"/>
      <c r="Y707" s="37"/>
      <c r="Z707" s="37"/>
      <c r="AA707">
        <f t="shared" si="44"/>
        <v>1900</v>
      </c>
      <c r="AB707">
        <f t="shared" si="45"/>
        <v>1</v>
      </c>
      <c r="AC707">
        <f t="shared" si="46"/>
        <v>7</v>
      </c>
      <c r="AD707">
        <f t="shared" si="47"/>
        <v>0</v>
      </c>
      <c r="AE707" s="62">
        <f>IF(I707="missing", IFERROR(INDEX([1]lookup!$I:$I, MATCH($A707, [1]lookup!$B:$B, 0)), 0), I707)</f>
        <v>0</v>
      </c>
    </row>
    <row r="708" spans="1:3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7"/>
      <c r="W708" s="36"/>
      <c r="X708" s="35"/>
      <c r="Y708" s="37"/>
      <c r="Z708" s="37"/>
      <c r="AA708">
        <f t="shared" si="44"/>
        <v>1900</v>
      </c>
      <c r="AB708">
        <f t="shared" si="45"/>
        <v>1</v>
      </c>
      <c r="AC708">
        <f t="shared" si="46"/>
        <v>7</v>
      </c>
      <c r="AD708">
        <f t="shared" si="47"/>
        <v>0</v>
      </c>
      <c r="AE708" s="62">
        <f>IF(I708="missing", IFERROR(INDEX([1]lookup!$I:$I, MATCH($A708, [1]lookup!$B:$B, 0)), 0), I708)</f>
        <v>0</v>
      </c>
    </row>
    <row r="709" spans="1:3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7"/>
      <c r="W709" s="36"/>
      <c r="X709" s="35"/>
      <c r="Y709" s="37"/>
      <c r="Z709" s="37"/>
      <c r="AA709">
        <f t="shared" si="44"/>
        <v>1900</v>
      </c>
      <c r="AB709">
        <f t="shared" si="45"/>
        <v>1</v>
      </c>
      <c r="AC709">
        <f t="shared" si="46"/>
        <v>7</v>
      </c>
      <c r="AD709">
        <f t="shared" si="47"/>
        <v>0</v>
      </c>
      <c r="AE709" s="62">
        <f>IF(I709="missing", IFERROR(INDEX([1]lookup!$I:$I, MATCH($A709, [1]lookup!$B:$B, 0)), 0), I709)</f>
        <v>0</v>
      </c>
    </row>
    <row r="710" spans="1:3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7"/>
      <c r="W710" s="36"/>
      <c r="X710" s="35"/>
      <c r="Y710" s="37"/>
      <c r="Z710" s="37"/>
      <c r="AA710">
        <f t="shared" si="44"/>
        <v>1900</v>
      </c>
      <c r="AB710">
        <f t="shared" si="45"/>
        <v>1</v>
      </c>
      <c r="AC710">
        <f t="shared" si="46"/>
        <v>7</v>
      </c>
      <c r="AD710">
        <f t="shared" si="47"/>
        <v>0</v>
      </c>
      <c r="AE710" s="62">
        <f>IF(I710="missing", IFERROR(INDEX([1]lookup!$I:$I, MATCH($A710, [1]lookup!$B:$B, 0)), 0), I710)</f>
        <v>0</v>
      </c>
    </row>
    <row r="711" spans="1:3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7"/>
      <c r="W711" s="36"/>
      <c r="X711" s="35"/>
      <c r="Y711" s="37"/>
      <c r="Z711" s="37"/>
      <c r="AA711">
        <f t="shared" si="44"/>
        <v>1900</v>
      </c>
      <c r="AB711">
        <f t="shared" si="45"/>
        <v>1</v>
      </c>
      <c r="AC711">
        <f t="shared" si="46"/>
        <v>7</v>
      </c>
      <c r="AD711">
        <f t="shared" si="47"/>
        <v>0</v>
      </c>
      <c r="AE711" s="62">
        <f>IF(I711="missing", IFERROR(INDEX([1]lookup!$I:$I, MATCH($A711, [1]lookup!$B:$B, 0)), 0), I711)</f>
        <v>0</v>
      </c>
    </row>
    <row r="712" spans="1:3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7"/>
      <c r="W712" s="36"/>
      <c r="X712" s="35"/>
      <c r="Y712" s="37"/>
      <c r="Z712" s="37"/>
      <c r="AA712">
        <f t="shared" si="44"/>
        <v>1900</v>
      </c>
      <c r="AB712">
        <f t="shared" si="45"/>
        <v>1</v>
      </c>
      <c r="AC712">
        <f t="shared" si="46"/>
        <v>7</v>
      </c>
      <c r="AD712">
        <f t="shared" si="47"/>
        <v>0</v>
      </c>
      <c r="AE712" s="62">
        <f>IF(I712="missing", IFERROR(INDEX([1]lookup!$I:$I, MATCH($A712, [1]lookup!$B:$B, 0)), 0), I712)</f>
        <v>0</v>
      </c>
    </row>
    <row r="713" spans="1:3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7"/>
      <c r="W713" s="36"/>
      <c r="X713" s="35"/>
      <c r="Y713" s="37"/>
      <c r="Z713" s="37"/>
      <c r="AA713">
        <f t="shared" si="44"/>
        <v>1900</v>
      </c>
      <c r="AB713">
        <f t="shared" si="45"/>
        <v>1</v>
      </c>
      <c r="AC713">
        <f t="shared" si="46"/>
        <v>7</v>
      </c>
      <c r="AD713">
        <f t="shared" si="47"/>
        <v>0</v>
      </c>
      <c r="AE713" s="62">
        <f>IF(I713="missing", IFERROR(INDEX([1]lookup!$I:$I, MATCH($A713, [1]lookup!$B:$B, 0)), 0), I713)</f>
        <v>0</v>
      </c>
    </row>
    <row r="714" spans="1:3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7"/>
      <c r="W714" s="36"/>
      <c r="X714" s="35"/>
      <c r="Y714" s="37"/>
      <c r="Z714" s="37"/>
      <c r="AA714">
        <f t="shared" si="44"/>
        <v>1900</v>
      </c>
      <c r="AB714">
        <f t="shared" si="45"/>
        <v>1</v>
      </c>
      <c r="AC714">
        <f t="shared" si="46"/>
        <v>7</v>
      </c>
      <c r="AD714">
        <f t="shared" si="47"/>
        <v>0</v>
      </c>
      <c r="AE714" s="62">
        <f>IF(I714="missing", IFERROR(INDEX([1]lookup!$I:$I, MATCH($A714, [1]lookup!$B:$B, 0)), 0), I714)</f>
        <v>0</v>
      </c>
    </row>
    <row r="715" spans="1:3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7"/>
      <c r="W715" s="36"/>
      <c r="X715" s="35"/>
      <c r="Y715" s="37"/>
      <c r="Z715" s="37"/>
      <c r="AA715">
        <f t="shared" si="44"/>
        <v>1900</v>
      </c>
      <c r="AB715">
        <f t="shared" si="45"/>
        <v>1</v>
      </c>
      <c r="AC715">
        <f t="shared" si="46"/>
        <v>7</v>
      </c>
      <c r="AD715">
        <f t="shared" si="47"/>
        <v>0</v>
      </c>
      <c r="AE715" s="62">
        <f>IF(I715="missing", IFERROR(INDEX([1]lookup!$I:$I, MATCH($A715, [1]lookup!$B:$B, 0)), 0), I715)</f>
        <v>0</v>
      </c>
    </row>
    <row r="716" spans="1:3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7"/>
      <c r="W716" s="36"/>
      <c r="X716" s="35"/>
      <c r="Y716" s="37"/>
      <c r="Z716" s="37"/>
      <c r="AA716">
        <f t="shared" si="44"/>
        <v>1900</v>
      </c>
      <c r="AB716">
        <f t="shared" si="45"/>
        <v>1</v>
      </c>
      <c r="AC716">
        <f t="shared" si="46"/>
        <v>7</v>
      </c>
      <c r="AD716">
        <f t="shared" si="47"/>
        <v>0</v>
      </c>
      <c r="AE716" s="62">
        <f>IF(I716="missing", IFERROR(INDEX([1]lookup!$I:$I, MATCH($A716, [1]lookup!$B:$B, 0)), 0), I716)</f>
        <v>0</v>
      </c>
    </row>
    <row r="717" spans="1:3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7"/>
      <c r="W717" s="36"/>
      <c r="X717" s="35"/>
      <c r="Y717" s="37"/>
      <c r="Z717" s="37"/>
      <c r="AA717">
        <f t="shared" si="44"/>
        <v>1900</v>
      </c>
      <c r="AB717">
        <f t="shared" si="45"/>
        <v>1</v>
      </c>
      <c r="AC717">
        <f t="shared" si="46"/>
        <v>7</v>
      </c>
      <c r="AD717">
        <f t="shared" si="47"/>
        <v>0</v>
      </c>
      <c r="AE717" s="62">
        <f>IF(I717="missing", IFERROR(INDEX([1]lookup!$I:$I, MATCH($A717, [1]lookup!$B:$B, 0)), 0), I717)</f>
        <v>0</v>
      </c>
    </row>
    <row r="718" spans="1:3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7"/>
      <c r="W718" s="36"/>
      <c r="X718" s="35"/>
      <c r="Y718" s="37"/>
      <c r="Z718" s="37"/>
      <c r="AA718">
        <f t="shared" si="44"/>
        <v>1900</v>
      </c>
      <c r="AB718">
        <f t="shared" si="45"/>
        <v>1</v>
      </c>
      <c r="AC718">
        <f t="shared" si="46"/>
        <v>7</v>
      </c>
      <c r="AD718">
        <f t="shared" si="47"/>
        <v>0</v>
      </c>
      <c r="AE718" s="62">
        <f>IF(I718="missing", IFERROR(INDEX([1]lookup!$I:$I, MATCH($A718, [1]lookup!$B:$B, 0)), 0), I718)</f>
        <v>0</v>
      </c>
    </row>
    <row r="719" spans="1:3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7"/>
      <c r="W719" s="36"/>
      <c r="X719" s="35"/>
      <c r="Y719" s="37"/>
      <c r="Z719" s="37"/>
      <c r="AA719">
        <f t="shared" si="44"/>
        <v>1900</v>
      </c>
      <c r="AB719">
        <f t="shared" si="45"/>
        <v>1</v>
      </c>
      <c r="AC719">
        <f t="shared" si="46"/>
        <v>7</v>
      </c>
      <c r="AD719">
        <f t="shared" si="47"/>
        <v>0</v>
      </c>
      <c r="AE719" s="62">
        <f>IF(I719="missing", IFERROR(INDEX([1]lookup!$I:$I, MATCH($A719, [1]lookup!$B:$B, 0)), 0), I719)</f>
        <v>0</v>
      </c>
    </row>
    <row r="720" spans="1:3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7"/>
      <c r="W720" s="36"/>
      <c r="X720" s="35"/>
      <c r="Y720" s="37"/>
      <c r="Z720" s="37"/>
      <c r="AA720">
        <f t="shared" si="44"/>
        <v>1900</v>
      </c>
      <c r="AB720">
        <f t="shared" si="45"/>
        <v>1</v>
      </c>
      <c r="AC720">
        <f t="shared" si="46"/>
        <v>7</v>
      </c>
      <c r="AD720">
        <f t="shared" si="47"/>
        <v>0</v>
      </c>
      <c r="AE720" s="62">
        <f>IF(I720="missing", IFERROR(INDEX([1]lookup!$I:$I, MATCH($A720, [1]lookup!$B:$B, 0)), 0), I720)</f>
        <v>0</v>
      </c>
    </row>
    <row r="721" spans="1:3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7"/>
      <c r="W721" s="36"/>
      <c r="X721" s="35"/>
      <c r="Y721" s="37"/>
      <c r="Z721" s="37"/>
      <c r="AA721">
        <f t="shared" si="44"/>
        <v>1900</v>
      </c>
      <c r="AB721">
        <f t="shared" si="45"/>
        <v>1</v>
      </c>
      <c r="AC721">
        <f t="shared" si="46"/>
        <v>7</v>
      </c>
      <c r="AD721">
        <f t="shared" si="47"/>
        <v>0</v>
      </c>
      <c r="AE721" s="62">
        <f>IF(I721="missing", IFERROR(INDEX([1]lookup!$I:$I, MATCH($A721, [1]lookup!$B:$B, 0)), 0), I721)</f>
        <v>0</v>
      </c>
    </row>
    <row r="722" spans="1:3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7"/>
      <c r="W722" s="36"/>
      <c r="X722" s="35"/>
      <c r="Y722" s="37"/>
      <c r="Z722" s="37"/>
      <c r="AA722">
        <f t="shared" si="44"/>
        <v>1900</v>
      </c>
      <c r="AB722">
        <f t="shared" si="45"/>
        <v>1</v>
      </c>
      <c r="AC722">
        <f t="shared" si="46"/>
        <v>7</v>
      </c>
      <c r="AD722">
        <f t="shared" si="47"/>
        <v>0</v>
      </c>
      <c r="AE722" s="62">
        <f>IF(I722="missing", IFERROR(INDEX([1]lookup!$I:$I, MATCH($A722, [1]lookup!$B:$B, 0)), 0), I722)</f>
        <v>0</v>
      </c>
    </row>
    <row r="723" spans="1:3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7"/>
      <c r="W723" s="36"/>
      <c r="X723" s="35"/>
      <c r="Y723" s="37"/>
      <c r="Z723" s="37"/>
      <c r="AA723">
        <f t="shared" si="44"/>
        <v>1900</v>
      </c>
      <c r="AB723">
        <f t="shared" si="45"/>
        <v>1</v>
      </c>
      <c r="AC723">
        <f t="shared" si="46"/>
        <v>7</v>
      </c>
      <c r="AD723">
        <f t="shared" si="47"/>
        <v>0</v>
      </c>
      <c r="AE723" s="62">
        <f>IF(I723="missing", IFERROR(INDEX([1]lookup!$I:$I, MATCH($A723, [1]lookup!$B:$B, 0)), 0), I723)</f>
        <v>0</v>
      </c>
    </row>
    <row r="724" spans="1:3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7"/>
      <c r="W724" s="36"/>
      <c r="X724" s="35"/>
      <c r="Y724" s="37"/>
      <c r="Z724" s="37"/>
      <c r="AA724">
        <f t="shared" si="44"/>
        <v>1900</v>
      </c>
      <c r="AB724">
        <f t="shared" si="45"/>
        <v>1</v>
      </c>
      <c r="AC724">
        <f t="shared" si="46"/>
        <v>7</v>
      </c>
      <c r="AD724">
        <f t="shared" si="47"/>
        <v>0</v>
      </c>
      <c r="AE724" s="62">
        <f>IF(I724="missing", IFERROR(INDEX([1]lookup!$I:$I, MATCH($A724, [1]lookup!$B:$B, 0)), 0), I724)</f>
        <v>0</v>
      </c>
    </row>
    <row r="725" spans="1:3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7"/>
      <c r="W725" s="36"/>
      <c r="X725" s="35"/>
      <c r="Y725" s="37"/>
      <c r="Z725" s="37"/>
      <c r="AA725">
        <f t="shared" si="44"/>
        <v>1900</v>
      </c>
      <c r="AB725">
        <f t="shared" si="45"/>
        <v>1</v>
      </c>
      <c r="AC725">
        <f t="shared" si="46"/>
        <v>7</v>
      </c>
      <c r="AD725">
        <f t="shared" si="47"/>
        <v>0</v>
      </c>
      <c r="AE725" s="62">
        <f>IF(I725="missing", IFERROR(INDEX([1]lookup!$I:$I, MATCH($A725, [1]lookup!$B:$B, 0)), 0), I725)</f>
        <v>0</v>
      </c>
    </row>
    <row r="726" spans="1:3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7"/>
      <c r="W726" s="36"/>
      <c r="X726" s="35"/>
      <c r="Y726" s="37"/>
      <c r="Z726" s="37"/>
      <c r="AA726">
        <f t="shared" si="44"/>
        <v>1900</v>
      </c>
      <c r="AB726">
        <f t="shared" si="45"/>
        <v>1</v>
      </c>
      <c r="AC726">
        <f t="shared" si="46"/>
        <v>7</v>
      </c>
      <c r="AD726">
        <f t="shared" si="47"/>
        <v>0</v>
      </c>
      <c r="AE726" s="62">
        <f>IF(I726="missing", IFERROR(INDEX([1]lookup!$I:$I, MATCH($A726, [1]lookup!$B:$B, 0)), 0), I726)</f>
        <v>0</v>
      </c>
    </row>
    <row r="727" spans="1:3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7"/>
      <c r="W727" s="36"/>
      <c r="X727" s="35"/>
      <c r="Y727" s="37"/>
      <c r="Z727" s="37"/>
      <c r="AA727">
        <f t="shared" si="44"/>
        <v>1900</v>
      </c>
      <c r="AB727">
        <f t="shared" si="45"/>
        <v>1</v>
      </c>
      <c r="AC727">
        <f t="shared" si="46"/>
        <v>7</v>
      </c>
      <c r="AD727">
        <f t="shared" si="47"/>
        <v>0</v>
      </c>
      <c r="AE727" s="62">
        <f>IF(I727="missing", IFERROR(INDEX([1]lookup!$I:$I, MATCH($A727, [1]lookup!$B:$B, 0)), 0), I727)</f>
        <v>0</v>
      </c>
    </row>
    <row r="728" spans="1:3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7"/>
      <c r="W728" s="36"/>
      <c r="X728" s="35"/>
      <c r="Y728" s="37"/>
      <c r="Z728" s="37"/>
      <c r="AA728">
        <f t="shared" si="44"/>
        <v>1900</v>
      </c>
      <c r="AB728">
        <f t="shared" si="45"/>
        <v>1</v>
      </c>
      <c r="AC728">
        <f t="shared" si="46"/>
        <v>7</v>
      </c>
      <c r="AD728">
        <f t="shared" si="47"/>
        <v>0</v>
      </c>
      <c r="AE728" s="62">
        <f>IF(I728="missing", IFERROR(INDEX([1]lookup!$I:$I, MATCH($A728, [1]lookup!$B:$B, 0)), 0), I728)</f>
        <v>0</v>
      </c>
    </row>
    <row r="729" spans="1:3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7"/>
      <c r="W729" s="36"/>
      <c r="X729" s="35"/>
      <c r="Y729" s="37"/>
      <c r="Z729" s="37"/>
      <c r="AA729">
        <f t="shared" si="44"/>
        <v>1900</v>
      </c>
      <c r="AB729">
        <f t="shared" si="45"/>
        <v>1</v>
      </c>
      <c r="AC729">
        <f t="shared" si="46"/>
        <v>7</v>
      </c>
      <c r="AD729">
        <f t="shared" si="47"/>
        <v>0</v>
      </c>
      <c r="AE729" s="62">
        <f>IF(I729="missing", IFERROR(INDEX([1]lookup!$I:$I, MATCH($A729, [1]lookup!$B:$B, 0)), 0), I729)</f>
        <v>0</v>
      </c>
    </row>
    <row r="730" spans="1:3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7"/>
      <c r="W730" s="36"/>
      <c r="X730" s="35"/>
      <c r="Y730" s="37"/>
      <c r="Z730" s="37"/>
      <c r="AA730">
        <f t="shared" si="44"/>
        <v>1900</v>
      </c>
      <c r="AB730">
        <f t="shared" si="45"/>
        <v>1</v>
      </c>
      <c r="AC730">
        <f t="shared" si="46"/>
        <v>7</v>
      </c>
      <c r="AD730">
        <f t="shared" si="47"/>
        <v>0</v>
      </c>
      <c r="AE730" s="62">
        <f>IF(I730="missing", IFERROR(INDEX([1]lookup!$I:$I, MATCH($A730, [1]lookup!$B:$B, 0)), 0), I730)</f>
        <v>0</v>
      </c>
    </row>
    <row r="731" spans="1: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7"/>
      <c r="W731" s="36"/>
      <c r="X731" s="35"/>
      <c r="Y731" s="37"/>
      <c r="Z731" s="37"/>
      <c r="AA731">
        <f t="shared" si="44"/>
        <v>1900</v>
      </c>
      <c r="AB731">
        <f t="shared" si="45"/>
        <v>1</v>
      </c>
      <c r="AC731">
        <f t="shared" si="46"/>
        <v>7</v>
      </c>
      <c r="AD731">
        <f t="shared" si="47"/>
        <v>0</v>
      </c>
      <c r="AE731" s="62">
        <f>IF(I731="missing", IFERROR(INDEX([1]lookup!$I:$I, MATCH($A731, [1]lookup!$B:$B, 0)), 0), I731)</f>
        <v>0</v>
      </c>
    </row>
    <row r="732" spans="1:3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7"/>
      <c r="W732" s="36"/>
      <c r="X732" s="35"/>
      <c r="Y732" s="37"/>
      <c r="Z732" s="37"/>
      <c r="AA732">
        <f t="shared" si="44"/>
        <v>1900</v>
      </c>
      <c r="AB732">
        <f t="shared" si="45"/>
        <v>1</v>
      </c>
      <c r="AC732">
        <f t="shared" si="46"/>
        <v>7</v>
      </c>
      <c r="AD732">
        <f t="shared" si="47"/>
        <v>0</v>
      </c>
      <c r="AE732" s="62">
        <f>IF(I732="missing", IFERROR(INDEX([1]lookup!$I:$I, MATCH($A732, [1]lookup!$B:$B, 0)), 0), I732)</f>
        <v>0</v>
      </c>
    </row>
    <row r="733" spans="1:3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7"/>
      <c r="W733" s="36"/>
      <c r="X733" s="35"/>
      <c r="Y733" s="37"/>
      <c r="Z733" s="37"/>
      <c r="AA733">
        <f t="shared" si="44"/>
        <v>1900</v>
      </c>
      <c r="AB733">
        <f t="shared" si="45"/>
        <v>1</v>
      </c>
      <c r="AC733">
        <f t="shared" si="46"/>
        <v>7</v>
      </c>
      <c r="AD733">
        <f t="shared" si="47"/>
        <v>0</v>
      </c>
      <c r="AE733" s="62">
        <f>IF(I733="missing", IFERROR(INDEX([1]lookup!$I:$I, MATCH($A733, [1]lookup!$B:$B, 0)), 0), I733)</f>
        <v>0</v>
      </c>
    </row>
    <row r="734" spans="1:3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7"/>
      <c r="W734" s="36"/>
      <c r="X734" s="35"/>
      <c r="Y734" s="37"/>
      <c r="Z734" s="37"/>
      <c r="AA734">
        <f t="shared" si="44"/>
        <v>1900</v>
      </c>
      <c r="AB734">
        <f t="shared" si="45"/>
        <v>1</v>
      </c>
      <c r="AC734">
        <f t="shared" si="46"/>
        <v>7</v>
      </c>
      <c r="AD734">
        <f t="shared" si="47"/>
        <v>0</v>
      </c>
      <c r="AE734" s="62">
        <f>IF(I734="missing", IFERROR(INDEX([1]lookup!$I:$I, MATCH($A734, [1]lookup!$B:$B, 0)), 0), I734)</f>
        <v>0</v>
      </c>
    </row>
    <row r="735" spans="1:3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7"/>
      <c r="W735" s="36"/>
      <c r="X735" s="35"/>
      <c r="Y735" s="37"/>
      <c r="Z735" s="37"/>
      <c r="AA735">
        <f t="shared" si="44"/>
        <v>1900</v>
      </c>
      <c r="AB735">
        <f t="shared" si="45"/>
        <v>1</v>
      </c>
      <c r="AC735">
        <f t="shared" si="46"/>
        <v>7</v>
      </c>
      <c r="AD735">
        <f t="shared" si="47"/>
        <v>0</v>
      </c>
      <c r="AE735" s="62">
        <f>IF(I735="missing", IFERROR(INDEX([1]lookup!$I:$I, MATCH($A735, [1]lookup!$B:$B, 0)), 0), I735)</f>
        <v>0</v>
      </c>
    </row>
    <row r="736" spans="1:3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7"/>
      <c r="W736" s="36"/>
      <c r="X736" s="35"/>
      <c r="Y736" s="37"/>
      <c r="Z736" s="37"/>
      <c r="AA736">
        <f t="shared" si="44"/>
        <v>1900</v>
      </c>
      <c r="AB736">
        <f t="shared" si="45"/>
        <v>1</v>
      </c>
      <c r="AC736">
        <f t="shared" si="46"/>
        <v>7</v>
      </c>
      <c r="AD736">
        <f t="shared" si="47"/>
        <v>0</v>
      </c>
      <c r="AE736" s="62">
        <f>IF(I736="missing", IFERROR(INDEX([1]lookup!$I:$I, MATCH($A736, [1]lookup!$B:$B, 0)), 0), I736)</f>
        <v>0</v>
      </c>
    </row>
    <row r="737" spans="1:3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7"/>
      <c r="W737" s="36"/>
      <c r="X737" s="35"/>
      <c r="Y737" s="37"/>
      <c r="Z737" s="37"/>
      <c r="AA737">
        <f t="shared" si="44"/>
        <v>1900</v>
      </c>
      <c r="AB737">
        <f t="shared" si="45"/>
        <v>1</v>
      </c>
      <c r="AC737">
        <f t="shared" si="46"/>
        <v>7</v>
      </c>
      <c r="AD737">
        <f t="shared" si="47"/>
        <v>0</v>
      </c>
      <c r="AE737" s="62">
        <f>IF(I737="missing", IFERROR(INDEX([1]lookup!$I:$I, MATCH($A737, [1]lookup!$B:$B, 0)), 0), I737)</f>
        <v>0</v>
      </c>
    </row>
    <row r="738" spans="1:3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7"/>
      <c r="W738" s="36"/>
      <c r="X738" s="35"/>
      <c r="Y738" s="37"/>
      <c r="Z738" s="37"/>
      <c r="AA738">
        <f t="shared" si="44"/>
        <v>1900</v>
      </c>
      <c r="AB738">
        <f t="shared" si="45"/>
        <v>1</v>
      </c>
      <c r="AC738">
        <f t="shared" si="46"/>
        <v>7</v>
      </c>
      <c r="AD738">
        <f t="shared" si="47"/>
        <v>0</v>
      </c>
      <c r="AE738" s="62">
        <f>IF(I738="missing", IFERROR(INDEX([1]lookup!$I:$I, MATCH($A738, [1]lookup!$B:$B, 0)), 0), I738)</f>
        <v>0</v>
      </c>
    </row>
    <row r="739" spans="1:3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7"/>
      <c r="W739" s="36"/>
      <c r="X739" s="35"/>
      <c r="Y739" s="37"/>
      <c r="Z739" s="37"/>
      <c r="AA739">
        <f t="shared" si="44"/>
        <v>1900</v>
      </c>
      <c r="AB739">
        <f t="shared" si="45"/>
        <v>1</v>
      </c>
      <c r="AC739">
        <f t="shared" si="46"/>
        <v>7</v>
      </c>
      <c r="AD739">
        <f t="shared" si="47"/>
        <v>0</v>
      </c>
      <c r="AE739" s="62">
        <f>IF(I739="missing", IFERROR(INDEX([1]lookup!$I:$I, MATCH($A739, [1]lookup!$B:$B, 0)), 0), I739)</f>
        <v>0</v>
      </c>
    </row>
    <row r="740" spans="1:3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7"/>
      <c r="W740" s="36"/>
      <c r="X740" s="35"/>
      <c r="Y740" s="37"/>
      <c r="Z740" s="37"/>
      <c r="AA740">
        <f t="shared" si="44"/>
        <v>1900</v>
      </c>
      <c r="AB740">
        <f t="shared" si="45"/>
        <v>1</v>
      </c>
      <c r="AC740">
        <f t="shared" si="46"/>
        <v>7</v>
      </c>
      <c r="AD740">
        <f t="shared" si="47"/>
        <v>0</v>
      </c>
      <c r="AE740" s="62">
        <f>IF(I740="missing", IFERROR(INDEX([1]lookup!$I:$I, MATCH($A740, [1]lookup!$B:$B, 0)), 0), I740)</f>
        <v>0</v>
      </c>
    </row>
    <row r="741" spans="1:3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7"/>
      <c r="W741" s="36"/>
      <c r="X741" s="35"/>
      <c r="Y741" s="37"/>
      <c r="Z741" s="37"/>
      <c r="AA741">
        <f t="shared" si="44"/>
        <v>1900</v>
      </c>
      <c r="AB741">
        <f t="shared" si="45"/>
        <v>1</v>
      </c>
      <c r="AC741">
        <f t="shared" si="46"/>
        <v>7</v>
      </c>
      <c r="AD741">
        <f t="shared" si="47"/>
        <v>0</v>
      </c>
      <c r="AE741" s="62">
        <f>IF(I741="missing", IFERROR(INDEX([1]lookup!$I:$I, MATCH($A741, [1]lookup!$B:$B, 0)), 0), I741)</f>
        <v>0</v>
      </c>
    </row>
    <row r="742" spans="1:3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7"/>
      <c r="W742" s="36"/>
      <c r="X742" s="35"/>
      <c r="Y742" s="37"/>
      <c r="Z742" s="37"/>
      <c r="AA742">
        <f t="shared" si="44"/>
        <v>1900</v>
      </c>
      <c r="AB742">
        <f t="shared" si="45"/>
        <v>1</v>
      </c>
      <c r="AC742">
        <f t="shared" si="46"/>
        <v>7</v>
      </c>
      <c r="AD742">
        <f t="shared" si="47"/>
        <v>0</v>
      </c>
      <c r="AE742" s="62">
        <f>IF(I742="missing", IFERROR(INDEX([1]lookup!$I:$I, MATCH($A742, [1]lookup!$B:$B, 0)), 0), I742)</f>
        <v>0</v>
      </c>
    </row>
    <row r="743" spans="1:3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7"/>
      <c r="W743" s="36"/>
      <c r="X743" s="35"/>
      <c r="Y743" s="37"/>
      <c r="Z743" s="37"/>
      <c r="AA743">
        <f t="shared" si="44"/>
        <v>1900</v>
      </c>
      <c r="AB743">
        <f t="shared" si="45"/>
        <v>1</v>
      </c>
      <c r="AC743">
        <f t="shared" si="46"/>
        <v>7</v>
      </c>
      <c r="AD743">
        <f t="shared" si="47"/>
        <v>0</v>
      </c>
      <c r="AE743" s="62">
        <f>IF(I743="missing", IFERROR(INDEX([1]lookup!$I:$I, MATCH($A743, [1]lookup!$B:$B, 0)), 0), I743)</f>
        <v>0</v>
      </c>
    </row>
    <row r="744" spans="1:3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7"/>
      <c r="W744" s="36"/>
      <c r="X744" s="35"/>
      <c r="Y744" s="37"/>
      <c r="Z744" s="37"/>
      <c r="AA744">
        <f t="shared" si="44"/>
        <v>1900</v>
      </c>
      <c r="AB744">
        <f t="shared" si="45"/>
        <v>1</v>
      </c>
      <c r="AC744">
        <f t="shared" si="46"/>
        <v>7</v>
      </c>
      <c r="AD744">
        <f t="shared" si="47"/>
        <v>0</v>
      </c>
      <c r="AE744" s="62">
        <f>IF(I744="missing", IFERROR(INDEX([1]lookup!$I:$I, MATCH($A744, [1]lookup!$B:$B, 0)), 0), I744)</f>
        <v>0</v>
      </c>
    </row>
    <row r="745" spans="1:3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7"/>
      <c r="W745" s="36"/>
      <c r="X745" s="35"/>
      <c r="Y745" s="37"/>
      <c r="Z745" s="37"/>
      <c r="AA745">
        <f t="shared" si="44"/>
        <v>1900</v>
      </c>
      <c r="AB745">
        <f t="shared" si="45"/>
        <v>1</v>
      </c>
      <c r="AC745">
        <f t="shared" si="46"/>
        <v>7</v>
      </c>
      <c r="AD745">
        <f t="shared" si="47"/>
        <v>0</v>
      </c>
      <c r="AE745" s="62">
        <f>IF(I745="missing", IFERROR(INDEX([1]lookup!$I:$I, MATCH($A745, [1]lookup!$B:$B, 0)), 0), I745)</f>
        <v>0</v>
      </c>
    </row>
    <row r="746" spans="1:3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7"/>
      <c r="W746" s="36"/>
      <c r="X746" s="35"/>
      <c r="Y746" s="37"/>
      <c r="Z746" s="37"/>
      <c r="AA746">
        <f t="shared" si="44"/>
        <v>1900</v>
      </c>
      <c r="AB746">
        <f t="shared" si="45"/>
        <v>1</v>
      </c>
      <c r="AC746">
        <f t="shared" si="46"/>
        <v>7</v>
      </c>
      <c r="AD746">
        <f t="shared" si="47"/>
        <v>0</v>
      </c>
      <c r="AE746" s="62">
        <f>IF(I746="missing", IFERROR(INDEX([1]lookup!$I:$I, MATCH($A746, [1]lookup!$B:$B, 0)), 0), I746)</f>
        <v>0</v>
      </c>
    </row>
    <row r="747" spans="1:3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7"/>
      <c r="W747" s="36"/>
      <c r="X747" s="35"/>
      <c r="Y747" s="37"/>
      <c r="Z747" s="37"/>
      <c r="AA747">
        <f t="shared" si="44"/>
        <v>1900</v>
      </c>
      <c r="AB747">
        <f t="shared" si="45"/>
        <v>1</v>
      </c>
      <c r="AC747">
        <f t="shared" si="46"/>
        <v>7</v>
      </c>
      <c r="AD747">
        <f t="shared" si="47"/>
        <v>0</v>
      </c>
      <c r="AE747" s="62">
        <f>IF(I747="missing", IFERROR(INDEX([1]lookup!$I:$I, MATCH($A747, [1]lookup!$B:$B, 0)), 0), I747)</f>
        <v>0</v>
      </c>
    </row>
    <row r="748" spans="1:3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7"/>
      <c r="W748" s="36"/>
      <c r="X748" s="35"/>
      <c r="Y748" s="37"/>
      <c r="Z748" s="37"/>
      <c r="AA748">
        <f t="shared" si="44"/>
        <v>1900</v>
      </c>
      <c r="AB748">
        <f t="shared" si="45"/>
        <v>1</v>
      </c>
      <c r="AC748">
        <f t="shared" si="46"/>
        <v>7</v>
      </c>
      <c r="AD748">
        <f t="shared" si="47"/>
        <v>0</v>
      </c>
      <c r="AE748" s="62">
        <f>IF(I748="missing", IFERROR(INDEX([1]lookup!$I:$I, MATCH($A748, [1]lookup!$B:$B, 0)), 0), I748)</f>
        <v>0</v>
      </c>
    </row>
    <row r="749" spans="1:3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7"/>
      <c r="W749" s="36"/>
      <c r="X749" s="35"/>
      <c r="Y749" s="37"/>
      <c r="Z749" s="37"/>
      <c r="AA749">
        <f t="shared" si="44"/>
        <v>1900</v>
      </c>
      <c r="AB749">
        <f t="shared" si="45"/>
        <v>1</v>
      </c>
      <c r="AC749">
        <f t="shared" si="46"/>
        <v>7</v>
      </c>
      <c r="AD749">
        <f t="shared" si="47"/>
        <v>0</v>
      </c>
      <c r="AE749" s="62">
        <f>IF(I749="missing", IFERROR(INDEX([1]lookup!$I:$I, MATCH($A749, [1]lookup!$B:$B, 0)), 0), I749)</f>
        <v>0</v>
      </c>
    </row>
    <row r="750" spans="1:3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7"/>
      <c r="W750" s="36"/>
      <c r="X750" s="35"/>
      <c r="Y750" s="37"/>
      <c r="Z750" s="37"/>
      <c r="AA750">
        <f t="shared" si="44"/>
        <v>1900</v>
      </c>
      <c r="AB750">
        <f t="shared" si="45"/>
        <v>1</v>
      </c>
      <c r="AC750">
        <f t="shared" si="46"/>
        <v>7</v>
      </c>
      <c r="AD750">
        <f t="shared" si="47"/>
        <v>0</v>
      </c>
      <c r="AE750" s="62">
        <f>IF(I750="missing", IFERROR(INDEX([1]lookup!$I:$I, MATCH($A750, [1]lookup!$B:$B, 0)), 0), I750)</f>
        <v>0</v>
      </c>
    </row>
    <row r="751" spans="1:3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7"/>
      <c r="W751" s="36"/>
      <c r="X751" s="35"/>
      <c r="Y751" s="37"/>
      <c r="Z751" s="37"/>
      <c r="AA751">
        <f t="shared" si="44"/>
        <v>1900</v>
      </c>
      <c r="AB751">
        <f t="shared" si="45"/>
        <v>1</v>
      </c>
      <c r="AC751">
        <f t="shared" si="46"/>
        <v>7</v>
      </c>
      <c r="AD751">
        <f t="shared" si="47"/>
        <v>0</v>
      </c>
      <c r="AE751" s="62">
        <f>IF(I751="missing", IFERROR(INDEX([1]lookup!$I:$I, MATCH($A751, [1]lookup!$B:$B, 0)), 0), I751)</f>
        <v>0</v>
      </c>
    </row>
    <row r="752" spans="1:3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7"/>
      <c r="W752" s="36"/>
      <c r="X752" s="35"/>
      <c r="Y752" s="37"/>
      <c r="Z752" s="37"/>
      <c r="AA752">
        <f t="shared" si="44"/>
        <v>1900</v>
      </c>
      <c r="AB752">
        <f t="shared" si="45"/>
        <v>1</v>
      </c>
      <c r="AC752">
        <f t="shared" si="46"/>
        <v>7</v>
      </c>
      <c r="AD752">
        <f t="shared" si="47"/>
        <v>0</v>
      </c>
      <c r="AE752" s="62">
        <f>IF(I752="missing", IFERROR(INDEX([1]lookup!$I:$I, MATCH($A752, [1]lookup!$B:$B, 0)), 0), I752)</f>
        <v>0</v>
      </c>
    </row>
    <row r="753" spans="1:3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7"/>
      <c r="W753" s="36"/>
      <c r="X753" s="35"/>
      <c r="Y753" s="37"/>
      <c r="Z753" s="37"/>
      <c r="AA753">
        <f t="shared" si="44"/>
        <v>1900</v>
      </c>
      <c r="AB753">
        <f t="shared" si="45"/>
        <v>1</v>
      </c>
      <c r="AC753">
        <f t="shared" si="46"/>
        <v>7</v>
      </c>
      <c r="AD753">
        <f t="shared" si="47"/>
        <v>0</v>
      </c>
      <c r="AE753" s="62">
        <f>IF(I753="missing", IFERROR(INDEX([1]lookup!$I:$I, MATCH($A753, [1]lookup!$B:$B, 0)), 0), I753)</f>
        <v>0</v>
      </c>
    </row>
    <row r="754" spans="1:3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7"/>
      <c r="W754" s="36"/>
      <c r="X754" s="35"/>
      <c r="Y754" s="37"/>
      <c r="Z754" s="37"/>
      <c r="AA754">
        <f t="shared" si="44"/>
        <v>1900</v>
      </c>
      <c r="AB754">
        <f t="shared" si="45"/>
        <v>1</v>
      </c>
      <c r="AC754">
        <f t="shared" si="46"/>
        <v>7</v>
      </c>
      <c r="AD754">
        <f t="shared" si="47"/>
        <v>0</v>
      </c>
      <c r="AE754" s="62">
        <f>IF(I754="missing", IFERROR(INDEX([1]lookup!$I:$I, MATCH($A754, [1]lookup!$B:$B, 0)), 0), I754)</f>
        <v>0</v>
      </c>
    </row>
    <row r="755" spans="1:3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7"/>
      <c r="W755" s="36"/>
      <c r="X755" s="35"/>
      <c r="Y755" s="37"/>
      <c r="Z755" s="37"/>
      <c r="AA755">
        <f t="shared" si="44"/>
        <v>1900</v>
      </c>
      <c r="AB755">
        <f t="shared" si="45"/>
        <v>1</v>
      </c>
      <c r="AC755">
        <f t="shared" si="46"/>
        <v>7</v>
      </c>
      <c r="AD755">
        <f t="shared" si="47"/>
        <v>0</v>
      </c>
      <c r="AE755" s="62">
        <f>IF(I755="missing", IFERROR(INDEX([1]lookup!$I:$I, MATCH($A755, [1]lookup!$B:$B, 0)), 0), I755)</f>
        <v>0</v>
      </c>
    </row>
    <row r="756" spans="1:3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7"/>
      <c r="W756" s="36"/>
      <c r="X756" s="35"/>
      <c r="Y756" s="37"/>
      <c r="Z756" s="37"/>
      <c r="AA756">
        <f t="shared" si="44"/>
        <v>1900</v>
      </c>
      <c r="AB756">
        <f t="shared" si="45"/>
        <v>1</v>
      </c>
      <c r="AC756">
        <f t="shared" si="46"/>
        <v>7</v>
      </c>
      <c r="AD756">
        <f t="shared" si="47"/>
        <v>0</v>
      </c>
      <c r="AE756" s="62">
        <f>IF(I756="missing", IFERROR(INDEX([1]lookup!$I:$I, MATCH($A756, [1]lookup!$B:$B, 0)), 0), I756)</f>
        <v>0</v>
      </c>
    </row>
    <row r="757" spans="1:3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7"/>
      <c r="W757" s="36"/>
      <c r="X757" s="35"/>
      <c r="Y757" s="37"/>
      <c r="Z757" s="37"/>
      <c r="AA757">
        <f t="shared" si="44"/>
        <v>1900</v>
      </c>
      <c r="AB757">
        <f t="shared" si="45"/>
        <v>1</v>
      </c>
      <c r="AC757">
        <f t="shared" si="46"/>
        <v>7</v>
      </c>
      <c r="AD757">
        <f t="shared" si="47"/>
        <v>0</v>
      </c>
      <c r="AE757" s="62">
        <f>IF(I757="missing", IFERROR(INDEX([1]lookup!$I:$I, MATCH($A757, [1]lookup!$B:$B, 0)), 0), I757)</f>
        <v>0</v>
      </c>
    </row>
    <row r="758" spans="1:3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7"/>
      <c r="W758" s="36"/>
      <c r="X758" s="35"/>
      <c r="Y758" s="37"/>
      <c r="Z758" s="37"/>
      <c r="AA758">
        <f t="shared" si="44"/>
        <v>1900</v>
      </c>
      <c r="AB758">
        <f t="shared" si="45"/>
        <v>1</v>
      </c>
      <c r="AC758">
        <f t="shared" si="46"/>
        <v>7</v>
      </c>
      <c r="AD758">
        <f t="shared" si="47"/>
        <v>0</v>
      </c>
      <c r="AE758" s="62">
        <f>IF(I758="missing", IFERROR(INDEX([1]lookup!$I:$I, MATCH($A758, [1]lookup!$B:$B, 0)), 0), I758)</f>
        <v>0</v>
      </c>
    </row>
    <row r="759" spans="1:3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7"/>
      <c r="W759" s="36"/>
      <c r="X759" s="35"/>
      <c r="Y759" s="37"/>
      <c r="Z759" s="37"/>
      <c r="AA759">
        <f t="shared" si="44"/>
        <v>1900</v>
      </c>
      <c r="AB759">
        <f t="shared" si="45"/>
        <v>1</v>
      </c>
      <c r="AC759">
        <f t="shared" si="46"/>
        <v>7</v>
      </c>
      <c r="AD759">
        <f t="shared" si="47"/>
        <v>0</v>
      </c>
      <c r="AE759" s="62">
        <f>IF(I759="missing", IFERROR(INDEX([1]lookup!$I:$I, MATCH($A759, [1]lookup!$B:$B, 0)), 0), I759)</f>
        <v>0</v>
      </c>
    </row>
    <row r="760" spans="1:3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7"/>
      <c r="W760" s="36"/>
      <c r="X760" s="35"/>
      <c r="Y760" s="37"/>
      <c r="Z760" s="37"/>
      <c r="AA760">
        <f t="shared" si="44"/>
        <v>1900</v>
      </c>
      <c r="AB760">
        <f t="shared" si="45"/>
        <v>1</v>
      </c>
      <c r="AC760">
        <f t="shared" si="46"/>
        <v>7</v>
      </c>
      <c r="AD760">
        <f t="shared" si="47"/>
        <v>0</v>
      </c>
      <c r="AE760" s="62">
        <f>IF(I760="missing", IFERROR(INDEX([1]lookup!$I:$I, MATCH($A760, [1]lookup!$B:$B, 0)), 0), I760)</f>
        <v>0</v>
      </c>
    </row>
    <row r="761" spans="1:3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7"/>
      <c r="W761" s="36"/>
      <c r="X761" s="35"/>
      <c r="Y761" s="37"/>
      <c r="Z761" s="37"/>
      <c r="AA761">
        <f t="shared" si="44"/>
        <v>1900</v>
      </c>
      <c r="AB761">
        <f t="shared" si="45"/>
        <v>1</v>
      </c>
      <c r="AC761">
        <f t="shared" si="46"/>
        <v>7</v>
      </c>
      <c r="AD761">
        <f t="shared" si="47"/>
        <v>0</v>
      </c>
      <c r="AE761" s="62">
        <f>IF(I761="missing", IFERROR(INDEX([1]lookup!$I:$I, MATCH($A761, [1]lookup!$B:$B, 0)), 0), I761)</f>
        <v>0</v>
      </c>
    </row>
    <row r="762" spans="1:3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7"/>
      <c r="W762" s="36"/>
      <c r="X762" s="35"/>
      <c r="Y762" s="37"/>
      <c r="Z762" s="37"/>
      <c r="AA762">
        <f t="shared" si="44"/>
        <v>1900</v>
      </c>
      <c r="AB762">
        <f t="shared" si="45"/>
        <v>1</v>
      </c>
      <c r="AC762">
        <f t="shared" si="46"/>
        <v>7</v>
      </c>
      <c r="AD762">
        <f t="shared" si="47"/>
        <v>0</v>
      </c>
      <c r="AE762" s="62">
        <f>IF(I762="missing", IFERROR(INDEX([1]lookup!$I:$I, MATCH($A762, [1]lookup!$B:$B, 0)), 0), I762)</f>
        <v>0</v>
      </c>
    </row>
    <row r="763" spans="1:3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7"/>
      <c r="W763" s="36"/>
      <c r="X763" s="35"/>
      <c r="Y763" s="37"/>
      <c r="Z763" s="37"/>
      <c r="AA763">
        <f t="shared" si="44"/>
        <v>1900</v>
      </c>
      <c r="AB763">
        <f t="shared" si="45"/>
        <v>1</v>
      </c>
      <c r="AC763">
        <f t="shared" si="46"/>
        <v>7</v>
      </c>
      <c r="AD763">
        <f t="shared" si="47"/>
        <v>0</v>
      </c>
      <c r="AE763" s="62">
        <f>IF(I763="missing", IFERROR(INDEX([1]lookup!$I:$I, MATCH($A763, [1]lookup!$B:$B, 0)), 0), I763)</f>
        <v>0</v>
      </c>
    </row>
    <row r="764" spans="1:3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7"/>
      <c r="W764" s="36"/>
      <c r="X764" s="35"/>
      <c r="Y764" s="37"/>
      <c r="Z764" s="37"/>
      <c r="AA764">
        <f t="shared" si="44"/>
        <v>1900</v>
      </c>
      <c r="AB764">
        <f t="shared" si="45"/>
        <v>1</v>
      </c>
      <c r="AC764">
        <f t="shared" si="46"/>
        <v>7</v>
      </c>
      <c r="AD764">
        <f t="shared" si="47"/>
        <v>0</v>
      </c>
      <c r="AE764" s="62">
        <f>IF(I764="missing", IFERROR(INDEX([1]lookup!$I:$I, MATCH($A764, [1]lookup!$B:$B, 0)), 0), I764)</f>
        <v>0</v>
      </c>
    </row>
    <row r="765" spans="1:3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7"/>
      <c r="W765" s="36"/>
      <c r="X765" s="35"/>
      <c r="Y765" s="37"/>
      <c r="Z765" s="37"/>
      <c r="AA765">
        <f t="shared" si="44"/>
        <v>1900</v>
      </c>
      <c r="AB765">
        <f t="shared" si="45"/>
        <v>1</v>
      </c>
      <c r="AC765">
        <f t="shared" si="46"/>
        <v>7</v>
      </c>
      <c r="AD765">
        <f t="shared" si="47"/>
        <v>0</v>
      </c>
      <c r="AE765" s="62">
        <f>IF(I765="missing", IFERROR(INDEX([1]lookup!$I:$I, MATCH($A765, [1]lookup!$B:$B, 0)), 0), I765)</f>
        <v>0</v>
      </c>
    </row>
    <row r="766" spans="1:3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7"/>
      <c r="W766" s="36"/>
      <c r="X766" s="35"/>
      <c r="Y766" s="37"/>
      <c r="Z766" s="37"/>
      <c r="AA766">
        <f t="shared" si="44"/>
        <v>1900</v>
      </c>
      <c r="AB766">
        <f t="shared" si="45"/>
        <v>1</v>
      </c>
      <c r="AC766">
        <f t="shared" si="46"/>
        <v>7</v>
      </c>
      <c r="AD766">
        <f t="shared" si="47"/>
        <v>0</v>
      </c>
      <c r="AE766" s="62">
        <f>IF(I766="missing", IFERROR(INDEX([1]lookup!$I:$I, MATCH($A766, [1]lookup!$B:$B, 0)), 0), I766)</f>
        <v>0</v>
      </c>
    </row>
    <row r="767" spans="1:3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7"/>
      <c r="W767" s="36"/>
      <c r="X767" s="35"/>
      <c r="Y767" s="37"/>
      <c r="Z767" s="37"/>
      <c r="AA767">
        <f t="shared" si="44"/>
        <v>1900</v>
      </c>
      <c r="AB767">
        <f t="shared" si="45"/>
        <v>1</v>
      </c>
      <c r="AC767">
        <f t="shared" si="46"/>
        <v>7</v>
      </c>
      <c r="AD767">
        <f t="shared" si="47"/>
        <v>0</v>
      </c>
      <c r="AE767" s="62">
        <f>IF(I767="missing", IFERROR(INDEX([1]lookup!$I:$I, MATCH($A767, [1]lookup!$B:$B, 0)), 0), I767)</f>
        <v>0</v>
      </c>
    </row>
    <row r="768" spans="1:3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7"/>
      <c r="W768" s="36"/>
      <c r="X768" s="35"/>
      <c r="Y768" s="37"/>
      <c r="Z768" s="37"/>
      <c r="AA768">
        <f t="shared" si="44"/>
        <v>1900</v>
      </c>
      <c r="AB768">
        <f t="shared" si="45"/>
        <v>1</v>
      </c>
      <c r="AC768">
        <f t="shared" si="46"/>
        <v>7</v>
      </c>
      <c r="AD768">
        <f t="shared" si="47"/>
        <v>0</v>
      </c>
      <c r="AE768" s="62">
        <f>IF(I768="missing", IFERROR(INDEX([1]lookup!$I:$I, MATCH($A768, [1]lookup!$B:$B, 0)), 0), I768)</f>
        <v>0</v>
      </c>
    </row>
    <row r="769" spans="1:3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7"/>
      <c r="W769" s="36"/>
      <c r="X769" s="35"/>
      <c r="Y769" s="37"/>
      <c r="Z769" s="37"/>
      <c r="AA769">
        <f t="shared" si="44"/>
        <v>1900</v>
      </c>
      <c r="AB769">
        <f t="shared" si="45"/>
        <v>1</v>
      </c>
      <c r="AC769">
        <f t="shared" si="46"/>
        <v>7</v>
      </c>
      <c r="AD769">
        <f t="shared" si="47"/>
        <v>0</v>
      </c>
      <c r="AE769" s="62">
        <f>IF(I769="missing", IFERROR(INDEX([1]lookup!$I:$I, MATCH($A769, [1]lookup!$B:$B, 0)), 0), I769)</f>
        <v>0</v>
      </c>
    </row>
    <row r="770" spans="1:3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7"/>
      <c r="W770" s="36"/>
      <c r="X770" s="35"/>
      <c r="Y770" s="37"/>
      <c r="Z770" s="37"/>
      <c r="AA770">
        <f t="shared" ref="AA770:AA833" si="48">IFERROR(YEAR(B770), 0)</f>
        <v>1900</v>
      </c>
      <c r="AB770">
        <f t="shared" ref="AB770:AB833" si="49">IFERROR(MONTH(B770), 0)</f>
        <v>1</v>
      </c>
      <c r="AC770">
        <f t="shared" ref="AC770:AC833" si="50">IFERROR(WEEKDAY(B770), 0)</f>
        <v>7</v>
      </c>
      <c r="AD770">
        <f t="shared" ref="AD770:AD833" si="51">IFERROR(C770 - B770, 0)</f>
        <v>0</v>
      </c>
      <c r="AE770" s="62">
        <f>IF(I770="missing", IFERROR(INDEX([1]lookup!$I:$I, MATCH($A770, [1]lookup!$B:$B, 0)), 0), I770)</f>
        <v>0</v>
      </c>
    </row>
    <row r="771" spans="1:3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7"/>
      <c r="W771" s="36"/>
      <c r="X771" s="35"/>
      <c r="Y771" s="37"/>
      <c r="Z771" s="37"/>
      <c r="AA771">
        <f t="shared" si="48"/>
        <v>1900</v>
      </c>
      <c r="AB771">
        <f t="shared" si="49"/>
        <v>1</v>
      </c>
      <c r="AC771">
        <f t="shared" si="50"/>
        <v>7</v>
      </c>
      <c r="AD771">
        <f t="shared" si="51"/>
        <v>0</v>
      </c>
      <c r="AE771" s="62">
        <f>IF(I771="missing", IFERROR(INDEX([1]lookup!$I:$I, MATCH($A771, [1]lookup!$B:$B, 0)), 0), I771)</f>
        <v>0</v>
      </c>
    </row>
    <row r="772" spans="1:3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7"/>
      <c r="W772" s="36"/>
      <c r="X772" s="35"/>
      <c r="Y772" s="37"/>
      <c r="Z772" s="37"/>
      <c r="AA772">
        <f t="shared" si="48"/>
        <v>1900</v>
      </c>
      <c r="AB772">
        <f t="shared" si="49"/>
        <v>1</v>
      </c>
      <c r="AC772">
        <f t="shared" si="50"/>
        <v>7</v>
      </c>
      <c r="AD772">
        <f t="shared" si="51"/>
        <v>0</v>
      </c>
      <c r="AE772" s="62">
        <f>IF(I772="missing", IFERROR(INDEX([1]lookup!$I:$I, MATCH($A772, [1]lookup!$B:$B, 0)), 0), I772)</f>
        <v>0</v>
      </c>
    </row>
    <row r="773" spans="1:3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7"/>
      <c r="W773" s="36"/>
      <c r="X773" s="35"/>
      <c r="Y773" s="37"/>
      <c r="Z773" s="37"/>
      <c r="AA773">
        <f t="shared" si="48"/>
        <v>1900</v>
      </c>
      <c r="AB773">
        <f t="shared" si="49"/>
        <v>1</v>
      </c>
      <c r="AC773">
        <f t="shared" si="50"/>
        <v>7</v>
      </c>
      <c r="AD773">
        <f t="shared" si="51"/>
        <v>0</v>
      </c>
      <c r="AE773" s="62">
        <f>IF(I773="missing", IFERROR(INDEX([1]lookup!$I:$I, MATCH($A773, [1]lookup!$B:$B, 0)), 0), I773)</f>
        <v>0</v>
      </c>
    </row>
    <row r="774" spans="1:3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7"/>
      <c r="W774" s="36"/>
      <c r="X774" s="35"/>
      <c r="Y774" s="37"/>
      <c r="Z774" s="37"/>
      <c r="AA774">
        <f t="shared" si="48"/>
        <v>1900</v>
      </c>
      <c r="AB774">
        <f t="shared" si="49"/>
        <v>1</v>
      </c>
      <c r="AC774">
        <f t="shared" si="50"/>
        <v>7</v>
      </c>
      <c r="AD774">
        <f t="shared" si="51"/>
        <v>0</v>
      </c>
      <c r="AE774" s="62">
        <f>IF(I774="missing", IFERROR(INDEX([1]lookup!$I:$I, MATCH($A774, [1]lookup!$B:$B, 0)), 0), I774)</f>
        <v>0</v>
      </c>
    </row>
    <row r="775" spans="1:3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7"/>
      <c r="W775" s="36"/>
      <c r="X775" s="35"/>
      <c r="Y775" s="37"/>
      <c r="Z775" s="37"/>
      <c r="AA775">
        <f t="shared" si="48"/>
        <v>1900</v>
      </c>
      <c r="AB775">
        <f t="shared" si="49"/>
        <v>1</v>
      </c>
      <c r="AC775">
        <f t="shared" si="50"/>
        <v>7</v>
      </c>
      <c r="AD775">
        <f t="shared" si="51"/>
        <v>0</v>
      </c>
      <c r="AE775" s="62">
        <f>IF(I775="missing", IFERROR(INDEX([1]lookup!$I:$I, MATCH($A775, [1]lookup!$B:$B, 0)), 0), I775)</f>
        <v>0</v>
      </c>
    </row>
    <row r="776" spans="1:3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7"/>
      <c r="W776" s="36"/>
      <c r="X776" s="35"/>
      <c r="Y776" s="37"/>
      <c r="Z776" s="37"/>
      <c r="AA776">
        <f t="shared" si="48"/>
        <v>1900</v>
      </c>
      <c r="AB776">
        <f t="shared" si="49"/>
        <v>1</v>
      </c>
      <c r="AC776">
        <f t="shared" si="50"/>
        <v>7</v>
      </c>
      <c r="AD776">
        <f t="shared" si="51"/>
        <v>0</v>
      </c>
      <c r="AE776" s="62">
        <f>IF(I776="missing", IFERROR(INDEX([1]lookup!$I:$I, MATCH($A776, [1]lookup!$B:$B, 0)), 0), I776)</f>
        <v>0</v>
      </c>
    </row>
    <row r="777" spans="1:3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7"/>
      <c r="W777" s="36"/>
      <c r="X777" s="35"/>
      <c r="Y777" s="37"/>
      <c r="Z777" s="37"/>
      <c r="AA777">
        <f t="shared" si="48"/>
        <v>1900</v>
      </c>
      <c r="AB777">
        <f t="shared" si="49"/>
        <v>1</v>
      </c>
      <c r="AC777">
        <f t="shared" si="50"/>
        <v>7</v>
      </c>
      <c r="AD777">
        <f t="shared" si="51"/>
        <v>0</v>
      </c>
      <c r="AE777" s="62">
        <f>IF(I777="missing", IFERROR(INDEX([1]lookup!$I:$I, MATCH($A777, [1]lookup!$B:$B, 0)), 0), I777)</f>
        <v>0</v>
      </c>
    </row>
    <row r="778" spans="1:3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7"/>
      <c r="W778" s="36"/>
      <c r="X778" s="35"/>
      <c r="Y778" s="37"/>
      <c r="Z778" s="37"/>
      <c r="AA778">
        <f t="shared" si="48"/>
        <v>1900</v>
      </c>
      <c r="AB778">
        <f t="shared" si="49"/>
        <v>1</v>
      </c>
      <c r="AC778">
        <f t="shared" si="50"/>
        <v>7</v>
      </c>
      <c r="AD778">
        <f t="shared" si="51"/>
        <v>0</v>
      </c>
      <c r="AE778" s="62">
        <f>IF(I778="missing", IFERROR(INDEX([1]lookup!$I:$I, MATCH($A778, [1]lookup!$B:$B, 0)), 0), I778)</f>
        <v>0</v>
      </c>
    </row>
    <row r="779" spans="1:3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7"/>
      <c r="W779" s="36"/>
      <c r="X779" s="35"/>
      <c r="Y779" s="37"/>
      <c r="Z779" s="37"/>
      <c r="AA779">
        <f t="shared" si="48"/>
        <v>1900</v>
      </c>
      <c r="AB779">
        <f t="shared" si="49"/>
        <v>1</v>
      </c>
      <c r="AC779">
        <f t="shared" si="50"/>
        <v>7</v>
      </c>
      <c r="AD779">
        <f t="shared" si="51"/>
        <v>0</v>
      </c>
      <c r="AE779" s="62">
        <f>IF(I779="missing", IFERROR(INDEX([1]lookup!$I:$I, MATCH($A779, [1]lookup!$B:$B, 0)), 0), I779)</f>
        <v>0</v>
      </c>
    </row>
    <row r="780" spans="1:3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7"/>
      <c r="W780" s="36"/>
      <c r="X780" s="35"/>
      <c r="Y780" s="37"/>
      <c r="Z780" s="37"/>
      <c r="AA780">
        <f t="shared" si="48"/>
        <v>1900</v>
      </c>
      <c r="AB780">
        <f t="shared" si="49"/>
        <v>1</v>
      </c>
      <c r="AC780">
        <f t="shared" si="50"/>
        <v>7</v>
      </c>
      <c r="AD780">
        <f t="shared" si="51"/>
        <v>0</v>
      </c>
      <c r="AE780" s="62">
        <f>IF(I780="missing", IFERROR(INDEX([1]lookup!$I:$I, MATCH($A780, [1]lookup!$B:$B, 0)), 0), I780)</f>
        <v>0</v>
      </c>
    </row>
    <row r="781" spans="1:3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7"/>
      <c r="W781" s="36"/>
      <c r="X781" s="35"/>
      <c r="Y781" s="37"/>
      <c r="Z781" s="37"/>
      <c r="AA781">
        <f t="shared" si="48"/>
        <v>1900</v>
      </c>
      <c r="AB781">
        <f t="shared" si="49"/>
        <v>1</v>
      </c>
      <c r="AC781">
        <f t="shared" si="50"/>
        <v>7</v>
      </c>
      <c r="AD781">
        <f t="shared" si="51"/>
        <v>0</v>
      </c>
      <c r="AE781" s="62">
        <f>IF(I781="missing", IFERROR(INDEX([1]lookup!$I:$I, MATCH($A781, [1]lookup!$B:$B, 0)), 0), I781)</f>
        <v>0</v>
      </c>
    </row>
    <row r="782" spans="1:3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7"/>
      <c r="W782" s="36"/>
      <c r="X782" s="35"/>
      <c r="Y782" s="37"/>
      <c r="Z782" s="37"/>
      <c r="AA782">
        <f t="shared" si="48"/>
        <v>1900</v>
      </c>
      <c r="AB782">
        <f t="shared" si="49"/>
        <v>1</v>
      </c>
      <c r="AC782">
        <f t="shared" si="50"/>
        <v>7</v>
      </c>
      <c r="AD782">
        <f t="shared" si="51"/>
        <v>0</v>
      </c>
      <c r="AE782" s="62">
        <f>IF(I782="missing", IFERROR(INDEX([1]lookup!$I:$I, MATCH($A782, [1]lookup!$B:$B, 0)), 0), I782)</f>
        <v>0</v>
      </c>
    </row>
    <row r="783" spans="1:3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7"/>
      <c r="W783" s="36"/>
      <c r="X783" s="35"/>
      <c r="Y783" s="37"/>
      <c r="Z783" s="37"/>
      <c r="AA783">
        <f t="shared" si="48"/>
        <v>1900</v>
      </c>
      <c r="AB783">
        <f t="shared" si="49"/>
        <v>1</v>
      </c>
      <c r="AC783">
        <f t="shared" si="50"/>
        <v>7</v>
      </c>
      <c r="AD783">
        <f t="shared" si="51"/>
        <v>0</v>
      </c>
      <c r="AE783" s="62">
        <f>IF(I783="missing", IFERROR(INDEX([1]lookup!$I:$I, MATCH($A783, [1]lookup!$B:$B, 0)), 0), I783)</f>
        <v>0</v>
      </c>
    </row>
    <row r="784" spans="1:3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7"/>
      <c r="W784" s="36"/>
      <c r="X784" s="35"/>
      <c r="Y784" s="37"/>
      <c r="Z784" s="37"/>
      <c r="AA784">
        <f t="shared" si="48"/>
        <v>1900</v>
      </c>
      <c r="AB784">
        <f t="shared" si="49"/>
        <v>1</v>
      </c>
      <c r="AC784">
        <f t="shared" si="50"/>
        <v>7</v>
      </c>
      <c r="AD784">
        <f t="shared" si="51"/>
        <v>0</v>
      </c>
      <c r="AE784" s="62">
        <f>IF(I784="missing", IFERROR(INDEX([1]lookup!$I:$I, MATCH($A784, [1]lookup!$B:$B, 0)), 0), I784)</f>
        <v>0</v>
      </c>
    </row>
    <row r="785" spans="1:3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7"/>
      <c r="W785" s="36"/>
      <c r="X785" s="35"/>
      <c r="Y785" s="37"/>
      <c r="Z785" s="37"/>
      <c r="AA785">
        <f t="shared" si="48"/>
        <v>1900</v>
      </c>
      <c r="AB785">
        <f t="shared" si="49"/>
        <v>1</v>
      </c>
      <c r="AC785">
        <f t="shared" si="50"/>
        <v>7</v>
      </c>
      <c r="AD785">
        <f t="shared" si="51"/>
        <v>0</v>
      </c>
      <c r="AE785" s="62">
        <f>IF(I785="missing", IFERROR(INDEX([1]lookup!$I:$I, MATCH($A785, [1]lookup!$B:$B, 0)), 0), I785)</f>
        <v>0</v>
      </c>
    </row>
    <row r="786" spans="1:3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7"/>
      <c r="W786" s="36"/>
      <c r="X786" s="35"/>
      <c r="Y786" s="37"/>
      <c r="Z786" s="37"/>
      <c r="AA786">
        <f t="shared" si="48"/>
        <v>1900</v>
      </c>
      <c r="AB786">
        <f t="shared" si="49"/>
        <v>1</v>
      </c>
      <c r="AC786">
        <f t="shared" si="50"/>
        <v>7</v>
      </c>
      <c r="AD786">
        <f t="shared" si="51"/>
        <v>0</v>
      </c>
      <c r="AE786" s="62">
        <f>IF(I786="missing", IFERROR(INDEX([1]lookup!$I:$I, MATCH($A786, [1]lookup!$B:$B, 0)), 0), I786)</f>
        <v>0</v>
      </c>
    </row>
    <row r="787" spans="1:3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7"/>
      <c r="W787" s="36"/>
      <c r="X787" s="35"/>
      <c r="Y787" s="37"/>
      <c r="Z787" s="37"/>
      <c r="AA787">
        <f t="shared" si="48"/>
        <v>1900</v>
      </c>
      <c r="AB787">
        <f t="shared" si="49"/>
        <v>1</v>
      </c>
      <c r="AC787">
        <f t="shared" si="50"/>
        <v>7</v>
      </c>
      <c r="AD787">
        <f t="shared" si="51"/>
        <v>0</v>
      </c>
      <c r="AE787" s="62">
        <f>IF(I787="missing", IFERROR(INDEX([1]lookup!$I:$I, MATCH($A787, [1]lookup!$B:$B, 0)), 0), I787)</f>
        <v>0</v>
      </c>
    </row>
    <row r="788" spans="1:3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7"/>
      <c r="W788" s="36"/>
      <c r="X788" s="35"/>
      <c r="Y788" s="37"/>
      <c r="Z788" s="37"/>
      <c r="AA788">
        <f t="shared" si="48"/>
        <v>1900</v>
      </c>
      <c r="AB788">
        <f t="shared" si="49"/>
        <v>1</v>
      </c>
      <c r="AC788">
        <f t="shared" si="50"/>
        <v>7</v>
      </c>
      <c r="AD788">
        <f t="shared" si="51"/>
        <v>0</v>
      </c>
      <c r="AE788" s="62">
        <f>IF(I788="missing", IFERROR(INDEX([1]lookup!$I:$I, MATCH($A788, [1]lookup!$B:$B, 0)), 0), I788)</f>
        <v>0</v>
      </c>
    </row>
    <row r="789" spans="1:3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7"/>
      <c r="W789" s="36"/>
      <c r="X789" s="35"/>
      <c r="Y789" s="37"/>
      <c r="Z789" s="37"/>
      <c r="AA789">
        <f t="shared" si="48"/>
        <v>1900</v>
      </c>
      <c r="AB789">
        <f t="shared" si="49"/>
        <v>1</v>
      </c>
      <c r="AC789">
        <f t="shared" si="50"/>
        <v>7</v>
      </c>
      <c r="AD789">
        <f t="shared" si="51"/>
        <v>0</v>
      </c>
      <c r="AE789" s="62">
        <f>IF(I789="missing", IFERROR(INDEX([1]lookup!$I:$I, MATCH($A789, [1]lookup!$B:$B, 0)), 0), I789)</f>
        <v>0</v>
      </c>
    </row>
    <row r="790" spans="1:3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7"/>
      <c r="W790" s="36"/>
      <c r="X790" s="35"/>
      <c r="Y790" s="37"/>
      <c r="Z790" s="37"/>
      <c r="AA790">
        <f t="shared" si="48"/>
        <v>1900</v>
      </c>
      <c r="AB790">
        <f t="shared" si="49"/>
        <v>1</v>
      </c>
      <c r="AC790">
        <f t="shared" si="50"/>
        <v>7</v>
      </c>
      <c r="AD790">
        <f t="shared" si="51"/>
        <v>0</v>
      </c>
      <c r="AE790" s="62">
        <f>IF(I790="missing", IFERROR(INDEX([1]lookup!$I:$I, MATCH($A790, [1]lookup!$B:$B, 0)), 0), I790)</f>
        <v>0</v>
      </c>
    </row>
    <row r="791" spans="1:3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7"/>
      <c r="W791" s="36"/>
      <c r="X791" s="35"/>
      <c r="Y791" s="37"/>
      <c r="Z791" s="37"/>
      <c r="AA791">
        <f t="shared" si="48"/>
        <v>1900</v>
      </c>
      <c r="AB791">
        <f t="shared" si="49"/>
        <v>1</v>
      </c>
      <c r="AC791">
        <f t="shared" si="50"/>
        <v>7</v>
      </c>
      <c r="AD791">
        <f t="shared" si="51"/>
        <v>0</v>
      </c>
      <c r="AE791" s="62">
        <f>IF(I791="missing", IFERROR(INDEX([1]lookup!$I:$I, MATCH($A791, [1]lookup!$B:$B, 0)), 0), I791)</f>
        <v>0</v>
      </c>
    </row>
    <row r="792" spans="1:3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7"/>
      <c r="W792" s="36"/>
      <c r="X792" s="35"/>
      <c r="Y792" s="37"/>
      <c r="Z792" s="37"/>
      <c r="AA792">
        <f t="shared" si="48"/>
        <v>1900</v>
      </c>
      <c r="AB792">
        <f t="shared" si="49"/>
        <v>1</v>
      </c>
      <c r="AC792">
        <f t="shared" si="50"/>
        <v>7</v>
      </c>
      <c r="AD792">
        <f t="shared" si="51"/>
        <v>0</v>
      </c>
      <c r="AE792" s="62">
        <f>IF(I792="missing", IFERROR(INDEX([1]lookup!$I:$I, MATCH($A792, [1]lookup!$B:$B, 0)), 0), I792)</f>
        <v>0</v>
      </c>
    </row>
    <row r="793" spans="1:3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7"/>
      <c r="W793" s="36"/>
      <c r="X793" s="35"/>
      <c r="Y793" s="37"/>
      <c r="Z793" s="37"/>
      <c r="AA793">
        <f t="shared" si="48"/>
        <v>1900</v>
      </c>
      <c r="AB793">
        <f t="shared" si="49"/>
        <v>1</v>
      </c>
      <c r="AC793">
        <f t="shared" si="50"/>
        <v>7</v>
      </c>
      <c r="AD793">
        <f t="shared" si="51"/>
        <v>0</v>
      </c>
      <c r="AE793" s="62">
        <f>IF(I793="missing", IFERROR(INDEX([1]lookup!$I:$I, MATCH($A793, [1]lookup!$B:$B, 0)), 0), I793)</f>
        <v>0</v>
      </c>
    </row>
    <row r="794" spans="1:3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7"/>
      <c r="W794" s="36"/>
      <c r="X794" s="35"/>
      <c r="Y794" s="37"/>
      <c r="Z794" s="37"/>
      <c r="AA794">
        <f t="shared" si="48"/>
        <v>1900</v>
      </c>
      <c r="AB794">
        <f t="shared" si="49"/>
        <v>1</v>
      </c>
      <c r="AC794">
        <f t="shared" si="50"/>
        <v>7</v>
      </c>
      <c r="AD794">
        <f t="shared" si="51"/>
        <v>0</v>
      </c>
      <c r="AE794" s="62">
        <f>IF(I794="missing", IFERROR(INDEX([1]lookup!$I:$I, MATCH($A794, [1]lookup!$B:$B, 0)), 0), I794)</f>
        <v>0</v>
      </c>
    </row>
    <row r="795" spans="1:3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7"/>
      <c r="W795" s="36"/>
      <c r="X795" s="35"/>
      <c r="Y795" s="37"/>
      <c r="Z795" s="37"/>
      <c r="AA795">
        <f t="shared" si="48"/>
        <v>1900</v>
      </c>
      <c r="AB795">
        <f t="shared" si="49"/>
        <v>1</v>
      </c>
      <c r="AC795">
        <f t="shared" si="50"/>
        <v>7</v>
      </c>
      <c r="AD795">
        <f t="shared" si="51"/>
        <v>0</v>
      </c>
      <c r="AE795" s="62">
        <f>IF(I795="missing", IFERROR(INDEX([1]lookup!$I:$I, MATCH($A795, [1]lookup!$B:$B, 0)), 0), I795)</f>
        <v>0</v>
      </c>
    </row>
    <row r="796" spans="1:3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7"/>
      <c r="W796" s="36"/>
      <c r="X796" s="35"/>
      <c r="Y796" s="37"/>
      <c r="Z796" s="37"/>
      <c r="AA796">
        <f t="shared" si="48"/>
        <v>1900</v>
      </c>
      <c r="AB796">
        <f t="shared" si="49"/>
        <v>1</v>
      </c>
      <c r="AC796">
        <f t="shared" si="50"/>
        <v>7</v>
      </c>
      <c r="AD796">
        <f t="shared" si="51"/>
        <v>0</v>
      </c>
      <c r="AE796" s="62">
        <f>IF(I796="missing", IFERROR(INDEX([1]lookup!$I:$I, MATCH($A796, [1]lookup!$B:$B, 0)), 0), I796)</f>
        <v>0</v>
      </c>
    </row>
    <row r="797" spans="1:3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7"/>
      <c r="W797" s="36"/>
      <c r="X797" s="35"/>
      <c r="Y797" s="37"/>
      <c r="Z797" s="37"/>
      <c r="AA797">
        <f t="shared" si="48"/>
        <v>1900</v>
      </c>
      <c r="AB797">
        <f t="shared" si="49"/>
        <v>1</v>
      </c>
      <c r="AC797">
        <f t="shared" si="50"/>
        <v>7</v>
      </c>
      <c r="AD797">
        <f t="shared" si="51"/>
        <v>0</v>
      </c>
      <c r="AE797" s="62">
        <f>IF(I797="missing", IFERROR(INDEX([1]lookup!$I:$I, MATCH($A797, [1]lookup!$B:$B, 0)), 0), I797)</f>
        <v>0</v>
      </c>
    </row>
    <row r="798" spans="1:3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7"/>
      <c r="W798" s="36"/>
      <c r="X798" s="35"/>
      <c r="Y798" s="37"/>
      <c r="Z798" s="37"/>
      <c r="AA798">
        <f t="shared" si="48"/>
        <v>1900</v>
      </c>
      <c r="AB798">
        <f t="shared" si="49"/>
        <v>1</v>
      </c>
      <c r="AC798">
        <f t="shared" si="50"/>
        <v>7</v>
      </c>
      <c r="AD798">
        <f t="shared" si="51"/>
        <v>0</v>
      </c>
      <c r="AE798" s="62">
        <f>IF(I798="missing", IFERROR(INDEX([1]lookup!$I:$I, MATCH($A798, [1]lookup!$B:$B, 0)), 0), I798)</f>
        <v>0</v>
      </c>
    </row>
    <row r="799" spans="1:3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7"/>
      <c r="W799" s="36"/>
      <c r="X799" s="35"/>
      <c r="Y799" s="37"/>
      <c r="Z799" s="37"/>
      <c r="AA799">
        <f t="shared" si="48"/>
        <v>1900</v>
      </c>
      <c r="AB799">
        <f t="shared" si="49"/>
        <v>1</v>
      </c>
      <c r="AC799">
        <f t="shared" si="50"/>
        <v>7</v>
      </c>
      <c r="AD799">
        <f t="shared" si="51"/>
        <v>0</v>
      </c>
      <c r="AE799" s="62">
        <f>IF(I799="missing", IFERROR(INDEX([1]lookup!$I:$I, MATCH($A799, [1]lookup!$B:$B, 0)), 0), I799)</f>
        <v>0</v>
      </c>
    </row>
    <row r="800" spans="1:3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7"/>
      <c r="W800" s="36"/>
      <c r="X800" s="35"/>
      <c r="Y800" s="37"/>
      <c r="Z800" s="37"/>
      <c r="AA800">
        <f t="shared" si="48"/>
        <v>1900</v>
      </c>
      <c r="AB800">
        <f t="shared" si="49"/>
        <v>1</v>
      </c>
      <c r="AC800">
        <f t="shared" si="50"/>
        <v>7</v>
      </c>
      <c r="AD800">
        <f t="shared" si="51"/>
        <v>0</v>
      </c>
      <c r="AE800" s="62">
        <f>IF(I800="missing", IFERROR(INDEX([1]lookup!$I:$I, MATCH($A800, [1]lookup!$B:$B, 0)), 0), I800)</f>
        <v>0</v>
      </c>
    </row>
    <row r="801" spans="1:3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7"/>
      <c r="W801" s="36"/>
      <c r="X801" s="35"/>
      <c r="Y801" s="37"/>
      <c r="Z801" s="37"/>
      <c r="AA801">
        <f t="shared" si="48"/>
        <v>1900</v>
      </c>
      <c r="AB801">
        <f t="shared" si="49"/>
        <v>1</v>
      </c>
      <c r="AC801">
        <f t="shared" si="50"/>
        <v>7</v>
      </c>
      <c r="AD801">
        <f t="shared" si="51"/>
        <v>0</v>
      </c>
      <c r="AE801" s="62">
        <f>IF(I801="missing", IFERROR(INDEX([1]lookup!$I:$I, MATCH($A801, [1]lookup!$B:$B, 0)), 0), I801)</f>
        <v>0</v>
      </c>
    </row>
    <row r="802" spans="1:3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7"/>
      <c r="W802" s="36"/>
      <c r="X802" s="35"/>
      <c r="Y802" s="37"/>
      <c r="Z802" s="37"/>
      <c r="AA802">
        <f t="shared" si="48"/>
        <v>1900</v>
      </c>
      <c r="AB802">
        <f t="shared" si="49"/>
        <v>1</v>
      </c>
      <c r="AC802">
        <f t="shared" si="50"/>
        <v>7</v>
      </c>
      <c r="AD802">
        <f t="shared" si="51"/>
        <v>0</v>
      </c>
      <c r="AE802" s="62">
        <f>IF(I802="missing", IFERROR(INDEX([1]lookup!$I:$I, MATCH($A802, [1]lookup!$B:$B, 0)), 0), I802)</f>
        <v>0</v>
      </c>
    </row>
    <row r="803" spans="1:3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7"/>
      <c r="W803" s="36"/>
      <c r="X803" s="35"/>
      <c r="Y803" s="37"/>
      <c r="Z803" s="37"/>
      <c r="AA803">
        <f t="shared" si="48"/>
        <v>1900</v>
      </c>
      <c r="AB803">
        <f t="shared" si="49"/>
        <v>1</v>
      </c>
      <c r="AC803">
        <f t="shared" si="50"/>
        <v>7</v>
      </c>
      <c r="AD803">
        <f t="shared" si="51"/>
        <v>0</v>
      </c>
      <c r="AE803" s="62">
        <f>IF(I803="missing", IFERROR(INDEX([1]lookup!$I:$I, MATCH($A803, [1]lookup!$B:$B, 0)), 0), I803)</f>
        <v>0</v>
      </c>
    </row>
    <row r="804" spans="1:3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7"/>
      <c r="W804" s="36"/>
      <c r="X804" s="35"/>
      <c r="Y804" s="37"/>
      <c r="Z804" s="37"/>
      <c r="AA804">
        <f t="shared" si="48"/>
        <v>1900</v>
      </c>
      <c r="AB804">
        <f t="shared" si="49"/>
        <v>1</v>
      </c>
      <c r="AC804">
        <f t="shared" si="50"/>
        <v>7</v>
      </c>
      <c r="AD804">
        <f t="shared" si="51"/>
        <v>0</v>
      </c>
      <c r="AE804" s="62">
        <f>IF(I804="missing", IFERROR(INDEX([1]lookup!$I:$I, MATCH($A804, [1]lookup!$B:$B, 0)), 0), I804)</f>
        <v>0</v>
      </c>
    </row>
    <row r="805" spans="1:3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7"/>
      <c r="W805" s="36"/>
      <c r="X805" s="35"/>
      <c r="Y805" s="37"/>
      <c r="Z805" s="37"/>
      <c r="AA805">
        <f t="shared" si="48"/>
        <v>1900</v>
      </c>
      <c r="AB805">
        <f t="shared" si="49"/>
        <v>1</v>
      </c>
      <c r="AC805">
        <f t="shared" si="50"/>
        <v>7</v>
      </c>
      <c r="AD805">
        <f t="shared" si="51"/>
        <v>0</v>
      </c>
      <c r="AE805" s="62">
        <f>IF(I805="missing", IFERROR(INDEX([1]lookup!$I:$I, MATCH($A805, [1]lookup!$B:$B, 0)), 0), I805)</f>
        <v>0</v>
      </c>
    </row>
    <row r="806" spans="1:3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7"/>
      <c r="W806" s="36"/>
      <c r="X806" s="35"/>
      <c r="Y806" s="37"/>
      <c r="Z806" s="37"/>
      <c r="AA806">
        <f t="shared" si="48"/>
        <v>1900</v>
      </c>
      <c r="AB806">
        <f t="shared" si="49"/>
        <v>1</v>
      </c>
      <c r="AC806">
        <f t="shared" si="50"/>
        <v>7</v>
      </c>
      <c r="AD806">
        <f t="shared" si="51"/>
        <v>0</v>
      </c>
      <c r="AE806" s="62">
        <f>IF(I806="missing", IFERROR(INDEX([1]lookup!$I:$I, MATCH($A806, [1]lookup!$B:$B, 0)), 0), I806)</f>
        <v>0</v>
      </c>
    </row>
    <row r="807" spans="1:3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7"/>
      <c r="W807" s="36"/>
      <c r="X807" s="35"/>
      <c r="Y807" s="37"/>
      <c r="Z807" s="37"/>
      <c r="AA807">
        <f t="shared" si="48"/>
        <v>1900</v>
      </c>
      <c r="AB807">
        <f t="shared" si="49"/>
        <v>1</v>
      </c>
      <c r="AC807">
        <f t="shared" si="50"/>
        <v>7</v>
      </c>
      <c r="AD807">
        <f t="shared" si="51"/>
        <v>0</v>
      </c>
      <c r="AE807" s="62">
        <f>IF(I807="missing", IFERROR(INDEX([1]lookup!$I:$I, MATCH($A807, [1]lookup!$B:$B, 0)), 0), I807)</f>
        <v>0</v>
      </c>
    </row>
    <row r="808" spans="1:3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7"/>
      <c r="W808" s="36"/>
      <c r="X808" s="35"/>
      <c r="Y808" s="37"/>
      <c r="Z808" s="37"/>
      <c r="AA808">
        <f t="shared" si="48"/>
        <v>1900</v>
      </c>
      <c r="AB808">
        <f t="shared" si="49"/>
        <v>1</v>
      </c>
      <c r="AC808">
        <f t="shared" si="50"/>
        <v>7</v>
      </c>
      <c r="AD808">
        <f t="shared" si="51"/>
        <v>0</v>
      </c>
      <c r="AE808" s="62">
        <f>IF(I808="missing", IFERROR(INDEX([1]lookup!$I:$I, MATCH($A808, [1]lookup!$B:$B, 0)), 0), I808)</f>
        <v>0</v>
      </c>
    </row>
    <row r="809" spans="1:3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7"/>
      <c r="W809" s="36"/>
      <c r="X809" s="35"/>
      <c r="Y809" s="37"/>
      <c r="Z809" s="37"/>
      <c r="AA809">
        <f t="shared" si="48"/>
        <v>1900</v>
      </c>
      <c r="AB809">
        <f t="shared" si="49"/>
        <v>1</v>
      </c>
      <c r="AC809">
        <f t="shared" si="50"/>
        <v>7</v>
      </c>
      <c r="AD809">
        <f t="shared" si="51"/>
        <v>0</v>
      </c>
      <c r="AE809" s="62">
        <f>IF(I809="missing", IFERROR(INDEX([1]lookup!$I:$I, MATCH($A809, [1]lookup!$B:$B, 0)), 0), I809)</f>
        <v>0</v>
      </c>
    </row>
    <row r="810" spans="1:3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7"/>
      <c r="W810" s="36"/>
      <c r="X810" s="35"/>
      <c r="Y810" s="37"/>
      <c r="Z810" s="37"/>
      <c r="AA810">
        <f t="shared" si="48"/>
        <v>1900</v>
      </c>
      <c r="AB810">
        <f t="shared" si="49"/>
        <v>1</v>
      </c>
      <c r="AC810">
        <f t="shared" si="50"/>
        <v>7</v>
      </c>
      <c r="AD810">
        <f t="shared" si="51"/>
        <v>0</v>
      </c>
      <c r="AE810" s="62">
        <f>IF(I810="missing", IFERROR(INDEX([1]lookup!$I:$I, MATCH($A810, [1]lookup!$B:$B, 0)), 0), I810)</f>
        <v>0</v>
      </c>
    </row>
    <row r="811" spans="1:3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7"/>
      <c r="W811" s="36"/>
      <c r="X811" s="35"/>
      <c r="Y811" s="37"/>
      <c r="Z811" s="37"/>
      <c r="AA811">
        <f t="shared" si="48"/>
        <v>1900</v>
      </c>
      <c r="AB811">
        <f t="shared" si="49"/>
        <v>1</v>
      </c>
      <c r="AC811">
        <f t="shared" si="50"/>
        <v>7</v>
      </c>
      <c r="AD811">
        <f t="shared" si="51"/>
        <v>0</v>
      </c>
      <c r="AE811" s="62">
        <f>IF(I811="missing", IFERROR(INDEX([1]lookup!$I:$I, MATCH($A811, [1]lookup!$B:$B, 0)), 0), I811)</f>
        <v>0</v>
      </c>
    </row>
    <row r="812" spans="1:3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7"/>
      <c r="W812" s="36"/>
      <c r="X812" s="35"/>
      <c r="Y812" s="37"/>
      <c r="Z812" s="37"/>
      <c r="AA812">
        <f t="shared" si="48"/>
        <v>1900</v>
      </c>
      <c r="AB812">
        <f t="shared" si="49"/>
        <v>1</v>
      </c>
      <c r="AC812">
        <f t="shared" si="50"/>
        <v>7</v>
      </c>
      <c r="AD812">
        <f t="shared" si="51"/>
        <v>0</v>
      </c>
      <c r="AE812" s="62">
        <f>IF(I812="missing", IFERROR(INDEX([1]lookup!$I:$I, MATCH($A812, [1]lookup!$B:$B, 0)), 0), I812)</f>
        <v>0</v>
      </c>
    </row>
    <row r="813" spans="1:3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7"/>
      <c r="W813" s="36"/>
      <c r="X813" s="35"/>
      <c r="Y813" s="37"/>
      <c r="Z813" s="37"/>
      <c r="AA813">
        <f t="shared" si="48"/>
        <v>1900</v>
      </c>
      <c r="AB813">
        <f t="shared" si="49"/>
        <v>1</v>
      </c>
      <c r="AC813">
        <f t="shared" si="50"/>
        <v>7</v>
      </c>
      <c r="AD813">
        <f t="shared" si="51"/>
        <v>0</v>
      </c>
      <c r="AE813" s="62">
        <f>IF(I813="missing", IFERROR(INDEX([1]lookup!$I:$I, MATCH($A813, [1]lookup!$B:$B, 0)), 0), I813)</f>
        <v>0</v>
      </c>
    </row>
    <row r="814" spans="1:3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7"/>
      <c r="W814" s="36"/>
      <c r="X814" s="35"/>
      <c r="Y814" s="37"/>
      <c r="Z814" s="37"/>
      <c r="AA814">
        <f t="shared" si="48"/>
        <v>1900</v>
      </c>
      <c r="AB814">
        <f t="shared" si="49"/>
        <v>1</v>
      </c>
      <c r="AC814">
        <f t="shared" si="50"/>
        <v>7</v>
      </c>
      <c r="AD814">
        <f t="shared" si="51"/>
        <v>0</v>
      </c>
      <c r="AE814" s="62">
        <f>IF(I814="missing", IFERROR(INDEX([1]lookup!$I:$I, MATCH($A814, [1]lookup!$B:$B, 0)), 0), I814)</f>
        <v>0</v>
      </c>
    </row>
    <row r="815" spans="1:3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7"/>
      <c r="W815" s="36"/>
      <c r="X815" s="35"/>
      <c r="Y815" s="37"/>
      <c r="Z815" s="37"/>
      <c r="AA815">
        <f t="shared" si="48"/>
        <v>1900</v>
      </c>
      <c r="AB815">
        <f t="shared" si="49"/>
        <v>1</v>
      </c>
      <c r="AC815">
        <f t="shared" si="50"/>
        <v>7</v>
      </c>
      <c r="AD815">
        <f t="shared" si="51"/>
        <v>0</v>
      </c>
      <c r="AE815" s="62">
        <f>IF(I815="missing", IFERROR(INDEX([1]lookup!$I:$I, MATCH($A815, [1]lookup!$B:$B, 0)), 0), I815)</f>
        <v>0</v>
      </c>
    </row>
    <row r="816" spans="1:3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7"/>
      <c r="W816" s="36"/>
      <c r="X816" s="35"/>
      <c r="Y816" s="37"/>
      <c r="Z816" s="37"/>
      <c r="AA816">
        <f t="shared" si="48"/>
        <v>1900</v>
      </c>
      <c r="AB816">
        <f t="shared" si="49"/>
        <v>1</v>
      </c>
      <c r="AC816">
        <f t="shared" si="50"/>
        <v>7</v>
      </c>
      <c r="AD816">
        <f t="shared" si="51"/>
        <v>0</v>
      </c>
      <c r="AE816" s="62">
        <f>IF(I816="missing", IFERROR(INDEX([1]lookup!$I:$I, MATCH($A816, [1]lookup!$B:$B, 0)), 0), I816)</f>
        <v>0</v>
      </c>
    </row>
    <row r="817" spans="1:3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7"/>
      <c r="W817" s="36"/>
      <c r="X817" s="35"/>
      <c r="Y817" s="37"/>
      <c r="Z817" s="37"/>
      <c r="AA817">
        <f t="shared" si="48"/>
        <v>1900</v>
      </c>
      <c r="AB817">
        <f t="shared" si="49"/>
        <v>1</v>
      </c>
      <c r="AC817">
        <f t="shared" si="50"/>
        <v>7</v>
      </c>
      <c r="AD817">
        <f t="shared" si="51"/>
        <v>0</v>
      </c>
      <c r="AE817" s="62">
        <f>IF(I817="missing", IFERROR(INDEX([1]lookup!$I:$I, MATCH($A817, [1]lookup!$B:$B, 0)), 0), I817)</f>
        <v>0</v>
      </c>
    </row>
    <row r="818" spans="1:3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7"/>
      <c r="W818" s="36"/>
      <c r="X818" s="35"/>
      <c r="Y818" s="37"/>
      <c r="Z818" s="37"/>
      <c r="AA818">
        <f t="shared" si="48"/>
        <v>1900</v>
      </c>
      <c r="AB818">
        <f t="shared" si="49"/>
        <v>1</v>
      </c>
      <c r="AC818">
        <f t="shared" si="50"/>
        <v>7</v>
      </c>
      <c r="AD818">
        <f t="shared" si="51"/>
        <v>0</v>
      </c>
      <c r="AE818" s="62">
        <f>IF(I818="missing", IFERROR(INDEX([1]lookup!$I:$I, MATCH($A818, [1]lookup!$B:$B, 0)), 0), I818)</f>
        <v>0</v>
      </c>
    </row>
    <row r="819" spans="1:3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7"/>
      <c r="W819" s="36"/>
      <c r="X819" s="35"/>
      <c r="Y819" s="37"/>
      <c r="Z819" s="37"/>
      <c r="AA819">
        <f t="shared" si="48"/>
        <v>1900</v>
      </c>
      <c r="AB819">
        <f t="shared" si="49"/>
        <v>1</v>
      </c>
      <c r="AC819">
        <f t="shared" si="50"/>
        <v>7</v>
      </c>
      <c r="AD819">
        <f t="shared" si="51"/>
        <v>0</v>
      </c>
      <c r="AE819" s="62">
        <f>IF(I819="missing", IFERROR(INDEX([1]lookup!$I:$I, MATCH($A819, [1]lookup!$B:$B, 0)), 0), I819)</f>
        <v>0</v>
      </c>
    </row>
    <row r="820" spans="1:3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7"/>
      <c r="W820" s="36"/>
      <c r="X820" s="35"/>
      <c r="Y820" s="37"/>
      <c r="Z820" s="37"/>
      <c r="AA820">
        <f t="shared" si="48"/>
        <v>1900</v>
      </c>
      <c r="AB820">
        <f t="shared" si="49"/>
        <v>1</v>
      </c>
      <c r="AC820">
        <f t="shared" si="50"/>
        <v>7</v>
      </c>
      <c r="AD820">
        <f t="shared" si="51"/>
        <v>0</v>
      </c>
      <c r="AE820" s="62">
        <f>IF(I820="missing", IFERROR(INDEX([1]lookup!$I:$I, MATCH($A820, [1]lookup!$B:$B, 0)), 0), I820)</f>
        <v>0</v>
      </c>
    </row>
    <row r="821" spans="1:3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7"/>
      <c r="W821" s="36"/>
      <c r="X821" s="35"/>
      <c r="Y821" s="37"/>
      <c r="Z821" s="37"/>
      <c r="AA821">
        <f t="shared" si="48"/>
        <v>1900</v>
      </c>
      <c r="AB821">
        <f t="shared" si="49"/>
        <v>1</v>
      </c>
      <c r="AC821">
        <f t="shared" si="50"/>
        <v>7</v>
      </c>
      <c r="AD821">
        <f t="shared" si="51"/>
        <v>0</v>
      </c>
      <c r="AE821" s="62">
        <f>IF(I821="missing", IFERROR(INDEX([1]lookup!$I:$I, MATCH($A821, [1]lookup!$B:$B, 0)), 0), I821)</f>
        <v>0</v>
      </c>
    </row>
    <row r="822" spans="1:3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7"/>
      <c r="W822" s="36"/>
      <c r="X822" s="35"/>
      <c r="Y822" s="37"/>
      <c r="Z822" s="37"/>
      <c r="AA822">
        <f t="shared" si="48"/>
        <v>1900</v>
      </c>
      <c r="AB822">
        <f t="shared" si="49"/>
        <v>1</v>
      </c>
      <c r="AC822">
        <f t="shared" si="50"/>
        <v>7</v>
      </c>
      <c r="AD822">
        <f t="shared" si="51"/>
        <v>0</v>
      </c>
      <c r="AE822" s="62">
        <f>IF(I822="missing", IFERROR(INDEX([1]lookup!$I:$I, MATCH($A822, [1]lookup!$B:$B, 0)), 0), I822)</f>
        <v>0</v>
      </c>
    </row>
    <row r="823" spans="1:3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7"/>
      <c r="W823" s="36"/>
      <c r="X823" s="35"/>
      <c r="Y823" s="37"/>
      <c r="Z823" s="37"/>
      <c r="AA823">
        <f t="shared" si="48"/>
        <v>1900</v>
      </c>
      <c r="AB823">
        <f t="shared" si="49"/>
        <v>1</v>
      </c>
      <c r="AC823">
        <f t="shared" si="50"/>
        <v>7</v>
      </c>
      <c r="AD823">
        <f t="shared" si="51"/>
        <v>0</v>
      </c>
      <c r="AE823" s="62">
        <f>IF(I823="missing", IFERROR(INDEX([1]lookup!$I:$I, MATCH($A823, [1]lookup!$B:$B, 0)), 0), I823)</f>
        <v>0</v>
      </c>
    </row>
    <row r="824" spans="1:3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7"/>
      <c r="W824" s="36"/>
      <c r="X824" s="35"/>
      <c r="Y824" s="37"/>
      <c r="Z824" s="37"/>
      <c r="AA824">
        <f t="shared" si="48"/>
        <v>1900</v>
      </c>
      <c r="AB824">
        <f t="shared" si="49"/>
        <v>1</v>
      </c>
      <c r="AC824">
        <f t="shared" si="50"/>
        <v>7</v>
      </c>
      <c r="AD824">
        <f t="shared" si="51"/>
        <v>0</v>
      </c>
      <c r="AE824" s="62">
        <f>IF(I824="missing", IFERROR(INDEX([1]lookup!$I:$I, MATCH($A824, [1]lookup!$B:$B, 0)), 0), I824)</f>
        <v>0</v>
      </c>
    </row>
    <row r="825" spans="1:3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7"/>
      <c r="W825" s="36"/>
      <c r="X825" s="35"/>
      <c r="Y825" s="37"/>
      <c r="Z825" s="37"/>
      <c r="AA825">
        <f t="shared" si="48"/>
        <v>1900</v>
      </c>
      <c r="AB825">
        <f t="shared" si="49"/>
        <v>1</v>
      </c>
      <c r="AC825">
        <f t="shared" si="50"/>
        <v>7</v>
      </c>
      <c r="AD825">
        <f t="shared" si="51"/>
        <v>0</v>
      </c>
      <c r="AE825" s="62">
        <f>IF(I825="missing", IFERROR(INDEX([1]lookup!$I:$I, MATCH($A825, [1]lookup!$B:$B, 0)), 0), I825)</f>
        <v>0</v>
      </c>
    </row>
    <row r="826" spans="1:3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7"/>
      <c r="W826" s="36"/>
      <c r="X826" s="35"/>
      <c r="Y826" s="37"/>
      <c r="Z826" s="37"/>
      <c r="AA826">
        <f t="shared" si="48"/>
        <v>1900</v>
      </c>
      <c r="AB826">
        <f t="shared" si="49"/>
        <v>1</v>
      </c>
      <c r="AC826">
        <f t="shared" si="50"/>
        <v>7</v>
      </c>
      <c r="AD826">
        <f t="shared" si="51"/>
        <v>0</v>
      </c>
      <c r="AE826" s="62">
        <f>IF(I826="missing", IFERROR(INDEX([1]lookup!$I:$I, MATCH($A826, [1]lookup!$B:$B, 0)), 0), I826)</f>
        <v>0</v>
      </c>
    </row>
    <row r="827" spans="1:3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7"/>
      <c r="W827" s="36"/>
      <c r="X827" s="35"/>
      <c r="Y827" s="37"/>
      <c r="Z827" s="37"/>
      <c r="AA827">
        <f t="shared" si="48"/>
        <v>1900</v>
      </c>
      <c r="AB827">
        <f t="shared" si="49"/>
        <v>1</v>
      </c>
      <c r="AC827">
        <f t="shared" si="50"/>
        <v>7</v>
      </c>
      <c r="AD827">
        <f t="shared" si="51"/>
        <v>0</v>
      </c>
      <c r="AE827" s="62">
        <f>IF(I827="missing", IFERROR(INDEX([1]lookup!$I:$I, MATCH($A827, [1]lookup!$B:$B, 0)), 0), I827)</f>
        <v>0</v>
      </c>
    </row>
    <row r="828" spans="1:3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7"/>
      <c r="W828" s="36"/>
      <c r="X828" s="35"/>
      <c r="Y828" s="37"/>
      <c r="Z828" s="37"/>
      <c r="AA828">
        <f t="shared" si="48"/>
        <v>1900</v>
      </c>
      <c r="AB828">
        <f t="shared" si="49"/>
        <v>1</v>
      </c>
      <c r="AC828">
        <f t="shared" si="50"/>
        <v>7</v>
      </c>
      <c r="AD828">
        <f t="shared" si="51"/>
        <v>0</v>
      </c>
      <c r="AE828" s="62">
        <f>IF(I828="missing", IFERROR(INDEX([1]lookup!$I:$I, MATCH($A828, [1]lookup!$B:$B, 0)), 0), I828)</f>
        <v>0</v>
      </c>
    </row>
    <row r="829" spans="1:3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7"/>
      <c r="W829" s="36"/>
      <c r="X829" s="35"/>
      <c r="Y829" s="37"/>
      <c r="Z829" s="37"/>
      <c r="AA829">
        <f t="shared" si="48"/>
        <v>1900</v>
      </c>
      <c r="AB829">
        <f t="shared" si="49"/>
        <v>1</v>
      </c>
      <c r="AC829">
        <f t="shared" si="50"/>
        <v>7</v>
      </c>
      <c r="AD829">
        <f t="shared" si="51"/>
        <v>0</v>
      </c>
      <c r="AE829" s="62">
        <f>IF(I829="missing", IFERROR(INDEX([1]lookup!$I:$I, MATCH($A829, [1]lookup!$B:$B, 0)), 0), I829)</f>
        <v>0</v>
      </c>
    </row>
    <row r="830" spans="1:3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7"/>
      <c r="W830" s="36"/>
      <c r="X830" s="35"/>
      <c r="Y830" s="37"/>
      <c r="Z830" s="37"/>
      <c r="AA830">
        <f t="shared" si="48"/>
        <v>1900</v>
      </c>
      <c r="AB830">
        <f t="shared" si="49"/>
        <v>1</v>
      </c>
      <c r="AC830">
        <f t="shared" si="50"/>
        <v>7</v>
      </c>
      <c r="AD830">
        <f t="shared" si="51"/>
        <v>0</v>
      </c>
      <c r="AE830" s="62">
        <f>IF(I830="missing", IFERROR(INDEX([1]lookup!$I:$I, MATCH($A830, [1]lookup!$B:$B, 0)), 0), I830)</f>
        <v>0</v>
      </c>
    </row>
    <row r="831" spans="1: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7"/>
      <c r="W831" s="36"/>
      <c r="X831" s="35"/>
      <c r="Y831" s="37"/>
      <c r="Z831" s="37"/>
      <c r="AA831">
        <f t="shared" si="48"/>
        <v>1900</v>
      </c>
      <c r="AB831">
        <f t="shared" si="49"/>
        <v>1</v>
      </c>
      <c r="AC831">
        <f t="shared" si="50"/>
        <v>7</v>
      </c>
      <c r="AD831">
        <f t="shared" si="51"/>
        <v>0</v>
      </c>
      <c r="AE831" s="62">
        <f>IF(I831="missing", IFERROR(INDEX([1]lookup!$I:$I, MATCH($A831, [1]lookup!$B:$B, 0)), 0), I831)</f>
        <v>0</v>
      </c>
    </row>
    <row r="832" spans="1:3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7"/>
      <c r="W832" s="36"/>
      <c r="X832" s="35"/>
      <c r="Y832" s="37"/>
      <c r="Z832" s="37"/>
      <c r="AA832">
        <f t="shared" si="48"/>
        <v>1900</v>
      </c>
      <c r="AB832">
        <f t="shared" si="49"/>
        <v>1</v>
      </c>
      <c r="AC832">
        <f t="shared" si="50"/>
        <v>7</v>
      </c>
      <c r="AD832">
        <f t="shared" si="51"/>
        <v>0</v>
      </c>
      <c r="AE832" s="62">
        <f>IF(I832="missing", IFERROR(INDEX([1]lookup!$I:$I, MATCH($A832, [1]lookup!$B:$B, 0)), 0), I832)</f>
        <v>0</v>
      </c>
    </row>
    <row r="833" spans="1:3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7"/>
      <c r="W833" s="36"/>
      <c r="X833" s="35"/>
      <c r="Y833" s="37"/>
      <c r="Z833" s="37"/>
      <c r="AA833">
        <f t="shared" si="48"/>
        <v>1900</v>
      </c>
      <c r="AB833">
        <f t="shared" si="49"/>
        <v>1</v>
      </c>
      <c r="AC833">
        <f t="shared" si="50"/>
        <v>7</v>
      </c>
      <c r="AD833">
        <f t="shared" si="51"/>
        <v>0</v>
      </c>
      <c r="AE833" s="62">
        <f>IF(I833="missing", IFERROR(INDEX([1]lookup!$I:$I, MATCH($A833, [1]lookup!$B:$B, 0)), 0), I833)</f>
        <v>0</v>
      </c>
    </row>
    <row r="834" spans="1:3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7"/>
      <c r="W834" s="36"/>
      <c r="X834" s="35"/>
      <c r="Y834" s="37"/>
      <c r="Z834" s="37"/>
      <c r="AA834">
        <f t="shared" ref="AA834:AA879" si="52">IFERROR(YEAR(B834), 0)</f>
        <v>1900</v>
      </c>
      <c r="AB834">
        <f t="shared" ref="AB834:AB879" si="53">IFERROR(MONTH(B834), 0)</f>
        <v>1</v>
      </c>
      <c r="AC834">
        <f t="shared" ref="AC834:AC879" si="54">IFERROR(WEEKDAY(B834), 0)</f>
        <v>7</v>
      </c>
      <c r="AD834">
        <f t="shared" ref="AD834:AD879" si="55">IFERROR(C834 - B834, 0)</f>
        <v>0</v>
      </c>
      <c r="AE834" s="62">
        <f>IF(I834="missing", IFERROR(INDEX([1]lookup!$I:$I, MATCH($A834, [1]lookup!$B:$B, 0)), 0), I834)</f>
        <v>0</v>
      </c>
    </row>
    <row r="835" spans="1:3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7"/>
      <c r="W835" s="36"/>
      <c r="X835" s="35"/>
      <c r="Y835" s="37"/>
      <c r="Z835" s="37"/>
      <c r="AA835">
        <f t="shared" si="52"/>
        <v>1900</v>
      </c>
      <c r="AB835">
        <f t="shared" si="53"/>
        <v>1</v>
      </c>
      <c r="AC835">
        <f t="shared" si="54"/>
        <v>7</v>
      </c>
      <c r="AD835">
        <f t="shared" si="55"/>
        <v>0</v>
      </c>
      <c r="AE835" s="62">
        <f>IF(I835="missing", IFERROR(INDEX([1]lookup!$I:$I, MATCH($A835, [1]lookup!$B:$B, 0)), 0), I835)</f>
        <v>0</v>
      </c>
    </row>
    <row r="836" spans="1:3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7"/>
      <c r="W836" s="36"/>
      <c r="X836" s="35"/>
      <c r="Y836" s="37"/>
      <c r="Z836" s="37"/>
      <c r="AA836">
        <f t="shared" si="52"/>
        <v>1900</v>
      </c>
      <c r="AB836">
        <f t="shared" si="53"/>
        <v>1</v>
      </c>
      <c r="AC836">
        <f t="shared" si="54"/>
        <v>7</v>
      </c>
      <c r="AD836">
        <f t="shared" si="55"/>
        <v>0</v>
      </c>
      <c r="AE836" s="62">
        <f>IF(I836="missing", IFERROR(INDEX([1]lookup!$I:$I, MATCH($A836, [1]lookup!$B:$B, 0)), 0), I836)</f>
        <v>0</v>
      </c>
    </row>
    <row r="837" spans="1:3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7"/>
      <c r="W837" s="36"/>
      <c r="X837" s="35"/>
      <c r="Y837" s="37"/>
      <c r="Z837" s="37"/>
      <c r="AA837">
        <f t="shared" si="52"/>
        <v>1900</v>
      </c>
      <c r="AB837">
        <f t="shared" si="53"/>
        <v>1</v>
      </c>
      <c r="AC837">
        <f t="shared" si="54"/>
        <v>7</v>
      </c>
      <c r="AD837">
        <f t="shared" si="55"/>
        <v>0</v>
      </c>
      <c r="AE837" s="62">
        <f>IF(I837="missing", IFERROR(INDEX([1]lookup!$I:$I, MATCH($A837, [1]lookup!$B:$B, 0)), 0), I837)</f>
        <v>0</v>
      </c>
    </row>
    <row r="838" spans="1:3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7"/>
      <c r="W838" s="36"/>
      <c r="X838" s="35"/>
      <c r="Y838" s="37"/>
      <c r="Z838" s="37"/>
      <c r="AA838">
        <f t="shared" si="52"/>
        <v>1900</v>
      </c>
      <c r="AB838">
        <f t="shared" si="53"/>
        <v>1</v>
      </c>
      <c r="AC838">
        <f t="shared" si="54"/>
        <v>7</v>
      </c>
      <c r="AD838">
        <f t="shared" si="55"/>
        <v>0</v>
      </c>
      <c r="AE838" s="62">
        <f>IF(I838="missing", IFERROR(INDEX([1]lookup!$I:$I, MATCH($A838, [1]lookup!$B:$B, 0)), 0), I838)</f>
        <v>0</v>
      </c>
    </row>
    <row r="839" spans="1:3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7"/>
      <c r="W839" s="36"/>
      <c r="X839" s="35"/>
      <c r="Y839" s="37"/>
      <c r="Z839" s="37"/>
      <c r="AA839">
        <f t="shared" si="52"/>
        <v>1900</v>
      </c>
      <c r="AB839">
        <f t="shared" si="53"/>
        <v>1</v>
      </c>
      <c r="AC839">
        <f t="shared" si="54"/>
        <v>7</v>
      </c>
      <c r="AD839">
        <f t="shared" si="55"/>
        <v>0</v>
      </c>
      <c r="AE839" s="62">
        <f>IF(I839="missing", IFERROR(INDEX([1]lookup!$I:$I, MATCH($A839, [1]lookup!$B:$B, 0)), 0), I839)</f>
        <v>0</v>
      </c>
    </row>
    <row r="840" spans="1:3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7"/>
      <c r="W840" s="36"/>
      <c r="X840" s="35"/>
      <c r="Y840" s="37"/>
      <c r="Z840" s="37"/>
      <c r="AA840">
        <f t="shared" si="52"/>
        <v>1900</v>
      </c>
      <c r="AB840">
        <f t="shared" si="53"/>
        <v>1</v>
      </c>
      <c r="AC840">
        <f t="shared" si="54"/>
        <v>7</v>
      </c>
      <c r="AD840">
        <f t="shared" si="55"/>
        <v>0</v>
      </c>
      <c r="AE840" s="62">
        <f>IF(I840="missing", IFERROR(INDEX([1]lookup!$I:$I, MATCH($A840, [1]lookup!$B:$B, 0)), 0), I840)</f>
        <v>0</v>
      </c>
    </row>
    <row r="841" spans="1:3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7"/>
      <c r="W841" s="36"/>
      <c r="X841" s="35"/>
      <c r="Y841" s="37"/>
      <c r="Z841" s="37"/>
      <c r="AA841">
        <f t="shared" si="52"/>
        <v>1900</v>
      </c>
      <c r="AB841">
        <f t="shared" si="53"/>
        <v>1</v>
      </c>
      <c r="AC841">
        <f t="shared" si="54"/>
        <v>7</v>
      </c>
      <c r="AD841">
        <f t="shared" si="55"/>
        <v>0</v>
      </c>
      <c r="AE841" s="62">
        <f>IF(I841="missing", IFERROR(INDEX([1]lookup!$I:$I, MATCH($A841, [1]lookup!$B:$B, 0)), 0), I841)</f>
        <v>0</v>
      </c>
    </row>
    <row r="842" spans="1:3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7"/>
      <c r="W842" s="36"/>
      <c r="X842" s="35"/>
      <c r="Y842" s="37"/>
      <c r="Z842" s="37"/>
      <c r="AA842">
        <f t="shared" si="52"/>
        <v>1900</v>
      </c>
      <c r="AB842">
        <f t="shared" si="53"/>
        <v>1</v>
      </c>
      <c r="AC842">
        <f t="shared" si="54"/>
        <v>7</v>
      </c>
      <c r="AD842">
        <f t="shared" si="55"/>
        <v>0</v>
      </c>
      <c r="AE842" s="62">
        <f>IF(I842="missing", IFERROR(INDEX([1]lookup!$I:$I, MATCH($A842, [1]lookup!$B:$B, 0)), 0), I842)</f>
        <v>0</v>
      </c>
    </row>
    <row r="843" spans="1:3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7"/>
      <c r="W843" s="36"/>
      <c r="X843" s="35"/>
      <c r="Y843" s="37"/>
      <c r="Z843" s="37"/>
      <c r="AA843">
        <f t="shared" si="52"/>
        <v>1900</v>
      </c>
      <c r="AB843">
        <f t="shared" si="53"/>
        <v>1</v>
      </c>
      <c r="AC843">
        <f t="shared" si="54"/>
        <v>7</v>
      </c>
      <c r="AD843">
        <f t="shared" si="55"/>
        <v>0</v>
      </c>
      <c r="AE843" s="62">
        <f>IF(I843="missing", IFERROR(INDEX([1]lookup!$I:$I, MATCH($A843, [1]lookup!$B:$B, 0)), 0), I843)</f>
        <v>0</v>
      </c>
    </row>
    <row r="844" spans="1:3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7"/>
      <c r="W844" s="36"/>
      <c r="X844" s="35"/>
      <c r="Y844" s="37"/>
      <c r="Z844" s="37"/>
      <c r="AA844">
        <f t="shared" si="52"/>
        <v>1900</v>
      </c>
      <c r="AB844">
        <f t="shared" si="53"/>
        <v>1</v>
      </c>
      <c r="AC844">
        <f t="shared" si="54"/>
        <v>7</v>
      </c>
      <c r="AD844">
        <f t="shared" si="55"/>
        <v>0</v>
      </c>
      <c r="AE844" s="62">
        <f>IF(I844="missing", IFERROR(INDEX([1]lookup!$I:$I, MATCH($A844, [1]lookup!$B:$B, 0)), 0), I844)</f>
        <v>0</v>
      </c>
    </row>
    <row r="845" spans="1:3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7"/>
      <c r="W845" s="36"/>
      <c r="X845" s="35"/>
      <c r="Y845" s="37"/>
      <c r="Z845" s="37"/>
      <c r="AA845">
        <f t="shared" si="52"/>
        <v>1900</v>
      </c>
      <c r="AB845">
        <f t="shared" si="53"/>
        <v>1</v>
      </c>
      <c r="AC845">
        <f t="shared" si="54"/>
        <v>7</v>
      </c>
      <c r="AD845">
        <f t="shared" si="55"/>
        <v>0</v>
      </c>
      <c r="AE845" s="62">
        <f>IF(I845="missing", IFERROR(INDEX([1]lookup!$I:$I, MATCH($A845, [1]lookup!$B:$B, 0)), 0), I845)</f>
        <v>0</v>
      </c>
    </row>
    <row r="846" spans="1:3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7"/>
      <c r="W846" s="36"/>
      <c r="X846" s="35"/>
      <c r="Y846" s="37"/>
      <c r="Z846" s="37"/>
      <c r="AA846">
        <f t="shared" si="52"/>
        <v>1900</v>
      </c>
      <c r="AB846">
        <f t="shared" si="53"/>
        <v>1</v>
      </c>
      <c r="AC846">
        <f t="shared" si="54"/>
        <v>7</v>
      </c>
      <c r="AD846">
        <f t="shared" si="55"/>
        <v>0</v>
      </c>
      <c r="AE846" s="62">
        <f>IF(I846="missing", IFERROR(INDEX([1]lookup!$I:$I, MATCH($A846, [1]lookup!$B:$B, 0)), 0), I846)</f>
        <v>0</v>
      </c>
    </row>
    <row r="847" spans="1:3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7"/>
      <c r="W847" s="36"/>
      <c r="X847" s="35"/>
      <c r="Y847" s="37"/>
      <c r="Z847" s="37"/>
      <c r="AA847">
        <f t="shared" si="52"/>
        <v>1900</v>
      </c>
      <c r="AB847">
        <f t="shared" si="53"/>
        <v>1</v>
      </c>
      <c r="AC847">
        <f t="shared" si="54"/>
        <v>7</v>
      </c>
      <c r="AD847">
        <f t="shared" si="55"/>
        <v>0</v>
      </c>
      <c r="AE847" s="62">
        <f>IF(I847="missing", IFERROR(INDEX([1]lookup!$I:$I, MATCH($A847, [1]lookup!$B:$B, 0)), 0), I847)</f>
        <v>0</v>
      </c>
    </row>
    <row r="848" spans="1:3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7"/>
      <c r="W848" s="36"/>
      <c r="X848" s="35"/>
      <c r="Y848" s="37"/>
      <c r="Z848" s="37"/>
      <c r="AA848">
        <f t="shared" si="52"/>
        <v>1900</v>
      </c>
      <c r="AB848">
        <f t="shared" si="53"/>
        <v>1</v>
      </c>
      <c r="AC848">
        <f t="shared" si="54"/>
        <v>7</v>
      </c>
      <c r="AD848">
        <f t="shared" si="55"/>
        <v>0</v>
      </c>
      <c r="AE848" s="62">
        <f>IF(I848="missing", IFERROR(INDEX([1]lookup!$I:$I, MATCH($A848, [1]lookup!$B:$B, 0)), 0), I848)</f>
        <v>0</v>
      </c>
    </row>
    <row r="849" spans="1:3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7"/>
      <c r="W849" s="36"/>
      <c r="X849" s="35"/>
      <c r="Y849" s="37"/>
      <c r="Z849" s="37"/>
      <c r="AA849">
        <f t="shared" si="52"/>
        <v>1900</v>
      </c>
      <c r="AB849">
        <f t="shared" si="53"/>
        <v>1</v>
      </c>
      <c r="AC849">
        <f t="shared" si="54"/>
        <v>7</v>
      </c>
      <c r="AD849">
        <f t="shared" si="55"/>
        <v>0</v>
      </c>
      <c r="AE849" s="62">
        <f>IF(I849="missing", IFERROR(INDEX([1]lookup!$I:$I, MATCH($A849, [1]lookup!$B:$B, 0)), 0), I849)</f>
        <v>0</v>
      </c>
    </row>
    <row r="850" spans="1:3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7"/>
      <c r="W850" s="36"/>
      <c r="X850" s="35"/>
      <c r="Y850" s="37"/>
      <c r="Z850" s="37"/>
      <c r="AA850">
        <f t="shared" si="52"/>
        <v>1900</v>
      </c>
      <c r="AB850">
        <f t="shared" si="53"/>
        <v>1</v>
      </c>
      <c r="AC850">
        <f t="shared" si="54"/>
        <v>7</v>
      </c>
      <c r="AD850">
        <f t="shared" si="55"/>
        <v>0</v>
      </c>
      <c r="AE850" s="62">
        <f>IF(I850="missing", IFERROR(INDEX([1]lookup!$I:$I, MATCH($A850, [1]lookup!$B:$B, 0)), 0), I850)</f>
        <v>0</v>
      </c>
    </row>
    <row r="851" spans="1:3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7"/>
      <c r="W851" s="36"/>
      <c r="X851" s="35"/>
      <c r="Y851" s="37"/>
      <c r="Z851" s="37"/>
      <c r="AA851">
        <f t="shared" si="52"/>
        <v>1900</v>
      </c>
      <c r="AB851">
        <f t="shared" si="53"/>
        <v>1</v>
      </c>
      <c r="AC851">
        <f t="shared" si="54"/>
        <v>7</v>
      </c>
      <c r="AD851">
        <f t="shared" si="55"/>
        <v>0</v>
      </c>
      <c r="AE851" s="62">
        <f>IF(I851="missing", IFERROR(INDEX([1]lookup!$I:$I, MATCH($A851, [1]lookup!$B:$B, 0)), 0), I851)</f>
        <v>0</v>
      </c>
    </row>
    <row r="852" spans="1:3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7"/>
      <c r="W852" s="36"/>
      <c r="X852" s="35"/>
      <c r="Y852" s="37"/>
      <c r="Z852" s="37"/>
      <c r="AA852">
        <f t="shared" si="52"/>
        <v>1900</v>
      </c>
      <c r="AB852">
        <f t="shared" si="53"/>
        <v>1</v>
      </c>
      <c r="AC852">
        <f t="shared" si="54"/>
        <v>7</v>
      </c>
      <c r="AD852">
        <f t="shared" si="55"/>
        <v>0</v>
      </c>
      <c r="AE852" s="62">
        <f>IF(I852="missing", IFERROR(INDEX([1]lookup!$I:$I, MATCH($A852, [1]lookup!$B:$B, 0)), 0), I852)</f>
        <v>0</v>
      </c>
    </row>
    <row r="853" spans="1:3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7"/>
      <c r="W853" s="36"/>
      <c r="X853" s="35"/>
      <c r="Y853" s="37"/>
      <c r="Z853" s="37"/>
      <c r="AA853">
        <f t="shared" si="52"/>
        <v>1900</v>
      </c>
      <c r="AB853">
        <f t="shared" si="53"/>
        <v>1</v>
      </c>
      <c r="AC853">
        <f t="shared" si="54"/>
        <v>7</v>
      </c>
      <c r="AD853">
        <f t="shared" si="55"/>
        <v>0</v>
      </c>
      <c r="AE853" s="62">
        <f>IF(I853="missing", IFERROR(INDEX([1]lookup!$I:$I, MATCH($A853, [1]lookup!$B:$B, 0)), 0), I853)</f>
        <v>0</v>
      </c>
    </row>
    <row r="854" spans="1:3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7"/>
      <c r="W854" s="36"/>
      <c r="X854" s="35"/>
      <c r="Y854" s="37"/>
      <c r="Z854" s="37"/>
      <c r="AA854">
        <f t="shared" si="52"/>
        <v>1900</v>
      </c>
      <c r="AB854">
        <f t="shared" si="53"/>
        <v>1</v>
      </c>
      <c r="AC854">
        <f t="shared" si="54"/>
        <v>7</v>
      </c>
      <c r="AD854">
        <f t="shared" si="55"/>
        <v>0</v>
      </c>
      <c r="AE854" s="62">
        <f>IF(I854="missing", IFERROR(INDEX([1]lookup!$I:$I, MATCH($A854, [1]lookup!$B:$B, 0)), 0), I854)</f>
        <v>0</v>
      </c>
    </row>
    <row r="855" spans="1:3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7"/>
      <c r="W855" s="36"/>
      <c r="X855" s="35"/>
      <c r="Y855" s="37"/>
      <c r="Z855" s="37"/>
      <c r="AA855">
        <f t="shared" si="52"/>
        <v>1900</v>
      </c>
      <c r="AB855">
        <f t="shared" si="53"/>
        <v>1</v>
      </c>
      <c r="AC855">
        <f t="shared" si="54"/>
        <v>7</v>
      </c>
      <c r="AD855">
        <f t="shared" si="55"/>
        <v>0</v>
      </c>
      <c r="AE855" s="62">
        <f>IF(I855="missing", IFERROR(INDEX([1]lookup!$I:$I, MATCH($A855, [1]lookup!$B:$B, 0)), 0), I855)</f>
        <v>0</v>
      </c>
    </row>
    <row r="856" spans="1:3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7"/>
      <c r="W856" s="36"/>
      <c r="X856" s="35"/>
      <c r="Y856" s="37"/>
      <c r="Z856" s="37"/>
      <c r="AA856">
        <f t="shared" si="52"/>
        <v>1900</v>
      </c>
      <c r="AB856">
        <f t="shared" si="53"/>
        <v>1</v>
      </c>
      <c r="AC856">
        <f t="shared" si="54"/>
        <v>7</v>
      </c>
      <c r="AD856">
        <f t="shared" si="55"/>
        <v>0</v>
      </c>
      <c r="AE856" s="62">
        <f>IF(I856="missing", IFERROR(INDEX([1]lookup!$I:$I, MATCH($A856, [1]lookup!$B:$B, 0)), 0), I856)</f>
        <v>0</v>
      </c>
    </row>
    <row r="857" spans="1:3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7"/>
      <c r="W857" s="36"/>
      <c r="X857" s="35"/>
      <c r="Y857" s="37"/>
      <c r="Z857" s="37"/>
      <c r="AA857">
        <f t="shared" si="52"/>
        <v>1900</v>
      </c>
      <c r="AB857">
        <f t="shared" si="53"/>
        <v>1</v>
      </c>
      <c r="AC857">
        <f t="shared" si="54"/>
        <v>7</v>
      </c>
      <c r="AD857">
        <f t="shared" si="55"/>
        <v>0</v>
      </c>
      <c r="AE857" s="62">
        <f>IF(I857="missing", IFERROR(INDEX([1]lookup!$I:$I, MATCH($A857, [1]lookup!$B:$B, 0)), 0), I857)</f>
        <v>0</v>
      </c>
    </row>
    <row r="858" spans="1:3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7"/>
      <c r="W858" s="36"/>
      <c r="X858" s="35"/>
      <c r="Y858" s="37"/>
      <c r="Z858" s="37"/>
      <c r="AA858">
        <f t="shared" si="52"/>
        <v>1900</v>
      </c>
      <c r="AB858">
        <f t="shared" si="53"/>
        <v>1</v>
      </c>
      <c r="AC858">
        <f t="shared" si="54"/>
        <v>7</v>
      </c>
      <c r="AD858">
        <f t="shared" si="55"/>
        <v>0</v>
      </c>
      <c r="AE858" s="62">
        <f>IF(I858="missing", IFERROR(INDEX([1]lookup!$I:$I, MATCH($A858, [1]lookup!$B:$B, 0)), 0), I858)</f>
        <v>0</v>
      </c>
    </row>
    <row r="859" spans="1:3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7"/>
      <c r="W859" s="36"/>
      <c r="X859" s="35"/>
      <c r="Y859" s="37"/>
      <c r="Z859" s="37"/>
      <c r="AA859">
        <f t="shared" si="52"/>
        <v>1900</v>
      </c>
      <c r="AB859">
        <f t="shared" si="53"/>
        <v>1</v>
      </c>
      <c r="AC859">
        <f t="shared" si="54"/>
        <v>7</v>
      </c>
      <c r="AD859">
        <f t="shared" si="55"/>
        <v>0</v>
      </c>
      <c r="AE859" s="62">
        <f>IF(I859="missing", IFERROR(INDEX([1]lookup!$I:$I, MATCH($A859, [1]lookup!$B:$B, 0)), 0), I859)</f>
        <v>0</v>
      </c>
    </row>
    <row r="860" spans="1:3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7"/>
      <c r="W860" s="36"/>
      <c r="X860" s="35"/>
      <c r="Y860" s="37"/>
      <c r="Z860" s="37"/>
      <c r="AA860">
        <f t="shared" si="52"/>
        <v>1900</v>
      </c>
      <c r="AB860">
        <f t="shared" si="53"/>
        <v>1</v>
      </c>
      <c r="AC860">
        <f t="shared" si="54"/>
        <v>7</v>
      </c>
      <c r="AD860">
        <f t="shared" si="55"/>
        <v>0</v>
      </c>
      <c r="AE860" s="62">
        <f>IF(I860="missing", IFERROR(INDEX([1]lookup!$I:$I, MATCH($A860, [1]lookup!$B:$B, 0)), 0), I860)</f>
        <v>0</v>
      </c>
    </row>
    <row r="861" spans="1:3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7"/>
      <c r="W861" s="36"/>
      <c r="X861" s="35"/>
      <c r="Y861" s="37"/>
      <c r="Z861" s="37"/>
      <c r="AA861">
        <f t="shared" si="52"/>
        <v>1900</v>
      </c>
      <c r="AB861">
        <f t="shared" si="53"/>
        <v>1</v>
      </c>
      <c r="AC861">
        <f t="shared" si="54"/>
        <v>7</v>
      </c>
      <c r="AD861">
        <f t="shared" si="55"/>
        <v>0</v>
      </c>
      <c r="AE861" s="62">
        <f>IF(I861="missing", IFERROR(INDEX([1]lookup!$I:$I, MATCH($A861, [1]lookup!$B:$B, 0)), 0), I861)</f>
        <v>0</v>
      </c>
    </row>
    <row r="862" spans="1:3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7"/>
      <c r="W862" s="36"/>
      <c r="X862" s="35"/>
      <c r="Y862" s="37"/>
      <c r="Z862" s="37"/>
      <c r="AA862">
        <f t="shared" si="52"/>
        <v>1900</v>
      </c>
      <c r="AB862">
        <f t="shared" si="53"/>
        <v>1</v>
      </c>
      <c r="AC862">
        <f t="shared" si="54"/>
        <v>7</v>
      </c>
      <c r="AD862">
        <f t="shared" si="55"/>
        <v>0</v>
      </c>
      <c r="AE862" s="62">
        <f>IF(I862="missing", IFERROR(INDEX([1]lookup!$I:$I, MATCH($A862, [1]lookup!$B:$B, 0)), 0), I862)</f>
        <v>0</v>
      </c>
    </row>
    <row r="863" spans="1:3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7"/>
      <c r="W863" s="36"/>
      <c r="X863" s="35"/>
      <c r="Y863" s="37"/>
      <c r="Z863" s="37"/>
      <c r="AA863">
        <f t="shared" si="52"/>
        <v>1900</v>
      </c>
      <c r="AB863">
        <f t="shared" si="53"/>
        <v>1</v>
      </c>
      <c r="AC863">
        <f t="shared" si="54"/>
        <v>7</v>
      </c>
      <c r="AD863">
        <f t="shared" si="55"/>
        <v>0</v>
      </c>
      <c r="AE863" s="62">
        <f>IF(I863="missing", IFERROR(INDEX([1]lookup!$I:$I, MATCH($A863, [1]lookup!$B:$B, 0)), 0), I863)</f>
        <v>0</v>
      </c>
    </row>
    <row r="864" spans="1:3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7"/>
      <c r="W864" s="36"/>
      <c r="X864" s="35"/>
      <c r="Y864" s="37"/>
      <c r="Z864" s="37"/>
      <c r="AA864">
        <f t="shared" si="52"/>
        <v>1900</v>
      </c>
      <c r="AB864">
        <f t="shared" si="53"/>
        <v>1</v>
      </c>
      <c r="AC864">
        <f t="shared" si="54"/>
        <v>7</v>
      </c>
      <c r="AD864">
        <f t="shared" si="55"/>
        <v>0</v>
      </c>
      <c r="AE864" s="62">
        <f>IF(I864="missing", IFERROR(INDEX([1]lookup!$I:$I, MATCH($A864, [1]lookup!$B:$B, 0)), 0), I864)</f>
        <v>0</v>
      </c>
    </row>
    <row r="865" spans="1:3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7"/>
      <c r="W865" s="36"/>
      <c r="X865" s="35"/>
      <c r="Y865" s="37"/>
      <c r="Z865" s="37"/>
      <c r="AA865">
        <f t="shared" si="52"/>
        <v>1900</v>
      </c>
      <c r="AB865">
        <f t="shared" si="53"/>
        <v>1</v>
      </c>
      <c r="AC865">
        <f t="shared" si="54"/>
        <v>7</v>
      </c>
      <c r="AD865">
        <f t="shared" si="55"/>
        <v>0</v>
      </c>
      <c r="AE865" s="62">
        <f>IF(I865="missing", IFERROR(INDEX([1]lookup!$I:$I, MATCH($A865, [1]lookup!$B:$B, 0)), 0), I865)</f>
        <v>0</v>
      </c>
    </row>
    <row r="866" spans="1:3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7"/>
      <c r="W866" s="36"/>
      <c r="X866" s="35"/>
      <c r="Y866" s="37"/>
      <c r="Z866" s="37"/>
      <c r="AA866">
        <f t="shared" si="52"/>
        <v>1900</v>
      </c>
      <c r="AB866">
        <f t="shared" si="53"/>
        <v>1</v>
      </c>
      <c r="AC866">
        <f t="shared" si="54"/>
        <v>7</v>
      </c>
      <c r="AD866">
        <f t="shared" si="55"/>
        <v>0</v>
      </c>
      <c r="AE866" s="62">
        <f>IF(I866="missing", IFERROR(INDEX([1]lookup!$I:$I, MATCH($A866, [1]lookup!$B:$B, 0)), 0), I866)</f>
        <v>0</v>
      </c>
    </row>
    <row r="867" spans="1:3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7"/>
      <c r="W867" s="36"/>
      <c r="X867" s="35"/>
      <c r="Y867" s="37"/>
      <c r="Z867" s="37"/>
      <c r="AA867">
        <f t="shared" si="52"/>
        <v>1900</v>
      </c>
      <c r="AB867">
        <f t="shared" si="53"/>
        <v>1</v>
      </c>
      <c r="AC867">
        <f t="shared" si="54"/>
        <v>7</v>
      </c>
      <c r="AD867">
        <f t="shared" si="55"/>
        <v>0</v>
      </c>
      <c r="AE867" s="62">
        <f>IF(I867="missing", IFERROR(INDEX([1]lookup!$I:$I, MATCH($A867, [1]lookup!$B:$B, 0)), 0), I867)</f>
        <v>0</v>
      </c>
    </row>
    <row r="868" spans="1:3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7"/>
      <c r="W868" s="36"/>
      <c r="X868" s="35"/>
      <c r="Y868" s="37"/>
      <c r="Z868" s="37"/>
      <c r="AA868">
        <f t="shared" si="52"/>
        <v>1900</v>
      </c>
      <c r="AB868">
        <f t="shared" si="53"/>
        <v>1</v>
      </c>
      <c r="AC868">
        <f t="shared" si="54"/>
        <v>7</v>
      </c>
      <c r="AD868">
        <f t="shared" si="55"/>
        <v>0</v>
      </c>
      <c r="AE868" s="62">
        <f>IF(I868="missing", IFERROR(INDEX([1]lookup!$I:$I, MATCH($A868, [1]lookup!$B:$B, 0)), 0), I868)</f>
        <v>0</v>
      </c>
    </row>
    <row r="869" spans="1:3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7"/>
      <c r="W869" s="36"/>
      <c r="X869" s="35"/>
      <c r="Y869" s="37"/>
      <c r="Z869" s="37"/>
      <c r="AA869">
        <f t="shared" si="52"/>
        <v>1900</v>
      </c>
      <c r="AB869">
        <f t="shared" si="53"/>
        <v>1</v>
      </c>
      <c r="AC869">
        <f t="shared" si="54"/>
        <v>7</v>
      </c>
      <c r="AD869">
        <f t="shared" si="55"/>
        <v>0</v>
      </c>
      <c r="AE869" s="62">
        <f>IF(I869="missing", IFERROR(INDEX([1]lookup!$I:$I, MATCH($A869, [1]lookup!$B:$B, 0)), 0), I869)</f>
        <v>0</v>
      </c>
    </row>
    <row r="870" spans="1:3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7"/>
      <c r="W870" s="36"/>
      <c r="X870" s="35"/>
      <c r="Y870" s="37"/>
      <c r="Z870" s="37"/>
      <c r="AA870">
        <f t="shared" si="52"/>
        <v>1900</v>
      </c>
      <c r="AB870">
        <f t="shared" si="53"/>
        <v>1</v>
      </c>
      <c r="AC870">
        <f t="shared" si="54"/>
        <v>7</v>
      </c>
      <c r="AD870">
        <f t="shared" si="55"/>
        <v>0</v>
      </c>
      <c r="AE870" s="62">
        <f>IF(I870="missing", IFERROR(INDEX([1]lookup!$I:$I, MATCH($A870, [1]lookup!$B:$B, 0)), 0), I870)</f>
        <v>0</v>
      </c>
    </row>
    <row r="871" spans="1:3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7"/>
      <c r="W871" s="36"/>
      <c r="X871" s="35"/>
      <c r="Y871" s="37"/>
      <c r="Z871" s="37"/>
      <c r="AA871">
        <f t="shared" si="52"/>
        <v>1900</v>
      </c>
      <c r="AB871">
        <f t="shared" si="53"/>
        <v>1</v>
      </c>
      <c r="AC871">
        <f t="shared" si="54"/>
        <v>7</v>
      </c>
      <c r="AD871">
        <f t="shared" si="55"/>
        <v>0</v>
      </c>
      <c r="AE871" s="62">
        <f>IF(I871="missing", IFERROR(INDEX([1]lookup!$I:$I, MATCH($A871, [1]lookup!$B:$B, 0)), 0), I871)</f>
        <v>0</v>
      </c>
    </row>
    <row r="872" spans="1:3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7"/>
      <c r="W872" s="36"/>
      <c r="X872" s="35"/>
      <c r="Y872" s="37"/>
      <c r="Z872" s="37"/>
      <c r="AA872">
        <f t="shared" si="52"/>
        <v>1900</v>
      </c>
      <c r="AB872">
        <f t="shared" si="53"/>
        <v>1</v>
      </c>
      <c r="AC872">
        <f t="shared" si="54"/>
        <v>7</v>
      </c>
      <c r="AD872">
        <f t="shared" si="55"/>
        <v>0</v>
      </c>
      <c r="AE872" s="62">
        <f>IF(I872="missing", IFERROR(INDEX([1]lookup!$I:$I, MATCH($A872, [1]lookup!$B:$B, 0)), 0), I872)</f>
        <v>0</v>
      </c>
    </row>
    <row r="873" spans="1:3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7"/>
      <c r="W873" s="36"/>
      <c r="X873" s="35"/>
      <c r="Y873" s="37"/>
      <c r="Z873" s="37"/>
      <c r="AA873">
        <f t="shared" si="52"/>
        <v>1900</v>
      </c>
      <c r="AB873">
        <f t="shared" si="53"/>
        <v>1</v>
      </c>
      <c r="AC873">
        <f t="shared" si="54"/>
        <v>7</v>
      </c>
      <c r="AD873">
        <f t="shared" si="55"/>
        <v>0</v>
      </c>
      <c r="AE873" s="62">
        <f>IF(I873="missing", IFERROR(INDEX([1]lookup!$I:$I, MATCH($A873, [1]lookup!$B:$B, 0)), 0), I873)</f>
        <v>0</v>
      </c>
    </row>
    <row r="874" spans="1:3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7"/>
      <c r="W874" s="36"/>
      <c r="X874" s="35"/>
      <c r="Y874" s="37"/>
      <c r="Z874" s="37"/>
      <c r="AA874">
        <f t="shared" si="52"/>
        <v>1900</v>
      </c>
      <c r="AB874">
        <f t="shared" si="53"/>
        <v>1</v>
      </c>
      <c r="AC874">
        <f t="shared" si="54"/>
        <v>7</v>
      </c>
      <c r="AD874">
        <f t="shared" si="55"/>
        <v>0</v>
      </c>
      <c r="AE874" s="62">
        <f>IF(I874="missing", IFERROR(INDEX([1]lookup!$I:$I, MATCH($A874, [1]lookup!$B:$B, 0)), 0), I874)</f>
        <v>0</v>
      </c>
    </row>
    <row r="875" spans="1:3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7"/>
      <c r="W875" s="36"/>
      <c r="X875" s="35"/>
      <c r="Y875" s="37"/>
      <c r="Z875" s="37"/>
      <c r="AA875">
        <f t="shared" si="52"/>
        <v>1900</v>
      </c>
      <c r="AB875">
        <f t="shared" si="53"/>
        <v>1</v>
      </c>
      <c r="AC875">
        <f t="shared" si="54"/>
        <v>7</v>
      </c>
      <c r="AD875">
        <f t="shared" si="55"/>
        <v>0</v>
      </c>
      <c r="AE875" s="62">
        <f>IF(I875="missing", IFERROR(INDEX([1]lookup!$I:$I, MATCH($A875, [1]lookup!$B:$B, 0)), 0), I875)</f>
        <v>0</v>
      </c>
    </row>
    <row r="876" spans="1:3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7"/>
      <c r="W876" s="36"/>
      <c r="X876" s="35"/>
      <c r="Y876" s="37"/>
      <c r="Z876" s="37"/>
      <c r="AA876">
        <f t="shared" si="52"/>
        <v>1900</v>
      </c>
      <c r="AB876">
        <f t="shared" si="53"/>
        <v>1</v>
      </c>
      <c r="AC876">
        <f t="shared" si="54"/>
        <v>7</v>
      </c>
      <c r="AD876">
        <f t="shared" si="55"/>
        <v>0</v>
      </c>
      <c r="AE876" s="62">
        <f>IF(I876="missing", IFERROR(INDEX([1]lookup!$I:$I, MATCH($A876, [1]lookup!$B:$B, 0)), 0), I876)</f>
        <v>0</v>
      </c>
    </row>
    <row r="877" spans="1:3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7"/>
      <c r="W877" s="36"/>
      <c r="X877" s="35"/>
      <c r="Y877" s="37"/>
      <c r="Z877" s="37"/>
      <c r="AA877">
        <f t="shared" si="52"/>
        <v>1900</v>
      </c>
      <c r="AB877">
        <f t="shared" si="53"/>
        <v>1</v>
      </c>
      <c r="AC877">
        <f t="shared" si="54"/>
        <v>7</v>
      </c>
      <c r="AD877">
        <f t="shared" si="55"/>
        <v>0</v>
      </c>
      <c r="AE877" s="62">
        <f>IF(I877="missing", IFERROR(INDEX([1]lookup!$I:$I, MATCH($A877, [1]lookup!$B:$B, 0)), 0), I877)</f>
        <v>0</v>
      </c>
    </row>
    <row r="878" spans="1:3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7"/>
      <c r="W878" s="36"/>
      <c r="X878" s="35"/>
      <c r="Y878" s="37"/>
      <c r="Z878" s="37"/>
      <c r="AA878">
        <f t="shared" si="52"/>
        <v>1900</v>
      </c>
      <c r="AB878">
        <f t="shared" si="53"/>
        <v>1</v>
      </c>
      <c r="AC878">
        <f t="shared" si="54"/>
        <v>7</v>
      </c>
      <c r="AD878">
        <f t="shared" si="55"/>
        <v>0</v>
      </c>
      <c r="AE878" s="62">
        <f>IF(I878="missing", IFERROR(INDEX([1]lookup!$I:$I, MATCH($A878, [1]lookup!$B:$B, 0)), 0), I878)</f>
        <v>0</v>
      </c>
    </row>
    <row r="879" spans="1:3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7"/>
      <c r="W879" s="36"/>
      <c r="X879" s="35"/>
      <c r="Y879" s="37"/>
      <c r="Z879" s="37"/>
      <c r="AA879">
        <f t="shared" si="52"/>
        <v>1900</v>
      </c>
      <c r="AB879">
        <f t="shared" si="53"/>
        <v>1</v>
      </c>
      <c r="AC879">
        <f t="shared" si="54"/>
        <v>7</v>
      </c>
      <c r="AD879">
        <f t="shared" si="55"/>
        <v>0</v>
      </c>
      <c r="AE879" s="62">
        <f>IF(I879="missing", IFERROR(INDEX([1]lookup!$I:$I, MATCH($A879, [1]lookup!$B:$B, 0)), 0), I879)</f>
        <v>0</v>
      </c>
    </row>
  </sheetData>
  <conditionalFormatting sqref="A2:A879">
    <cfRule type="duplicateValues" dxfId="22" priority="9"/>
  </conditionalFormatting>
  <conditionalFormatting sqref="I2:I568">
    <cfRule type="cellIs" dxfId="21" priority="2" operator="greaterThan">
      <formula>2000</formula>
    </cfRule>
  </conditionalFormatting>
  <conditionalFormatting sqref="I1:I1048576">
    <cfRule type="containsText" dxfId="20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FF04-1941-437B-8176-43C19863A7C4}">
  <dimension ref="A1:AD879"/>
  <sheetViews>
    <sheetView workbookViewId="0">
      <selection activeCell="I2" sqref="I2"/>
    </sheetView>
  </sheetViews>
  <sheetFormatPr defaultRowHeight="15"/>
  <cols>
    <col min="1" max="1" width="32" customWidth="1"/>
    <col min="2" max="2" width="22.42578125" style="52" customWidth="1"/>
    <col min="3" max="3" width="16.7109375" style="52" customWidth="1"/>
    <col min="4" max="4" width="19.140625" customWidth="1"/>
    <col min="5" max="5" width="30.7109375" customWidth="1"/>
    <col min="6" max="6" width="19.85546875" customWidth="1"/>
    <col min="7" max="7" width="16.42578125" customWidth="1"/>
    <col min="8" max="8" width="18.140625" customWidth="1"/>
    <col min="9" max="9" width="15" customWidth="1"/>
    <col min="10" max="10" width="11.5703125" bestFit="1" customWidth="1"/>
    <col min="11" max="11" width="12" bestFit="1" customWidth="1"/>
    <col min="12" max="12" width="11.42578125" customWidth="1"/>
    <col min="13" max="13" width="16.140625" customWidth="1"/>
    <col min="14" max="14" width="16.28515625" customWidth="1"/>
    <col min="15" max="15" width="19.140625" customWidth="1"/>
    <col min="16" max="16" width="22.140625" customWidth="1"/>
    <col min="17" max="17" width="22.7109375" customWidth="1"/>
    <col min="18" max="18" width="17.42578125" customWidth="1"/>
    <col min="19" max="19" width="25" customWidth="1"/>
    <col min="20" max="20" width="23.5703125" customWidth="1"/>
    <col min="21" max="21" width="14.85546875" customWidth="1"/>
    <col min="22" max="22" width="16.42578125" customWidth="1"/>
    <col min="23" max="23" width="12.42578125" customWidth="1"/>
    <col min="24" max="24" width="16.5703125" customWidth="1"/>
    <col min="25" max="25" width="13.5703125" bestFit="1" customWidth="1"/>
    <col min="26" max="26" width="28.42578125" customWidth="1"/>
    <col min="27" max="27" width="13.5703125" customWidth="1"/>
    <col min="28" max="28" width="16.28515625" customWidth="1"/>
    <col min="29" max="29" width="18.140625" customWidth="1"/>
    <col min="30" max="30" width="20.42578125" customWidth="1"/>
  </cols>
  <sheetData>
    <row r="1" spans="1:30" ht="15.75">
      <c r="A1" s="55" t="s">
        <v>0</v>
      </c>
      <c r="B1" s="56" t="s">
        <v>1</v>
      </c>
      <c r="C1" s="56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2666</v>
      </c>
      <c r="O1" s="57" t="s">
        <v>2667</v>
      </c>
      <c r="P1" s="57" t="s">
        <v>2668</v>
      </c>
      <c r="Q1" s="57" t="s">
        <v>2669</v>
      </c>
      <c r="R1" s="57" t="s">
        <v>2670</v>
      </c>
      <c r="S1" s="57" t="s">
        <v>2671</v>
      </c>
      <c r="T1" s="58" t="s">
        <v>2672</v>
      </c>
      <c r="U1" s="59" t="s">
        <v>2673</v>
      </c>
      <c r="V1" s="60" t="s">
        <v>2674</v>
      </c>
      <c r="W1" s="61" t="s">
        <v>2675</v>
      </c>
      <c r="X1" s="57" t="s">
        <v>2676</v>
      </c>
      <c r="Y1" s="57" t="s">
        <v>2677</v>
      </c>
      <c r="Z1" s="57" t="s">
        <v>2678</v>
      </c>
      <c r="AA1" s="57" t="s">
        <v>2679</v>
      </c>
      <c r="AB1" s="57" t="s">
        <v>2680</v>
      </c>
      <c r="AC1" s="57" t="s">
        <v>2681</v>
      </c>
      <c r="AD1" s="58" t="s">
        <v>2682</v>
      </c>
    </row>
    <row r="2" spans="1:30" ht="15.75">
      <c r="A2" s="53" t="s">
        <v>28</v>
      </c>
      <c r="B2" s="52">
        <f>VLOOKUP($A2,Table1[#This Row],COLUMN(B1), FALSE)</f>
        <v>41818</v>
      </c>
      <c r="C2" s="52">
        <f>VLOOKUP($A2,Table1[#This Row],COLUMN(C1), FALSE)</f>
        <v>41821</v>
      </c>
      <c r="D2" t="str">
        <f>VLOOKUP($A2,Table1[#This Row],COLUMN(D1), FALSE)</f>
        <v>Jim Mitchum</v>
      </c>
      <c r="E2" t="str">
        <f>VLOOKUP($A2,Table1[#This Row],COLUMN(E1), FALSE)</f>
        <v>Australia</v>
      </c>
      <c r="F2" t="str">
        <f>VLOOKUP($A2,Table1[#This Row],COLUMN(F1), FALSE)</f>
        <v>Oceania</v>
      </c>
      <c r="G2" t="str">
        <f>VLOOKUP($A2,Table1[#This Row],COLUMN(G1), FALSE)</f>
        <v>Technology</v>
      </c>
      <c r="H2" t="str">
        <f>VLOOKUP($A2,Table1[#This Row],COLUMN(H1), FALSE)</f>
        <v>Phones</v>
      </c>
      <c r="I2">
        <f>VLOOKUP($A2,Table1[#This Row],COLUMN(I1), FALSE)</f>
        <v>2862.6750000000002</v>
      </c>
      <c r="J2">
        <f>VLOOKUP($A2,Table1[#This Row],COLUMN(J1), FALSE)</f>
        <v>5</v>
      </c>
      <c r="K2">
        <f>VLOOKUP($A2,Table1[#This Row],COLUMN(K1), FALSE)</f>
        <v>0.1</v>
      </c>
      <c r="L2">
        <f>VLOOKUP($A2,Table1[#This Row],COLUMN(L1), FALSE)</f>
        <v>763.27499999999998</v>
      </c>
      <c r="M2" t="str">
        <f>VLOOKUP($A2,Table1[#This Row],COLUMN(M1), FALSE)</f>
        <v>Critical</v>
      </c>
      <c r="N2" t="str">
        <f>VLOOKUP($A2,Table1[#This Row],COLUMN(N1), FALSE)</f>
        <v>Normal Order</v>
      </c>
      <c r="O2" t="str">
        <f>VLOOKUP($A2,Table1[#This Row],COLUMN(O1), FALSE)</f>
        <v>Jim Mitchum</v>
      </c>
      <c r="P2" t="str">
        <f>VLOOKUP($A2,Table1[#This Row],COLUMN(P1), FALSE)</f>
        <v>IN</v>
      </c>
      <c r="Q2" t="str">
        <f>VLOOKUP($A2,Table1[#This Row],COLUMN(Q1), FALSE)</f>
        <v>2014</v>
      </c>
      <c r="R2" t="str">
        <f>VLOOKUP($A2,Table1[#This Row],COLUMN(R1), FALSE)</f>
        <v>CRITICAL</v>
      </c>
      <c r="S2" t="str">
        <f>VLOOKUP($A2,Table1[#This Row],COLUMN(S1), FALSE)</f>
        <v>technology</v>
      </c>
      <c r="T2" t="str">
        <f>VLOOKUP($A2,Table1[#This Row],COLUMN(T1), FALSE)</f>
        <v>41818</v>
      </c>
      <c r="U2" t="str">
        <f>VLOOKUP($A2,Table1[#This Row],COLUMN(U1), FALSE)</f>
        <v>JM156557</v>
      </c>
      <c r="V2" t="str">
        <f>VLOOKUP($A2,Table1[#This Row],COLUMN(V1), FALSE)</f>
        <v>IN</v>
      </c>
      <c r="W2">
        <f>VLOOKUP($A2,Table1[#This Row],COLUMN(W1), FALSE)</f>
        <v>2014</v>
      </c>
      <c r="X2" t="str">
        <f>VLOOKUP($A2,Table1[#This Row],COLUMN(X1), FALSE)</f>
        <v>JM156557</v>
      </c>
      <c r="Y2">
        <f>VLOOKUP($A2,Table1[#This Row],COLUMN(Y1), FALSE)</f>
        <v>41818</v>
      </c>
      <c r="Z2" t="str">
        <f>VLOOKUP($A2,Table1[#This Row],COLUMN(Z1), FALSE)</f>
        <v>IN-2014-JM156557-41818</v>
      </c>
      <c r="AA2">
        <f>VLOOKUP($A2,Table1[#This Row],COLUMN(AA1), FALSE)</f>
        <v>2014</v>
      </c>
      <c r="AB2">
        <f>VLOOKUP($A2,Table1[#This Row],COLUMN(AB1), FALSE)</f>
        <v>6</v>
      </c>
      <c r="AC2">
        <f>VLOOKUP($A2,Table1[#This Row],COLUMN(AC1), FALSE)</f>
        <v>7</v>
      </c>
      <c r="AD2">
        <f>VLOOKUP($A2,Table1[#This Row],COLUMN(AD1), FALSE)</f>
        <v>3</v>
      </c>
    </row>
    <row r="3" spans="1:30" ht="15.75">
      <c r="A3" s="54" t="s">
        <v>38</v>
      </c>
      <c r="B3" s="52">
        <f>VLOOKUP($A3,Table1[#This Row],COLUMN(B2), FALSE)</f>
        <v>41954</v>
      </c>
      <c r="C3" s="52">
        <f>VLOOKUP($A3,Table1[#This Row],COLUMN(C2), FALSE)</f>
        <v>41956</v>
      </c>
      <c r="D3" t="str">
        <f>VLOOKUP($A3,Table1[#This Row],COLUMN(D2), FALSE)</f>
        <v>Aaron Bergman</v>
      </c>
      <c r="E3" t="str">
        <f>VLOOKUP($A3,Table1[#This Row],COLUMN(E2), FALSE)</f>
        <v>United States</v>
      </c>
      <c r="F3" t="str">
        <f>VLOOKUP($A3,Table1[#This Row],COLUMN(F2), FALSE)</f>
        <v>Central US</v>
      </c>
      <c r="G3" t="str">
        <f>VLOOKUP($A3,Table1[#This Row],COLUMN(G2), FALSE)</f>
        <v>Furniture</v>
      </c>
      <c r="H3" t="str">
        <f>VLOOKUP($A3,Table1[#This Row],COLUMN(H2), FALSE)</f>
        <v>Chairs</v>
      </c>
      <c r="I3">
        <f>VLOOKUP($A3,Table1[#This Row],COLUMN(I2), FALSE)</f>
        <v>341.96</v>
      </c>
      <c r="J3">
        <f>VLOOKUP($A3,Table1[#This Row],COLUMN(J2), FALSE)</f>
        <v>2</v>
      </c>
      <c r="K3">
        <f>VLOOKUP($A3,Table1[#This Row],COLUMN(K2), FALSE)</f>
        <v>0</v>
      </c>
      <c r="L3">
        <f>VLOOKUP($A3,Table1[#This Row],COLUMN(L2), FALSE)</f>
        <v>54.7135999999999</v>
      </c>
      <c r="M3" t="str">
        <f>VLOOKUP($A3,Table1[#This Row],COLUMN(M2), FALSE)</f>
        <v>High</v>
      </c>
      <c r="N3" t="str">
        <f>VLOOKUP($A3,Table1[#This Row],COLUMN(N2), FALSE)</f>
        <v>Normal Order</v>
      </c>
      <c r="O3" t="str">
        <f>VLOOKUP($A3,Table1[#This Row],COLUMN(O2), FALSE)</f>
        <v>Aaron Bergman</v>
      </c>
      <c r="P3" t="str">
        <f>VLOOKUP($A3,Table1[#This Row],COLUMN(P2), FALSE)</f>
        <v>CA</v>
      </c>
      <c r="Q3" t="str">
        <f>VLOOKUP($A3,Table1[#This Row],COLUMN(Q2), FALSE)</f>
        <v>2014</v>
      </c>
      <c r="R3" t="str">
        <f>VLOOKUP($A3,Table1[#This Row],COLUMN(R2), FALSE)</f>
        <v>HIGH</v>
      </c>
      <c r="S3" t="str">
        <f>VLOOKUP($A3,Table1[#This Row],COLUMN(S2), FALSE)</f>
        <v>furniture</v>
      </c>
      <c r="T3" t="str">
        <f>VLOOKUP($A3,Table1[#This Row],COLUMN(T2), FALSE)</f>
        <v>41954</v>
      </c>
      <c r="U3" t="str">
        <f>VLOOKUP($A3,Table1[#This Row],COLUMN(U2), FALSE)</f>
        <v>AB10015140</v>
      </c>
      <c r="V3" t="str">
        <f>VLOOKUP($A3,Table1[#This Row],COLUMN(V2), FALSE)</f>
        <v>CA</v>
      </c>
      <c r="W3">
        <f>VLOOKUP($A3,Table1[#This Row],COLUMN(W2), FALSE)</f>
        <v>2014</v>
      </c>
      <c r="X3" t="str">
        <f>VLOOKUP($A3,Table1[#This Row],COLUMN(X2), FALSE)</f>
        <v>AB10015140</v>
      </c>
      <c r="Y3">
        <f>VLOOKUP($A3,Table1[#This Row],COLUMN(Y2), FALSE)</f>
        <v>41954</v>
      </c>
      <c r="Z3" t="str">
        <f>VLOOKUP($A3,Table1[#This Row],COLUMN(Z2), FALSE)</f>
        <v>CA-2014-AB10015140-41954</v>
      </c>
      <c r="AA3">
        <f>VLOOKUP($A3,Table1[#This Row],COLUMN(AA2), FALSE)</f>
        <v>2014</v>
      </c>
      <c r="AB3">
        <f>VLOOKUP($A3,Table1[#This Row],COLUMN(AB2), FALSE)</f>
        <v>11</v>
      </c>
      <c r="AC3">
        <f>VLOOKUP($A3,Table1[#This Row],COLUMN(AC2), FALSE)</f>
        <v>3</v>
      </c>
      <c r="AD3">
        <f>VLOOKUP($A3,Table1[#This Row],COLUMN(AD2), FALSE)</f>
        <v>2</v>
      </c>
    </row>
    <row r="4" spans="1:30" ht="15.75">
      <c r="A4" s="53" t="s">
        <v>72</v>
      </c>
      <c r="B4" s="52">
        <f>VLOOKUP($A4,Table1[#This Row],COLUMN(B3), FALSE)</f>
        <v>40958</v>
      </c>
      <c r="C4" s="52">
        <f>VLOOKUP($A4,Table1[#This Row],COLUMN(C3), FALSE)</f>
        <v>40964</v>
      </c>
      <c r="D4" t="str">
        <f>VLOOKUP($A4,Table1[#This Row],COLUMN(D3), FALSE)</f>
        <v>Aaron Bergman</v>
      </c>
      <c r="E4" t="str">
        <f>VLOOKUP($A4,Table1[#This Row],COLUMN(E3), FALSE)</f>
        <v>United States</v>
      </c>
      <c r="F4" t="str">
        <f>VLOOKUP($A4,Table1[#This Row],COLUMN(F3), FALSE)</f>
        <v>Central US</v>
      </c>
      <c r="G4" t="str">
        <f>VLOOKUP($A4,Table1[#This Row],COLUMN(G3), FALSE)</f>
        <v>Office Supplies</v>
      </c>
      <c r="H4" t="str">
        <f>VLOOKUP($A4,Table1[#This Row],COLUMN(H3), FALSE)</f>
        <v>Appliances</v>
      </c>
      <c r="I4">
        <f>VLOOKUP($A4,Table1[#This Row],COLUMN(I3), FALSE)</f>
        <v>12.624000000000001</v>
      </c>
      <c r="J4">
        <f>VLOOKUP($A4,Table1[#This Row],COLUMN(J3), FALSE)</f>
        <v>2</v>
      </c>
      <c r="K4">
        <f>VLOOKUP($A4,Table1[#This Row],COLUMN(K3), FALSE)</f>
        <v>0.2</v>
      </c>
      <c r="L4">
        <f>VLOOKUP($A4,Table1[#This Row],COLUMN(L3), FALSE)</f>
        <v>-2.5247999999999999</v>
      </c>
      <c r="M4" t="str">
        <f>VLOOKUP($A4,Table1[#This Row],COLUMN(M3), FALSE)</f>
        <v>Low</v>
      </c>
      <c r="N4" t="str">
        <f>VLOOKUP($A4,Table1[#This Row],COLUMN(N3), FALSE)</f>
        <v>Normal Order</v>
      </c>
      <c r="O4" t="str">
        <f>VLOOKUP($A4,Table1[#This Row],COLUMN(O3), FALSE)</f>
        <v>Aaron Bergman</v>
      </c>
      <c r="P4" t="str">
        <f>VLOOKUP($A4,Table1[#This Row],COLUMN(P3), FALSE)</f>
        <v>CA</v>
      </c>
      <c r="Q4" t="str">
        <f>VLOOKUP($A4,Table1[#This Row],COLUMN(Q3), FALSE)</f>
        <v>2012</v>
      </c>
      <c r="R4" t="str">
        <f>VLOOKUP($A4,Table1[#This Row],COLUMN(R3), FALSE)</f>
        <v>LOW</v>
      </c>
      <c r="S4" t="str">
        <f>VLOOKUP($A4,Table1[#This Row],COLUMN(S3), FALSE)</f>
        <v>office supplies</v>
      </c>
      <c r="T4" t="str">
        <f>VLOOKUP($A4,Table1[#This Row],COLUMN(T3), FALSE)</f>
        <v>40958</v>
      </c>
      <c r="U4" t="str">
        <f>VLOOKUP($A4,Table1[#This Row],COLUMN(U3), FALSE)</f>
        <v>AB10015140</v>
      </c>
      <c r="V4" t="str">
        <f>VLOOKUP($A4,Table1[#This Row],COLUMN(V3), FALSE)</f>
        <v>CA</v>
      </c>
      <c r="W4">
        <f>VLOOKUP($A4,Table1[#This Row],COLUMN(W3), FALSE)</f>
        <v>2012</v>
      </c>
      <c r="X4" t="str">
        <f>VLOOKUP($A4,Table1[#This Row],COLUMN(X3), FALSE)</f>
        <v>AB10015140</v>
      </c>
      <c r="Y4">
        <f>VLOOKUP($A4,Table1[#This Row],COLUMN(Y3), FALSE)</f>
        <v>40958</v>
      </c>
      <c r="Z4" t="str">
        <f>VLOOKUP($A4,Table1[#This Row],COLUMN(Z3), FALSE)</f>
        <v>CA-2012-AB10015140-40958</v>
      </c>
      <c r="AA4">
        <f>VLOOKUP($A4,Table1[#This Row],COLUMN(AA3), FALSE)</f>
        <v>2012</v>
      </c>
      <c r="AB4">
        <f>VLOOKUP($A4,Table1[#This Row],COLUMN(AB3), FALSE)</f>
        <v>2</v>
      </c>
      <c r="AC4">
        <f>VLOOKUP($A4,Table1[#This Row],COLUMN(AC3), FALSE)</f>
        <v>1</v>
      </c>
      <c r="AD4">
        <f>VLOOKUP($A4,Table1[#This Row],COLUMN(AD3), FALSE)</f>
        <v>6</v>
      </c>
    </row>
    <row r="5" spans="1:30" ht="15.75">
      <c r="A5" s="54" t="s">
        <v>42</v>
      </c>
      <c r="B5" s="52">
        <f>VLOOKUP($A5,Table1[#This Row],COLUMN(B4), FALSE)</f>
        <v>40974</v>
      </c>
      <c r="C5" s="52">
        <f>VLOOKUP($A5,Table1[#This Row],COLUMN(C4), FALSE)</f>
        <v>40975</v>
      </c>
      <c r="D5" t="str">
        <f>VLOOKUP($A5,Table1[#This Row],COLUMN(D4), FALSE)</f>
        <v>Aaron Bergman</v>
      </c>
      <c r="E5" t="str">
        <f>VLOOKUP($A5,Table1[#This Row],COLUMN(E4), FALSE)</f>
        <v>United States</v>
      </c>
      <c r="F5" t="str">
        <f>VLOOKUP($A5,Table1[#This Row],COLUMN(F4), FALSE)</f>
        <v>Western US</v>
      </c>
      <c r="G5" t="str">
        <f>VLOOKUP($A5,Table1[#This Row],COLUMN(G4), FALSE)</f>
        <v>Office Supplies</v>
      </c>
      <c r="H5" t="str">
        <f>VLOOKUP($A5,Table1[#This Row],COLUMN(H4), FALSE)</f>
        <v>Appliances</v>
      </c>
      <c r="I5">
        <f>VLOOKUP($A5,Table1[#This Row],COLUMN(I4), FALSE)</f>
        <v>242.94</v>
      </c>
      <c r="J5">
        <f>VLOOKUP($A5,Table1[#This Row],COLUMN(J4), FALSE)</f>
        <v>3</v>
      </c>
      <c r="K5">
        <f>VLOOKUP($A5,Table1[#This Row],COLUMN(K4), FALSE)</f>
        <v>0</v>
      </c>
      <c r="L5">
        <f>VLOOKUP($A5,Table1[#This Row],COLUMN(L4), FALSE)</f>
        <v>4.8588000000000102</v>
      </c>
      <c r="M5" t="str">
        <f>VLOOKUP($A5,Table1[#This Row],COLUMN(M4), FALSE)</f>
        <v>High</v>
      </c>
      <c r="N5" t="str">
        <f>VLOOKUP($A5,Table1[#This Row],COLUMN(N4), FALSE)</f>
        <v>Normal Order</v>
      </c>
      <c r="O5" t="str">
        <f>VLOOKUP($A5,Table1[#This Row],COLUMN(O4), FALSE)</f>
        <v>Aaron Bergman</v>
      </c>
      <c r="P5" t="str">
        <f>VLOOKUP($A5,Table1[#This Row],COLUMN(P4), FALSE)</f>
        <v>CA</v>
      </c>
      <c r="Q5" t="str">
        <f>VLOOKUP($A5,Table1[#This Row],COLUMN(Q4), FALSE)</f>
        <v>2012</v>
      </c>
      <c r="R5" t="str">
        <f>VLOOKUP($A5,Table1[#This Row],COLUMN(R4), FALSE)</f>
        <v>HIGH</v>
      </c>
      <c r="S5" t="str">
        <f>VLOOKUP($A5,Table1[#This Row],COLUMN(S4), FALSE)</f>
        <v>office supplies</v>
      </c>
      <c r="T5" t="str">
        <f>VLOOKUP($A5,Table1[#This Row],COLUMN(T4), FALSE)</f>
        <v>40974</v>
      </c>
      <c r="U5" t="str">
        <f>VLOOKUP($A5,Table1[#This Row],COLUMN(U4), FALSE)</f>
        <v>AB10015140</v>
      </c>
      <c r="V5" t="str">
        <f>VLOOKUP($A5,Table1[#This Row],COLUMN(V4), FALSE)</f>
        <v>CA</v>
      </c>
      <c r="W5">
        <f>VLOOKUP($A5,Table1[#This Row],COLUMN(W4), FALSE)</f>
        <v>2012</v>
      </c>
      <c r="X5" t="str">
        <f>VLOOKUP($A5,Table1[#This Row],COLUMN(X4), FALSE)</f>
        <v>AB10015140</v>
      </c>
      <c r="Y5">
        <f>VLOOKUP($A5,Table1[#This Row],COLUMN(Y4), FALSE)</f>
        <v>40974</v>
      </c>
      <c r="Z5" t="str">
        <f>VLOOKUP($A5,Table1[#This Row],COLUMN(Z4), FALSE)</f>
        <v>CA-2012-AB10015140-40974</v>
      </c>
      <c r="AA5">
        <f>VLOOKUP($A5,Table1[#This Row],COLUMN(AA4), FALSE)</f>
        <v>2012</v>
      </c>
      <c r="AB5">
        <f>VLOOKUP($A5,Table1[#This Row],COLUMN(AB4), FALSE)</f>
        <v>3</v>
      </c>
      <c r="AC5">
        <f>VLOOKUP($A5,Table1[#This Row],COLUMN(AC4), FALSE)</f>
        <v>3</v>
      </c>
      <c r="AD5">
        <f>VLOOKUP($A5,Table1[#This Row],COLUMN(AD4), FALSE)</f>
        <v>1</v>
      </c>
    </row>
    <row r="6" spans="1:30" ht="15.75">
      <c r="A6" s="53" t="s">
        <v>95</v>
      </c>
      <c r="B6" s="52">
        <f>VLOOKUP($A6,Table1[#This Row],COLUMN(B5), FALSE)</f>
        <v>42216</v>
      </c>
      <c r="C6" s="52">
        <f>VLOOKUP($A6,Table1[#This Row],COLUMN(C5), FALSE)</f>
        <v>42217</v>
      </c>
      <c r="D6" t="str">
        <f>VLOOKUP($A6,Table1[#This Row],COLUMN(D5), FALSE)</f>
        <v>Naresj Patel</v>
      </c>
      <c r="E6" t="str">
        <f>VLOOKUP($A6,Table1[#This Row],COLUMN(E5), FALSE)</f>
        <v>Mexico</v>
      </c>
      <c r="F6" t="str">
        <f>VLOOKUP($A6,Table1[#This Row],COLUMN(F5), FALSE)</f>
        <v>Central America</v>
      </c>
      <c r="G6" t="str">
        <f>VLOOKUP($A6,Table1[#This Row],COLUMN(G5), FALSE)</f>
        <v>Technology</v>
      </c>
      <c r="H6" t="str">
        <f>VLOOKUP($A6,Table1[#This Row],COLUMN(H5), FALSE)</f>
        <v>Chairs</v>
      </c>
      <c r="I6">
        <f>VLOOKUP($A6,Table1[#This Row],COLUMN(I5), FALSE)</f>
        <v>1713.84</v>
      </c>
      <c r="J6">
        <f>VLOOKUP($A6,Table1[#This Row],COLUMN(J5), FALSE)</f>
        <v>4</v>
      </c>
      <c r="K6">
        <f>VLOOKUP($A6,Table1[#This Row],COLUMN(K5), FALSE)</f>
        <v>0</v>
      </c>
      <c r="L6">
        <f>VLOOKUP($A6,Table1[#This Row],COLUMN(L5), FALSE)</f>
        <v>445.52</v>
      </c>
      <c r="M6" t="str">
        <f>VLOOKUP($A6,Table1[#This Row],COLUMN(M5), FALSE)</f>
        <v>Critical</v>
      </c>
      <c r="N6" t="str">
        <f>VLOOKUP($A6,Table1[#This Row],COLUMN(N5), FALSE)</f>
        <v>Normal Order</v>
      </c>
      <c r="O6" t="str">
        <f>VLOOKUP($A6,Table1[#This Row],COLUMN(O5), FALSE)</f>
        <v>Naresj Patel</v>
      </c>
      <c r="P6" t="str">
        <f>VLOOKUP($A6,Table1[#This Row],COLUMN(P5), FALSE)</f>
        <v>US</v>
      </c>
      <c r="Q6" t="str">
        <f>VLOOKUP($A6,Table1[#This Row],COLUMN(Q5), FALSE)</f>
        <v>2015</v>
      </c>
      <c r="R6" t="str">
        <f>VLOOKUP($A6,Table1[#This Row],COLUMN(R5), FALSE)</f>
        <v>CRITICAL</v>
      </c>
      <c r="S6" t="str">
        <f>VLOOKUP($A6,Table1[#This Row],COLUMN(S5), FALSE)</f>
        <v>technology</v>
      </c>
      <c r="T6" t="str">
        <f>VLOOKUP($A6,Table1[#This Row],COLUMN(T5), FALSE)</f>
        <v>42216</v>
      </c>
      <c r="U6" t="str">
        <f>VLOOKUP($A6,Table1[#This Row],COLUMN(U5), FALSE)</f>
        <v>NP1832582</v>
      </c>
      <c r="V6" t="str">
        <f>VLOOKUP($A6,Table1[#This Row],COLUMN(V5), FALSE)</f>
        <v>US</v>
      </c>
      <c r="W6">
        <f>VLOOKUP($A6,Table1[#This Row],COLUMN(W5), FALSE)</f>
        <v>2015</v>
      </c>
      <c r="X6" t="str">
        <f>VLOOKUP($A6,Table1[#This Row],COLUMN(X5), FALSE)</f>
        <v>NP1832582</v>
      </c>
      <c r="Y6">
        <f>VLOOKUP($A6,Table1[#This Row],COLUMN(Y5), FALSE)</f>
        <v>42216</v>
      </c>
      <c r="Z6" t="str">
        <f>VLOOKUP($A6,Table1[#This Row],COLUMN(Z5), FALSE)</f>
        <v>US-2015-NP1832582-42216</v>
      </c>
      <c r="AA6">
        <f>VLOOKUP($A6,Table1[#This Row],COLUMN(AA5), FALSE)</f>
        <v>2015</v>
      </c>
      <c r="AB6">
        <f>VLOOKUP($A6,Table1[#This Row],COLUMN(AB5), FALSE)</f>
        <v>7</v>
      </c>
      <c r="AC6">
        <f>VLOOKUP($A6,Table1[#This Row],COLUMN(AC5), FALSE)</f>
        <v>6</v>
      </c>
      <c r="AD6">
        <f>VLOOKUP($A6,Table1[#This Row],COLUMN(AD5), FALSE)</f>
        <v>1</v>
      </c>
    </row>
    <row r="7" spans="1:30" ht="15.75">
      <c r="A7" s="54" t="s">
        <v>124</v>
      </c>
      <c r="B7" s="52" t="str">
        <f>VLOOKUP($A7,Table1[#This Row],COLUMN(B6), FALSE)</f>
        <v>32/13/2020</v>
      </c>
      <c r="C7" s="52">
        <f>VLOOKUP($A7,Table1[#This Row],COLUMN(C6), FALSE)</f>
        <v>41217</v>
      </c>
      <c r="D7" t="str">
        <f>VLOOKUP($A7,Table1[#This Row],COLUMN(D6), FALSE)</f>
        <v>Dave Poirier</v>
      </c>
      <c r="E7" t="str">
        <f>VLOOKUP($A7,Table1[#This Row],COLUMN(E6), FALSE)</f>
        <v>Australia</v>
      </c>
      <c r="F7" t="str">
        <f>VLOOKUP($A7,Table1[#This Row],COLUMN(F6), FALSE)</f>
        <v>Oceania</v>
      </c>
      <c r="G7" t="str">
        <f>VLOOKUP($A7,Table1[#This Row],COLUMN(G6), FALSE)</f>
        <v>Office Supplies</v>
      </c>
      <c r="H7" t="str">
        <f>VLOOKUP($A7,Table1[#This Row],COLUMN(H6), FALSE)</f>
        <v>Machines</v>
      </c>
      <c r="I7">
        <f>VLOOKUP($A7,Table1[#This Row],COLUMN(I6), FALSE)</f>
        <v>2526.9299999999998</v>
      </c>
      <c r="J7">
        <f>VLOOKUP($A7,Table1[#This Row],COLUMN(J6), FALSE)</f>
        <v>5</v>
      </c>
      <c r="K7">
        <f>VLOOKUP($A7,Table1[#This Row],COLUMN(K6), FALSE)</f>
        <v>0.1</v>
      </c>
      <c r="L7">
        <f>VLOOKUP($A7,Table1[#This Row],COLUMN(L6), FALSE)</f>
        <v>561.48</v>
      </c>
      <c r="M7" t="str">
        <f>VLOOKUP($A7,Table1[#This Row],COLUMN(M6), FALSE)</f>
        <v>Critical</v>
      </c>
      <c r="N7" t="str">
        <f>VLOOKUP($A7,Table1[#This Row],COLUMN(N6), FALSE)</f>
        <v>Normal Order</v>
      </c>
      <c r="O7" t="str">
        <f>VLOOKUP($A7,Table1[#This Row],COLUMN(O6), FALSE)</f>
        <v>Dave Poirier</v>
      </c>
      <c r="P7" t="str">
        <f>VLOOKUP($A7,Table1[#This Row],COLUMN(P6), FALSE)</f>
        <v>IN</v>
      </c>
      <c r="Q7" t="str">
        <f>VLOOKUP($A7,Table1[#This Row],COLUMN(Q6), FALSE)</f>
        <v>2012</v>
      </c>
      <c r="R7" t="str">
        <f>VLOOKUP($A7,Table1[#This Row],COLUMN(R6), FALSE)</f>
        <v>CRITICAL</v>
      </c>
      <c r="S7" t="str">
        <f>VLOOKUP($A7,Table1[#This Row],COLUMN(S6), FALSE)</f>
        <v>office supplies</v>
      </c>
      <c r="T7" t="str">
        <f>VLOOKUP($A7,Table1[#This Row],COLUMN(T6), FALSE)</f>
        <v>41215</v>
      </c>
      <c r="U7" t="str">
        <f>VLOOKUP($A7,Table1[#This Row],COLUMN(U6), FALSE)</f>
        <v>DP131057</v>
      </c>
      <c r="V7" t="str">
        <f>VLOOKUP($A7,Table1[#This Row],COLUMN(V6), FALSE)</f>
        <v>IN</v>
      </c>
      <c r="W7">
        <f>VLOOKUP($A7,Table1[#This Row],COLUMN(W6), FALSE)</f>
        <v>2012</v>
      </c>
      <c r="X7" t="str">
        <f>VLOOKUP($A7,Table1[#This Row],COLUMN(X6), FALSE)</f>
        <v>DP131057</v>
      </c>
      <c r="Y7">
        <f>VLOOKUP($A7,Table1[#This Row],COLUMN(Y6), FALSE)</f>
        <v>41215</v>
      </c>
      <c r="Z7" t="str">
        <f>VLOOKUP($A7,Table1[#This Row],COLUMN(Z6), FALSE)</f>
        <v>IN-2012-DP131057-41215</v>
      </c>
      <c r="AA7">
        <f>VLOOKUP($A7,Table1[#This Row],COLUMN(AA6), FALSE)</f>
        <v>0</v>
      </c>
      <c r="AB7">
        <f>VLOOKUP($A7,Table1[#This Row],COLUMN(AB6), FALSE)</f>
        <v>0</v>
      </c>
      <c r="AC7">
        <f>VLOOKUP($A7,Table1[#This Row],COLUMN(AC6), FALSE)</f>
        <v>0</v>
      </c>
      <c r="AD7">
        <f>VLOOKUP($A7,Table1[#This Row],COLUMN(AD6), FALSE)</f>
        <v>0</v>
      </c>
    </row>
    <row r="8" spans="1:30" ht="15.75">
      <c r="A8" s="53" t="s">
        <v>128</v>
      </c>
      <c r="B8" s="52">
        <f>VLOOKUP($A8,Table1[#This Row],COLUMN(B7), FALSE)</f>
        <v>41635</v>
      </c>
      <c r="C8" s="52">
        <f>VLOOKUP($A8,Table1[#This Row],COLUMN(C7), FALSE)</f>
        <v>41639</v>
      </c>
      <c r="D8" t="str">
        <f>VLOOKUP($A8,Table1[#This Row],COLUMN(D7), FALSE)</f>
        <v>Aaron Hawkins</v>
      </c>
      <c r="E8" t="str">
        <f>VLOOKUP($A8,Table1[#This Row],COLUMN(E7), FALSE)</f>
        <v>United States</v>
      </c>
      <c r="F8" t="str">
        <f>VLOOKUP($A8,Table1[#This Row],COLUMN(F7), FALSE)</f>
        <v>Western US</v>
      </c>
      <c r="G8" t="str">
        <f>VLOOKUP($A8,Table1[#This Row],COLUMN(G7), FALSE)</f>
        <v>Office Supplies</v>
      </c>
      <c r="H8" t="str">
        <f>VLOOKUP($A8,Table1[#This Row],COLUMN(H7), FALSE)</f>
        <v>Chairs</v>
      </c>
      <c r="I8">
        <f>VLOOKUP($A8,Table1[#This Row],COLUMN(I7), FALSE)</f>
        <v>323.10000000000002</v>
      </c>
      <c r="J8">
        <f>VLOOKUP($A8,Table1[#This Row],COLUMN(J7), FALSE)</f>
        <v>2</v>
      </c>
      <c r="K8">
        <f>VLOOKUP($A8,Table1[#This Row],COLUMN(K7), FALSE)</f>
        <v>0</v>
      </c>
      <c r="L8">
        <f>VLOOKUP($A8,Table1[#This Row],COLUMN(L7), FALSE)</f>
        <v>61.389000000000003</v>
      </c>
      <c r="M8" t="str">
        <f>VLOOKUP($A8,Table1[#This Row],COLUMN(M7), FALSE)</f>
        <v>Medium</v>
      </c>
      <c r="N8" t="str">
        <f>VLOOKUP($A8,Table1[#This Row],COLUMN(N7), FALSE)</f>
        <v>Normal Order</v>
      </c>
      <c r="O8" t="str">
        <f>VLOOKUP($A8,Table1[#This Row],COLUMN(O7), FALSE)</f>
        <v>Aaron Hawkins</v>
      </c>
      <c r="P8" t="str">
        <f>VLOOKUP($A8,Table1[#This Row],COLUMN(P7), FALSE)</f>
        <v>CA</v>
      </c>
      <c r="Q8" t="str">
        <f>VLOOKUP($A8,Table1[#This Row],COLUMN(Q7), FALSE)</f>
        <v>2013</v>
      </c>
      <c r="R8" t="str">
        <f>VLOOKUP($A8,Table1[#This Row],COLUMN(R7), FALSE)</f>
        <v>MEDIUM</v>
      </c>
      <c r="S8" t="str">
        <f>VLOOKUP($A8,Table1[#This Row],COLUMN(S7), FALSE)</f>
        <v>office supplies</v>
      </c>
      <c r="T8" t="str">
        <f>VLOOKUP($A8,Table1[#This Row],COLUMN(T7), FALSE)</f>
        <v>41635</v>
      </c>
      <c r="U8" t="str">
        <f>VLOOKUP($A8,Table1[#This Row],COLUMN(U7), FALSE)</f>
        <v>AH10030140</v>
      </c>
      <c r="V8" t="str">
        <f>VLOOKUP($A8,Table1[#This Row],COLUMN(V7), FALSE)</f>
        <v>CA</v>
      </c>
      <c r="W8">
        <f>VLOOKUP($A8,Table1[#This Row],COLUMN(W7), FALSE)</f>
        <v>2013</v>
      </c>
      <c r="X8" t="str">
        <f>VLOOKUP($A8,Table1[#This Row],COLUMN(X7), FALSE)</f>
        <v>AH10030140</v>
      </c>
      <c r="Y8">
        <f>VLOOKUP($A8,Table1[#This Row],COLUMN(Y7), FALSE)</f>
        <v>41635</v>
      </c>
      <c r="Z8" t="str">
        <f>VLOOKUP($A8,Table1[#This Row],COLUMN(Z7), FALSE)</f>
        <v>CA-2013-AH10030140-41635</v>
      </c>
      <c r="AA8">
        <f>VLOOKUP($A8,Table1[#This Row],COLUMN(AA7), FALSE)</f>
        <v>2013</v>
      </c>
      <c r="AB8">
        <f>VLOOKUP($A8,Table1[#This Row],COLUMN(AB7), FALSE)</f>
        <v>12</v>
      </c>
      <c r="AC8">
        <f>VLOOKUP($A8,Table1[#This Row],COLUMN(AC7), FALSE)</f>
        <v>6</v>
      </c>
      <c r="AD8">
        <f>VLOOKUP($A8,Table1[#This Row],COLUMN(AD7), FALSE)</f>
        <v>4</v>
      </c>
    </row>
    <row r="9" spans="1:30" ht="15.75">
      <c r="A9" s="54" t="s">
        <v>137</v>
      </c>
      <c r="B9" s="52">
        <f>VLOOKUP($A9,Table1[#This Row],COLUMN(B8), FALSE)</f>
        <v>40918</v>
      </c>
      <c r="C9" s="52">
        <f>VLOOKUP($A9,Table1[#This Row],COLUMN(C8), FALSE)</f>
        <v>41214</v>
      </c>
      <c r="D9" t="str">
        <f>VLOOKUP($A9,Table1[#This Row],COLUMN(D8), FALSE)</f>
        <v>Dan Lawera</v>
      </c>
      <c r="E9" t="str">
        <f>VLOOKUP($A9,Table1[#This Row],COLUMN(E8), FALSE)</f>
        <v>Australia</v>
      </c>
      <c r="F9" t="str">
        <f>VLOOKUP($A9,Table1[#This Row],COLUMN(F8), FALSE)</f>
        <v>Oceania</v>
      </c>
      <c r="G9" t="str">
        <f>VLOOKUP($A9,Table1[#This Row],COLUMN(G8), FALSE)</f>
        <v>Technology</v>
      </c>
      <c r="H9" t="str">
        <f>VLOOKUP($A9,Table1[#This Row],COLUMN(H8), FALSE)</f>
        <v>Machines</v>
      </c>
      <c r="I9">
        <f>VLOOKUP($A9,Table1[#This Row],COLUMN(I8), FALSE)</f>
        <v>2875.0949999999998</v>
      </c>
      <c r="J9">
        <f>VLOOKUP($A9,Table1[#This Row],COLUMN(J8), FALSE)</f>
        <v>5</v>
      </c>
      <c r="K9">
        <f>VLOOKUP($A9,Table1[#This Row],COLUMN(K8), FALSE)</f>
        <v>0.1</v>
      </c>
      <c r="L9">
        <f>VLOOKUP($A9,Table1[#This Row],COLUMN(L8), FALSE)</f>
        <v>511.094999999999</v>
      </c>
      <c r="M9" t="str">
        <f>VLOOKUP($A9,Table1[#This Row],COLUMN(M8), FALSE)</f>
        <v>Medium</v>
      </c>
      <c r="N9" t="str">
        <f>VLOOKUP($A9,Table1[#This Row],COLUMN(N8), FALSE)</f>
        <v>Normal Order</v>
      </c>
      <c r="O9" t="str">
        <f>VLOOKUP($A9,Table1[#This Row],COLUMN(O8), FALSE)</f>
        <v>Dan Lawera</v>
      </c>
      <c r="P9" t="str">
        <f>VLOOKUP($A9,Table1[#This Row],COLUMN(P8), FALSE)</f>
        <v>IN</v>
      </c>
      <c r="Q9" t="str">
        <f>VLOOKUP($A9,Table1[#This Row],COLUMN(Q8), FALSE)</f>
        <v>2012</v>
      </c>
      <c r="R9" t="str">
        <f>VLOOKUP($A9,Table1[#This Row],COLUMN(R8), FALSE)</f>
        <v>MEDIUM</v>
      </c>
      <c r="S9" t="str">
        <f>VLOOKUP($A9,Table1[#This Row],COLUMN(S8), FALSE)</f>
        <v>technology</v>
      </c>
      <c r="T9" t="str">
        <f>VLOOKUP($A9,Table1[#This Row],COLUMN(T8), FALSE)</f>
        <v>40918</v>
      </c>
      <c r="U9" t="str">
        <f>VLOOKUP($A9,Table1[#This Row],COLUMN(U8), FALSE)</f>
        <v>DL128657</v>
      </c>
      <c r="V9" t="str">
        <f>VLOOKUP($A9,Table1[#This Row],COLUMN(V8), FALSE)</f>
        <v>IN</v>
      </c>
      <c r="W9">
        <f>VLOOKUP($A9,Table1[#This Row],COLUMN(W8), FALSE)</f>
        <v>2012</v>
      </c>
      <c r="X9" t="str">
        <f>VLOOKUP($A9,Table1[#This Row],COLUMN(X8), FALSE)</f>
        <v>DL128657</v>
      </c>
      <c r="Y9">
        <f>VLOOKUP($A9,Table1[#This Row],COLUMN(Y8), FALSE)</f>
        <v>40918</v>
      </c>
      <c r="Z9" t="str">
        <f>VLOOKUP($A9,Table1[#This Row],COLUMN(Z8), FALSE)</f>
        <v>IN-2012-DL128657-40918</v>
      </c>
      <c r="AA9">
        <f>VLOOKUP($A9,Table1[#This Row],COLUMN(AA8), FALSE)</f>
        <v>2012</v>
      </c>
      <c r="AB9">
        <f>VLOOKUP($A9,Table1[#This Row],COLUMN(AB8), FALSE)</f>
        <v>1</v>
      </c>
      <c r="AC9">
        <f>VLOOKUP($A9,Table1[#This Row],COLUMN(AC8), FALSE)</f>
        <v>3</v>
      </c>
      <c r="AD9">
        <f>VLOOKUP($A9,Table1[#This Row],COLUMN(AD8), FALSE)</f>
        <v>296</v>
      </c>
    </row>
    <row r="10" spans="1:30" ht="15.75">
      <c r="A10" s="53" t="s">
        <v>154</v>
      </c>
      <c r="B10" s="52">
        <f>VLOOKUP($A10,Table1[#This Row],COLUMN(B9), FALSE)</f>
        <v>41706</v>
      </c>
      <c r="C10" s="52">
        <f>VLOOKUP($A10,Table1[#This Row],COLUMN(C9), FALSE)</f>
        <v>41854</v>
      </c>
      <c r="D10" t="str">
        <f>VLOOKUP($A10,Table1[#This Row],COLUMN(D9), FALSE)</f>
        <v>Elli sBallard</v>
      </c>
      <c r="E10" t="str">
        <f>VLOOKUP($A10,Table1[#This Row],COLUMN(E9), FALSE)</f>
        <v>France</v>
      </c>
      <c r="F10" t="str">
        <f>VLOOKUP($A10,Table1[#This Row],COLUMN(F9), FALSE)</f>
        <v>Western Europe</v>
      </c>
      <c r="G10" t="str">
        <f>VLOOKUP($A10,Table1[#This Row],COLUMN(G9), FALSE)</f>
        <v>Furniture</v>
      </c>
      <c r="H10" t="str">
        <f>VLOOKUP($A10,Table1[#This Row],COLUMN(H9), FALSE)</f>
        <v>Appliances</v>
      </c>
      <c r="I10">
        <f>VLOOKUP($A10,Table1[#This Row],COLUMN(I9), FALSE)</f>
        <v>2092.49999999999</v>
      </c>
      <c r="J10">
        <f>VLOOKUP($A10,Table1[#This Row],COLUMN(J9), FALSE)</f>
        <v>5</v>
      </c>
      <c r="K10">
        <f>VLOOKUP($A10,Table1[#This Row],COLUMN(K9), FALSE)</f>
        <v>0.1</v>
      </c>
      <c r="L10">
        <f>VLOOKUP($A10,Table1[#This Row],COLUMN(L9), FALSE)</f>
        <v>720.74999999999898</v>
      </c>
      <c r="M10" t="str">
        <f>VLOOKUP($A10,Table1[#This Row],COLUMN(M9), FALSE)</f>
        <v>Critical</v>
      </c>
      <c r="N10" t="str">
        <f>VLOOKUP($A10,Table1[#This Row],COLUMN(N9), FALSE)</f>
        <v>Normal Order</v>
      </c>
      <c r="O10" t="str">
        <f>VLOOKUP($A10,Table1[#This Row],COLUMN(O9), FALSE)</f>
        <v>Elli Sballard</v>
      </c>
      <c r="P10" t="str">
        <f>VLOOKUP($A10,Table1[#This Row],COLUMN(P9), FALSE)</f>
        <v>IT</v>
      </c>
      <c r="Q10" t="str">
        <f>VLOOKUP($A10,Table1[#This Row],COLUMN(Q9), FALSE)</f>
        <v>2014</v>
      </c>
      <c r="R10" t="str">
        <f>VLOOKUP($A10,Table1[#This Row],COLUMN(R9), FALSE)</f>
        <v>CRITICAL</v>
      </c>
      <c r="S10" t="str">
        <f>VLOOKUP($A10,Table1[#This Row],COLUMN(S9), FALSE)</f>
        <v>furniture</v>
      </c>
      <c r="T10" t="str">
        <f>VLOOKUP($A10,Table1[#This Row],COLUMN(T9), FALSE)</f>
        <v>41706</v>
      </c>
      <c r="U10" t="str">
        <f>VLOOKUP($A10,Table1[#This Row],COLUMN(U9), FALSE)</f>
        <v>EB1384045</v>
      </c>
      <c r="V10" t="str">
        <f>VLOOKUP($A10,Table1[#This Row],COLUMN(V9), FALSE)</f>
        <v>IT</v>
      </c>
      <c r="W10">
        <f>VLOOKUP($A10,Table1[#This Row],COLUMN(W9), FALSE)</f>
        <v>2014</v>
      </c>
      <c r="X10" t="str">
        <f>VLOOKUP($A10,Table1[#This Row],COLUMN(X9), FALSE)</f>
        <v>EB1384045</v>
      </c>
      <c r="Y10">
        <f>VLOOKUP($A10,Table1[#This Row],COLUMN(Y9), FALSE)</f>
        <v>41706</v>
      </c>
      <c r="Z10" t="str">
        <f>VLOOKUP($A10,Table1[#This Row],COLUMN(Z9), FALSE)</f>
        <v>IT-2014-EB1384045-41706</v>
      </c>
      <c r="AA10">
        <f>VLOOKUP($A10,Table1[#This Row],COLUMN(AA9), FALSE)</f>
        <v>2014</v>
      </c>
      <c r="AB10">
        <f>VLOOKUP($A10,Table1[#This Row],COLUMN(AB9), FALSE)</f>
        <v>3</v>
      </c>
      <c r="AC10">
        <f>VLOOKUP($A10,Table1[#This Row],COLUMN(AC9), FALSE)</f>
        <v>7</v>
      </c>
      <c r="AD10">
        <f>VLOOKUP($A10,Table1[#This Row],COLUMN(AD9), FALSE)</f>
        <v>148</v>
      </c>
    </row>
    <row r="11" spans="1:30" ht="15.75">
      <c r="A11" s="54" t="s">
        <v>174</v>
      </c>
      <c r="B11" s="52">
        <f>VLOOKUP($A11,Table1[#This Row],COLUMN(B10), FALSE)</f>
        <v>41424</v>
      </c>
      <c r="C11" s="52">
        <f>VLOOKUP($A11,Table1[#This Row],COLUMN(C10), FALSE)</f>
        <v>41425</v>
      </c>
      <c r="D11" t="str">
        <f>VLOOKUP($A11,Table1[#This Row],COLUMN(D10), FALSE)</f>
        <v xml:space="preserve"> Sheri Gordon </v>
      </c>
      <c r="E11" t="str">
        <f>VLOOKUP($A11,Table1[#This Row],COLUMN(E10), FALSE)</f>
        <v>India</v>
      </c>
      <c r="F11" t="str">
        <f>VLOOKUP($A11,Table1[#This Row],COLUMN(F10), FALSE)</f>
        <v>Southern Asia</v>
      </c>
      <c r="G11" t="str">
        <f>VLOOKUP($A11,Table1[#This Row],COLUMN(G10), FALSE)</f>
        <v>Technology</v>
      </c>
      <c r="H11" t="str">
        <f>VLOOKUP($A11,Table1[#This Row],COLUMN(H10), FALSE)</f>
        <v>Bookcases</v>
      </c>
      <c r="I11">
        <f>VLOOKUP($A11,Table1[#This Row],COLUMN(I10), FALSE)</f>
        <v>1526.52</v>
      </c>
      <c r="J11">
        <f>VLOOKUP($A11,Table1[#This Row],COLUMN(J10), FALSE)</f>
        <v>4</v>
      </c>
      <c r="K11">
        <f>VLOOKUP($A11,Table1[#This Row],COLUMN(K10), FALSE)</f>
        <v>0</v>
      </c>
      <c r="L11">
        <f>VLOOKUP($A11,Table1[#This Row],COLUMN(L10), FALSE)</f>
        <v>732.72</v>
      </c>
      <c r="M11" t="str">
        <f>VLOOKUP($A11,Table1[#This Row],COLUMN(M10), FALSE)</f>
        <v>Critical</v>
      </c>
      <c r="N11" t="str">
        <f>VLOOKUP($A11,Table1[#This Row],COLUMN(N10), FALSE)</f>
        <v>Normal Order</v>
      </c>
      <c r="O11" t="str">
        <f>VLOOKUP($A11,Table1[#This Row],COLUMN(O10), FALSE)</f>
        <v xml:space="preserve"> Sheri Gordon </v>
      </c>
      <c r="P11" t="str">
        <f>VLOOKUP($A11,Table1[#This Row],COLUMN(P10), FALSE)</f>
        <v>IN</v>
      </c>
      <c r="Q11" t="str">
        <f>VLOOKUP($A11,Table1[#This Row],COLUMN(Q10), FALSE)</f>
        <v>2013</v>
      </c>
      <c r="R11" t="str">
        <f>VLOOKUP($A11,Table1[#This Row],COLUMN(R10), FALSE)</f>
        <v>CRITICAL</v>
      </c>
      <c r="S11" t="str">
        <f>VLOOKUP($A11,Table1[#This Row],COLUMN(S10), FALSE)</f>
        <v>technology</v>
      </c>
      <c r="T11" t="str">
        <f>VLOOKUP($A11,Table1[#This Row],COLUMN(T10), FALSE)</f>
        <v>41424</v>
      </c>
      <c r="U11" t="str">
        <f>VLOOKUP($A11,Table1[#This Row],COLUMN(U10), FALSE)</f>
        <v>SG2047058</v>
      </c>
      <c r="V11" t="str">
        <f>VLOOKUP($A11,Table1[#This Row],COLUMN(V10), FALSE)</f>
        <v>IN</v>
      </c>
      <c r="W11">
        <f>VLOOKUP($A11,Table1[#This Row],COLUMN(W10), FALSE)</f>
        <v>2013</v>
      </c>
      <c r="X11" t="str">
        <f>VLOOKUP($A11,Table1[#This Row],COLUMN(X10), FALSE)</f>
        <v>SG2047058</v>
      </c>
      <c r="Y11">
        <f>VLOOKUP($A11,Table1[#This Row],COLUMN(Y10), FALSE)</f>
        <v>41424</v>
      </c>
      <c r="Z11" t="str">
        <f>VLOOKUP($A11,Table1[#This Row],COLUMN(Z10), FALSE)</f>
        <v>IN-2013-SG2047058-41424</v>
      </c>
      <c r="AA11">
        <f>VLOOKUP($A11,Table1[#This Row],COLUMN(AA10), FALSE)</f>
        <v>2013</v>
      </c>
      <c r="AB11">
        <f>VLOOKUP($A11,Table1[#This Row],COLUMN(AB10), FALSE)</f>
        <v>5</v>
      </c>
      <c r="AC11">
        <f>VLOOKUP($A11,Table1[#This Row],COLUMN(AC10), FALSE)</f>
        <v>5</v>
      </c>
      <c r="AD11">
        <f>VLOOKUP($A11,Table1[#This Row],COLUMN(AD10), FALSE)</f>
        <v>1</v>
      </c>
    </row>
    <row r="12" spans="1:30" ht="15.75">
      <c r="A12" s="53" t="s">
        <v>177</v>
      </c>
      <c r="B12" s="52">
        <f>VLOOKUP($A12,Table1[#This Row],COLUMN(B11), FALSE)</f>
        <v>41419</v>
      </c>
      <c r="C12" s="52">
        <f>VLOOKUP($A12,Table1[#This Row],COLUMN(C11), FALSE)</f>
        <v>41422</v>
      </c>
      <c r="D12" t="str">
        <f>VLOOKUP($A12,Table1[#This Row],COLUMN(D11), FALSE)</f>
        <v>Guy Phonely</v>
      </c>
      <c r="E12" t="str">
        <f>VLOOKUP($A12,Table1[#This Row],COLUMN(E11), FALSE)</f>
        <v>India</v>
      </c>
      <c r="F12" t="str">
        <f>VLOOKUP($A12,Table1[#This Row],COLUMN(F11), FALSE)</f>
        <v>Southern Asia</v>
      </c>
      <c r="G12" t="str">
        <f>VLOOKUP($A12,Table1[#This Row],COLUMN(G11), FALSE)</f>
        <v xml:space="preserve"> Furniture </v>
      </c>
      <c r="H12" t="str">
        <f>VLOOKUP($A12,Table1[#This Row],COLUMN(H11), FALSE)</f>
        <v>Copiers</v>
      </c>
      <c r="I12">
        <f>VLOOKUP($A12,Table1[#This Row],COLUMN(I11), FALSE)</f>
        <v>1745.34</v>
      </c>
      <c r="J12">
        <f>VLOOKUP($A12,Table1[#This Row],COLUMN(J11), FALSE)</f>
        <v>2</v>
      </c>
      <c r="K12">
        <f>VLOOKUP($A12,Table1[#This Row],COLUMN(K11), FALSE)</f>
        <v>0</v>
      </c>
      <c r="L12">
        <f>VLOOKUP($A12,Table1[#This Row],COLUMN(L11), FALSE)</f>
        <v>226.86</v>
      </c>
      <c r="M12" t="str">
        <f>VLOOKUP($A12,Table1[#This Row],COLUMN(M11), FALSE)</f>
        <v>Critical</v>
      </c>
      <c r="N12" t="str">
        <f>VLOOKUP($A12,Table1[#This Row],COLUMN(N11), FALSE)</f>
        <v>Normal Order</v>
      </c>
      <c r="O12" t="str">
        <f>VLOOKUP($A12,Table1[#This Row],COLUMN(O11), FALSE)</f>
        <v>Guy Phonely</v>
      </c>
      <c r="P12" t="str">
        <f>VLOOKUP($A12,Table1[#This Row],COLUMN(P11), FALSE)</f>
        <v>IN</v>
      </c>
      <c r="Q12" t="str">
        <f>VLOOKUP($A12,Table1[#This Row],COLUMN(Q11), FALSE)</f>
        <v>2013</v>
      </c>
      <c r="R12" t="str">
        <f>VLOOKUP($A12,Table1[#This Row],COLUMN(R11), FALSE)</f>
        <v>CRITICAL</v>
      </c>
      <c r="S12" t="str">
        <f>VLOOKUP($A12,Table1[#This Row],COLUMN(S11), FALSE)</f>
        <v xml:space="preserve"> furniture </v>
      </c>
      <c r="T12" t="str">
        <f>VLOOKUP($A12,Table1[#This Row],COLUMN(T11), FALSE)</f>
        <v>41419</v>
      </c>
      <c r="U12" t="str">
        <f>VLOOKUP($A12,Table1[#This Row],COLUMN(U11), FALSE)</f>
        <v>GP1474058</v>
      </c>
      <c r="V12" t="str">
        <f>VLOOKUP($A12,Table1[#This Row],COLUMN(V11), FALSE)</f>
        <v>IN</v>
      </c>
      <c r="W12">
        <f>VLOOKUP($A12,Table1[#This Row],COLUMN(W11), FALSE)</f>
        <v>2013</v>
      </c>
      <c r="X12" t="str">
        <f>VLOOKUP($A12,Table1[#This Row],COLUMN(X11), FALSE)</f>
        <v>GP1474058</v>
      </c>
      <c r="Y12">
        <f>VLOOKUP($A12,Table1[#This Row],COLUMN(Y11), FALSE)</f>
        <v>41419</v>
      </c>
      <c r="Z12" t="str">
        <f>VLOOKUP($A12,Table1[#This Row],COLUMN(Z11), FALSE)</f>
        <v>IN-2013-GP1474058-41419</v>
      </c>
      <c r="AA12">
        <f>VLOOKUP($A12,Table1[#This Row],COLUMN(AA11), FALSE)</f>
        <v>2013</v>
      </c>
      <c r="AB12">
        <f>VLOOKUP($A12,Table1[#This Row],COLUMN(AB11), FALSE)</f>
        <v>5</v>
      </c>
      <c r="AC12">
        <f>VLOOKUP($A12,Table1[#This Row],COLUMN(AC11), FALSE)</f>
        <v>7</v>
      </c>
      <c r="AD12">
        <f>VLOOKUP($A12,Table1[#This Row],COLUMN(AD11), FALSE)</f>
        <v>3</v>
      </c>
    </row>
    <row r="13" spans="1:30" ht="15.75">
      <c r="A13" s="54" t="s">
        <v>195</v>
      </c>
      <c r="B13" s="52">
        <f>VLOOKUP($A13,Table1[#This Row],COLUMN(B12), FALSE)</f>
        <v>42345</v>
      </c>
      <c r="C13" s="52">
        <f>VLOOKUP($A13,Table1[#This Row],COLUMN(C12), FALSE)</f>
        <v>42228</v>
      </c>
      <c r="D13" t="str">
        <f>VLOOKUP($A13,Table1[#This Row],COLUMN(D12), FALSE)</f>
        <v>Dave Kipp</v>
      </c>
      <c r="E13" t="str">
        <f>VLOOKUP($A13,Table1[#This Row],COLUMN(E12), FALSE)</f>
        <v>Spain</v>
      </c>
      <c r="F13" t="str">
        <f>VLOOKUP($A13,Table1[#This Row],COLUMN(F12), FALSE)</f>
        <v>Southern Europe</v>
      </c>
      <c r="G13" t="str">
        <f>VLOOKUP($A13,Table1[#This Row],COLUMN(G12), FALSE)</f>
        <v>Furniture</v>
      </c>
      <c r="H13" t="str">
        <f>VLOOKUP($A13,Table1[#This Row],COLUMN(H12), FALSE)</f>
        <v>Chairs</v>
      </c>
      <c r="I13">
        <f>VLOOKUP($A13,Table1[#This Row],COLUMN(I12), FALSE)</f>
        <v>2188.0500000000002</v>
      </c>
      <c r="J13">
        <f>VLOOKUP($A13,Table1[#This Row],COLUMN(J12), FALSE)</f>
        <v>5</v>
      </c>
      <c r="K13">
        <f>VLOOKUP($A13,Table1[#This Row],COLUMN(K12), FALSE)</f>
        <v>0</v>
      </c>
      <c r="L13">
        <f>VLOOKUP($A13,Table1[#This Row],COLUMN(L12), FALSE)</f>
        <v>1050.1500000000001</v>
      </c>
      <c r="M13" t="str">
        <f>VLOOKUP($A13,Table1[#This Row],COLUMN(M12), FALSE)</f>
        <v>High</v>
      </c>
      <c r="N13" t="str">
        <f>VLOOKUP($A13,Table1[#This Row],COLUMN(N12), FALSE)</f>
        <v>Normal Order</v>
      </c>
      <c r="O13" t="str">
        <f>VLOOKUP($A13,Table1[#This Row],COLUMN(O12), FALSE)</f>
        <v>Dave Kipp</v>
      </c>
      <c r="P13" t="str">
        <f>VLOOKUP($A13,Table1[#This Row],COLUMN(P12), FALSE)</f>
        <v>IT</v>
      </c>
      <c r="Q13" t="str">
        <f>VLOOKUP($A13,Table1[#This Row],COLUMN(Q12), FALSE)</f>
        <v>2015</v>
      </c>
      <c r="R13" t="str">
        <f>VLOOKUP($A13,Table1[#This Row],COLUMN(R12), FALSE)</f>
        <v>HIGH</v>
      </c>
      <c r="S13" t="str">
        <f>VLOOKUP($A13,Table1[#This Row],COLUMN(S12), FALSE)</f>
        <v>furniture</v>
      </c>
      <c r="T13" t="str">
        <f>VLOOKUP($A13,Table1[#This Row],COLUMN(T12), FALSE)</f>
        <v>42345</v>
      </c>
      <c r="U13" t="str">
        <f>VLOOKUP($A13,Table1[#This Row],COLUMN(U12), FALSE)</f>
        <v>DK13090120</v>
      </c>
      <c r="V13" t="str">
        <f>VLOOKUP($A13,Table1[#This Row],COLUMN(V12), FALSE)</f>
        <v>IT</v>
      </c>
      <c r="W13">
        <f>VLOOKUP($A13,Table1[#This Row],COLUMN(W12), FALSE)</f>
        <v>2015</v>
      </c>
      <c r="X13" t="str">
        <f>VLOOKUP($A13,Table1[#This Row],COLUMN(X12), FALSE)</f>
        <v>DK13090120</v>
      </c>
      <c r="Y13">
        <f>VLOOKUP($A13,Table1[#This Row],COLUMN(Y12), FALSE)</f>
        <v>42345</v>
      </c>
      <c r="Z13" t="str">
        <f>VLOOKUP($A13,Table1[#This Row],COLUMN(Z12), FALSE)</f>
        <v>IT-2015-DK13090120-42345</v>
      </c>
      <c r="AA13">
        <f>VLOOKUP($A13,Table1[#This Row],COLUMN(AA12), FALSE)</f>
        <v>2015</v>
      </c>
      <c r="AB13">
        <f>VLOOKUP($A13,Table1[#This Row],COLUMN(AB12), FALSE)</f>
        <v>12</v>
      </c>
      <c r="AC13">
        <f>VLOOKUP($A13,Table1[#This Row],COLUMN(AC12), FALSE)</f>
        <v>2</v>
      </c>
      <c r="AD13">
        <f>VLOOKUP($A13,Table1[#This Row],COLUMN(AD12), FALSE)</f>
        <v>-117</v>
      </c>
    </row>
    <row r="14" spans="1:30" ht="15.75">
      <c r="A14" s="53" t="s">
        <v>200</v>
      </c>
      <c r="B14" s="52">
        <f>VLOOKUP($A14,Table1[#This Row],COLUMN(B13), FALSE)</f>
        <v>42328</v>
      </c>
      <c r="C14" s="52">
        <f>VLOOKUP($A14,Table1[#This Row],COLUMN(C13), FALSE)</f>
        <v>42328</v>
      </c>
      <c r="D14" t="str">
        <f>VLOOKUP($A14,Table1[#This Row],COLUMN(D13), FALSE)</f>
        <v>Evan Minnotte</v>
      </c>
      <c r="E14" t="str">
        <f>VLOOKUP($A14,Table1[#This Row],COLUMN(E13), FALSE)</f>
        <v>Mexico</v>
      </c>
      <c r="F14" t="str">
        <f>VLOOKUP($A14,Table1[#This Row],COLUMN(F13), FALSE)</f>
        <v>Central America</v>
      </c>
      <c r="G14" t="str">
        <f>VLOOKUP($A14,Table1[#This Row],COLUMN(G13), FALSE)</f>
        <v>Technology</v>
      </c>
      <c r="H14" t="str">
        <f>VLOOKUP($A14,Table1[#This Row],COLUMN(H13), FALSE)</f>
        <v>Bookcases</v>
      </c>
      <c r="I14">
        <f>VLOOKUP($A14,Table1[#This Row],COLUMN(I13), FALSE)</f>
        <v>1704</v>
      </c>
      <c r="J14">
        <f>VLOOKUP($A14,Table1[#This Row],COLUMN(J13), FALSE)</f>
        <v>4</v>
      </c>
      <c r="K14">
        <f>VLOOKUP($A14,Table1[#This Row],COLUMN(K13), FALSE)</f>
        <v>0</v>
      </c>
      <c r="L14">
        <f>VLOOKUP($A14,Table1[#This Row],COLUMN(L13), FALSE)</f>
        <v>119.28</v>
      </c>
      <c r="M14" t="str">
        <f>VLOOKUP($A14,Table1[#This Row],COLUMN(M13), FALSE)</f>
        <v>Critical</v>
      </c>
      <c r="N14" t="str">
        <f>VLOOKUP($A14,Table1[#This Row],COLUMN(N13), FALSE)</f>
        <v>Normal Order</v>
      </c>
      <c r="O14" t="str">
        <f>VLOOKUP($A14,Table1[#This Row],COLUMN(O13), FALSE)</f>
        <v>Evan Minnotte</v>
      </c>
      <c r="P14" t="str">
        <f>VLOOKUP($A14,Table1[#This Row],COLUMN(P13), FALSE)</f>
        <v>MX</v>
      </c>
      <c r="Q14" t="str">
        <f>VLOOKUP($A14,Table1[#This Row],COLUMN(Q13), FALSE)</f>
        <v>2015</v>
      </c>
      <c r="R14" t="str">
        <f>VLOOKUP($A14,Table1[#This Row],COLUMN(R13), FALSE)</f>
        <v>CRITICAL</v>
      </c>
      <c r="S14" t="str">
        <f>VLOOKUP($A14,Table1[#This Row],COLUMN(S13), FALSE)</f>
        <v>technology</v>
      </c>
      <c r="T14" t="str">
        <f>VLOOKUP($A14,Table1[#This Row],COLUMN(T13), FALSE)</f>
        <v>42328</v>
      </c>
      <c r="U14" t="str">
        <f>VLOOKUP($A14,Table1[#This Row],COLUMN(U13), FALSE)</f>
        <v>EM1420082</v>
      </c>
      <c r="V14" t="str">
        <f>VLOOKUP($A14,Table1[#This Row],COLUMN(V13), FALSE)</f>
        <v>MX</v>
      </c>
      <c r="W14">
        <f>VLOOKUP($A14,Table1[#This Row],COLUMN(W13), FALSE)</f>
        <v>2015</v>
      </c>
      <c r="X14" t="str">
        <f>VLOOKUP($A14,Table1[#This Row],COLUMN(X13), FALSE)</f>
        <v>EM1420082</v>
      </c>
      <c r="Y14">
        <f>VLOOKUP($A14,Table1[#This Row],COLUMN(Y13), FALSE)</f>
        <v>42328</v>
      </c>
      <c r="Z14" t="str">
        <f>VLOOKUP($A14,Table1[#This Row],COLUMN(Z13), FALSE)</f>
        <v>MX-2015-EM1420082-42328</v>
      </c>
      <c r="AA14">
        <f>VLOOKUP($A14,Table1[#This Row],COLUMN(AA13), FALSE)</f>
        <v>2015</v>
      </c>
      <c r="AB14">
        <f>VLOOKUP($A14,Table1[#This Row],COLUMN(AB13), FALSE)</f>
        <v>11</v>
      </c>
      <c r="AC14">
        <f>VLOOKUP($A14,Table1[#This Row],COLUMN(AC13), FALSE)</f>
        <v>6</v>
      </c>
      <c r="AD14">
        <f>VLOOKUP($A14,Table1[#This Row],COLUMN(AD13), FALSE)</f>
        <v>0</v>
      </c>
    </row>
    <row r="15" spans="1:30" ht="15.75">
      <c r="A15" s="54" t="s">
        <v>219</v>
      </c>
      <c r="B15" s="52">
        <f>VLOOKUP($A15,Table1[#This Row],COLUMN(B14), FALSE)</f>
        <v>42140</v>
      </c>
      <c r="C15" s="52">
        <f>VLOOKUP($A15,Table1[#This Row],COLUMN(C14), FALSE)</f>
        <v>42142</v>
      </c>
      <c r="D15" t="str">
        <f>VLOOKUP($A15,Table1[#This Row],COLUMN(D14), FALSE)</f>
        <v>John Huston</v>
      </c>
      <c r="E15" t="str">
        <f>VLOOKUP($A15,Table1[#This Row],COLUMN(E14), FALSE)</f>
        <v>Australia</v>
      </c>
      <c r="F15" t="str">
        <f>VLOOKUP($A15,Table1[#This Row],COLUMN(F14), FALSE)</f>
        <v>Oceania</v>
      </c>
      <c r="G15" t="str">
        <f>VLOOKUP($A15,Table1[#This Row],COLUMN(G14), FALSE)</f>
        <v>Technology</v>
      </c>
      <c r="H15" t="str">
        <f>VLOOKUP($A15,Table1[#This Row],COLUMN(H14), FALSE)</f>
        <v>Tables</v>
      </c>
      <c r="I15">
        <f>VLOOKUP($A15,Table1[#This Row],COLUMN(I14), FALSE)</f>
        <v>2863.35</v>
      </c>
      <c r="J15">
        <f>VLOOKUP($A15,Table1[#This Row],COLUMN(J14), FALSE)</f>
        <v>5</v>
      </c>
      <c r="K15">
        <f>VLOOKUP($A15,Table1[#This Row],COLUMN(K14), FALSE)</f>
        <v>0.1</v>
      </c>
      <c r="L15">
        <f>VLOOKUP($A15,Table1[#This Row],COLUMN(L14), FALSE)</f>
        <v>858.9</v>
      </c>
      <c r="M15" t="str">
        <f>VLOOKUP($A15,Table1[#This Row],COLUMN(M14), FALSE)</f>
        <v>Critiacl</v>
      </c>
      <c r="N15" t="str">
        <f>VLOOKUP($A15,Table1[#This Row],COLUMN(N14), FALSE)</f>
        <v>Normal Order</v>
      </c>
      <c r="O15" t="str">
        <f>VLOOKUP($A15,Table1[#This Row],COLUMN(O14), FALSE)</f>
        <v>John Huston</v>
      </c>
      <c r="P15" t="str">
        <f>VLOOKUP($A15,Table1[#This Row],COLUMN(P14), FALSE)</f>
        <v>IN</v>
      </c>
      <c r="Q15" t="str">
        <f>VLOOKUP($A15,Table1[#This Row],COLUMN(Q14), FALSE)</f>
        <v>2015</v>
      </c>
      <c r="R15" t="str">
        <f>VLOOKUP($A15,Table1[#This Row],COLUMN(R14), FALSE)</f>
        <v>CRITIACL</v>
      </c>
      <c r="S15" t="str">
        <f>VLOOKUP($A15,Table1[#This Row],COLUMN(S14), FALSE)</f>
        <v>technology</v>
      </c>
      <c r="T15" t="str">
        <f>VLOOKUP($A15,Table1[#This Row],COLUMN(T14), FALSE)</f>
        <v>42140</v>
      </c>
      <c r="U15" t="str">
        <f>VLOOKUP($A15,Table1[#This Row],COLUMN(U14), FALSE)</f>
        <v>JH158207</v>
      </c>
      <c r="V15" t="str">
        <f>VLOOKUP($A15,Table1[#This Row],COLUMN(V14), FALSE)</f>
        <v>IN</v>
      </c>
      <c r="W15">
        <f>VLOOKUP($A15,Table1[#This Row],COLUMN(W14), FALSE)</f>
        <v>2015</v>
      </c>
      <c r="X15" t="str">
        <f>VLOOKUP($A15,Table1[#This Row],COLUMN(X14), FALSE)</f>
        <v>JH158207</v>
      </c>
      <c r="Y15">
        <f>VLOOKUP($A15,Table1[#This Row],COLUMN(Y14), FALSE)</f>
        <v>42140</v>
      </c>
      <c r="Z15" t="str">
        <f>VLOOKUP($A15,Table1[#This Row],COLUMN(Z14), FALSE)</f>
        <v>IN-2015-JH158207-42140</v>
      </c>
      <c r="AA15">
        <f>VLOOKUP($A15,Table1[#This Row],COLUMN(AA14), FALSE)</f>
        <v>2015</v>
      </c>
      <c r="AB15">
        <f>VLOOKUP($A15,Table1[#This Row],COLUMN(AB14), FALSE)</f>
        <v>5</v>
      </c>
      <c r="AC15">
        <f>VLOOKUP($A15,Table1[#This Row],COLUMN(AC14), FALSE)</f>
        <v>7</v>
      </c>
      <c r="AD15">
        <f>VLOOKUP($A15,Table1[#This Row],COLUMN(AD14), FALSE)</f>
        <v>2</v>
      </c>
    </row>
    <row r="16" spans="1:30" ht="15.75">
      <c r="A16" s="53" t="s">
        <v>238</v>
      </c>
      <c r="B16" s="52">
        <f>VLOOKUP($A16,Table1[#This Row],COLUMN(B15), FALSE)</f>
        <v>41966</v>
      </c>
      <c r="C16" s="52">
        <f>VLOOKUP($A16,Table1[#This Row],COLUMN(C15), FALSE)</f>
        <v>41966</v>
      </c>
      <c r="D16" t="str">
        <f>VLOOKUP($A16,Table1[#This Row],COLUMN(D15), FALSE)</f>
        <v>Alejandro Ballentine</v>
      </c>
      <c r="E16" t="str">
        <f>VLOOKUP($A16,Table1[#This Row],COLUMN(E15), FALSE)</f>
        <v>Morocco</v>
      </c>
      <c r="F16" t="str">
        <f>VLOOKUP($A16,Table1[#This Row],COLUMN(F15), FALSE)</f>
        <v>North Africa</v>
      </c>
      <c r="G16" t="str">
        <f>VLOOKUP($A16,Table1[#This Row],COLUMN(G15), FALSE)</f>
        <v>Office Supplies</v>
      </c>
      <c r="H16" t="str">
        <f>VLOOKUP($A16,Table1[#This Row],COLUMN(H15), FALSE)</f>
        <v>Phones</v>
      </c>
      <c r="I16">
        <f>VLOOKUP($A16,Table1[#This Row],COLUMN(I15), FALSE)</f>
        <v>2266.44</v>
      </c>
      <c r="J16">
        <f>VLOOKUP($A16,Table1[#This Row],COLUMN(J15), FALSE)</f>
        <v>4</v>
      </c>
      <c r="K16">
        <f>VLOOKUP($A16,Table1[#This Row],COLUMN(K15), FALSE)</f>
        <v>0</v>
      </c>
      <c r="L16">
        <f>VLOOKUP($A16,Table1[#This Row],COLUMN(L15), FALSE)</f>
        <v>113.28</v>
      </c>
      <c r="M16" t="str">
        <f>VLOOKUP($A16,Table1[#This Row],COLUMN(M15), FALSE)</f>
        <v>Medium</v>
      </c>
      <c r="N16" t="str">
        <f>VLOOKUP($A16,Table1[#This Row],COLUMN(N15), FALSE)</f>
        <v>Normal Order</v>
      </c>
      <c r="O16" t="str">
        <f>VLOOKUP($A16,Table1[#This Row],COLUMN(O15), FALSE)</f>
        <v>Alejandro Ballentine</v>
      </c>
      <c r="P16" t="str">
        <f>VLOOKUP($A16,Table1[#This Row],COLUMN(P15), FALSE)</f>
        <v>MO</v>
      </c>
      <c r="Q16" t="str">
        <f>VLOOKUP($A16,Table1[#This Row],COLUMN(Q15), FALSE)</f>
        <v>2014</v>
      </c>
      <c r="R16" t="str">
        <f>VLOOKUP($A16,Table1[#This Row],COLUMN(R15), FALSE)</f>
        <v>MEDIUM</v>
      </c>
      <c r="S16" t="str">
        <f>VLOOKUP($A16,Table1[#This Row],COLUMN(S15), FALSE)</f>
        <v>office supplies</v>
      </c>
      <c r="T16" t="str">
        <f>VLOOKUP($A16,Table1[#This Row],COLUMN(T15), FALSE)</f>
        <v>41966</v>
      </c>
      <c r="U16" t="str">
        <f>VLOOKUP($A16,Table1[#This Row],COLUMN(U15), FALSE)</f>
        <v>AB25586</v>
      </c>
      <c r="V16" t="str">
        <f>VLOOKUP($A16,Table1[#This Row],COLUMN(V15), FALSE)</f>
        <v>MO</v>
      </c>
      <c r="W16">
        <f>VLOOKUP($A16,Table1[#This Row],COLUMN(W15), FALSE)</f>
        <v>2014</v>
      </c>
      <c r="X16" t="str">
        <f>VLOOKUP($A16,Table1[#This Row],COLUMN(X15), FALSE)</f>
        <v>AB25586</v>
      </c>
      <c r="Y16">
        <f>VLOOKUP($A16,Table1[#This Row],COLUMN(Y15), FALSE)</f>
        <v>41966</v>
      </c>
      <c r="Z16" t="str">
        <f>VLOOKUP($A16,Table1[#This Row],COLUMN(Z15), FALSE)</f>
        <v>MO-2014-AB25586-41966</v>
      </c>
      <c r="AA16">
        <f>VLOOKUP($A16,Table1[#This Row],COLUMN(AA15), FALSE)</f>
        <v>2014</v>
      </c>
      <c r="AB16">
        <f>VLOOKUP($A16,Table1[#This Row],COLUMN(AB15), FALSE)</f>
        <v>11</v>
      </c>
      <c r="AC16">
        <f>VLOOKUP($A16,Table1[#This Row],COLUMN(AC15), FALSE)</f>
        <v>1</v>
      </c>
      <c r="AD16">
        <f>VLOOKUP($A16,Table1[#This Row],COLUMN(AD15), FALSE)</f>
        <v>0</v>
      </c>
    </row>
    <row r="17" spans="1:30" ht="15.75">
      <c r="A17" s="54" t="s">
        <v>243</v>
      </c>
      <c r="B17" s="52">
        <f>VLOOKUP($A17,Table1[#This Row],COLUMN(B16), FALSE)</f>
        <v>41419</v>
      </c>
      <c r="C17" s="52">
        <f>VLOOKUP($A17,Table1[#This Row],COLUMN(C16), FALSE)</f>
        <v>41422</v>
      </c>
      <c r="D17" t="str">
        <f>VLOOKUP($A17,Table1[#This Row],COLUMN(D16), FALSE)</f>
        <v>Guy Phonely</v>
      </c>
      <c r="E17" t="str">
        <f>VLOOKUP($A17,Table1[#This Row],COLUMN(E16), FALSE)</f>
        <v>India</v>
      </c>
      <c r="F17" t="str">
        <f>VLOOKUP($A17,Table1[#This Row],COLUMN(F16), FALSE)</f>
        <v>Southern Asia</v>
      </c>
      <c r="G17" t="str">
        <f>VLOOKUP($A17,Table1[#This Row],COLUMN(G16), FALSE)</f>
        <v>Technology</v>
      </c>
      <c r="H17" t="str">
        <f>VLOOKUP($A17,Table1[#This Row],COLUMN(H16), FALSE)</f>
        <v>Bookcases</v>
      </c>
      <c r="I17">
        <f>VLOOKUP($A17,Table1[#This Row],COLUMN(I16), FALSE)</f>
        <v>1916.73</v>
      </c>
      <c r="J17">
        <f>VLOOKUP($A17,Table1[#This Row],COLUMN(J16), FALSE)</f>
        <v>3</v>
      </c>
      <c r="K17">
        <f>VLOOKUP($A17,Table1[#This Row],COLUMN(K16), FALSE)</f>
        <v>0</v>
      </c>
      <c r="L17">
        <f>VLOOKUP($A17,Table1[#This Row],COLUMN(L16), FALSE)</f>
        <v>498.32999999999902</v>
      </c>
      <c r="M17" t="str">
        <f>VLOOKUP($A17,Table1[#This Row],COLUMN(M16), FALSE)</f>
        <v>Critical</v>
      </c>
      <c r="N17" t="str">
        <f>VLOOKUP($A17,Table1[#This Row],COLUMN(N16), FALSE)</f>
        <v>Normal Order</v>
      </c>
      <c r="O17" t="str">
        <f>VLOOKUP($A17,Table1[#This Row],COLUMN(O16), FALSE)</f>
        <v>Guy Phonely</v>
      </c>
      <c r="P17" t="str">
        <f>VLOOKUP($A17,Table1[#This Row],COLUMN(P16), FALSE)</f>
        <v>IN</v>
      </c>
      <c r="Q17" t="str">
        <f>VLOOKUP($A17,Table1[#This Row],COLUMN(Q16), FALSE)</f>
        <v>2013</v>
      </c>
      <c r="R17" t="str">
        <f>VLOOKUP($A17,Table1[#This Row],COLUMN(R16), FALSE)</f>
        <v>CRITICAL</v>
      </c>
      <c r="S17" t="str">
        <f>VLOOKUP($A17,Table1[#This Row],COLUMN(S16), FALSE)</f>
        <v>technology</v>
      </c>
      <c r="T17" t="str">
        <f>VLOOKUP($A17,Table1[#This Row],COLUMN(T16), FALSE)</f>
        <v>41419</v>
      </c>
      <c r="U17" t="str">
        <f>VLOOKUP($A17,Table1[#This Row],COLUMN(U16), FALSE)</f>
        <v>GP1474085</v>
      </c>
      <c r="V17" t="str">
        <f>VLOOKUP($A17,Table1[#This Row],COLUMN(V16), FALSE)</f>
        <v>IN</v>
      </c>
      <c r="W17">
        <f>VLOOKUP($A17,Table1[#This Row],COLUMN(W16), FALSE)</f>
        <v>2013</v>
      </c>
      <c r="X17" t="str">
        <f>VLOOKUP($A17,Table1[#This Row],COLUMN(X16), FALSE)</f>
        <v>GP1474085</v>
      </c>
      <c r="Y17">
        <f>VLOOKUP($A17,Table1[#This Row],COLUMN(Y16), FALSE)</f>
        <v>41419</v>
      </c>
      <c r="Z17" t="str">
        <f>VLOOKUP($A17,Table1[#This Row],COLUMN(Z16), FALSE)</f>
        <v>IN-2013-GP1474085-41419</v>
      </c>
      <c r="AA17">
        <f>VLOOKUP($A17,Table1[#This Row],COLUMN(AA16), FALSE)</f>
        <v>2013</v>
      </c>
      <c r="AB17">
        <f>VLOOKUP($A17,Table1[#This Row],COLUMN(AB16), FALSE)</f>
        <v>5</v>
      </c>
      <c r="AC17">
        <f>VLOOKUP($A17,Table1[#This Row],COLUMN(AC16), FALSE)</f>
        <v>7</v>
      </c>
      <c r="AD17">
        <f>VLOOKUP($A17,Table1[#This Row],COLUMN(AD16), FALSE)</f>
        <v>3</v>
      </c>
    </row>
    <row r="18" spans="1:30" ht="15.75">
      <c r="A18" s="53" t="s">
        <v>244</v>
      </c>
      <c r="B18" s="52">
        <f>VLOOKUP($A18,Table1[#This Row],COLUMN(B17), FALSE)</f>
        <v>42281</v>
      </c>
      <c r="C18" s="52">
        <f>VLOOKUP($A18,Table1[#This Row],COLUMN(C17), FALSE)</f>
        <v>42286</v>
      </c>
      <c r="D18" t="str">
        <f>VLOOKUP($A18,Table1[#This Row],COLUMN(D17), FALSE)</f>
        <v>Aaron Smayling</v>
      </c>
      <c r="E18" t="str">
        <f>VLOOKUP($A18,Table1[#This Row],COLUMN(E17), FALSE)</f>
        <v>United States</v>
      </c>
      <c r="F18" t="str">
        <f>VLOOKUP($A18,Table1[#This Row],COLUMN(F17), FALSE)</f>
        <v>WESTERN US</v>
      </c>
      <c r="G18" t="str">
        <f>VLOOKUP($A18,Table1[#This Row],COLUMN(G17), FALSE)</f>
        <v>Furniture</v>
      </c>
      <c r="H18" t="str">
        <f>VLOOKUP($A18,Table1[#This Row],COLUMN(H17), FALSE)</f>
        <v>Copiers</v>
      </c>
      <c r="I18">
        <f>VLOOKUP($A18,Table1[#This Row],COLUMN(I17), FALSE)</f>
        <v>171.28800000000001</v>
      </c>
      <c r="J18">
        <f>VLOOKUP($A18,Table1[#This Row],COLUMN(J17), FALSE)</f>
        <v>3</v>
      </c>
      <c r="K18">
        <f>VLOOKUP($A18,Table1[#This Row],COLUMN(K17), FALSE)</f>
        <v>1.4339994914666701</v>
      </c>
      <c r="L18">
        <f>VLOOKUP($A18,Table1[#This Row],COLUMN(L17), FALSE)</f>
        <v>-6.4233000000000198</v>
      </c>
      <c r="M18" t="str">
        <f>VLOOKUP($A18,Table1[#This Row],COLUMN(M17), FALSE)</f>
        <v>Medium</v>
      </c>
      <c r="N18" t="str">
        <f>VLOOKUP($A18,Table1[#This Row],COLUMN(N17), FALSE)</f>
        <v>Normal Order</v>
      </c>
      <c r="O18" t="str">
        <f>VLOOKUP($A18,Table1[#This Row],COLUMN(O17), FALSE)</f>
        <v>Aaron Smayling</v>
      </c>
      <c r="P18" t="str">
        <f>VLOOKUP($A18,Table1[#This Row],COLUMN(P17), FALSE)</f>
        <v>CA</v>
      </c>
      <c r="Q18" t="str">
        <f>VLOOKUP($A18,Table1[#This Row],COLUMN(Q17), FALSE)</f>
        <v>2015</v>
      </c>
      <c r="R18" t="str">
        <f>VLOOKUP($A18,Table1[#This Row],COLUMN(R17), FALSE)</f>
        <v>MEDIUM</v>
      </c>
      <c r="S18" t="str">
        <f>VLOOKUP($A18,Table1[#This Row],COLUMN(S17), FALSE)</f>
        <v>furniture</v>
      </c>
      <c r="T18" t="str">
        <f>VLOOKUP($A18,Table1[#This Row],COLUMN(T17), FALSE)</f>
        <v>42281</v>
      </c>
      <c r="U18" t="str">
        <f>VLOOKUP($A18,Table1[#This Row],COLUMN(U17), FALSE)</f>
        <v>AS10045140</v>
      </c>
      <c r="V18" t="str">
        <f>VLOOKUP($A18,Table1[#This Row],COLUMN(V17), FALSE)</f>
        <v>CA</v>
      </c>
      <c r="W18">
        <f>VLOOKUP($A18,Table1[#This Row],COLUMN(W17), FALSE)</f>
        <v>2015</v>
      </c>
      <c r="X18" t="str">
        <f>VLOOKUP($A18,Table1[#This Row],COLUMN(X17), FALSE)</f>
        <v>AS10045140</v>
      </c>
      <c r="Y18">
        <f>VLOOKUP($A18,Table1[#This Row],COLUMN(Y17), FALSE)</f>
        <v>42281</v>
      </c>
      <c r="Z18" t="str">
        <f>VLOOKUP($A18,Table1[#This Row],COLUMN(Z17), FALSE)</f>
        <v>CA-2015-AS10045140-42281</v>
      </c>
      <c r="AA18">
        <f>VLOOKUP($A18,Table1[#This Row],COLUMN(AA17), FALSE)</f>
        <v>2015</v>
      </c>
      <c r="AB18">
        <f>VLOOKUP($A18,Table1[#This Row],COLUMN(AB17), FALSE)</f>
        <v>10</v>
      </c>
      <c r="AC18">
        <f>VLOOKUP($A18,Table1[#This Row],COLUMN(AC17), FALSE)</f>
        <v>1</v>
      </c>
      <c r="AD18">
        <f>VLOOKUP($A18,Table1[#This Row],COLUMN(AD17), FALSE)</f>
        <v>5</v>
      </c>
    </row>
    <row r="19" spans="1:30" ht="15.75">
      <c r="A19" s="54" t="s">
        <v>288</v>
      </c>
      <c r="B19" s="52">
        <f>VLOOKUP($A19,Table1[#This Row],COLUMN(B18), FALSE)</f>
        <v>41747</v>
      </c>
      <c r="C19" s="52">
        <f>VLOOKUP($A19,Table1[#This Row],COLUMN(C18), FALSE)</f>
        <v>41748</v>
      </c>
      <c r="D19" t="str">
        <f>VLOOKUP($A19,Table1[#This Row],COLUMN(D18), FALSE)</f>
        <v>Lena Creighton</v>
      </c>
      <c r="E19" t="str">
        <f>VLOOKUP($A19,Table1[#This Row],COLUMN(E18), FALSE)</f>
        <v>Australia</v>
      </c>
      <c r="F19" t="str">
        <f>VLOOKUP($A19,Table1[#This Row],COLUMN(F18), FALSE)</f>
        <v>Oceania</v>
      </c>
      <c r="G19" t="str">
        <f>VLOOKUP($A19,Table1[#This Row],COLUMN(G18), FALSE)</f>
        <v>Technology</v>
      </c>
      <c r="H19" t="str">
        <f>VLOOKUP($A19,Table1[#This Row],COLUMN(H18), FALSE)</f>
        <v>Phones</v>
      </c>
      <c r="I19">
        <f>VLOOKUP($A19,Table1[#This Row],COLUMN(I18), FALSE)</f>
        <v>1601.64</v>
      </c>
      <c r="J19">
        <f>VLOOKUP($A19,Table1[#This Row],COLUMN(J18), FALSE)</f>
        <v>5</v>
      </c>
      <c r="K19">
        <f>VLOOKUP($A19,Table1[#This Row],COLUMN(K18), FALSE)</f>
        <v>0.1</v>
      </c>
      <c r="L19">
        <f>VLOOKUP($A19,Table1[#This Row],COLUMN(L18), FALSE)</f>
        <v>587.18999999999903</v>
      </c>
      <c r="M19" t="str">
        <f>VLOOKUP($A19,Table1[#This Row],COLUMN(M18), FALSE)</f>
        <v>Critical</v>
      </c>
      <c r="N19" t="str">
        <f>VLOOKUP($A19,Table1[#This Row],COLUMN(N18), FALSE)</f>
        <v>Normal Order</v>
      </c>
      <c r="O19" t="str">
        <f>VLOOKUP($A19,Table1[#This Row],COLUMN(O18), FALSE)</f>
        <v>Lena Creighton</v>
      </c>
      <c r="P19" t="str">
        <f>VLOOKUP($A19,Table1[#This Row],COLUMN(P18), FALSE)</f>
        <v>IN</v>
      </c>
      <c r="Q19" t="str">
        <f>VLOOKUP($A19,Table1[#This Row],COLUMN(Q18), FALSE)</f>
        <v>2014</v>
      </c>
      <c r="R19" t="str">
        <f>VLOOKUP($A19,Table1[#This Row],COLUMN(R18), FALSE)</f>
        <v>CRITICAL</v>
      </c>
      <c r="S19" t="str">
        <f>VLOOKUP($A19,Table1[#This Row],COLUMN(S18), FALSE)</f>
        <v>technology</v>
      </c>
      <c r="T19" t="str">
        <f>VLOOKUP($A19,Table1[#This Row],COLUMN(T18), FALSE)</f>
        <v>41747</v>
      </c>
      <c r="U19" t="str">
        <f>VLOOKUP($A19,Table1[#This Row],COLUMN(U18), FALSE)</f>
        <v>LC168857</v>
      </c>
      <c r="V19" t="str">
        <f>VLOOKUP($A19,Table1[#This Row],COLUMN(V18), FALSE)</f>
        <v>IN</v>
      </c>
      <c r="W19">
        <f>VLOOKUP($A19,Table1[#This Row],COLUMN(W18), FALSE)</f>
        <v>2014</v>
      </c>
      <c r="X19" t="str">
        <f>VLOOKUP($A19,Table1[#This Row],COLUMN(X18), FALSE)</f>
        <v>LC168857</v>
      </c>
      <c r="Y19">
        <f>VLOOKUP($A19,Table1[#This Row],COLUMN(Y18), FALSE)</f>
        <v>41747</v>
      </c>
      <c r="Z19" t="str">
        <f>VLOOKUP($A19,Table1[#This Row],COLUMN(Z18), FALSE)</f>
        <v>IN-2014-LC168857-41747</v>
      </c>
      <c r="AA19">
        <f>VLOOKUP($A19,Table1[#This Row],COLUMN(AA18), FALSE)</f>
        <v>2014</v>
      </c>
      <c r="AB19">
        <f>VLOOKUP($A19,Table1[#This Row],COLUMN(AB18), FALSE)</f>
        <v>4</v>
      </c>
      <c r="AC19">
        <f>VLOOKUP($A19,Table1[#This Row],COLUMN(AC18), FALSE)</f>
        <v>6</v>
      </c>
      <c r="AD19">
        <f>VLOOKUP($A19,Table1[#This Row],COLUMN(AD18), FALSE)</f>
        <v>1</v>
      </c>
    </row>
    <row r="20" spans="1:30" ht="15.75">
      <c r="A20" s="53" t="s">
        <v>193</v>
      </c>
      <c r="B20" s="52">
        <f>VLOOKUP($A20,Table1[#This Row],COLUMN(B19), FALSE)</f>
        <v>42007</v>
      </c>
      <c r="C20" s="52">
        <f>VLOOKUP($A20,Table1[#This Row],COLUMN(C19), FALSE)</f>
        <v>42009</v>
      </c>
      <c r="D20" t="str">
        <f>VLOOKUP($A20,Table1[#This Row],COLUMN(D19), FALSE)</f>
        <v>Aaron Smayling</v>
      </c>
      <c r="E20" t="str">
        <f>VLOOKUP($A20,Table1[#This Row],COLUMN(E19), FALSE)</f>
        <v>United States</v>
      </c>
      <c r="F20" t="str">
        <f>VLOOKUP($A20,Table1[#This Row],COLUMN(F19), FALSE)</f>
        <v>Southern US</v>
      </c>
      <c r="G20" t="str">
        <f>VLOOKUP($A20,Table1[#This Row],COLUMN(G19), FALSE)</f>
        <v>Office Supplies</v>
      </c>
      <c r="H20" t="str">
        <f>VLOOKUP($A20,Table1[#This Row],COLUMN(H19), FALSE)</f>
        <v>Machines</v>
      </c>
      <c r="I20">
        <f>VLOOKUP($A20,Table1[#This Row],COLUMN(I19), FALSE)</f>
        <v>15.66</v>
      </c>
      <c r="J20">
        <f>VLOOKUP($A20,Table1[#This Row],COLUMN(J19), FALSE)</f>
        <v>5</v>
      </c>
      <c r="K20">
        <f>VLOOKUP($A20,Table1[#This Row],COLUMN(K19), FALSE)</f>
        <v>0.7</v>
      </c>
      <c r="L20">
        <f>VLOOKUP($A20,Table1[#This Row],COLUMN(L19), FALSE)</f>
        <v>-12.527999999999899</v>
      </c>
      <c r="M20" t="str">
        <f>VLOOKUP($A20,Table1[#This Row],COLUMN(M19), FALSE)</f>
        <v>High</v>
      </c>
      <c r="N20" t="str">
        <f>VLOOKUP($A20,Table1[#This Row],COLUMN(N19), FALSE)</f>
        <v>Normal Order</v>
      </c>
      <c r="O20" t="str">
        <f>VLOOKUP($A20,Table1[#This Row],COLUMN(O19), FALSE)</f>
        <v>Aaron Smayling</v>
      </c>
      <c r="P20" t="str">
        <f>VLOOKUP($A20,Table1[#This Row],COLUMN(P19), FALSE)</f>
        <v>CA</v>
      </c>
      <c r="Q20" t="str">
        <f>VLOOKUP($A20,Table1[#This Row],COLUMN(Q19), FALSE)</f>
        <v>2015</v>
      </c>
      <c r="R20" t="str">
        <f>VLOOKUP($A20,Table1[#This Row],COLUMN(R19), FALSE)</f>
        <v>HIGH</v>
      </c>
      <c r="S20" t="str">
        <f>VLOOKUP($A20,Table1[#This Row],COLUMN(S19), FALSE)</f>
        <v>office supplies</v>
      </c>
      <c r="T20" t="str">
        <f>VLOOKUP($A20,Table1[#This Row],COLUMN(T19), FALSE)</f>
        <v>42007</v>
      </c>
      <c r="U20" t="str">
        <f>VLOOKUP($A20,Table1[#This Row],COLUMN(U19), FALSE)</f>
        <v>AS10045140</v>
      </c>
      <c r="V20" t="str">
        <f>VLOOKUP($A20,Table1[#This Row],COLUMN(V19), FALSE)</f>
        <v>CA</v>
      </c>
      <c r="W20">
        <f>VLOOKUP($A20,Table1[#This Row],COLUMN(W19), FALSE)</f>
        <v>2015</v>
      </c>
      <c r="X20" t="str">
        <f>VLOOKUP($A20,Table1[#This Row],COLUMN(X19), FALSE)</f>
        <v>AS10045140</v>
      </c>
      <c r="Y20">
        <f>VLOOKUP($A20,Table1[#This Row],COLUMN(Y19), FALSE)</f>
        <v>42007</v>
      </c>
      <c r="Z20" t="str">
        <f>VLOOKUP($A20,Table1[#This Row],COLUMN(Z19), FALSE)</f>
        <v>CA-2015-AS10045140-42007</v>
      </c>
      <c r="AA20">
        <f>VLOOKUP($A20,Table1[#This Row],COLUMN(AA19), FALSE)</f>
        <v>2015</v>
      </c>
      <c r="AB20">
        <f>VLOOKUP($A20,Table1[#This Row],COLUMN(AB19), FALSE)</f>
        <v>1</v>
      </c>
      <c r="AC20">
        <f>VLOOKUP($A20,Table1[#This Row],COLUMN(AC19), FALSE)</f>
        <v>7</v>
      </c>
      <c r="AD20">
        <f>VLOOKUP($A20,Table1[#This Row],COLUMN(AD19), FALSE)</f>
        <v>2</v>
      </c>
    </row>
    <row r="21" spans="1:30" ht="15.75">
      <c r="A21" s="54" t="s">
        <v>297</v>
      </c>
      <c r="B21" s="52">
        <f>VLOOKUP($A21,Table1[#This Row],COLUMN(B20), FALSE)</f>
        <v>41790</v>
      </c>
      <c r="C21" s="52">
        <f>VLOOKUP($A21,Table1[#This Row],COLUMN(C20), FALSE)</f>
        <v>41792</v>
      </c>
      <c r="D21" t="str">
        <f>VLOOKUP($A21,Table1[#This Row],COLUMN(D20), FALSE)</f>
        <v>Vivek Sundaresam</v>
      </c>
      <c r="E21" t="str">
        <f>VLOOKUP($A21,Table1[#This Row],COLUMN(E20), FALSE)</f>
        <v>China</v>
      </c>
      <c r="F21" t="str">
        <f>VLOOKUP($A21,Table1[#This Row],COLUMN(F20), FALSE)</f>
        <v>Eastern Asia</v>
      </c>
      <c r="G21" t="str">
        <f>VLOOKUP($A21,Table1[#This Row],COLUMN(G20), FALSE)</f>
        <v>Furniture</v>
      </c>
      <c r="H21" t="str">
        <f>VLOOKUP($A21,Table1[#This Row],COLUMN(H20), FALSE)</f>
        <v>Storage</v>
      </c>
      <c r="I21">
        <f>VLOOKUP($A21,Table1[#This Row],COLUMN(I20), FALSE)</f>
        <v>1455.12</v>
      </c>
      <c r="J21">
        <f>VLOOKUP($A21,Table1[#This Row],COLUMN(J20), FALSE)</f>
        <v>4</v>
      </c>
      <c r="K21">
        <f>VLOOKUP($A21,Table1[#This Row],COLUMN(K20), FALSE)</f>
        <v>0</v>
      </c>
      <c r="L21">
        <f>VLOOKUP($A21,Table1[#This Row],COLUMN(L20), FALSE)</f>
        <v>116.399999999999</v>
      </c>
      <c r="M21" t="str">
        <f>VLOOKUP($A21,Table1[#This Row],COLUMN(M20), FALSE)</f>
        <v>Critical</v>
      </c>
      <c r="N21" t="str">
        <f>VLOOKUP($A21,Table1[#This Row],COLUMN(N20), FALSE)</f>
        <v>Normal Order</v>
      </c>
      <c r="O21" t="str">
        <f>VLOOKUP($A21,Table1[#This Row],COLUMN(O20), FALSE)</f>
        <v>Vivek Sundaresam</v>
      </c>
      <c r="P21" t="str">
        <f>VLOOKUP($A21,Table1[#This Row],COLUMN(P20), FALSE)</f>
        <v>IN</v>
      </c>
      <c r="Q21" t="str">
        <f>VLOOKUP($A21,Table1[#This Row],COLUMN(Q20), FALSE)</f>
        <v>2014</v>
      </c>
      <c r="R21" t="str">
        <f>VLOOKUP($A21,Table1[#This Row],COLUMN(R20), FALSE)</f>
        <v>CRITICAL</v>
      </c>
      <c r="S21" t="str">
        <f>VLOOKUP($A21,Table1[#This Row],COLUMN(S20), FALSE)</f>
        <v>furniture</v>
      </c>
      <c r="T21" t="str">
        <f>VLOOKUP($A21,Table1[#This Row],COLUMN(T20), FALSE)</f>
        <v>41790</v>
      </c>
      <c r="U21" t="str">
        <f>VLOOKUP($A21,Table1[#This Row],COLUMN(U20), FALSE)</f>
        <v>VS2182027</v>
      </c>
      <c r="V21" t="str">
        <f>VLOOKUP($A21,Table1[#This Row],COLUMN(V20), FALSE)</f>
        <v>IN</v>
      </c>
      <c r="W21">
        <f>VLOOKUP($A21,Table1[#This Row],COLUMN(W20), FALSE)</f>
        <v>2014</v>
      </c>
      <c r="X21" t="str">
        <f>VLOOKUP($A21,Table1[#This Row],COLUMN(X20), FALSE)</f>
        <v>VS2182027</v>
      </c>
      <c r="Y21">
        <f>VLOOKUP($A21,Table1[#This Row],COLUMN(Y20), FALSE)</f>
        <v>41790</v>
      </c>
      <c r="Z21" t="str">
        <f>VLOOKUP($A21,Table1[#This Row],COLUMN(Z20), FALSE)</f>
        <v>IN-2014-VS2182027-41790</v>
      </c>
      <c r="AA21">
        <f>VLOOKUP($A21,Table1[#This Row],COLUMN(AA20), FALSE)</f>
        <v>2014</v>
      </c>
      <c r="AB21">
        <f>VLOOKUP($A21,Table1[#This Row],COLUMN(AB20), FALSE)</f>
        <v>5</v>
      </c>
      <c r="AC21">
        <f>VLOOKUP($A21,Table1[#This Row],COLUMN(AC20), FALSE)</f>
        <v>7</v>
      </c>
      <c r="AD21">
        <f>VLOOKUP($A21,Table1[#This Row],COLUMN(AD20), FALSE)</f>
        <v>2</v>
      </c>
    </row>
    <row r="22" spans="1:30" ht="15.75">
      <c r="A22" s="53" t="s">
        <v>304</v>
      </c>
      <c r="B22" s="52">
        <f>VLOOKUP($A22,Table1[#This Row],COLUMN(B21), FALSE)</f>
        <v>41884</v>
      </c>
      <c r="C22" s="52">
        <f>VLOOKUP($A22,Table1[#This Row],COLUMN(C21), FALSE)</f>
        <v>41886</v>
      </c>
      <c r="D22" t="str">
        <f>VLOOKUP($A22,Table1[#This Row],COLUMN(D21), FALSE)</f>
        <v>Adam Bellavance</v>
      </c>
      <c r="E22" t="str">
        <f>VLOOKUP($A22,Table1[#This Row],COLUMN(E21), FALSE)</f>
        <v>United States</v>
      </c>
      <c r="F22" t="str">
        <f>VLOOKUP($A22,Table1[#This Row],COLUMN(F21), FALSE)</f>
        <v>Eastern US</v>
      </c>
      <c r="G22" t="str">
        <f>VLOOKUP($A22,Table1[#This Row],COLUMN(G21), FALSE)</f>
        <v>Office Supplies</v>
      </c>
      <c r="H22" t="str">
        <f>VLOOKUP($A22,Table1[#This Row],COLUMN(H21), FALSE)</f>
        <v>Copiers</v>
      </c>
      <c r="I22" t="str">
        <f>VLOOKUP($A22,Table1[#This Row],COLUMN(I21), FALSE)</f>
        <v>missing</v>
      </c>
      <c r="J22">
        <f>VLOOKUP($A22,Table1[#This Row],COLUMN(J21), FALSE)</f>
        <v>4</v>
      </c>
      <c r="K22">
        <f>VLOOKUP($A22,Table1[#This Row],COLUMN(K21), FALSE)</f>
        <v>0.2</v>
      </c>
      <c r="L22">
        <f>VLOOKUP($A22,Table1[#This Row],COLUMN(L21), FALSE)</f>
        <v>1415.4295999999899</v>
      </c>
      <c r="M22" t="str">
        <f>VLOOKUP($A22,Table1[#This Row],COLUMN(M21), FALSE)</f>
        <v>Critical</v>
      </c>
      <c r="N22" t="str">
        <f>VLOOKUP($A22,Table1[#This Row],COLUMN(N21), FALSE)</f>
        <v>Normal Order</v>
      </c>
      <c r="O22" t="str">
        <f>VLOOKUP($A22,Table1[#This Row],COLUMN(O21), FALSE)</f>
        <v>Adam Bellavance</v>
      </c>
      <c r="P22" t="str">
        <f>VLOOKUP($A22,Table1[#This Row],COLUMN(P21), FALSE)</f>
        <v>CA</v>
      </c>
      <c r="Q22" t="str">
        <f>VLOOKUP($A22,Table1[#This Row],COLUMN(Q21), FALSE)</f>
        <v>2014</v>
      </c>
      <c r="R22" t="str">
        <f>VLOOKUP($A22,Table1[#This Row],COLUMN(R21), FALSE)</f>
        <v>CRITICAL</v>
      </c>
      <c r="S22" t="str">
        <f>VLOOKUP($A22,Table1[#This Row],COLUMN(S21), FALSE)</f>
        <v>office supplies</v>
      </c>
      <c r="T22" t="str">
        <f>VLOOKUP($A22,Table1[#This Row],COLUMN(T21), FALSE)</f>
        <v>41884</v>
      </c>
      <c r="U22" t="str">
        <f>VLOOKUP($A22,Table1[#This Row],COLUMN(U21), FALSE)</f>
        <v>AB10060140</v>
      </c>
      <c r="V22" t="str">
        <f>VLOOKUP($A22,Table1[#This Row],COLUMN(V21), FALSE)</f>
        <v>CA</v>
      </c>
      <c r="W22">
        <f>VLOOKUP($A22,Table1[#This Row],COLUMN(W21), FALSE)</f>
        <v>2014</v>
      </c>
      <c r="X22" t="str">
        <f>VLOOKUP($A22,Table1[#This Row],COLUMN(X21), FALSE)</f>
        <v>AB10060140</v>
      </c>
      <c r="Y22">
        <f>VLOOKUP($A22,Table1[#This Row],COLUMN(Y21), FALSE)</f>
        <v>41884</v>
      </c>
      <c r="Z22" t="str">
        <f>VLOOKUP($A22,Table1[#This Row],COLUMN(Z21), FALSE)</f>
        <v>CA-2014-AB10060140-41884</v>
      </c>
      <c r="AA22">
        <f>VLOOKUP($A22,Table1[#This Row],COLUMN(AA21), FALSE)</f>
        <v>2014</v>
      </c>
      <c r="AB22">
        <f>VLOOKUP($A22,Table1[#This Row],COLUMN(AB21), FALSE)</f>
        <v>9</v>
      </c>
      <c r="AC22">
        <f>VLOOKUP($A22,Table1[#This Row],COLUMN(AC21), FALSE)</f>
        <v>3</v>
      </c>
      <c r="AD22">
        <f>VLOOKUP($A22,Table1[#This Row],COLUMN(AD21), FALSE)</f>
        <v>2</v>
      </c>
    </row>
    <row r="23" spans="1:30" ht="15.75">
      <c r="A23" s="54" t="s">
        <v>305</v>
      </c>
      <c r="B23" s="52">
        <f>VLOOKUP($A23,Table1[#This Row],COLUMN(B22), FALSE)</f>
        <v>41984</v>
      </c>
      <c r="C23" s="52">
        <f>VLOOKUP($A23,Table1[#This Row],COLUMN(C22), FALSE)</f>
        <v>41987</v>
      </c>
      <c r="D23" t="str">
        <f>VLOOKUP($A23,Table1[#This Row],COLUMN(D22), FALSE)</f>
        <v>Jason Klamczynski</v>
      </c>
      <c r="E23" t="str">
        <f>VLOOKUP($A23,Table1[#This Row],COLUMN(E22), FALSE)</f>
        <v>Australia</v>
      </c>
      <c r="F23" t="str">
        <f>VLOOKUP($A23,Table1[#This Row],COLUMN(F22), FALSE)</f>
        <v>Oceania</v>
      </c>
      <c r="G23" t="str">
        <f>VLOOKUP($A23,Table1[#This Row],COLUMN(G22), FALSE)</f>
        <v>Technology</v>
      </c>
      <c r="H23" t="str">
        <f>VLOOKUP($A23,Table1[#This Row],COLUMN(H22), FALSE)</f>
        <v>Machines</v>
      </c>
      <c r="I23">
        <f>VLOOKUP($A23,Table1[#This Row],COLUMN(I22), FALSE)</f>
        <v>1695.87</v>
      </c>
      <c r="J23">
        <f>VLOOKUP($A23,Table1[#This Row],COLUMN(J22), FALSE)</f>
        <v>5</v>
      </c>
      <c r="K23">
        <f>VLOOKUP($A23,Table1[#This Row],COLUMN(K22), FALSE)</f>
        <v>0.1</v>
      </c>
      <c r="L23">
        <f>VLOOKUP($A23,Table1[#This Row],COLUMN(L22), FALSE)</f>
        <v>-37.83</v>
      </c>
      <c r="M23" t="str">
        <f>VLOOKUP($A23,Table1[#This Row],COLUMN(M22), FALSE)</f>
        <v>Critical</v>
      </c>
      <c r="N23" t="str">
        <f>VLOOKUP($A23,Table1[#This Row],COLUMN(N22), FALSE)</f>
        <v>Normal Order</v>
      </c>
      <c r="O23" t="str">
        <f>VLOOKUP($A23,Table1[#This Row],COLUMN(O22), FALSE)</f>
        <v>Jason Klamczynski</v>
      </c>
      <c r="P23" t="str">
        <f>VLOOKUP($A23,Table1[#This Row],COLUMN(P22), FALSE)</f>
        <v>ID</v>
      </c>
      <c r="Q23" t="str">
        <f>VLOOKUP($A23,Table1[#This Row],COLUMN(Q22), FALSE)</f>
        <v>2014</v>
      </c>
      <c r="R23" t="str">
        <f>VLOOKUP($A23,Table1[#This Row],COLUMN(R22), FALSE)</f>
        <v>CRITICAL</v>
      </c>
      <c r="S23" t="str">
        <f>VLOOKUP($A23,Table1[#This Row],COLUMN(S22), FALSE)</f>
        <v>technology</v>
      </c>
      <c r="T23" t="str">
        <f>VLOOKUP($A23,Table1[#This Row],COLUMN(T22), FALSE)</f>
        <v>41984</v>
      </c>
      <c r="U23" t="str">
        <f>VLOOKUP($A23,Table1[#This Row],COLUMN(U22), FALSE)</f>
        <v>JK153257</v>
      </c>
      <c r="V23" t="str">
        <f>VLOOKUP($A23,Table1[#This Row],COLUMN(V22), FALSE)</f>
        <v>ID</v>
      </c>
      <c r="W23">
        <f>VLOOKUP($A23,Table1[#This Row],COLUMN(W22), FALSE)</f>
        <v>2014</v>
      </c>
      <c r="X23" t="str">
        <f>VLOOKUP($A23,Table1[#This Row],COLUMN(X22), FALSE)</f>
        <v>JK153257</v>
      </c>
      <c r="Y23">
        <f>VLOOKUP($A23,Table1[#This Row],COLUMN(Y22), FALSE)</f>
        <v>41984</v>
      </c>
      <c r="Z23" t="str">
        <f>VLOOKUP($A23,Table1[#This Row],COLUMN(Z22), FALSE)</f>
        <v>ID-2014-JK153257-41984</v>
      </c>
      <c r="AA23">
        <f>VLOOKUP($A23,Table1[#This Row],COLUMN(AA22), FALSE)</f>
        <v>2014</v>
      </c>
      <c r="AB23">
        <f>VLOOKUP($A23,Table1[#This Row],COLUMN(AB22), FALSE)</f>
        <v>12</v>
      </c>
      <c r="AC23">
        <f>VLOOKUP($A23,Table1[#This Row],COLUMN(AC22), FALSE)</f>
        <v>5</v>
      </c>
      <c r="AD23">
        <f>VLOOKUP($A23,Table1[#This Row],COLUMN(AD22), FALSE)</f>
        <v>3</v>
      </c>
    </row>
    <row r="24" spans="1:30" ht="15.75">
      <c r="A24" s="53" t="s">
        <v>308</v>
      </c>
      <c r="B24" s="52">
        <f>VLOOKUP($A24,Table1[#This Row],COLUMN(B23), FALSE)</f>
        <v>42357</v>
      </c>
      <c r="C24" s="52">
        <f>VLOOKUP($A24,Table1[#This Row],COLUMN(C23), FALSE)</f>
        <v>42358</v>
      </c>
      <c r="D24" t="str">
        <f>VLOOKUP($A24,Table1[#This Row],COLUMN(D23), FALSE)</f>
        <v>Don Weiss</v>
      </c>
      <c r="E24" t="str">
        <f>VLOOKUP($A24,Table1[#This Row],COLUMN(E23), FALSE)</f>
        <v>malaysia</v>
      </c>
      <c r="F24" t="str">
        <f>VLOOKUP($A24,Table1[#This Row],COLUMN(F23), FALSE)</f>
        <v>Southeastern Asia</v>
      </c>
      <c r="G24" t="str">
        <f>VLOOKUP($A24,Table1[#This Row],COLUMN(G23), FALSE)</f>
        <v>Technology</v>
      </c>
      <c r="H24" t="str">
        <f>VLOOKUP($A24,Table1[#This Row],COLUMN(H23), FALSE)</f>
        <v>Copiers</v>
      </c>
      <c r="I24">
        <f>VLOOKUP($A24,Table1[#This Row],COLUMN(I23), FALSE)</f>
        <v>1954.17</v>
      </c>
      <c r="J24">
        <f>VLOOKUP($A24,Table1[#This Row],COLUMN(J23), FALSE)</f>
        <v>3</v>
      </c>
      <c r="K24">
        <f>VLOOKUP($A24,Table1[#This Row],COLUMN(K23), FALSE)</f>
        <v>0</v>
      </c>
      <c r="L24">
        <f>VLOOKUP($A24,Table1[#This Row],COLUMN(L23), FALSE)</f>
        <v>312.659999999999</v>
      </c>
      <c r="M24" t="str">
        <f>VLOOKUP($A24,Table1[#This Row],COLUMN(M23), FALSE)</f>
        <v>Critical</v>
      </c>
      <c r="N24" t="str">
        <f>VLOOKUP($A24,Table1[#This Row],COLUMN(N23), FALSE)</f>
        <v>Normal Order</v>
      </c>
      <c r="O24" t="str">
        <f>VLOOKUP($A24,Table1[#This Row],COLUMN(O23), FALSE)</f>
        <v>Don Weiss</v>
      </c>
      <c r="P24" t="str">
        <f>VLOOKUP($A24,Table1[#This Row],COLUMN(P23), FALSE)</f>
        <v>IN</v>
      </c>
      <c r="Q24" t="str">
        <f>VLOOKUP($A24,Table1[#This Row],COLUMN(Q23), FALSE)</f>
        <v>2015</v>
      </c>
      <c r="R24" t="str">
        <f>VLOOKUP($A24,Table1[#This Row],COLUMN(R23), FALSE)</f>
        <v>CRITICAL</v>
      </c>
      <c r="S24" t="str">
        <f>VLOOKUP($A24,Table1[#This Row],COLUMN(S23), FALSE)</f>
        <v>technology</v>
      </c>
      <c r="T24" t="str">
        <f>VLOOKUP($A24,Table1[#This Row],COLUMN(T23), FALSE)</f>
        <v>42357</v>
      </c>
      <c r="U24" t="str">
        <f>VLOOKUP($A24,Table1[#This Row],COLUMN(U23), FALSE)</f>
        <v>DW1354078</v>
      </c>
      <c r="V24" t="str">
        <f>VLOOKUP($A24,Table1[#This Row],COLUMN(V23), FALSE)</f>
        <v>IN</v>
      </c>
      <c r="W24">
        <f>VLOOKUP($A24,Table1[#This Row],COLUMN(W23), FALSE)</f>
        <v>2015</v>
      </c>
      <c r="X24" t="str">
        <f>VLOOKUP($A24,Table1[#This Row],COLUMN(X23), FALSE)</f>
        <v>DW1354078</v>
      </c>
      <c r="Y24">
        <f>VLOOKUP($A24,Table1[#This Row],COLUMN(Y23), FALSE)</f>
        <v>42357</v>
      </c>
      <c r="Z24" t="str">
        <f>VLOOKUP($A24,Table1[#This Row],COLUMN(Z23), FALSE)</f>
        <v>IN-2015-DW1354078-42357</v>
      </c>
      <c r="AA24">
        <f>VLOOKUP($A24,Table1[#This Row],COLUMN(AA23), FALSE)</f>
        <v>2015</v>
      </c>
      <c r="AB24">
        <f>VLOOKUP($A24,Table1[#This Row],COLUMN(AB23), FALSE)</f>
        <v>12</v>
      </c>
      <c r="AC24">
        <f>VLOOKUP($A24,Table1[#This Row],COLUMN(AC23), FALSE)</f>
        <v>7</v>
      </c>
      <c r="AD24">
        <f>VLOOKUP($A24,Table1[#This Row],COLUMN(AD23), FALSE)</f>
        <v>1</v>
      </c>
    </row>
    <row r="25" spans="1:30" ht="15.75">
      <c r="A25" s="54" t="s">
        <v>302</v>
      </c>
      <c r="B25" s="52">
        <f>VLOOKUP($A25,Table1[#This Row],COLUMN(B24), FALSE)</f>
        <v>42315</v>
      </c>
      <c r="C25" s="52">
        <f>VLOOKUP($A25,Table1[#This Row],COLUMN(C24), FALSE)</f>
        <v>42322</v>
      </c>
      <c r="D25" t="str">
        <f>VLOOKUP($A25,Table1[#This Row],COLUMN(D24), FALSE)</f>
        <v>Adam Bellavance</v>
      </c>
      <c r="E25" t="str">
        <f>VLOOKUP($A25,Table1[#This Row],COLUMN(E24), FALSE)</f>
        <v>United States</v>
      </c>
      <c r="F25" t="str">
        <f>VLOOKUP($A25,Table1[#This Row],COLUMN(F24), FALSE)</f>
        <v>Western US</v>
      </c>
      <c r="G25" t="str">
        <f>VLOOKUP($A25,Table1[#This Row],COLUMN(G24), FALSE)</f>
        <v>Furniture</v>
      </c>
      <c r="H25" t="str">
        <f>VLOOKUP($A25,Table1[#This Row],COLUMN(H24), FALSE)</f>
        <v>Copiers</v>
      </c>
      <c r="I25">
        <f>VLOOKUP($A25,Table1[#This Row],COLUMN(I24), FALSE)</f>
        <v>449.56799999999998</v>
      </c>
      <c r="J25">
        <f>VLOOKUP($A25,Table1[#This Row],COLUMN(J24), FALSE)</f>
        <v>2</v>
      </c>
      <c r="K25">
        <f>VLOOKUP($A25,Table1[#This Row],COLUMN(K24), FALSE)</f>
        <v>0.2</v>
      </c>
      <c r="L25">
        <f>VLOOKUP($A25,Table1[#This Row],COLUMN(L24), FALSE)</f>
        <v>-73.0548</v>
      </c>
      <c r="M25" t="str">
        <f>VLOOKUP($A25,Table1[#This Row],COLUMN(M24), FALSE)</f>
        <v>Low</v>
      </c>
      <c r="N25" t="str">
        <f>VLOOKUP($A25,Table1[#This Row],COLUMN(N24), FALSE)</f>
        <v>Normal Order</v>
      </c>
      <c r="O25" t="str">
        <f>VLOOKUP($A25,Table1[#This Row],COLUMN(O24), FALSE)</f>
        <v>Adam Bellavance</v>
      </c>
      <c r="P25" t="str">
        <f>VLOOKUP($A25,Table1[#This Row],COLUMN(P24), FALSE)</f>
        <v>CA</v>
      </c>
      <c r="Q25" t="str">
        <f>VLOOKUP($A25,Table1[#This Row],COLUMN(Q24), FALSE)</f>
        <v>2015</v>
      </c>
      <c r="R25" t="str">
        <f>VLOOKUP($A25,Table1[#This Row],COLUMN(R24), FALSE)</f>
        <v>LOW</v>
      </c>
      <c r="S25" t="str">
        <f>VLOOKUP($A25,Table1[#This Row],COLUMN(S24), FALSE)</f>
        <v>furniture</v>
      </c>
      <c r="T25" t="str">
        <f>VLOOKUP($A25,Table1[#This Row],COLUMN(T24), FALSE)</f>
        <v>42315</v>
      </c>
      <c r="U25" t="str">
        <f>VLOOKUP($A25,Table1[#This Row],COLUMN(U24), FALSE)</f>
        <v>AB10060140</v>
      </c>
      <c r="V25" t="str">
        <f>VLOOKUP($A25,Table1[#This Row],COLUMN(V24), FALSE)</f>
        <v>CA</v>
      </c>
      <c r="W25">
        <f>VLOOKUP($A25,Table1[#This Row],COLUMN(W24), FALSE)</f>
        <v>2015</v>
      </c>
      <c r="X25" t="str">
        <f>VLOOKUP($A25,Table1[#This Row],COLUMN(X24), FALSE)</f>
        <v>AB10060140</v>
      </c>
      <c r="Y25">
        <f>VLOOKUP($A25,Table1[#This Row],COLUMN(Y24), FALSE)</f>
        <v>42315</v>
      </c>
      <c r="Z25" t="str">
        <f>VLOOKUP($A25,Table1[#This Row],COLUMN(Z24), FALSE)</f>
        <v>CA-2015-AB10060140-42315</v>
      </c>
      <c r="AA25">
        <f>VLOOKUP($A25,Table1[#This Row],COLUMN(AA24), FALSE)</f>
        <v>2015</v>
      </c>
      <c r="AB25">
        <f>VLOOKUP($A25,Table1[#This Row],COLUMN(AB24), FALSE)</f>
        <v>11</v>
      </c>
      <c r="AC25">
        <f>VLOOKUP($A25,Table1[#This Row],COLUMN(AC24), FALSE)</f>
        <v>7</v>
      </c>
      <c r="AD25">
        <f>VLOOKUP($A25,Table1[#This Row],COLUMN(AD24), FALSE)</f>
        <v>7</v>
      </c>
    </row>
    <row r="26" spans="1:30" ht="15.75">
      <c r="A26" s="53" t="s">
        <v>311</v>
      </c>
      <c r="B26" s="52" t="str">
        <f>VLOOKUP($A26,Table1[#This Row],COLUMN(B25), FALSE)</f>
        <v>20140-3-14</v>
      </c>
      <c r="C26" s="52">
        <f>VLOOKUP($A26,Table1[#This Row],COLUMN(C25), FALSE)</f>
        <v>41717</v>
      </c>
      <c r="D26" t="str">
        <f>VLOOKUP($A26,Table1[#This Row],COLUMN(D25), FALSE)</f>
        <v>Adam Bellavance</v>
      </c>
      <c r="E26" t="str">
        <f>VLOOKUP($A26,Table1[#This Row],COLUMN(E25), FALSE)</f>
        <v>United States</v>
      </c>
      <c r="F26" t="str">
        <f>VLOOKUP($A26,Table1[#This Row],COLUMN(F25), FALSE)</f>
        <v>Southern US</v>
      </c>
      <c r="G26" t="str">
        <f>VLOOKUP($A26,Table1[#This Row],COLUMN(G25), FALSE)</f>
        <v>Office Supplies</v>
      </c>
      <c r="H26" t="str">
        <f>VLOOKUP($A26,Table1[#This Row],COLUMN(H25), FALSE)</f>
        <v>Phones</v>
      </c>
      <c r="I26">
        <f>VLOOKUP($A26,Table1[#This Row],COLUMN(I25), FALSE)</f>
        <v>160.32</v>
      </c>
      <c r="J26">
        <f>VLOOKUP($A26,Table1[#This Row],COLUMN(J25), FALSE)</f>
        <v>2</v>
      </c>
      <c r="K26">
        <f>VLOOKUP($A26,Table1[#This Row],COLUMN(K25), FALSE)</f>
        <v>0</v>
      </c>
      <c r="L26">
        <f>VLOOKUP($A26,Table1[#This Row],COLUMN(L25), FALSE)</f>
        <v>291.20200743633302</v>
      </c>
      <c r="M26" t="str">
        <f>VLOOKUP($A26,Table1[#This Row],COLUMN(M25), FALSE)</f>
        <v>Medium</v>
      </c>
      <c r="N26" t="str">
        <f>VLOOKUP($A26,Table1[#This Row],COLUMN(N25), FALSE)</f>
        <v>Normal Order</v>
      </c>
      <c r="O26" t="str">
        <f>VLOOKUP($A26,Table1[#This Row],COLUMN(O25), FALSE)</f>
        <v>Adam Bellavance</v>
      </c>
      <c r="P26" t="str">
        <f>VLOOKUP($A26,Table1[#This Row],COLUMN(P25), FALSE)</f>
        <v>US</v>
      </c>
      <c r="Q26" t="str">
        <f>VLOOKUP($A26,Table1[#This Row],COLUMN(Q25), FALSE)</f>
        <v>2014</v>
      </c>
      <c r="R26" t="str">
        <f>VLOOKUP($A26,Table1[#This Row],COLUMN(R25), FALSE)</f>
        <v>MEDIUM</v>
      </c>
      <c r="S26" t="str">
        <f>VLOOKUP($A26,Table1[#This Row],COLUMN(S25), FALSE)</f>
        <v>office supplies</v>
      </c>
      <c r="T26" t="str">
        <f>VLOOKUP($A26,Table1[#This Row],COLUMN(T25), FALSE)</f>
        <v>41712</v>
      </c>
      <c r="U26" t="str">
        <f>VLOOKUP($A26,Table1[#This Row],COLUMN(U25), FALSE)</f>
        <v>AB10060140</v>
      </c>
      <c r="V26" t="str">
        <f>VLOOKUP($A26,Table1[#This Row],COLUMN(V25), FALSE)</f>
        <v>US</v>
      </c>
      <c r="W26">
        <f>VLOOKUP($A26,Table1[#This Row],COLUMN(W25), FALSE)</f>
        <v>2014</v>
      </c>
      <c r="X26" t="str">
        <f>VLOOKUP($A26,Table1[#This Row],COLUMN(X25), FALSE)</f>
        <v>AB10060140</v>
      </c>
      <c r="Y26">
        <f>VLOOKUP($A26,Table1[#This Row],COLUMN(Y25), FALSE)</f>
        <v>41712</v>
      </c>
      <c r="Z26" t="str">
        <f>VLOOKUP($A26,Table1[#This Row],COLUMN(Z25), FALSE)</f>
        <v>US-2014-AB10060140-41712</v>
      </c>
      <c r="AA26">
        <f>VLOOKUP($A26,Table1[#This Row],COLUMN(AA25), FALSE)</f>
        <v>0</v>
      </c>
      <c r="AB26">
        <f>VLOOKUP($A26,Table1[#This Row],COLUMN(AB25), FALSE)</f>
        <v>0</v>
      </c>
      <c r="AC26">
        <f>VLOOKUP($A26,Table1[#This Row],COLUMN(AC25), FALSE)</f>
        <v>0</v>
      </c>
      <c r="AD26">
        <f>VLOOKUP($A26,Table1[#This Row],COLUMN(AD25), FALSE)</f>
        <v>0</v>
      </c>
    </row>
    <row r="27" spans="1:30" ht="15.75">
      <c r="A27" s="54" t="s">
        <v>304</v>
      </c>
      <c r="B27" s="52">
        <f>VLOOKUP($A27,Table1[#This Row],COLUMN(B26), FALSE)</f>
        <v>41884</v>
      </c>
      <c r="C27" s="52">
        <f>VLOOKUP($A27,Table1[#This Row],COLUMN(C26), FALSE)</f>
        <v>41886</v>
      </c>
      <c r="D27" t="str">
        <f>VLOOKUP($A27,Table1[#This Row],COLUMN(D26), FALSE)</f>
        <v>Adam Bellavance</v>
      </c>
      <c r="E27" t="str">
        <f>VLOOKUP($A27,Table1[#This Row],COLUMN(E26), FALSE)</f>
        <v>united states</v>
      </c>
      <c r="F27" t="str">
        <f>VLOOKUP($A27,Table1[#This Row],COLUMN(F26), FALSE)</f>
        <v>Eastern US</v>
      </c>
      <c r="G27" t="str">
        <f>VLOOKUP($A27,Table1[#This Row],COLUMN(G26), FALSE)</f>
        <v>Office Supplies</v>
      </c>
      <c r="H27" t="str">
        <f>VLOOKUP($A27,Table1[#This Row],COLUMN(H26), FALSE)</f>
        <v>Copiers</v>
      </c>
      <c r="I27">
        <f>VLOOKUP($A27,Table1[#This Row],COLUMN(I26), FALSE)</f>
        <v>49.12</v>
      </c>
      <c r="J27">
        <f>VLOOKUP($A27,Table1[#This Row],COLUMN(J26), FALSE)</f>
        <v>4</v>
      </c>
      <c r="K27">
        <f>VLOOKUP($A27,Table1[#This Row],COLUMN(K26), FALSE)</f>
        <v>0</v>
      </c>
      <c r="L27">
        <f>VLOOKUP($A27,Table1[#This Row],COLUMN(L26), FALSE)</f>
        <v>23.086399999999902</v>
      </c>
      <c r="M27" t="str">
        <f>VLOOKUP($A27,Table1[#This Row],COLUMN(M26), FALSE)</f>
        <v>Critical</v>
      </c>
      <c r="N27" t="str">
        <f>VLOOKUP($A27,Table1[#This Row],COLUMN(N26), FALSE)</f>
        <v>Normal Order</v>
      </c>
      <c r="O27" t="str">
        <f>VLOOKUP($A27,Table1[#This Row],COLUMN(O26), FALSE)</f>
        <v>Adam Bellavance</v>
      </c>
      <c r="P27" t="str">
        <f>VLOOKUP($A27,Table1[#This Row],COLUMN(P26), FALSE)</f>
        <v>CA</v>
      </c>
      <c r="Q27" t="str">
        <f>VLOOKUP($A27,Table1[#This Row],COLUMN(Q26), FALSE)</f>
        <v>2014</v>
      </c>
      <c r="R27" t="str">
        <f>VLOOKUP($A27,Table1[#This Row],COLUMN(R26), FALSE)</f>
        <v>CRITICAL</v>
      </c>
      <c r="S27" t="str">
        <f>VLOOKUP($A27,Table1[#This Row],COLUMN(S26), FALSE)</f>
        <v>office supplies</v>
      </c>
      <c r="T27" t="str">
        <f>VLOOKUP($A27,Table1[#This Row],COLUMN(T26), FALSE)</f>
        <v>41884</v>
      </c>
      <c r="U27" t="str">
        <f>VLOOKUP($A27,Table1[#This Row],COLUMN(U26), FALSE)</f>
        <v>AB10060140</v>
      </c>
      <c r="V27" t="str">
        <f>VLOOKUP($A27,Table1[#This Row],COLUMN(V26), FALSE)</f>
        <v>CA</v>
      </c>
      <c r="W27">
        <f>VLOOKUP($A27,Table1[#This Row],COLUMN(W26), FALSE)</f>
        <v>2014</v>
      </c>
      <c r="X27" t="str">
        <f>VLOOKUP($A27,Table1[#This Row],COLUMN(X26), FALSE)</f>
        <v>AB10060140</v>
      </c>
      <c r="Y27">
        <f>VLOOKUP($A27,Table1[#This Row],COLUMN(Y26), FALSE)</f>
        <v>41884</v>
      </c>
      <c r="Z27" t="str">
        <f>VLOOKUP($A27,Table1[#This Row],COLUMN(Z26), FALSE)</f>
        <v>CA-2014-AB10060140-41884</v>
      </c>
      <c r="AA27">
        <f>VLOOKUP($A27,Table1[#This Row],COLUMN(AA26), FALSE)</f>
        <v>2014</v>
      </c>
      <c r="AB27">
        <f>VLOOKUP($A27,Table1[#This Row],COLUMN(AB26), FALSE)</f>
        <v>9</v>
      </c>
      <c r="AC27">
        <f>VLOOKUP($A27,Table1[#This Row],COLUMN(AC26), FALSE)</f>
        <v>3</v>
      </c>
      <c r="AD27">
        <f>VLOOKUP($A27,Table1[#This Row],COLUMN(AD26), FALSE)</f>
        <v>2</v>
      </c>
    </row>
    <row r="28" spans="1:30" ht="15.75">
      <c r="A28" s="53" t="s">
        <v>339</v>
      </c>
      <c r="B28" s="52">
        <f>VLOOKUP($A28,Table1[#This Row],COLUMN(B27), FALSE)</f>
        <v>41572</v>
      </c>
      <c r="C28" s="52">
        <f>VLOOKUP($A28,Table1[#This Row],COLUMN(C27), FALSE)</f>
        <v>41575</v>
      </c>
      <c r="D28" t="str">
        <f>VLOOKUP($A28,Table1[#This Row],COLUMN(D27), FALSE)</f>
        <v>Lisa Hazard</v>
      </c>
      <c r="E28" t="str">
        <f>VLOOKUP($A28,Table1[#This Row],COLUMN(E27), FALSE)</f>
        <v>China</v>
      </c>
      <c r="F28" t="str">
        <f>VLOOKUP($A28,Table1[#This Row],COLUMN(F27), FALSE)</f>
        <v>Eastern Asia</v>
      </c>
      <c r="G28" t="str">
        <f>VLOOKUP($A28,Table1[#This Row],COLUMN(G27), FALSE)</f>
        <v>Technology</v>
      </c>
      <c r="H28" t="str">
        <f>VLOOKUP($A28,Table1[#This Row],COLUMN(H27), FALSE)</f>
        <v>Appliances</v>
      </c>
      <c r="I28">
        <f>VLOOKUP($A28,Table1[#This Row],COLUMN(I27), FALSE)</f>
        <v>1583.7</v>
      </c>
      <c r="J28">
        <f>VLOOKUP($A28,Table1[#This Row],COLUMN(J27), FALSE)</f>
        <v>5</v>
      </c>
      <c r="K28">
        <f>VLOOKUP($A28,Table1[#This Row],COLUMN(K27), FALSE)</f>
        <v>0</v>
      </c>
      <c r="L28">
        <f>VLOOKUP($A28,Table1[#This Row],COLUMN(L27), FALSE)</f>
        <v>174.14999999999901</v>
      </c>
      <c r="M28" t="str">
        <f>VLOOKUP($A28,Table1[#This Row],COLUMN(M27), FALSE)</f>
        <v>Critical</v>
      </c>
      <c r="N28" t="str">
        <f>VLOOKUP($A28,Table1[#This Row],COLUMN(N27), FALSE)</f>
        <v>Normal Order</v>
      </c>
      <c r="O28" t="str">
        <f>VLOOKUP($A28,Table1[#This Row],COLUMN(O27), FALSE)</f>
        <v>Lisa Hazard</v>
      </c>
      <c r="P28" t="str">
        <f>VLOOKUP($A28,Table1[#This Row],COLUMN(P27), FALSE)</f>
        <v>IN</v>
      </c>
      <c r="Q28" t="str">
        <f>VLOOKUP($A28,Table1[#This Row],COLUMN(Q27), FALSE)</f>
        <v>2013</v>
      </c>
      <c r="R28" t="str">
        <f>VLOOKUP($A28,Table1[#This Row],COLUMN(R27), FALSE)</f>
        <v>CRITICAL</v>
      </c>
      <c r="S28" t="str">
        <f>VLOOKUP($A28,Table1[#This Row],COLUMN(S27), FALSE)</f>
        <v>technology</v>
      </c>
      <c r="T28" t="str">
        <f>VLOOKUP($A28,Table1[#This Row],COLUMN(T27), FALSE)</f>
        <v>41572</v>
      </c>
      <c r="U28" t="str">
        <f>VLOOKUP($A28,Table1[#This Row],COLUMN(U27), FALSE)</f>
        <v>LH1702027</v>
      </c>
      <c r="V28" t="str">
        <f>VLOOKUP($A28,Table1[#This Row],COLUMN(V27), FALSE)</f>
        <v>IN</v>
      </c>
      <c r="W28">
        <f>VLOOKUP($A28,Table1[#This Row],COLUMN(W27), FALSE)</f>
        <v>2013</v>
      </c>
      <c r="X28" t="str">
        <f>VLOOKUP($A28,Table1[#This Row],COLUMN(X27), FALSE)</f>
        <v>LH1702027</v>
      </c>
      <c r="Y28">
        <f>VLOOKUP($A28,Table1[#This Row],COLUMN(Y27), FALSE)</f>
        <v>41572</v>
      </c>
      <c r="Z28" t="str">
        <f>VLOOKUP($A28,Table1[#This Row],COLUMN(Z27), FALSE)</f>
        <v>IN-2013-LH1702027-41572</v>
      </c>
      <c r="AA28">
        <f>VLOOKUP($A28,Table1[#This Row],COLUMN(AA27), FALSE)</f>
        <v>2013</v>
      </c>
      <c r="AB28">
        <f>VLOOKUP($A28,Table1[#This Row],COLUMN(AB27), FALSE)</f>
        <v>10</v>
      </c>
      <c r="AC28">
        <f>VLOOKUP($A28,Table1[#This Row],COLUMN(AC27), FALSE)</f>
        <v>6</v>
      </c>
      <c r="AD28">
        <f>VLOOKUP($A28,Table1[#This Row],COLUMN(AD27), FALSE)</f>
        <v>3</v>
      </c>
    </row>
    <row r="29" spans="1:30" ht="15.75">
      <c r="A29" s="54" t="s">
        <v>311</v>
      </c>
      <c r="B29" s="52">
        <f>VLOOKUP($A29,Table1[#This Row],COLUMN(B28), FALSE)</f>
        <v>41712</v>
      </c>
      <c r="C29" s="52">
        <f>VLOOKUP($A29,Table1[#This Row],COLUMN(C28), FALSE)</f>
        <v>41717</v>
      </c>
      <c r="D29" t="str">
        <f>VLOOKUP($A29,Table1[#This Row],COLUMN(D28), FALSE)</f>
        <v>Adam Bellavance</v>
      </c>
      <c r="E29" t="str">
        <f>VLOOKUP($A29,Table1[#This Row],COLUMN(E28), FALSE)</f>
        <v>united states</v>
      </c>
      <c r="F29" t="str">
        <f>VLOOKUP($A29,Table1[#This Row],COLUMN(F28), FALSE)</f>
        <v>Southern US</v>
      </c>
      <c r="G29" t="str">
        <f>VLOOKUP($A29,Table1[#This Row],COLUMN(G28), FALSE)</f>
        <v>Furniture</v>
      </c>
      <c r="H29" t="str">
        <f>VLOOKUP($A29,Table1[#This Row],COLUMN(H28), FALSE)</f>
        <v>Bookcases</v>
      </c>
      <c r="I29">
        <f>VLOOKUP($A29,Table1[#This Row],COLUMN(I28), FALSE)</f>
        <v>127.88</v>
      </c>
      <c r="J29">
        <f>VLOOKUP($A29,Table1[#This Row],COLUMN(J28), FALSE)</f>
        <v>2</v>
      </c>
      <c r="K29">
        <f>VLOOKUP($A29,Table1[#This Row],COLUMN(K28), FALSE)</f>
        <v>0</v>
      </c>
      <c r="L29">
        <f>VLOOKUP($A29,Table1[#This Row],COLUMN(L28), FALSE)</f>
        <v>40.921599999999998</v>
      </c>
      <c r="M29" t="str">
        <f>VLOOKUP($A29,Table1[#This Row],COLUMN(M28), FALSE)</f>
        <v>Medium</v>
      </c>
      <c r="N29" t="str">
        <f>VLOOKUP($A29,Table1[#This Row],COLUMN(N28), FALSE)</f>
        <v>Normal Order</v>
      </c>
      <c r="O29" t="str">
        <f>VLOOKUP($A29,Table1[#This Row],COLUMN(O28), FALSE)</f>
        <v>Adam Bellavance</v>
      </c>
      <c r="P29" t="str">
        <f>VLOOKUP($A29,Table1[#This Row],COLUMN(P28), FALSE)</f>
        <v>US</v>
      </c>
      <c r="Q29" t="str">
        <f>VLOOKUP($A29,Table1[#This Row],COLUMN(Q28), FALSE)</f>
        <v>2014</v>
      </c>
      <c r="R29" t="str">
        <f>VLOOKUP($A29,Table1[#This Row],COLUMN(R28), FALSE)</f>
        <v>MEDIUM</v>
      </c>
      <c r="S29" t="str">
        <f>VLOOKUP($A29,Table1[#This Row],COLUMN(S28), FALSE)</f>
        <v>furniture</v>
      </c>
      <c r="T29" t="str">
        <f>VLOOKUP($A29,Table1[#This Row],COLUMN(T28), FALSE)</f>
        <v>41712</v>
      </c>
      <c r="U29" t="str">
        <f>VLOOKUP($A29,Table1[#This Row],COLUMN(U28), FALSE)</f>
        <v>AB10060140</v>
      </c>
      <c r="V29" t="str">
        <f>VLOOKUP($A29,Table1[#This Row],COLUMN(V28), FALSE)</f>
        <v>US</v>
      </c>
      <c r="W29">
        <f>VLOOKUP($A29,Table1[#This Row],COLUMN(W28), FALSE)</f>
        <v>2014</v>
      </c>
      <c r="X29" t="str">
        <f>VLOOKUP($A29,Table1[#This Row],COLUMN(X28), FALSE)</f>
        <v>AB10060140</v>
      </c>
      <c r="Y29">
        <f>VLOOKUP($A29,Table1[#This Row],COLUMN(Y28), FALSE)</f>
        <v>41712</v>
      </c>
      <c r="Z29" t="str">
        <f>VLOOKUP($A29,Table1[#This Row],COLUMN(Z28), FALSE)</f>
        <v>US-2014-AB10060140-41712</v>
      </c>
      <c r="AA29">
        <f>VLOOKUP($A29,Table1[#This Row],COLUMN(AA28), FALSE)</f>
        <v>2014</v>
      </c>
      <c r="AB29">
        <f>VLOOKUP($A29,Table1[#This Row],COLUMN(AB28), FALSE)</f>
        <v>3</v>
      </c>
      <c r="AC29">
        <f>VLOOKUP($A29,Table1[#This Row],COLUMN(AC28), FALSE)</f>
        <v>6</v>
      </c>
      <c r="AD29">
        <f>VLOOKUP($A29,Table1[#This Row],COLUMN(AD28), FALSE)</f>
        <v>5</v>
      </c>
    </row>
    <row r="30" spans="1:30" ht="15.75">
      <c r="A30" s="53" t="s">
        <v>351</v>
      </c>
      <c r="B30" s="52">
        <f>VLOOKUP($A30,Table1[#This Row],COLUMN(B29), FALSE)</f>
        <v>41709</v>
      </c>
      <c r="C30" s="52">
        <f>VLOOKUP($A30,Table1[#This Row],COLUMN(C29), FALSE)</f>
        <v>41713</v>
      </c>
      <c r="D30" t="str">
        <f>VLOOKUP($A30,Table1[#This Row],COLUMN(D29), FALSE)</f>
        <v>Roland Fjeld</v>
      </c>
      <c r="E30" t="str">
        <f>VLOOKUP($A30,Table1[#This Row],COLUMN(E29), FALSE)</f>
        <v>Australia</v>
      </c>
      <c r="F30" t="str">
        <f>VLOOKUP($A30,Table1[#This Row],COLUMN(F29), FALSE)</f>
        <v>Oceania</v>
      </c>
      <c r="G30" t="str">
        <f>VLOOKUP($A30,Table1[#This Row],COLUMN(G29), FALSE)</f>
        <v>Technology</v>
      </c>
      <c r="H30" t="str">
        <f>VLOOKUP($A30,Table1[#This Row],COLUMN(H29), FALSE)</f>
        <v>Copiers</v>
      </c>
      <c r="I30">
        <f>VLOOKUP($A30,Table1[#This Row],COLUMN(I29), FALSE)</f>
        <v>2892.10499999999</v>
      </c>
      <c r="J30">
        <f>VLOOKUP($A30,Table1[#This Row],COLUMN(J29), FALSE)</f>
        <v>5</v>
      </c>
      <c r="K30">
        <f>VLOOKUP($A30,Table1[#This Row],COLUMN(K29), FALSE)</f>
        <v>0.1</v>
      </c>
      <c r="L30">
        <f>VLOOKUP($A30,Table1[#This Row],COLUMN(L29), FALSE)</f>
        <v>160.60499999999999</v>
      </c>
      <c r="M30" t="str">
        <f>VLOOKUP($A30,Table1[#This Row],COLUMN(M29), FALSE)</f>
        <v>High</v>
      </c>
      <c r="N30" t="str">
        <f>VLOOKUP($A30,Table1[#This Row],COLUMN(N29), FALSE)</f>
        <v>Normal Order</v>
      </c>
      <c r="O30" t="str">
        <f>VLOOKUP($A30,Table1[#This Row],COLUMN(O29), FALSE)</f>
        <v>Roland Fjeld</v>
      </c>
      <c r="P30" t="str">
        <f>VLOOKUP($A30,Table1[#This Row],COLUMN(P29), FALSE)</f>
        <v>IN</v>
      </c>
      <c r="Q30" t="str">
        <f>VLOOKUP($A30,Table1[#This Row],COLUMN(Q29), FALSE)</f>
        <v>2014</v>
      </c>
      <c r="R30" t="str">
        <f>VLOOKUP($A30,Table1[#This Row],COLUMN(R29), FALSE)</f>
        <v>HIGH</v>
      </c>
      <c r="S30" t="str">
        <f>VLOOKUP($A30,Table1[#This Row],COLUMN(S29), FALSE)</f>
        <v>technology</v>
      </c>
      <c r="T30" t="str">
        <f>VLOOKUP($A30,Table1[#This Row],COLUMN(T29), FALSE)</f>
        <v>41709</v>
      </c>
      <c r="U30" t="str">
        <f>VLOOKUP($A30,Table1[#This Row],COLUMN(U29), FALSE)</f>
        <v>RF197357</v>
      </c>
      <c r="V30" t="str">
        <f>VLOOKUP($A30,Table1[#This Row],COLUMN(V29), FALSE)</f>
        <v>IN</v>
      </c>
      <c r="W30">
        <f>VLOOKUP($A30,Table1[#This Row],COLUMN(W29), FALSE)</f>
        <v>2014</v>
      </c>
      <c r="X30" t="str">
        <f>VLOOKUP($A30,Table1[#This Row],COLUMN(X29), FALSE)</f>
        <v>RF197357</v>
      </c>
      <c r="Y30">
        <f>VLOOKUP($A30,Table1[#This Row],COLUMN(Y29), FALSE)</f>
        <v>41709</v>
      </c>
      <c r="Z30" t="str">
        <f>VLOOKUP($A30,Table1[#This Row],COLUMN(Z29), FALSE)</f>
        <v>IN-2014-RF197357-41709</v>
      </c>
      <c r="AA30">
        <f>VLOOKUP($A30,Table1[#This Row],COLUMN(AA29), FALSE)</f>
        <v>2014</v>
      </c>
      <c r="AB30">
        <f>VLOOKUP($A30,Table1[#This Row],COLUMN(AB29), FALSE)</f>
        <v>3</v>
      </c>
      <c r="AC30">
        <f>VLOOKUP($A30,Table1[#This Row],COLUMN(AC29), FALSE)</f>
        <v>3</v>
      </c>
      <c r="AD30">
        <f>VLOOKUP($A30,Table1[#This Row],COLUMN(AD29), FALSE)</f>
        <v>4</v>
      </c>
    </row>
    <row r="31" spans="1:30" ht="15.75">
      <c r="A31" s="54" t="s">
        <v>353</v>
      </c>
      <c r="B31" s="52">
        <f>VLOOKUP($A31,Table1[#This Row],COLUMN(B30), FALSE)</f>
        <v>41306</v>
      </c>
      <c r="C31" s="52">
        <f>VLOOKUP($A31,Table1[#This Row],COLUMN(C30), FALSE)</f>
        <v>41309</v>
      </c>
      <c r="D31" t="str">
        <f>VLOOKUP($A31,Table1[#This Row],COLUMN(D30), FALSE)</f>
        <v>John Huston</v>
      </c>
      <c r="E31" t="str">
        <f>VLOOKUP($A31,Table1[#This Row],COLUMN(E30), FALSE)</f>
        <v>Germany</v>
      </c>
      <c r="F31" t="str">
        <f>VLOOKUP($A31,Table1[#This Row],COLUMN(F30), FALSE)</f>
        <v>Western Europe</v>
      </c>
      <c r="G31" t="str">
        <f>VLOOKUP($A31,Table1[#This Row],COLUMN(G30), FALSE)</f>
        <v>Technology</v>
      </c>
      <c r="H31" t="str">
        <f>VLOOKUP($A31,Table1[#This Row],COLUMN(H30), FALSE)</f>
        <v>Machines</v>
      </c>
      <c r="I31">
        <f>VLOOKUP($A31,Table1[#This Row],COLUMN(I30), FALSE)</f>
        <v>3263.4</v>
      </c>
      <c r="J31">
        <f>VLOOKUP($A31,Table1[#This Row],COLUMN(J30), FALSE)</f>
        <v>5</v>
      </c>
      <c r="K31">
        <f>VLOOKUP($A31,Table1[#This Row],COLUMN(K30), FALSE)</f>
        <v>0</v>
      </c>
      <c r="L31">
        <f>VLOOKUP($A31,Table1[#This Row],COLUMN(L30), FALSE)</f>
        <v>848.4</v>
      </c>
      <c r="M31" t="str">
        <f>VLOOKUP($A31,Table1[#This Row],COLUMN(M30), FALSE)</f>
        <v>High#</v>
      </c>
      <c r="N31" t="str">
        <f>VLOOKUP($A31,Table1[#This Row],COLUMN(N30), FALSE)</f>
        <v>Normal Order</v>
      </c>
      <c r="O31" t="str">
        <f>VLOOKUP($A31,Table1[#This Row],COLUMN(O30), FALSE)</f>
        <v>John Huston</v>
      </c>
      <c r="P31" t="str">
        <f>VLOOKUP($A31,Table1[#This Row],COLUMN(P30), FALSE)</f>
        <v>ES</v>
      </c>
      <c r="Q31" t="str">
        <f>VLOOKUP($A31,Table1[#This Row],COLUMN(Q30), FALSE)</f>
        <v>2013</v>
      </c>
      <c r="R31" t="str">
        <f>VLOOKUP($A31,Table1[#This Row],COLUMN(R30), FALSE)</f>
        <v>HIGH#</v>
      </c>
      <c r="S31" t="str">
        <f>VLOOKUP($A31,Table1[#This Row],COLUMN(S30), FALSE)</f>
        <v>technology</v>
      </c>
      <c r="T31" t="str">
        <f>VLOOKUP($A31,Table1[#This Row],COLUMN(T30), FALSE)</f>
        <v>1306#</v>
      </c>
      <c r="U31" t="str">
        <f>VLOOKUP($A31,Table1[#This Row],COLUMN(U30), FALSE)</f>
        <v>JH1582048</v>
      </c>
      <c r="V31" t="str">
        <f>VLOOKUP($A31,Table1[#This Row],COLUMN(V30), FALSE)</f>
        <v>ES</v>
      </c>
      <c r="W31">
        <f>VLOOKUP($A31,Table1[#This Row],COLUMN(W30), FALSE)</f>
        <v>2013</v>
      </c>
      <c r="X31" t="str">
        <f>VLOOKUP($A31,Table1[#This Row],COLUMN(X30), FALSE)</f>
        <v>JH1582048</v>
      </c>
      <c r="Y31" t="str">
        <f>VLOOKUP($A31,Table1[#This Row],COLUMN(Y30), FALSE)</f>
        <v>41306#</v>
      </c>
      <c r="Z31" t="str">
        <f>VLOOKUP($A31,Table1[#This Row],COLUMN(Z30), FALSE)</f>
        <v>ES-2013-JH1582048-41306#</v>
      </c>
      <c r="AA31">
        <f>VLOOKUP($A31,Table1[#This Row],COLUMN(AA30), FALSE)</f>
        <v>2013</v>
      </c>
      <c r="AB31">
        <f>VLOOKUP($A31,Table1[#This Row],COLUMN(AB30), FALSE)</f>
        <v>2</v>
      </c>
      <c r="AC31">
        <f>VLOOKUP($A31,Table1[#This Row],COLUMN(AC30), FALSE)</f>
        <v>6</v>
      </c>
      <c r="AD31">
        <f>VLOOKUP($A31,Table1[#This Row],COLUMN(AD30), FALSE)</f>
        <v>3</v>
      </c>
    </row>
    <row r="32" spans="1:30" ht="15.75">
      <c r="A32" s="53" t="s">
        <v>355</v>
      </c>
      <c r="B32" s="52">
        <f>VLOOKUP($A32,Table1[#This Row],COLUMN(B31), FALSE)</f>
        <v>41712</v>
      </c>
      <c r="C32" s="52">
        <f>VLOOKUP($A32,Table1[#This Row],COLUMN(C31), FALSE)</f>
        <v>41717</v>
      </c>
      <c r="D32" t="str">
        <f>VLOOKUP($A32,Table1[#This Row],COLUMN(D31), FALSE)</f>
        <v>Adam Bellavance</v>
      </c>
      <c r="E32" t="str">
        <f>VLOOKUP($A32,Table1[#This Row],COLUMN(E31), FALSE)</f>
        <v>United States</v>
      </c>
      <c r="F32" t="str">
        <f>VLOOKUP($A32,Table1[#This Row],COLUMN(F31), FALSE)</f>
        <v>Southern US</v>
      </c>
      <c r="G32" t="str">
        <f>VLOOKUP($A32,Table1[#This Row],COLUMN(G31), FALSE)</f>
        <v>Office Supplies</v>
      </c>
      <c r="H32" t="str">
        <f>VLOOKUP($A32,Table1[#This Row],COLUMN(H31), FALSE)</f>
        <v>Phones</v>
      </c>
      <c r="I32">
        <f>VLOOKUP($A32,Table1[#This Row],COLUMN(I31), FALSE)</f>
        <v>46</v>
      </c>
      <c r="J32">
        <f>VLOOKUP($A32,Table1[#This Row],COLUMN(J31), FALSE)</f>
        <v>4</v>
      </c>
      <c r="K32">
        <f>VLOOKUP($A32,Table1[#This Row],COLUMN(K31), FALSE)</f>
        <v>0</v>
      </c>
      <c r="L32">
        <f>VLOOKUP($A32,Table1[#This Row],COLUMN(L31), FALSE)</f>
        <v>20.7</v>
      </c>
      <c r="M32" t="str">
        <f>VLOOKUP($A32,Table1[#This Row],COLUMN(M31), FALSE)</f>
        <v>Medium</v>
      </c>
      <c r="N32" t="str">
        <f>VLOOKUP($A32,Table1[#This Row],COLUMN(N31), FALSE)</f>
        <v>Normal Order</v>
      </c>
      <c r="O32" t="str">
        <f>VLOOKUP($A32,Table1[#This Row],COLUMN(O31), FALSE)</f>
        <v>Adam Bellavance</v>
      </c>
      <c r="P32" t="str">
        <f>VLOOKUP($A32,Table1[#This Row],COLUMN(P31), FALSE)</f>
        <v xml:space="preserve"> U</v>
      </c>
      <c r="Q32" t="str">
        <f>VLOOKUP($A32,Table1[#This Row],COLUMN(Q31), FALSE)</f>
        <v>-201</v>
      </c>
      <c r="R32" t="str">
        <f>VLOOKUP($A32,Table1[#This Row],COLUMN(R31), FALSE)</f>
        <v>MEDIUM</v>
      </c>
      <c r="S32" t="str">
        <f>VLOOKUP($A32,Table1[#This Row],COLUMN(S31), FALSE)</f>
        <v>office supplies</v>
      </c>
      <c r="T32" t="str">
        <f>VLOOKUP($A32,Table1[#This Row],COLUMN(T31), FALSE)</f>
        <v xml:space="preserve">1712 </v>
      </c>
      <c r="U32" t="str">
        <f>VLOOKUP($A32,Table1[#This Row],COLUMN(U31), FALSE)</f>
        <v>AB10060140</v>
      </c>
      <c r="V32" t="str">
        <f>VLOOKUP($A32,Table1[#This Row],COLUMN(V31), FALSE)</f>
        <v xml:space="preserve"> US</v>
      </c>
      <c r="W32">
        <f>VLOOKUP($A32,Table1[#This Row],COLUMN(W31), FALSE)</f>
        <v>2014</v>
      </c>
      <c r="X32" t="str">
        <f>VLOOKUP($A32,Table1[#This Row],COLUMN(X31), FALSE)</f>
        <v>AB10060140</v>
      </c>
      <c r="Y32">
        <f>VLOOKUP($A32,Table1[#This Row],COLUMN(Y31), FALSE)</f>
        <v>41712</v>
      </c>
      <c r="Z32" t="str">
        <f>VLOOKUP($A32,Table1[#This Row],COLUMN(Z31), FALSE)</f>
        <v>US-2014-AB10060140-41712</v>
      </c>
      <c r="AA32">
        <f>VLOOKUP($A32,Table1[#This Row],COLUMN(AA31), FALSE)</f>
        <v>2014</v>
      </c>
      <c r="AB32">
        <f>VLOOKUP($A32,Table1[#This Row],COLUMN(AB31), FALSE)</f>
        <v>3</v>
      </c>
      <c r="AC32">
        <f>VLOOKUP($A32,Table1[#This Row],COLUMN(AC31), FALSE)</f>
        <v>6</v>
      </c>
      <c r="AD32">
        <f>VLOOKUP($A32,Table1[#This Row],COLUMN(AD31), FALSE)</f>
        <v>5</v>
      </c>
    </row>
    <row r="33" spans="1:30" ht="15.75">
      <c r="A33" s="54" t="s">
        <v>359</v>
      </c>
      <c r="B33" s="52">
        <f>VLOOKUP($A33,Table1[#This Row],COLUMN(B32), FALSE)</f>
        <v>41881</v>
      </c>
      <c r="C33" s="52">
        <f>VLOOKUP($A33,Table1[#This Row],COLUMN(C32), FALSE)</f>
        <v>41886</v>
      </c>
      <c r="D33" t="str">
        <f>VLOOKUP($A33,Table1[#This Row],COLUMN(D32), FALSE)</f>
        <v>Adam Bellavance</v>
      </c>
      <c r="E33" t="str">
        <f>VLOOKUP($A33,Table1[#This Row],COLUMN(E32), FALSE)</f>
        <v>United States</v>
      </c>
      <c r="F33" t="str">
        <f>VLOOKUP($A33,Table1[#This Row],COLUMN(F32), FALSE)</f>
        <v>Eastern US</v>
      </c>
      <c r="G33" t="str">
        <f>VLOOKUP($A33,Table1[#This Row],COLUMN(G32), FALSE)</f>
        <v>Office Supplies</v>
      </c>
      <c r="H33" t="str">
        <f>VLOOKUP($A33,Table1[#This Row],COLUMN(H32), FALSE)</f>
        <v>Bookcases</v>
      </c>
      <c r="I33">
        <f>VLOOKUP($A33,Table1[#This Row],COLUMN(I32), FALSE)</f>
        <v>27.93</v>
      </c>
      <c r="J33">
        <f>VLOOKUP($A33,Table1[#This Row],COLUMN(J32), FALSE)</f>
        <v>3</v>
      </c>
      <c r="K33">
        <f>VLOOKUP($A33,Table1[#This Row],COLUMN(K32), FALSE)</f>
        <v>0</v>
      </c>
      <c r="L33">
        <f>VLOOKUP($A33,Table1[#This Row],COLUMN(L32), FALSE)</f>
        <v>8.0996999999999897</v>
      </c>
      <c r="M33" t="str">
        <f>VLOOKUP($A33,Table1[#This Row],COLUMN(M32), FALSE)</f>
        <v>Medium</v>
      </c>
      <c r="N33" t="str">
        <f>VLOOKUP($A33,Table1[#This Row],COLUMN(N32), FALSE)</f>
        <v>Normal Order</v>
      </c>
      <c r="O33" t="str">
        <f>VLOOKUP($A33,Table1[#This Row],COLUMN(O32), FALSE)</f>
        <v>Adam Bellavance</v>
      </c>
      <c r="P33" t="str">
        <f>VLOOKUP($A33,Table1[#This Row],COLUMN(P32), FALSE)</f>
        <v>CA</v>
      </c>
      <c r="Q33" t="str">
        <f>VLOOKUP($A33,Table1[#This Row],COLUMN(Q32), FALSE)</f>
        <v>2014</v>
      </c>
      <c r="R33" t="str">
        <f>VLOOKUP($A33,Table1[#This Row],COLUMN(R32), FALSE)</f>
        <v>MEDIUM</v>
      </c>
      <c r="S33" t="str">
        <f>VLOOKUP($A33,Table1[#This Row],COLUMN(S32), FALSE)</f>
        <v>office supplies</v>
      </c>
      <c r="T33" t="str">
        <f>VLOOKUP($A33,Table1[#This Row],COLUMN(T32), FALSE)</f>
        <v>41881</v>
      </c>
      <c r="U33" t="str">
        <f>VLOOKUP($A33,Table1[#This Row],COLUMN(U32), FALSE)</f>
        <v>AB10060140</v>
      </c>
      <c r="V33" t="str">
        <f>VLOOKUP($A33,Table1[#This Row],COLUMN(V32), FALSE)</f>
        <v>CA</v>
      </c>
      <c r="W33">
        <f>VLOOKUP($A33,Table1[#This Row],COLUMN(W32), FALSE)</f>
        <v>2014</v>
      </c>
      <c r="X33" t="str">
        <f>VLOOKUP($A33,Table1[#This Row],COLUMN(X32), FALSE)</f>
        <v>AB10060140</v>
      </c>
      <c r="Y33">
        <f>VLOOKUP($A33,Table1[#This Row],COLUMN(Y32), FALSE)</f>
        <v>41881</v>
      </c>
      <c r="Z33" t="str">
        <f>VLOOKUP($A33,Table1[#This Row],COLUMN(Z32), FALSE)</f>
        <v>CA-2014-AB10060140-41881</v>
      </c>
      <c r="AA33">
        <f>VLOOKUP($A33,Table1[#This Row],COLUMN(AA32), FALSE)</f>
        <v>2014</v>
      </c>
      <c r="AB33">
        <f>VLOOKUP($A33,Table1[#This Row],COLUMN(AB32), FALSE)</f>
        <v>8</v>
      </c>
      <c r="AC33">
        <f>VLOOKUP($A33,Table1[#This Row],COLUMN(AC32), FALSE)</f>
        <v>7</v>
      </c>
      <c r="AD33">
        <f>VLOOKUP($A33,Table1[#This Row],COLUMN(AD32), FALSE)</f>
        <v>5</v>
      </c>
    </row>
    <row r="34" spans="1:30" ht="15.75">
      <c r="A34" s="53" t="s">
        <v>360</v>
      </c>
      <c r="B34" s="52">
        <f>VLOOKUP($A34,Table1[#This Row],COLUMN(B33), FALSE)</f>
        <v>42082</v>
      </c>
      <c r="C34" s="52">
        <f>VLOOKUP($A34,Table1[#This Row],COLUMN(C33), FALSE)</f>
        <v>42084</v>
      </c>
      <c r="D34" t="str">
        <f>VLOOKUP($A34,Table1[#This Row],COLUMN(D33), FALSE)</f>
        <v>Bill Eplett</v>
      </c>
      <c r="E34" t="str">
        <f>VLOOKUP($A34,Table1[#This Row],COLUMN(E33), FALSE)</f>
        <v>Mexico</v>
      </c>
      <c r="F34" t="str">
        <f>VLOOKUP($A34,Table1[#This Row],COLUMN(F33), FALSE)</f>
        <v>Central America</v>
      </c>
      <c r="G34" t="str">
        <f>VLOOKUP($A34,Table1[#This Row],COLUMN(G33), FALSE)</f>
        <v>Office Supplies</v>
      </c>
      <c r="H34" t="str">
        <f>VLOOKUP($A34,Table1[#This Row],COLUMN(H33), FALSE)</f>
        <v>Tables</v>
      </c>
      <c r="I34">
        <f>VLOOKUP($A34,Table1[#This Row],COLUMN(I33), FALSE)</f>
        <v>1888.7</v>
      </c>
      <c r="J34">
        <f>VLOOKUP($A34,Table1[#This Row],COLUMN(J33), FALSE)</f>
        <v>5</v>
      </c>
      <c r="K34">
        <f>VLOOKUP($A34,Table1[#This Row],COLUMN(K33), FALSE)</f>
        <v>0</v>
      </c>
      <c r="L34">
        <f>VLOOKUP($A34,Table1[#This Row],COLUMN(L33), FALSE)</f>
        <v>887.6</v>
      </c>
      <c r="M34" t="str">
        <f>VLOOKUP($A34,Table1[#This Row],COLUMN(M33), FALSE)</f>
        <v>High</v>
      </c>
      <c r="N34" t="str">
        <f>VLOOKUP($A34,Table1[#This Row],COLUMN(N33), FALSE)</f>
        <v>Normal Order</v>
      </c>
      <c r="O34" t="str">
        <f>VLOOKUP($A34,Table1[#This Row],COLUMN(O33), FALSE)</f>
        <v>Bill Eplett</v>
      </c>
      <c r="P34" t="str">
        <f>VLOOKUP($A34,Table1[#This Row],COLUMN(P33), FALSE)</f>
        <v>MX</v>
      </c>
      <c r="Q34" t="str">
        <f>VLOOKUP($A34,Table1[#This Row],COLUMN(Q33), FALSE)</f>
        <v>2015</v>
      </c>
      <c r="R34" t="str">
        <f>VLOOKUP($A34,Table1[#This Row],COLUMN(R33), FALSE)</f>
        <v>HIGH</v>
      </c>
      <c r="S34" t="str">
        <f>VLOOKUP($A34,Table1[#This Row],COLUMN(S33), FALSE)</f>
        <v>office supplies</v>
      </c>
      <c r="T34" t="str">
        <f>VLOOKUP($A34,Table1[#This Row],COLUMN(T33), FALSE)</f>
        <v>42082</v>
      </c>
      <c r="U34" t="str">
        <f>VLOOKUP($A34,Table1[#This Row],COLUMN(U33), FALSE)</f>
        <v>BE1133582</v>
      </c>
      <c r="V34" t="str">
        <f>VLOOKUP($A34,Table1[#This Row],COLUMN(V33), FALSE)</f>
        <v>MX</v>
      </c>
      <c r="W34">
        <f>VLOOKUP($A34,Table1[#This Row],COLUMN(W33), FALSE)</f>
        <v>2015</v>
      </c>
      <c r="X34" t="str">
        <f>VLOOKUP($A34,Table1[#This Row],COLUMN(X33), FALSE)</f>
        <v>BE1133582</v>
      </c>
      <c r="Y34">
        <f>VLOOKUP($A34,Table1[#This Row],COLUMN(Y33), FALSE)</f>
        <v>42082</v>
      </c>
      <c r="Z34" t="str">
        <f>VLOOKUP($A34,Table1[#This Row],COLUMN(Z33), FALSE)</f>
        <v>MX-2015-BE1133582-42082</v>
      </c>
      <c r="AA34">
        <f>VLOOKUP($A34,Table1[#This Row],COLUMN(AA33), FALSE)</f>
        <v>2015</v>
      </c>
      <c r="AB34">
        <f>VLOOKUP($A34,Table1[#This Row],COLUMN(AB33), FALSE)</f>
        <v>3</v>
      </c>
      <c r="AC34">
        <f>VLOOKUP($A34,Table1[#This Row],COLUMN(AC33), FALSE)</f>
        <v>5</v>
      </c>
      <c r="AD34">
        <f>VLOOKUP($A34,Table1[#This Row],COLUMN(AD33), FALSE)</f>
        <v>2</v>
      </c>
    </row>
    <row r="35" spans="1:30" ht="15.75">
      <c r="A35" s="54" t="s">
        <v>370</v>
      </c>
      <c r="B35" s="52">
        <f>VLOOKUP($A35,Table1[#This Row],COLUMN(B34), FALSE)</f>
        <v>41535</v>
      </c>
      <c r="C35" s="52">
        <f>VLOOKUP($A35,Table1[#This Row],COLUMN(C34), FALSE)</f>
        <v>41541</v>
      </c>
      <c r="D35" t="str">
        <f>VLOOKUP($A35,Table1[#This Row],COLUMN(D34), FALSE)</f>
        <v>Adam Bellavance</v>
      </c>
      <c r="E35" t="str">
        <f>VLOOKUP($A35,Table1[#This Row],COLUMN(E34), FALSE)</f>
        <v>United States</v>
      </c>
      <c r="F35" t="str">
        <f>VLOOKUP($A35,Table1[#This Row],COLUMN(F34), FALSE)</f>
        <v>Western US</v>
      </c>
      <c r="G35" t="str">
        <f>VLOOKUP($A35,Table1[#This Row],COLUMN(G34), FALSE)</f>
        <v>Office Supplies</v>
      </c>
      <c r="H35" t="str">
        <f>VLOOKUP($A35,Table1[#This Row],COLUMN(H34), FALSE)</f>
        <v>Tables</v>
      </c>
      <c r="I35">
        <f>VLOOKUP($A35,Table1[#This Row],COLUMN(I34), FALSE)</f>
        <v>18.54</v>
      </c>
      <c r="J35">
        <f>VLOOKUP($A35,Table1[#This Row],COLUMN(J34), FALSE)</f>
        <v>2</v>
      </c>
      <c r="K35">
        <f>VLOOKUP($A35,Table1[#This Row],COLUMN(K34), FALSE)</f>
        <v>0</v>
      </c>
      <c r="L35">
        <f>VLOOKUP($A35,Table1[#This Row],COLUMN(L34), FALSE)</f>
        <v>8.7137999999999902</v>
      </c>
      <c r="M35" t="str">
        <f>VLOOKUP($A35,Table1[#This Row],COLUMN(M34), FALSE)</f>
        <v>Medium</v>
      </c>
      <c r="N35" t="str">
        <f>VLOOKUP($A35,Table1[#This Row],COLUMN(N34), FALSE)</f>
        <v>Normal Order</v>
      </c>
      <c r="O35" t="str">
        <f>VLOOKUP($A35,Table1[#This Row],COLUMN(O34), FALSE)</f>
        <v>Adam Bellavance</v>
      </c>
      <c r="P35" t="str">
        <f>VLOOKUP($A35,Table1[#This Row],COLUMN(P34), FALSE)</f>
        <v>CA</v>
      </c>
      <c r="Q35" t="str">
        <f>VLOOKUP($A35,Table1[#This Row],COLUMN(Q34), FALSE)</f>
        <v>2013</v>
      </c>
      <c r="R35" t="str">
        <f>VLOOKUP($A35,Table1[#This Row],COLUMN(R34), FALSE)</f>
        <v>MEDIUM</v>
      </c>
      <c r="S35" t="str">
        <f>VLOOKUP($A35,Table1[#This Row],COLUMN(S34), FALSE)</f>
        <v>office supplies</v>
      </c>
      <c r="T35" t="str">
        <f>VLOOKUP($A35,Table1[#This Row],COLUMN(T34), FALSE)</f>
        <v>41535</v>
      </c>
      <c r="U35" t="str">
        <f>VLOOKUP($A35,Table1[#This Row],COLUMN(U34), FALSE)</f>
        <v>AB10060140</v>
      </c>
      <c r="V35" t="str">
        <f>VLOOKUP($A35,Table1[#This Row],COLUMN(V34), FALSE)</f>
        <v>CA</v>
      </c>
      <c r="W35">
        <f>VLOOKUP($A35,Table1[#This Row],COLUMN(W34), FALSE)</f>
        <v>2013</v>
      </c>
      <c r="X35" t="str">
        <f>VLOOKUP($A35,Table1[#This Row],COLUMN(X34), FALSE)</f>
        <v>AB10060140</v>
      </c>
      <c r="Y35">
        <f>VLOOKUP($A35,Table1[#This Row],COLUMN(Y34), FALSE)</f>
        <v>41535</v>
      </c>
      <c r="Z35" t="str">
        <f>VLOOKUP($A35,Table1[#This Row],COLUMN(Z34), FALSE)</f>
        <v>CA-2013-AB10060140-41535</v>
      </c>
      <c r="AA35">
        <f>VLOOKUP($A35,Table1[#This Row],COLUMN(AA34), FALSE)</f>
        <v>2013</v>
      </c>
      <c r="AB35">
        <f>VLOOKUP($A35,Table1[#This Row],COLUMN(AB34), FALSE)</f>
        <v>9</v>
      </c>
      <c r="AC35">
        <f>VLOOKUP($A35,Table1[#This Row],COLUMN(AC34), FALSE)</f>
        <v>4</v>
      </c>
      <c r="AD35">
        <f>VLOOKUP($A35,Table1[#This Row],COLUMN(AD34), FALSE)</f>
        <v>6</v>
      </c>
    </row>
    <row r="36" spans="1:30" ht="15.75">
      <c r="A36" s="53" t="s">
        <v>377</v>
      </c>
      <c r="B36" s="52">
        <f>VLOOKUP($A36,Table1[#This Row],COLUMN(B35), FALSE)</f>
        <v>41641</v>
      </c>
      <c r="C36" s="52">
        <f>VLOOKUP($A36,Table1[#This Row],COLUMN(C35), FALSE)</f>
        <v>41642</v>
      </c>
      <c r="D36" t="str">
        <f>VLOOKUP($A36,Table1[#This Row],COLUMN(D35), FALSE)</f>
        <v>Rob Lucas</v>
      </c>
      <c r="E36" t="str">
        <f>VLOOKUP($A36,Table1[#This Row],COLUMN(E35), FALSE)</f>
        <v>Australia</v>
      </c>
      <c r="F36" t="str">
        <f>VLOOKUP($A36,Table1[#This Row],COLUMN(F35), FALSE)</f>
        <v>Oceania</v>
      </c>
      <c r="G36" t="str">
        <f>VLOOKUP($A36,Table1[#This Row],COLUMN(G35), FALSE)</f>
        <v>Furniture</v>
      </c>
      <c r="H36" t="str">
        <f>VLOOKUP($A36,Table1[#This Row],COLUMN(H35), FALSE)</f>
        <v>Phones</v>
      </c>
      <c r="I36">
        <f>VLOOKUP($A36,Table1[#This Row],COLUMN(I35), FALSE)</f>
        <v>1637.01</v>
      </c>
      <c r="J36">
        <f>VLOOKUP($A36,Table1[#This Row],COLUMN(J35), FALSE)</f>
        <v>5</v>
      </c>
      <c r="K36">
        <f>VLOOKUP($A36,Table1[#This Row],COLUMN(K35), FALSE)</f>
        <v>0.1</v>
      </c>
      <c r="L36">
        <f>VLOOKUP($A36,Table1[#This Row],COLUMN(L35), FALSE)</f>
        <v>-36.39</v>
      </c>
      <c r="M36" t="str">
        <f>VLOOKUP($A36,Table1[#This Row],COLUMN(M35), FALSE)</f>
        <v>Medium</v>
      </c>
      <c r="N36" t="str">
        <f>VLOOKUP($A36,Table1[#This Row],COLUMN(N35), FALSE)</f>
        <v>Normal Order</v>
      </c>
      <c r="O36" t="str">
        <f>VLOOKUP($A36,Table1[#This Row],COLUMN(O35), FALSE)</f>
        <v>Rob Lucas</v>
      </c>
      <c r="P36" t="str">
        <f>VLOOKUP($A36,Table1[#This Row],COLUMN(P35), FALSE)</f>
        <v>ID</v>
      </c>
      <c r="Q36" t="str">
        <f>VLOOKUP($A36,Table1[#This Row],COLUMN(Q35), FALSE)</f>
        <v>2014</v>
      </c>
      <c r="R36" t="str">
        <f>VLOOKUP($A36,Table1[#This Row],COLUMN(R35), FALSE)</f>
        <v>MEDIUM</v>
      </c>
      <c r="S36" t="str">
        <f>VLOOKUP($A36,Table1[#This Row],COLUMN(S35), FALSE)</f>
        <v>furniture</v>
      </c>
      <c r="T36" t="str">
        <f>VLOOKUP($A36,Table1[#This Row],COLUMN(T35), FALSE)</f>
        <v>41641</v>
      </c>
      <c r="U36" t="str">
        <f>VLOOKUP($A36,Table1[#This Row],COLUMN(U35), FALSE)</f>
        <v>RL196157</v>
      </c>
      <c r="V36" t="str">
        <f>VLOOKUP($A36,Table1[#This Row],COLUMN(V35), FALSE)</f>
        <v>ID</v>
      </c>
      <c r="W36">
        <f>VLOOKUP($A36,Table1[#This Row],COLUMN(W35), FALSE)</f>
        <v>2014</v>
      </c>
      <c r="X36" t="str">
        <f>VLOOKUP($A36,Table1[#This Row],COLUMN(X35), FALSE)</f>
        <v>RL196157</v>
      </c>
      <c r="Y36">
        <f>VLOOKUP($A36,Table1[#This Row],COLUMN(Y35), FALSE)</f>
        <v>41641</v>
      </c>
      <c r="Z36" t="str">
        <f>VLOOKUP($A36,Table1[#This Row],COLUMN(Z35), FALSE)</f>
        <v>ID-2014-RL196157-41641</v>
      </c>
      <c r="AA36">
        <f>VLOOKUP($A36,Table1[#This Row],COLUMN(AA35), FALSE)</f>
        <v>2014</v>
      </c>
      <c r="AB36">
        <f>VLOOKUP($A36,Table1[#This Row],COLUMN(AB35), FALSE)</f>
        <v>1</v>
      </c>
      <c r="AC36">
        <f>VLOOKUP($A36,Table1[#This Row],COLUMN(AC35), FALSE)</f>
        <v>5</v>
      </c>
      <c r="AD36">
        <f>VLOOKUP($A36,Table1[#This Row],COLUMN(AD35), FALSE)</f>
        <v>1</v>
      </c>
    </row>
    <row r="37" spans="1:30" ht="15.75">
      <c r="A37" s="54" t="s">
        <v>304</v>
      </c>
      <c r="B37" s="52">
        <f>VLOOKUP($A37,Table1[#This Row],COLUMN(B36), FALSE)</f>
        <v>41884</v>
      </c>
      <c r="C37" s="52">
        <f>VLOOKUP($A37,Table1[#This Row],COLUMN(C36), FALSE)</f>
        <v>41886</v>
      </c>
      <c r="D37" t="str">
        <f>VLOOKUP($A37,Table1[#This Row],COLUMN(D36), FALSE)</f>
        <v>Adam Bellavance</v>
      </c>
      <c r="E37" t="str">
        <f>VLOOKUP($A37,Table1[#This Row],COLUMN(E36), FALSE)</f>
        <v>United States</v>
      </c>
      <c r="F37" t="str">
        <f>VLOOKUP($A37,Table1[#This Row],COLUMN(F36), FALSE)</f>
        <v>Eastern US</v>
      </c>
      <c r="G37" t="str">
        <f>VLOOKUP($A37,Table1[#This Row],COLUMN(G36), FALSE)</f>
        <v>Office Supplies</v>
      </c>
      <c r="H37" t="str">
        <f>VLOOKUP($A37,Table1[#This Row],COLUMN(H36), FALSE)</f>
        <v>Phones</v>
      </c>
      <c r="I37">
        <f>VLOOKUP($A37,Table1[#This Row],COLUMN(I36), FALSE)</f>
        <v>3.048</v>
      </c>
      <c r="J37">
        <f>VLOOKUP($A37,Table1[#This Row],COLUMN(J36), FALSE)</f>
        <v>1</v>
      </c>
      <c r="K37">
        <f>VLOOKUP($A37,Table1[#This Row],COLUMN(K36), FALSE)</f>
        <v>0.2</v>
      </c>
      <c r="L37">
        <f>VLOOKUP($A37,Table1[#This Row],COLUMN(L36), FALSE)</f>
        <v>1.0668</v>
      </c>
      <c r="M37" t="str">
        <f>VLOOKUP($A37,Table1[#This Row],COLUMN(M36), FALSE)</f>
        <v>Critical</v>
      </c>
      <c r="N37" t="str">
        <f>VLOOKUP($A37,Table1[#This Row],COLUMN(N36), FALSE)</f>
        <v>Normal Order</v>
      </c>
      <c r="O37" t="str">
        <f>VLOOKUP($A37,Table1[#This Row],COLUMN(O36), FALSE)</f>
        <v>Adam Bellavance</v>
      </c>
      <c r="P37" t="str">
        <f>VLOOKUP($A37,Table1[#This Row],COLUMN(P36), FALSE)</f>
        <v>CA</v>
      </c>
      <c r="Q37" t="str">
        <f>VLOOKUP($A37,Table1[#This Row],COLUMN(Q36), FALSE)</f>
        <v>2014</v>
      </c>
      <c r="R37" t="str">
        <f>VLOOKUP($A37,Table1[#This Row],COLUMN(R36), FALSE)</f>
        <v>CRITICAL</v>
      </c>
      <c r="S37" t="str">
        <f>VLOOKUP($A37,Table1[#This Row],COLUMN(S36), FALSE)</f>
        <v>office supplies</v>
      </c>
      <c r="T37" t="str">
        <f>VLOOKUP($A37,Table1[#This Row],COLUMN(T36), FALSE)</f>
        <v>41884</v>
      </c>
      <c r="U37" t="str">
        <f>VLOOKUP($A37,Table1[#This Row],COLUMN(U36), FALSE)</f>
        <v>AB10060140</v>
      </c>
      <c r="V37" t="str">
        <f>VLOOKUP($A37,Table1[#This Row],COLUMN(V36), FALSE)</f>
        <v>CA</v>
      </c>
      <c r="W37">
        <f>VLOOKUP($A37,Table1[#This Row],COLUMN(W36), FALSE)</f>
        <v>2014</v>
      </c>
      <c r="X37" t="str">
        <f>VLOOKUP($A37,Table1[#This Row],COLUMN(X36), FALSE)</f>
        <v>AB10060140</v>
      </c>
      <c r="Y37">
        <f>VLOOKUP($A37,Table1[#This Row],COLUMN(Y36), FALSE)</f>
        <v>41884</v>
      </c>
      <c r="Z37" t="str">
        <f>VLOOKUP($A37,Table1[#This Row],COLUMN(Z36), FALSE)</f>
        <v>CA-2014-AB10060140-41884</v>
      </c>
      <c r="AA37">
        <f>VLOOKUP($A37,Table1[#This Row],COLUMN(AA36), FALSE)</f>
        <v>2014</v>
      </c>
      <c r="AB37">
        <f>VLOOKUP($A37,Table1[#This Row],COLUMN(AB36), FALSE)</f>
        <v>9</v>
      </c>
      <c r="AC37">
        <f>VLOOKUP($A37,Table1[#This Row],COLUMN(AC36), FALSE)</f>
        <v>3</v>
      </c>
      <c r="AD37">
        <f>VLOOKUP($A37,Table1[#This Row],COLUMN(AD36), FALSE)</f>
        <v>2</v>
      </c>
    </row>
    <row r="38" spans="1:30" ht="15.75">
      <c r="A38" s="53" t="s">
        <v>383</v>
      </c>
      <c r="B38" s="52">
        <f>VLOOKUP($A38,Table1[#This Row],COLUMN(B37), FALSE)</f>
        <v>41076</v>
      </c>
      <c r="C38" s="52">
        <f>VLOOKUP($A38,Table1[#This Row],COLUMN(C37), FALSE)</f>
        <v>41078</v>
      </c>
      <c r="D38" t="str">
        <f>VLOOKUP($A38,Table1[#This Row],COLUMN(D37), FALSE)</f>
        <v>Bart Watters</v>
      </c>
      <c r="E38" t="str">
        <f>VLOOKUP($A38,Table1[#This Row],COLUMN(E37), FALSE)</f>
        <v>China</v>
      </c>
      <c r="F38" t="str">
        <f>VLOOKUP($A38,Table1[#This Row],COLUMN(F37), FALSE)</f>
        <v>Eastern Asia</v>
      </c>
      <c r="G38" t="str">
        <f>VLOOKUP($A38,Table1[#This Row],COLUMN(G37), FALSE)</f>
        <v>Furniture</v>
      </c>
      <c r="H38" t="str">
        <f>VLOOKUP($A38,Table1[#This Row],COLUMN(H37), FALSE)</f>
        <v>Phones</v>
      </c>
      <c r="I38">
        <f>VLOOKUP($A38,Table1[#This Row],COLUMN(I37), FALSE)</f>
        <v>3238.3049999999998</v>
      </c>
      <c r="J38">
        <f>VLOOKUP($A38,Table1[#This Row],COLUMN(J37), FALSE)</f>
        <v>5</v>
      </c>
      <c r="K38">
        <f>VLOOKUP($A38,Table1[#This Row],COLUMN(K37), FALSE)</f>
        <v>0.3</v>
      </c>
      <c r="L38">
        <f>VLOOKUP($A38,Table1[#This Row],COLUMN(L37), FALSE)</f>
        <v>-740.29499999999905</v>
      </c>
      <c r="M38" t="str">
        <f>VLOOKUP($A38,Table1[#This Row],COLUMN(M37), FALSE)</f>
        <v>High</v>
      </c>
      <c r="N38" t="str">
        <f>VLOOKUP($A38,Table1[#This Row],COLUMN(N37), FALSE)</f>
        <v>Normal Order</v>
      </c>
      <c r="O38" t="str">
        <f>VLOOKUP($A38,Table1[#This Row],COLUMN(O37), FALSE)</f>
        <v>Bart Watters</v>
      </c>
      <c r="P38" t="str">
        <f>VLOOKUP($A38,Table1[#This Row],COLUMN(P37), FALSE)</f>
        <v>IN</v>
      </c>
      <c r="Q38" t="str">
        <f>VLOOKUP($A38,Table1[#This Row],COLUMN(Q37), FALSE)</f>
        <v>2012</v>
      </c>
      <c r="R38" t="str">
        <f>VLOOKUP($A38,Table1[#This Row],COLUMN(R37), FALSE)</f>
        <v>HIGH</v>
      </c>
      <c r="S38" t="str">
        <f>VLOOKUP($A38,Table1[#This Row],COLUMN(S37), FALSE)</f>
        <v>furniture</v>
      </c>
      <c r="T38" t="str">
        <f>VLOOKUP($A38,Table1[#This Row],COLUMN(T37), FALSE)</f>
        <v>41076</v>
      </c>
      <c r="U38" t="str">
        <f>VLOOKUP($A38,Table1[#This Row],COLUMN(U37), FALSE)</f>
        <v>BW1111027</v>
      </c>
      <c r="V38" t="str">
        <f>VLOOKUP($A38,Table1[#This Row],COLUMN(V37), FALSE)</f>
        <v>IN</v>
      </c>
      <c r="W38">
        <f>VLOOKUP($A38,Table1[#This Row],COLUMN(W37), FALSE)</f>
        <v>2012</v>
      </c>
      <c r="X38" t="str">
        <f>VLOOKUP($A38,Table1[#This Row],COLUMN(X37), FALSE)</f>
        <v>BW1111027</v>
      </c>
      <c r="Y38">
        <f>VLOOKUP($A38,Table1[#This Row],COLUMN(Y37), FALSE)</f>
        <v>41076</v>
      </c>
      <c r="Z38" t="str">
        <f>VLOOKUP($A38,Table1[#This Row],COLUMN(Z37), FALSE)</f>
        <v>IN-2012-BW1111027-41076</v>
      </c>
      <c r="AA38">
        <f>VLOOKUP($A38,Table1[#This Row],COLUMN(AA37), FALSE)</f>
        <v>2012</v>
      </c>
      <c r="AB38">
        <f>VLOOKUP($A38,Table1[#This Row],COLUMN(AB37), FALSE)</f>
        <v>6</v>
      </c>
      <c r="AC38">
        <f>VLOOKUP($A38,Table1[#This Row],COLUMN(AC37), FALSE)</f>
        <v>7</v>
      </c>
      <c r="AD38">
        <f>VLOOKUP($A38,Table1[#This Row],COLUMN(AD37), FALSE)</f>
        <v>2</v>
      </c>
    </row>
    <row r="39" spans="1:30" ht="15.75">
      <c r="A39" s="54" t="s">
        <v>388</v>
      </c>
      <c r="B39" s="52">
        <f>VLOOKUP($A39,Table1[#This Row],COLUMN(B38), FALSE)</f>
        <v>41045</v>
      </c>
      <c r="C39" s="52">
        <f>VLOOKUP($A39,Table1[#This Row],COLUMN(C38), FALSE)</f>
        <v>41048</v>
      </c>
      <c r="D39" t="str">
        <f>VLOOKUP($A39,Table1[#This Row],COLUMN(D38), FALSE)</f>
        <v>Jill Matthias</v>
      </c>
      <c r="E39" t="str">
        <f>VLOOKUP($A39,Table1[#This Row],COLUMN(E38), FALSE)</f>
        <v>Mexico</v>
      </c>
      <c r="F39" t="str">
        <f>VLOOKUP($A39,Table1[#This Row],COLUMN(F38), FALSE)</f>
        <v>Central America</v>
      </c>
      <c r="G39" t="str">
        <f>VLOOKUP($A39,Table1[#This Row],COLUMN(G38), FALSE)</f>
        <v>Technology</v>
      </c>
      <c r="H39" t="str">
        <f>VLOOKUP($A39,Table1[#This Row],COLUMN(H38), FALSE)</f>
        <v>Tables</v>
      </c>
      <c r="I39">
        <f>VLOOKUP($A39,Table1[#This Row],COLUMN(I38), FALSE)</f>
        <v>2124.5</v>
      </c>
      <c r="J39">
        <f>VLOOKUP($A39,Table1[#This Row],COLUMN(J38), FALSE)</f>
        <v>5</v>
      </c>
      <c r="K39">
        <f>VLOOKUP($A39,Table1[#This Row],COLUMN(K38), FALSE)</f>
        <v>0</v>
      </c>
      <c r="L39">
        <f>VLOOKUP($A39,Table1[#This Row],COLUMN(L38), FALSE)</f>
        <v>488.6</v>
      </c>
      <c r="M39" t="str">
        <f>VLOOKUP($A39,Table1[#This Row],COLUMN(M38), FALSE)</f>
        <v>High</v>
      </c>
      <c r="N39" t="str">
        <f>VLOOKUP($A39,Table1[#This Row],COLUMN(N38), FALSE)</f>
        <v>Normal Order</v>
      </c>
      <c r="O39" t="str">
        <f>VLOOKUP($A39,Table1[#This Row],COLUMN(O38), FALSE)</f>
        <v>Jill Matthias</v>
      </c>
      <c r="P39" t="str">
        <f>VLOOKUP($A39,Table1[#This Row],COLUMN(P38), FALSE)</f>
        <v>MX</v>
      </c>
      <c r="Q39" t="str">
        <f>VLOOKUP($A39,Table1[#This Row],COLUMN(Q38), FALSE)</f>
        <v>2012</v>
      </c>
      <c r="R39" t="str">
        <f>VLOOKUP($A39,Table1[#This Row],COLUMN(R38), FALSE)</f>
        <v>HIGH</v>
      </c>
      <c r="S39" t="str">
        <f>VLOOKUP($A39,Table1[#This Row],COLUMN(S38), FALSE)</f>
        <v>technology</v>
      </c>
      <c r="T39" t="str">
        <f>VLOOKUP($A39,Table1[#This Row],COLUMN(T38), FALSE)</f>
        <v>41045</v>
      </c>
      <c r="U39" t="str">
        <f>VLOOKUP($A39,Table1[#This Row],COLUMN(U38), FALSE)</f>
        <v>JM1558082</v>
      </c>
      <c r="V39" t="str">
        <f>VLOOKUP($A39,Table1[#This Row],COLUMN(V38), FALSE)</f>
        <v>MX</v>
      </c>
      <c r="W39">
        <f>VLOOKUP($A39,Table1[#This Row],COLUMN(W38), FALSE)</f>
        <v>2012</v>
      </c>
      <c r="X39" t="str">
        <f>VLOOKUP($A39,Table1[#This Row],COLUMN(X38), FALSE)</f>
        <v>JM1558082</v>
      </c>
      <c r="Y39">
        <f>VLOOKUP($A39,Table1[#This Row],COLUMN(Y38), FALSE)</f>
        <v>41045</v>
      </c>
      <c r="Z39" t="str">
        <f>VLOOKUP($A39,Table1[#This Row],COLUMN(Z38), FALSE)</f>
        <v>MX-2012-JM1558082-41045</v>
      </c>
      <c r="AA39">
        <f>VLOOKUP($A39,Table1[#This Row],COLUMN(AA38), FALSE)</f>
        <v>2012</v>
      </c>
      <c r="AB39">
        <f>VLOOKUP($A39,Table1[#This Row],COLUMN(AB38), FALSE)</f>
        <v>5</v>
      </c>
      <c r="AC39">
        <f>VLOOKUP($A39,Table1[#This Row],COLUMN(AC38), FALSE)</f>
        <v>4</v>
      </c>
      <c r="AD39">
        <f>VLOOKUP($A39,Table1[#This Row],COLUMN(AD38), FALSE)</f>
        <v>3</v>
      </c>
    </row>
    <row r="40" spans="1:30" ht="15.75">
      <c r="A40" s="53" t="s">
        <v>326</v>
      </c>
      <c r="B40" s="52">
        <f>VLOOKUP($A40,Table1[#This Row],COLUMN(B39), FALSE)</f>
        <v>42314</v>
      </c>
      <c r="C40" s="52">
        <f>VLOOKUP($A40,Table1[#This Row],COLUMN(C39), FALSE)</f>
        <v>42316</v>
      </c>
      <c r="D40" t="str">
        <f>VLOOKUP($A40,Table1[#This Row],COLUMN(D39), FALSE)</f>
        <v>Adam Bellavance</v>
      </c>
      <c r="E40" t="str">
        <f>VLOOKUP($A40,Table1[#This Row],COLUMN(E39), FALSE)</f>
        <v>United States</v>
      </c>
      <c r="F40" t="str">
        <f>VLOOKUP($A40,Table1[#This Row],COLUMN(F39), FALSE)</f>
        <v>Central US</v>
      </c>
      <c r="G40" t="str">
        <f>VLOOKUP($A40,Table1[#This Row],COLUMN(G39), FALSE)</f>
        <v>Office Supplies</v>
      </c>
      <c r="H40" t="str">
        <f>VLOOKUP($A40,Table1[#This Row],COLUMN(H39), FALSE)</f>
        <v>Machines</v>
      </c>
      <c r="I40">
        <f>VLOOKUP($A40,Table1[#This Row],COLUMN(I39), FALSE)</f>
        <v>4.41</v>
      </c>
      <c r="J40">
        <f>VLOOKUP($A40,Table1[#This Row],COLUMN(J39), FALSE)</f>
        <v>1</v>
      </c>
      <c r="K40">
        <f>VLOOKUP($A40,Table1[#This Row],COLUMN(K39), FALSE)</f>
        <v>0</v>
      </c>
      <c r="L40">
        <f>VLOOKUP($A40,Table1[#This Row],COLUMN(L39), FALSE)</f>
        <v>2.0286</v>
      </c>
      <c r="M40" t="str">
        <f>VLOOKUP($A40,Table1[#This Row],COLUMN(M39), FALSE)</f>
        <v>High</v>
      </c>
      <c r="N40" t="str">
        <f>VLOOKUP($A40,Table1[#This Row],COLUMN(N39), FALSE)</f>
        <v>Normal Order</v>
      </c>
      <c r="O40" t="str">
        <f>VLOOKUP($A40,Table1[#This Row],COLUMN(O39), FALSE)</f>
        <v>Adam Bellavance</v>
      </c>
      <c r="P40" t="str">
        <f>VLOOKUP($A40,Table1[#This Row],COLUMN(P39), FALSE)</f>
        <v>CA</v>
      </c>
      <c r="Q40" t="str">
        <f>VLOOKUP($A40,Table1[#This Row],COLUMN(Q39), FALSE)</f>
        <v>2015</v>
      </c>
      <c r="R40" t="str">
        <f>VLOOKUP($A40,Table1[#This Row],COLUMN(R39), FALSE)</f>
        <v>HIGH</v>
      </c>
      <c r="S40" t="str">
        <f>VLOOKUP($A40,Table1[#This Row],COLUMN(S39), FALSE)</f>
        <v>office supplies</v>
      </c>
      <c r="T40" t="str">
        <f>VLOOKUP($A40,Table1[#This Row],COLUMN(T39), FALSE)</f>
        <v>42314</v>
      </c>
      <c r="U40" t="str">
        <f>VLOOKUP($A40,Table1[#This Row],COLUMN(U39), FALSE)</f>
        <v>AB10060140</v>
      </c>
      <c r="V40" t="str">
        <f>VLOOKUP($A40,Table1[#This Row],COLUMN(V39), FALSE)</f>
        <v>CA</v>
      </c>
      <c r="W40">
        <f>VLOOKUP($A40,Table1[#This Row],COLUMN(W39), FALSE)</f>
        <v>2015</v>
      </c>
      <c r="X40" t="str">
        <f>VLOOKUP($A40,Table1[#This Row],COLUMN(X39), FALSE)</f>
        <v>AB10060140</v>
      </c>
      <c r="Y40">
        <f>VLOOKUP($A40,Table1[#This Row],COLUMN(Y39), FALSE)</f>
        <v>42314</v>
      </c>
      <c r="Z40" t="str">
        <f>VLOOKUP($A40,Table1[#This Row],COLUMN(Z39), FALSE)</f>
        <v>CA-2015-AB10060140-42314</v>
      </c>
      <c r="AA40">
        <f>VLOOKUP($A40,Table1[#This Row],COLUMN(AA39), FALSE)</f>
        <v>2015</v>
      </c>
      <c r="AB40">
        <f>VLOOKUP($A40,Table1[#This Row],COLUMN(AB39), FALSE)</f>
        <v>11</v>
      </c>
      <c r="AC40">
        <f>VLOOKUP($A40,Table1[#This Row],COLUMN(AC39), FALSE)</f>
        <v>6</v>
      </c>
      <c r="AD40">
        <f>VLOOKUP($A40,Table1[#This Row],COLUMN(AD39), FALSE)</f>
        <v>2</v>
      </c>
    </row>
    <row r="41" spans="1:30" ht="15.75">
      <c r="A41" s="54" t="s">
        <v>417</v>
      </c>
      <c r="B41" s="52">
        <f>VLOOKUP($A41,Table1[#This Row],COLUMN(B40), FALSE)</f>
        <v>42301</v>
      </c>
      <c r="C41" s="52">
        <f>VLOOKUP($A41,Table1[#This Row],COLUMN(C40), FALSE)</f>
        <v>42302</v>
      </c>
      <c r="D41" t="str">
        <f>VLOOKUP($A41,Table1[#This Row],COLUMN(D40), FALSE)</f>
        <v>Adam Hart</v>
      </c>
      <c r="E41" t="str">
        <f>VLOOKUP($A41,Table1[#This Row],COLUMN(E40), FALSE)</f>
        <v>United States</v>
      </c>
      <c r="F41" t="str">
        <f>VLOOKUP($A41,Table1[#This Row],COLUMN(F40), FALSE)</f>
        <v>Eastern US</v>
      </c>
      <c r="G41" t="str">
        <f>VLOOKUP($A41,Table1[#This Row],COLUMN(G40), FALSE)</f>
        <v>Furniture</v>
      </c>
      <c r="H41" t="str">
        <f>VLOOKUP($A41,Table1[#This Row],COLUMN(H40), FALSE)</f>
        <v>Chairs</v>
      </c>
      <c r="I41">
        <f>VLOOKUP($A41,Table1[#This Row],COLUMN(I40), FALSE)</f>
        <v>637.89599999999996</v>
      </c>
      <c r="J41">
        <f>VLOOKUP($A41,Table1[#This Row],COLUMN(J40), FALSE)</f>
        <v>3</v>
      </c>
      <c r="K41">
        <f>VLOOKUP($A41,Table1[#This Row],COLUMN(K40), FALSE)</f>
        <v>0.3</v>
      </c>
      <c r="L41">
        <f>VLOOKUP($A41,Table1[#This Row],COLUMN(L40), FALSE)</f>
        <v>-127.57919999999901</v>
      </c>
      <c r="M41" t="str">
        <f>VLOOKUP($A41,Table1[#This Row],COLUMN(M40), FALSE)</f>
        <v>Critical</v>
      </c>
      <c r="N41" t="str">
        <f>VLOOKUP($A41,Table1[#This Row],COLUMN(N40), FALSE)</f>
        <v>Normal Order</v>
      </c>
      <c r="O41" t="str">
        <f>VLOOKUP($A41,Table1[#This Row],COLUMN(O40), FALSE)</f>
        <v>Adam Hart</v>
      </c>
      <c r="P41" t="str">
        <f>VLOOKUP($A41,Table1[#This Row],COLUMN(P40), FALSE)</f>
        <v>CA</v>
      </c>
      <c r="Q41" t="str">
        <f>VLOOKUP($A41,Table1[#This Row],COLUMN(Q40), FALSE)</f>
        <v>2015</v>
      </c>
      <c r="R41" t="str">
        <f>VLOOKUP($A41,Table1[#This Row],COLUMN(R40), FALSE)</f>
        <v>CRITICAL</v>
      </c>
      <c r="S41" t="str">
        <f>VLOOKUP($A41,Table1[#This Row],COLUMN(S40), FALSE)</f>
        <v>furniture</v>
      </c>
      <c r="T41" t="str">
        <f>VLOOKUP($A41,Table1[#This Row],COLUMN(T40), FALSE)</f>
        <v>42301</v>
      </c>
      <c r="U41" t="str">
        <f>VLOOKUP($A41,Table1[#This Row],COLUMN(U40), FALSE)</f>
        <v>AH10075140</v>
      </c>
      <c r="V41" t="str">
        <f>VLOOKUP($A41,Table1[#This Row],COLUMN(V40), FALSE)</f>
        <v>CA</v>
      </c>
      <c r="W41">
        <f>VLOOKUP($A41,Table1[#This Row],COLUMN(W40), FALSE)</f>
        <v>2015</v>
      </c>
      <c r="X41" t="str">
        <f>VLOOKUP($A41,Table1[#This Row],COLUMN(X40), FALSE)</f>
        <v>AH10075140</v>
      </c>
      <c r="Y41">
        <f>VLOOKUP($A41,Table1[#This Row],COLUMN(Y40), FALSE)</f>
        <v>42301</v>
      </c>
      <c r="Z41" t="str">
        <f>VLOOKUP($A41,Table1[#This Row],COLUMN(Z40), FALSE)</f>
        <v>CA-2015-AH10075140-42301</v>
      </c>
      <c r="AA41">
        <f>VLOOKUP($A41,Table1[#This Row],COLUMN(AA40), FALSE)</f>
        <v>2015</v>
      </c>
      <c r="AB41">
        <f>VLOOKUP($A41,Table1[#This Row],COLUMN(AB40), FALSE)</f>
        <v>10</v>
      </c>
      <c r="AC41">
        <f>VLOOKUP($A41,Table1[#This Row],COLUMN(AC40), FALSE)</f>
        <v>7</v>
      </c>
      <c r="AD41">
        <f>VLOOKUP($A41,Table1[#This Row],COLUMN(AD40), FALSE)</f>
        <v>1</v>
      </c>
    </row>
    <row r="42" spans="1:30" ht="15.75">
      <c r="A42" s="53" t="s">
        <v>419</v>
      </c>
      <c r="B42" s="52">
        <f>VLOOKUP($A42,Table1[#This Row],COLUMN(B41), FALSE)</f>
        <v>42197</v>
      </c>
      <c r="C42" s="52">
        <f>VLOOKUP($A42,Table1[#This Row],COLUMN(C41), FALSE)</f>
        <v>42199</v>
      </c>
      <c r="D42" t="str">
        <f>VLOOKUP($A42,Table1[#This Row],COLUMN(D41), FALSE)</f>
        <v>Alex Grayson</v>
      </c>
      <c r="E42" t="str">
        <f>VLOOKUP($A42,Table1[#This Row],COLUMN(E41), FALSE)</f>
        <v>Indonesia</v>
      </c>
      <c r="F42" t="str">
        <f>VLOOKUP($A42,Table1[#This Row],COLUMN(F41), FALSE)</f>
        <v>Southeastern Asia</v>
      </c>
      <c r="G42" t="str">
        <f>VLOOKUP($A42,Table1[#This Row],COLUMN(G41), FALSE)</f>
        <v>Office Supplies</v>
      </c>
      <c r="H42" t="str">
        <f>VLOOKUP($A42,Table1[#This Row],COLUMN(H41), FALSE)</f>
        <v>Tables</v>
      </c>
      <c r="I42">
        <f>VLOOKUP($A42,Table1[#This Row],COLUMN(I41), FALSE)</f>
        <v>1722.2831999999901</v>
      </c>
      <c r="J42">
        <f>VLOOKUP($A42,Table1[#This Row],COLUMN(J41), FALSE)</f>
        <v>4</v>
      </c>
      <c r="K42">
        <f>VLOOKUP($A42,Table1[#This Row],COLUMN(K41), FALSE)</f>
        <v>0.17</v>
      </c>
      <c r="L42">
        <f>VLOOKUP($A42,Table1[#This Row],COLUMN(L41), FALSE)</f>
        <v>539.44319999999902</v>
      </c>
      <c r="M42" t="str">
        <f>VLOOKUP($A42,Table1[#This Row],COLUMN(M41), FALSE)</f>
        <v>Critical</v>
      </c>
      <c r="N42" t="str">
        <f>VLOOKUP($A42,Table1[#This Row],COLUMN(N41), FALSE)</f>
        <v>Normal Order</v>
      </c>
      <c r="O42" t="str">
        <f>VLOOKUP($A42,Table1[#This Row],COLUMN(O41), FALSE)</f>
        <v>Alex Grayson</v>
      </c>
      <c r="P42" t="str">
        <f>VLOOKUP($A42,Table1[#This Row],COLUMN(P41), FALSE)</f>
        <v>IN</v>
      </c>
      <c r="Q42" t="str">
        <f>VLOOKUP($A42,Table1[#This Row],COLUMN(Q41), FALSE)</f>
        <v>2015</v>
      </c>
      <c r="R42" t="str">
        <f>VLOOKUP($A42,Table1[#This Row],COLUMN(R41), FALSE)</f>
        <v>CRITICAL</v>
      </c>
      <c r="S42" t="str">
        <f>VLOOKUP($A42,Table1[#This Row],COLUMN(S41), FALSE)</f>
        <v>office supplies</v>
      </c>
      <c r="T42" t="str">
        <f>VLOOKUP($A42,Table1[#This Row],COLUMN(T41), FALSE)</f>
        <v>42197</v>
      </c>
      <c r="U42" t="str">
        <f>VLOOKUP($A42,Table1[#This Row],COLUMN(U41), FALSE)</f>
        <v>AG1033059</v>
      </c>
      <c r="V42" t="str">
        <f>VLOOKUP($A42,Table1[#This Row],COLUMN(V41), FALSE)</f>
        <v>IN</v>
      </c>
      <c r="W42">
        <f>VLOOKUP($A42,Table1[#This Row],COLUMN(W41), FALSE)</f>
        <v>2015</v>
      </c>
      <c r="X42" t="str">
        <f>VLOOKUP($A42,Table1[#This Row],COLUMN(X41), FALSE)</f>
        <v>AG1033059</v>
      </c>
      <c r="Y42">
        <f>VLOOKUP($A42,Table1[#This Row],COLUMN(Y41), FALSE)</f>
        <v>42197</v>
      </c>
      <c r="Z42" t="str">
        <f>VLOOKUP($A42,Table1[#This Row],COLUMN(Z41), FALSE)</f>
        <v>IN-2015-AG1033059-42197</v>
      </c>
      <c r="AA42">
        <f>VLOOKUP($A42,Table1[#This Row],COLUMN(AA41), FALSE)</f>
        <v>2015</v>
      </c>
      <c r="AB42">
        <f>VLOOKUP($A42,Table1[#This Row],COLUMN(AB41), FALSE)</f>
        <v>7</v>
      </c>
      <c r="AC42">
        <f>VLOOKUP($A42,Table1[#This Row],COLUMN(AC41), FALSE)</f>
        <v>1</v>
      </c>
      <c r="AD42">
        <f>VLOOKUP($A42,Table1[#This Row],COLUMN(AD41), FALSE)</f>
        <v>2</v>
      </c>
    </row>
    <row r="43" spans="1:30" ht="15.75">
      <c r="A43" s="54" t="s">
        <v>417</v>
      </c>
      <c r="B43" s="52" t="str">
        <f>VLOOKUP($A43,Table1[#This Row],COLUMN(B42), FALSE)</f>
        <v>20151-0-24</v>
      </c>
      <c r="C43" s="52">
        <f>VLOOKUP($A43,Table1[#This Row],COLUMN(C42), FALSE)</f>
        <v>42302</v>
      </c>
      <c r="D43" t="str">
        <f>VLOOKUP($A43,Table1[#This Row],COLUMN(D42), FALSE)</f>
        <v>dAam Hart</v>
      </c>
      <c r="E43" t="str">
        <f>VLOOKUP($A43,Table1[#This Row],COLUMN(E42), FALSE)</f>
        <v>United States</v>
      </c>
      <c r="F43" t="str">
        <f>VLOOKUP($A43,Table1[#This Row],COLUMN(F42), FALSE)</f>
        <v>Eastern US</v>
      </c>
      <c r="G43" t="str">
        <f>VLOOKUP($A43,Table1[#This Row],COLUMN(G42), FALSE)</f>
        <v>Furniture</v>
      </c>
      <c r="H43" t="str">
        <f>VLOOKUP($A43,Table1[#This Row],COLUMN(H42), FALSE)</f>
        <v>Binders</v>
      </c>
      <c r="I43">
        <f>VLOOKUP($A43,Table1[#This Row],COLUMN(I42), FALSE)</f>
        <v>210.68</v>
      </c>
      <c r="J43">
        <f>VLOOKUP($A43,Table1[#This Row],COLUMN(J42), FALSE)</f>
        <v>2</v>
      </c>
      <c r="K43">
        <f>VLOOKUP($A43,Table1[#This Row],COLUMN(K42), FALSE)</f>
        <v>0</v>
      </c>
      <c r="L43">
        <f>VLOOKUP($A43,Table1[#This Row],COLUMN(L42), FALSE)</f>
        <v>50.563199999999902</v>
      </c>
      <c r="M43" t="str">
        <f>VLOOKUP($A43,Table1[#This Row],COLUMN(M42), FALSE)</f>
        <v>Critical</v>
      </c>
      <c r="N43" t="str">
        <f>VLOOKUP($A43,Table1[#This Row],COLUMN(N42), FALSE)</f>
        <v>Normal Order</v>
      </c>
      <c r="O43" t="str">
        <f>VLOOKUP($A43,Table1[#This Row],COLUMN(O42), FALSE)</f>
        <v>Daam Hart</v>
      </c>
      <c r="P43" t="str">
        <f>VLOOKUP($A43,Table1[#This Row],COLUMN(P42), FALSE)</f>
        <v>CA</v>
      </c>
      <c r="Q43" t="str">
        <f>VLOOKUP($A43,Table1[#This Row],COLUMN(Q42), FALSE)</f>
        <v>2015</v>
      </c>
      <c r="R43" t="str">
        <f>VLOOKUP($A43,Table1[#This Row],COLUMN(R42), FALSE)</f>
        <v>CRITICAL</v>
      </c>
      <c r="S43" t="str">
        <f>VLOOKUP($A43,Table1[#This Row],COLUMN(S42), FALSE)</f>
        <v>furniture</v>
      </c>
      <c r="T43" t="str">
        <f>VLOOKUP($A43,Table1[#This Row],COLUMN(T42), FALSE)</f>
        <v>42301</v>
      </c>
      <c r="U43" t="str">
        <f>VLOOKUP($A43,Table1[#This Row],COLUMN(U42), FALSE)</f>
        <v>AH10075140</v>
      </c>
      <c r="V43" t="str">
        <f>VLOOKUP($A43,Table1[#This Row],COLUMN(V42), FALSE)</f>
        <v>CA</v>
      </c>
      <c r="W43">
        <f>VLOOKUP($A43,Table1[#This Row],COLUMN(W42), FALSE)</f>
        <v>2015</v>
      </c>
      <c r="X43" t="str">
        <f>VLOOKUP($A43,Table1[#This Row],COLUMN(X42), FALSE)</f>
        <v>AH10075140</v>
      </c>
      <c r="Y43">
        <f>VLOOKUP($A43,Table1[#This Row],COLUMN(Y42), FALSE)</f>
        <v>42301</v>
      </c>
      <c r="Z43" t="str">
        <f>VLOOKUP($A43,Table1[#This Row],COLUMN(Z42), FALSE)</f>
        <v>CA-2015-AH10075140-42301</v>
      </c>
      <c r="AA43">
        <f>VLOOKUP($A43,Table1[#This Row],COLUMN(AA42), FALSE)</f>
        <v>0</v>
      </c>
      <c r="AB43">
        <f>VLOOKUP($A43,Table1[#This Row],COLUMN(AB42), FALSE)</f>
        <v>0</v>
      </c>
      <c r="AC43">
        <f>VLOOKUP($A43,Table1[#This Row],COLUMN(AC42), FALSE)</f>
        <v>0</v>
      </c>
      <c r="AD43">
        <f>VLOOKUP($A43,Table1[#This Row],COLUMN(AD42), FALSE)</f>
        <v>0</v>
      </c>
    </row>
    <row r="44" spans="1:30" ht="15.75">
      <c r="A44" s="53" t="s">
        <v>423</v>
      </c>
      <c r="B44" s="52">
        <f>VLOOKUP($A44,Table1[#This Row],COLUMN(B43), FALSE)</f>
        <v>42248</v>
      </c>
      <c r="C44" s="52">
        <f>VLOOKUP($A44,Table1[#This Row],COLUMN(C43), FALSE)</f>
        <v>42248</v>
      </c>
      <c r="D44" t="str">
        <f>VLOOKUP($A44,Table1[#This Row],COLUMN(D43), FALSE)</f>
        <v>Neil FranzÃ¶sisch</v>
      </c>
      <c r="E44" t="str">
        <f>VLOOKUP($A44,Table1[#This Row],COLUMN(E43), FALSE)</f>
        <v>Germany</v>
      </c>
      <c r="F44" t="str">
        <f>VLOOKUP($A44,Table1[#This Row],COLUMN(F43), FALSE)</f>
        <v>Western Europe</v>
      </c>
      <c r="G44" t="str">
        <f>VLOOKUP($A44,Table1[#This Row],COLUMN(G43), FALSE)</f>
        <v>Office Supplies</v>
      </c>
      <c r="H44" t="str">
        <f>VLOOKUP($A44,Table1[#This Row],COLUMN(H43), FALSE)</f>
        <v>Appliances</v>
      </c>
      <c r="I44">
        <f>VLOOKUP($A44,Table1[#This Row],COLUMN(I43), FALSE)</f>
        <v>1007.424</v>
      </c>
      <c r="J44">
        <f>VLOOKUP($A44,Table1[#This Row],COLUMN(J43), FALSE)</f>
        <v>2</v>
      </c>
      <c r="K44">
        <f>VLOOKUP($A44,Table1[#This Row],COLUMN(K43), FALSE)</f>
        <v>0.1</v>
      </c>
      <c r="L44">
        <f>VLOOKUP($A44,Table1[#This Row],COLUMN(L43), FALSE)</f>
        <v>134.30399999999901</v>
      </c>
      <c r="M44" t="str">
        <f>VLOOKUP($A44,Table1[#This Row],COLUMN(M43), FALSE)</f>
        <v>Critical</v>
      </c>
      <c r="N44" t="str">
        <f>VLOOKUP($A44,Table1[#This Row],COLUMN(N43), FALSE)</f>
        <v>Normal Order</v>
      </c>
      <c r="O44" t="str">
        <f>VLOOKUP($A44,Table1[#This Row],COLUMN(O43), FALSE)</f>
        <v>Neil Franzã¶Sisch</v>
      </c>
      <c r="P44" t="str">
        <f>VLOOKUP($A44,Table1[#This Row],COLUMN(P43), FALSE)</f>
        <v>ES</v>
      </c>
      <c r="Q44" t="str">
        <f>VLOOKUP($A44,Table1[#This Row],COLUMN(Q43), FALSE)</f>
        <v>2015</v>
      </c>
      <c r="R44" t="str">
        <f>VLOOKUP($A44,Table1[#This Row],COLUMN(R43), FALSE)</f>
        <v>CRITICAL</v>
      </c>
      <c r="S44" t="str">
        <f>VLOOKUP($A44,Table1[#This Row],COLUMN(S43), FALSE)</f>
        <v>office supplies</v>
      </c>
      <c r="T44" t="str">
        <f>VLOOKUP($A44,Table1[#This Row],COLUMN(T43), FALSE)</f>
        <v>42248</v>
      </c>
      <c r="U44" t="str">
        <f>VLOOKUP($A44,Table1[#This Row],COLUMN(U43), FALSE)</f>
        <v>NF1847548</v>
      </c>
      <c r="V44" t="str">
        <f>VLOOKUP($A44,Table1[#This Row],COLUMN(V43), FALSE)</f>
        <v>ES</v>
      </c>
      <c r="W44">
        <f>VLOOKUP($A44,Table1[#This Row],COLUMN(W43), FALSE)</f>
        <v>2015</v>
      </c>
      <c r="X44" t="str">
        <f>VLOOKUP($A44,Table1[#This Row],COLUMN(X43), FALSE)</f>
        <v>NF1847548</v>
      </c>
      <c r="Y44">
        <f>VLOOKUP($A44,Table1[#This Row],COLUMN(Y43), FALSE)</f>
        <v>42248</v>
      </c>
      <c r="Z44" t="str">
        <f>VLOOKUP($A44,Table1[#This Row],COLUMN(Z43), FALSE)</f>
        <v>ES-2015-NF1847548-42248</v>
      </c>
      <c r="AA44">
        <f>VLOOKUP($A44,Table1[#This Row],COLUMN(AA43), FALSE)</f>
        <v>2015</v>
      </c>
      <c r="AB44">
        <f>VLOOKUP($A44,Table1[#This Row],COLUMN(AB43), FALSE)</f>
        <v>9</v>
      </c>
      <c r="AC44">
        <f>VLOOKUP($A44,Table1[#This Row],COLUMN(AC43), FALSE)</f>
        <v>3</v>
      </c>
      <c r="AD44">
        <f>VLOOKUP($A44,Table1[#This Row],COLUMN(AD43), FALSE)</f>
        <v>0</v>
      </c>
    </row>
    <row r="45" spans="1:30" ht="15.75">
      <c r="A45" s="54" t="s">
        <v>417</v>
      </c>
      <c r="B45" s="52">
        <f>VLOOKUP($A45,Table1[#This Row],COLUMN(B44), FALSE)</f>
        <v>42301</v>
      </c>
      <c r="C45" s="52">
        <f>VLOOKUP($A45,Table1[#This Row],COLUMN(C44), FALSE)</f>
        <v>42302</v>
      </c>
      <c r="D45" t="str">
        <f>VLOOKUP($A45,Table1[#This Row],COLUMN(D44), FALSE)</f>
        <v>Adam Hart</v>
      </c>
      <c r="E45" t="str">
        <f>VLOOKUP($A45,Table1[#This Row],COLUMN(E44), FALSE)</f>
        <v>United States</v>
      </c>
      <c r="F45" t="str">
        <f>VLOOKUP($A45,Table1[#This Row],COLUMN(F44), FALSE)</f>
        <v>Eastern US</v>
      </c>
      <c r="G45" t="str">
        <f>VLOOKUP($A45,Table1[#This Row],COLUMN(G44), FALSE)</f>
        <v>Furniture</v>
      </c>
      <c r="H45" t="str">
        <f>VLOOKUP($A45,Table1[#This Row],COLUMN(H44), FALSE)</f>
        <v>Phones</v>
      </c>
      <c r="I45">
        <f>VLOOKUP($A45,Table1[#This Row],COLUMN(I44), FALSE)</f>
        <v>240.744</v>
      </c>
      <c r="J45">
        <f>VLOOKUP($A45,Table1[#This Row],COLUMN(J44), FALSE)</f>
        <v>4</v>
      </c>
      <c r="K45">
        <f>VLOOKUP($A45,Table1[#This Row],COLUMN(K44), FALSE)</f>
        <v>0.3</v>
      </c>
      <c r="L45">
        <f>VLOOKUP($A45,Table1[#This Row],COLUMN(L44), FALSE)</f>
        <v>-13.756799999999901</v>
      </c>
      <c r="M45" t="str">
        <f>VLOOKUP($A45,Table1[#This Row],COLUMN(M44), FALSE)</f>
        <v>Critical</v>
      </c>
      <c r="N45" t="str">
        <f>VLOOKUP($A45,Table1[#This Row],COLUMN(N44), FALSE)</f>
        <v>Normal Order</v>
      </c>
      <c r="O45" t="str">
        <f>VLOOKUP($A45,Table1[#This Row],COLUMN(O44), FALSE)</f>
        <v>Adam Hart</v>
      </c>
      <c r="P45" t="str">
        <f>VLOOKUP($A45,Table1[#This Row],COLUMN(P44), FALSE)</f>
        <v>CA</v>
      </c>
      <c r="Q45" t="str">
        <f>VLOOKUP($A45,Table1[#This Row],COLUMN(Q44), FALSE)</f>
        <v>2015</v>
      </c>
      <c r="R45" t="str">
        <f>VLOOKUP($A45,Table1[#This Row],COLUMN(R44), FALSE)</f>
        <v>CRITICAL</v>
      </c>
      <c r="S45" t="str">
        <f>VLOOKUP($A45,Table1[#This Row],COLUMN(S44), FALSE)</f>
        <v>furniture</v>
      </c>
      <c r="T45" t="str">
        <f>VLOOKUP($A45,Table1[#This Row],COLUMN(T44), FALSE)</f>
        <v>42301</v>
      </c>
      <c r="U45" t="str">
        <f>VLOOKUP($A45,Table1[#This Row],COLUMN(U44), FALSE)</f>
        <v>AH10075140</v>
      </c>
      <c r="V45" t="str">
        <f>VLOOKUP($A45,Table1[#This Row],COLUMN(V44), FALSE)</f>
        <v>CA</v>
      </c>
      <c r="W45">
        <f>VLOOKUP($A45,Table1[#This Row],COLUMN(W44), FALSE)</f>
        <v>2015</v>
      </c>
      <c r="X45" t="str">
        <f>VLOOKUP($A45,Table1[#This Row],COLUMN(X44), FALSE)</f>
        <v>AH10075140</v>
      </c>
      <c r="Y45">
        <f>VLOOKUP($A45,Table1[#This Row],COLUMN(Y44), FALSE)</f>
        <v>42301</v>
      </c>
      <c r="Z45" t="str">
        <f>VLOOKUP($A45,Table1[#This Row],COLUMN(Z44), FALSE)</f>
        <v>CA-2015-AH10075140-42301</v>
      </c>
      <c r="AA45">
        <f>VLOOKUP($A45,Table1[#This Row],COLUMN(AA44), FALSE)</f>
        <v>2015</v>
      </c>
      <c r="AB45">
        <f>VLOOKUP($A45,Table1[#This Row],COLUMN(AB44), FALSE)</f>
        <v>10</v>
      </c>
      <c r="AC45">
        <f>VLOOKUP($A45,Table1[#This Row],COLUMN(AC44), FALSE)</f>
        <v>7</v>
      </c>
      <c r="AD45">
        <f>VLOOKUP($A45,Table1[#This Row],COLUMN(AD44), FALSE)</f>
        <v>1</v>
      </c>
    </row>
    <row r="46" spans="1:30" ht="15.75">
      <c r="A46" s="53" t="s">
        <v>430</v>
      </c>
      <c r="B46" s="52">
        <f>VLOOKUP($A46,Table1[#This Row],COLUMN(B45), FALSE)</f>
        <v>41800</v>
      </c>
      <c r="C46" s="52">
        <f>VLOOKUP($A46,Table1[#This Row],COLUMN(C45), FALSE)</f>
        <v>41800</v>
      </c>
      <c r="D46" t="str">
        <f>VLOOKUP($A46,Table1[#This Row],COLUMN(D45), FALSE)</f>
        <v>Nathan aMutz</v>
      </c>
      <c r="E46" t="str">
        <f>VLOOKUP($A46,Table1[#This Row],COLUMN(E45), FALSE)</f>
        <v>China</v>
      </c>
      <c r="F46" t="str">
        <f>VLOOKUP($A46,Table1[#This Row],COLUMN(F45), FALSE)</f>
        <v>Eastern Asia</v>
      </c>
      <c r="G46" t="str">
        <f>VLOOKUP($A46,Table1[#This Row],COLUMN(G45), FALSE)</f>
        <v>Technology</v>
      </c>
      <c r="H46" t="str">
        <f>VLOOKUP($A46,Table1[#This Row],COLUMN(H45), FALSE)</f>
        <v>Appliances</v>
      </c>
      <c r="I46">
        <f>VLOOKUP($A46,Table1[#This Row],COLUMN(I45), FALSE)</f>
        <v>957.599999999999</v>
      </c>
      <c r="J46">
        <f>VLOOKUP($A46,Table1[#This Row],COLUMN(J45), FALSE)</f>
        <v>4</v>
      </c>
      <c r="K46">
        <f>VLOOKUP($A46,Table1[#This Row],COLUMN(K45), FALSE)</f>
        <v>0</v>
      </c>
      <c r="L46">
        <f>VLOOKUP($A46,Table1[#This Row],COLUMN(L45), FALSE)</f>
        <v>0</v>
      </c>
      <c r="M46" t="str">
        <f>VLOOKUP($A46,Table1[#This Row],COLUMN(M45), FALSE)</f>
        <v xml:space="preserve"> Critical </v>
      </c>
      <c r="N46" t="str">
        <f>VLOOKUP($A46,Table1[#This Row],COLUMN(N45), FALSE)</f>
        <v>Normal Order</v>
      </c>
      <c r="O46" t="str">
        <f>VLOOKUP($A46,Table1[#This Row],COLUMN(O45), FALSE)</f>
        <v>Nathan Amutz</v>
      </c>
      <c r="P46" t="str">
        <f>VLOOKUP($A46,Table1[#This Row],COLUMN(P45), FALSE)</f>
        <v>IN</v>
      </c>
      <c r="Q46" t="str">
        <f>VLOOKUP($A46,Table1[#This Row],COLUMN(Q45), FALSE)</f>
        <v>2014</v>
      </c>
      <c r="R46" t="str">
        <f>VLOOKUP($A46,Table1[#This Row],COLUMN(R45), FALSE)</f>
        <v xml:space="preserve"> CRITICAL </v>
      </c>
      <c r="S46" t="str">
        <f>VLOOKUP($A46,Table1[#This Row],COLUMN(S45), FALSE)</f>
        <v>technology</v>
      </c>
      <c r="T46" t="str">
        <f>VLOOKUP($A46,Table1[#This Row],COLUMN(T45), FALSE)</f>
        <v>41800</v>
      </c>
      <c r="U46" t="str">
        <f>VLOOKUP($A46,Table1[#This Row],COLUMN(U45), FALSE)</f>
        <v>NM1844527</v>
      </c>
      <c r="V46" t="str">
        <f>VLOOKUP($A46,Table1[#This Row],COLUMN(V45), FALSE)</f>
        <v>IN</v>
      </c>
      <c r="W46">
        <f>VLOOKUP($A46,Table1[#This Row],COLUMN(W45), FALSE)</f>
        <v>2014</v>
      </c>
      <c r="X46" t="str">
        <f>VLOOKUP($A46,Table1[#This Row],COLUMN(X45), FALSE)</f>
        <v>NM1844527</v>
      </c>
      <c r="Y46">
        <f>VLOOKUP($A46,Table1[#This Row],COLUMN(Y45), FALSE)</f>
        <v>41800</v>
      </c>
      <c r="Z46" t="str">
        <f>VLOOKUP($A46,Table1[#This Row],COLUMN(Z45), FALSE)</f>
        <v>IN-2014-NM1844527-41800</v>
      </c>
      <c r="AA46">
        <f>VLOOKUP($A46,Table1[#This Row],COLUMN(AA45), FALSE)</f>
        <v>2014</v>
      </c>
      <c r="AB46">
        <f>VLOOKUP($A46,Table1[#This Row],COLUMN(AB45), FALSE)</f>
        <v>6</v>
      </c>
      <c r="AC46">
        <f>VLOOKUP($A46,Table1[#This Row],COLUMN(AC45), FALSE)</f>
        <v>3</v>
      </c>
      <c r="AD46">
        <f>VLOOKUP($A46,Table1[#This Row],COLUMN(AD45), FALSE)</f>
        <v>0</v>
      </c>
    </row>
    <row r="47" spans="1:30" ht="15.75">
      <c r="A47" s="54" t="s">
        <v>441</v>
      </c>
      <c r="B47" s="52">
        <f>VLOOKUP($A47,Table1[#This Row],COLUMN(B46), FALSE)</f>
        <v>41817</v>
      </c>
      <c r="C47" s="52">
        <f>VLOOKUP($A47,Table1[#This Row],COLUMN(C46), FALSE)</f>
        <v>41817</v>
      </c>
      <c r="D47" t="str">
        <f>VLOOKUP($A47,Table1[#This Row],COLUMN(D46), FALSE)</f>
        <v>Adam Hart</v>
      </c>
      <c r="E47" t="str">
        <f>VLOOKUP($A47,Table1[#This Row],COLUMN(E46), FALSE)</f>
        <v>United States</v>
      </c>
      <c r="F47" t="str">
        <f>VLOOKUP($A47,Table1[#This Row],COLUMN(F46), FALSE)</f>
        <v>Western US</v>
      </c>
      <c r="G47" t="str">
        <f>VLOOKUP($A47,Table1[#This Row],COLUMN(G46), FALSE)</f>
        <v>Office Supplies</v>
      </c>
      <c r="H47" t="str">
        <f>VLOOKUP($A47,Table1[#This Row],COLUMN(H46), FALSE)</f>
        <v>Storage</v>
      </c>
      <c r="I47" t="str">
        <f>VLOOKUP($A47,Table1[#This Row],COLUMN(I46), FALSE)</f>
        <v>missing</v>
      </c>
      <c r="J47">
        <f>VLOOKUP($A47,Table1[#This Row],COLUMN(J46), FALSE)</f>
        <v>2</v>
      </c>
      <c r="K47">
        <f>VLOOKUP($A47,Table1[#This Row],COLUMN(K46), FALSE)</f>
        <v>0</v>
      </c>
      <c r="L47">
        <f>VLOOKUP($A47,Table1[#This Row],COLUMN(L46), FALSE)</f>
        <v>11.585999999999901</v>
      </c>
      <c r="M47" t="str">
        <f>VLOOKUP($A47,Table1[#This Row],COLUMN(M46), FALSE)</f>
        <v>Critical</v>
      </c>
      <c r="N47" t="str">
        <f>VLOOKUP($A47,Table1[#This Row],COLUMN(N46), FALSE)</f>
        <v>Normal Order</v>
      </c>
      <c r="O47" t="str">
        <f>VLOOKUP($A47,Table1[#This Row],COLUMN(O46), FALSE)</f>
        <v>Adam Hart</v>
      </c>
      <c r="P47" t="str">
        <f>VLOOKUP($A47,Table1[#This Row],COLUMN(P46), FALSE)</f>
        <v>CA</v>
      </c>
      <c r="Q47" t="str">
        <f>VLOOKUP($A47,Table1[#This Row],COLUMN(Q46), FALSE)</f>
        <v>2014</v>
      </c>
      <c r="R47" t="str">
        <f>VLOOKUP($A47,Table1[#This Row],COLUMN(R46), FALSE)</f>
        <v>CRITICAL</v>
      </c>
      <c r="S47" t="str">
        <f>VLOOKUP($A47,Table1[#This Row],COLUMN(S46), FALSE)</f>
        <v>office supplies</v>
      </c>
      <c r="T47" t="str">
        <f>VLOOKUP($A47,Table1[#This Row],COLUMN(T46), FALSE)</f>
        <v>41817</v>
      </c>
      <c r="U47" t="str">
        <f>VLOOKUP($A47,Table1[#This Row],COLUMN(U46), FALSE)</f>
        <v>AH10075140</v>
      </c>
      <c r="V47" t="str">
        <f>VLOOKUP($A47,Table1[#This Row],COLUMN(V46), FALSE)</f>
        <v>CA</v>
      </c>
      <c r="W47">
        <f>VLOOKUP($A47,Table1[#This Row],COLUMN(W46), FALSE)</f>
        <v>2014</v>
      </c>
      <c r="X47" t="str">
        <f>VLOOKUP($A47,Table1[#This Row],COLUMN(X46), FALSE)</f>
        <v>AH10075140</v>
      </c>
      <c r="Y47">
        <f>VLOOKUP($A47,Table1[#This Row],COLUMN(Y46), FALSE)</f>
        <v>41817</v>
      </c>
      <c r="Z47" t="str">
        <f>VLOOKUP($A47,Table1[#This Row],COLUMN(Z46), FALSE)</f>
        <v>CA-2014-AH10075140-41817</v>
      </c>
      <c r="AA47">
        <f>VLOOKUP($A47,Table1[#This Row],COLUMN(AA46), FALSE)</f>
        <v>2014</v>
      </c>
      <c r="AB47">
        <f>VLOOKUP($A47,Table1[#This Row],COLUMN(AB46), FALSE)</f>
        <v>6</v>
      </c>
      <c r="AC47">
        <f>VLOOKUP($A47,Table1[#This Row],COLUMN(AC46), FALSE)</f>
        <v>6</v>
      </c>
      <c r="AD47">
        <f>VLOOKUP($A47,Table1[#This Row],COLUMN(AD46), FALSE)</f>
        <v>0</v>
      </c>
    </row>
    <row r="48" spans="1:30" ht="15.75">
      <c r="A48" s="53" t="s">
        <v>446</v>
      </c>
      <c r="B48" s="52">
        <f>VLOOKUP($A48,Table1[#This Row],COLUMN(B47), FALSE)</f>
        <v>41488</v>
      </c>
      <c r="C48" s="52">
        <f>VLOOKUP($A48,Table1[#This Row],COLUMN(C47), FALSE)</f>
        <v>74361</v>
      </c>
      <c r="D48" t="str">
        <f>VLOOKUP($A48,Table1[#This Row],COLUMN(D47), FALSE)</f>
        <v>Ken Black</v>
      </c>
      <c r="E48" t="str">
        <f>VLOOKUP($A48,Table1[#This Row],COLUMN(E47), FALSE)</f>
        <v>China</v>
      </c>
      <c r="F48" t="str">
        <f>VLOOKUP($A48,Table1[#This Row],COLUMN(F47), FALSE)</f>
        <v>Eastern Asia</v>
      </c>
      <c r="G48" t="str">
        <f>VLOOKUP($A48,Table1[#This Row],COLUMN(G47), FALSE)</f>
        <v>Technology</v>
      </c>
      <c r="H48" t="str">
        <f>VLOOKUP($A48,Table1[#This Row],COLUMN(H47), FALSE)</f>
        <v>Phones</v>
      </c>
      <c r="I48">
        <f>VLOOKUP($A48,Table1[#This Row],COLUMN(I47), FALSE)</f>
        <v>1521</v>
      </c>
      <c r="J48">
        <f>VLOOKUP($A48,Table1[#This Row],COLUMN(J47), FALSE)</f>
        <v>4</v>
      </c>
      <c r="K48">
        <f>VLOOKUP($A48,Table1[#This Row],COLUMN(K47), FALSE)</f>
        <v>0</v>
      </c>
      <c r="L48">
        <f>VLOOKUP($A48,Table1[#This Row],COLUMN(L47), FALSE)</f>
        <v>0</v>
      </c>
      <c r="M48" t="str">
        <f>VLOOKUP($A48,Table1[#This Row],COLUMN(M47), FALSE)</f>
        <v>High</v>
      </c>
      <c r="N48" t="str">
        <f>VLOOKUP($A48,Table1[#This Row],COLUMN(N47), FALSE)</f>
        <v>Normal Order</v>
      </c>
      <c r="O48" t="str">
        <f>VLOOKUP($A48,Table1[#This Row],COLUMN(O47), FALSE)</f>
        <v>Ken Black</v>
      </c>
      <c r="P48" t="str">
        <f>VLOOKUP($A48,Table1[#This Row],COLUMN(P47), FALSE)</f>
        <v>IN</v>
      </c>
      <c r="Q48" t="str">
        <f>VLOOKUP($A48,Table1[#This Row],COLUMN(Q47), FALSE)</f>
        <v>2013</v>
      </c>
      <c r="R48" t="str">
        <f>VLOOKUP($A48,Table1[#This Row],COLUMN(R47), FALSE)</f>
        <v>HIGH</v>
      </c>
      <c r="S48" t="str">
        <f>VLOOKUP($A48,Table1[#This Row],COLUMN(S47), FALSE)</f>
        <v>technology</v>
      </c>
      <c r="T48" t="str">
        <f>VLOOKUP($A48,Table1[#This Row],COLUMN(T47), FALSE)</f>
        <v>1488#</v>
      </c>
      <c r="U48" t="str">
        <f>VLOOKUP($A48,Table1[#This Row],COLUMN(U47), FALSE)</f>
        <v>KB1658527</v>
      </c>
      <c r="V48" t="str">
        <f>VLOOKUP($A48,Table1[#This Row],COLUMN(V47), FALSE)</f>
        <v>IN</v>
      </c>
      <c r="W48">
        <f>VLOOKUP($A48,Table1[#This Row],COLUMN(W47), FALSE)</f>
        <v>2013</v>
      </c>
      <c r="X48" t="str">
        <f>VLOOKUP($A48,Table1[#This Row],COLUMN(X47), FALSE)</f>
        <v>KB1658527</v>
      </c>
      <c r="Y48" t="str">
        <f>VLOOKUP($A48,Table1[#This Row],COLUMN(Y47), FALSE)</f>
        <v>41488#</v>
      </c>
      <c r="Z48" t="str">
        <f>VLOOKUP($A48,Table1[#This Row],COLUMN(Z47), FALSE)</f>
        <v>IN-2013-KB1658527-41488#</v>
      </c>
      <c r="AA48">
        <f>VLOOKUP($A48,Table1[#This Row],COLUMN(AA47), FALSE)</f>
        <v>2013</v>
      </c>
      <c r="AB48">
        <f>VLOOKUP($A48,Table1[#This Row],COLUMN(AB47), FALSE)</f>
        <v>8</v>
      </c>
      <c r="AC48">
        <f>VLOOKUP($A48,Table1[#This Row],COLUMN(AC47), FALSE)</f>
        <v>6</v>
      </c>
      <c r="AD48">
        <f>VLOOKUP($A48,Table1[#This Row],COLUMN(AD47), FALSE)</f>
        <v>32873</v>
      </c>
    </row>
    <row r="49" spans="1:30" ht="15.75">
      <c r="A49" s="54" t="s">
        <v>448</v>
      </c>
      <c r="B49" s="52">
        <f>VLOOKUP($A49,Table1[#This Row],COLUMN(B48), FALSE)</f>
        <v>41444</v>
      </c>
      <c r="C49" s="52">
        <f>VLOOKUP($A49,Table1[#This Row],COLUMN(C48), FALSE)</f>
        <v>41444</v>
      </c>
      <c r="D49" t="str">
        <f>VLOOKUP($A49,Table1[#This Row],COLUMN(D48), FALSE)</f>
        <v>Logan Haushalter</v>
      </c>
      <c r="E49" t="str">
        <f>VLOOKUP($A49,Table1[#This Row],COLUMN(E48), FALSE)</f>
        <v>France</v>
      </c>
      <c r="F49" t="str">
        <f>VLOOKUP($A49,Table1[#This Row],COLUMN(F48), FALSE)</f>
        <v>Western Europe</v>
      </c>
      <c r="G49" t="str">
        <f>VLOOKUP($A49,Table1[#This Row],COLUMN(G48), FALSE)</f>
        <v>Office Supplies</v>
      </c>
      <c r="H49" t="str">
        <f>VLOOKUP($A49,Table1[#This Row],COLUMN(H48), FALSE)</f>
        <v>Phones</v>
      </c>
      <c r="I49">
        <f>VLOOKUP($A49,Table1[#This Row],COLUMN(I48), FALSE)</f>
        <v>2443.9050000000002</v>
      </c>
      <c r="J49">
        <f>VLOOKUP($A49,Table1[#This Row],COLUMN(J48), FALSE)</f>
        <v>5</v>
      </c>
      <c r="K49">
        <f>VLOOKUP($A49,Table1[#This Row],COLUMN(K48), FALSE)</f>
        <v>0.1</v>
      </c>
      <c r="L49">
        <f>VLOOKUP($A49,Table1[#This Row],COLUMN(L48), FALSE)</f>
        <v>760.30499999999904</v>
      </c>
      <c r="M49" t="str">
        <f>VLOOKUP($A49,Table1[#This Row],COLUMN(M48), FALSE)</f>
        <v>High</v>
      </c>
      <c r="N49" t="str">
        <f>VLOOKUP($A49,Table1[#This Row],COLUMN(N48), FALSE)</f>
        <v>Normal Order</v>
      </c>
      <c r="O49" t="str">
        <f>VLOOKUP($A49,Table1[#This Row],COLUMN(O48), FALSE)</f>
        <v>Logan Haushalter</v>
      </c>
      <c r="P49" t="str">
        <f>VLOOKUP($A49,Table1[#This Row],COLUMN(P48), FALSE)</f>
        <v>ES</v>
      </c>
      <c r="Q49" t="str">
        <f>VLOOKUP($A49,Table1[#This Row],COLUMN(Q48), FALSE)</f>
        <v>2013</v>
      </c>
      <c r="R49" t="str">
        <f>VLOOKUP($A49,Table1[#This Row],COLUMN(R48), FALSE)</f>
        <v>HIGH</v>
      </c>
      <c r="S49" t="str">
        <f>VLOOKUP($A49,Table1[#This Row],COLUMN(S48), FALSE)</f>
        <v>office supplies</v>
      </c>
      <c r="T49" t="str">
        <f>VLOOKUP($A49,Table1[#This Row],COLUMN(T48), FALSE)</f>
        <v>41444</v>
      </c>
      <c r="U49" t="str">
        <f>VLOOKUP($A49,Table1[#This Row],COLUMN(U48), FALSE)</f>
        <v>LH1715545</v>
      </c>
      <c r="V49" t="str">
        <f>VLOOKUP($A49,Table1[#This Row],COLUMN(V48), FALSE)</f>
        <v>ES</v>
      </c>
      <c r="W49">
        <f>VLOOKUP($A49,Table1[#This Row],COLUMN(W48), FALSE)</f>
        <v>2013</v>
      </c>
      <c r="X49" t="str">
        <f>VLOOKUP($A49,Table1[#This Row],COLUMN(X48), FALSE)</f>
        <v>LH1715545</v>
      </c>
      <c r="Y49">
        <f>VLOOKUP($A49,Table1[#This Row],COLUMN(Y48), FALSE)</f>
        <v>41444</v>
      </c>
      <c r="Z49" t="str">
        <f>VLOOKUP($A49,Table1[#This Row],COLUMN(Z48), FALSE)</f>
        <v>ES-2013-LH1715545-41444</v>
      </c>
      <c r="AA49">
        <f>VLOOKUP($A49,Table1[#This Row],COLUMN(AA48), FALSE)</f>
        <v>2013</v>
      </c>
      <c r="AB49">
        <f>VLOOKUP($A49,Table1[#This Row],COLUMN(AB48), FALSE)</f>
        <v>6</v>
      </c>
      <c r="AC49">
        <f>VLOOKUP($A49,Table1[#This Row],COLUMN(AC48), FALSE)</f>
        <v>4</v>
      </c>
      <c r="AD49">
        <f>VLOOKUP($A49,Table1[#This Row],COLUMN(AD48), FALSE)</f>
        <v>0</v>
      </c>
    </row>
    <row r="50" spans="1:30" ht="15.75">
      <c r="A50" s="53" t="s">
        <v>449</v>
      </c>
      <c r="B50" s="52">
        <f>VLOOKUP($A50,Table1[#This Row],COLUMN(B49), FALSE)</f>
        <v>42101</v>
      </c>
      <c r="C50" s="52">
        <f>VLOOKUP($A50,Table1[#This Row],COLUMN(C49), FALSE)</f>
        <v>42106</v>
      </c>
      <c r="D50" t="str">
        <f>VLOOKUP($A50,Table1[#This Row],COLUMN(D49), FALSE)</f>
        <v>Adam Hart</v>
      </c>
      <c r="E50" t="str">
        <f>VLOOKUP($A50,Table1[#This Row],COLUMN(E49), FALSE)</f>
        <v>Canada</v>
      </c>
      <c r="F50" t="str">
        <f>VLOOKUP($A50,Table1[#This Row],COLUMN(F49), FALSE)</f>
        <v>Canaad</v>
      </c>
      <c r="G50" t="str">
        <f>VLOOKUP($A50,Table1[#This Row],COLUMN(G49), FALSE)</f>
        <v>Office Supplies</v>
      </c>
      <c r="H50" t="str">
        <f>VLOOKUP($A50,Table1[#This Row],COLUMN(H49), FALSE)</f>
        <v>Copiers</v>
      </c>
      <c r="I50">
        <f>VLOOKUP($A50,Table1[#This Row],COLUMN(I49), FALSE)</f>
        <v>137.31</v>
      </c>
      <c r="J50">
        <f>VLOOKUP($A50,Table1[#This Row],COLUMN(J49), FALSE)</f>
        <v>1</v>
      </c>
      <c r="K50">
        <f>VLOOKUP($A50,Table1[#This Row],COLUMN(K49), FALSE)</f>
        <v>0</v>
      </c>
      <c r="L50">
        <f>VLOOKUP($A50,Table1[#This Row],COLUMN(L49), FALSE)</f>
        <v>54.9</v>
      </c>
      <c r="M50" t="str">
        <f>VLOOKUP($A50,Table1[#This Row],COLUMN(M49), FALSE)</f>
        <v>High</v>
      </c>
      <c r="N50" t="str">
        <f>VLOOKUP($A50,Table1[#This Row],COLUMN(N49), FALSE)</f>
        <v>Normal Order</v>
      </c>
      <c r="O50" t="str">
        <f>VLOOKUP($A50,Table1[#This Row],COLUMN(O49), FALSE)</f>
        <v>Adam Hart</v>
      </c>
      <c r="P50" t="str">
        <f>VLOOKUP($A50,Table1[#This Row],COLUMN(P49), FALSE)</f>
        <v>CA</v>
      </c>
      <c r="Q50" t="str">
        <f>VLOOKUP($A50,Table1[#This Row],COLUMN(Q49), FALSE)</f>
        <v>2015</v>
      </c>
      <c r="R50" t="str">
        <f>VLOOKUP($A50,Table1[#This Row],COLUMN(R49), FALSE)</f>
        <v>HIGH</v>
      </c>
      <c r="S50" t="str">
        <f>VLOOKUP($A50,Table1[#This Row],COLUMN(S49), FALSE)</f>
        <v>office supplies</v>
      </c>
      <c r="T50" t="str">
        <f>VLOOKUP($A50,Table1[#This Row],COLUMN(T49), FALSE)</f>
        <v>42101</v>
      </c>
      <c r="U50" t="str">
        <f>VLOOKUP($A50,Table1[#This Row],COLUMN(U49), FALSE)</f>
        <v>AH1007523</v>
      </c>
      <c r="V50" t="str">
        <f>VLOOKUP($A50,Table1[#This Row],COLUMN(V49), FALSE)</f>
        <v>CA</v>
      </c>
      <c r="W50">
        <f>VLOOKUP($A50,Table1[#This Row],COLUMN(W49), FALSE)</f>
        <v>2015</v>
      </c>
      <c r="X50" t="str">
        <f>VLOOKUP($A50,Table1[#This Row],COLUMN(X49), FALSE)</f>
        <v>AH1007523</v>
      </c>
      <c r="Y50">
        <f>VLOOKUP($A50,Table1[#This Row],COLUMN(Y49), FALSE)</f>
        <v>42101</v>
      </c>
      <c r="Z50" t="str">
        <f>VLOOKUP($A50,Table1[#This Row],COLUMN(Z49), FALSE)</f>
        <v>CA-2015-AH1007523-42101</v>
      </c>
      <c r="AA50">
        <f>VLOOKUP($A50,Table1[#This Row],COLUMN(AA49), FALSE)</f>
        <v>2015</v>
      </c>
      <c r="AB50">
        <f>VLOOKUP($A50,Table1[#This Row],COLUMN(AB49), FALSE)</f>
        <v>4</v>
      </c>
      <c r="AC50">
        <f>VLOOKUP($A50,Table1[#This Row],COLUMN(AC49), FALSE)</f>
        <v>3</v>
      </c>
      <c r="AD50">
        <f>VLOOKUP($A50,Table1[#This Row],COLUMN(AD49), FALSE)</f>
        <v>5</v>
      </c>
    </row>
    <row r="51" spans="1:30" ht="15.75">
      <c r="A51" s="54" t="s">
        <v>456</v>
      </c>
      <c r="B51" s="52">
        <f>VLOOKUP($A51,Table1[#This Row],COLUMN(B50), FALSE)</f>
        <v>41909</v>
      </c>
      <c r="C51" s="52">
        <f>VLOOKUP($A51,Table1[#This Row],COLUMN(C50), FALSE)</f>
        <v>41909</v>
      </c>
      <c r="D51" t="str">
        <f>VLOOKUP($A51,Table1[#This Row],COLUMN(D50), FALSE)</f>
        <v>Sean Christensen</v>
      </c>
      <c r="E51" t="str">
        <f>VLOOKUP($A51,Table1[#This Row],COLUMN(E50), FALSE)</f>
        <v>Spain</v>
      </c>
      <c r="F51" t="str">
        <f>VLOOKUP($A51,Table1[#This Row],COLUMN(F50), FALSE)</f>
        <v>Southern Europe</v>
      </c>
      <c r="G51" t="str">
        <f>VLOOKUP($A51,Table1[#This Row],COLUMN(G50), FALSE)</f>
        <v>Furniture</v>
      </c>
      <c r="H51" t="str">
        <f>VLOOKUP($A51,Table1[#This Row],COLUMN(H50), FALSE)</f>
        <v>Storage</v>
      </c>
      <c r="I51">
        <f>VLOOKUP($A51,Table1[#This Row],COLUMN(I50), FALSE)</f>
        <v>1091.25</v>
      </c>
      <c r="J51">
        <f>VLOOKUP($A51,Table1[#This Row],COLUMN(J50), FALSE)</f>
        <v>3</v>
      </c>
      <c r="K51">
        <f>VLOOKUP($A51,Table1[#This Row],COLUMN(K50), FALSE)</f>
        <v>0</v>
      </c>
      <c r="L51">
        <f>VLOOKUP($A51,Table1[#This Row],COLUMN(L50), FALSE)</f>
        <v>119.97</v>
      </c>
      <c r="M51" t="str">
        <f>VLOOKUP($A51,Table1[#This Row],COLUMN(M50), FALSE)</f>
        <v>Critical</v>
      </c>
      <c r="N51" t="str">
        <f>VLOOKUP($A51,Table1[#This Row],COLUMN(N50), FALSE)</f>
        <v>Normal Order</v>
      </c>
      <c r="O51" t="str">
        <f>VLOOKUP($A51,Table1[#This Row],COLUMN(O50), FALSE)</f>
        <v>Sean Christensen</v>
      </c>
      <c r="P51" t="str">
        <f>VLOOKUP($A51,Table1[#This Row],COLUMN(P50), FALSE)</f>
        <v>ES</v>
      </c>
      <c r="Q51" t="str">
        <f>VLOOKUP($A51,Table1[#This Row],COLUMN(Q50), FALSE)</f>
        <v>2014</v>
      </c>
      <c r="R51" t="str">
        <f>VLOOKUP($A51,Table1[#This Row],COLUMN(R50), FALSE)</f>
        <v>CRITICAL</v>
      </c>
      <c r="S51" t="str">
        <f>VLOOKUP($A51,Table1[#This Row],COLUMN(S50), FALSE)</f>
        <v>furniture</v>
      </c>
      <c r="T51" t="str">
        <f>VLOOKUP($A51,Table1[#This Row],COLUMN(T50), FALSE)</f>
        <v>41909</v>
      </c>
      <c r="U51" t="str">
        <f>VLOOKUP($A51,Table1[#This Row],COLUMN(U50), FALSE)</f>
        <v>SC20305120</v>
      </c>
      <c r="V51" t="str">
        <f>VLOOKUP($A51,Table1[#This Row],COLUMN(V50), FALSE)</f>
        <v>ES</v>
      </c>
      <c r="W51">
        <f>VLOOKUP($A51,Table1[#This Row],COLUMN(W50), FALSE)</f>
        <v>2014</v>
      </c>
      <c r="X51" t="str">
        <f>VLOOKUP($A51,Table1[#This Row],COLUMN(X50), FALSE)</f>
        <v>SC20305120</v>
      </c>
      <c r="Y51">
        <f>VLOOKUP($A51,Table1[#This Row],COLUMN(Y50), FALSE)</f>
        <v>41909</v>
      </c>
      <c r="Z51" t="str">
        <f>VLOOKUP($A51,Table1[#This Row],COLUMN(Z50), FALSE)</f>
        <v>ES-2014-SC20305120-41909</v>
      </c>
      <c r="AA51">
        <f>VLOOKUP($A51,Table1[#This Row],COLUMN(AA50), FALSE)</f>
        <v>2014</v>
      </c>
      <c r="AB51">
        <f>VLOOKUP($A51,Table1[#This Row],COLUMN(AB50), FALSE)</f>
        <v>9</v>
      </c>
      <c r="AC51">
        <f>VLOOKUP($A51,Table1[#This Row],COLUMN(AC50), FALSE)</f>
        <v>7</v>
      </c>
      <c r="AD51">
        <f>VLOOKUP($A51,Table1[#This Row],COLUMN(AD50), FALSE)</f>
        <v>0</v>
      </c>
    </row>
    <row r="52" spans="1:30" ht="15.75">
      <c r="A52" s="53" t="s">
        <v>461</v>
      </c>
      <c r="B52" s="52">
        <f>VLOOKUP($A52,Table1[#This Row],COLUMN(B51), FALSE)</f>
        <v>41108</v>
      </c>
      <c r="C52" s="52">
        <f>VLOOKUP($A52,Table1[#This Row],COLUMN(C51), FALSE)</f>
        <v>41109</v>
      </c>
      <c r="D52" t="str">
        <f>VLOOKUP($A52,Table1[#This Row],COLUMN(D51), FALSE)</f>
        <v>Bruce Geld</v>
      </c>
      <c r="E52" t="str">
        <f>VLOOKUP($A52,Table1[#This Row],COLUMN(E51), FALSE)</f>
        <v>malaysia</v>
      </c>
      <c r="F52" t="str">
        <f>VLOOKUP($A52,Table1[#This Row],COLUMN(F51), FALSE)</f>
        <v>Southeastern Asia</v>
      </c>
      <c r="G52" t="str">
        <f>VLOOKUP($A52,Table1[#This Row],COLUMN(G51), FALSE)</f>
        <v>Technology</v>
      </c>
      <c r="H52" t="str">
        <f>VLOOKUP($A52,Table1[#This Row],COLUMN(H51), FALSE)</f>
        <v>Bookcases</v>
      </c>
      <c r="I52">
        <f>VLOOKUP($A52,Table1[#This Row],COLUMN(I51), FALSE)</f>
        <v>2555.64</v>
      </c>
      <c r="J52">
        <f>VLOOKUP($A52,Table1[#This Row],COLUMN(J51), FALSE)</f>
        <v>4</v>
      </c>
      <c r="K52">
        <f>VLOOKUP($A52,Table1[#This Row],COLUMN(K51), FALSE)</f>
        <v>0</v>
      </c>
      <c r="L52">
        <f>VLOOKUP($A52,Table1[#This Row],COLUMN(L51), FALSE)</f>
        <v>664.43999999999903</v>
      </c>
      <c r="M52" t="str">
        <f>VLOOKUP($A52,Table1[#This Row],COLUMN(M51), FALSE)</f>
        <v>High</v>
      </c>
      <c r="N52" t="str">
        <f>VLOOKUP($A52,Table1[#This Row],COLUMN(N51), FALSE)</f>
        <v>Normal Order</v>
      </c>
      <c r="O52" t="str">
        <f>VLOOKUP($A52,Table1[#This Row],COLUMN(O51), FALSE)</f>
        <v>Bruce Geld</v>
      </c>
      <c r="P52" t="str">
        <f>VLOOKUP($A52,Table1[#This Row],COLUMN(P51), FALSE)</f>
        <v>IN</v>
      </c>
      <c r="Q52" t="str">
        <f>VLOOKUP($A52,Table1[#This Row],COLUMN(Q51), FALSE)</f>
        <v>2012</v>
      </c>
      <c r="R52" t="str">
        <f>VLOOKUP($A52,Table1[#This Row],COLUMN(R51), FALSE)</f>
        <v>HIGH</v>
      </c>
      <c r="S52" t="str">
        <f>VLOOKUP($A52,Table1[#This Row],COLUMN(S51), FALSE)</f>
        <v>technology</v>
      </c>
      <c r="T52" t="str">
        <f>VLOOKUP($A52,Table1[#This Row],COLUMN(T51), FALSE)</f>
        <v>41108</v>
      </c>
      <c r="U52" t="str">
        <f>VLOOKUP($A52,Table1[#This Row],COLUMN(U51), FALSE)</f>
        <v>BG1174078</v>
      </c>
      <c r="V52" t="str">
        <f>VLOOKUP($A52,Table1[#This Row],COLUMN(V51), FALSE)</f>
        <v>IN</v>
      </c>
      <c r="W52">
        <f>VLOOKUP($A52,Table1[#This Row],COLUMN(W51), FALSE)</f>
        <v>2012</v>
      </c>
      <c r="X52" t="str">
        <f>VLOOKUP($A52,Table1[#This Row],COLUMN(X51), FALSE)</f>
        <v>BG1174078</v>
      </c>
      <c r="Y52">
        <f>VLOOKUP($A52,Table1[#This Row],COLUMN(Y51), FALSE)</f>
        <v>41108</v>
      </c>
      <c r="Z52" t="str">
        <f>VLOOKUP($A52,Table1[#This Row],COLUMN(Z51), FALSE)</f>
        <v>IN-2012-BG1174078-41108</v>
      </c>
      <c r="AA52">
        <f>VLOOKUP($A52,Table1[#This Row],COLUMN(AA51), FALSE)</f>
        <v>2012</v>
      </c>
      <c r="AB52">
        <f>VLOOKUP($A52,Table1[#This Row],COLUMN(AB51), FALSE)</f>
        <v>7</v>
      </c>
      <c r="AC52">
        <f>VLOOKUP($A52,Table1[#This Row],COLUMN(AC51), FALSE)</f>
        <v>4</v>
      </c>
      <c r="AD52">
        <f>VLOOKUP($A52,Table1[#This Row],COLUMN(AD51), FALSE)</f>
        <v>1</v>
      </c>
    </row>
    <row r="53" spans="1:30" ht="15.75">
      <c r="A53" s="54" t="s">
        <v>468</v>
      </c>
      <c r="B53" s="52">
        <f>VLOOKUP($A53,Table1[#This Row],COLUMN(B52), FALSE)</f>
        <v>42284</v>
      </c>
      <c r="C53" s="52">
        <f>VLOOKUP($A53,Table1[#This Row],COLUMN(C52), FALSE)</f>
        <v>42288</v>
      </c>
      <c r="D53" t="str">
        <f>VLOOKUP($A53,Table1[#This Row],COLUMN(D52), FALSE)</f>
        <v>Anne Pryor</v>
      </c>
      <c r="E53" t="str">
        <f>VLOOKUP($A53,Table1[#This Row],COLUMN(E52), FALSE)</f>
        <v>India</v>
      </c>
      <c r="F53" t="str">
        <f>VLOOKUP($A53,Table1[#This Row],COLUMN(F52), FALSE)</f>
        <v>Southern Asia</v>
      </c>
      <c r="G53" t="str">
        <f>VLOOKUP($A53,Table1[#This Row],COLUMN(G52), FALSE)</f>
        <v>Technology</v>
      </c>
      <c r="H53" t="str">
        <f>VLOOKUP($A53,Table1[#This Row],COLUMN(H52), FALSE)</f>
        <v>Copiers</v>
      </c>
      <c r="I53">
        <f>VLOOKUP($A53,Table1[#This Row],COLUMN(I52), FALSE)</f>
        <v>2582.16</v>
      </c>
      <c r="J53">
        <f>VLOOKUP($A53,Table1[#This Row],COLUMN(J52), FALSE)</f>
        <v>4</v>
      </c>
      <c r="K53">
        <f>VLOOKUP($A53,Table1[#This Row],COLUMN(K52), FALSE)</f>
        <v>0</v>
      </c>
      <c r="L53">
        <f>VLOOKUP($A53,Table1[#This Row],COLUMN(L52), FALSE)</f>
        <v>361.44</v>
      </c>
      <c r="M53" t="str">
        <f>VLOOKUP($A53,Table1[#This Row],COLUMN(M52), FALSE)</f>
        <v>High</v>
      </c>
      <c r="N53" t="str">
        <f>VLOOKUP($A53,Table1[#This Row],COLUMN(N52), FALSE)</f>
        <v>Normal Order</v>
      </c>
      <c r="O53" t="str">
        <f>VLOOKUP($A53,Table1[#This Row],COLUMN(O52), FALSE)</f>
        <v>Anne Pryor</v>
      </c>
      <c r="P53" t="str">
        <f>VLOOKUP($A53,Table1[#This Row],COLUMN(P52), FALSE)</f>
        <v>IN</v>
      </c>
      <c r="Q53" t="str">
        <f>VLOOKUP($A53,Table1[#This Row],COLUMN(Q52), FALSE)</f>
        <v>2015</v>
      </c>
      <c r="R53" t="str">
        <f>VLOOKUP($A53,Table1[#This Row],COLUMN(R52), FALSE)</f>
        <v>HIGH</v>
      </c>
      <c r="S53" t="str">
        <f>VLOOKUP($A53,Table1[#This Row],COLUMN(S52), FALSE)</f>
        <v>technology</v>
      </c>
      <c r="T53" t="str">
        <f>VLOOKUP($A53,Table1[#This Row],COLUMN(T52), FALSE)</f>
        <v>42284</v>
      </c>
      <c r="U53" t="str">
        <f>VLOOKUP($A53,Table1[#This Row],COLUMN(U52), FALSE)</f>
        <v>AP1072058</v>
      </c>
      <c r="V53" t="str">
        <f>VLOOKUP($A53,Table1[#This Row],COLUMN(V52), FALSE)</f>
        <v>IN</v>
      </c>
      <c r="W53">
        <f>VLOOKUP($A53,Table1[#This Row],COLUMN(W52), FALSE)</f>
        <v>2015</v>
      </c>
      <c r="X53" t="str">
        <f>VLOOKUP($A53,Table1[#This Row],COLUMN(X52), FALSE)</f>
        <v>AP1072058</v>
      </c>
      <c r="Y53">
        <f>VLOOKUP($A53,Table1[#This Row],COLUMN(Y52), FALSE)</f>
        <v>42284</v>
      </c>
      <c r="Z53" t="str">
        <f>VLOOKUP($A53,Table1[#This Row],COLUMN(Z52), FALSE)</f>
        <v>IN-2015-AP1072058-42284</v>
      </c>
      <c r="AA53">
        <f>VLOOKUP($A53,Table1[#This Row],COLUMN(AA52), FALSE)</f>
        <v>2015</v>
      </c>
      <c r="AB53">
        <f>VLOOKUP($A53,Table1[#This Row],COLUMN(AB52), FALSE)</f>
        <v>10</v>
      </c>
      <c r="AC53">
        <f>VLOOKUP($A53,Table1[#This Row],COLUMN(AC52), FALSE)</f>
        <v>4</v>
      </c>
      <c r="AD53">
        <f>VLOOKUP($A53,Table1[#This Row],COLUMN(AD52), FALSE)</f>
        <v>4</v>
      </c>
    </row>
    <row r="54" spans="1:30" ht="15.75">
      <c r="A54" s="53" t="s">
        <v>476</v>
      </c>
      <c r="B54" s="52">
        <f>VLOOKUP($A54,Table1[#This Row],COLUMN(B53), FALSE)</f>
        <v>41172</v>
      </c>
      <c r="C54" s="52">
        <f>VLOOKUP($A54,Table1[#This Row],COLUMN(C53), FALSE)</f>
        <v>41174</v>
      </c>
      <c r="D54" t="str">
        <f>VLOOKUP($A54,Table1[#This Row],COLUMN(D53), FALSE)</f>
        <v>Tamara Willingham</v>
      </c>
      <c r="E54" t="str">
        <f>VLOOKUP($A54,Table1[#This Row],COLUMN(E53), FALSE)</f>
        <v>France</v>
      </c>
      <c r="F54" t="str">
        <f>VLOOKUP($A54,Table1[#This Row],COLUMN(F53), FALSE)</f>
        <v>Western Europe</v>
      </c>
      <c r="G54" t="str">
        <f>VLOOKUP($A54,Table1[#This Row],COLUMN(G53), FALSE)</f>
        <v>Furniture#</v>
      </c>
      <c r="H54" t="str">
        <f>VLOOKUP($A54,Table1[#This Row],COLUMN(H53), FALSE)</f>
        <v>Appliances</v>
      </c>
      <c r="I54">
        <f>VLOOKUP($A54,Table1[#This Row],COLUMN(I53), FALSE)</f>
        <v>1181.547</v>
      </c>
      <c r="J54">
        <f>VLOOKUP($A54,Table1[#This Row],COLUMN(J53), FALSE)</f>
        <v>3</v>
      </c>
      <c r="K54">
        <f>VLOOKUP($A54,Table1[#This Row],COLUMN(K53), FALSE)</f>
        <v>0.1</v>
      </c>
      <c r="L54">
        <f>VLOOKUP($A54,Table1[#This Row],COLUMN(L53), FALSE)</f>
        <v>498.80700000000002</v>
      </c>
      <c r="M54" t="str">
        <f>VLOOKUP($A54,Table1[#This Row],COLUMN(M53), FALSE)</f>
        <v>Critical</v>
      </c>
      <c r="N54" t="str">
        <f>VLOOKUP($A54,Table1[#This Row],COLUMN(N53), FALSE)</f>
        <v>Normal Order</v>
      </c>
      <c r="O54" t="str">
        <f>VLOOKUP($A54,Table1[#This Row],COLUMN(O53), FALSE)</f>
        <v>Tamara Willingham</v>
      </c>
      <c r="P54" t="str">
        <f>VLOOKUP($A54,Table1[#This Row],COLUMN(P53), FALSE)</f>
        <v>IT</v>
      </c>
      <c r="Q54" t="str">
        <f>VLOOKUP($A54,Table1[#This Row],COLUMN(Q53), FALSE)</f>
        <v>2012</v>
      </c>
      <c r="R54" t="str">
        <f>VLOOKUP($A54,Table1[#This Row],COLUMN(R53), FALSE)</f>
        <v>CRITICAL</v>
      </c>
      <c r="S54" t="str">
        <f>VLOOKUP($A54,Table1[#This Row],COLUMN(S53), FALSE)</f>
        <v>furniture#</v>
      </c>
      <c r="T54" t="str">
        <f>VLOOKUP($A54,Table1[#This Row],COLUMN(T53), FALSE)</f>
        <v>41172</v>
      </c>
      <c r="U54" t="str">
        <f>VLOOKUP($A54,Table1[#This Row],COLUMN(U53), FALSE)</f>
        <v>TW2102545</v>
      </c>
      <c r="V54" t="str">
        <f>VLOOKUP($A54,Table1[#This Row],COLUMN(V53), FALSE)</f>
        <v>IT</v>
      </c>
      <c r="W54">
        <f>VLOOKUP($A54,Table1[#This Row],COLUMN(W53), FALSE)</f>
        <v>2012</v>
      </c>
      <c r="X54" t="str">
        <f>VLOOKUP($A54,Table1[#This Row],COLUMN(X53), FALSE)</f>
        <v>TW2102545</v>
      </c>
      <c r="Y54">
        <f>VLOOKUP($A54,Table1[#This Row],COLUMN(Y53), FALSE)</f>
        <v>41172</v>
      </c>
      <c r="Z54" t="str">
        <f>VLOOKUP($A54,Table1[#This Row],COLUMN(Z53), FALSE)</f>
        <v>IT-2012-TW2102545-41172</v>
      </c>
      <c r="AA54">
        <f>VLOOKUP($A54,Table1[#This Row],COLUMN(AA53), FALSE)</f>
        <v>2012</v>
      </c>
      <c r="AB54">
        <f>VLOOKUP($A54,Table1[#This Row],COLUMN(AB53), FALSE)</f>
        <v>9</v>
      </c>
      <c r="AC54">
        <f>VLOOKUP($A54,Table1[#This Row],COLUMN(AC53), FALSE)</f>
        <v>5</v>
      </c>
      <c r="AD54">
        <f>VLOOKUP($A54,Table1[#This Row],COLUMN(AD53), FALSE)</f>
        <v>2</v>
      </c>
    </row>
    <row r="55" spans="1:30" ht="15.75">
      <c r="A55" s="54" t="s">
        <v>479</v>
      </c>
      <c r="B55" s="52">
        <f>VLOOKUP($A55,Table1[#This Row],COLUMN(B54), FALSE)</f>
        <v>41080</v>
      </c>
      <c r="C55" s="52">
        <f>VLOOKUP($A55,Table1[#This Row],COLUMN(C54), FALSE)</f>
        <v>41083</v>
      </c>
      <c r="D55" t="str">
        <f>VLOOKUP($A55,Table1[#This Row],COLUMN(D54), FALSE)</f>
        <v>Randy Bradley</v>
      </c>
      <c r="E55" t="str">
        <f>VLOOKUP($A55,Table1[#This Row],COLUMN(E54), FALSE)</f>
        <v>France</v>
      </c>
      <c r="F55" t="str">
        <f>VLOOKUP($A55,Table1[#This Row],COLUMN(F54), FALSE)</f>
        <v>Western Europe</v>
      </c>
      <c r="G55" t="str">
        <f>VLOOKUP($A55,Table1[#This Row],COLUMN(G54), FALSE)</f>
        <v>Furniture</v>
      </c>
      <c r="H55" t="str">
        <f>VLOOKUP($A55,Table1[#This Row],COLUMN(H54), FALSE)</f>
        <v>Chairs</v>
      </c>
      <c r="I55">
        <f>VLOOKUP($A55,Table1[#This Row],COLUMN(I54), FALSE)</f>
        <v>1696.24799999999</v>
      </c>
      <c r="J55">
        <f>VLOOKUP($A55,Table1[#This Row],COLUMN(J54), FALSE)</f>
        <v>4</v>
      </c>
      <c r="K55">
        <f>VLOOKUP($A55,Table1[#This Row],COLUMN(K54), FALSE)</f>
        <v>0.1</v>
      </c>
      <c r="L55">
        <f>VLOOKUP($A55,Table1[#This Row],COLUMN(L54), FALSE)</f>
        <v>734.928</v>
      </c>
      <c r="M55" t="str">
        <f>VLOOKUP($A55,Table1[#This Row],COLUMN(M54), FALSE)</f>
        <v>High</v>
      </c>
      <c r="N55" t="str">
        <f>VLOOKUP($A55,Table1[#This Row],COLUMN(N54), FALSE)</f>
        <v>Normal Order</v>
      </c>
      <c r="O55" t="str">
        <f>VLOOKUP($A55,Table1[#This Row],COLUMN(O54), FALSE)</f>
        <v>Randy Bradley</v>
      </c>
      <c r="P55" t="str">
        <f>VLOOKUP($A55,Table1[#This Row],COLUMN(P54), FALSE)</f>
        <v>IT</v>
      </c>
      <c r="Q55" t="str">
        <f>VLOOKUP($A55,Table1[#This Row],COLUMN(Q54), FALSE)</f>
        <v>2012</v>
      </c>
      <c r="R55" t="str">
        <f>VLOOKUP($A55,Table1[#This Row],COLUMN(R54), FALSE)</f>
        <v>HIGH</v>
      </c>
      <c r="S55" t="str">
        <f>VLOOKUP($A55,Table1[#This Row],COLUMN(S54), FALSE)</f>
        <v>furniture</v>
      </c>
      <c r="T55" t="str">
        <f>VLOOKUP($A55,Table1[#This Row],COLUMN(T54), FALSE)</f>
        <v>41080</v>
      </c>
      <c r="U55" t="str">
        <f>VLOOKUP($A55,Table1[#This Row],COLUMN(U54), FALSE)</f>
        <v>RB1933045</v>
      </c>
      <c r="V55" t="str">
        <f>VLOOKUP($A55,Table1[#This Row],COLUMN(V54), FALSE)</f>
        <v>IT</v>
      </c>
      <c r="W55">
        <f>VLOOKUP($A55,Table1[#This Row],COLUMN(W54), FALSE)</f>
        <v>2012</v>
      </c>
      <c r="X55" t="str">
        <f>VLOOKUP($A55,Table1[#This Row],COLUMN(X54), FALSE)</f>
        <v>RB1933045</v>
      </c>
      <c r="Y55">
        <f>VLOOKUP($A55,Table1[#This Row],COLUMN(Y54), FALSE)</f>
        <v>41080</v>
      </c>
      <c r="Z55" t="str">
        <f>VLOOKUP($A55,Table1[#This Row],COLUMN(Z54), FALSE)</f>
        <v>IT-2012-RB1933045-41080</v>
      </c>
      <c r="AA55">
        <f>VLOOKUP($A55,Table1[#This Row],COLUMN(AA54), FALSE)</f>
        <v>2012</v>
      </c>
      <c r="AB55">
        <f>VLOOKUP($A55,Table1[#This Row],COLUMN(AB54), FALSE)</f>
        <v>6</v>
      </c>
      <c r="AC55">
        <f>VLOOKUP($A55,Table1[#This Row],COLUMN(AC54), FALSE)</f>
        <v>4</v>
      </c>
      <c r="AD55">
        <f>VLOOKUP($A55,Table1[#This Row],COLUMN(AD54), FALSE)</f>
        <v>3</v>
      </c>
    </row>
    <row r="56" spans="1:30" ht="15.75">
      <c r="A56" s="53" t="s">
        <v>482</v>
      </c>
      <c r="B56" s="52">
        <f>VLOOKUP($A56,Table1[#This Row],COLUMN(B55), FALSE)</f>
        <v>42273</v>
      </c>
      <c r="C56" s="52">
        <f>VLOOKUP($A56,Table1[#This Row],COLUMN(C55), FALSE)</f>
        <v>42276</v>
      </c>
      <c r="D56" t="str">
        <f>VLOOKUP($A56,Table1[#This Row],COLUMN(D55), FALSE)</f>
        <v>Adam Hart</v>
      </c>
      <c r="E56" t="str">
        <f>VLOOKUP($A56,Table1[#This Row],COLUMN(E55), FALSE)</f>
        <v>United States</v>
      </c>
      <c r="F56" t="str">
        <f>VLOOKUP($A56,Table1[#This Row],COLUMN(F55), FALSE)</f>
        <v>Eastern US</v>
      </c>
      <c r="G56" t="str">
        <f>VLOOKUP($A56,Table1[#This Row],COLUMN(G55), FALSE)</f>
        <v>Office_Supplies</v>
      </c>
      <c r="H56" t="str">
        <f>VLOOKUP($A56,Table1[#This Row],COLUMN(H55), FALSE)</f>
        <v>Bookcases</v>
      </c>
      <c r="I56">
        <f>VLOOKUP($A56,Table1[#This Row],COLUMN(I55), FALSE)</f>
        <v>190.89599999999999</v>
      </c>
      <c r="J56">
        <f>VLOOKUP($A56,Table1[#This Row],COLUMN(J55), FALSE)</f>
        <v>2</v>
      </c>
      <c r="K56">
        <f>VLOOKUP($A56,Table1[#This Row],COLUMN(K55), FALSE)</f>
        <v>0.2</v>
      </c>
      <c r="L56">
        <f>VLOOKUP($A56,Table1[#This Row],COLUMN(L55), FALSE)</f>
        <v>-42.951599999999999</v>
      </c>
      <c r="M56" t="str">
        <f>VLOOKUP($A56,Table1[#This Row],COLUMN(M55), FALSE)</f>
        <v>Medium</v>
      </c>
      <c r="N56" t="str">
        <f>VLOOKUP($A56,Table1[#This Row],COLUMN(N55), FALSE)</f>
        <v>Normal Order</v>
      </c>
      <c r="O56" t="str">
        <f>VLOOKUP($A56,Table1[#This Row],COLUMN(O55), FALSE)</f>
        <v>Adam Hart</v>
      </c>
      <c r="P56" t="str">
        <f>VLOOKUP($A56,Table1[#This Row],COLUMN(P55), FALSE)</f>
        <v>CA</v>
      </c>
      <c r="Q56" t="str">
        <f>VLOOKUP($A56,Table1[#This Row],COLUMN(Q55), FALSE)</f>
        <v>2015</v>
      </c>
      <c r="R56" t="str">
        <f>VLOOKUP($A56,Table1[#This Row],COLUMN(R55), FALSE)</f>
        <v>MEDIUM</v>
      </c>
      <c r="S56" t="str">
        <f>VLOOKUP($A56,Table1[#This Row],COLUMN(S55), FALSE)</f>
        <v>office_supplies</v>
      </c>
      <c r="T56" t="str">
        <f>VLOOKUP($A56,Table1[#This Row],COLUMN(T55), FALSE)</f>
        <v>42273</v>
      </c>
      <c r="U56" t="str">
        <f>VLOOKUP($A56,Table1[#This Row],COLUMN(U55), FALSE)</f>
        <v>AH10075140</v>
      </c>
      <c r="V56" t="str">
        <f>VLOOKUP($A56,Table1[#This Row],COLUMN(V55), FALSE)</f>
        <v>CA</v>
      </c>
      <c r="W56">
        <f>VLOOKUP($A56,Table1[#This Row],COLUMN(W55), FALSE)</f>
        <v>2015</v>
      </c>
      <c r="X56" t="str">
        <f>VLOOKUP($A56,Table1[#This Row],COLUMN(X55), FALSE)</f>
        <v>AH10075140</v>
      </c>
      <c r="Y56">
        <f>VLOOKUP($A56,Table1[#This Row],COLUMN(Y55), FALSE)</f>
        <v>42273</v>
      </c>
      <c r="Z56" t="str">
        <f>VLOOKUP($A56,Table1[#This Row],COLUMN(Z55), FALSE)</f>
        <v>CA-2015-AH10075140-42273</v>
      </c>
      <c r="AA56">
        <f>VLOOKUP($A56,Table1[#This Row],COLUMN(AA55), FALSE)</f>
        <v>2015</v>
      </c>
      <c r="AB56">
        <f>VLOOKUP($A56,Table1[#This Row],COLUMN(AB55), FALSE)</f>
        <v>9</v>
      </c>
      <c r="AC56">
        <f>VLOOKUP($A56,Table1[#This Row],COLUMN(AC55), FALSE)</f>
        <v>7</v>
      </c>
      <c r="AD56">
        <f>VLOOKUP($A56,Table1[#This Row],COLUMN(AD55), FALSE)</f>
        <v>3</v>
      </c>
    </row>
    <row r="57" spans="1:30" ht="15.75">
      <c r="A57" s="54" t="s">
        <v>485</v>
      </c>
      <c r="B57" s="52">
        <f>VLOOKUP($A57,Table1[#This Row],COLUMN(B56), FALSE)</f>
        <v>42334</v>
      </c>
      <c r="C57" s="52">
        <f>VLOOKUP($A57,Table1[#This Row],COLUMN(C56), FALSE)</f>
        <v>42337</v>
      </c>
      <c r="D57" t="str">
        <f>VLOOKUP($A57,Table1[#This Row],COLUMN(D56), FALSE)</f>
        <v>Adam Bellavance</v>
      </c>
      <c r="E57" t="str">
        <f>VLOOKUP($A57,Table1[#This Row],COLUMN(E56), FALSE)</f>
        <v>South Africa</v>
      </c>
      <c r="F57" t="str">
        <f>VLOOKUP($A57,Table1[#This Row],COLUMN(F56), FALSE)</f>
        <v>Southern Africa</v>
      </c>
      <c r="G57" t="str">
        <f>VLOOKUP($A57,Table1[#This Row],COLUMN(G56), FALSE)</f>
        <v>Office Supplies</v>
      </c>
      <c r="H57" t="str">
        <f>VLOOKUP($A57,Table1[#This Row],COLUMN(H56), FALSE)</f>
        <v>Copiers</v>
      </c>
      <c r="I57">
        <f>VLOOKUP($A57,Table1[#This Row],COLUMN(I56), FALSE)</f>
        <v>1237.56</v>
      </c>
      <c r="J57">
        <f>VLOOKUP($A57,Table1[#This Row],COLUMN(J56), FALSE)</f>
        <v>4</v>
      </c>
      <c r="K57">
        <f>VLOOKUP($A57,Table1[#This Row],COLUMN(K56), FALSE)</f>
        <v>0</v>
      </c>
      <c r="L57">
        <f>VLOOKUP($A57,Table1[#This Row],COLUMN(L56), FALSE)</f>
        <v>606.36</v>
      </c>
      <c r="M57" t="str">
        <f>VLOOKUP($A57,Table1[#This Row],COLUMN(M56), FALSE)</f>
        <v>Critical</v>
      </c>
      <c r="N57" t="str">
        <f>VLOOKUP($A57,Table1[#This Row],COLUMN(N56), FALSE)</f>
        <v>Normal Order</v>
      </c>
      <c r="O57" t="str">
        <f>VLOOKUP($A57,Table1[#This Row],COLUMN(O56), FALSE)</f>
        <v>Adam Bellavance</v>
      </c>
      <c r="P57" t="str">
        <f>VLOOKUP($A57,Table1[#This Row],COLUMN(P56), FALSE)</f>
        <v>SF</v>
      </c>
      <c r="Q57" t="str">
        <f>VLOOKUP($A57,Table1[#This Row],COLUMN(Q56), FALSE)</f>
        <v>2015</v>
      </c>
      <c r="R57" t="str">
        <f>VLOOKUP($A57,Table1[#This Row],COLUMN(R56), FALSE)</f>
        <v>CRITICAL</v>
      </c>
      <c r="S57" t="str">
        <f>VLOOKUP($A57,Table1[#This Row],COLUMN(S56), FALSE)</f>
        <v>office supplies</v>
      </c>
      <c r="T57" t="str">
        <f>VLOOKUP($A57,Table1[#This Row],COLUMN(T56), FALSE)</f>
        <v>42334</v>
      </c>
      <c r="U57" t="str">
        <f>VLOOKUP($A57,Table1[#This Row],COLUMN(U56), FALSE)</f>
        <v>AB10060117</v>
      </c>
      <c r="V57" t="str">
        <f>VLOOKUP($A57,Table1[#This Row],COLUMN(V56), FALSE)</f>
        <v>SF</v>
      </c>
      <c r="W57">
        <f>VLOOKUP($A57,Table1[#This Row],COLUMN(W56), FALSE)</f>
        <v>2015</v>
      </c>
      <c r="X57" t="str">
        <f>VLOOKUP($A57,Table1[#This Row],COLUMN(X56), FALSE)</f>
        <v>AB10060117</v>
      </c>
      <c r="Y57">
        <f>VLOOKUP($A57,Table1[#This Row],COLUMN(Y56), FALSE)</f>
        <v>42334</v>
      </c>
      <c r="Z57" t="str">
        <f>VLOOKUP($A57,Table1[#This Row],COLUMN(Z56), FALSE)</f>
        <v>SF-2015-AB10060117-42334</v>
      </c>
      <c r="AA57">
        <f>VLOOKUP($A57,Table1[#This Row],COLUMN(AA56), FALSE)</f>
        <v>2015</v>
      </c>
      <c r="AB57">
        <f>VLOOKUP($A57,Table1[#This Row],COLUMN(AB56), FALSE)</f>
        <v>11</v>
      </c>
      <c r="AC57">
        <f>VLOOKUP($A57,Table1[#This Row],COLUMN(AC56), FALSE)</f>
        <v>5</v>
      </c>
      <c r="AD57">
        <f>VLOOKUP($A57,Table1[#This Row],COLUMN(AD56), FALSE)</f>
        <v>3</v>
      </c>
    </row>
    <row r="58" spans="1:30" ht="15.75">
      <c r="A58" s="53" t="s">
        <v>441</v>
      </c>
      <c r="B58" s="52">
        <f>VLOOKUP($A58,Table1[#This Row],COLUMN(B57), FALSE)</f>
        <v>41817</v>
      </c>
      <c r="C58" s="52">
        <f>VLOOKUP($A58,Table1[#This Row],COLUMN(C57), FALSE)</f>
        <v>41817</v>
      </c>
      <c r="D58" t="str">
        <f>VLOOKUP($A58,Table1[#This Row],COLUMN(D57), FALSE)</f>
        <v>Adam Hart</v>
      </c>
      <c r="E58" t="str">
        <f>VLOOKUP($A58,Table1[#This Row],COLUMN(E57), FALSE)</f>
        <v>United States</v>
      </c>
      <c r="F58" t="str">
        <f>VLOOKUP($A58,Table1[#This Row],COLUMN(F57), FALSE)</f>
        <v>Western US</v>
      </c>
      <c r="G58" t="str">
        <f>VLOOKUP($A58,Table1[#This Row],COLUMN(G57), FALSE)</f>
        <v>Office Supplies</v>
      </c>
      <c r="H58" t="str">
        <f>VLOOKUP($A58,Table1[#This Row],COLUMN(H57), FALSE)</f>
        <v>Appliances</v>
      </c>
      <c r="I58">
        <f>VLOOKUP($A58,Table1[#This Row],COLUMN(I57), FALSE)</f>
        <v>17.899999999999999</v>
      </c>
      <c r="J58">
        <f>VLOOKUP($A58,Table1[#This Row],COLUMN(J57), FALSE)</f>
        <v>5</v>
      </c>
      <c r="K58">
        <f>VLOOKUP($A58,Table1[#This Row],COLUMN(K57), FALSE)</f>
        <v>0</v>
      </c>
      <c r="L58">
        <f>VLOOKUP($A58,Table1[#This Row],COLUMN(L57), FALSE)</f>
        <v>8.9499999999999993</v>
      </c>
      <c r="M58" t="str">
        <f>VLOOKUP($A58,Table1[#This Row],COLUMN(M57), FALSE)</f>
        <v>Critical</v>
      </c>
      <c r="N58" t="str">
        <f>VLOOKUP($A58,Table1[#This Row],COLUMN(N57), FALSE)</f>
        <v>Normal Order</v>
      </c>
      <c r="O58" t="str">
        <f>VLOOKUP($A58,Table1[#This Row],COLUMN(O57), FALSE)</f>
        <v>Adam Hart</v>
      </c>
      <c r="P58" t="str">
        <f>VLOOKUP($A58,Table1[#This Row],COLUMN(P57), FALSE)</f>
        <v>CA</v>
      </c>
      <c r="Q58" t="str">
        <f>VLOOKUP($A58,Table1[#This Row],COLUMN(Q57), FALSE)</f>
        <v>2014</v>
      </c>
      <c r="R58" t="str">
        <f>VLOOKUP($A58,Table1[#This Row],COLUMN(R57), FALSE)</f>
        <v>CRITICAL</v>
      </c>
      <c r="S58" t="str">
        <f>VLOOKUP($A58,Table1[#This Row],COLUMN(S57), FALSE)</f>
        <v>office supplies</v>
      </c>
      <c r="T58" t="str">
        <f>VLOOKUP($A58,Table1[#This Row],COLUMN(T57), FALSE)</f>
        <v>41817</v>
      </c>
      <c r="U58" t="str">
        <f>VLOOKUP($A58,Table1[#This Row],COLUMN(U57), FALSE)</f>
        <v>AH10075140</v>
      </c>
      <c r="V58" t="str">
        <f>VLOOKUP($A58,Table1[#This Row],COLUMN(V57), FALSE)</f>
        <v>CA</v>
      </c>
      <c r="W58">
        <f>VLOOKUP($A58,Table1[#This Row],COLUMN(W57), FALSE)</f>
        <v>2014</v>
      </c>
      <c r="X58" t="str">
        <f>VLOOKUP($A58,Table1[#This Row],COLUMN(X57), FALSE)</f>
        <v>AH10075140</v>
      </c>
      <c r="Y58">
        <f>VLOOKUP($A58,Table1[#This Row],COLUMN(Y57), FALSE)</f>
        <v>41817</v>
      </c>
      <c r="Z58" t="str">
        <f>VLOOKUP($A58,Table1[#This Row],COLUMN(Z57), FALSE)</f>
        <v>CA-2014-AH10075140-41817</v>
      </c>
      <c r="AA58">
        <f>VLOOKUP($A58,Table1[#This Row],COLUMN(AA57), FALSE)</f>
        <v>2014</v>
      </c>
      <c r="AB58">
        <f>VLOOKUP($A58,Table1[#This Row],COLUMN(AB57), FALSE)</f>
        <v>6</v>
      </c>
      <c r="AC58">
        <f>VLOOKUP($A58,Table1[#This Row],COLUMN(AC57), FALSE)</f>
        <v>6</v>
      </c>
      <c r="AD58">
        <f>VLOOKUP($A58,Table1[#This Row],COLUMN(AD57), FALSE)</f>
        <v>0</v>
      </c>
    </row>
    <row r="59" spans="1:30" ht="15.75">
      <c r="A59" s="54" t="s">
        <v>494</v>
      </c>
      <c r="B59" s="52">
        <f>VLOOKUP($A59,Table1[#This Row],COLUMN(B58), FALSE)</f>
        <v>41662</v>
      </c>
      <c r="C59" s="52">
        <f>VLOOKUP($A59,Table1[#This Row],COLUMN(C58), FALSE)</f>
        <v>41666</v>
      </c>
      <c r="D59" t="str">
        <f>VLOOKUP($A59,Table1[#This Row],COLUMN(D58), FALSE)</f>
        <v>John Lee</v>
      </c>
      <c r="E59" t="str">
        <f>VLOOKUP($A59,Table1[#This Row],COLUMN(E58), FALSE)</f>
        <v>Azerbaijan</v>
      </c>
      <c r="F59" t="str">
        <f>VLOOKUP($A59,Table1[#This Row],COLUMN(F58), FALSE)</f>
        <v>Western Asia</v>
      </c>
      <c r="G59" t="str">
        <f>VLOOKUP($A59,Table1[#This Row],COLUMN(G58), FALSE)</f>
        <v>Furniture</v>
      </c>
      <c r="H59" t="str">
        <f>VLOOKUP($A59,Table1[#This Row],COLUMN(H58), FALSE)</f>
        <v>Machines</v>
      </c>
      <c r="I59">
        <f>VLOOKUP($A59,Table1[#This Row],COLUMN(I58), FALSE)</f>
        <v>2058</v>
      </c>
      <c r="J59">
        <f>VLOOKUP($A59,Table1[#This Row],COLUMN(J58), FALSE)</f>
        <v>4</v>
      </c>
      <c r="K59">
        <f>VLOOKUP($A59,Table1[#This Row],COLUMN(K58), FALSE)</f>
        <v>0</v>
      </c>
      <c r="L59">
        <f>VLOOKUP($A59,Table1[#This Row],COLUMN(L58), FALSE)</f>
        <v>946.68</v>
      </c>
      <c r="M59" t="str">
        <f>VLOOKUP($A59,Table1[#This Row],COLUMN(M58), FALSE)</f>
        <v>High</v>
      </c>
      <c r="N59" t="str">
        <f>VLOOKUP($A59,Table1[#This Row],COLUMN(N58), FALSE)</f>
        <v>Normal Order</v>
      </c>
      <c r="O59" t="str">
        <f>VLOOKUP($A59,Table1[#This Row],COLUMN(O58), FALSE)</f>
        <v>John Lee</v>
      </c>
      <c r="P59" t="str">
        <f>VLOOKUP($A59,Table1[#This Row],COLUMN(P58), FALSE)</f>
        <v>AJ</v>
      </c>
      <c r="Q59" t="str">
        <f>VLOOKUP($A59,Table1[#This Row],COLUMN(Q58), FALSE)</f>
        <v>2014</v>
      </c>
      <c r="R59" t="str">
        <f>VLOOKUP($A59,Table1[#This Row],COLUMN(R58), FALSE)</f>
        <v>HIGH</v>
      </c>
      <c r="S59" t="str">
        <f>VLOOKUP($A59,Table1[#This Row],COLUMN(S58), FALSE)</f>
        <v>furniture</v>
      </c>
      <c r="T59" t="str">
        <f>VLOOKUP($A59,Table1[#This Row],COLUMN(T58), FALSE)</f>
        <v>41662</v>
      </c>
      <c r="U59" t="str">
        <f>VLOOKUP($A59,Table1[#This Row],COLUMN(U58), FALSE)</f>
        <v>JL58359</v>
      </c>
      <c r="V59" t="str">
        <f>VLOOKUP($A59,Table1[#This Row],COLUMN(V58), FALSE)</f>
        <v>AJ</v>
      </c>
      <c r="W59">
        <f>VLOOKUP($A59,Table1[#This Row],COLUMN(W58), FALSE)</f>
        <v>2014</v>
      </c>
      <c r="X59" t="str">
        <f>VLOOKUP($A59,Table1[#This Row],COLUMN(X58), FALSE)</f>
        <v>JL58359</v>
      </c>
      <c r="Y59">
        <f>VLOOKUP($A59,Table1[#This Row],COLUMN(Y58), FALSE)</f>
        <v>41662</v>
      </c>
      <c r="Z59" t="str">
        <f>VLOOKUP($A59,Table1[#This Row],COLUMN(Z58), FALSE)</f>
        <v>AJ-2014-JL58359-41662</v>
      </c>
      <c r="AA59">
        <f>VLOOKUP($A59,Table1[#This Row],COLUMN(AA58), FALSE)</f>
        <v>2014</v>
      </c>
      <c r="AB59">
        <f>VLOOKUP($A59,Table1[#This Row],COLUMN(AB58), FALSE)</f>
        <v>1</v>
      </c>
      <c r="AC59">
        <f>VLOOKUP($A59,Table1[#This Row],COLUMN(AC58), FALSE)</f>
        <v>5</v>
      </c>
      <c r="AD59">
        <f>VLOOKUP($A59,Table1[#This Row],COLUMN(AD58), FALSE)</f>
        <v>4</v>
      </c>
    </row>
    <row r="60" spans="1:30" ht="15.75">
      <c r="A60" s="53" t="s">
        <v>500</v>
      </c>
      <c r="B60" s="52">
        <f>VLOOKUP($A60,Table1[#This Row],COLUMN(B59), FALSE)</f>
        <v>41218</v>
      </c>
      <c r="C60" s="52">
        <f>VLOOKUP($A60,Table1[#This Row],COLUMN(C59), FALSE)</f>
        <v>41220</v>
      </c>
      <c r="D60" t="str">
        <f>VLOOKUP($A60,Table1[#This Row],COLUMN(D59), FALSE)</f>
        <v>Corinna Mitchell</v>
      </c>
      <c r="E60" t="str">
        <f>VLOOKUP($A60,Table1[#This Row],COLUMN(E59), FALSE)</f>
        <v>France</v>
      </c>
      <c r="F60" t="str">
        <f>VLOOKUP($A60,Table1[#This Row],COLUMN(F59), FALSE)</f>
        <v>Western Europe</v>
      </c>
      <c r="G60" t="str">
        <f>VLOOKUP($A60,Table1[#This Row],COLUMN(G59), FALSE)</f>
        <v>Technology</v>
      </c>
      <c r="H60" t="str">
        <f>VLOOKUP($A60,Table1[#This Row],COLUMN(H59), FALSE)</f>
        <v>Bookcases</v>
      </c>
      <c r="I60">
        <f>VLOOKUP($A60,Table1[#This Row],COLUMN(I59), FALSE)</f>
        <v>1320.0074999999999</v>
      </c>
      <c r="J60">
        <f>VLOOKUP($A60,Table1[#This Row],COLUMN(J59), FALSE)</f>
        <v>5</v>
      </c>
      <c r="K60">
        <f>VLOOKUP($A60,Table1[#This Row],COLUMN(K59), FALSE)</f>
        <v>0.15</v>
      </c>
      <c r="L60">
        <f>VLOOKUP($A60,Table1[#This Row],COLUMN(L59), FALSE)</f>
        <v>357.15750000000003</v>
      </c>
      <c r="M60" t="str">
        <f>VLOOKUP($A60,Table1[#This Row],COLUMN(M59), FALSE)</f>
        <v>Critical</v>
      </c>
      <c r="N60" t="str">
        <f>VLOOKUP($A60,Table1[#This Row],COLUMN(N59), FALSE)</f>
        <v>Normal Order</v>
      </c>
      <c r="O60" t="str">
        <f>VLOOKUP($A60,Table1[#This Row],COLUMN(O59), FALSE)</f>
        <v>Corinna Mitchell</v>
      </c>
      <c r="P60" t="str">
        <f>VLOOKUP($A60,Table1[#This Row],COLUMN(P59), FALSE)</f>
        <v>IT</v>
      </c>
      <c r="Q60" t="str">
        <f>VLOOKUP($A60,Table1[#This Row],COLUMN(Q59), FALSE)</f>
        <v>2012</v>
      </c>
      <c r="R60" t="str">
        <f>VLOOKUP($A60,Table1[#This Row],COLUMN(R59), FALSE)</f>
        <v>CRITICAL</v>
      </c>
      <c r="S60" t="str">
        <f>VLOOKUP($A60,Table1[#This Row],COLUMN(S59), FALSE)</f>
        <v>technology</v>
      </c>
      <c r="T60" t="str">
        <f>VLOOKUP($A60,Table1[#This Row],COLUMN(T59), FALSE)</f>
        <v>41218</v>
      </c>
      <c r="U60" t="str">
        <f>VLOOKUP($A60,Table1[#This Row],COLUMN(U59), FALSE)</f>
        <v>CM1265545</v>
      </c>
      <c r="V60" t="str">
        <f>VLOOKUP($A60,Table1[#This Row],COLUMN(V59), FALSE)</f>
        <v>IT</v>
      </c>
      <c r="W60">
        <f>VLOOKUP($A60,Table1[#This Row],COLUMN(W59), FALSE)</f>
        <v>2012</v>
      </c>
      <c r="X60" t="str">
        <f>VLOOKUP($A60,Table1[#This Row],COLUMN(X59), FALSE)</f>
        <v>CM1265545</v>
      </c>
      <c r="Y60">
        <f>VLOOKUP($A60,Table1[#This Row],COLUMN(Y59), FALSE)</f>
        <v>41218</v>
      </c>
      <c r="Z60" t="str">
        <f>VLOOKUP($A60,Table1[#This Row],COLUMN(Z59), FALSE)</f>
        <v>IT-2012-CM1265545-41218</v>
      </c>
      <c r="AA60">
        <f>VLOOKUP($A60,Table1[#This Row],COLUMN(AA59), FALSE)</f>
        <v>2012</v>
      </c>
      <c r="AB60">
        <f>VLOOKUP($A60,Table1[#This Row],COLUMN(AB59), FALSE)</f>
        <v>11</v>
      </c>
      <c r="AC60">
        <f>VLOOKUP($A60,Table1[#This Row],COLUMN(AC59), FALSE)</f>
        <v>2</v>
      </c>
      <c r="AD60">
        <f>VLOOKUP($A60,Table1[#This Row],COLUMN(AD59), FALSE)</f>
        <v>2</v>
      </c>
    </row>
    <row r="61" spans="1:30" ht="15.75">
      <c r="A61" s="54" t="s">
        <v>508</v>
      </c>
      <c r="B61" s="52">
        <f>VLOOKUP($A61,Table1[#This Row],COLUMN(B60), FALSE)</f>
        <v>42335</v>
      </c>
      <c r="C61" s="52">
        <f>VLOOKUP($A61,Table1[#This Row],COLUMN(C60), FALSE)</f>
        <v>42016</v>
      </c>
      <c r="D61" t="str">
        <f>VLOOKUP($A61,Table1[#This Row],COLUMN(D60), FALSE)</f>
        <v>Adam Hart</v>
      </c>
      <c r="E61" t="str">
        <f>VLOOKUP($A61,Table1[#This Row],COLUMN(E60), FALSE)</f>
        <v>United States</v>
      </c>
      <c r="F61" t="str">
        <f>VLOOKUP($A61,Table1[#This Row],COLUMN(F60), FALSE)</f>
        <v>Southern US</v>
      </c>
      <c r="G61" t="str">
        <f>VLOOKUP($A61,Table1[#This Row],COLUMN(G60), FALSE)</f>
        <v>Office Supplies</v>
      </c>
      <c r="H61" t="str">
        <f>VLOOKUP($A61,Table1[#This Row],COLUMN(H60), FALSE)</f>
        <v>Tables</v>
      </c>
      <c r="I61">
        <f>VLOOKUP($A61,Table1[#This Row],COLUMN(I60), FALSE)</f>
        <v>12.84</v>
      </c>
      <c r="J61">
        <f>VLOOKUP($A61,Table1[#This Row],COLUMN(J60), FALSE)</f>
        <v>3</v>
      </c>
      <c r="K61">
        <f>VLOOKUP($A61,Table1[#This Row],COLUMN(K60), FALSE)</f>
        <v>0</v>
      </c>
      <c r="L61">
        <f>VLOOKUP($A61,Table1[#This Row],COLUMN(L60), FALSE)</f>
        <v>3.72359999999999</v>
      </c>
      <c r="M61" t="str">
        <f>VLOOKUP($A61,Table1[#This Row],COLUMN(M60), FALSE)</f>
        <v>Medium</v>
      </c>
      <c r="N61" t="str">
        <f>VLOOKUP($A61,Table1[#This Row],COLUMN(N60), FALSE)</f>
        <v>Normal Order</v>
      </c>
      <c r="O61" t="str">
        <f>VLOOKUP($A61,Table1[#This Row],COLUMN(O60), FALSE)</f>
        <v>Adam Hart</v>
      </c>
      <c r="P61" t="str">
        <f>VLOOKUP($A61,Table1[#This Row],COLUMN(P60), FALSE)</f>
        <v>CA</v>
      </c>
      <c r="Q61" t="str">
        <f>VLOOKUP($A61,Table1[#This Row],COLUMN(Q60), FALSE)</f>
        <v>2015</v>
      </c>
      <c r="R61" t="str">
        <f>VLOOKUP($A61,Table1[#This Row],COLUMN(R60), FALSE)</f>
        <v>MEDIUM</v>
      </c>
      <c r="S61" t="str">
        <f>VLOOKUP($A61,Table1[#This Row],COLUMN(S60), FALSE)</f>
        <v>office supplies</v>
      </c>
      <c r="T61" t="str">
        <f>VLOOKUP($A61,Table1[#This Row],COLUMN(T60), FALSE)</f>
        <v>42335</v>
      </c>
      <c r="U61" t="str">
        <f>VLOOKUP($A61,Table1[#This Row],COLUMN(U60), FALSE)</f>
        <v>AH10075140</v>
      </c>
      <c r="V61" t="str">
        <f>VLOOKUP($A61,Table1[#This Row],COLUMN(V60), FALSE)</f>
        <v>CA</v>
      </c>
      <c r="W61">
        <f>VLOOKUP($A61,Table1[#This Row],COLUMN(W60), FALSE)</f>
        <v>2015</v>
      </c>
      <c r="X61" t="str">
        <f>VLOOKUP($A61,Table1[#This Row],COLUMN(X60), FALSE)</f>
        <v>AH10075140</v>
      </c>
      <c r="Y61">
        <f>VLOOKUP($A61,Table1[#This Row],COLUMN(Y60), FALSE)</f>
        <v>42335</v>
      </c>
      <c r="Z61" t="str">
        <f>VLOOKUP($A61,Table1[#This Row],COLUMN(Z60), FALSE)</f>
        <v>CA-2015-AH10075140-42335</v>
      </c>
      <c r="AA61">
        <f>VLOOKUP($A61,Table1[#This Row],COLUMN(AA60), FALSE)</f>
        <v>2015</v>
      </c>
      <c r="AB61">
        <f>VLOOKUP($A61,Table1[#This Row],COLUMN(AB60), FALSE)</f>
        <v>11</v>
      </c>
      <c r="AC61">
        <f>VLOOKUP($A61,Table1[#This Row],COLUMN(AC60), FALSE)</f>
        <v>6</v>
      </c>
      <c r="AD61">
        <f>VLOOKUP($A61,Table1[#This Row],COLUMN(AD60), FALSE)</f>
        <v>-319</v>
      </c>
    </row>
    <row r="62" spans="1:30" ht="15.75">
      <c r="A62" s="53" t="s">
        <v>417</v>
      </c>
      <c r="B62" s="52">
        <f>VLOOKUP($A62,Table1[#This Row],COLUMN(B61), FALSE)</f>
        <v>42301</v>
      </c>
      <c r="C62" s="52">
        <f>VLOOKUP($A62,Table1[#This Row],COLUMN(C61), FALSE)</f>
        <v>42302</v>
      </c>
      <c r="D62" t="str">
        <f>VLOOKUP($A62,Table1[#This Row],COLUMN(D61), FALSE)</f>
        <v>Adam Hart</v>
      </c>
      <c r="E62" t="str">
        <f>VLOOKUP($A62,Table1[#This Row],COLUMN(E61), FALSE)</f>
        <v>United States</v>
      </c>
      <c r="F62" t="str">
        <f>VLOOKUP($A62,Table1[#This Row],COLUMN(F61), FALSE)</f>
        <v>Eastern US</v>
      </c>
      <c r="G62" t="str">
        <f>VLOOKUP($A62,Table1[#This Row],COLUMN(G61), FALSE)</f>
        <v>Office Supplies</v>
      </c>
      <c r="H62" t="str">
        <f>VLOOKUP($A62,Table1[#This Row],COLUMN(H61), FALSE)</f>
        <v>Bookcases</v>
      </c>
      <c r="I62">
        <f>VLOOKUP($A62,Table1[#This Row],COLUMN(I61), FALSE)</f>
        <v>2.2200000000000002</v>
      </c>
      <c r="J62">
        <f>VLOOKUP($A62,Table1[#This Row],COLUMN(J61), FALSE)</f>
        <v>1</v>
      </c>
      <c r="K62">
        <f>VLOOKUP($A62,Table1[#This Row],COLUMN(K61), FALSE)</f>
        <v>0</v>
      </c>
      <c r="L62">
        <f>VLOOKUP($A62,Table1[#This Row],COLUMN(L61), FALSE)</f>
        <v>0.66599999999999904</v>
      </c>
      <c r="M62" t="str">
        <f>VLOOKUP($A62,Table1[#This Row],COLUMN(M61), FALSE)</f>
        <v>Critical</v>
      </c>
      <c r="N62" t="str">
        <f>VLOOKUP($A62,Table1[#This Row],COLUMN(N61), FALSE)</f>
        <v>Normal Order</v>
      </c>
      <c r="O62" t="str">
        <f>VLOOKUP($A62,Table1[#This Row],COLUMN(O61), FALSE)</f>
        <v>Adam Hart</v>
      </c>
      <c r="P62" t="str">
        <f>VLOOKUP($A62,Table1[#This Row],COLUMN(P61), FALSE)</f>
        <v>CA</v>
      </c>
      <c r="Q62" t="str">
        <f>VLOOKUP($A62,Table1[#This Row],COLUMN(Q61), FALSE)</f>
        <v>2015</v>
      </c>
      <c r="R62" t="str">
        <f>VLOOKUP($A62,Table1[#This Row],COLUMN(R61), FALSE)</f>
        <v>CRITICAL</v>
      </c>
      <c r="S62" t="str">
        <f>VLOOKUP($A62,Table1[#This Row],COLUMN(S61), FALSE)</f>
        <v>office supplies</v>
      </c>
      <c r="T62" t="str">
        <f>VLOOKUP($A62,Table1[#This Row],COLUMN(T61), FALSE)</f>
        <v>42301</v>
      </c>
      <c r="U62" t="str">
        <f>VLOOKUP($A62,Table1[#This Row],COLUMN(U61), FALSE)</f>
        <v>AH10075140</v>
      </c>
      <c r="V62" t="str">
        <f>VLOOKUP($A62,Table1[#This Row],COLUMN(V61), FALSE)</f>
        <v>CA</v>
      </c>
      <c r="W62">
        <f>VLOOKUP($A62,Table1[#This Row],COLUMN(W61), FALSE)</f>
        <v>2015</v>
      </c>
      <c r="X62" t="str">
        <f>VLOOKUP($A62,Table1[#This Row],COLUMN(X61), FALSE)</f>
        <v>AH10075140</v>
      </c>
      <c r="Y62">
        <f>VLOOKUP($A62,Table1[#This Row],COLUMN(Y61), FALSE)</f>
        <v>42301</v>
      </c>
      <c r="Z62" t="str">
        <f>VLOOKUP($A62,Table1[#This Row],COLUMN(Z61), FALSE)</f>
        <v>CA-2015-AH10075140-42301</v>
      </c>
      <c r="AA62">
        <f>VLOOKUP($A62,Table1[#This Row],COLUMN(AA61), FALSE)</f>
        <v>2015</v>
      </c>
      <c r="AB62">
        <f>VLOOKUP($A62,Table1[#This Row],COLUMN(AB61), FALSE)</f>
        <v>10</v>
      </c>
      <c r="AC62">
        <f>VLOOKUP($A62,Table1[#This Row],COLUMN(AC61), FALSE)</f>
        <v>7</v>
      </c>
      <c r="AD62">
        <f>VLOOKUP($A62,Table1[#This Row],COLUMN(AD61), FALSE)</f>
        <v>1</v>
      </c>
    </row>
    <row r="63" spans="1:30" ht="15.75">
      <c r="A63" s="54" t="s">
        <v>524</v>
      </c>
      <c r="B63" s="52">
        <f>VLOOKUP($A63,Table1[#This Row],COLUMN(B62), FALSE)</f>
        <v>41903</v>
      </c>
      <c r="C63" s="52">
        <f>VLOOKUP($A63,Table1[#This Row],COLUMN(C62), FALSE)</f>
        <v>41906</v>
      </c>
      <c r="D63" t="str">
        <f>VLOOKUP($A63,Table1[#This Row],COLUMN(D62), FALSE)</f>
        <v>James Lanier</v>
      </c>
      <c r="E63" t="str">
        <f>VLOOKUP($A63,Table1[#This Row],COLUMN(E62), FALSE)</f>
        <v>Brazil</v>
      </c>
      <c r="F63" t="str">
        <f>VLOOKUP($A63,Table1[#This Row],COLUMN(F62), FALSE)</f>
        <v>South America</v>
      </c>
      <c r="G63" t="str">
        <f>VLOOKUP($A63,Table1[#This Row],COLUMN(G62), FALSE)</f>
        <v>Furniture</v>
      </c>
      <c r="H63" t="str">
        <f>VLOOKUP($A63,Table1[#This Row],COLUMN(H62), FALSE)</f>
        <v>Tables</v>
      </c>
      <c r="I63">
        <f>VLOOKUP($A63,Table1[#This Row],COLUMN(I62), FALSE)</f>
        <v>1236.47999999999</v>
      </c>
      <c r="J63">
        <f>VLOOKUP($A63,Table1[#This Row],COLUMN(J62), FALSE)</f>
        <v>4</v>
      </c>
      <c r="K63">
        <f>VLOOKUP($A63,Table1[#This Row],COLUMN(K62), FALSE)</f>
        <v>0</v>
      </c>
      <c r="L63">
        <f>VLOOKUP($A63,Table1[#This Row],COLUMN(L62), FALSE)</f>
        <v>111.28</v>
      </c>
      <c r="M63" t="str">
        <f>VLOOKUP($A63,Table1[#This Row],COLUMN(M62), FALSE)</f>
        <v>Critical</v>
      </c>
      <c r="N63" t="str">
        <f>VLOOKUP($A63,Table1[#This Row],COLUMN(N62), FALSE)</f>
        <v>Normal Order</v>
      </c>
      <c r="O63" t="str">
        <f>VLOOKUP($A63,Table1[#This Row],COLUMN(O62), FALSE)</f>
        <v>James Lanier</v>
      </c>
      <c r="P63" t="str">
        <f>VLOOKUP($A63,Table1[#This Row],COLUMN(P62), FALSE)</f>
        <v>MX</v>
      </c>
      <c r="Q63" t="str">
        <f>VLOOKUP($A63,Table1[#This Row],COLUMN(Q62), FALSE)</f>
        <v>2014</v>
      </c>
      <c r="R63" t="str">
        <f>VLOOKUP($A63,Table1[#This Row],COLUMN(R62), FALSE)</f>
        <v>CRITICAL</v>
      </c>
      <c r="S63" t="str">
        <f>VLOOKUP($A63,Table1[#This Row],COLUMN(S62), FALSE)</f>
        <v>furniture</v>
      </c>
      <c r="T63" t="str">
        <f>VLOOKUP($A63,Table1[#This Row],COLUMN(T62), FALSE)</f>
        <v>41903</v>
      </c>
      <c r="U63" t="str">
        <f>VLOOKUP($A63,Table1[#This Row],COLUMN(U62), FALSE)</f>
        <v>JL1517518</v>
      </c>
      <c r="V63" t="str">
        <f>VLOOKUP($A63,Table1[#This Row],COLUMN(V62), FALSE)</f>
        <v>MX</v>
      </c>
      <c r="W63">
        <f>VLOOKUP($A63,Table1[#This Row],COLUMN(W62), FALSE)</f>
        <v>2014</v>
      </c>
      <c r="X63" t="str">
        <f>VLOOKUP($A63,Table1[#This Row],COLUMN(X62), FALSE)</f>
        <v>JL1517518</v>
      </c>
      <c r="Y63">
        <f>VLOOKUP($A63,Table1[#This Row],COLUMN(Y62), FALSE)</f>
        <v>41903</v>
      </c>
      <c r="Z63" t="str">
        <f>VLOOKUP($A63,Table1[#This Row],COLUMN(Z62), FALSE)</f>
        <v>MX-2014-JL1517518-41903</v>
      </c>
      <c r="AA63">
        <f>VLOOKUP($A63,Table1[#This Row],COLUMN(AA62), FALSE)</f>
        <v>2014</v>
      </c>
      <c r="AB63">
        <f>VLOOKUP($A63,Table1[#This Row],COLUMN(AB62), FALSE)</f>
        <v>9</v>
      </c>
      <c r="AC63">
        <f>VLOOKUP($A63,Table1[#This Row],COLUMN(AC62), FALSE)</f>
        <v>1</v>
      </c>
      <c r="AD63">
        <f>VLOOKUP($A63,Table1[#This Row],COLUMN(AD62), FALSE)</f>
        <v>3</v>
      </c>
    </row>
    <row r="64" spans="1:30" ht="15.75">
      <c r="A64" s="53" t="s">
        <v>528</v>
      </c>
      <c r="B64" s="52" t="str">
        <f>VLOOKUP($A64,Table1[#This Row],COLUMN(B63), FALSE)</f>
        <v>32/13/2020</v>
      </c>
      <c r="C64" s="52">
        <f>VLOOKUP($A64,Table1[#This Row],COLUMN(C63), FALSE)</f>
        <v>41234</v>
      </c>
      <c r="D64" t="str">
        <f>VLOOKUP($A64,Table1[#This Row],COLUMN(D63), FALSE)</f>
        <v>Adam Hart</v>
      </c>
      <c r="E64" t="str">
        <f>VLOOKUP($A64,Table1[#This Row],COLUMN(E63), FALSE)</f>
        <v>United States</v>
      </c>
      <c r="F64" t="str">
        <f>VLOOKUP($A64,Table1[#This Row],COLUMN(F63), FALSE)</f>
        <v>WESTERN US</v>
      </c>
      <c r="G64" t="str">
        <f>VLOOKUP($A64,Table1[#This Row],COLUMN(G63), FALSE)</f>
        <v>Office Supplies</v>
      </c>
      <c r="H64" t="str">
        <f>VLOOKUP($A64,Table1[#This Row],COLUMN(H63), FALSE)</f>
        <v>Chairs</v>
      </c>
      <c r="I64">
        <f>VLOOKUP($A64,Table1[#This Row],COLUMN(I63), FALSE)</f>
        <v>5.22</v>
      </c>
      <c r="J64">
        <f>VLOOKUP($A64,Table1[#This Row],COLUMN(J63), FALSE)</f>
        <v>2</v>
      </c>
      <c r="K64">
        <f>VLOOKUP($A64,Table1[#This Row],COLUMN(K63), FALSE)</f>
        <v>0</v>
      </c>
      <c r="L64">
        <f>VLOOKUP($A64,Table1[#This Row],COLUMN(L63), FALSE)</f>
        <v>2.4011999999999998</v>
      </c>
      <c r="M64" t="str">
        <f>VLOOKUP($A64,Table1[#This Row],COLUMN(M63), FALSE)</f>
        <v>Medium</v>
      </c>
      <c r="N64" t="str">
        <f>VLOOKUP($A64,Table1[#This Row],COLUMN(N63), FALSE)</f>
        <v>Normal Order</v>
      </c>
      <c r="O64" t="str">
        <f>VLOOKUP($A64,Table1[#This Row],COLUMN(O63), FALSE)</f>
        <v>Adam Hart</v>
      </c>
      <c r="P64" t="str">
        <f>VLOOKUP($A64,Table1[#This Row],COLUMN(P63), FALSE)</f>
        <v>CA</v>
      </c>
      <c r="Q64" t="str">
        <f>VLOOKUP($A64,Table1[#This Row],COLUMN(Q63), FALSE)</f>
        <v>2012</v>
      </c>
      <c r="R64" t="str">
        <f>VLOOKUP($A64,Table1[#This Row],COLUMN(R63), FALSE)</f>
        <v>MEDIUM</v>
      </c>
      <c r="S64" t="str">
        <f>VLOOKUP($A64,Table1[#This Row],COLUMN(S63), FALSE)</f>
        <v>office supplies</v>
      </c>
      <c r="T64" t="str">
        <f>VLOOKUP($A64,Table1[#This Row],COLUMN(T63), FALSE)</f>
        <v>41228</v>
      </c>
      <c r="U64" t="str">
        <f>VLOOKUP($A64,Table1[#This Row],COLUMN(U63), FALSE)</f>
        <v>AH10075140</v>
      </c>
      <c r="V64" t="str">
        <f>VLOOKUP($A64,Table1[#This Row],COLUMN(V63), FALSE)</f>
        <v>CA</v>
      </c>
      <c r="W64">
        <f>VLOOKUP($A64,Table1[#This Row],COLUMN(W63), FALSE)</f>
        <v>2012</v>
      </c>
      <c r="X64" t="str">
        <f>VLOOKUP($A64,Table1[#This Row],COLUMN(X63), FALSE)</f>
        <v>AH10075140</v>
      </c>
      <c r="Y64">
        <f>VLOOKUP($A64,Table1[#This Row],COLUMN(Y63), FALSE)</f>
        <v>41228</v>
      </c>
      <c r="Z64" t="str">
        <f>VLOOKUP($A64,Table1[#This Row],COLUMN(Z63), FALSE)</f>
        <v>CA-2012-AH10075140-41228</v>
      </c>
      <c r="AA64">
        <f>VLOOKUP($A64,Table1[#This Row],COLUMN(AA63), FALSE)</f>
        <v>0</v>
      </c>
      <c r="AB64">
        <f>VLOOKUP($A64,Table1[#This Row],COLUMN(AB63), FALSE)</f>
        <v>0</v>
      </c>
      <c r="AC64">
        <f>VLOOKUP($A64,Table1[#This Row],COLUMN(AC63), FALSE)</f>
        <v>0</v>
      </c>
      <c r="AD64">
        <f>VLOOKUP($A64,Table1[#This Row],COLUMN(AD63), FALSE)</f>
        <v>0</v>
      </c>
    </row>
    <row r="65" spans="1:30" ht="15.75">
      <c r="A65" s="54" t="s">
        <v>482</v>
      </c>
      <c r="B65" s="52">
        <f>VLOOKUP($A65,Table1[#This Row],COLUMN(B64), FALSE)</f>
        <v>42273</v>
      </c>
      <c r="C65" s="52">
        <f>VLOOKUP($A65,Table1[#This Row],COLUMN(C64), FALSE)</f>
        <v>42276</v>
      </c>
      <c r="D65" t="str">
        <f>VLOOKUP($A65,Table1[#This Row],COLUMN(D64), FALSE)</f>
        <v>Adam Hart</v>
      </c>
      <c r="E65" t="str">
        <f>VLOOKUP($A65,Table1[#This Row],COLUMN(E64), FALSE)</f>
        <v>United States</v>
      </c>
      <c r="F65" t="str">
        <f>VLOOKUP($A65,Table1[#This Row],COLUMN(F64), FALSE)</f>
        <v>Eastern US</v>
      </c>
      <c r="G65" t="str">
        <f>VLOOKUP($A65,Table1[#This Row],COLUMN(G64), FALSE)</f>
        <v>Office Supplies</v>
      </c>
      <c r="H65" t="str">
        <f>VLOOKUP($A65,Table1[#This Row],COLUMN(H64), FALSE)</f>
        <v>Machines</v>
      </c>
      <c r="I65">
        <f>VLOOKUP($A65,Table1[#This Row],COLUMN(I64), FALSE)</f>
        <v>8.5950000000000006</v>
      </c>
      <c r="J65">
        <f>VLOOKUP($A65,Table1[#This Row],COLUMN(J64), FALSE)</f>
        <v>5</v>
      </c>
      <c r="K65">
        <f>VLOOKUP($A65,Table1[#This Row],COLUMN(K64), FALSE)</f>
        <v>0.7</v>
      </c>
      <c r="L65">
        <f>VLOOKUP($A65,Table1[#This Row],COLUMN(L64), FALSE)</f>
        <v>-6.3029999999999999</v>
      </c>
      <c r="M65" t="str">
        <f>VLOOKUP($A65,Table1[#This Row],COLUMN(M64), FALSE)</f>
        <v>Medium</v>
      </c>
      <c r="N65" t="str">
        <f>VLOOKUP($A65,Table1[#This Row],COLUMN(N64), FALSE)</f>
        <v>Normal Order</v>
      </c>
      <c r="O65" t="str">
        <f>VLOOKUP($A65,Table1[#This Row],COLUMN(O64), FALSE)</f>
        <v>Adam Hart</v>
      </c>
      <c r="P65" t="str">
        <f>VLOOKUP($A65,Table1[#This Row],COLUMN(P64), FALSE)</f>
        <v>CA</v>
      </c>
      <c r="Q65" t="str">
        <f>VLOOKUP($A65,Table1[#This Row],COLUMN(Q64), FALSE)</f>
        <v>2015</v>
      </c>
      <c r="R65" t="str">
        <f>VLOOKUP($A65,Table1[#This Row],COLUMN(R64), FALSE)</f>
        <v>MEDIUM</v>
      </c>
      <c r="S65" t="str">
        <f>VLOOKUP($A65,Table1[#This Row],COLUMN(S64), FALSE)</f>
        <v>office supplies</v>
      </c>
      <c r="T65" t="str">
        <f>VLOOKUP($A65,Table1[#This Row],COLUMN(T64), FALSE)</f>
        <v>42273</v>
      </c>
      <c r="U65" t="str">
        <f>VLOOKUP($A65,Table1[#This Row],COLUMN(U64), FALSE)</f>
        <v>AH10075140</v>
      </c>
      <c r="V65" t="str">
        <f>VLOOKUP($A65,Table1[#This Row],COLUMN(V64), FALSE)</f>
        <v>CA</v>
      </c>
      <c r="W65">
        <f>VLOOKUP($A65,Table1[#This Row],COLUMN(W64), FALSE)</f>
        <v>2015</v>
      </c>
      <c r="X65" t="str">
        <f>VLOOKUP($A65,Table1[#This Row],COLUMN(X64), FALSE)</f>
        <v>AH10075140</v>
      </c>
      <c r="Y65">
        <f>VLOOKUP($A65,Table1[#This Row],COLUMN(Y64), FALSE)</f>
        <v>42273</v>
      </c>
      <c r="Z65" t="str">
        <f>VLOOKUP($A65,Table1[#This Row],COLUMN(Z64), FALSE)</f>
        <v>CA-2015-AH10075140-42273</v>
      </c>
      <c r="AA65">
        <f>VLOOKUP($A65,Table1[#This Row],COLUMN(AA64), FALSE)</f>
        <v>2015</v>
      </c>
      <c r="AB65">
        <f>VLOOKUP($A65,Table1[#This Row],COLUMN(AB64), FALSE)</f>
        <v>9</v>
      </c>
      <c r="AC65">
        <f>VLOOKUP($A65,Table1[#This Row],COLUMN(AC64), FALSE)</f>
        <v>7</v>
      </c>
      <c r="AD65">
        <f>VLOOKUP($A65,Table1[#This Row],COLUMN(AD64), FALSE)</f>
        <v>3</v>
      </c>
    </row>
    <row r="66" spans="1:30" ht="15.75">
      <c r="A66" s="53" t="s">
        <v>532</v>
      </c>
      <c r="B66" s="52">
        <f>VLOOKUP($A66,Table1[#This Row],COLUMN(B65), FALSE)</f>
        <v>42259</v>
      </c>
      <c r="C66" s="52">
        <f>VLOOKUP($A66,Table1[#This Row],COLUMN(C65), FALSE)</f>
        <v>42261</v>
      </c>
      <c r="D66" t="str">
        <f>VLOOKUP($A66,Table1[#This Row],COLUMN(D65), FALSE)</f>
        <v>Chuck Sachs</v>
      </c>
      <c r="E66" t="str">
        <f>VLOOKUP($A66,Table1[#This Row],COLUMN(E65), FALSE)</f>
        <v>Nicaragua</v>
      </c>
      <c r="F66" t="str">
        <f>VLOOKUP($A66,Table1[#This Row],COLUMN(F65), FALSE)</f>
        <v>Central America</v>
      </c>
      <c r="G66" t="str">
        <f>VLOOKUP($A66,Table1[#This Row],COLUMN(G65), FALSE)</f>
        <v>Technology</v>
      </c>
      <c r="H66" t="str">
        <f>VLOOKUP($A66,Table1[#This Row],COLUMN(H65), FALSE)</f>
        <v>Binders</v>
      </c>
      <c r="I66">
        <f>VLOOKUP($A66,Table1[#This Row],COLUMN(I65), FALSE)</f>
        <v>2120.5</v>
      </c>
      <c r="J66">
        <f>VLOOKUP($A66,Table1[#This Row],COLUMN(J65), FALSE)</f>
        <v>5</v>
      </c>
      <c r="K66">
        <f>VLOOKUP($A66,Table1[#This Row],COLUMN(K65), FALSE)</f>
        <v>0</v>
      </c>
      <c r="L66">
        <f>VLOOKUP($A66,Table1[#This Row],COLUMN(L65), FALSE)</f>
        <v>106</v>
      </c>
      <c r="M66" t="str">
        <f>VLOOKUP($A66,Table1[#This Row],COLUMN(M65), FALSE)</f>
        <v>Critical</v>
      </c>
      <c r="N66" t="str">
        <f>VLOOKUP($A66,Table1[#This Row],COLUMN(N65), FALSE)</f>
        <v>Normal Order</v>
      </c>
      <c r="O66" t="str">
        <f>VLOOKUP($A66,Table1[#This Row],COLUMN(O65), FALSE)</f>
        <v>Chuck Sachs</v>
      </c>
      <c r="P66" t="str">
        <f>VLOOKUP($A66,Table1[#This Row],COLUMN(P65), FALSE)</f>
        <v>MX</v>
      </c>
      <c r="Q66" t="str">
        <f>VLOOKUP($A66,Table1[#This Row],COLUMN(Q65), FALSE)</f>
        <v>2015</v>
      </c>
      <c r="R66" t="str">
        <f>VLOOKUP($A66,Table1[#This Row],COLUMN(R65), FALSE)</f>
        <v>CRITICAL</v>
      </c>
      <c r="S66" t="str">
        <f>VLOOKUP($A66,Table1[#This Row],COLUMN(S65), FALSE)</f>
        <v>technology</v>
      </c>
      <c r="T66" t="str">
        <f>VLOOKUP($A66,Table1[#This Row],COLUMN(T65), FALSE)</f>
        <v>42259</v>
      </c>
      <c r="U66" t="str">
        <f>VLOOKUP($A66,Table1[#This Row],COLUMN(U65), FALSE)</f>
        <v>CS1246093</v>
      </c>
      <c r="V66" t="str">
        <f>VLOOKUP($A66,Table1[#This Row],COLUMN(V65), FALSE)</f>
        <v>MX</v>
      </c>
      <c r="W66">
        <f>VLOOKUP($A66,Table1[#This Row],COLUMN(W65), FALSE)</f>
        <v>2015</v>
      </c>
      <c r="X66" t="str">
        <f>VLOOKUP($A66,Table1[#This Row],COLUMN(X65), FALSE)</f>
        <v>CS1246093</v>
      </c>
      <c r="Y66">
        <f>VLOOKUP($A66,Table1[#This Row],COLUMN(Y65), FALSE)</f>
        <v>42259</v>
      </c>
      <c r="Z66" t="str">
        <f>VLOOKUP($A66,Table1[#This Row],COLUMN(Z65), FALSE)</f>
        <v>MX-2015-CS1246093-42259</v>
      </c>
      <c r="AA66">
        <f>VLOOKUP($A66,Table1[#This Row],COLUMN(AA65), FALSE)</f>
        <v>2015</v>
      </c>
      <c r="AB66">
        <f>VLOOKUP($A66,Table1[#This Row],COLUMN(AB65), FALSE)</f>
        <v>9</v>
      </c>
      <c r="AC66">
        <f>VLOOKUP($A66,Table1[#This Row],COLUMN(AC65), FALSE)</f>
        <v>7</v>
      </c>
      <c r="AD66">
        <f>VLOOKUP($A66,Table1[#This Row],COLUMN(AD65), FALSE)</f>
        <v>2</v>
      </c>
    </row>
    <row r="67" spans="1:30" ht="15.75">
      <c r="A67" s="54" t="s">
        <v>533</v>
      </c>
      <c r="B67" s="52">
        <f>VLOOKUP($A67,Table1[#This Row],COLUMN(B66), FALSE)</f>
        <v>42111</v>
      </c>
      <c r="C67" s="52">
        <f>VLOOKUP($A67,Table1[#This Row],COLUMN(C66), FALSE)</f>
        <v>42111</v>
      </c>
      <c r="D67" t="str">
        <f>VLOOKUP($A67,Table1[#This Row],COLUMN(D66), FALSE)</f>
        <v>Helen Andreada</v>
      </c>
      <c r="E67" t="str">
        <f>VLOOKUP($A67,Table1[#This Row],COLUMN(E66), FALSE)</f>
        <v>China</v>
      </c>
      <c r="F67" t="str">
        <f>VLOOKUP($A67,Table1[#This Row],COLUMN(F66), FALSE)</f>
        <v>Eastern Asia</v>
      </c>
      <c r="G67" t="str">
        <f>VLOOKUP($A67,Table1[#This Row],COLUMN(G66), FALSE)</f>
        <v>Technology</v>
      </c>
      <c r="H67" t="str">
        <f>VLOOKUP($A67,Table1[#This Row],COLUMN(H66), FALSE)</f>
        <v>Appliances</v>
      </c>
      <c r="I67">
        <f>VLOOKUP($A67,Table1[#This Row],COLUMN(I66), FALSE)</f>
        <v>1275</v>
      </c>
      <c r="J67">
        <f>VLOOKUP($A67,Table1[#This Row],COLUMN(J66), FALSE)</f>
        <v>2</v>
      </c>
      <c r="K67">
        <f>VLOOKUP($A67,Table1[#This Row],COLUMN(K66), FALSE)</f>
        <v>0</v>
      </c>
      <c r="L67">
        <f>VLOOKUP($A67,Table1[#This Row],COLUMN(L66), FALSE)</f>
        <v>140.22</v>
      </c>
      <c r="M67" t="str">
        <f>VLOOKUP($A67,Table1[#This Row],COLUMN(M66), FALSE)</f>
        <v>Critical</v>
      </c>
      <c r="N67" t="str">
        <f>VLOOKUP($A67,Table1[#This Row],COLUMN(N66), FALSE)</f>
        <v>Normal Order</v>
      </c>
      <c r="O67" t="str">
        <f>VLOOKUP($A67,Table1[#This Row],COLUMN(O66), FALSE)</f>
        <v>Helen Andreada</v>
      </c>
      <c r="P67" t="str">
        <f>VLOOKUP($A67,Table1[#This Row],COLUMN(P66), FALSE)</f>
        <v>IN</v>
      </c>
      <c r="Q67" t="str">
        <f>VLOOKUP($A67,Table1[#This Row],COLUMN(Q66), FALSE)</f>
        <v>2015</v>
      </c>
      <c r="R67" t="str">
        <f>VLOOKUP($A67,Table1[#This Row],COLUMN(R66), FALSE)</f>
        <v>CRITICAL</v>
      </c>
      <c r="S67" t="str">
        <f>VLOOKUP($A67,Table1[#This Row],COLUMN(S66), FALSE)</f>
        <v>technology</v>
      </c>
      <c r="T67" t="str">
        <f>VLOOKUP($A67,Table1[#This Row],COLUMN(T66), FALSE)</f>
        <v>42111</v>
      </c>
      <c r="U67" t="str">
        <f>VLOOKUP($A67,Table1[#This Row],COLUMN(U66), FALSE)</f>
        <v>HA1492027</v>
      </c>
      <c r="V67" t="str">
        <f>VLOOKUP($A67,Table1[#This Row],COLUMN(V66), FALSE)</f>
        <v>IN</v>
      </c>
      <c r="W67">
        <f>VLOOKUP($A67,Table1[#This Row],COLUMN(W66), FALSE)</f>
        <v>2015</v>
      </c>
      <c r="X67" t="str">
        <f>VLOOKUP($A67,Table1[#This Row],COLUMN(X66), FALSE)</f>
        <v>HA1492027</v>
      </c>
      <c r="Y67">
        <f>VLOOKUP($A67,Table1[#This Row],COLUMN(Y66), FALSE)</f>
        <v>42111</v>
      </c>
      <c r="Z67" t="str">
        <f>VLOOKUP($A67,Table1[#This Row],COLUMN(Z66), FALSE)</f>
        <v>IN-2015-HA1492027-42111</v>
      </c>
      <c r="AA67">
        <f>VLOOKUP($A67,Table1[#This Row],COLUMN(AA66), FALSE)</f>
        <v>2015</v>
      </c>
      <c r="AB67">
        <f>VLOOKUP($A67,Table1[#This Row],COLUMN(AB66), FALSE)</f>
        <v>4</v>
      </c>
      <c r="AC67">
        <f>VLOOKUP($A67,Table1[#This Row],COLUMN(AC66), FALSE)</f>
        <v>6</v>
      </c>
      <c r="AD67">
        <f>VLOOKUP($A67,Table1[#This Row],COLUMN(AD66), FALSE)</f>
        <v>0</v>
      </c>
    </row>
    <row r="68" spans="1:30" ht="15.75">
      <c r="A68" s="53" t="s">
        <v>538</v>
      </c>
      <c r="B68" s="52">
        <f>VLOOKUP($A68,Table1[#This Row],COLUMN(B67), FALSE)</f>
        <v>41478</v>
      </c>
      <c r="C68" s="52">
        <f>VLOOKUP($A68,Table1[#This Row],COLUMN(C67), FALSE)</f>
        <v>41483</v>
      </c>
      <c r="D68" t="str">
        <f>VLOOKUP($A68,Table1[#This Row],COLUMN(D67), FALSE)</f>
        <v>Brosina Hoffman</v>
      </c>
      <c r="E68" t="str">
        <f>VLOOKUP($A68,Table1[#This Row],COLUMN(E67), FALSE)</f>
        <v>Germany</v>
      </c>
      <c r="F68" t="str">
        <f>VLOOKUP($A68,Table1[#This Row],COLUMN(F67), FALSE)</f>
        <v>Western Europe</v>
      </c>
      <c r="G68" t="str">
        <f>VLOOKUP($A68,Table1[#This Row],COLUMN(G67), FALSE)</f>
        <v>Technology</v>
      </c>
      <c r="H68" t="str">
        <f>VLOOKUP($A68,Table1[#This Row],COLUMN(H67), FALSE)</f>
        <v>Machines</v>
      </c>
      <c r="I68">
        <f>VLOOKUP($A68,Table1[#This Row],COLUMN(I67), FALSE)</f>
        <v>2944.08</v>
      </c>
      <c r="J68">
        <f>VLOOKUP($A68,Table1[#This Row],COLUMN(J67), FALSE)</f>
        <v>5</v>
      </c>
      <c r="K68">
        <f>VLOOKUP($A68,Table1[#This Row],COLUMN(K67), FALSE)</f>
        <v>0.1</v>
      </c>
      <c r="L68">
        <f>VLOOKUP($A68,Table1[#This Row],COLUMN(L67), FALSE)</f>
        <v>1112.1300000000001</v>
      </c>
      <c r="M68" t="str">
        <f>VLOOKUP($A68,Table1[#This Row],COLUMN(M67), FALSE)</f>
        <v>High</v>
      </c>
      <c r="N68" t="str">
        <f>VLOOKUP($A68,Table1[#This Row],COLUMN(N67), FALSE)</f>
        <v>Normal Order</v>
      </c>
      <c r="O68" t="str">
        <f>VLOOKUP($A68,Table1[#This Row],COLUMN(O67), FALSE)</f>
        <v>Brosina Hoffman</v>
      </c>
      <c r="P68" t="str">
        <f>VLOOKUP($A68,Table1[#This Row],COLUMN(P67), FALSE)</f>
        <v>ES</v>
      </c>
      <c r="Q68" t="str">
        <f>VLOOKUP($A68,Table1[#This Row],COLUMN(Q67), FALSE)</f>
        <v>2013</v>
      </c>
      <c r="R68" t="str">
        <f>VLOOKUP($A68,Table1[#This Row],COLUMN(R67), FALSE)</f>
        <v>HIGH</v>
      </c>
      <c r="S68" t="str">
        <f>VLOOKUP($A68,Table1[#This Row],COLUMN(S67), FALSE)</f>
        <v>technology</v>
      </c>
      <c r="T68" t="str">
        <f>VLOOKUP($A68,Table1[#This Row],COLUMN(T67), FALSE)</f>
        <v>41478</v>
      </c>
      <c r="U68" t="str">
        <f>VLOOKUP($A68,Table1[#This Row],COLUMN(U67), FALSE)</f>
        <v>BH1171048</v>
      </c>
      <c r="V68" t="str">
        <f>VLOOKUP($A68,Table1[#This Row],COLUMN(V67), FALSE)</f>
        <v>ES</v>
      </c>
      <c r="W68">
        <f>VLOOKUP($A68,Table1[#This Row],COLUMN(W67), FALSE)</f>
        <v>2013</v>
      </c>
      <c r="X68" t="str">
        <f>VLOOKUP($A68,Table1[#This Row],COLUMN(X67), FALSE)</f>
        <v>BH1171048</v>
      </c>
      <c r="Y68">
        <f>VLOOKUP($A68,Table1[#This Row],COLUMN(Y67), FALSE)</f>
        <v>41478</v>
      </c>
      <c r="Z68" t="str">
        <f>VLOOKUP($A68,Table1[#This Row],COLUMN(Z67), FALSE)</f>
        <v>ES-2013-BH1171048-41478</v>
      </c>
      <c r="AA68">
        <f>VLOOKUP($A68,Table1[#This Row],COLUMN(AA67), FALSE)</f>
        <v>2013</v>
      </c>
      <c r="AB68">
        <f>VLOOKUP($A68,Table1[#This Row],COLUMN(AB67), FALSE)</f>
        <v>7</v>
      </c>
      <c r="AC68">
        <f>VLOOKUP($A68,Table1[#This Row],COLUMN(AC67), FALSE)</f>
        <v>3</v>
      </c>
      <c r="AD68">
        <f>VLOOKUP($A68,Table1[#This Row],COLUMN(AD67), FALSE)</f>
        <v>5</v>
      </c>
    </row>
    <row r="69" spans="1:30" ht="15.75">
      <c r="A69" s="54" t="s">
        <v>545</v>
      </c>
      <c r="B69" s="52">
        <f>VLOOKUP($A69,Table1[#This Row],COLUMN(B68), FALSE)</f>
        <v>41070</v>
      </c>
      <c r="C69" s="52">
        <f>VLOOKUP($A69,Table1[#This Row],COLUMN(C68), FALSE)</f>
        <v>41073</v>
      </c>
      <c r="D69" t="str">
        <f>VLOOKUP($A69,Table1[#This Row],COLUMN(D68), FALSE)</f>
        <v>Sung Chung</v>
      </c>
      <c r="E69" t="str">
        <f>VLOOKUP($A69,Table1[#This Row],COLUMN(E68), FALSE)</f>
        <v>Austria</v>
      </c>
      <c r="F69" t="str">
        <f>VLOOKUP($A69,Table1[#This Row],COLUMN(F68), FALSE)</f>
        <v>Western Europe</v>
      </c>
      <c r="G69" t="str">
        <f>VLOOKUP($A69,Table1[#This Row],COLUMN(G68), FALSE)</f>
        <v>Furniture</v>
      </c>
      <c r="H69" t="str">
        <f>VLOOKUP($A69,Table1[#This Row],COLUMN(H68), FALSE)</f>
        <v>Appliances</v>
      </c>
      <c r="I69">
        <f>VLOOKUP($A69,Table1[#This Row],COLUMN(I68), FALSE)</f>
        <v>2056.0499999999902</v>
      </c>
      <c r="J69">
        <f>VLOOKUP($A69,Table1[#This Row],COLUMN(J68), FALSE)</f>
        <v>5</v>
      </c>
      <c r="K69">
        <f>VLOOKUP($A69,Table1[#This Row],COLUMN(K68), FALSE)</f>
        <v>0</v>
      </c>
      <c r="L69">
        <f>VLOOKUP($A69,Table1[#This Row],COLUMN(L68), FALSE)</f>
        <v>390.6</v>
      </c>
      <c r="M69" t="str">
        <f>VLOOKUP($A69,Table1[#This Row],COLUMN(M68), FALSE)</f>
        <v>High</v>
      </c>
      <c r="N69" t="str">
        <f>VLOOKUP($A69,Table1[#This Row],COLUMN(N68), FALSE)</f>
        <v>Normal Order</v>
      </c>
      <c r="O69" t="str">
        <f>VLOOKUP($A69,Table1[#This Row],COLUMN(O68), FALSE)</f>
        <v>Sung Chung</v>
      </c>
      <c r="P69" t="str">
        <f>VLOOKUP($A69,Table1[#This Row],COLUMN(P68), FALSE)</f>
        <v>ES</v>
      </c>
      <c r="Q69" t="str">
        <f>VLOOKUP($A69,Table1[#This Row],COLUMN(Q68), FALSE)</f>
        <v>2012</v>
      </c>
      <c r="R69" t="str">
        <f>VLOOKUP($A69,Table1[#This Row],COLUMN(R68), FALSE)</f>
        <v>HIGH</v>
      </c>
      <c r="S69" t="str">
        <f>VLOOKUP($A69,Table1[#This Row],COLUMN(S68), FALSE)</f>
        <v>furniture</v>
      </c>
      <c r="T69" t="str">
        <f>VLOOKUP($A69,Table1[#This Row],COLUMN(T68), FALSE)</f>
        <v>41070</v>
      </c>
      <c r="U69" t="str">
        <f>VLOOKUP($A69,Table1[#This Row],COLUMN(U68), FALSE)</f>
        <v>SC208458</v>
      </c>
      <c r="V69" t="str">
        <f>VLOOKUP($A69,Table1[#This Row],COLUMN(V68), FALSE)</f>
        <v>ES</v>
      </c>
      <c r="W69">
        <f>VLOOKUP($A69,Table1[#This Row],COLUMN(W68), FALSE)</f>
        <v>2012</v>
      </c>
      <c r="X69" t="str">
        <f>VLOOKUP($A69,Table1[#This Row],COLUMN(X68), FALSE)</f>
        <v>SC208458</v>
      </c>
      <c r="Y69">
        <f>VLOOKUP($A69,Table1[#This Row],COLUMN(Y68), FALSE)</f>
        <v>41070</v>
      </c>
      <c r="Z69" t="str">
        <f>VLOOKUP($A69,Table1[#This Row],COLUMN(Z68), FALSE)</f>
        <v>ES-2012-SC208458-41070</v>
      </c>
      <c r="AA69">
        <f>VLOOKUP($A69,Table1[#This Row],COLUMN(AA68), FALSE)</f>
        <v>2012</v>
      </c>
      <c r="AB69">
        <f>VLOOKUP($A69,Table1[#This Row],COLUMN(AB68), FALSE)</f>
        <v>6</v>
      </c>
      <c r="AC69">
        <f>VLOOKUP($A69,Table1[#This Row],COLUMN(AC68), FALSE)</f>
        <v>1</v>
      </c>
      <c r="AD69">
        <f>VLOOKUP($A69,Table1[#This Row],COLUMN(AD68), FALSE)</f>
        <v>3</v>
      </c>
    </row>
    <row r="70" spans="1:30" ht="15.75">
      <c r="A70" s="53" t="s">
        <v>568</v>
      </c>
      <c r="B70" s="52">
        <f>VLOOKUP($A70,Table1[#This Row],COLUMN(B69), FALSE)</f>
        <v>42329</v>
      </c>
      <c r="C70" s="52">
        <f>VLOOKUP($A70,Table1[#This Row],COLUMN(C69), FALSE)</f>
        <v>42329</v>
      </c>
      <c r="D70" t="str">
        <f>VLOOKUP($A70,Table1[#This Row],COLUMN(D69), FALSE)</f>
        <v>Tony Molinari</v>
      </c>
      <c r="E70" t="str">
        <f>VLOOKUP($A70,Table1[#This Row],COLUMN(E69), FALSE)</f>
        <v>Cuba</v>
      </c>
      <c r="F70" t="str">
        <f>VLOOKUP($A70,Table1[#This Row],COLUMN(F69), FALSE)</f>
        <v>Caribbean</v>
      </c>
      <c r="G70" t="str">
        <f>VLOOKUP($A70,Table1[#This Row],COLUMN(G69), FALSE)</f>
        <v>Technology</v>
      </c>
      <c r="H70" t="str">
        <f>VLOOKUP($A70,Table1[#This Row],COLUMN(H69), FALSE)</f>
        <v>Chairs</v>
      </c>
      <c r="I70">
        <f>VLOOKUP($A70,Table1[#This Row],COLUMN(I69), FALSE)</f>
        <v>1053.6884</v>
      </c>
      <c r="J70">
        <f>VLOOKUP($A70,Table1[#This Row],COLUMN(J69), FALSE)</f>
        <v>5</v>
      </c>
      <c r="K70">
        <f>VLOOKUP($A70,Table1[#This Row],COLUMN(K69), FALSE)</f>
        <v>2E-3</v>
      </c>
      <c r="L70">
        <f>VLOOKUP($A70,Table1[#This Row],COLUMN(L69), FALSE)</f>
        <v>441.28840000000002</v>
      </c>
      <c r="M70" t="str">
        <f>VLOOKUP($A70,Table1[#This Row],COLUMN(M69), FALSE)</f>
        <v>High</v>
      </c>
      <c r="N70" t="str">
        <f>VLOOKUP($A70,Table1[#This Row],COLUMN(N69), FALSE)</f>
        <v>Normal Order</v>
      </c>
      <c r="O70" t="str">
        <f>VLOOKUP($A70,Table1[#This Row],COLUMN(O69), FALSE)</f>
        <v>Tony Molinari</v>
      </c>
      <c r="P70" t="str">
        <f>VLOOKUP($A70,Table1[#This Row],COLUMN(P69), FALSE)</f>
        <v>MX</v>
      </c>
      <c r="Q70" t="str">
        <f>VLOOKUP($A70,Table1[#This Row],COLUMN(Q69), FALSE)</f>
        <v>2015</v>
      </c>
      <c r="R70" t="str">
        <f>VLOOKUP($A70,Table1[#This Row],COLUMN(R69), FALSE)</f>
        <v>HIGH</v>
      </c>
      <c r="S70" t="str">
        <f>VLOOKUP($A70,Table1[#This Row],COLUMN(S69), FALSE)</f>
        <v>technology</v>
      </c>
      <c r="T70" t="str">
        <f>VLOOKUP($A70,Table1[#This Row],COLUMN(T69), FALSE)</f>
        <v>42329</v>
      </c>
      <c r="U70" t="str">
        <f>VLOOKUP($A70,Table1[#This Row],COLUMN(U69), FALSE)</f>
        <v>TM2149031</v>
      </c>
      <c r="V70" t="str">
        <f>VLOOKUP($A70,Table1[#This Row],COLUMN(V69), FALSE)</f>
        <v>MX</v>
      </c>
      <c r="W70">
        <f>VLOOKUP($A70,Table1[#This Row],COLUMN(W69), FALSE)</f>
        <v>2015</v>
      </c>
      <c r="X70" t="str">
        <f>VLOOKUP($A70,Table1[#This Row],COLUMN(X69), FALSE)</f>
        <v>TM2149031</v>
      </c>
      <c r="Y70">
        <f>VLOOKUP($A70,Table1[#This Row],COLUMN(Y69), FALSE)</f>
        <v>42329</v>
      </c>
      <c r="Z70" t="str">
        <f>VLOOKUP($A70,Table1[#This Row],COLUMN(Z69), FALSE)</f>
        <v>MX-2015-TM2149031-42329</v>
      </c>
      <c r="AA70">
        <f>VLOOKUP($A70,Table1[#This Row],COLUMN(AA69), FALSE)</f>
        <v>2015</v>
      </c>
      <c r="AB70">
        <f>VLOOKUP($A70,Table1[#This Row],COLUMN(AB69), FALSE)</f>
        <v>11</v>
      </c>
      <c r="AC70">
        <f>VLOOKUP($A70,Table1[#This Row],COLUMN(AC69), FALSE)</f>
        <v>7</v>
      </c>
      <c r="AD70">
        <f>VLOOKUP($A70,Table1[#This Row],COLUMN(AD69), FALSE)</f>
        <v>0</v>
      </c>
    </row>
    <row r="71" spans="1:30" ht="15.75">
      <c r="A71" s="54" t="s">
        <v>576</v>
      </c>
      <c r="B71" s="52">
        <f>VLOOKUP($A71,Table1[#This Row],COLUMN(B70), FALSE)</f>
        <v>41976</v>
      </c>
      <c r="C71" s="52">
        <f>VLOOKUP($A71,Table1[#This Row],COLUMN(C70), FALSE)</f>
        <v>41977</v>
      </c>
      <c r="D71" t="str">
        <f>VLOOKUP($A71,Table1[#This Row],COLUMN(D70), FALSE)</f>
        <v>Bryan Mills</v>
      </c>
      <c r="E71" t="str">
        <f>VLOOKUP($A71,Table1[#This Row],COLUMN(E70), FALSE)</f>
        <v>Mexico</v>
      </c>
      <c r="F71" t="str">
        <f>VLOOKUP($A71,Table1[#This Row],COLUMN(F70), FALSE)</f>
        <v>Central America</v>
      </c>
      <c r="G71" t="str">
        <f>VLOOKUP($A71,Table1[#This Row],COLUMN(G70), FALSE)</f>
        <v>Technology</v>
      </c>
      <c r="H71" t="str">
        <f>VLOOKUP($A71,Table1[#This Row],COLUMN(H70), FALSE)</f>
        <v>Appliances</v>
      </c>
      <c r="I71">
        <f>VLOOKUP($A71,Table1[#This Row],COLUMN(I70), FALSE)</f>
        <v>1278</v>
      </c>
      <c r="J71">
        <f>VLOOKUP($A71,Table1[#This Row],COLUMN(J70), FALSE)</f>
        <v>3</v>
      </c>
      <c r="K71">
        <f>VLOOKUP($A71,Table1[#This Row],COLUMN(K70), FALSE)</f>
        <v>0</v>
      </c>
      <c r="L71">
        <f>VLOOKUP($A71,Table1[#This Row],COLUMN(L70), FALSE)</f>
        <v>89.46</v>
      </c>
      <c r="M71" t="str">
        <f>VLOOKUP($A71,Table1[#This Row],COLUMN(M70), FALSE)</f>
        <v>High</v>
      </c>
      <c r="N71" t="str">
        <f>VLOOKUP($A71,Table1[#This Row],COLUMN(N70), FALSE)</f>
        <v>Normal Order</v>
      </c>
      <c r="O71" t="str">
        <f>VLOOKUP($A71,Table1[#This Row],COLUMN(O70), FALSE)</f>
        <v>Bryan Mills</v>
      </c>
      <c r="P71" t="str">
        <f>VLOOKUP($A71,Table1[#This Row],COLUMN(P70), FALSE)</f>
        <v>MX</v>
      </c>
      <c r="Q71" t="str">
        <f>VLOOKUP($A71,Table1[#This Row],COLUMN(Q70), FALSE)</f>
        <v>2014</v>
      </c>
      <c r="R71" t="str">
        <f>VLOOKUP($A71,Table1[#This Row],COLUMN(R70), FALSE)</f>
        <v>HIGH</v>
      </c>
      <c r="S71" t="str">
        <f>VLOOKUP($A71,Table1[#This Row],COLUMN(S70), FALSE)</f>
        <v>technology</v>
      </c>
      <c r="T71" t="str">
        <f>VLOOKUP($A71,Table1[#This Row],COLUMN(T70), FALSE)</f>
        <v>41976</v>
      </c>
      <c r="U71" t="str">
        <f>VLOOKUP($A71,Table1[#This Row],COLUMN(U70), FALSE)</f>
        <v>BM1178582</v>
      </c>
      <c r="V71" t="str">
        <f>VLOOKUP($A71,Table1[#This Row],COLUMN(V70), FALSE)</f>
        <v>MX</v>
      </c>
      <c r="W71">
        <f>VLOOKUP($A71,Table1[#This Row],COLUMN(W70), FALSE)</f>
        <v>2014</v>
      </c>
      <c r="X71" t="str">
        <f>VLOOKUP($A71,Table1[#This Row],COLUMN(X70), FALSE)</f>
        <v>BM1178582</v>
      </c>
      <c r="Y71">
        <f>VLOOKUP($A71,Table1[#This Row],COLUMN(Y70), FALSE)</f>
        <v>41976</v>
      </c>
      <c r="Z71" t="str">
        <f>VLOOKUP($A71,Table1[#This Row],COLUMN(Z70), FALSE)</f>
        <v>MX-2014-BM1178582-41976</v>
      </c>
      <c r="AA71">
        <f>VLOOKUP($A71,Table1[#This Row],COLUMN(AA70), FALSE)</f>
        <v>2014</v>
      </c>
      <c r="AB71">
        <f>VLOOKUP($A71,Table1[#This Row],COLUMN(AB70), FALSE)</f>
        <v>12</v>
      </c>
      <c r="AC71">
        <f>VLOOKUP($A71,Table1[#This Row],COLUMN(AC70), FALSE)</f>
        <v>4</v>
      </c>
      <c r="AD71">
        <f>VLOOKUP($A71,Table1[#This Row],COLUMN(AD70), FALSE)</f>
        <v>1</v>
      </c>
    </row>
    <row r="72" spans="1:30" ht="15.75">
      <c r="A72" s="53" t="s">
        <v>582</v>
      </c>
      <c r="B72" s="52">
        <f>VLOOKUP($A72,Table1[#This Row],COLUMN(B71), FALSE)</f>
        <v>42264</v>
      </c>
      <c r="C72" s="52">
        <f>VLOOKUP($A72,Table1[#This Row],COLUMN(C71), FALSE)</f>
        <v>42266</v>
      </c>
      <c r="D72" t="str">
        <f>VLOOKUP($A72,Table1[#This Row],COLUMN(D71), FALSE)</f>
        <v>Adam Shillingsburg</v>
      </c>
      <c r="E72" t="str">
        <f>VLOOKUP($A72,Table1[#This Row],COLUMN(E71), FALSE)</f>
        <v>United States</v>
      </c>
      <c r="F72" t="str">
        <f>VLOOKUP($A72,Table1[#This Row],COLUMN(F71), FALSE)</f>
        <v>Eastern US</v>
      </c>
      <c r="G72" t="str">
        <f>VLOOKUP($A72,Table1[#This Row],COLUMN(G71), FALSE)</f>
        <v>Office Supplies</v>
      </c>
      <c r="H72" t="str">
        <f>VLOOKUP($A72,Table1[#This Row],COLUMN(H71), FALSE)</f>
        <v>Phones</v>
      </c>
      <c r="I72">
        <f>VLOOKUP($A72,Table1[#This Row],COLUMN(I71), FALSE)</f>
        <v>538.19399999999996</v>
      </c>
      <c r="J72">
        <f>VLOOKUP($A72,Table1[#This Row],COLUMN(J71), FALSE)</f>
        <v>2</v>
      </c>
      <c r="K72">
        <f>VLOOKUP($A72,Table1[#This Row],COLUMN(K71), FALSE)</f>
        <v>0.7</v>
      </c>
      <c r="L72">
        <f>VLOOKUP($A72,Table1[#This Row],COLUMN(L71), FALSE)</f>
        <v>-412.615399999999</v>
      </c>
      <c r="M72" t="str">
        <f>VLOOKUP($A72,Table1[#This Row],COLUMN(M71), FALSE)</f>
        <v>Critical</v>
      </c>
      <c r="N72" t="str">
        <f>VLOOKUP($A72,Table1[#This Row],COLUMN(N71), FALSE)</f>
        <v>Normal Order</v>
      </c>
      <c r="O72" t="str">
        <f>VLOOKUP($A72,Table1[#This Row],COLUMN(O71), FALSE)</f>
        <v>Adam Shillingsburg</v>
      </c>
      <c r="P72" t="str">
        <f>VLOOKUP($A72,Table1[#This Row],COLUMN(P71), FALSE)</f>
        <v>CA</v>
      </c>
      <c r="Q72" t="str">
        <f>VLOOKUP($A72,Table1[#This Row],COLUMN(Q71), FALSE)</f>
        <v>2015</v>
      </c>
      <c r="R72" t="str">
        <f>VLOOKUP($A72,Table1[#This Row],COLUMN(R71), FALSE)</f>
        <v>CRITICAL</v>
      </c>
      <c r="S72" t="str">
        <f>VLOOKUP($A72,Table1[#This Row],COLUMN(S71), FALSE)</f>
        <v>office supplies</v>
      </c>
      <c r="T72" t="str">
        <f>VLOOKUP($A72,Table1[#This Row],COLUMN(T71), FALSE)</f>
        <v>42264</v>
      </c>
      <c r="U72" t="str">
        <f>VLOOKUP($A72,Table1[#This Row],COLUMN(U71), FALSE)</f>
        <v>AS10090140</v>
      </c>
      <c r="V72" t="str">
        <f>VLOOKUP($A72,Table1[#This Row],COLUMN(V71), FALSE)</f>
        <v>CA</v>
      </c>
      <c r="W72">
        <f>VLOOKUP($A72,Table1[#This Row],COLUMN(W71), FALSE)</f>
        <v>2015</v>
      </c>
      <c r="X72" t="str">
        <f>VLOOKUP($A72,Table1[#This Row],COLUMN(X71), FALSE)</f>
        <v>AS10090140</v>
      </c>
      <c r="Y72">
        <f>VLOOKUP($A72,Table1[#This Row],COLUMN(Y71), FALSE)</f>
        <v>42264</v>
      </c>
      <c r="Z72" t="str">
        <f>VLOOKUP($A72,Table1[#This Row],COLUMN(Z71), FALSE)</f>
        <v>CA-2015-AS10090140-42264</v>
      </c>
      <c r="AA72">
        <f>VLOOKUP($A72,Table1[#This Row],COLUMN(AA71), FALSE)</f>
        <v>2015</v>
      </c>
      <c r="AB72">
        <f>VLOOKUP($A72,Table1[#This Row],COLUMN(AB71), FALSE)</f>
        <v>9</v>
      </c>
      <c r="AC72">
        <f>VLOOKUP($A72,Table1[#This Row],COLUMN(AC71), FALSE)</f>
        <v>5</v>
      </c>
      <c r="AD72">
        <f>VLOOKUP($A72,Table1[#This Row],COLUMN(AD71), FALSE)</f>
        <v>2</v>
      </c>
    </row>
    <row r="73" spans="1:30" ht="15.75">
      <c r="A73" s="54" t="s">
        <v>597</v>
      </c>
      <c r="B73" s="52">
        <f>VLOOKUP($A73,Table1[#This Row],COLUMN(B72), FALSE)</f>
        <v>42245</v>
      </c>
      <c r="C73" s="52">
        <f>VLOOKUP($A73,Table1[#This Row],COLUMN(C72), FALSE)</f>
        <v>42249</v>
      </c>
      <c r="D73" t="str">
        <f>VLOOKUP($A73,Table1[#This Row],COLUMN(D72), FALSE)</f>
        <v>Chad Cunningham</v>
      </c>
      <c r="E73" t="str">
        <f>VLOOKUP($A73,Table1[#This Row],COLUMN(E72), FALSE)</f>
        <v>Mexico</v>
      </c>
      <c r="F73" t="str">
        <f>VLOOKUP($A73,Table1[#This Row],COLUMN(F72), FALSE)</f>
        <v>Central America</v>
      </c>
      <c r="G73" t="str">
        <f>VLOOKUP($A73,Table1[#This Row],COLUMN(G72), FALSE)</f>
        <v>Technology</v>
      </c>
      <c r="H73" t="str">
        <f>VLOOKUP($A73,Table1[#This Row],COLUMN(H72), FALSE)</f>
        <v>Copiers</v>
      </c>
      <c r="I73">
        <f>VLOOKUP($A73,Table1[#This Row],COLUMN(I72), FALSE)</f>
        <v>2142.3000000000002</v>
      </c>
      <c r="J73">
        <f>VLOOKUP($A73,Table1[#This Row],COLUMN(J72), FALSE)</f>
        <v>5</v>
      </c>
      <c r="K73">
        <f>VLOOKUP($A73,Table1[#This Row],COLUMN(K72), FALSE)</f>
        <v>0</v>
      </c>
      <c r="L73">
        <f>VLOOKUP($A73,Table1[#This Row],COLUMN(L72), FALSE)</f>
        <v>556.9</v>
      </c>
      <c r="M73" t="str">
        <f>VLOOKUP($A73,Table1[#This Row],COLUMN(M72), FALSE)</f>
        <v>High</v>
      </c>
      <c r="N73" t="str">
        <f>VLOOKUP($A73,Table1[#This Row],COLUMN(N72), FALSE)</f>
        <v>Normal Order</v>
      </c>
      <c r="O73" t="str">
        <f>VLOOKUP($A73,Table1[#This Row],COLUMN(O72), FALSE)</f>
        <v>Chad Cunningham</v>
      </c>
      <c r="P73" t="str">
        <f>VLOOKUP($A73,Table1[#This Row],COLUMN(P72), FALSE)</f>
        <v>MX</v>
      </c>
      <c r="Q73" t="str">
        <f>VLOOKUP($A73,Table1[#This Row],COLUMN(Q72), FALSE)</f>
        <v>2015</v>
      </c>
      <c r="R73" t="str">
        <f>VLOOKUP($A73,Table1[#This Row],COLUMN(R72), FALSE)</f>
        <v>HIGH</v>
      </c>
      <c r="S73" t="str">
        <f>VLOOKUP($A73,Table1[#This Row],COLUMN(S72), FALSE)</f>
        <v>technology</v>
      </c>
      <c r="T73" t="str">
        <f>VLOOKUP($A73,Table1[#This Row],COLUMN(T72), FALSE)</f>
        <v>42245</v>
      </c>
      <c r="U73" t="str">
        <f>VLOOKUP($A73,Table1[#This Row],COLUMN(U72), FALSE)</f>
        <v>CC1210082</v>
      </c>
      <c r="V73" t="str">
        <f>VLOOKUP($A73,Table1[#This Row],COLUMN(V72), FALSE)</f>
        <v>MX</v>
      </c>
      <c r="W73">
        <f>VLOOKUP($A73,Table1[#This Row],COLUMN(W72), FALSE)</f>
        <v>2015</v>
      </c>
      <c r="X73" t="str">
        <f>VLOOKUP($A73,Table1[#This Row],COLUMN(X72), FALSE)</f>
        <v>CC1210082</v>
      </c>
      <c r="Y73">
        <f>VLOOKUP($A73,Table1[#This Row],COLUMN(Y72), FALSE)</f>
        <v>42245</v>
      </c>
      <c r="Z73" t="str">
        <f>VLOOKUP($A73,Table1[#This Row],COLUMN(Z72), FALSE)</f>
        <v>MX-2015-CC1210082-42245</v>
      </c>
      <c r="AA73">
        <f>VLOOKUP($A73,Table1[#This Row],COLUMN(AA72), FALSE)</f>
        <v>2015</v>
      </c>
      <c r="AB73">
        <f>VLOOKUP($A73,Table1[#This Row],COLUMN(AB72), FALSE)</f>
        <v>8</v>
      </c>
      <c r="AC73">
        <f>VLOOKUP($A73,Table1[#This Row],COLUMN(AC72), FALSE)</f>
        <v>7</v>
      </c>
      <c r="AD73">
        <f>VLOOKUP($A73,Table1[#This Row],COLUMN(AD72), FALSE)</f>
        <v>4</v>
      </c>
    </row>
    <row r="74" spans="1:30" ht="15.75">
      <c r="A74" s="53" t="s">
        <v>622</v>
      </c>
      <c r="B74" s="52">
        <f>VLOOKUP($A74,Table1[#This Row],COLUMN(B73), FALSE)</f>
        <v>42362</v>
      </c>
      <c r="C74" s="52">
        <f>VLOOKUP($A74,Table1[#This Row],COLUMN(C73), FALSE)</f>
        <v>42365</v>
      </c>
      <c r="D74" t="str">
        <f>VLOOKUP($A74,Table1[#This Row],COLUMN(D73), FALSE)</f>
        <v>Mike Vittorini</v>
      </c>
      <c r="E74" t="str">
        <f>VLOOKUP($A74,Table1[#This Row],COLUMN(E73), FALSE)</f>
        <v>South Africa</v>
      </c>
      <c r="F74" t="str">
        <f>VLOOKUP($A74,Table1[#This Row],COLUMN(F73), FALSE)</f>
        <v>Southern Africa</v>
      </c>
      <c r="G74" t="str">
        <f>VLOOKUP($A74,Table1[#This Row],COLUMN(G73), FALSE)</f>
        <v xml:space="preserve"> Technology </v>
      </c>
      <c r="H74" t="str">
        <f>VLOOKUP($A74,Table1[#This Row],COLUMN(H73), FALSE)</f>
        <v>Tables</v>
      </c>
      <c r="I74">
        <f>VLOOKUP($A74,Table1[#This Row],COLUMN(I73), FALSE)</f>
        <v>2550</v>
      </c>
      <c r="J74">
        <f>VLOOKUP($A74,Table1[#This Row],COLUMN(J73), FALSE)</f>
        <v>4</v>
      </c>
      <c r="K74">
        <f>VLOOKUP($A74,Table1[#This Row],COLUMN(K73), FALSE)</f>
        <v>0</v>
      </c>
      <c r="L74">
        <f>VLOOKUP($A74,Table1[#This Row],COLUMN(L73), FALSE)</f>
        <v>714</v>
      </c>
      <c r="M74" t="str">
        <f>VLOOKUP($A74,Table1[#This Row],COLUMN(M73), FALSE)</f>
        <v>Medium</v>
      </c>
      <c r="N74" t="str">
        <f>VLOOKUP($A74,Table1[#This Row],COLUMN(N73), FALSE)</f>
        <v>Normal Order</v>
      </c>
      <c r="O74" t="str">
        <f>VLOOKUP($A74,Table1[#This Row],COLUMN(O73), FALSE)</f>
        <v>Mike Vittorini</v>
      </c>
      <c r="P74" t="str">
        <f>VLOOKUP($A74,Table1[#This Row],COLUMN(P73), FALSE)</f>
        <v>SF</v>
      </c>
      <c r="Q74" t="str">
        <f>VLOOKUP($A74,Table1[#This Row],COLUMN(Q73), FALSE)</f>
        <v>2015</v>
      </c>
      <c r="R74" t="str">
        <f>VLOOKUP($A74,Table1[#This Row],COLUMN(R73), FALSE)</f>
        <v>MEDIUM</v>
      </c>
      <c r="S74" t="str">
        <f>VLOOKUP($A74,Table1[#This Row],COLUMN(S73), FALSE)</f>
        <v xml:space="preserve"> technology </v>
      </c>
      <c r="T74" t="str">
        <f>VLOOKUP($A74,Table1[#This Row],COLUMN(T73), FALSE)</f>
        <v>42362</v>
      </c>
      <c r="U74" t="str">
        <f>VLOOKUP($A74,Table1[#This Row],COLUMN(U73), FALSE)</f>
        <v>MV8190117</v>
      </c>
      <c r="V74" t="str">
        <f>VLOOKUP($A74,Table1[#This Row],COLUMN(V73), FALSE)</f>
        <v>SF</v>
      </c>
      <c r="W74">
        <f>VLOOKUP($A74,Table1[#This Row],COLUMN(W73), FALSE)</f>
        <v>2015</v>
      </c>
      <c r="X74" t="str">
        <f>VLOOKUP($A74,Table1[#This Row],COLUMN(X73), FALSE)</f>
        <v>MV8190117</v>
      </c>
      <c r="Y74">
        <f>VLOOKUP($A74,Table1[#This Row],COLUMN(Y73), FALSE)</f>
        <v>42362</v>
      </c>
      <c r="Z74" t="str">
        <f>VLOOKUP($A74,Table1[#This Row],COLUMN(Z73), FALSE)</f>
        <v>SF-2015-MV8190117-42362</v>
      </c>
      <c r="AA74">
        <f>VLOOKUP($A74,Table1[#This Row],COLUMN(AA73), FALSE)</f>
        <v>2015</v>
      </c>
      <c r="AB74">
        <f>VLOOKUP($A74,Table1[#This Row],COLUMN(AB73), FALSE)</f>
        <v>12</v>
      </c>
      <c r="AC74">
        <f>VLOOKUP($A74,Table1[#This Row],COLUMN(AC73), FALSE)</f>
        <v>5</v>
      </c>
      <c r="AD74">
        <f>VLOOKUP($A74,Table1[#This Row],COLUMN(AD73), FALSE)</f>
        <v>3</v>
      </c>
    </row>
    <row r="75" spans="1:30" ht="15.75">
      <c r="A75" s="54" t="s">
        <v>629</v>
      </c>
      <c r="B75" s="52">
        <f>VLOOKUP($A75,Table1[#This Row],COLUMN(B74), FALSE)</f>
        <v>42115</v>
      </c>
      <c r="C75" s="52">
        <f>VLOOKUP($A75,Table1[#This Row],COLUMN(C74), FALSE)</f>
        <v>42117</v>
      </c>
      <c r="D75" t="str">
        <f>VLOOKUP($A75,Table1[#This Row],COLUMN(D74), FALSE)</f>
        <v>Filia McAdams</v>
      </c>
      <c r="E75" t="str">
        <f>VLOOKUP($A75,Table1[#This Row],COLUMN(E74), FALSE)</f>
        <v>Guatemala</v>
      </c>
      <c r="F75" t="str">
        <f>VLOOKUP($A75,Table1[#This Row],COLUMN(F74), FALSE)</f>
        <v>Central America</v>
      </c>
      <c r="G75" t="str">
        <f>VLOOKUP($A75,Table1[#This Row],COLUMN(G74), FALSE)</f>
        <v>Technology</v>
      </c>
      <c r="H75" t="str">
        <f>VLOOKUP($A75,Table1[#This Row],COLUMN(H74), FALSE)</f>
        <v>Chairs</v>
      </c>
      <c r="I75">
        <f>VLOOKUP($A75,Table1[#This Row],COLUMN(I74), FALSE)</f>
        <v>1058.2791999999999</v>
      </c>
      <c r="J75">
        <f>VLOOKUP($A75,Table1[#This Row],COLUMN(J74), FALSE)</f>
        <v>5</v>
      </c>
      <c r="K75">
        <f>VLOOKUP($A75,Table1[#This Row],COLUMN(K74), FALSE)</f>
        <v>2E-3</v>
      </c>
      <c r="L75">
        <f>VLOOKUP($A75,Table1[#This Row],COLUMN(L74), FALSE)</f>
        <v>-2.1208</v>
      </c>
      <c r="M75" t="str">
        <f>VLOOKUP($A75,Table1[#This Row],COLUMN(M74), FALSE)</f>
        <v>Critical</v>
      </c>
      <c r="N75" t="str">
        <f>VLOOKUP($A75,Table1[#This Row],COLUMN(N74), FALSE)</f>
        <v>Normal Order</v>
      </c>
      <c r="O75" t="str">
        <f>VLOOKUP($A75,Table1[#This Row],COLUMN(O74), FALSE)</f>
        <v>Filia Mcadams</v>
      </c>
      <c r="P75" t="str">
        <f>VLOOKUP($A75,Table1[#This Row],COLUMN(P74), FALSE)</f>
        <v>US</v>
      </c>
      <c r="Q75" t="str">
        <f>VLOOKUP($A75,Table1[#This Row],COLUMN(Q74), FALSE)</f>
        <v>2015</v>
      </c>
      <c r="R75" t="str">
        <f>VLOOKUP($A75,Table1[#This Row],COLUMN(R74), FALSE)</f>
        <v>CRITICAL</v>
      </c>
      <c r="S75" t="str">
        <f>VLOOKUP($A75,Table1[#This Row],COLUMN(S74), FALSE)</f>
        <v>technology</v>
      </c>
      <c r="T75" t="str">
        <f>VLOOKUP($A75,Table1[#This Row],COLUMN(T74), FALSE)</f>
        <v>42115</v>
      </c>
      <c r="U75" t="str">
        <f>VLOOKUP($A75,Table1[#This Row],COLUMN(U74), FALSE)</f>
        <v>FM1421551</v>
      </c>
      <c r="V75" t="str">
        <f>VLOOKUP($A75,Table1[#This Row],COLUMN(V74), FALSE)</f>
        <v>US</v>
      </c>
      <c r="W75">
        <f>VLOOKUP($A75,Table1[#This Row],COLUMN(W74), FALSE)</f>
        <v>2015</v>
      </c>
      <c r="X75" t="str">
        <f>VLOOKUP($A75,Table1[#This Row],COLUMN(X74), FALSE)</f>
        <v>FM1421551</v>
      </c>
      <c r="Y75">
        <f>VLOOKUP($A75,Table1[#This Row],COLUMN(Y74), FALSE)</f>
        <v>42115</v>
      </c>
      <c r="Z75" t="str">
        <f>VLOOKUP($A75,Table1[#This Row],COLUMN(Z74), FALSE)</f>
        <v>US-2015-FM1421551-42115</v>
      </c>
      <c r="AA75">
        <f>VLOOKUP($A75,Table1[#This Row],COLUMN(AA74), FALSE)</f>
        <v>2015</v>
      </c>
      <c r="AB75">
        <f>VLOOKUP($A75,Table1[#This Row],COLUMN(AB74), FALSE)</f>
        <v>4</v>
      </c>
      <c r="AC75">
        <f>VLOOKUP($A75,Table1[#This Row],COLUMN(AC74), FALSE)</f>
        <v>3</v>
      </c>
      <c r="AD75">
        <f>VLOOKUP($A75,Table1[#This Row],COLUMN(AD74), FALSE)</f>
        <v>2</v>
      </c>
    </row>
    <row r="76" spans="1:30" ht="15.75">
      <c r="A76" s="53" t="s">
        <v>423</v>
      </c>
      <c r="B76" s="52">
        <f>VLOOKUP($A76,Table1[#This Row],COLUMN(B75), FALSE)</f>
        <v>42248</v>
      </c>
      <c r="C76" s="52">
        <f>VLOOKUP($A76,Table1[#This Row],COLUMN(C75), FALSE)</f>
        <v>42248</v>
      </c>
      <c r="D76" t="str">
        <f>VLOOKUP($A76,Table1[#This Row],COLUMN(D75), FALSE)</f>
        <v>Neil FranzÃ¶sisch</v>
      </c>
      <c r="E76" t="str">
        <f>VLOOKUP($A76,Table1[#This Row],COLUMN(E75), FALSE)</f>
        <v>Germnay</v>
      </c>
      <c r="F76" t="str">
        <f>VLOOKUP($A76,Table1[#This Row],COLUMN(F75), FALSE)</f>
        <v>Western Europe</v>
      </c>
      <c r="G76" t="str">
        <f>VLOOKUP($A76,Table1[#This Row],COLUMN(G75), FALSE)</f>
        <v>Technology</v>
      </c>
      <c r="H76" t="str">
        <f>VLOOKUP($A76,Table1[#This Row],COLUMN(H75), FALSE)</f>
        <v>Storage</v>
      </c>
      <c r="I76">
        <f>VLOOKUP($A76,Table1[#This Row],COLUMN(I75), FALSE)</f>
        <v>1599.9</v>
      </c>
      <c r="J76">
        <f>VLOOKUP($A76,Table1[#This Row],COLUMN(J75), FALSE)</f>
        <v>5</v>
      </c>
      <c r="K76">
        <f>VLOOKUP($A76,Table1[#This Row],COLUMN(K75), FALSE)</f>
        <v>0</v>
      </c>
      <c r="L76">
        <f>VLOOKUP($A76,Table1[#This Row],COLUMN(L75), FALSE)</f>
        <v>719.85</v>
      </c>
      <c r="M76" t="str">
        <f>VLOOKUP($A76,Table1[#This Row],COLUMN(M75), FALSE)</f>
        <v>Critical</v>
      </c>
      <c r="N76" t="str">
        <f>VLOOKUP($A76,Table1[#This Row],COLUMN(N75), FALSE)</f>
        <v>Normal Order</v>
      </c>
      <c r="O76" t="str">
        <f>VLOOKUP($A76,Table1[#This Row],COLUMN(O75), FALSE)</f>
        <v>Neil Franzã¶Sisch</v>
      </c>
      <c r="P76" t="str">
        <f>VLOOKUP($A76,Table1[#This Row],COLUMN(P75), FALSE)</f>
        <v>ES</v>
      </c>
      <c r="Q76" t="str">
        <f>VLOOKUP($A76,Table1[#This Row],COLUMN(Q75), FALSE)</f>
        <v>2015</v>
      </c>
      <c r="R76" t="str">
        <f>VLOOKUP($A76,Table1[#This Row],COLUMN(R75), FALSE)</f>
        <v>CRITICAL</v>
      </c>
      <c r="S76" t="str">
        <f>VLOOKUP($A76,Table1[#This Row],COLUMN(S75), FALSE)</f>
        <v>technology</v>
      </c>
      <c r="T76" t="str">
        <f>VLOOKUP($A76,Table1[#This Row],COLUMN(T75), FALSE)</f>
        <v>42248</v>
      </c>
      <c r="U76" t="str">
        <f>VLOOKUP($A76,Table1[#This Row],COLUMN(U75), FALSE)</f>
        <v>NF1847548</v>
      </c>
      <c r="V76" t="str">
        <f>VLOOKUP($A76,Table1[#This Row],COLUMN(V75), FALSE)</f>
        <v>ES</v>
      </c>
      <c r="W76">
        <f>VLOOKUP($A76,Table1[#This Row],COLUMN(W75), FALSE)</f>
        <v>2015</v>
      </c>
      <c r="X76" t="str">
        <f>VLOOKUP($A76,Table1[#This Row],COLUMN(X75), FALSE)</f>
        <v>NF1847548</v>
      </c>
      <c r="Y76">
        <f>VLOOKUP($A76,Table1[#This Row],COLUMN(Y75), FALSE)</f>
        <v>42248</v>
      </c>
      <c r="Z76" t="str">
        <f>VLOOKUP($A76,Table1[#This Row],COLUMN(Z75), FALSE)</f>
        <v>ES-2015-NF1847548-42248</v>
      </c>
      <c r="AA76">
        <f>VLOOKUP($A76,Table1[#This Row],COLUMN(AA75), FALSE)</f>
        <v>2015</v>
      </c>
      <c r="AB76">
        <f>VLOOKUP($A76,Table1[#This Row],COLUMN(AB75), FALSE)</f>
        <v>9</v>
      </c>
      <c r="AC76">
        <f>VLOOKUP($A76,Table1[#This Row],COLUMN(AC75), FALSE)</f>
        <v>3</v>
      </c>
      <c r="AD76">
        <f>VLOOKUP($A76,Table1[#This Row],COLUMN(AD75), FALSE)</f>
        <v>0</v>
      </c>
    </row>
    <row r="77" spans="1:30" ht="15.75">
      <c r="A77" s="54" t="s">
        <v>640</v>
      </c>
      <c r="B77" s="52">
        <f>VLOOKUP($A77,Table1[#This Row],COLUMN(B76), FALSE)</f>
        <v>42175</v>
      </c>
      <c r="C77" s="52">
        <f>VLOOKUP($A77,Table1[#This Row],COLUMN(C76), FALSE)</f>
        <v>42181</v>
      </c>
      <c r="D77" t="str">
        <f>VLOOKUP($A77,Table1[#This Row],COLUMN(D76), FALSE)</f>
        <v>Keith Dawkins</v>
      </c>
      <c r="E77" t="str">
        <f>VLOOKUP($A77,Table1[#This Row],COLUMN(E76), FALSE)</f>
        <v>China</v>
      </c>
      <c r="F77" t="str">
        <f>VLOOKUP($A77,Table1[#This Row],COLUMN(F76), FALSE)</f>
        <v>Eastern Asia</v>
      </c>
      <c r="G77" t="str">
        <f>VLOOKUP($A77,Table1[#This Row],COLUMN(G76), FALSE)</f>
        <v>Furniture</v>
      </c>
      <c r="H77" t="str">
        <f>VLOOKUP($A77,Table1[#This Row],COLUMN(H76), FALSE)</f>
        <v>Appliances</v>
      </c>
      <c r="I77">
        <f>VLOOKUP($A77,Table1[#This Row],COLUMN(I76), FALSE)</f>
        <v>2063.4</v>
      </c>
      <c r="J77">
        <f>VLOOKUP($A77,Table1[#This Row],COLUMN(J76), FALSE)</f>
        <v>5</v>
      </c>
      <c r="K77">
        <f>VLOOKUP($A77,Table1[#This Row],COLUMN(K76), FALSE)</f>
        <v>0</v>
      </c>
      <c r="L77">
        <f>VLOOKUP($A77,Table1[#This Row],COLUMN(L76), FALSE)</f>
        <v>123.75</v>
      </c>
      <c r="M77" t="str">
        <f>VLOOKUP($A77,Table1[#This Row],COLUMN(M76), FALSE)</f>
        <v>Low</v>
      </c>
      <c r="N77" t="str">
        <f>VLOOKUP($A77,Table1[#This Row],COLUMN(N76), FALSE)</f>
        <v>Normal Order</v>
      </c>
      <c r="O77" t="str">
        <f>VLOOKUP($A77,Table1[#This Row],COLUMN(O76), FALSE)</f>
        <v>Keith Dawkins</v>
      </c>
      <c r="P77" t="str">
        <f>VLOOKUP($A77,Table1[#This Row],COLUMN(P76), FALSE)</f>
        <v>IN</v>
      </c>
      <c r="Q77" t="str">
        <f>VLOOKUP($A77,Table1[#This Row],COLUMN(Q76), FALSE)</f>
        <v>2015</v>
      </c>
      <c r="R77" t="str">
        <f>VLOOKUP($A77,Table1[#This Row],COLUMN(R76), FALSE)</f>
        <v>LOW</v>
      </c>
      <c r="S77" t="str">
        <f>VLOOKUP($A77,Table1[#This Row],COLUMN(S76), FALSE)</f>
        <v>furniture</v>
      </c>
      <c r="T77" t="str">
        <f>VLOOKUP($A77,Table1[#This Row],COLUMN(T76), FALSE)</f>
        <v>42175</v>
      </c>
      <c r="U77" t="str">
        <f>VLOOKUP($A77,Table1[#This Row],COLUMN(U76), FALSE)</f>
        <v>KD1649527</v>
      </c>
      <c r="V77" t="str">
        <f>VLOOKUP($A77,Table1[#This Row],COLUMN(V76), FALSE)</f>
        <v>IN</v>
      </c>
      <c r="W77">
        <f>VLOOKUP($A77,Table1[#This Row],COLUMN(W76), FALSE)</f>
        <v>2015</v>
      </c>
      <c r="X77" t="str">
        <f>VLOOKUP($A77,Table1[#This Row],COLUMN(X76), FALSE)</f>
        <v>KD1649527</v>
      </c>
      <c r="Y77">
        <f>VLOOKUP($A77,Table1[#This Row],COLUMN(Y76), FALSE)</f>
        <v>42175</v>
      </c>
      <c r="Z77" t="str">
        <f>VLOOKUP($A77,Table1[#This Row],COLUMN(Z76), FALSE)</f>
        <v>IN-2015-KD1649527-42175</v>
      </c>
      <c r="AA77">
        <f>VLOOKUP($A77,Table1[#This Row],COLUMN(AA76), FALSE)</f>
        <v>2015</v>
      </c>
      <c r="AB77">
        <f>VLOOKUP($A77,Table1[#This Row],COLUMN(AB76), FALSE)</f>
        <v>6</v>
      </c>
      <c r="AC77">
        <f>VLOOKUP($A77,Table1[#This Row],COLUMN(AC76), FALSE)</f>
        <v>7</v>
      </c>
      <c r="AD77">
        <f>VLOOKUP($A77,Table1[#This Row],COLUMN(AD76), FALSE)</f>
        <v>6</v>
      </c>
    </row>
    <row r="78" spans="1:30" ht="15.75">
      <c r="A78" s="53" t="s">
        <v>532</v>
      </c>
      <c r="B78" s="52">
        <f>VLOOKUP($A78,Table1[#This Row],COLUMN(B77), FALSE)</f>
        <v>42259</v>
      </c>
      <c r="C78" s="52">
        <f>VLOOKUP($A78,Table1[#This Row],COLUMN(C77), FALSE)</f>
        <v>42261</v>
      </c>
      <c r="D78" t="str">
        <f>VLOOKUP($A78,Table1[#This Row],COLUMN(D77), FALSE)</f>
        <v>Chuck Sachs</v>
      </c>
      <c r="E78" t="str">
        <f>VLOOKUP($A78,Table1[#This Row],COLUMN(E77), FALSE)</f>
        <v>Nicaragua</v>
      </c>
      <c r="F78" t="str">
        <f>VLOOKUP($A78,Table1[#This Row],COLUMN(F77), FALSE)</f>
        <v>Central America</v>
      </c>
      <c r="G78" t="str">
        <f>VLOOKUP($A78,Table1[#This Row],COLUMN(G77), FALSE)</f>
        <v>Technology</v>
      </c>
      <c r="H78" t="str">
        <f>VLOOKUP($A78,Table1[#This Row],COLUMN(H77), FALSE)</f>
        <v>Storage</v>
      </c>
      <c r="I78">
        <f>VLOOKUP($A78,Table1[#This Row],COLUMN(I77), FALSE)</f>
        <v>848.32</v>
      </c>
      <c r="J78">
        <f>VLOOKUP($A78,Table1[#This Row],COLUMN(J77), FALSE)</f>
        <v>2</v>
      </c>
      <c r="K78">
        <f>VLOOKUP($A78,Table1[#This Row],COLUMN(K77), FALSE)</f>
        <v>0</v>
      </c>
      <c r="L78">
        <f>VLOOKUP($A78,Table1[#This Row],COLUMN(L77), FALSE)</f>
        <v>110.28</v>
      </c>
      <c r="M78" t="str">
        <f>VLOOKUP($A78,Table1[#This Row],COLUMN(M77), FALSE)</f>
        <v>Critical</v>
      </c>
      <c r="N78" t="str">
        <f>VLOOKUP($A78,Table1[#This Row],COLUMN(N77), FALSE)</f>
        <v>Normal Order</v>
      </c>
      <c r="O78" t="str">
        <f>VLOOKUP($A78,Table1[#This Row],COLUMN(O77), FALSE)</f>
        <v>Chuck Sachs</v>
      </c>
      <c r="P78" t="str">
        <f>VLOOKUP($A78,Table1[#This Row],COLUMN(P77), FALSE)</f>
        <v>MX</v>
      </c>
      <c r="Q78" t="str">
        <f>VLOOKUP($A78,Table1[#This Row],COLUMN(Q77), FALSE)</f>
        <v>2015</v>
      </c>
      <c r="R78" t="str">
        <f>VLOOKUP($A78,Table1[#This Row],COLUMN(R77), FALSE)</f>
        <v>CRITICAL</v>
      </c>
      <c r="S78" t="str">
        <f>VLOOKUP($A78,Table1[#This Row],COLUMN(S77), FALSE)</f>
        <v>technology</v>
      </c>
      <c r="T78" t="str">
        <f>VLOOKUP($A78,Table1[#This Row],COLUMN(T77), FALSE)</f>
        <v>42259</v>
      </c>
      <c r="U78" t="str">
        <f>VLOOKUP($A78,Table1[#This Row],COLUMN(U77), FALSE)</f>
        <v>CS1246093</v>
      </c>
      <c r="V78" t="str">
        <f>VLOOKUP($A78,Table1[#This Row],COLUMN(V77), FALSE)</f>
        <v>MX</v>
      </c>
      <c r="W78">
        <f>VLOOKUP($A78,Table1[#This Row],COLUMN(W77), FALSE)</f>
        <v>2015</v>
      </c>
      <c r="X78" t="str">
        <f>VLOOKUP($A78,Table1[#This Row],COLUMN(X77), FALSE)</f>
        <v>CS1246093</v>
      </c>
      <c r="Y78">
        <f>VLOOKUP($A78,Table1[#This Row],COLUMN(Y77), FALSE)</f>
        <v>42259</v>
      </c>
      <c r="Z78" t="str">
        <f>VLOOKUP($A78,Table1[#This Row],COLUMN(Z77), FALSE)</f>
        <v>MX-2015-CS1246093-42259</v>
      </c>
      <c r="AA78">
        <f>VLOOKUP($A78,Table1[#This Row],COLUMN(AA77), FALSE)</f>
        <v>2015</v>
      </c>
      <c r="AB78">
        <f>VLOOKUP($A78,Table1[#This Row],COLUMN(AB77), FALSE)</f>
        <v>9</v>
      </c>
      <c r="AC78">
        <f>VLOOKUP($A78,Table1[#This Row],COLUMN(AC77), FALSE)</f>
        <v>7</v>
      </c>
      <c r="AD78">
        <f>VLOOKUP($A78,Table1[#This Row],COLUMN(AD77), FALSE)</f>
        <v>2</v>
      </c>
    </row>
    <row r="79" spans="1:30" ht="15.75">
      <c r="A79" s="54" t="s">
        <v>582</v>
      </c>
      <c r="B79" s="52">
        <f>VLOOKUP($A79,Table1[#This Row],COLUMN(B78), FALSE)</f>
        <v>42264</v>
      </c>
      <c r="C79" s="52" t="str">
        <f>VLOOKUP($A79,Table1[#This Row],COLUMN(C78), FALSE)</f>
        <v>20150-9-19</v>
      </c>
      <c r="D79" t="str">
        <f>VLOOKUP($A79,Table1[#This Row],COLUMN(D78), FALSE)</f>
        <v>Adam Shillingsburg</v>
      </c>
      <c r="E79" t="str">
        <f>VLOOKUP($A79,Table1[#This Row],COLUMN(E78), FALSE)</f>
        <v>United States#</v>
      </c>
      <c r="F79" t="str">
        <f>VLOOKUP($A79,Table1[#This Row],COLUMN(F78), FALSE)</f>
        <v>Eastern US</v>
      </c>
      <c r="G79" t="str">
        <f>VLOOKUP($A79,Table1[#This Row],COLUMN(G78), FALSE)</f>
        <v>Furniture</v>
      </c>
      <c r="H79" t="str">
        <f>VLOOKUP($A79,Table1[#This Row],COLUMN(H78), FALSE)</f>
        <v>Chairs</v>
      </c>
      <c r="I79">
        <f>VLOOKUP($A79,Table1[#This Row],COLUMN(I78), FALSE)</f>
        <v>22.512</v>
      </c>
      <c r="J79">
        <f>VLOOKUP($A79,Table1[#This Row],COLUMN(J78), FALSE)</f>
        <v>3</v>
      </c>
      <c r="K79">
        <f>VLOOKUP($A79,Table1[#This Row],COLUMN(K78), FALSE)</f>
        <v>0.2</v>
      </c>
      <c r="L79">
        <f>VLOOKUP($A79,Table1[#This Row],COLUMN(L78), FALSE)</f>
        <v>2.2511999999999999</v>
      </c>
      <c r="M79" t="str">
        <f>VLOOKUP($A79,Table1[#This Row],COLUMN(M78), FALSE)</f>
        <v>Critical</v>
      </c>
      <c r="N79" t="str">
        <f>VLOOKUP($A79,Table1[#This Row],COLUMN(N78), FALSE)</f>
        <v>Normal Order</v>
      </c>
      <c r="O79" t="str">
        <f>VLOOKUP($A79,Table1[#This Row],COLUMN(O78), FALSE)</f>
        <v>Adam Shillingsburg</v>
      </c>
      <c r="P79" t="str">
        <f>VLOOKUP($A79,Table1[#This Row],COLUMN(P78), FALSE)</f>
        <v>CA</v>
      </c>
      <c r="Q79" t="str">
        <f>VLOOKUP($A79,Table1[#This Row],COLUMN(Q78), FALSE)</f>
        <v>2015</v>
      </c>
      <c r="R79" t="str">
        <f>VLOOKUP($A79,Table1[#This Row],COLUMN(R78), FALSE)</f>
        <v>CRITICAL</v>
      </c>
      <c r="S79" t="str">
        <f>VLOOKUP($A79,Table1[#This Row],COLUMN(S78), FALSE)</f>
        <v>furniture</v>
      </c>
      <c r="T79" t="str">
        <f>VLOOKUP($A79,Table1[#This Row],COLUMN(T78), FALSE)</f>
        <v>42264</v>
      </c>
      <c r="U79" t="str">
        <f>VLOOKUP($A79,Table1[#This Row],COLUMN(U78), FALSE)</f>
        <v>AS10090140</v>
      </c>
      <c r="V79" t="str">
        <f>VLOOKUP($A79,Table1[#This Row],COLUMN(V78), FALSE)</f>
        <v>CA</v>
      </c>
      <c r="W79">
        <f>VLOOKUP($A79,Table1[#This Row],COLUMN(W78), FALSE)</f>
        <v>2015</v>
      </c>
      <c r="X79" t="str">
        <f>VLOOKUP($A79,Table1[#This Row],COLUMN(X78), FALSE)</f>
        <v>AS10090140</v>
      </c>
      <c r="Y79">
        <f>VLOOKUP($A79,Table1[#This Row],COLUMN(Y78), FALSE)</f>
        <v>42264</v>
      </c>
      <c r="Z79" t="str">
        <f>VLOOKUP($A79,Table1[#This Row],COLUMN(Z78), FALSE)</f>
        <v>CA-2015-AS10090140-42264</v>
      </c>
      <c r="AA79">
        <f>VLOOKUP($A79,Table1[#This Row],COLUMN(AA78), FALSE)</f>
        <v>2015</v>
      </c>
      <c r="AB79">
        <f>VLOOKUP($A79,Table1[#This Row],COLUMN(AB78), FALSE)</f>
        <v>9</v>
      </c>
      <c r="AC79">
        <f>VLOOKUP($A79,Table1[#This Row],COLUMN(AC78), FALSE)</f>
        <v>5</v>
      </c>
      <c r="AD79">
        <f>VLOOKUP($A79,Table1[#This Row],COLUMN(AD78), FALSE)</f>
        <v>0</v>
      </c>
    </row>
    <row r="80" spans="1:30" ht="15.75">
      <c r="A80" s="53" t="s">
        <v>661</v>
      </c>
      <c r="B80" s="52">
        <f>VLOOKUP($A80,Table1[#This Row],COLUMN(B79), FALSE)</f>
        <v>41850</v>
      </c>
      <c r="C80" s="52">
        <f>VLOOKUP($A80,Table1[#This Row],COLUMN(C79), FALSE)</f>
        <v>41850</v>
      </c>
      <c r="D80" t="str">
        <f>VLOOKUP($A80,Table1[#This Row],COLUMN(D79), FALSE)</f>
        <v>Elizabeth Moffitt</v>
      </c>
      <c r="E80" t="str">
        <f>VLOOKUP($A80,Table1[#This Row],COLUMN(E79), FALSE)</f>
        <v>Japan</v>
      </c>
      <c r="F80" t="str">
        <f>VLOOKUP($A80,Table1[#This Row],COLUMN(F79), FALSE)</f>
        <v>Eastern Asia</v>
      </c>
      <c r="G80" t="str">
        <f>VLOOKUP($A80,Table1[#This Row],COLUMN(G79), FALSE)</f>
        <v>Technology#</v>
      </c>
      <c r="H80" t="str">
        <f>VLOOKUP($A80,Table1[#This Row],COLUMN(H79), FALSE)</f>
        <v>Bookcases</v>
      </c>
      <c r="I80">
        <f>VLOOKUP($A80,Table1[#This Row],COLUMN(I79), FALSE)</f>
        <v>959.76</v>
      </c>
      <c r="J80">
        <f>VLOOKUP($A80,Table1[#This Row],COLUMN(J79), FALSE)</f>
        <v>3</v>
      </c>
      <c r="K80">
        <f>VLOOKUP($A80,Table1[#This Row],COLUMN(K79), FALSE)</f>
        <v>0</v>
      </c>
      <c r="L80">
        <f>VLOOKUP($A80,Table1[#This Row],COLUMN(L79), FALSE)</f>
        <v>460.62</v>
      </c>
      <c r="M80" t="str">
        <f>VLOOKUP($A80,Table1[#This Row],COLUMN(M79), FALSE)</f>
        <v>Critical</v>
      </c>
      <c r="N80" t="str">
        <f>VLOOKUP($A80,Table1[#This Row],COLUMN(N79), FALSE)</f>
        <v>Normal Order</v>
      </c>
      <c r="O80" t="str">
        <f>VLOOKUP($A80,Table1[#This Row],COLUMN(O79), FALSE)</f>
        <v>Elizabeth Moffitt</v>
      </c>
      <c r="P80" t="str">
        <f>VLOOKUP($A80,Table1[#This Row],COLUMN(P79), FALSE)</f>
        <v>IN</v>
      </c>
      <c r="Q80" t="str">
        <f>VLOOKUP($A80,Table1[#This Row],COLUMN(Q79), FALSE)</f>
        <v>2014</v>
      </c>
      <c r="R80" t="str">
        <f>VLOOKUP($A80,Table1[#This Row],COLUMN(R79), FALSE)</f>
        <v>CRITICAL</v>
      </c>
      <c r="S80" t="str">
        <f>VLOOKUP($A80,Table1[#This Row],COLUMN(S79), FALSE)</f>
        <v>technology#</v>
      </c>
      <c r="T80" t="str">
        <f>VLOOKUP($A80,Table1[#This Row],COLUMN(T79), FALSE)</f>
        <v>41850</v>
      </c>
      <c r="U80" t="str">
        <f>VLOOKUP($A80,Table1[#This Row],COLUMN(U79), FALSE)</f>
        <v>EM1382566</v>
      </c>
      <c r="V80" t="str">
        <f>VLOOKUP($A80,Table1[#This Row],COLUMN(V79), FALSE)</f>
        <v>IN</v>
      </c>
      <c r="W80">
        <f>VLOOKUP($A80,Table1[#This Row],COLUMN(W79), FALSE)</f>
        <v>2014</v>
      </c>
      <c r="X80" t="str">
        <f>VLOOKUP($A80,Table1[#This Row],COLUMN(X79), FALSE)</f>
        <v>EM1382566</v>
      </c>
      <c r="Y80">
        <f>VLOOKUP($A80,Table1[#This Row],COLUMN(Y79), FALSE)</f>
        <v>41850</v>
      </c>
      <c r="Z80" t="str">
        <f>VLOOKUP($A80,Table1[#This Row],COLUMN(Z79), FALSE)</f>
        <v>IN-2014-EM1382566-41850</v>
      </c>
      <c r="AA80">
        <f>VLOOKUP($A80,Table1[#This Row],COLUMN(AA79), FALSE)</f>
        <v>2014</v>
      </c>
      <c r="AB80">
        <f>VLOOKUP($A80,Table1[#This Row],COLUMN(AB79), FALSE)</f>
        <v>7</v>
      </c>
      <c r="AC80">
        <f>VLOOKUP($A80,Table1[#This Row],COLUMN(AC79), FALSE)</f>
        <v>4</v>
      </c>
      <c r="AD80">
        <f>VLOOKUP($A80,Table1[#This Row],COLUMN(AD79), FALSE)</f>
        <v>0</v>
      </c>
    </row>
    <row r="81" spans="1:30" ht="15.75">
      <c r="A81" s="54" t="s">
        <v>663</v>
      </c>
      <c r="B81" s="52">
        <f>VLOOKUP($A81,Table1[#This Row],COLUMN(B80), FALSE)</f>
        <v>42341</v>
      </c>
      <c r="C81" s="52">
        <f>VLOOKUP($A81,Table1[#This Row],COLUMN(C80), FALSE)</f>
        <v>42344</v>
      </c>
      <c r="D81" t="str">
        <f>VLOOKUP($A81,Table1[#This Row],COLUMN(D80), FALSE)</f>
        <v>Adam Shillingsburg</v>
      </c>
      <c r="E81" t="str">
        <f>VLOOKUP($A81,Table1[#This Row],COLUMN(E80), FALSE)</f>
        <v>United States</v>
      </c>
      <c r="F81" t="str">
        <f>VLOOKUP($A81,Table1[#This Row],COLUMN(F80), FALSE)</f>
        <v>SouthernU S</v>
      </c>
      <c r="G81" t="str">
        <f>VLOOKUP($A81,Table1[#This Row],COLUMN(G80), FALSE)</f>
        <v>Office Supplies</v>
      </c>
      <c r="H81" t="str">
        <f>VLOOKUP($A81,Table1[#This Row],COLUMN(H80), FALSE)</f>
        <v>Copiers</v>
      </c>
      <c r="I81">
        <f>VLOOKUP($A81,Table1[#This Row],COLUMN(I80), FALSE)</f>
        <v>34.65</v>
      </c>
      <c r="J81">
        <f>VLOOKUP($A81,Table1[#This Row],COLUMN(J80), FALSE)</f>
        <v>3</v>
      </c>
      <c r="K81">
        <f>VLOOKUP($A81,Table1[#This Row],COLUMN(K80), FALSE)</f>
        <v>0</v>
      </c>
      <c r="L81">
        <f>VLOOKUP($A81,Table1[#This Row],COLUMN(L80), FALSE)</f>
        <v>72.253413101131102</v>
      </c>
      <c r="M81" t="str">
        <f>VLOOKUP($A81,Table1[#This Row],COLUMN(M80), FALSE)</f>
        <v>Medium</v>
      </c>
      <c r="N81" t="str">
        <f>VLOOKUP($A81,Table1[#This Row],COLUMN(N80), FALSE)</f>
        <v>Normal Order</v>
      </c>
      <c r="O81" t="str">
        <f>VLOOKUP($A81,Table1[#This Row],COLUMN(O80), FALSE)</f>
        <v>Adam Shillingsburg</v>
      </c>
      <c r="P81" t="str">
        <f>VLOOKUP($A81,Table1[#This Row],COLUMN(P80), FALSE)</f>
        <v>US</v>
      </c>
      <c r="Q81" t="str">
        <f>VLOOKUP($A81,Table1[#This Row],COLUMN(Q80), FALSE)</f>
        <v>2015</v>
      </c>
      <c r="R81" t="str">
        <f>VLOOKUP($A81,Table1[#This Row],COLUMN(R80), FALSE)</f>
        <v>MEDIUM</v>
      </c>
      <c r="S81" t="str">
        <f>VLOOKUP($A81,Table1[#This Row],COLUMN(S80), FALSE)</f>
        <v>office supplies</v>
      </c>
      <c r="T81" t="str">
        <f>VLOOKUP($A81,Table1[#This Row],COLUMN(T80), FALSE)</f>
        <v>42341</v>
      </c>
      <c r="U81" t="str">
        <f>VLOOKUP($A81,Table1[#This Row],COLUMN(U80), FALSE)</f>
        <v>AS10090140</v>
      </c>
      <c r="V81" t="str">
        <f>VLOOKUP($A81,Table1[#This Row],COLUMN(V80), FALSE)</f>
        <v>US</v>
      </c>
      <c r="W81">
        <f>VLOOKUP($A81,Table1[#This Row],COLUMN(W80), FALSE)</f>
        <v>2015</v>
      </c>
      <c r="X81" t="str">
        <f>VLOOKUP($A81,Table1[#This Row],COLUMN(X80), FALSE)</f>
        <v>AS10090140</v>
      </c>
      <c r="Y81">
        <f>VLOOKUP($A81,Table1[#This Row],COLUMN(Y80), FALSE)</f>
        <v>42341</v>
      </c>
      <c r="Z81" t="str">
        <f>VLOOKUP($A81,Table1[#This Row],COLUMN(Z80), FALSE)</f>
        <v>US-2015-AS10090140-42341</v>
      </c>
      <c r="AA81">
        <f>VLOOKUP($A81,Table1[#This Row],COLUMN(AA80), FALSE)</f>
        <v>2015</v>
      </c>
      <c r="AB81">
        <f>VLOOKUP($A81,Table1[#This Row],COLUMN(AB80), FALSE)</f>
        <v>12</v>
      </c>
      <c r="AC81">
        <f>VLOOKUP($A81,Table1[#This Row],COLUMN(AC80), FALSE)</f>
        <v>5</v>
      </c>
      <c r="AD81">
        <f>VLOOKUP($A81,Table1[#This Row],COLUMN(AD80), FALSE)</f>
        <v>3</v>
      </c>
    </row>
    <row r="82" spans="1:30" ht="15.75">
      <c r="A82" s="53" t="s">
        <v>674</v>
      </c>
      <c r="B82" s="52">
        <f>VLOOKUP($A82,Table1[#This Row],COLUMN(B81), FALSE)</f>
        <v>42223</v>
      </c>
      <c r="C82" s="52">
        <f>VLOOKUP($A82,Table1[#This Row],COLUMN(C81), FALSE)</f>
        <v>42225</v>
      </c>
      <c r="D82" t="str">
        <f>VLOOKUP($A82,Table1[#This Row],COLUMN(D81), FALSE)</f>
        <v>Christine Abelman</v>
      </c>
      <c r="E82" t="str">
        <f>VLOOKUP($A82,Table1[#This Row],COLUMN(E81), FALSE)</f>
        <v>France</v>
      </c>
      <c r="F82" t="str">
        <f>VLOOKUP($A82,Table1[#This Row],COLUMN(F81), FALSE)</f>
        <v>Western Europe</v>
      </c>
      <c r="G82" t="str">
        <f>VLOOKUP($A82,Table1[#This Row],COLUMN(G81), FALSE)</f>
        <v>Technology</v>
      </c>
      <c r="H82" t="str">
        <f>VLOOKUP($A82,Table1[#This Row],COLUMN(H81), FALSE)</f>
        <v>Bookcases</v>
      </c>
      <c r="I82">
        <f>VLOOKUP($A82,Table1[#This Row],COLUMN(I81), FALSE)</f>
        <v>1625.2425000000001</v>
      </c>
      <c r="J82">
        <f>VLOOKUP($A82,Table1[#This Row],COLUMN(J81), FALSE)</f>
        <v>3</v>
      </c>
      <c r="K82">
        <f>VLOOKUP($A82,Table1[#This Row],COLUMN(K81), FALSE)</f>
        <v>0.15</v>
      </c>
      <c r="L82">
        <f>VLOOKUP($A82,Table1[#This Row],COLUMN(L81), FALSE)</f>
        <v>-76.567499999999995</v>
      </c>
      <c r="M82" t="str">
        <f>VLOOKUP($A82,Table1[#This Row],COLUMN(M81), FALSE)</f>
        <v>Critical</v>
      </c>
      <c r="N82" t="str">
        <f>VLOOKUP($A82,Table1[#This Row],COLUMN(N81), FALSE)</f>
        <v>Normal Order</v>
      </c>
      <c r="O82" t="str">
        <f>VLOOKUP($A82,Table1[#This Row],COLUMN(O81), FALSE)</f>
        <v>Christine Abelman</v>
      </c>
      <c r="P82" t="str">
        <f>VLOOKUP($A82,Table1[#This Row],COLUMN(P81), FALSE)</f>
        <v>IT</v>
      </c>
      <c r="Q82" t="str">
        <f>VLOOKUP($A82,Table1[#This Row],COLUMN(Q81), FALSE)</f>
        <v>2015</v>
      </c>
      <c r="R82" t="str">
        <f>VLOOKUP($A82,Table1[#This Row],COLUMN(R81), FALSE)</f>
        <v>CRITICAL</v>
      </c>
      <c r="S82" t="str">
        <f>VLOOKUP($A82,Table1[#This Row],COLUMN(S81), FALSE)</f>
        <v>technology</v>
      </c>
      <c r="T82" t="str">
        <f>VLOOKUP($A82,Table1[#This Row],COLUMN(T81), FALSE)</f>
        <v>42223</v>
      </c>
      <c r="U82" t="str">
        <f>VLOOKUP($A82,Table1[#This Row],COLUMN(U81), FALSE)</f>
        <v>CA1231045</v>
      </c>
      <c r="V82" t="str">
        <f>VLOOKUP($A82,Table1[#This Row],COLUMN(V81), FALSE)</f>
        <v>IT</v>
      </c>
      <c r="W82">
        <f>VLOOKUP($A82,Table1[#This Row],COLUMN(W81), FALSE)</f>
        <v>2015</v>
      </c>
      <c r="X82" t="str">
        <f>VLOOKUP($A82,Table1[#This Row],COLUMN(X81), FALSE)</f>
        <v>CA1231045</v>
      </c>
      <c r="Y82">
        <f>VLOOKUP($A82,Table1[#This Row],COLUMN(Y81), FALSE)</f>
        <v>42223</v>
      </c>
      <c r="Z82" t="str">
        <f>VLOOKUP($A82,Table1[#This Row],COLUMN(Z81), FALSE)</f>
        <v>IT-2015-CA1231045-42223</v>
      </c>
      <c r="AA82">
        <f>VLOOKUP($A82,Table1[#This Row],COLUMN(AA81), FALSE)</f>
        <v>2015</v>
      </c>
      <c r="AB82">
        <f>VLOOKUP($A82,Table1[#This Row],COLUMN(AB81), FALSE)</f>
        <v>8</v>
      </c>
      <c r="AC82">
        <f>VLOOKUP($A82,Table1[#This Row],COLUMN(AC81), FALSE)</f>
        <v>6</v>
      </c>
      <c r="AD82">
        <f>VLOOKUP($A82,Table1[#This Row],COLUMN(AD81), FALSE)</f>
        <v>2</v>
      </c>
    </row>
    <row r="83" spans="1:30" ht="15.75">
      <c r="A83" s="54" t="s">
        <v>646</v>
      </c>
      <c r="B83" s="52">
        <f>VLOOKUP($A83,Table1[#This Row],COLUMN(B82), FALSE)</f>
        <v>42039</v>
      </c>
      <c r="C83" s="52">
        <f>VLOOKUP($A83,Table1[#This Row],COLUMN(C82), FALSE)</f>
        <v>42099</v>
      </c>
      <c r="D83" t="str">
        <f>VLOOKUP($A83,Table1[#This Row],COLUMN(D82), FALSE)</f>
        <v>Adam Shillingsburg</v>
      </c>
      <c r="E83" t="str">
        <f>VLOOKUP($A83,Table1[#This Row],COLUMN(E82), FALSE)</f>
        <v>United States</v>
      </c>
      <c r="F83" t="str">
        <f>VLOOKUP($A83,Table1[#This Row],COLUMN(F82), FALSE)</f>
        <v>Central US</v>
      </c>
      <c r="G83" t="str">
        <f>VLOOKUP($A83,Table1[#This Row],COLUMN(G82), FALSE)</f>
        <v>Office Supplies</v>
      </c>
      <c r="H83" t="str">
        <f>VLOOKUP($A83,Table1[#This Row],COLUMN(H82), FALSE)</f>
        <v>Storage</v>
      </c>
      <c r="I83">
        <f>VLOOKUP($A83,Table1[#This Row],COLUMN(I82), FALSE)</f>
        <v>28.4</v>
      </c>
      <c r="J83">
        <f>VLOOKUP($A83,Table1[#This Row],COLUMN(J82), FALSE)</f>
        <v>5</v>
      </c>
      <c r="K83">
        <f>VLOOKUP($A83,Table1[#This Row],COLUMN(K82), FALSE)</f>
        <v>0</v>
      </c>
      <c r="L83">
        <f>VLOOKUP($A83,Table1[#This Row],COLUMN(L82), FALSE)</f>
        <v>13.3479999999999</v>
      </c>
      <c r="M83" t="str">
        <f>VLOOKUP($A83,Table1[#This Row],COLUMN(M82), FALSE)</f>
        <v>High</v>
      </c>
      <c r="N83" t="str">
        <f>VLOOKUP($A83,Table1[#This Row],COLUMN(N82), FALSE)</f>
        <v>Normal Order</v>
      </c>
      <c r="O83" t="str">
        <f>VLOOKUP($A83,Table1[#This Row],COLUMN(O82), FALSE)</f>
        <v>Adam Shillingsburg</v>
      </c>
      <c r="P83" t="str">
        <f>VLOOKUP($A83,Table1[#This Row],COLUMN(P82), FALSE)</f>
        <v>CA</v>
      </c>
      <c r="Q83" t="str">
        <f>VLOOKUP($A83,Table1[#This Row],COLUMN(Q82), FALSE)</f>
        <v>2015</v>
      </c>
      <c r="R83" t="str">
        <f>VLOOKUP($A83,Table1[#This Row],COLUMN(R82), FALSE)</f>
        <v>HIGH</v>
      </c>
      <c r="S83" t="str">
        <f>VLOOKUP($A83,Table1[#This Row],COLUMN(S82), FALSE)</f>
        <v>office supplies</v>
      </c>
      <c r="T83" t="str">
        <f>VLOOKUP($A83,Table1[#This Row],COLUMN(T82), FALSE)</f>
        <v>42096</v>
      </c>
      <c r="U83" t="str">
        <f>VLOOKUP($A83,Table1[#This Row],COLUMN(U82), FALSE)</f>
        <v>AS10090140</v>
      </c>
      <c r="V83" t="str">
        <f>VLOOKUP($A83,Table1[#This Row],COLUMN(V82), FALSE)</f>
        <v>CA</v>
      </c>
      <c r="W83">
        <f>VLOOKUP($A83,Table1[#This Row],COLUMN(W82), FALSE)</f>
        <v>2015</v>
      </c>
      <c r="X83" t="str">
        <f>VLOOKUP($A83,Table1[#This Row],COLUMN(X82), FALSE)</f>
        <v>AS10090140</v>
      </c>
      <c r="Y83">
        <f>VLOOKUP($A83,Table1[#This Row],COLUMN(Y82), FALSE)</f>
        <v>42096</v>
      </c>
      <c r="Z83" t="str">
        <f>VLOOKUP($A83,Table1[#This Row],COLUMN(Z82), FALSE)</f>
        <v>CA-2015-AS10090140-42096</v>
      </c>
      <c r="AA83">
        <f>VLOOKUP($A83,Table1[#This Row],COLUMN(AA82), FALSE)</f>
        <v>2015</v>
      </c>
      <c r="AB83">
        <f>VLOOKUP($A83,Table1[#This Row],COLUMN(AB82), FALSE)</f>
        <v>2</v>
      </c>
      <c r="AC83">
        <f>VLOOKUP($A83,Table1[#This Row],COLUMN(AC82), FALSE)</f>
        <v>4</v>
      </c>
      <c r="AD83">
        <f>VLOOKUP($A83,Table1[#This Row],COLUMN(AD82), FALSE)</f>
        <v>60</v>
      </c>
    </row>
    <row r="84" spans="1:30" ht="15.75">
      <c r="A84" s="53" t="s">
        <v>679</v>
      </c>
      <c r="B84" s="52">
        <f>VLOOKUP($A84,Table1[#This Row],COLUMN(B83), FALSE)</f>
        <v>41266</v>
      </c>
      <c r="C84" s="52">
        <f>VLOOKUP($A84,Table1[#This Row],COLUMN(C83), FALSE)</f>
        <v>41268</v>
      </c>
      <c r="D84" t="str">
        <f>VLOOKUP($A84,Table1[#This Row],COLUMN(D83), FALSE)</f>
        <v>Adam Shillingsburg</v>
      </c>
      <c r="E84" t="str">
        <f>VLOOKUP($A84,Table1[#This Row],COLUMN(E83), FALSE)</f>
        <v>United States</v>
      </c>
      <c r="F84" t="str">
        <f>VLOOKUP($A84,Table1[#This Row],COLUMN(F83), FALSE)</f>
        <v>Western US</v>
      </c>
      <c r="G84" t="str">
        <f>VLOOKUP($A84,Table1[#This Row],COLUMN(G83), FALSE)</f>
        <v>Office Supplies</v>
      </c>
      <c r="H84" t="str">
        <f>VLOOKUP($A84,Table1[#This Row],COLUMN(H83), FALSE)</f>
        <v>Accessories</v>
      </c>
      <c r="I84">
        <f>VLOOKUP($A84,Table1[#This Row],COLUMN(I83), FALSE)</f>
        <v>13.97</v>
      </c>
      <c r="J84">
        <f>VLOOKUP($A84,Table1[#This Row],COLUMN(J83), FALSE)</f>
        <v>1</v>
      </c>
      <c r="K84">
        <f>VLOOKUP($A84,Table1[#This Row],COLUMN(K83), FALSE)</f>
        <v>0</v>
      </c>
      <c r="L84">
        <f>VLOOKUP($A84,Table1[#This Row],COLUMN(L83), FALSE)</f>
        <v>3.6322000000000001</v>
      </c>
      <c r="M84" t="str">
        <f>VLOOKUP($A84,Table1[#This Row],COLUMN(M83), FALSE)</f>
        <v>High</v>
      </c>
      <c r="N84" t="str">
        <f>VLOOKUP($A84,Table1[#This Row],COLUMN(N83), FALSE)</f>
        <v>Normal Order</v>
      </c>
      <c r="O84" t="str">
        <f>VLOOKUP($A84,Table1[#This Row],COLUMN(O83), FALSE)</f>
        <v>Adam Shillingsburg</v>
      </c>
      <c r="P84" t="str">
        <f>VLOOKUP($A84,Table1[#This Row],COLUMN(P83), FALSE)</f>
        <v>CA</v>
      </c>
      <c r="Q84" t="str">
        <f>VLOOKUP($A84,Table1[#This Row],COLUMN(Q83), FALSE)</f>
        <v>2012</v>
      </c>
      <c r="R84" t="str">
        <f>VLOOKUP($A84,Table1[#This Row],COLUMN(R83), FALSE)</f>
        <v>HIGH</v>
      </c>
      <c r="S84" t="str">
        <f>VLOOKUP($A84,Table1[#This Row],COLUMN(S83), FALSE)</f>
        <v>office supplies</v>
      </c>
      <c r="T84" t="str">
        <f>VLOOKUP($A84,Table1[#This Row],COLUMN(T83), FALSE)</f>
        <v>41266</v>
      </c>
      <c r="U84" t="str">
        <f>VLOOKUP($A84,Table1[#This Row],COLUMN(U83), FALSE)</f>
        <v>AS10090140</v>
      </c>
      <c r="V84" t="str">
        <f>VLOOKUP($A84,Table1[#This Row],COLUMN(V83), FALSE)</f>
        <v>CA</v>
      </c>
      <c r="W84">
        <f>VLOOKUP($A84,Table1[#This Row],COLUMN(W83), FALSE)</f>
        <v>2012</v>
      </c>
      <c r="X84" t="str">
        <f>VLOOKUP($A84,Table1[#This Row],COLUMN(X83), FALSE)</f>
        <v>AS10090140</v>
      </c>
      <c r="Y84">
        <f>VLOOKUP($A84,Table1[#This Row],COLUMN(Y83), FALSE)</f>
        <v>41266</v>
      </c>
      <c r="Z84" t="str">
        <f>VLOOKUP($A84,Table1[#This Row],COLUMN(Z83), FALSE)</f>
        <v>CA-2012-AS10090140-41266</v>
      </c>
      <c r="AA84">
        <f>VLOOKUP($A84,Table1[#This Row],COLUMN(AA83), FALSE)</f>
        <v>2012</v>
      </c>
      <c r="AB84">
        <f>VLOOKUP($A84,Table1[#This Row],COLUMN(AB83), FALSE)</f>
        <v>12</v>
      </c>
      <c r="AC84">
        <f>VLOOKUP($A84,Table1[#This Row],COLUMN(AC83), FALSE)</f>
        <v>1</v>
      </c>
      <c r="AD84">
        <f>VLOOKUP($A84,Table1[#This Row],COLUMN(AD83), FALSE)</f>
        <v>2</v>
      </c>
    </row>
    <row r="85" spans="1:30" ht="15.75">
      <c r="A85" s="54" t="s">
        <v>586</v>
      </c>
      <c r="B85" s="52">
        <f>VLOOKUP($A85,Table1[#This Row],COLUMN(B84), FALSE)</f>
        <v>41587</v>
      </c>
      <c r="C85" s="52">
        <f>VLOOKUP($A85,Table1[#This Row],COLUMN(C84), FALSE)</f>
        <v>41591</v>
      </c>
      <c r="D85" t="str">
        <f>VLOOKUP($A85,Table1[#This Row],COLUMN(D84), FALSE)</f>
        <v>Adam Shillingsburg</v>
      </c>
      <c r="E85" t="str">
        <f>VLOOKUP($A85,Table1[#This Row],COLUMN(E84), FALSE)</f>
        <v>United States</v>
      </c>
      <c r="F85" t="str">
        <f>VLOOKUP($A85,Table1[#This Row],COLUMN(F84), FALSE)</f>
        <v>Central SU</v>
      </c>
      <c r="G85" t="str">
        <f>VLOOKUP($A85,Table1[#This Row],COLUMN(G84), FALSE)</f>
        <v>Office Supplies</v>
      </c>
      <c r="H85" t="str">
        <f>VLOOKUP($A85,Table1[#This Row],COLUMN(H84), FALSE)</f>
        <v>Tables</v>
      </c>
      <c r="I85">
        <f>VLOOKUP($A85,Table1[#This Row],COLUMN(I84), FALSE)</f>
        <v>26.22</v>
      </c>
      <c r="J85">
        <f>VLOOKUP($A85,Table1[#This Row],COLUMN(J84), FALSE)</f>
        <v>3</v>
      </c>
      <c r="K85">
        <f>VLOOKUP($A85,Table1[#This Row],COLUMN(K84), FALSE)</f>
        <v>0</v>
      </c>
      <c r="L85">
        <f>VLOOKUP($A85,Table1[#This Row],COLUMN(L84), FALSE)</f>
        <v>12.323399999999999</v>
      </c>
      <c r="M85" t="str">
        <f>VLOOKUP($A85,Table1[#This Row],COLUMN(M84), FALSE)</f>
        <v>Medium</v>
      </c>
      <c r="N85" t="str">
        <f>VLOOKUP($A85,Table1[#This Row],COLUMN(N84), FALSE)</f>
        <v>Normal Order</v>
      </c>
      <c r="O85" t="str">
        <f>VLOOKUP($A85,Table1[#This Row],COLUMN(O84), FALSE)</f>
        <v>Adam Shillingsburg</v>
      </c>
      <c r="P85" t="str">
        <f>VLOOKUP($A85,Table1[#This Row],COLUMN(P84), FALSE)</f>
        <v>CA</v>
      </c>
      <c r="Q85" t="str">
        <f>VLOOKUP($A85,Table1[#This Row],COLUMN(Q84), FALSE)</f>
        <v>2013</v>
      </c>
      <c r="R85" t="str">
        <f>VLOOKUP($A85,Table1[#This Row],COLUMN(R84), FALSE)</f>
        <v>MEDIUM</v>
      </c>
      <c r="S85" t="str">
        <f>VLOOKUP($A85,Table1[#This Row],COLUMN(S84), FALSE)</f>
        <v>office supplies</v>
      </c>
      <c r="T85" t="str">
        <f>VLOOKUP($A85,Table1[#This Row],COLUMN(T84), FALSE)</f>
        <v>41587</v>
      </c>
      <c r="U85" t="str">
        <f>VLOOKUP($A85,Table1[#This Row],COLUMN(U84), FALSE)</f>
        <v>AS10090140</v>
      </c>
      <c r="V85" t="str">
        <f>VLOOKUP($A85,Table1[#This Row],COLUMN(V84), FALSE)</f>
        <v>CA</v>
      </c>
      <c r="W85">
        <f>VLOOKUP($A85,Table1[#This Row],COLUMN(W84), FALSE)</f>
        <v>2013</v>
      </c>
      <c r="X85" t="str">
        <f>VLOOKUP($A85,Table1[#This Row],COLUMN(X84), FALSE)</f>
        <v>AS10090140</v>
      </c>
      <c r="Y85">
        <f>VLOOKUP($A85,Table1[#This Row],COLUMN(Y84), FALSE)</f>
        <v>41587</v>
      </c>
      <c r="Z85" t="str">
        <f>VLOOKUP($A85,Table1[#This Row],COLUMN(Z84), FALSE)</f>
        <v>CA-2013-AS10090140-41587</v>
      </c>
      <c r="AA85">
        <f>VLOOKUP($A85,Table1[#This Row],COLUMN(AA84), FALSE)</f>
        <v>2013</v>
      </c>
      <c r="AB85">
        <f>VLOOKUP($A85,Table1[#This Row],COLUMN(AB84), FALSE)</f>
        <v>11</v>
      </c>
      <c r="AC85">
        <f>VLOOKUP($A85,Table1[#This Row],COLUMN(AC84), FALSE)</f>
        <v>7</v>
      </c>
      <c r="AD85">
        <f>VLOOKUP($A85,Table1[#This Row],COLUMN(AD84), FALSE)</f>
        <v>4</v>
      </c>
    </row>
    <row r="86" spans="1:30" ht="15.75">
      <c r="A86" s="53" t="s">
        <v>589</v>
      </c>
      <c r="B86" s="52">
        <f>VLOOKUP($A86,Table1[#This Row],COLUMN(B85), FALSE)</f>
        <v>41812</v>
      </c>
      <c r="C86" s="52">
        <f>VLOOKUP($A86,Table1[#This Row],COLUMN(C85), FALSE)</f>
        <v>41817</v>
      </c>
      <c r="D86" t="str">
        <f>VLOOKUP($A86,Table1[#This Row],COLUMN(D85), FALSE)</f>
        <v>Adam Shillingsburg</v>
      </c>
      <c r="E86" t="str">
        <f>VLOOKUP($A86,Table1[#This Row],COLUMN(E85), FALSE)</f>
        <v>United States</v>
      </c>
      <c r="F86" t="str">
        <f>VLOOKUP($A86,Table1[#This Row],COLUMN(F85), FALSE)</f>
        <v>Eastern US</v>
      </c>
      <c r="G86" t="str">
        <f>VLOOKUP($A86,Table1[#This Row],COLUMN(G85), FALSE)</f>
        <v>Office Supplies</v>
      </c>
      <c r="H86" t="str">
        <f>VLOOKUP($A86,Table1[#This Row],COLUMN(H85), FALSE)</f>
        <v>Bookcases</v>
      </c>
      <c r="I86">
        <f>VLOOKUP($A86,Table1[#This Row],COLUMN(I85), FALSE)</f>
        <v>36.56</v>
      </c>
      <c r="J86">
        <f>VLOOKUP($A86,Table1[#This Row],COLUMN(J85), FALSE)</f>
        <v>5</v>
      </c>
      <c r="K86">
        <f>VLOOKUP($A86,Table1[#This Row],COLUMN(K85), FALSE)</f>
        <v>0.2</v>
      </c>
      <c r="L86">
        <f>VLOOKUP($A86,Table1[#This Row],COLUMN(L85), FALSE)</f>
        <v>12.795999999999999</v>
      </c>
      <c r="M86" t="str">
        <f>VLOOKUP($A86,Table1[#This Row],COLUMN(M85), FALSE)</f>
        <v>High</v>
      </c>
      <c r="N86" t="str">
        <f>VLOOKUP($A86,Table1[#This Row],COLUMN(N85), FALSE)</f>
        <v>Normal Order</v>
      </c>
      <c r="O86" t="str">
        <f>VLOOKUP($A86,Table1[#This Row],COLUMN(O85), FALSE)</f>
        <v>Adam Shillingsburg</v>
      </c>
      <c r="P86" t="str">
        <f>VLOOKUP($A86,Table1[#This Row],COLUMN(P85), FALSE)</f>
        <v>CA</v>
      </c>
      <c r="Q86" t="str">
        <f>VLOOKUP($A86,Table1[#This Row],COLUMN(Q85), FALSE)</f>
        <v>2014</v>
      </c>
      <c r="R86" t="str">
        <f>VLOOKUP($A86,Table1[#This Row],COLUMN(R85), FALSE)</f>
        <v>HIGH</v>
      </c>
      <c r="S86" t="str">
        <f>VLOOKUP($A86,Table1[#This Row],COLUMN(S85), FALSE)</f>
        <v>office supplies</v>
      </c>
      <c r="T86" t="str">
        <f>VLOOKUP($A86,Table1[#This Row],COLUMN(T85), FALSE)</f>
        <v>41812</v>
      </c>
      <c r="U86" t="str">
        <f>VLOOKUP($A86,Table1[#This Row],COLUMN(U85), FALSE)</f>
        <v>AS10090140</v>
      </c>
      <c r="V86" t="str">
        <f>VLOOKUP($A86,Table1[#This Row],COLUMN(V85), FALSE)</f>
        <v>CA</v>
      </c>
      <c r="W86">
        <f>VLOOKUP($A86,Table1[#This Row],COLUMN(W85), FALSE)</f>
        <v>2014</v>
      </c>
      <c r="X86" t="str">
        <f>VLOOKUP($A86,Table1[#This Row],COLUMN(X85), FALSE)</f>
        <v>AS10090140</v>
      </c>
      <c r="Y86">
        <f>VLOOKUP($A86,Table1[#This Row],COLUMN(Y85), FALSE)</f>
        <v>41812</v>
      </c>
      <c r="Z86" t="str">
        <f>VLOOKUP($A86,Table1[#This Row],COLUMN(Z85), FALSE)</f>
        <v>CA-2014-AS10090140-41812</v>
      </c>
      <c r="AA86">
        <f>VLOOKUP($A86,Table1[#This Row],COLUMN(AA85), FALSE)</f>
        <v>2014</v>
      </c>
      <c r="AB86">
        <f>VLOOKUP($A86,Table1[#This Row],COLUMN(AB85), FALSE)</f>
        <v>6</v>
      </c>
      <c r="AC86">
        <f>VLOOKUP($A86,Table1[#This Row],COLUMN(AC85), FALSE)</f>
        <v>1</v>
      </c>
      <c r="AD86">
        <f>VLOOKUP($A86,Table1[#This Row],COLUMN(AD85), FALSE)</f>
        <v>5</v>
      </c>
    </row>
    <row r="87" spans="1:30" ht="15.75">
      <c r="A87" s="54" t="s">
        <v>685</v>
      </c>
      <c r="B87" s="52">
        <f>VLOOKUP($A87,Table1[#This Row],COLUMN(B86), FALSE)</f>
        <v>41762</v>
      </c>
      <c r="C87" s="52">
        <f>VLOOKUP($A87,Table1[#This Row],COLUMN(C86), FALSE)</f>
        <v>41766</v>
      </c>
      <c r="D87" t="str">
        <f>VLOOKUP($A87,Table1[#This Row],COLUMN(D86), FALSE)</f>
        <v>Adam Shillingsburg</v>
      </c>
      <c r="E87" t="str">
        <f>VLOOKUP($A87,Table1[#This Row],COLUMN(E86), FALSE)</f>
        <v>United States</v>
      </c>
      <c r="F87" t="str">
        <f>VLOOKUP($A87,Table1[#This Row],COLUMN(F86), FALSE)</f>
        <v>Central US</v>
      </c>
      <c r="G87" t="str">
        <f>VLOOKUP($A87,Table1[#This Row],COLUMN(G86), FALSE)</f>
        <v>Office Supplies</v>
      </c>
      <c r="H87" t="str">
        <f>VLOOKUP($A87,Table1[#This Row],COLUMN(H86), FALSE)</f>
        <v>Appliances</v>
      </c>
      <c r="I87">
        <f>VLOOKUP($A87,Table1[#This Row],COLUMN(I86), FALSE)</f>
        <v>18.936</v>
      </c>
      <c r="J87">
        <f>VLOOKUP($A87,Table1[#This Row],COLUMN(J86), FALSE)</f>
        <v>3</v>
      </c>
      <c r="K87">
        <f>VLOOKUP($A87,Table1[#This Row],COLUMN(K86), FALSE)</f>
        <v>0.2</v>
      </c>
      <c r="L87">
        <f>VLOOKUP($A87,Table1[#This Row],COLUMN(L86), FALSE)</f>
        <v>-3.7871999999999999</v>
      </c>
      <c r="M87" t="str">
        <f>VLOOKUP($A87,Table1[#This Row],COLUMN(M86), FALSE)</f>
        <v>Medium</v>
      </c>
      <c r="N87" t="str">
        <f>VLOOKUP($A87,Table1[#This Row],COLUMN(N86), FALSE)</f>
        <v>Normal Order</v>
      </c>
      <c r="O87" t="str">
        <f>VLOOKUP($A87,Table1[#This Row],COLUMN(O86), FALSE)</f>
        <v>Adam Shillingsburg</v>
      </c>
      <c r="P87" t="str">
        <f>VLOOKUP($A87,Table1[#This Row],COLUMN(P86), FALSE)</f>
        <v>CA</v>
      </c>
      <c r="Q87" t="str">
        <f>VLOOKUP($A87,Table1[#This Row],COLUMN(Q86), FALSE)</f>
        <v>2014</v>
      </c>
      <c r="R87" t="str">
        <f>VLOOKUP($A87,Table1[#This Row],COLUMN(R86), FALSE)</f>
        <v>MEDIUM</v>
      </c>
      <c r="S87" t="str">
        <f>VLOOKUP($A87,Table1[#This Row],COLUMN(S86), FALSE)</f>
        <v>office supplies</v>
      </c>
      <c r="T87" t="str">
        <f>VLOOKUP($A87,Table1[#This Row],COLUMN(T86), FALSE)</f>
        <v>41762</v>
      </c>
      <c r="U87" t="str">
        <f>VLOOKUP($A87,Table1[#This Row],COLUMN(U86), FALSE)</f>
        <v>AS10090140</v>
      </c>
      <c r="V87" t="str">
        <f>VLOOKUP($A87,Table1[#This Row],COLUMN(V86), FALSE)</f>
        <v>CA</v>
      </c>
      <c r="W87">
        <f>VLOOKUP($A87,Table1[#This Row],COLUMN(W86), FALSE)</f>
        <v>2014</v>
      </c>
      <c r="X87" t="str">
        <f>VLOOKUP($A87,Table1[#This Row],COLUMN(X86), FALSE)</f>
        <v>AS10090140</v>
      </c>
      <c r="Y87">
        <f>VLOOKUP($A87,Table1[#This Row],COLUMN(Y86), FALSE)</f>
        <v>41762</v>
      </c>
      <c r="Z87" t="str">
        <f>VLOOKUP($A87,Table1[#This Row],COLUMN(Z86), FALSE)</f>
        <v>CA-2014-AS10090140-41762</v>
      </c>
      <c r="AA87">
        <f>VLOOKUP($A87,Table1[#This Row],COLUMN(AA86), FALSE)</f>
        <v>2014</v>
      </c>
      <c r="AB87">
        <f>VLOOKUP($A87,Table1[#This Row],COLUMN(AB86), FALSE)</f>
        <v>5</v>
      </c>
      <c r="AC87">
        <f>VLOOKUP($A87,Table1[#This Row],COLUMN(AC86), FALSE)</f>
        <v>7</v>
      </c>
      <c r="AD87">
        <f>VLOOKUP($A87,Table1[#This Row],COLUMN(AD86), FALSE)</f>
        <v>4</v>
      </c>
    </row>
    <row r="88" spans="1:30" ht="15.75">
      <c r="A88" s="53" t="s">
        <v>690</v>
      </c>
      <c r="B88" s="52">
        <f>VLOOKUP($A88,Table1[#This Row],COLUMN(B87), FALSE)</f>
        <v>41691</v>
      </c>
      <c r="C88" s="52">
        <f>VLOOKUP($A88,Table1[#This Row],COLUMN(C87), FALSE)</f>
        <v>41692</v>
      </c>
      <c r="D88" t="str">
        <f>VLOOKUP($A88,Table1[#This Row],COLUMN(D87), FALSE)</f>
        <v>Pete Kriz</v>
      </c>
      <c r="E88" t="str">
        <f>VLOOKUP($A88,Table1[#This Row],COLUMN(E87), FALSE)</f>
        <v>Australia</v>
      </c>
      <c r="F88" t="str">
        <f>VLOOKUP($A88,Table1[#This Row],COLUMN(F87), FALSE)</f>
        <v>Oceania</v>
      </c>
      <c r="G88" t="str">
        <f>VLOOKUP($A88,Table1[#This Row],COLUMN(G87), FALSE)</f>
        <v>Furniture</v>
      </c>
      <c r="H88" t="str">
        <f>VLOOKUP($A88,Table1[#This Row],COLUMN(H87), FALSE)</f>
        <v>Machines</v>
      </c>
      <c r="I88">
        <f>VLOOKUP($A88,Table1[#This Row],COLUMN(I87), FALSE)</f>
        <v>1809.2550000000001</v>
      </c>
      <c r="J88">
        <f>VLOOKUP($A88,Table1[#This Row],COLUMN(J87), FALSE)</f>
        <v>5</v>
      </c>
      <c r="K88">
        <f>VLOOKUP($A88,Table1[#This Row],COLUMN(K87), FALSE)</f>
        <v>0.3</v>
      </c>
      <c r="L88">
        <f>VLOOKUP($A88,Table1[#This Row],COLUMN(L87), FALSE)</f>
        <v>-258.495</v>
      </c>
      <c r="M88" t="str">
        <f>VLOOKUP($A88,Table1[#This Row],COLUMN(M87), FALSE)</f>
        <v>High</v>
      </c>
      <c r="N88" t="str">
        <f>VLOOKUP($A88,Table1[#This Row],COLUMN(N87), FALSE)</f>
        <v>Normal Order</v>
      </c>
      <c r="O88" t="str">
        <f>VLOOKUP($A88,Table1[#This Row],COLUMN(O87), FALSE)</f>
        <v>Pete Kriz</v>
      </c>
      <c r="P88" t="str">
        <f>VLOOKUP($A88,Table1[#This Row],COLUMN(P87), FALSE)</f>
        <v>ID</v>
      </c>
      <c r="Q88" t="str">
        <f>VLOOKUP($A88,Table1[#This Row],COLUMN(Q87), FALSE)</f>
        <v>2014</v>
      </c>
      <c r="R88" t="str">
        <f>VLOOKUP($A88,Table1[#This Row],COLUMN(R87), FALSE)</f>
        <v>HIGH</v>
      </c>
      <c r="S88" t="str">
        <f>VLOOKUP($A88,Table1[#This Row],COLUMN(S87), FALSE)</f>
        <v>furniture</v>
      </c>
      <c r="T88" t="str">
        <f>VLOOKUP($A88,Table1[#This Row],COLUMN(T87), FALSE)</f>
        <v>41691</v>
      </c>
      <c r="U88" t="str">
        <f>VLOOKUP($A88,Table1[#This Row],COLUMN(U87), FALSE)</f>
        <v>PK190757</v>
      </c>
      <c r="V88" t="str">
        <f>VLOOKUP($A88,Table1[#This Row],COLUMN(V87), FALSE)</f>
        <v>ID</v>
      </c>
      <c r="W88">
        <f>VLOOKUP($A88,Table1[#This Row],COLUMN(W87), FALSE)</f>
        <v>2014</v>
      </c>
      <c r="X88" t="str">
        <f>VLOOKUP($A88,Table1[#This Row],COLUMN(X87), FALSE)</f>
        <v>PK190757</v>
      </c>
      <c r="Y88">
        <f>VLOOKUP($A88,Table1[#This Row],COLUMN(Y87), FALSE)</f>
        <v>41691</v>
      </c>
      <c r="Z88" t="str">
        <f>VLOOKUP($A88,Table1[#This Row],COLUMN(Z87), FALSE)</f>
        <v>ID-2014-PK190757-41691</v>
      </c>
      <c r="AA88">
        <f>VLOOKUP($A88,Table1[#This Row],COLUMN(AA87), FALSE)</f>
        <v>2014</v>
      </c>
      <c r="AB88">
        <f>VLOOKUP($A88,Table1[#This Row],COLUMN(AB87), FALSE)</f>
        <v>2</v>
      </c>
      <c r="AC88">
        <f>VLOOKUP($A88,Table1[#This Row],COLUMN(AC87), FALSE)</f>
        <v>6</v>
      </c>
      <c r="AD88">
        <f>VLOOKUP($A88,Table1[#This Row],COLUMN(AD87), FALSE)</f>
        <v>1</v>
      </c>
    </row>
    <row r="89" spans="1:30" ht="15.75">
      <c r="A89" s="54" t="s">
        <v>693</v>
      </c>
      <c r="B89" s="52">
        <f>VLOOKUP($A89,Table1[#This Row],COLUMN(B88), FALSE)</f>
        <v>41894</v>
      </c>
      <c r="C89" s="52">
        <f>VLOOKUP($A89,Table1[#This Row],COLUMN(C88), FALSE)</f>
        <v>41899</v>
      </c>
      <c r="D89" t="str">
        <f>VLOOKUP($A89,Table1[#This Row],COLUMN(D88), FALSE)</f>
        <v>Adam Shillingsburg</v>
      </c>
      <c r="E89" t="str">
        <f>VLOOKUP($A89,Table1[#This Row],COLUMN(E88), FALSE)</f>
        <v>United States</v>
      </c>
      <c r="F89" t="str">
        <f>VLOOKUP($A89,Table1[#This Row],COLUMN(F88), FALSE)</f>
        <v>Central US</v>
      </c>
      <c r="G89" t="str">
        <f>VLOOKUP($A89,Table1[#This Row],COLUMN(G88), FALSE)</f>
        <v>Office Supplies</v>
      </c>
      <c r="H89" t="str">
        <f>VLOOKUP($A89,Table1[#This Row],COLUMN(H88), FALSE)</f>
        <v>Tables</v>
      </c>
      <c r="I89">
        <f>VLOOKUP($A89,Table1[#This Row],COLUMN(I88), FALSE)</f>
        <v>6</v>
      </c>
      <c r="J89">
        <f>VLOOKUP($A89,Table1[#This Row],COLUMN(J88), FALSE)</f>
        <v>2</v>
      </c>
      <c r="K89">
        <f>VLOOKUP($A89,Table1[#This Row],COLUMN(K88), FALSE)</f>
        <v>0.2</v>
      </c>
      <c r="L89">
        <f>VLOOKUP($A89,Table1[#This Row],COLUMN(L88), FALSE)</f>
        <v>2.0999999999999899</v>
      </c>
      <c r="M89" t="str">
        <f>VLOOKUP($A89,Table1[#This Row],COLUMN(M88), FALSE)</f>
        <v>High</v>
      </c>
      <c r="N89" t="str">
        <f>VLOOKUP($A89,Table1[#This Row],COLUMN(N88), FALSE)</f>
        <v>Normal Order</v>
      </c>
      <c r="O89" t="str">
        <f>VLOOKUP($A89,Table1[#This Row],COLUMN(O88), FALSE)</f>
        <v>Adam Shillingsburg</v>
      </c>
      <c r="P89" t="str">
        <f>VLOOKUP($A89,Table1[#This Row],COLUMN(P88), FALSE)</f>
        <v>CA</v>
      </c>
      <c r="Q89" t="str">
        <f>VLOOKUP($A89,Table1[#This Row],COLUMN(Q88), FALSE)</f>
        <v>2014</v>
      </c>
      <c r="R89" t="str">
        <f>VLOOKUP($A89,Table1[#This Row],COLUMN(R88), FALSE)</f>
        <v>HIGH</v>
      </c>
      <c r="S89" t="str">
        <f>VLOOKUP($A89,Table1[#This Row],COLUMN(S88), FALSE)</f>
        <v>office supplies</v>
      </c>
      <c r="T89" t="str">
        <f>VLOOKUP($A89,Table1[#This Row],COLUMN(T88), FALSE)</f>
        <v>41894</v>
      </c>
      <c r="U89" t="str">
        <f>VLOOKUP($A89,Table1[#This Row],COLUMN(U88), FALSE)</f>
        <v>AS10090140</v>
      </c>
      <c r="V89" t="str">
        <f>VLOOKUP($A89,Table1[#This Row],COLUMN(V88), FALSE)</f>
        <v>CA</v>
      </c>
      <c r="W89">
        <f>VLOOKUP($A89,Table1[#This Row],COLUMN(W88), FALSE)</f>
        <v>2014</v>
      </c>
      <c r="X89" t="str">
        <f>VLOOKUP($A89,Table1[#This Row],COLUMN(X88), FALSE)</f>
        <v>AS10090140</v>
      </c>
      <c r="Y89">
        <f>VLOOKUP($A89,Table1[#This Row],COLUMN(Y88), FALSE)</f>
        <v>41894</v>
      </c>
      <c r="Z89" t="str">
        <f>VLOOKUP($A89,Table1[#This Row],COLUMN(Z88), FALSE)</f>
        <v>CA-2014-AS10090140-41894</v>
      </c>
      <c r="AA89">
        <f>VLOOKUP($A89,Table1[#This Row],COLUMN(AA88), FALSE)</f>
        <v>2014</v>
      </c>
      <c r="AB89">
        <f>VLOOKUP($A89,Table1[#This Row],COLUMN(AB88), FALSE)</f>
        <v>9</v>
      </c>
      <c r="AC89">
        <f>VLOOKUP($A89,Table1[#This Row],COLUMN(AC88), FALSE)</f>
        <v>6</v>
      </c>
      <c r="AD89">
        <f>VLOOKUP($A89,Table1[#This Row],COLUMN(AD88), FALSE)</f>
        <v>5</v>
      </c>
    </row>
    <row r="90" spans="1:30" ht="15.75">
      <c r="A90" s="53" t="s">
        <v>696</v>
      </c>
      <c r="B90" s="52">
        <f>VLOOKUP($A90,Table1[#This Row],COLUMN(B89), FALSE)</f>
        <v>41443</v>
      </c>
      <c r="C90" s="52">
        <f>VLOOKUP($A90,Table1[#This Row],COLUMN(C89), FALSE)</f>
        <v>41445</v>
      </c>
      <c r="D90" t="str">
        <f>VLOOKUP($A90,Table1[#This Row],COLUMN(D89), FALSE)</f>
        <v>Shirley Jackson</v>
      </c>
      <c r="E90" t="str">
        <f>VLOOKUP($A90,Table1[#This Row],COLUMN(E89), FALSE)</f>
        <v>France</v>
      </c>
      <c r="F90" t="str">
        <f>VLOOKUP($A90,Table1[#This Row],COLUMN(F89), FALSE)</f>
        <v>Western Europe</v>
      </c>
      <c r="G90" t="str">
        <f>VLOOKUP($A90,Table1[#This Row],COLUMN(G89), FALSE)</f>
        <v>Furniture</v>
      </c>
      <c r="H90" t="str">
        <f>VLOOKUP($A90,Table1[#This Row],COLUMN(H89), FALSE)</f>
        <v>Phones</v>
      </c>
      <c r="I90">
        <f>VLOOKUP($A90,Table1[#This Row],COLUMN(I89), FALSE)</f>
        <v>2364.1019999999999</v>
      </c>
      <c r="J90">
        <f>VLOOKUP($A90,Table1[#This Row],COLUMN(J89), FALSE)</f>
        <v>4</v>
      </c>
      <c r="K90">
        <f>VLOOKUP($A90,Table1[#This Row],COLUMN(K89), FALSE)</f>
        <v>0.35</v>
      </c>
      <c r="L90">
        <f>VLOOKUP($A90,Table1[#This Row],COLUMN(L89), FALSE)</f>
        <v>-218.29799999999901</v>
      </c>
      <c r="M90" t="str">
        <f>VLOOKUP($A90,Table1[#This Row],COLUMN(M89), FALSE)</f>
        <v>Medium</v>
      </c>
      <c r="N90" t="str">
        <f>VLOOKUP($A90,Table1[#This Row],COLUMN(N89), FALSE)</f>
        <v>Normal Order</v>
      </c>
      <c r="O90" t="str">
        <f>VLOOKUP($A90,Table1[#This Row],COLUMN(O89), FALSE)</f>
        <v>Shirley Jackson</v>
      </c>
      <c r="P90" t="str">
        <f>VLOOKUP($A90,Table1[#This Row],COLUMN(P89), FALSE)</f>
        <v>ES</v>
      </c>
      <c r="Q90" t="str">
        <f>VLOOKUP($A90,Table1[#This Row],COLUMN(Q89), FALSE)</f>
        <v>2013</v>
      </c>
      <c r="R90" t="str">
        <f>VLOOKUP($A90,Table1[#This Row],COLUMN(R89), FALSE)</f>
        <v>MEDIUM</v>
      </c>
      <c r="S90" t="str">
        <f>VLOOKUP($A90,Table1[#This Row],COLUMN(S89), FALSE)</f>
        <v>furniture</v>
      </c>
      <c r="T90" t="str">
        <f>VLOOKUP($A90,Table1[#This Row],COLUMN(T89), FALSE)</f>
        <v>41443</v>
      </c>
      <c r="U90" t="str">
        <f>VLOOKUP($A90,Table1[#This Row],COLUMN(U89), FALSE)</f>
        <v>SJ2050045</v>
      </c>
      <c r="V90" t="str">
        <f>VLOOKUP($A90,Table1[#This Row],COLUMN(V89), FALSE)</f>
        <v>ES</v>
      </c>
      <c r="W90">
        <f>VLOOKUP($A90,Table1[#This Row],COLUMN(W89), FALSE)</f>
        <v>2013</v>
      </c>
      <c r="X90" t="str">
        <f>VLOOKUP($A90,Table1[#This Row],COLUMN(X89), FALSE)</f>
        <v>SJ2050045</v>
      </c>
      <c r="Y90">
        <f>VLOOKUP($A90,Table1[#This Row],COLUMN(Y89), FALSE)</f>
        <v>41443</v>
      </c>
      <c r="Z90" t="str">
        <f>VLOOKUP($A90,Table1[#This Row],COLUMN(Z89), FALSE)</f>
        <v>ES-2013-SJ2050045-41443</v>
      </c>
      <c r="AA90">
        <f>VLOOKUP($A90,Table1[#This Row],COLUMN(AA89), FALSE)</f>
        <v>2013</v>
      </c>
      <c r="AB90">
        <f>VLOOKUP($A90,Table1[#This Row],COLUMN(AB89), FALSE)</f>
        <v>6</v>
      </c>
      <c r="AC90">
        <f>VLOOKUP($A90,Table1[#This Row],COLUMN(AC89), FALSE)</f>
        <v>3</v>
      </c>
      <c r="AD90">
        <f>VLOOKUP($A90,Table1[#This Row],COLUMN(AD89), FALSE)</f>
        <v>2</v>
      </c>
    </row>
    <row r="91" spans="1:30" ht="15.75">
      <c r="A91" s="54" t="s">
        <v>685</v>
      </c>
      <c r="B91" s="52">
        <f>VLOOKUP($A91,Table1[#This Row],COLUMN(B90), FALSE)</f>
        <v>41762</v>
      </c>
      <c r="C91" s="52">
        <f>VLOOKUP($A91,Table1[#This Row],COLUMN(C90), FALSE)</f>
        <v>41766</v>
      </c>
      <c r="D91" t="str">
        <f>VLOOKUP($A91,Table1[#This Row],COLUMN(D90), FALSE)</f>
        <v>Adam Shillingsburg</v>
      </c>
      <c r="E91" t="str">
        <f>VLOOKUP($A91,Table1[#This Row],COLUMN(E90), FALSE)</f>
        <v>United States</v>
      </c>
      <c r="F91" t="str">
        <f>VLOOKUP($A91,Table1[#This Row],COLUMN(F90), FALSE)</f>
        <v>Central US</v>
      </c>
      <c r="G91" t="str">
        <f>VLOOKUP($A91,Table1[#This Row],COLUMN(G90), FALSE)</f>
        <v>Office Supplies</v>
      </c>
      <c r="H91" t="str">
        <f>VLOOKUP($A91,Table1[#This Row],COLUMN(H90), FALSE)</f>
        <v>Copiers</v>
      </c>
      <c r="I91">
        <f>VLOOKUP($A91,Table1[#This Row],COLUMN(I90), FALSE)</f>
        <v>5.04</v>
      </c>
      <c r="J91">
        <f>VLOOKUP($A91,Table1[#This Row],COLUMN(J90), FALSE)</f>
        <v>2</v>
      </c>
      <c r="K91">
        <f>VLOOKUP($A91,Table1[#This Row],COLUMN(K90), FALSE)</f>
        <v>0.2</v>
      </c>
      <c r="L91">
        <f>VLOOKUP($A91,Table1[#This Row],COLUMN(L90), FALSE)</f>
        <v>1.764</v>
      </c>
      <c r="M91" t="str">
        <f>VLOOKUP($A91,Table1[#This Row],COLUMN(M90), FALSE)</f>
        <v>Medium</v>
      </c>
      <c r="N91" t="str">
        <f>VLOOKUP($A91,Table1[#This Row],COLUMN(N90), FALSE)</f>
        <v>Normal Order</v>
      </c>
      <c r="O91" t="str">
        <f>VLOOKUP($A91,Table1[#This Row],COLUMN(O90), FALSE)</f>
        <v>Adam Shillingsburg</v>
      </c>
      <c r="P91" t="str">
        <f>VLOOKUP($A91,Table1[#This Row],COLUMN(P90), FALSE)</f>
        <v>CA</v>
      </c>
      <c r="Q91" t="str">
        <f>VLOOKUP($A91,Table1[#This Row],COLUMN(Q90), FALSE)</f>
        <v>2014</v>
      </c>
      <c r="R91" t="str">
        <f>VLOOKUP($A91,Table1[#This Row],COLUMN(R90), FALSE)</f>
        <v>MEDIUM</v>
      </c>
      <c r="S91" t="str">
        <f>VLOOKUP($A91,Table1[#This Row],COLUMN(S90), FALSE)</f>
        <v>office supplies</v>
      </c>
      <c r="T91" t="str">
        <f>VLOOKUP($A91,Table1[#This Row],COLUMN(T90), FALSE)</f>
        <v>41762</v>
      </c>
      <c r="U91" t="str">
        <f>VLOOKUP($A91,Table1[#This Row],COLUMN(U90), FALSE)</f>
        <v>AS10090140</v>
      </c>
      <c r="V91" t="str">
        <f>VLOOKUP($A91,Table1[#This Row],COLUMN(V90), FALSE)</f>
        <v>CA</v>
      </c>
      <c r="W91">
        <f>VLOOKUP($A91,Table1[#This Row],COLUMN(W90), FALSE)</f>
        <v>2014</v>
      </c>
      <c r="X91" t="str">
        <f>VLOOKUP($A91,Table1[#This Row],COLUMN(X90), FALSE)</f>
        <v>AS10090140</v>
      </c>
      <c r="Y91">
        <f>VLOOKUP($A91,Table1[#This Row],COLUMN(Y90), FALSE)</f>
        <v>41762</v>
      </c>
      <c r="Z91" t="str">
        <f>VLOOKUP($A91,Table1[#This Row],COLUMN(Z90), FALSE)</f>
        <v>CA-2014-AS10090140-41762</v>
      </c>
      <c r="AA91">
        <f>VLOOKUP($A91,Table1[#This Row],COLUMN(AA90), FALSE)</f>
        <v>2014</v>
      </c>
      <c r="AB91">
        <f>VLOOKUP($A91,Table1[#This Row],COLUMN(AB90), FALSE)</f>
        <v>5</v>
      </c>
      <c r="AC91">
        <f>VLOOKUP($A91,Table1[#This Row],COLUMN(AC90), FALSE)</f>
        <v>7</v>
      </c>
      <c r="AD91">
        <f>VLOOKUP($A91,Table1[#This Row],COLUMN(AD90), FALSE)</f>
        <v>4</v>
      </c>
    </row>
    <row r="92" spans="1:30" ht="15.75">
      <c r="A92" s="53" t="s">
        <v>582</v>
      </c>
      <c r="B92" s="52">
        <f>VLOOKUP($A92,Table1[#This Row],COLUMN(B91), FALSE)</f>
        <v>42264</v>
      </c>
      <c r="C92" s="52">
        <f>VLOOKUP($A92,Table1[#This Row],COLUMN(C91), FALSE)</f>
        <v>42266</v>
      </c>
      <c r="D92" t="str">
        <f>VLOOKUP($A92,Table1[#This Row],COLUMN(D91), FALSE)</f>
        <v>Adam Shillingsburg</v>
      </c>
      <c r="E92" t="str">
        <f>VLOOKUP($A92,Table1[#This Row],COLUMN(E91), FALSE)</f>
        <v>United States</v>
      </c>
      <c r="F92" t="str">
        <f>VLOOKUP($A92,Table1[#This Row],COLUMN(F91), FALSE)</f>
        <v>Eastern US</v>
      </c>
      <c r="G92" t="str">
        <f>VLOOKUP($A92,Table1[#This Row],COLUMN(G91), FALSE)</f>
        <v>Office Supplies</v>
      </c>
      <c r="H92" t="str">
        <f>VLOOKUP($A92,Table1[#This Row],COLUMN(H91), FALSE)</f>
        <v>Appliances</v>
      </c>
      <c r="I92">
        <f>VLOOKUP($A92,Table1[#This Row],COLUMN(I91), FALSE)</f>
        <v>3.444</v>
      </c>
      <c r="J92">
        <f>VLOOKUP($A92,Table1[#This Row],COLUMN(J91), FALSE)</f>
        <v>2</v>
      </c>
      <c r="K92">
        <f>VLOOKUP($A92,Table1[#This Row],COLUMN(K91), FALSE)</f>
        <v>0.7</v>
      </c>
      <c r="L92">
        <f>VLOOKUP($A92,Table1[#This Row],COLUMN(L91), FALSE)</f>
        <v>-2.7551999999999901</v>
      </c>
      <c r="M92" t="str">
        <f>VLOOKUP($A92,Table1[#This Row],COLUMN(M91), FALSE)</f>
        <v>Critical</v>
      </c>
      <c r="N92" t="str">
        <f>VLOOKUP($A92,Table1[#This Row],COLUMN(N91), FALSE)</f>
        <v>Normal Order</v>
      </c>
      <c r="O92" t="str">
        <f>VLOOKUP($A92,Table1[#This Row],COLUMN(O91), FALSE)</f>
        <v>Adam Shillingsburg</v>
      </c>
      <c r="P92" t="str">
        <f>VLOOKUP($A92,Table1[#This Row],COLUMN(P91), FALSE)</f>
        <v>CA</v>
      </c>
      <c r="Q92" t="str">
        <f>VLOOKUP($A92,Table1[#This Row],COLUMN(Q91), FALSE)</f>
        <v>2015</v>
      </c>
      <c r="R92" t="str">
        <f>VLOOKUP($A92,Table1[#This Row],COLUMN(R91), FALSE)</f>
        <v>CRITICAL</v>
      </c>
      <c r="S92" t="str">
        <f>VLOOKUP($A92,Table1[#This Row],COLUMN(S91), FALSE)</f>
        <v>office supplies</v>
      </c>
      <c r="T92" t="str">
        <f>VLOOKUP($A92,Table1[#This Row],COLUMN(T91), FALSE)</f>
        <v>42264</v>
      </c>
      <c r="U92" t="str">
        <f>VLOOKUP($A92,Table1[#This Row],COLUMN(U91), FALSE)</f>
        <v>AS10090140</v>
      </c>
      <c r="V92" t="str">
        <f>VLOOKUP($A92,Table1[#This Row],COLUMN(V91), FALSE)</f>
        <v>CA</v>
      </c>
      <c r="W92">
        <f>VLOOKUP($A92,Table1[#This Row],COLUMN(W91), FALSE)</f>
        <v>2015</v>
      </c>
      <c r="X92" t="str">
        <f>VLOOKUP($A92,Table1[#This Row],COLUMN(X91), FALSE)</f>
        <v>AS10090140</v>
      </c>
      <c r="Y92">
        <f>VLOOKUP($A92,Table1[#This Row],COLUMN(Y91), FALSE)</f>
        <v>42264</v>
      </c>
      <c r="Z92" t="str">
        <f>VLOOKUP($A92,Table1[#This Row],COLUMN(Z91), FALSE)</f>
        <v>CA-2015-AS10090140-42264</v>
      </c>
      <c r="AA92">
        <f>VLOOKUP($A92,Table1[#This Row],COLUMN(AA91), FALSE)</f>
        <v>2015</v>
      </c>
      <c r="AB92">
        <f>VLOOKUP($A92,Table1[#This Row],COLUMN(AB91), FALSE)</f>
        <v>9</v>
      </c>
      <c r="AC92">
        <f>VLOOKUP($A92,Table1[#This Row],COLUMN(AC91), FALSE)</f>
        <v>5</v>
      </c>
      <c r="AD92">
        <f>VLOOKUP($A92,Table1[#This Row],COLUMN(AD91), FALSE)</f>
        <v>2</v>
      </c>
    </row>
    <row r="93" spans="1:30" ht="15.75">
      <c r="A93" s="54" t="s">
        <v>586</v>
      </c>
      <c r="B93" s="52">
        <f>VLOOKUP($A93,Table1[#This Row],COLUMN(B92), FALSE)</f>
        <v>41587</v>
      </c>
      <c r="C93" s="52">
        <f>VLOOKUP($A93,Table1[#This Row],COLUMN(C92), FALSE)</f>
        <v>41591</v>
      </c>
      <c r="D93" t="str">
        <f>VLOOKUP($A93,Table1[#This Row],COLUMN(D92), FALSE)</f>
        <v>Adam Shillingsburg</v>
      </c>
      <c r="E93" t="str">
        <f>VLOOKUP($A93,Table1[#This Row],COLUMN(E92), FALSE)</f>
        <v>United States</v>
      </c>
      <c r="F93" t="str">
        <f>VLOOKUP($A93,Table1[#This Row],COLUMN(F92), FALSE)</f>
        <v>Central US</v>
      </c>
      <c r="G93" t="str">
        <f>VLOOKUP($A93,Table1[#This Row],COLUMN(G92), FALSE)</f>
        <v>Office Supplies</v>
      </c>
      <c r="H93" t="str">
        <f>VLOOKUP($A93,Table1[#This Row],COLUMN(H92), FALSE)</f>
        <v>Copiers</v>
      </c>
      <c r="I93">
        <f>VLOOKUP($A93,Table1[#This Row],COLUMN(I92), FALSE)</f>
        <v>17.22</v>
      </c>
      <c r="J93">
        <f>VLOOKUP($A93,Table1[#This Row],COLUMN(J92), FALSE)</f>
        <v>3</v>
      </c>
      <c r="K93">
        <f>VLOOKUP($A93,Table1[#This Row],COLUMN(K92), FALSE)</f>
        <v>0</v>
      </c>
      <c r="L93">
        <f>VLOOKUP($A93,Table1[#This Row],COLUMN(L92), FALSE)</f>
        <v>7.9211999999999998</v>
      </c>
      <c r="M93" t="str">
        <f>VLOOKUP($A93,Table1[#This Row],COLUMN(M92), FALSE)</f>
        <v>Medium</v>
      </c>
      <c r="N93" t="str">
        <f>VLOOKUP($A93,Table1[#This Row],COLUMN(N92), FALSE)</f>
        <v>Normal Order</v>
      </c>
      <c r="O93" t="str">
        <f>VLOOKUP($A93,Table1[#This Row],COLUMN(O92), FALSE)</f>
        <v>Adam Shillingsburg</v>
      </c>
      <c r="P93" t="str">
        <f>VLOOKUP($A93,Table1[#This Row],COLUMN(P92), FALSE)</f>
        <v>CA</v>
      </c>
      <c r="Q93" t="str">
        <f>VLOOKUP($A93,Table1[#This Row],COLUMN(Q92), FALSE)</f>
        <v>2013</v>
      </c>
      <c r="R93" t="str">
        <f>VLOOKUP($A93,Table1[#This Row],COLUMN(R92), FALSE)</f>
        <v>MEDIUM</v>
      </c>
      <c r="S93" t="str">
        <f>VLOOKUP($A93,Table1[#This Row],COLUMN(S92), FALSE)</f>
        <v>office supplies</v>
      </c>
      <c r="T93" t="str">
        <f>VLOOKUP($A93,Table1[#This Row],COLUMN(T92), FALSE)</f>
        <v>41587</v>
      </c>
      <c r="U93" t="str">
        <f>VLOOKUP($A93,Table1[#This Row],COLUMN(U92), FALSE)</f>
        <v>AS10090140</v>
      </c>
      <c r="V93" t="str">
        <f>VLOOKUP($A93,Table1[#This Row],COLUMN(V92), FALSE)</f>
        <v>CA</v>
      </c>
      <c r="W93">
        <f>VLOOKUP($A93,Table1[#This Row],COLUMN(W92), FALSE)</f>
        <v>2013</v>
      </c>
      <c r="X93" t="str">
        <f>VLOOKUP($A93,Table1[#This Row],COLUMN(X92), FALSE)</f>
        <v>AS10090140</v>
      </c>
      <c r="Y93">
        <f>VLOOKUP($A93,Table1[#This Row],COLUMN(Y92), FALSE)</f>
        <v>41587</v>
      </c>
      <c r="Z93" t="str">
        <f>VLOOKUP($A93,Table1[#This Row],COLUMN(Z92), FALSE)</f>
        <v>CA-2013-AS10090140-41587</v>
      </c>
      <c r="AA93">
        <f>VLOOKUP($A93,Table1[#This Row],COLUMN(AA92), FALSE)</f>
        <v>2013</v>
      </c>
      <c r="AB93">
        <f>VLOOKUP($A93,Table1[#This Row],COLUMN(AB92), FALSE)</f>
        <v>11</v>
      </c>
      <c r="AC93">
        <f>VLOOKUP($A93,Table1[#This Row],COLUMN(AC92), FALSE)</f>
        <v>7</v>
      </c>
      <c r="AD93">
        <f>VLOOKUP($A93,Table1[#This Row],COLUMN(AD92), FALSE)</f>
        <v>4</v>
      </c>
    </row>
    <row r="94" spans="1:30" ht="15.75">
      <c r="A94" s="53" t="s">
        <v>717</v>
      </c>
      <c r="B94" s="52">
        <f>VLOOKUP($A94,Table1[#This Row],COLUMN(B93), FALSE)</f>
        <v>41468</v>
      </c>
      <c r="C94" s="52">
        <f>VLOOKUP($A94,Table1[#This Row],COLUMN(C93), FALSE)</f>
        <v>41471</v>
      </c>
      <c r="D94" t="str">
        <f>VLOOKUP($A94,Table1[#This Row],COLUMN(D93), FALSE)</f>
        <v>Barry Gonzalez</v>
      </c>
      <c r="E94" t="str">
        <f>VLOOKUP($A94,Table1[#This Row],COLUMN(E93), FALSE)</f>
        <v>Finland</v>
      </c>
      <c r="F94" t="str">
        <f>VLOOKUP($A94,Table1[#This Row],COLUMN(F93), FALSE)</f>
        <v>Northern Europe</v>
      </c>
      <c r="G94" t="str">
        <f>VLOOKUP($A94,Table1[#This Row],COLUMN(G93), FALSE)</f>
        <v>Technology</v>
      </c>
      <c r="H94" t="str">
        <f>VLOOKUP($A94,Table1[#This Row],COLUMN(H93), FALSE)</f>
        <v>Tables</v>
      </c>
      <c r="I94">
        <f>VLOOKUP($A94,Table1[#This Row],COLUMN(I93), FALSE)</f>
        <v>1245</v>
      </c>
      <c r="J94">
        <f>VLOOKUP($A94,Table1[#This Row],COLUMN(J93), FALSE)</f>
        <v>4</v>
      </c>
      <c r="K94">
        <f>VLOOKUP($A94,Table1[#This Row],COLUMN(K93), FALSE)</f>
        <v>0</v>
      </c>
      <c r="L94">
        <f>VLOOKUP($A94,Table1[#This Row],COLUMN(L93), FALSE)</f>
        <v>161.76</v>
      </c>
      <c r="M94" t="str">
        <f>VLOOKUP($A94,Table1[#This Row],COLUMN(M93), FALSE)</f>
        <v>Critical</v>
      </c>
      <c r="N94" t="str">
        <f>VLOOKUP($A94,Table1[#This Row],COLUMN(N93), FALSE)</f>
        <v>Normal Order</v>
      </c>
      <c r="O94" t="str">
        <f>VLOOKUP($A94,Table1[#This Row],COLUMN(O93), FALSE)</f>
        <v>Barry Gonzalez</v>
      </c>
      <c r="P94" t="str">
        <f>VLOOKUP($A94,Table1[#This Row],COLUMN(P93), FALSE)</f>
        <v>ES</v>
      </c>
      <c r="Q94" t="str">
        <f>VLOOKUP($A94,Table1[#This Row],COLUMN(Q93), FALSE)</f>
        <v>2013</v>
      </c>
      <c r="R94" t="str">
        <f>VLOOKUP($A94,Table1[#This Row],COLUMN(R93), FALSE)</f>
        <v>CRITICAL</v>
      </c>
      <c r="S94" t="str">
        <f>VLOOKUP($A94,Table1[#This Row],COLUMN(S93), FALSE)</f>
        <v>technology</v>
      </c>
      <c r="T94" t="str">
        <f>VLOOKUP($A94,Table1[#This Row],COLUMN(T93), FALSE)</f>
        <v>41468</v>
      </c>
      <c r="U94" t="str">
        <f>VLOOKUP($A94,Table1[#This Row],COLUMN(U93), FALSE)</f>
        <v>BG1103544</v>
      </c>
      <c r="V94" t="str">
        <f>VLOOKUP($A94,Table1[#This Row],COLUMN(V93), FALSE)</f>
        <v>ES</v>
      </c>
      <c r="W94">
        <f>VLOOKUP($A94,Table1[#This Row],COLUMN(W93), FALSE)</f>
        <v>2013</v>
      </c>
      <c r="X94" t="str">
        <f>VLOOKUP($A94,Table1[#This Row],COLUMN(X93), FALSE)</f>
        <v>BG1103544</v>
      </c>
      <c r="Y94">
        <f>VLOOKUP($A94,Table1[#This Row],COLUMN(Y93), FALSE)</f>
        <v>41468</v>
      </c>
      <c r="Z94" t="str">
        <f>VLOOKUP($A94,Table1[#This Row],COLUMN(Z93), FALSE)</f>
        <v>ES-2013-BG1103544-41468</v>
      </c>
      <c r="AA94">
        <f>VLOOKUP($A94,Table1[#This Row],COLUMN(AA93), FALSE)</f>
        <v>2013</v>
      </c>
      <c r="AB94">
        <f>VLOOKUP($A94,Table1[#This Row],COLUMN(AB93), FALSE)</f>
        <v>7</v>
      </c>
      <c r="AC94">
        <f>VLOOKUP($A94,Table1[#This Row],COLUMN(AC93), FALSE)</f>
        <v>7</v>
      </c>
      <c r="AD94">
        <f>VLOOKUP($A94,Table1[#This Row],COLUMN(AD93), FALSE)</f>
        <v>3</v>
      </c>
    </row>
    <row r="95" spans="1:30" ht="15.75">
      <c r="A95" s="54" t="s">
        <v>725</v>
      </c>
      <c r="B95" s="52">
        <f>VLOOKUP($A95,Table1[#This Row],COLUMN(B94), FALSE)</f>
        <v>42335</v>
      </c>
      <c r="C95" s="52">
        <f>VLOOKUP($A95,Table1[#This Row],COLUMN(C94), FALSE)</f>
        <v>42337</v>
      </c>
      <c r="D95" t="str">
        <f>VLOOKUP($A95,Table1[#This Row],COLUMN(D94), FALSE)</f>
        <v>Helen Wasserman</v>
      </c>
      <c r="E95" t="str">
        <f>VLOOKUP($A95,Table1[#This Row],COLUMN(E94), FALSE)</f>
        <v>France</v>
      </c>
      <c r="F95" t="str">
        <f>VLOOKUP($A95,Table1[#This Row],COLUMN(F94), FALSE)</f>
        <v>Western Europe</v>
      </c>
      <c r="G95" t="str">
        <f>VLOOKUP($A95,Table1[#This Row],COLUMN(G94), FALSE)</f>
        <v>Furniture</v>
      </c>
      <c r="H95" t="str">
        <f>VLOOKUP($A95,Table1[#This Row],COLUMN(H94), FALSE)</f>
        <v>Copiers</v>
      </c>
      <c r="I95">
        <f>VLOOKUP($A95,Table1[#This Row],COLUMN(I94), FALSE)</f>
        <v>676.48500000000001</v>
      </c>
      <c r="J95">
        <f>VLOOKUP($A95,Table1[#This Row],COLUMN(J94), FALSE)</f>
        <v>5</v>
      </c>
      <c r="K95">
        <f>VLOOKUP($A95,Table1[#This Row],COLUMN(K94), FALSE)</f>
        <v>0.1</v>
      </c>
      <c r="L95">
        <f>VLOOKUP($A95,Table1[#This Row],COLUMN(L94), FALSE)</f>
        <v>195.285</v>
      </c>
      <c r="M95" t="str">
        <f>VLOOKUP($A95,Table1[#This Row],COLUMN(M94), FALSE)</f>
        <v>Critical</v>
      </c>
      <c r="N95" t="str">
        <f>VLOOKUP($A95,Table1[#This Row],COLUMN(N94), FALSE)</f>
        <v>Normal Order</v>
      </c>
      <c r="O95" t="str">
        <f>VLOOKUP($A95,Table1[#This Row],COLUMN(O94), FALSE)</f>
        <v>Helen Wasserman</v>
      </c>
      <c r="P95" t="str">
        <f>VLOOKUP($A95,Table1[#This Row],COLUMN(P94), FALSE)</f>
        <v>ES</v>
      </c>
      <c r="Q95" t="str">
        <f>VLOOKUP($A95,Table1[#This Row],COLUMN(Q94), FALSE)</f>
        <v>2015</v>
      </c>
      <c r="R95" t="str">
        <f>VLOOKUP($A95,Table1[#This Row],COLUMN(R94), FALSE)</f>
        <v>CRITICAL</v>
      </c>
      <c r="S95" t="str">
        <f>VLOOKUP($A95,Table1[#This Row],COLUMN(S94), FALSE)</f>
        <v>furniture</v>
      </c>
      <c r="T95" t="str">
        <f>VLOOKUP($A95,Table1[#This Row],COLUMN(T94), FALSE)</f>
        <v>42335</v>
      </c>
      <c r="U95" t="str">
        <f>VLOOKUP($A95,Table1[#This Row],COLUMN(U94), FALSE)</f>
        <v>HW1493545</v>
      </c>
      <c r="V95" t="str">
        <f>VLOOKUP($A95,Table1[#This Row],COLUMN(V94), FALSE)</f>
        <v>ES</v>
      </c>
      <c r="W95">
        <f>VLOOKUP($A95,Table1[#This Row],COLUMN(W94), FALSE)</f>
        <v>2015</v>
      </c>
      <c r="X95" t="str">
        <f>VLOOKUP($A95,Table1[#This Row],COLUMN(X94), FALSE)</f>
        <v>HW1493545</v>
      </c>
      <c r="Y95">
        <f>VLOOKUP($A95,Table1[#This Row],COLUMN(Y94), FALSE)</f>
        <v>42335</v>
      </c>
      <c r="Z95" t="str">
        <f>VLOOKUP($A95,Table1[#This Row],COLUMN(Z94), FALSE)</f>
        <v>ES-2015-HW1493545-42335</v>
      </c>
      <c r="AA95">
        <f>VLOOKUP($A95,Table1[#This Row],COLUMN(AA94), FALSE)</f>
        <v>2015</v>
      </c>
      <c r="AB95">
        <f>VLOOKUP($A95,Table1[#This Row],COLUMN(AB94), FALSE)</f>
        <v>11</v>
      </c>
      <c r="AC95">
        <f>VLOOKUP($A95,Table1[#This Row],COLUMN(AC94), FALSE)</f>
        <v>6</v>
      </c>
      <c r="AD95">
        <f>VLOOKUP($A95,Table1[#This Row],COLUMN(AD94), FALSE)</f>
        <v>2</v>
      </c>
    </row>
    <row r="96" spans="1:30" ht="15.75">
      <c r="A96" s="53" t="s">
        <v>736</v>
      </c>
      <c r="B96" s="52">
        <f>VLOOKUP($A96,Table1[#This Row],COLUMN(B95), FALSE)</f>
        <v>41996</v>
      </c>
      <c r="C96" s="52">
        <f>VLOOKUP($A96,Table1[#This Row],COLUMN(C95), FALSE)</f>
        <v>41998</v>
      </c>
      <c r="D96" t="str">
        <f>VLOOKUP($A96,Table1[#This Row],COLUMN(D95), FALSE)</f>
        <v>Vivek Grady</v>
      </c>
      <c r="E96" t="str">
        <f>VLOOKUP($A96,Table1[#This Row],COLUMN(E95), FALSE)</f>
        <v>china</v>
      </c>
      <c r="F96" t="str">
        <f>VLOOKUP($A96,Table1[#This Row],COLUMN(F95), FALSE)</f>
        <v>Eastern Asia</v>
      </c>
      <c r="G96" t="str">
        <f>VLOOKUP($A96,Table1[#This Row],COLUMN(G95), FALSE)</f>
        <v>Furniture</v>
      </c>
      <c r="H96" t="str">
        <f>VLOOKUP($A96,Table1[#This Row],COLUMN(H95), FALSE)</f>
        <v>Copiers</v>
      </c>
      <c r="I96">
        <f>VLOOKUP($A96,Table1[#This Row],COLUMN(I95), FALSE)</f>
        <v>731.34</v>
      </c>
      <c r="J96">
        <f>VLOOKUP($A96,Table1[#This Row],COLUMN(J95), FALSE)</f>
        <v>2</v>
      </c>
      <c r="K96">
        <f>VLOOKUP($A96,Table1[#This Row],COLUMN(K95), FALSE)</f>
        <v>0</v>
      </c>
      <c r="L96">
        <f>VLOOKUP($A96,Table1[#This Row],COLUMN(L95), FALSE)</f>
        <v>175.5</v>
      </c>
      <c r="M96" t="str">
        <f>VLOOKUP($A96,Table1[#This Row],COLUMN(M95), FALSE)</f>
        <v>Critical</v>
      </c>
      <c r="N96" t="str">
        <f>VLOOKUP($A96,Table1[#This Row],COLUMN(N95), FALSE)</f>
        <v>Normal Order</v>
      </c>
      <c r="O96" t="str">
        <f>VLOOKUP($A96,Table1[#This Row],COLUMN(O95), FALSE)</f>
        <v>Vivek Grady</v>
      </c>
      <c r="P96" t="str">
        <f>VLOOKUP($A96,Table1[#This Row],COLUMN(P95), FALSE)</f>
        <v>IN</v>
      </c>
      <c r="Q96" t="str">
        <f>VLOOKUP($A96,Table1[#This Row],COLUMN(Q95), FALSE)</f>
        <v>2014</v>
      </c>
      <c r="R96" t="str">
        <f>VLOOKUP($A96,Table1[#This Row],COLUMN(R95), FALSE)</f>
        <v>CRITICAL</v>
      </c>
      <c r="S96" t="str">
        <f>VLOOKUP($A96,Table1[#This Row],COLUMN(S95), FALSE)</f>
        <v>furniture</v>
      </c>
      <c r="T96" t="str">
        <f>VLOOKUP($A96,Table1[#This Row],COLUMN(T95), FALSE)</f>
        <v>41996</v>
      </c>
      <c r="U96" t="str">
        <f>VLOOKUP($A96,Table1[#This Row],COLUMN(U95), FALSE)</f>
        <v>VG2180527</v>
      </c>
      <c r="V96" t="str">
        <f>VLOOKUP($A96,Table1[#This Row],COLUMN(V95), FALSE)</f>
        <v>IN</v>
      </c>
      <c r="W96">
        <f>VLOOKUP($A96,Table1[#This Row],COLUMN(W95), FALSE)</f>
        <v>2014</v>
      </c>
      <c r="X96" t="str">
        <f>VLOOKUP($A96,Table1[#This Row],COLUMN(X95), FALSE)</f>
        <v>VG2180527</v>
      </c>
      <c r="Y96">
        <f>VLOOKUP($A96,Table1[#This Row],COLUMN(Y95), FALSE)</f>
        <v>41996</v>
      </c>
      <c r="Z96" t="str">
        <f>VLOOKUP($A96,Table1[#This Row],COLUMN(Z95), FALSE)</f>
        <v>IN-2014-VG2180527-41996</v>
      </c>
      <c r="AA96">
        <f>VLOOKUP($A96,Table1[#This Row],COLUMN(AA95), FALSE)</f>
        <v>2014</v>
      </c>
      <c r="AB96">
        <f>VLOOKUP($A96,Table1[#This Row],COLUMN(AB95), FALSE)</f>
        <v>12</v>
      </c>
      <c r="AC96">
        <f>VLOOKUP($A96,Table1[#This Row],COLUMN(AC95), FALSE)</f>
        <v>3</v>
      </c>
      <c r="AD96">
        <f>VLOOKUP($A96,Table1[#This Row],COLUMN(AD95), FALSE)</f>
        <v>2</v>
      </c>
    </row>
    <row r="97" spans="1:30" ht="15.75">
      <c r="A97" s="54" t="s">
        <v>738</v>
      </c>
      <c r="B97" s="52">
        <f>VLOOKUP($A97,Table1[#This Row],COLUMN(B96), FALSE)</f>
        <v>42172</v>
      </c>
      <c r="C97" s="52">
        <f>VLOOKUP($A97,Table1[#This Row],COLUMN(C96), FALSE)</f>
        <v>42174</v>
      </c>
      <c r="D97" t="str">
        <f>VLOOKUP($A97,Table1[#This Row],COLUMN(D96), FALSE)</f>
        <v>Julia Dunbar</v>
      </c>
      <c r="E97" t="str">
        <f>VLOOKUP($A97,Table1[#This Row],COLUMN(E96), FALSE)</f>
        <v>Ghana</v>
      </c>
      <c r="F97" t="str">
        <f>VLOOKUP($A97,Table1[#This Row],COLUMN(F96), FALSE)</f>
        <v>Western Africa</v>
      </c>
      <c r="G97" t="str">
        <f>VLOOKUP($A97,Table1[#This Row],COLUMN(G96), FALSE)</f>
        <v>Office Supplies</v>
      </c>
      <c r="H97" t="str">
        <f>VLOOKUP($A97,Table1[#This Row],COLUMN(H96), FALSE)</f>
        <v>Chairs</v>
      </c>
      <c r="I97">
        <f>VLOOKUP($A97,Table1[#This Row],COLUMN(I96), FALSE)</f>
        <v>1239</v>
      </c>
      <c r="J97">
        <f>VLOOKUP($A97,Table1[#This Row],COLUMN(J96), FALSE)</f>
        <v>4</v>
      </c>
      <c r="K97">
        <f>VLOOKUP($A97,Table1[#This Row],COLUMN(K96), FALSE)</f>
        <v>0</v>
      </c>
      <c r="L97">
        <f>VLOOKUP($A97,Table1[#This Row],COLUMN(L96), FALSE)</f>
        <v>0</v>
      </c>
      <c r="M97" t="str">
        <f>VLOOKUP($A97,Table1[#This Row],COLUMN(M96), FALSE)</f>
        <v>Critical</v>
      </c>
      <c r="N97" t="str">
        <f>VLOOKUP($A97,Table1[#This Row],COLUMN(N96), FALSE)</f>
        <v>Normal Order</v>
      </c>
      <c r="O97" t="str">
        <f>VLOOKUP($A97,Table1[#This Row],COLUMN(O96), FALSE)</f>
        <v>Julia Dunbar</v>
      </c>
      <c r="P97" t="str">
        <f>VLOOKUP($A97,Table1[#This Row],COLUMN(P96), FALSE)</f>
        <v>GH</v>
      </c>
      <c r="Q97" t="str">
        <f>VLOOKUP($A97,Table1[#This Row],COLUMN(Q96), FALSE)</f>
        <v>2015</v>
      </c>
      <c r="R97" t="str">
        <f>VLOOKUP($A97,Table1[#This Row],COLUMN(R96), FALSE)</f>
        <v>CRITICAL</v>
      </c>
      <c r="S97" t="str">
        <f>VLOOKUP($A97,Table1[#This Row],COLUMN(S96), FALSE)</f>
        <v>office supplies</v>
      </c>
      <c r="T97" t="str">
        <f>VLOOKUP($A97,Table1[#This Row],COLUMN(T96), FALSE)</f>
        <v>42172</v>
      </c>
      <c r="U97" t="str">
        <f>VLOOKUP($A97,Table1[#This Row],COLUMN(U96), FALSE)</f>
        <v>JD606049</v>
      </c>
      <c r="V97" t="str">
        <f>VLOOKUP($A97,Table1[#This Row],COLUMN(V96), FALSE)</f>
        <v>GH</v>
      </c>
      <c r="W97">
        <f>VLOOKUP($A97,Table1[#This Row],COLUMN(W96), FALSE)</f>
        <v>2015</v>
      </c>
      <c r="X97" t="str">
        <f>VLOOKUP($A97,Table1[#This Row],COLUMN(X96), FALSE)</f>
        <v>JD606049</v>
      </c>
      <c r="Y97">
        <f>VLOOKUP($A97,Table1[#This Row],COLUMN(Y96), FALSE)</f>
        <v>42172</v>
      </c>
      <c r="Z97" t="str">
        <f>VLOOKUP($A97,Table1[#This Row],COLUMN(Z96), FALSE)</f>
        <v>GH-2015-JD606049-42172</v>
      </c>
      <c r="AA97">
        <f>VLOOKUP($A97,Table1[#This Row],COLUMN(AA96), FALSE)</f>
        <v>2015</v>
      </c>
      <c r="AB97">
        <f>VLOOKUP($A97,Table1[#This Row],COLUMN(AB96), FALSE)</f>
        <v>6</v>
      </c>
      <c r="AC97">
        <f>VLOOKUP($A97,Table1[#This Row],COLUMN(AC96), FALSE)</f>
        <v>4</v>
      </c>
      <c r="AD97">
        <f>VLOOKUP($A97,Table1[#This Row],COLUMN(AD96), FALSE)</f>
        <v>2</v>
      </c>
    </row>
    <row r="98" spans="1:30" ht="15.75">
      <c r="A98" s="53" t="s">
        <v>740</v>
      </c>
      <c r="B98" s="52">
        <f>VLOOKUP($A98,Table1[#This Row],COLUMN(B97), FALSE)</f>
        <v>42078</v>
      </c>
      <c r="C98" s="52">
        <f>VLOOKUP($A98,Table1[#This Row],COLUMN(C97), FALSE)</f>
        <v>42080</v>
      </c>
      <c r="D98" t="str">
        <f>VLOOKUP($A98,Table1[#This Row],COLUMN(D97), FALSE)</f>
        <v>Maureen Gastineau</v>
      </c>
      <c r="E98" t="str">
        <f>VLOOKUP($A98,Table1[#This Row],COLUMN(E97), FALSE)</f>
        <v>Vietnam</v>
      </c>
      <c r="F98" t="str">
        <f>VLOOKUP($A98,Table1[#This Row],COLUMN(F97), FALSE)</f>
        <v>Southeastern Asia</v>
      </c>
      <c r="G98" t="str">
        <f>VLOOKUP($A98,Table1[#This Row],COLUMN(G97), FALSE)</f>
        <v>Furniture</v>
      </c>
      <c r="H98" t="str">
        <f>VLOOKUP($A98,Table1[#This Row],COLUMN(H97), FALSE)</f>
        <v>Bookcases</v>
      </c>
      <c r="I98">
        <f>VLOOKUP($A98,Table1[#This Row],COLUMN(I97), FALSE)</f>
        <v>1680.60599999999</v>
      </c>
      <c r="J98">
        <f>VLOOKUP($A98,Table1[#This Row],COLUMN(J97), FALSE)</f>
        <v>5</v>
      </c>
      <c r="K98">
        <f>VLOOKUP($A98,Table1[#This Row],COLUMN(K97), FALSE)</f>
        <v>0.27</v>
      </c>
      <c r="L98">
        <f>VLOOKUP($A98,Table1[#This Row],COLUMN(L97), FALSE)</f>
        <v>368.25599999999997</v>
      </c>
      <c r="M98" t="str">
        <f>VLOOKUP($A98,Table1[#This Row],COLUMN(M97), FALSE)</f>
        <v>High</v>
      </c>
      <c r="N98" t="str">
        <f>VLOOKUP($A98,Table1[#This Row],COLUMN(N97), FALSE)</f>
        <v>Normal Order</v>
      </c>
      <c r="O98" t="str">
        <f>VLOOKUP($A98,Table1[#This Row],COLUMN(O97), FALSE)</f>
        <v>Maureen Gastineau</v>
      </c>
      <c r="P98" t="str">
        <f>VLOOKUP($A98,Table1[#This Row],COLUMN(P97), FALSE)</f>
        <v>ID</v>
      </c>
      <c r="Q98" t="str">
        <f>VLOOKUP($A98,Table1[#This Row],COLUMN(Q97), FALSE)</f>
        <v>2015</v>
      </c>
      <c r="R98" t="str">
        <f>VLOOKUP($A98,Table1[#This Row],COLUMN(R97), FALSE)</f>
        <v>HIGH</v>
      </c>
      <c r="S98" t="str">
        <f>VLOOKUP($A98,Table1[#This Row],COLUMN(S97), FALSE)</f>
        <v>furniture</v>
      </c>
      <c r="T98" t="str">
        <f>VLOOKUP($A98,Table1[#This Row],COLUMN(T97), FALSE)</f>
        <v>42078</v>
      </c>
      <c r="U98" t="str">
        <f>VLOOKUP($A98,Table1[#This Row],COLUMN(U97), FALSE)</f>
        <v>MG17680144</v>
      </c>
      <c r="V98" t="str">
        <f>VLOOKUP($A98,Table1[#This Row],COLUMN(V97), FALSE)</f>
        <v>ID</v>
      </c>
      <c r="W98">
        <f>VLOOKUP($A98,Table1[#This Row],COLUMN(W97), FALSE)</f>
        <v>2015</v>
      </c>
      <c r="X98" t="str">
        <f>VLOOKUP($A98,Table1[#This Row],COLUMN(X97), FALSE)</f>
        <v>MG17680144</v>
      </c>
      <c r="Y98">
        <f>VLOOKUP($A98,Table1[#This Row],COLUMN(Y97), FALSE)</f>
        <v>42078</v>
      </c>
      <c r="Z98" t="str">
        <f>VLOOKUP($A98,Table1[#This Row],COLUMN(Z97), FALSE)</f>
        <v>ID-2015-MG17680144-42078</v>
      </c>
      <c r="AA98">
        <f>VLOOKUP($A98,Table1[#This Row],COLUMN(AA97), FALSE)</f>
        <v>2015</v>
      </c>
      <c r="AB98">
        <f>VLOOKUP($A98,Table1[#This Row],COLUMN(AB97), FALSE)</f>
        <v>3</v>
      </c>
      <c r="AC98">
        <f>VLOOKUP($A98,Table1[#This Row],COLUMN(AC97), FALSE)</f>
        <v>1</v>
      </c>
      <c r="AD98">
        <f>VLOOKUP($A98,Table1[#This Row],COLUMN(AD97), FALSE)</f>
        <v>2</v>
      </c>
    </row>
    <row r="99" spans="1:30" ht="15.75">
      <c r="A99" s="54" t="s">
        <v>743</v>
      </c>
      <c r="B99" s="52">
        <f>VLOOKUP($A99,Table1[#This Row],COLUMN(B98), FALSE)</f>
        <v>42197</v>
      </c>
      <c r="C99" s="52">
        <f>VLOOKUP($A99,Table1[#This Row],COLUMN(C98), FALSE)</f>
        <v>42198</v>
      </c>
      <c r="D99" t="str">
        <f>VLOOKUP($A99,Table1[#This Row],COLUMN(D98), FALSE)</f>
        <v>Christina DeMoss</v>
      </c>
      <c r="E99" t="str">
        <f>VLOOKUP($A99,Table1[#This Row],COLUMN(E98), FALSE)</f>
        <v>India</v>
      </c>
      <c r="F99" t="str">
        <f>VLOOKUP($A99,Table1[#This Row],COLUMN(F98), FALSE)</f>
        <v>Southern Asia</v>
      </c>
      <c r="G99" t="str">
        <f>VLOOKUP($A99,Table1[#This Row],COLUMN(G98), FALSE)</f>
        <v>Furniture</v>
      </c>
      <c r="H99" t="str">
        <f>VLOOKUP($A99,Table1[#This Row],COLUMN(H98), FALSE)</f>
        <v>Appliances</v>
      </c>
      <c r="I99">
        <f>VLOOKUP($A99,Table1[#This Row],COLUMN(I98), FALSE)</f>
        <v>2190.75</v>
      </c>
      <c r="J99">
        <f>VLOOKUP($A99,Table1[#This Row],COLUMN(J98), FALSE)</f>
        <v>5</v>
      </c>
      <c r="K99">
        <f>VLOOKUP($A99,Table1[#This Row],COLUMN(K98), FALSE)</f>
        <v>0</v>
      </c>
      <c r="L99">
        <f>VLOOKUP($A99,Table1[#This Row],COLUMN(L98), FALSE)</f>
        <v>65.7</v>
      </c>
      <c r="M99" t="str">
        <f>VLOOKUP($A99,Table1[#This Row],COLUMN(M98), FALSE)</f>
        <v>Medium</v>
      </c>
      <c r="N99" t="str">
        <f>VLOOKUP($A99,Table1[#This Row],COLUMN(N98), FALSE)</f>
        <v>Normal Order</v>
      </c>
      <c r="O99" t="str">
        <f>VLOOKUP($A99,Table1[#This Row],COLUMN(O98), FALSE)</f>
        <v>Christina Demoss</v>
      </c>
      <c r="P99" t="str">
        <f>VLOOKUP($A99,Table1[#This Row],COLUMN(P98), FALSE)</f>
        <v>IN</v>
      </c>
      <c r="Q99" t="str">
        <f>VLOOKUP($A99,Table1[#This Row],COLUMN(Q98), FALSE)</f>
        <v>2015</v>
      </c>
      <c r="R99" t="str">
        <f>VLOOKUP($A99,Table1[#This Row],COLUMN(R98), FALSE)</f>
        <v>MEDIUM</v>
      </c>
      <c r="S99" t="str">
        <f>VLOOKUP($A99,Table1[#This Row],COLUMN(S98), FALSE)</f>
        <v>furniture</v>
      </c>
      <c r="T99" t="str">
        <f>VLOOKUP($A99,Table1[#This Row],COLUMN(T98), FALSE)</f>
        <v>42197</v>
      </c>
      <c r="U99" t="str">
        <f>VLOOKUP($A99,Table1[#This Row],COLUMN(U98), FALSE)</f>
        <v>CD1228058</v>
      </c>
      <c r="V99" t="str">
        <f>VLOOKUP($A99,Table1[#This Row],COLUMN(V98), FALSE)</f>
        <v>IN</v>
      </c>
      <c r="W99">
        <f>VLOOKUP($A99,Table1[#This Row],COLUMN(W98), FALSE)</f>
        <v>2015</v>
      </c>
      <c r="X99" t="str">
        <f>VLOOKUP($A99,Table1[#This Row],COLUMN(X98), FALSE)</f>
        <v>CD1228058</v>
      </c>
      <c r="Y99">
        <f>VLOOKUP($A99,Table1[#This Row],COLUMN(Y98), FALSE)</f>
        <v>42197</v>
      </c>
      <c r="Z99" t="str">
        <f>VLOOKUP($A99,Table1[#This Row],COLUMN(Z98), FALSE)</f>
        <v>IN-2015-CD1228058-42197</v>
      </c>
      <c r="AA99">
        <f>VLOOKUP($A99,Table1[#This Row],COLUMN(AA98), FALSE)</f>
        <v>2015</v>
      </c>
      <c r="AB99">
        <f>VLOOKUP($A99,Table1[#This Row],COLUMN(AB98), FALSE)</f>
        <v>7</v>
      </c>
      <c r="AC99">
        <f>VLOOKUP($A99,Table1[#This Row],COLUMN(AC98), FALSE)</f>
        <v>1</v>
      </c>
      <c r="AD99">
        <f>VLOOKUP($A99,Table1[#This Row],COLUMN(AD98), FALSE)</f>
        <v>1</v>
      </c>
    </row>
    <row r="100" spans="1:30" ht="15.75">
      <c r="A100" s="53" t="s">
        <v>750</v>
      </c>
      <c r="B100" s="52">
        <f>VLOOKUP($A100,Table1[#This Row],COLUMN(B99), FALSE)</f>
        <v>41633</v>
      </c>
      <c r="C100" s="52">
        <f>VLOOKUP($A100,Table1[#This Row],COLUMN(C99), FALSE)</f>
        <v>41636</v>
      </c>
      <c r="D100" t="str">
        <f>VLOOKUP($A100,Table1[#This Row],COLUMN(D99), FALSE)</f>
        <v>Brad Norvell</v>
      </c>
      <c r="E100" t="str">
        <f>VLOOKUP($A100,Table1[#This Row],COLUMN(E99), FALSE)</f>
        <v>Thailand</v>
      </c>
      <c r="F100" t="str">
        <f>VLOOKUP($A100,Table1[#This Row],COLUMN(F99), FALSE)</f>
        <v>Southeastern Asia</v>
      </c>
      <c r="G100" t="str">
        <f>VLOOKUP($A100,Table1[#This Row],COLUMN(G99), FALSE)</f>
        <v>Technology</v>
      </c>
      <c r="H100" t="str">
        <f>VLOOKUP($A100,Table1[#This Row],COLUMN(H99), FALSE)</f>
        <v>Storage</v>
      </c>
      <c r="I100">
        <f>VLOOKUP($A100,Table1[#This Row],COLUMN(I99), FALSE)</f>
        <v>2667.5369999999998</v>
      </c>
      <c r="J100">
        <f>VLOOKUP($A100,Table1[#This Row],COLUMN(J99), FALSE)</f>
        <v>5</v>
      </c>
      <c r="K100">
        <f>VLOOKUP($A100,Table1[#This Row],COLUMN(K99), FALSE)</f>
        <v>0.17</v>
      </c>
      <c r="L100">
        <f>VLOOKUP($A100,Table1[#This Row],COLUMN(L99), FALSE)</f>
        <v>-417.81299999999902</v>
      </c>
      <c r="M100" t="str">
        <f>VLOOKUP($A100,Table1[#This Row],COLUMN(M99), FALSE)</f>
        <v>Medium</v>
      </c>
      <c r="N100" t="str">
        <f>VLOOKUP($A100,Table1[#This Row],COLUMN(N99), FALSE)</f>
        <v>Normal Order</v>
      </c>
      <c r="O100" t="str">
        <f>VLOOKUP($A100,Table1[#This Row],COLUMN(O99), FALSE)</f>
        <v>Brad Norvell</v>
      </c>
      <c r="P100" t="str">
        <f>VLOOKUP($A100,Table1[#This Row],COLUMN(P99), FALSE)</f>
        <v>ID</v>
      </c>
      <c r="Q100" t="str">
        <f>VLOOKUP($A100,Table1[#This Row],COLUMN(Q99), FALSE)</f>
        <v>2013</v>
      </c>
      <c r="R100" t="str">
        <f>VLOOKUP($A100,Table1[#This Row],COLUMN(R99), FALSE)</f>
        <v>MEDIUM</v>
      </c>
      <c r="S100" t="str">
        <f>VLOOKUP($A100,Table1[#This Row],COLUMN(S99), FALSE)</f>
        <v>technology</v>
      </c>
      <c r="T100" t="str">
        <f>VLOOKUP($A100,Table1[#This Row],COLUMN(T99), FALSE)</f>
        <v>41633</v>
      </c>
      <c r="U100" t="str">
        <f>VLOOKUP($A100,Table1[#This Row],COLUMN(U99), FALSE)</f>
        <v>BN11470130</v>
      </c>
      <c r="V100" t="str">
        <f>VLOOKUP($A100,Table1[#This Row],COLUMN(V99), FALSE)</f>
        <v>ID</v>
      </c>
      <c r="W100">
        <f>VLOOKUP($A100,Table1[#This Row],COLUMN(W99), FALSE)</f>
        <v>2013</v>
      </c>
      <c r="X100" t="str">
        <f>VLOOKUP($A100,Table1[#This Row],COLUMN(X99), FALSE)</f>
        <v>BN11470130</v>
      </c>
      <c r="Y100">
        <f>VLOOKUP($A100,Table1[#This Row],COLUMN(Y99), FALSE)</f>
        <v>41633</v>
      </c>
      <c r="Z100" t="str">
        <f>VLOOKUP($A100,Table1[#This Row],COLUMN(Z99), FALSE)</f>
        <v>ID-2013-BN11470130-41633</v>
      </c>
      <c r="AA100">
        <f>VLOOKUP($A100,Table1[#This Row],COLUMN(AA99), FALSE)</f>
        <v>2013</v>
      </c>
      <c r="AB100">
        <f>VLOOKUP($A100,Table1[#This Row],COLUMN(AB99), FALSE)</f>
        <v>12</v>
      </c>
      <c r="AC100">
        <f>VLOOKUP($A100,Table1[#This Row],COLUMN(AC99), FALSE)</f>
        <v>4</v>
      </c>
      <c r="AD100">
        <f>VLOOKUP($A100,Table1[#This Row],COLUMN(AD99), FALSE)</f>
        <v>3</v>
      </c>
    </row>
    <row r="101" spans="1:30" ht="15.75">
      <c r="A101" s="54" t="s">
        <v>753</v>
      </c>
      <c r="B101" s="52">
        <f>VLOOKUP($A101,Table1[#This Row],COLUMN(B100), FALSE)</f>
        <v>41775</v>
      </c>
      <c r="C101" s="52">
        <f>VLOOKUP($A101,Table1[#This Row],COLUMN(C100), FALSE)</f>
        <v>41779</v>
      </c>
      <c r="D101" t="str">
        <f>VLOOKUP($A101,Table1[#This Row],COLUMN(D100), FALSE)</f>
        <v>Erin Mull#</v>
      </c>
      <c r="E101" t="str">
        <f>VLOOKUP($A101,Table1[#This Row],COLUMN(E100), FALSE)</f>
        <v>Germany</v>
      </c>
      <c r="F101" t="str">
        <f>VLOOKUP($A101,Table1[#This Row],COLUMN(F100), FALSE)</f>
        <v>Western Europe</v>
      </c>
      <c r="G101" t="str">
        <f>VLOOKUP($A101,Table1[#This Row],COLUMN(G100), FALSE)</f>
        <v>Technology</v>
      </c>
      <c r="H101" t="str">
        <f>VLOOKUP($A101,Table1[#This Row],COLUMN(H100), FALSE)</f>
        <v>Copiers</v>
      </c>
      <c r="I101">
        <f>VLOOKUP($A101,Table1[#This Row],COLUMN(I100), FALSE)</f>
        <v>2605.92</v>
      </c>
      <c r="J101">
        <f>VLOOKUP($A101,Table1[#This Row],COLUMN(J100), FALSE)</f>
        <v>4</v>
      </c>
      <c r="K101">
        <f>VLOOKUP($A101,Table1[#This Row],COLUMN(K100), FALSE)</f>
        <v>0</v>
      </c>
      <c r="L101">
        <f>VLOOKUP($A101,Table1[#This Row],COLUMN(L100), FALSE)</f>
        <v>8994.9828630280499</v>
      </c>
      <c r="M101" t="str">
        <f>VLOOKUP($A101,Table1[#This Row],COLUMN(M100), FALSE)</f>
        <v>High</v>
      </c>
      <c r="N101" t="str">
        <f>VLOOKUP($A101,Table1[#This Row],COLUMN(N100), FALSE)</f>
        <v>Normal Order</v>
      </c>
      <c r="O101" t="str">
        <f>VLOOKUP($A101,Table1[#This Row],COLUMN(O100), FALSE)</f>
        <v>Erin Mull#</v>
      </c>
      <c r="P101" t="str">
        <f>VLOOKUP($A101,Table1[#This Row],COLUMN(P100), FALSE)</f>
        <v>ES</v>
      </c>
      <c r="Q101" t="str">
        <f>VLOOKUP($A101,Table1[#This Row],COLUMN(Q100), FALSE)</f>
        <v>2014</v>
      </c>
      <c r="R101" t="str">
        <f>VLOOKUP($A101,Table1[#This Row],COLUMN(R100), FALSE)</f>
        <v>HIGH</v>
      </c>
      <c r="S101" t="str">
        <f>VLOOKUP($A101,Table1[#This Row],COLUMN(S100), FALSE)</f>
        <v>technology</v>
      </c>
      <c r="T101" t="str">
        <f>VLOOKUP($A101,Table1[#This Row],COLUMN(T100), FALSE)</f>
        <v>41775</v>
      </c>
      <c r="U101" t="str">
        <f>VLOOKUP($A101,Table1[#This Row],COLUMN(U100), FALSE)</f>
        <v>EM1406548</v>
      </c>
      <c r="V101" t="str">
        <f>VLOOKUP($A101,Table1[#This Row],COLUMN(V100), FALSE)</f>
        <v>ES</v>
      </c>
      <c r="W101">
        <f>VLOOKUP($A101,Table1[#This Row],COLUMN(W100), FALSE)</f>
        <v>2014</v>
      </c>
      <c r="X101" t="str">
        <f>VLOOKUP($A101,Table1[#This Row],COLUMN(X100), FALSE)</f>
        <v>EM1406548</v>
      </c>
      <c r="Y101">
        <f>VLOOKUP($A101,Table1[#This Row],COLUMN(Y100), FALSE)</f>
        <v>41775</v>
      </c>
      <c r="Z101" t="str">
        <f>VLOOKUP($A101,Table1[#This Row],COLUMN(Z100), FALSE)</f>
        <v>ES-2014-EM1406548-41775</v>
      </c>
      <c r="AA101">
        <f>VLOOKUP($A101,Table1[#This Row],COLUMN(AA100), FALSE)</f>
        <v>2014</v>
      </c>
      <c r="AB101">
        <f>VLOOKUP($A101,Table1[#This Row],COLUMN(AB100), FALSE)</f>
        <v>5</v>
      </c>
      <c r="AC101">
        <f>VLOOKUP($A101,Table1[#This Row],COLUMN(AC100), FALSE)</f>
        <v>6</v>
      </c>
      <c r="AD101">
        <f>VLOOKUP($A101,Table1[#This Row],COLUMN(AD100), FALSE)</f>
        <v>4</v>
      </c>
    </row>
    <row r="102" spans="1:30" ht="15.75">
      <c r="A102" s="53" t="s">
        <v>758</v>
      </c>
      <c r="B102" s="52">
        <f>VLOOKUP($A102,Table1[#This Row],COLUMN(B101), FALSE)</f>
        <v>41422</v>
      </c>
      <c r="C102" s="52">
        <f>VLOOKUP($A102,Table1[#This Row],COLUMN(C101), FALSE)</f>
        <v>41425</v>
      </c>
      <c r="D102" t="str">
        <f>VLOOKUP($A102,Table1[#This Row],COLUMN(D101), FALSE)</f>
        <v>Chloris Kastensmidt</v>
      </c>
      <c r="E102" t="str">
        <f>VLOOKUP($A102,Table1[#This Row],COLUMN(E101), FALSE)</f>
        <v>Italy</v>
      </c>
      <c r="F102" t="str">
        <f>VLOOKUP($A102,Table1[#This Row],COLUMN(F101), FALSE)</f>
        <v>Southern Europe</v>
      </c>
      <c r="G102" t="str">
        <f>VLOOKUP($A102,Table1[#This Row],COLUMN(G101), FALSE)</f>
        <v>Technology</v>
      </c>
      <c r="H102" t="str">
        <f>VLOOKUP($A102,Table1[#This Row],COLUMN(H101), FALSE)</f>
        <v>Storage</v>
      </c>
      <c r="I102">
        <f>VLOOKUP($A102,Table1[#This Row],COLUMN(I101), FALSE)</f>
        <v>1513.56</v>
      </c>
      <c r="J102">
        <f>VLOOKUP($A102,Table1[#This Row],COLUMN(J101), FALSE)</f>
        <v>4</v>
      </c>
      <c r="K102">
        <f>VLOOKUP($A102,Table1[#This Row],COLUMN(K101), FALSE)</f>
        <v>0</v>
      </c>
      <c r="L102">
        <f>VLOOKUP($A102,Table1[#This Row],COLUMN(L101), FALSE)</f>
        <v>741.599999999999</v>
      </c>
      <c r="M102" t="str">
        <f>VLOOKUP($A102,Table1[#This Row],COLUMN(M101), FALSE)</f>
        <v>Crtiical</v>
      </c>
      <c r="N102" t="str">
        <f>VLOOKUP($A102,Table1[#This Row],COLUMN(N101), FALSE)</f>
        <v>Normal Order</v>
      </c>
      <c r="O102" t="str">
        <f>VLOOKUP($A102,Table1[#This Row],COLUMN(O101), FALSE)</f>
        <v>Chloris Kastensmidt</v>
      </c>
      <c r="P102" t="str">
        <f>VLOOKUP($A102,Table1[#This Row],COLUMN(P101), FALSE)</f>
        <v>ES</v>
      </c>
      <c r="Q102" t="str">
        <f>VLOOKUP($A102,Table1[#This Row],COLUMN(Q101), FALSE)</f>
        <v>2013</v>
      </c>
      <c r="R102" t="str">
        <f>VLOOKUP($A102,Table1[#This Row],COLUMN(R101), FALSE)</f>
        <v>CRTIICAL</v>
      </c>
      <c r="S102" t="str">
        <f>VLOOKUP($A102,Table1[#This Row],COLUMN(S101), FALSE)</f>
        <v>technology</v>
      </c>
      <c r="T102" t="str">
        <f>VLOOKUP($A102,Table1[#This Row],COLUMN(T101), FALSE)</f>
        <v>41422</v>
      </c>
      <c r="U102" t="str">
        <f>VLOOKUP($A102,Table1[#This Row],COLUMN(U101), FALSE)</f>
        <v>CK1220564</v>
      </c>
      <c r="V102" t="str">
        <f>VLOOKUP($A102,Table1[#This Row],COLUMN(V101), FALSE)</f>
        <v>ES</v>
      </c>
      <c r="W102">
        <f>VLOOKUP($A102,Table1[#This Row],COLUMN(W101), FALSE)</f>
        <v>2013</v>
      </c>
      <c r="X102" t="str">
        <f>VLOOKUP($A102,Table1[#This Row],COLUMN(X101), FALSE)</f>
        <v>CK1220564</v>
      </c>
      <c r="Y102">
        <f>VLOOKUP($A102,Table1[#This Row],COLUMN(Y101), FALSE)</f>
        <v>41422</v>
      </c>
      <c r="Z102" t="str">
        <f>VLOOKUP($A102,Table1[#This Row],COLUMN(Z101), FALSE)</f>
        <v>ES-2013-CK1220564-41422</v>
      </c>
      <c r="AA102">
        <f>VLOOKUP($A102,Table1[#This Row],COLUMN(AA101), FALSE)</f>
        <v>2013</v>
      </c>
      <c r="AB102">
        <f>VLOOKUP($A102,Table1[#This Row],COLUMN(AB101), FALSE)</f>
        <v>5</v>
      </c>
      <c r="AC102">
        <f>VLOOKUP($A102,Table1[#This Row],COLUMN(AC101), FALSE)</f>
        <v>3</v>
      </c>
      <c r="AD102">
        <f>VLOOKUP($A102,Table1[#This Row],COLUMN(AD101), FALSE)</f>
        <v>3</v>
      </c>
    </row>
    <row r="103" spans="1:30" ht="15.75">
      <c r="A103" s="54" t="s">
        <v>763</v>
      </c>
      <c r="B103" s="52">
        <f>VLOOKUP($A103,Table1[#This Row],COLUMN(B102), FALSE)</f>
        <v>41062</v>
      </c>
      <c r="C103" s="52">
        <f>VLOOKUP($A103,Table1[#This Row],COLUMN(C102), FALSE)</f>
        <v>41064</v>
      </c>
      <c r="D103" t="str">
        <f>VLOOKUP($A103,Table1[#This Row],COLUMN(D102), FALSE)</f>
        <v>Clay Cheatham</v>
      </c>
      <c r="E103" t="str">
        <f>VLOOKUP($A103,Table1[#This Row],COLUMN(E102), FALSE)</f>
        <v>Ukraine</v>
      </c>
      <c r="F103" t="str">
        <f>VLOOKUP($A103,Table1[#This Row],COLUMN(F102), FALSE)</f>
        <v>Eastern Europe</v>
      </c>
      <c r="G103" t="str">
        <f>VLOOKUP($A103,Table1[#This Row],COLUMN(G102), FALSE)</f>
        <v>Furniture</v>
      </c>
      <c r="H103" t="str">
        <f>VLOOKUP($A103,Table1[#This Row],COLUMN(H102), FALSE)</f>
        <v>Copiers</v>
      </c>
      <c r="I103">
        <f>VLOOKUP($A103,Table1[#This Row],COLUMN(I102), FALSE)</f>
        <v>855.14999999999895</v>
      </c>
      <c r="J103">
        <f>VLOOKUP($A103,Table1[#This Row],COLUMN(J102), FALSE)</f>
        <v>1</v>
      </c>
      <c r="K103">
        <f>VLOOKUP($A103,Table1[#This Row],COLUMN(K102), FALSE)</f>
        <v>0</v>
      </c>
      <c r="L103">
        <f>VLOOKUP($A103,Table1[#This Row],COLUMN(L102), FALSE)</f>
        <v>384.81</v>
      </c>
      <c r="M103" t="str">
        <f>VLOOKUP($A103,Table1[#This Row],COLUMN(M102), FALSE)</f>
        <v>Critical</v>
      </c>
      <c r="N103" t="str">
        <f>VLOOKUP($A103,Table1[#This Row],COLUMN(N102), FALSE)</f>
        <v>Normal Order</v>
      </c>
      <c r="O103" t="str">
        <f>VLOOKUP($A103,Table1[#This Row],COLUMN(O102), FALSE)</f>
        <v>Clay Cheatham</v>
      </c>
      <c r="P103" t="str">
        <f>VLOOKUP($A103,Table1[#This Row],COLUMN(P102), FALSE)</f>
        <v>UP</v>
      </c>
      <c r="Q103" t="str">
        <f>VLOOKUP($A103,Table1[#This Row],COLUMN(Q102), FALSE)</f>
        <v>2012</v>
      </c>
      <c r="R103" t="str">
        <f>VLOOKUP($A103,Table1[#This Row],COLUMN(R102), FALSE)</f>
        <v>CRITICAL</v>
      </c>
      <c r="S103" t="str">
        <f>VLOOKUP($A103,Table1[#This Row],COLUMN(S102), FALSE)</f>
        <v>furniture</v>
      </c>
      <c r="T103" t="str">
        <f>VLOOKUP($A103,Table1[#This Row],COLUMN(T102), FALSE)</f>
        <v>41062</v>
      </c>
      <c r="U103" t="str">
        <f>VLOOKUP($A103,Table1[#This Row],COLUMN(U102), FALSE)</f>
        <v>CC2550137</v>
      </c>
      <c r="V103" t="str">
        <f>VLOOKUP($A103,Table1[#This Row],COLUMN(V102), FALSE)</f>
        <v>UP</v>
      </c>
      <c r="W103">
        <f>VLOOKUP($A103,Table1[#This Row],COLUMN(W102), FALSE)</f>
        <v>2012</v>
      </c>
      <c r="X103" t="str">
        <f>VLOOKUP($A103,Table1[#This Row],COLUMN(X102), FALSE)</f>
        <v>CC2550137</v>
      </c>
      <c r="Y103">
        <f>VLOOKUP($A103,Table1[#This Row],COLUMN(Y102), FALSE)</f>
        <v>41062</v>
      </c>
      <c r="Z103" t="str">
        <f>VLOOKUP($A103,Table1[#This Row],COLUMN(Z102), FALSE)</f>
        <v>UP-2012-CC2550137-41062</v>
      </c>
      <c r="AA103">
        <f>VLOOKUP($A103,Table1[#This Row],COLUMN(AA102), FALSE)</f>
        <v>2012</v>
      </c>
      <c r="AB103">
        <f>VLOOKUP($A103,Table1[#This Row],COLUMN(AB102), FALSE)</f>
        <v>6</v>
      </c>
      <c r="AC103">
        <f>VLOOKUP($A103,Table1[#This Row],COLUMN(AC102), FALSE)</f>
        <v>7</v>
      </c>
      <c r="AD103">
        <f>VLOOKUP($A103,Table1[#This Row],COLUMN(AD102), FALSE)</f>
        <v>2</v>
      </c>
    </row>
    <row r="104" spans="1:30" ht="15.75">
      <c r="A104" s="53" t="s">
        <v>764</v>
      </c>
      <c r="B104" s="52">
        <f>VLOOKUP($A104,Table1[#This Row],COLUMN(B103), FALSE)</f>
        <v>41103</v>
      </c>
      <c r="C104" s="52">
        <f>VLOOKUP($A104,Table1[#This Row],COLUMN(C103), FALSE)</f>
        <v>41104</v>
      </c>
      <c r="D104" t="str">
        <f>VLOOKUP($A104,Table1[#This Row],COLUMN(D103), FALSE)</f>
        <v>Melanie Seite</v>
      </c>
      <c r="E104" t="str">
        <f>VLOOKUP($A104,Table1[#This Row],COLUMN(E103), FALSE)</f>
        <v>United Kingdom</v>
      </c>
      <c r="F104" t="str">
        <f>VLOOKUP($A104,Table1[#This Row],COLUMN(F103), FALSE)</f>
        <v>NORTHERN EUROPE</v>
      </c>
      <c r="G104" t="str">
        <f>VLOOKUP($A104,Table1[#This Row],COLUMN(G103), FALSE)</f>
        <v>Technology</v>
      </c>
      <c r="H104" t="str">
        <f>VLOOKUP($A104,Table1[#This Row],COLUMN(H103), FALSE)</f>
        <v>Bookcases</v>
      </c>
      <c r="I104">
        <f>VLOOKUP($A104,Table1[#This Row],COLUMN(I103), FALSE)</f>
        <v>956.34</v>
      </c>
      <c r="J104">
        <f>VLOOKUP($A104,Table1[#This Row],COLUMN(J103), FALSE)</f>
        <v>4</v>
      </c>
      <c r="K104">
        <f>VLOOKUP($A104,Table1[#This Row],COLUMN(K103), FALSE)</f>
        <v>0.1</v>
      </c>
      <c r="L104">
        <f>VLOOKUP($A104,Table1[#This Row],COLUMN(L103), FALSE)</f>
        <v>-95.7</v>
      </c>
      <c r="M104" t="str">
        <f>VLOOKUP($A104,Table1[#This Row],COLUMN(M103), FALSE)</f>
        <v>Critical</v>
      </c>
      <c r="N104" t="str">
        <f>VLOOKUP($A104,Table1[#This Row],COLUMN(N103), FALSE)</f>
        <v>Normal Order</v>
      </c>
      <c r="O104" t="str">
        <f>VLOOKUP($A104,Table1[#This Row],COLUMN(O103), FALSE)</f>
        <v>Melanie Seite</v>
      </c>
      <c r="P104" t="str">
        <f>VLOOKUP($A104,Table1[#This Row],COLUMN(P103), FALSE)</f>
        <v>IT</v>
      </c>
      <c r="Q104" t="str">
        <f>VLOOKUP($A104,Table1[#This Row],COLUMN(Q103), FALSE)</f>
        <v>2012</v>
      </c>
      <c r="R104" t="str">
        <f>VLOOKUP($A104,Table1[#This Row],COLUMN(R103), FALSE)</f>
        <v>CRITICAL</v>
      </c>
      <c r="S104" t="str">
        <f>VLOOKUP($A104,Table1[#This Row],COLUMN(S103), FALSE)</f>
        <v>technology</v>
      </c>
      <c r="T104" t="str">
        <f>VLOOKUP($A104,Table1[#This Row],COLUMN(T103), FALSE)</f>
        <v>41103</v>
      </c>
      <c r="U104" t="str">
        <f>VLOOKUP($A104,Table1[#This Row],COLUMN(U103), FALSE)</f>
        <v>MS17830139</v>
      </c>
      <c r="V104" t="str">
        <f>VLOOKUP($A104,Table1[#This Row],COLUMN(V103), FALSE)</f>
        <v>IT</v>
      </c>
      <c r="W104">
        <f>VLOOKUP($A104,Table1[#This Row],COLUMN(W103), FALSE)</f>
        <v>2012</v>
      </c>
      <c r="X104" t="str">
        <f>VLOOKUP($A104,Table1[#This Row],COLUMN(X103), FALSE)</f>
        <v>MS17830139</v>
      </c>
      <c r="Y104">
        <f>VLOOKUP($A104,Table1[#This Row],COLUMN(Y103), FALSE)</f>
        <v>41103</v>
      </c>
      <c r="Z104" t="str">
        <f>VLOOKUP($A104,Table1[#This Row],COLUMN(Z103), FALSE)</f>
        <v>IT-2012-MS17830139-41103</v>
      </c>
      <c r="AA104">
        <f>VLOOKUP($A104,Table1[#This Row],COLUMN(AA103), FALSE)</f>
        <v>2012</v>
      </c>
      <c r="AB104">
        <f>VLOOKUP($A104,Table1[#This Row],COLUMN(AB103), FALSE)</f>
        <v>7</v>
      </c>
      <c r="AC104">
        <f>VLOOKUP($A104,Table1[#This Row],COLUMN(AC103), FALSE)</f>
        <v>6</v>
      </c>
      <c r="AD104">
        <f>VLOOKUP($A104,Table1[#This Row],COLUMN(AD103), FALSE)</f>
        <v>1</v>
      </c>
    </row>
    <row r="105" spans="1:30" ht="15.75">
      <c r="A105" s="54" t="s">
        <v>767</v>
      </c>
      <c r="B105" s="52">
        <f>VLOOKUP($A105,Table1[#This Row],COLUMN(B104), FALSE)</f>
        <v>41198</v>
      </c>
      <c r="C105" s="52">
        <f>VLOOKUP($A105,Table1[#This Row],COLUMN(C104), FALSE)</f>
        <v>41205</v>
      </c>
      <c r="D105" t="str">
        <f>VLOOKUP($A105,Table1[#This Row],COLUMN(D104), FALSE)</f>
        <v>Greg Tran</v>
      </c>
      <c r="E105" t="str">
        <f>VLOOKUP($A105,Table1[#This Row],COLUMN(E104), FALSE)</f>
        <v>Spain</v>
      </c>
      <c r="F105" t="str">
        <f>VLOOKUP($A105,Table1[#This Row],COLUMN(F104), FALSE)</f>
        <v>Southern Europe</v>
      </c>
      <c r="G105" t="str">
        <f>VLOOKUP($A105,Table1[#This Row],COLUMN(G104), FALSE)</f>
        <v>Furniture</v>
      </c>
      <c r="H105" t="str">
        <f>VLOOKUP($A105,Table1[#This Row],COLUMN(H104), FALSE)</f>
        <v>Machines</v>
      </c>
      <c r="I105">
        <f>VLOOKUP($A105,Table1[#This Row],COLUMN(I104), FALSE)</f>
        <v>1838.51999999999</v>
      </c>
      <c r="J105">
        <f>VLOOKUP($A105,Table1[#This Row],COLUMN(J104), FALSE)</f>
        <v>5</v>
      </c>
      <c r="K105">
        <f>VLOOKUP($A105,Table1[#This Row],COLUMN(K104), FALSE)</f>
        <v>0.2</v>
      </c>
      <c r="L105">
        <f>VLOOKUP($A105,Table1[#This Row],COLUMN(L104), FALSE)</f>
        <v>160.77000000000001</v>
      </c>
      <c r="M105" t="str">
        <f>VLOOKUP($A105,Table1[#This Row],COLUMN(M104), FALSE)</f>
        <v>Low</v>
      </c>
      <c r="N105" t="str">
        <f>VLOOKUP($A105,Table1[#This Row],COLUMN(N104), FALSE)</f>
        <v>Normal Order</v>
      </c>
      <c r="O105" t="str">
        <f>VLOOKUP($A105,Table1[#This Row],COLUMN(O104), FALSE)</f>
        <v>Greg Tran</v>
      </c>
      <c r="P105" t="str">
        <f>VLOOKUP($A105,Table1[#This Row],COLUMN(P104), FALSE)</f>
        <v>ES</v>
      </c>
      <c r="Q105" t="str">
        <f>VLOOKUP($A105,Table1[#This Row],COLUMN(Q104), FALSE)</f>
        <v>2012</v>
      </c>
      <c r="R105" t="str">
        <f>VLOOKUP($A105,Table1[#This Row],COLUMN(R104), FALSE)</f>
        <v>LOW</v>
      </c>
      <c r="S105" t="str">
        <f>VLOOKUP($A105,Table1[#This Row],COLUMN(S104), FALSE)</f>
        <v>furniture</v>
      </c>
      <c r="T105" t="str">
        <f>VLOOKUP($A105,Table1[#This Row],COLUMN(T104), FALSE)</f>
        <v>41198</v>
      </c>
      <c r="U105" t="str">
        <f>VLOOKUP($A105,Table1[#This Row],COLUMN(U104), FALSE)</f>
        <v>GT14710120</v>
      </c>
      <c r="V105" t="str">
        <f>VLOOKUP($A105,Table1[#This Row],COLUMN(V104), FALSE)</f>
        <v>ES</v>
      </c>
      <c r="W105">
        <f>VLOOKUP($A105,Table1[#This Row],COLUMN(W104), FALSE)</f>
        <v>2012</v>
      </c>
      <c r="X105" t="str">
        <f>VLOOKUP($A105,Table1[#This Row],COLUMN(X104), FALSE)</f>
        <v>GT14710120</v>
      </c>
      <c r="Y105">
        <f>VLOOKUP($A105,Table1[#This Row],COLUMN(Y104), FALSE)</f>
        <v>41198</v>
      </c>
      <c r="Z105" t="str">
        <f>VLOOKUP($A105,Table1[#This Row],COLUMN(Z104), FALSE)</f>
        <v>ES-2012-GT14710120-41198</v>
      </c>
      <c r="AA105">
        <f>VLOOKUP($A105,Table1[#This Row],COLUMN(AA104), FALSE)</f>
        <v>2012</v>
      </c>
      <c r="AB105">
        <f>VLOOKUP($A105,Table1[#This Row],COLUMN(AB104), FALSE)</f>
        <v>10</v>
      </c>
      <c r="AC105">
        <f>VLOOKUP($A105,Table1[#This Row],COLUMN(AC104), FALSE)</f>
        <v>3</v>
      </c>
      <c r="AD105">
        <f>VLOOKUP($A105,Table1[#This Row],COLUMN(AD104), FALSE)</f>
        <v>7</v>
      </c>
    </row>
    <row r="106" spans="1:30" ht="15.75">
      <c r="A106" s="53" t="s">
        <v>778</v>
      </c>
      <c r="B106" s="52">
        <f>VLOOKUP($A106,Table1[#This Row],COLUMN(B105), FALSE)</f>
        <v>41310</v>
      </c>
      <c r="C106" s="52">
        <f>VLOOKUP($A106,Table1[#This Row],COLUMN(C105), FALSE)</f>
        <v>41313</v>
      </c>
      <c r="D106" t="str">
        <f>VLOOKUP($A106,Table1[#This Row],COLUMN(D105), FALSE)</f>
        <v>John Castell</v>
      </c>
      <c r="E106" t="str">
        <f>VLOOKUP($A106,Table1[#This Row],COLUMN(E105), FALSE)</f>
        <v>Australia</v>
      </c>
      <c r="F106" t="str">
        <f>VLOOKUP($A106,Table1[#This Row],COLUMN(F105), FALSE)</f>
        <v>Oceania</v>
      </c>
      <c r="G106" t="str">
        <f>VLOOKUP($A106,Table1[#This Row],COLUMN(G105), FALSE)</f>
        <v>Furniture</v>
      </c>
      <c r="H106" t="str">
        <f>VLOOKUP($A106,Table1[#This Row],COLUMN(H105), FALSE)</f>
        <v>Storage</v>
      </c>
      <c r="I106">
        <f>VLOOKUP($A106,Table1[#This Row],COLUMN(I105), FALSE)</f>
        <v>819.93599999999901</v>
      </c>
      <c r="J106">
        <f>VLOOKUP($A106,Table1[#This Row],COLUMN(J105), FALSE)</f>
        <v>2</v>
      </c>
      <c r="K106">
        <f>VLOOKUP($A106,Table1[#This Row],COLUMN(K105), FALSE)</f>
        <v>0.1</v>
      </c>
      <c r="L106">
        <f>VLOOKUP($A106,Table1[#This Row],COLUMN(L105), FALSE)</f>
        <v>191.316</v>
      </c>
      <c r="M106" t="str">
        <f>VLOOKUP($A106,Table1[#This Row],COLUMN(M105), FALSE)</f>
        <v>Critical</v>
      </c>
      <c r="N106" t="str">
        <f>VLOOKUP($A106,Table1[#This Row],COLUMN(N105), FALSE)</f>
        <v>Normal Order</v>
      </c>
      <c r="O106" t="str">
        <f>VLOOKUP($A106,Table1[#This Row],COLUMN(O105), FALSE)</f>
        <v>John Castell</v>
      </c>
      <c r="P106" t="str">
        <f>VLOOKUP($A106,Table1[#This Row],COLUMN(P105), FALSE)</f>
        <v>IN</v>
      </c>
      <c r="Q106" t="str">
        <f>VLOOKUP($A106,Table1[#This Row],COLUMN(Q105), FALSE)</f>
        <v>2013</v>
      </c>
      <c r="R106" t="str">
        <f>VLOOKUP($A106,Table1[#This Row],COLUMN(R105), FALSE)</f>
        <v>CRITICAL</v>
      </c>
      <c r="S106" t="str">
        <f>VLOOKUP($A106,Table1[#This Row],COLUMN(S105), FALSE)</f>
        <v>furniture</v>
      </c>
      <c r="T106" t="str">
        <f>VLOOKUP($A106,Table1[#This Row],COLUMN(T105), FALSE)</f>
        <v>41310</v>
      </c>
      <c r="U106" t="str">
        <f>VLOOKUP($A106,Table1[#This Row],COLUMN(U105), FALSE)</f>
        <v>JC157757</v>
      </c>
      <c r="V106" t="str">
        <f>VLOOKUP($A106,Table1[#This Row],COLUMN(V105), FALSE)</f>
        <v>IN</v>
      </c>
      <c r="W106">
        <f>VLOOKUP($A106,Table1[#This Row],COLUMN(W105), FALSE)</f>
        <v>2013</v>
      </c>
      <c r="X106" t="str">
        <f>VLOOKUP($A106,Table1[#This Row],COLUMN(X105), FALSE)</f>
        <v>JC157757</v>
      </c>
      <c r="Y106">
        <f>VLOOKUP($A106,Table1[#This Row],COLUMN(Y105), FALSE)</f>
        <v>41310</v>
      </c>
      <c r="Z106" t="str">
        <f>VLOOKUP($A106,Table1[#This Row],COLUMN(Z105), FALSE)</f>
        <v>IN-2013-JC157757-41310</v>
      </c>
      <c r="AA106">
        <f>VLOOKUP($A106,Table1[#This Row],COLUMN(AA105), FALSE)</f>
        <v>2013</v>
      </c>
      <c r="AB106">
        <f>VLOOKUP($A106,Table1[#This Row],COLUMN(AB105), FALSE)</f>
        <v>2</v>
      </c>
      <c r="AC106">
        <f>VLOOKUP($A106,Table1[#This Row],COLUMN(AC105), FALSE)</f>
        <v>3</v>
      </c>
      <c r="AD106">
        <f>VLOOKUP($A106,Table1[#This Row],COLUMN(AD105), FALSE)</f>
        <v>3</v>
      </c>
    </row>
    <row r="107" spans="1:30" ht="15.75">
      <c r="A107" s="54" t="s">
        <v>791</v>
      </c>
      <c r="B107" s="52">
        <f>VLOOKUP($A107,Table1[#This Row],COLUMN(B106), FALSE)</f>
        <v>40962</v>
      </c>
      <c r="C107" s="52">
        <f>VLOOKUP($A107,Table1[#This Row],COLUMN(C106), FALSE)</f>
        <v>40965</v>
      </c>
      <c r="D107" t="str">
        <f>VLOOKUP($A107,Table1[#This Row],COLUMN(D106), FALSE)</f>
        <v>Mitch Gastineau</v>
      </c>
      <c r="E107" t="str">
        <f>VLOOKUP($A107,Table1[#This Row],COLUMN(E106), FALSE)</f>
        <v>India</v>
      </c>
      <c r="F107" t="str">
        <f>VLOOKUP($A107,Table1[#This Row],COLUMN(F106), FALSE)</f>
        <v>Southern Asia</v>
      </c>
      <c r="G107" t="str">
        <f>VLOOKUP($A107,Table1[#This Row],COLUMN(G106), FALSE)</f>
        <v>Technology</v>
      </c>
      <c r="H107" t="str">
        <f>VLOOKUP($A107,Table1[#This Row],COLUMN(H106), FALSE)</f>
        <v>Tables</v>
      </c>
      <c r="I107">
        <f>VLOOKUP($A107,Table1[#This Row],COLUMN(I106), FALSE)</f>
        <v>1526.52</v>
      </c>
      <c r="J107">
        <f>VLOOKUP($A107,Table1[#This Row],COLUMN(J106), FALSE)</f>
        <v>4</v>
      </c>
      <c r="K107">
        <f>VLOOKUP($A107,Table1[#This Row],COLUMN(K106), FALSE)</f>
        <v>0</v>
      </c>
      <c r="L107">
        <f>VLOOKUP($A107,Table1[#This Row],COLUMN(L106), FALSE)</f>
        <v>3985.40136153395</v>
      </c>
      <c r="M107" t="str">
        <f>VLOOKUP($A107,Table1[#This Row],COLUMN(M106), FALSE)</f>
        <v>High</v>
      </c>
      <c r="N107" t="str">
        <f>VLOOKUP($A107,Table1[#This Row],COLUMN(N106), FALSE)</f>
        <v>Normal Order</v>
      </c>
      <c r="O107" t="str">
        <f>VLOOKUP($A107,Table1[#This Row],COLUMN(O106), FALSE)</f>
        <v>Mitch Gastineau</v>
      </c>
      <c r="P107" t="str">
        <f>VLOOKUP($A107,Table1[#This Row],COLUMN(P106), FALSE)</f>
        <v>IN</v>
      </c>
      <c r="Q107" t="str">
        <f>VLOOKUP($A107,Table1[#This Row],COLUMN(Q106), FALSE)</f>
        <v>2012</v>
      </c>
      <c r="R107" t="str">
        <f>VLOOKUP($A107,Table1[#This Row],COLUMN(R106), FALSE)</f>
        <v>HIGH</v>
      </c>
      <c r="S107" t="str">
        <f>VLOOKUP($A107,Table1[#This Row],COLUMN(S106), FALSE)</f>
        <v>technology</v>
      </c>
      <c r="T107" t="str">
        <f>VLOOKUP($A107,Table1[#This Row],COLUMN(T106), FALSE)</f>
        <v>40962</v>
      </c>
      <c r="U107" t="str">
        <f>VLOOKUP($A107,Table1[#This Row],COLUMN(U106), FALSE)</f>
        <v>MG1820558</v>
      </c>
      <c r="V107" t="str">
        <f>VLOOKUP($A107,Table1[#This Row],COLUMN(V106), FALSE)</f>
        <v>IN</v>
      </c>
      <c r="W107">
        <f>VLOOKUP($A107,Table1[#This Row],COLUMN(W106), FALSE)</f>
        <v>2012</v>
      </c>
      <c r="X107" t="str">
        <f>VLOOKUP($A107,Table1[#This Row],COLUMN(X106), FALSE)</f>
        <v>MG1820558</v>
      </c>
      <c r="Y107">
        <f>VLOOKUP($A107,Table1[#This Row],COLUMN(Y106), FALSE)</f>
        <v>40962</v>
      </c>
      <c r="Z107" t="str">
        <f>VLOOKUP($A107,Table1[#This Row],COLUMN(Z106), FALSE)</f>
        <v>IN-2012-MG1820558-40962</v>
      </c>
      <c r="AA107">
        <f>VLOOKUP($A107,Table1[#This Row],COLUMN(AA106), FALSE)</f>
        <v>2012</v>
      </c>
      <c r="AB107">
        <f>VLOOKUP($A107,Table1[#This Row],COLUMN(AB106), FALSE)</f>
        <v>2</v>
      </c>
      <c r="AC107">
        <f>VLOOKUP($A107,Table1[#This Row],COLUMN(AC106), FALSE)</f>
        <v>5</v>
      </c>
      <c r="AD107">
        <f>VLOOKUP($A107,Table1[#This Row],COLUMN(AD106), FALSE)</f>
        <v>3</v>
      </c>
    </row>
    <row r="108" spans="1:30" ht="15.75">
      <c r="A108" s="53" t="s">
        <v>584</v>
      </c>
      <c r="B108" s="52">
        <f>VLOOKUP($A108,Table1[#This Row],COLUMN(B107), FALSE)</f>
        <v>41173</v>
      </c>
      <c r="C108" s="52">
        <f>VLOOKUP($A108,Table1[#This Row],COLUMN(C107), FALSE)</f>
        <v>41180</v>
      </c>
      <c r="D108" t="str">
        <f>VLOOKUP($A108,Table1[#This Row],COLUMN(D107), FALSE)</f>
        <v>Adam Shillingsburg</v>
      </c>
      <c r="E108" t="str">
        <f>VLOOKUP($A108,Table1[#This Row],COLUMN(E107), FALSE)</f>
        <v>United States</v>
      </c>
      <c r="F108" t="str">
        <f>VLOOKUP($A108,Table1[#This Row],COLUMN(F107), FALSE)</f>
        <v>Eastern US</v>
      </c>
      <c r="G108" t="str">
        <f>VLOOKUP($A108,Table1[#This Row],COLUMN(G107), FALSE)</f>
        <v>Office Supplies</v>
      </c>
      <c r="H108" t="str">
        <f>VLOOKUP($A108,Table1[#This Row],COLUMN(H107), FALSE)</f>
        <v>Phones</v>
      </c>
      <c r="I108">
        <f>VLOOKUP($A108,Table1[#This Row],COLUMN(I107), FALSE)</f>
        <v>3.984</v>
      </c>
      <c r="J108">
        <f>VLOOKUP($A108,Table1[#This Row],COLUMN(J107), FALSE)</f>
        <v>1</v>
      </c>
      <c r="K108">
        <f>VLOOKUP($A108,Table1[#This Row],COLUMN(K107), FALSE)</f>
        <v>0.2</v>
      </c>
      <c r="L108">
        <f>VLOOKUP($A108,Table1[#This Row],COLUMN(L107), FALSE)</f>
        <v>1.3944000000000001</v>
      </c>
      <c r="M108" t="str">
        <f>VLOOKUP($A108,Table1[#This Row],COLUMN(M107), FALSE)</f>
        <v>Medium</v>
      </c>
      <c r="N108" t="str">
        <f>VLOOKUP($A108,Table1[#This Row],COLUMN(N107), FALSE)</f>
        <v>Normal Order</v>
      </c>
      <c r="O108" t="str">
        <f>VLOOKUP($A108,Table1[#This Row],COLUMN(O107), FALSE)</f>
        <v>Adam Shillingsburg</v>
      </c>
      <c r="P108" t="str">
        <f>VLOOKUP($A108,Table1[#This Row],COLUMN(P107), FALSE)</f>
        <v>CA</v>
      </c>
      <c r="Q108" t="str">
        <f>VLOOKUP($A108,Table1[#This Row],COLUMN(Q107), FALSE)</f>
        <v>2012</v>
      </c>
      <c r="R108" t="str">
        <f>VLOOKUP($A108,Table1[#This Row],COLUMN(R107), FALSE)</f>
        <v>MEDIUM</v>
      </c>
      <c r="S108" t="str">
        <f>VLOOKUP($A108,Table1[#This Row],COLUMN(S107), FALSE)</f>
        <v>office supplies</v>
      </c>
      <c r="T108" t="str">
        <f>VLOOKUP($A108,Table1[#This Row],COLUMN(T107), FALSE)</f>
        <v>41173</v>
      </c>
      <c r="U108" t="str">
        <f>VLOOKUP($A108,Table1[#This Row],COLUMN(U107), FALSE)</f>
        <v>AS10090140</v>
      </c>
      <c r="V108" t="str">
        <f>VLOOKUP($A108,Table1[#This Row],COLUMN(V107), FALSE)</f>
        <v>CA</v>
      </c>
      <c r="W108">
        <f>VLOOKUP($A108,Table1[#This Row],COLUMN(W107), FALSE)</f>
        <v>2012</v>
      </c>
      <c r="X108" t="str">
        <f>VLOOKUP($A108,Table1[#This Row],COLUMN(X107), FALSE)</f>
        <v>AS10090140</v>
      </c>
      <c r="Y108">
        <f>VLOOKUP($A108,Table1[#This Row],COLUMN(Y107), FALSE)</f>
        <v>41173</v>
      </c>
      <c r="Z108" t="str">
        <f>VLOOKUP($A108,Table1[#This Row],COLUMN(Z107), FALSE)</f>
        <v>CA-2012-AS10090140-41173</v>
      </c>
      <c r="AA108">
        <f>VLOOKUP($A108,Table1[#This Row],COLUMN(AA107), FALSE)</f>
        <v>2012</v>
      </c>
      <c r="AB108">
        <f>VLOOKUP($A108,Table1[#This Row],COLUMN(AB107), FALSE)</f>
        <v>9</v>
      </c>
      <c r="AC108">
        <f>VLOOKUP($A108,Table1[#This Row],COLUMN(AC107), FALSE)</f>
        <v>6</v>
      </c>
      <c r="AD108">
        <f>VLOOKUP($A108,Table1[#This Row],COLUMN(AD107), FALSE)</f>
        <v>7</v>
      </c>
    </row>
    <row r="109" spans="1:30" ht="15.75">
      <c r="A109" s="54" t="s">
        <v>800</v>
      </c>
      <c r="B109" s="52">
        <f>VLOOKUP($A109,Table1[#This Row],COLUMN(B108), FALSE)</f>
        <v>41942</v>
      </c>
      <c r="C109" s="52">
        <f>VLOOKUP($A109,Table1[#This Row],COLUMN(C108), FALSE)</f>
        <v>41948</v>
      </c>
      <c r="D109" t="str">
        <f>VLOOKUP($A109,Table1[#This Row],COLUMN(D108), FALSE)</f>
        <v>Patrick Bzostek</v>
      </c>
      <c r="E109" t="str">
        <f>VLOOKUP($A109,Table1[#This Row],COLUMN(E108), FALSE)</f>
        <v>Nicargaua</v>
      </c>
      <c r="F109" t="str">
        <f>VLOOKUP($A109,Table1[#This Row],COLUMN(F108), FALSE)</f>
        <v>Central America</v>
      </c>
      <c r="G109" t="str">
        <f>VLOOKUP($A109,Table1[#This Row],COLUMN(G108), FALSE)</f>
        <v>Technology</v>
      </c>
      <c r="H109" t="str">
        <f>VLOOKUP($A109,Table1[#This Row],COLUMN(H108), FALSE)</f>
        <v>Copiers</v>
      </c>
      <c r="I109">
        <f>VLOOKUP($A109,Table1[#This Row],COLUMN(I108), FALSE)</f>
        <v>2125</v>
      </c>
      <c r="J109">
        <f>VLOOKUP($A109,Table1[#This Row],COLUMN(J108), FALSE)</f>
        <v>5</v>
      </c>
      <c r="K109">
        <f>VLOOKUP($A109,Table1[#This Row],COLUMN(K108), FALSE)</f>
        <v>0</v>
      </c>
      <c r="L109">
        <f>VLOOKUP($A109,Table1[#This Row],COLUMN(L108), FALSE)</f>
        <v>297.5</v>
      </c>
      <c r="M109" t="str">
        <f>VLOOKUP($A109,Table1[#This Row],COLUMN(M108), FALSE)</f>
        <v>Low</v>
      </c>
      <c r="N109" t="str">
        <f>VLOOKUP($A109,Table1[#This Row],COLUMN(N108), FALSE)</f>
        <v>Normal Order</v>
      </c>
      <c r="O109" t="str">
        <f>VLOOKUP($A109,Table1[#This Row],COLUMN(O108), FALSE)</f>
        <v>Patrick Bzostek</v>
      </c>
      <c r="P109" t="str">
        <f>VLOOKUP($A109,Table1[#This Row],COLUMN(P108), FALSE)</f>
        <v>MX</v>
      </c>
      <c r="Q109" t="str">
        <f>VLOOKUP($A109,Table1[#This Row],COLUMN(Q108), FALSE)</f>
        <v>2014</v>
      </c>
      <c r="R109" t="str">
        <f>VLOOKUP($A109,Table1[#This Row],COLUMN(R108), FALSE)</f>
        <v>LOW</v>
      </c>
      <c r="S109" t="str">
        <f>VLOOKUP($A109,Table1[#This Row],COLUMN(S108), FALSE)</f>
        <v>technology</v>
      </c>
      <c r="T109" t="str">
        <f>VLOOKUP($A109,Table1[#This Row],COLUMN(T108), FALSE)</f>
        <v>41942</v>
      </c>
      <c r="U109" t="str">
        <f>VLOOKUP($A109,Table1[#This Row],COLUMN(U108), FALSE)</f>
        <v>PB1880593</v>
      </c>
      <c r="V109" t="str">
        <f>VLOOKUP($A109,Table1[#This Row],COLUMN(V108), FALSE)</f>
        <v>MX</v>
      </c>
      <c r="W109">
        <f>VLOOKUP($A109,Table1[#This Row],COLUMN(W108), FALSE)</f>
        <v>2014</v>
      </c>
      <c r="X109" t="str">
        <f>VLOOKUP($A109,Table1[#This Row],COLUMN(X108), FALSE)</f>
        <v>PB1880593</v>
      </c>
      <c r="Y109">
        <f>VLOOKUP($A109,Table1[#This Row],COLUMN(Y108), FALSE)</f>
        <v>41942</v>
      </c>
      <c r="Z109" t="str">
        <f>VLOOKUP($A109,Table1[#This Row],COLUMN(Z108), FALSE)</f>
        <v>MX-2014-PB1880593-41942</v>
      </c>
      <c r="AA109">
        <f>VLOOKUP($A109,Table1[#This Row],COLUMN(AA108), FALSE)</f>
        <v>2014</v>
      </c>
      <c r="AB109">
        <f>VLOOKUP($A109,Table1[#This Row],COLUMN(AB108), FALSE)</f>
        <v>10</v>
      </c>
      <c r="AC109">
        <f>VLOOKUP($A109,Table1[#This Row],COLUMN(AC108), FALSE)</f>
        <v>5</v>
      </c>
      <c r="AD109">
        <f>VLOOKUP($A109,Table1[#This Row],COLUMN(AD108), FALSE)</f>
        <v>6</v>
      </c>
    </row>
    <row r="110" spans="1:30" ht="15.75">
      <c r="A110" s="53" t="s">
        <v>803</v>
      </c>
      <c r="B110" s="52">
        <f>VLOOKUP($A110,Table1[#This Row],COLUMN(B109), FALSE)</f>
        <v>41621</v>
      </c>
      <c r="C110" s="52">
        <f>VLOOKUP($A110,Table1[#This Row],COLUMN(C109), FALSE)</f>
        <v>41623</v>
      </c>
      <c r="D110" t="str">
        <f>VLOOKUP($A110,Table1[#This Row],COLUMN(D109), FALSE)</f>
        <v>Benjamin Patterson</v>
      </c>
      <c r="E110" t="str">
        <f>VLOOKUP($A110,Table1[#This Row],COLUMN(E109), FALSE)</f>
        <v>Cameroon</v>
      </c>
      <c r="F110" t="str">
        <f>VLOOKUP($A110,Table1[#This Row],COLUMN(F109), FALSE)</f>
        <v>Central Africa</v>
      </c>
      <c r="G110" t="str">
        <f>VLOOKUP($A110,Table1[#This Row],COLUMN(G109), FALSE)</f>
        <v>Technology</v>
      </c>
      <c r="H110" t="str">
        <f>VLOOKUP($A110,Table1[#This Row],COLUMN(H109), FALSE)</f>
        <v>Phones</v>
      </c>
      <c r="I110">
        <f>VLOOKUP($A110,Table1[#This Row],COLUMN(I109), FALSE)</f>
        <v>976.08</v>
      </c>
      <c r="J110">
        <f>VLOOKUP($A110,Table1[#This Row],COLUMN(J109), FALSE)</f>
        <v>4</v>
      </c>
      <c r="K110">
        <f>VLOOKUP($A110,Table1[#This Row],COLUMN(K109), FALSE)</f>
        <v>0</v>
      </c>
      <c r="L110">
        <f>VLOOKUP($A110,Table1[#This Row],COLUMN(L109), FALSE)</f>
        <v>292.79999999999899</v>
      </c>
      <c r="M110" t="str">
        <f>VLOOKUP($A110,Table1[#This Row],COLUMN(M109), FALSE)</f>
        <v>Critical</v>
      </c>
      <c r="N110" t="str">
        <f>VLOOKUP($A110,Table1[#This Row],COLUMN(N109), FALSE)</f>
        <v>Normal Order</v>
      </c>
      <c r="O110" t="str">
        <f>VLOOKUP($A110,Table1[#This Row],COLUMN(O109), FALSE)</f>
        <v>Benjamin Patterson</v>
      </c>
      <c r="P110" t="str">
        <f>VLOOKUP($A110,Table1[#This Row],COLUMN(P109), FALSE)</f>
        <v>CM</v>
      </c>
      <c r="Q110" t="str">
        <f>VLOOKUP($A110,Table1[#This Row],COLUMN(Q109), FALSE)</f>
        <v>2013</v>
      </c>
      <c r="R110" t="str">
        <f>VLOOKUP($A110,Table1[#This Row],COLUMN(R109), FALSE)</f>
        <v>CRITICAL</v>
      </c>
      <c r="S110" t="str">
        <f>VLOOKUP($A110,Table1[#This Row],COLUMN(S109), FALSE)</f>
        <v>technology</v>
      </c>
      <c r="T110" t="str">
        <f>VLOOKUP($A110,Table1[#This Row],COLUMN(T109), FALSE)</f>
        <v>41621</v>
      </c>
      <c r="U110" t="str">
        <f>VLOOKUP($A110,Table1[#This Row],COLUMN(U109), FALSE)</f>
        <v>BP123022</v>
      </c>
      <c r="V110" t="str">
        <f>VLOOKUP($A110,Table1[#This Row],COLUMN(V109), FALSE)</f>
        <v>CM</v>
      </c>
      <c r="W110">
        <f>VLOOKUP($A110,Table1[#This Row],COLUMN(W109), FALSE)</f>
        <v>2013</v>
      </c>
      <c r="X110" t="str">
        <f>VLOOKUP($A110,Table1[#This Row],COLUMN(X109), FALSE)</f>
        <v>BP123022</v>
      </c>
      <c r="Y110">
        <f>VLOOKUP($A110,Table1[#This Row],COLUMN(Y109), FALSE)</f>
        <v>41621</v>
      </c>
      <c r="Z110" t="str">
        <f>VLOOKUP($A110,Table1[#This Row],COLUMN(Z109), FALSE)</f>
        <v>CM-2013-BP123022-41621</v>
      </c>
      <c r="AA110">
        <f>VLOOKUP($A110,Table1[#This Row],COLUMN(AA109), FALSE)</f>
        <v>2013</v>
      </c>
      <c r="AB110">
        <f>VLOOKUP($A110,Table1[#This Row],COLUMN(AB109), FALSE)</f>
        <v>12</v>
      </c>
      <c r="AC110">
        <f>VLOOKUP($A110,Table1[#This Row],COLUMN(AC109), FALSE)</f>
        <v>6</v>
      </c>
      <c r="AD110">
        <f>VLOOKUP($A110,Table1[#This Row],COLUMN(AD109), FALSE)</f>
        <v>2</v>
      </c>
    </row>
    <row r="111" spans="1:30" ht="15.75">
      <c r="A111" s="54" t="s">
        <v>806</v>
      </c>
      <c r="B111" s="52">
        <f>VLOOKUP($A111,Table1[#This Row],COLUMN(B110), FALSE)</f>
        <v>41173</v>
      </c>
      <c r="C111" s="52">
        <f>VLOOKUP($A111,Table1[#This Row],COLUMN(C110), FALSE)</f>
        <v>41180</v>
      </c>
      <c r="D111" t="str">
        <f>VLOOKUP($A111,Table1[#This Row],COLUMN(D110), FALSE)</f>
        <v>Adam Shillingsburg</v>
      </c>
      <c r="E111" t="str">
        <f>VLOOKUP($A111,Table1[#This Row],COLUMN(E110), FALSE)</f>
        <v>United States</v>
      </c>
      <c r="F111" t="str">
        <f>VLOOKUP($A111,Table1[#This Row],COLUMN(F110), FALSE)</f>
        <v>Eastern US</v>
      </c>
      <c r="G111" t="str">
        <f>VLOOKUP($A111,Table1[#This Row],COLUMN(G110), FALSE)</f>
        <v>Office Supplies</v>
      </c>
      <c r="H111" t="str">
        <f>VLOOKUP($A111,Table1[#This Row],COLUMN(H110), FALSE)</f>
        <v>Accessories</v>
      </c>
      <c r="I111">
        <f>VLOOKUP($A111,Table1[#This Row],COLUMN(I110), FALSE)</f>
        <v>13.04</v>
      </c>
      <c r="J111">
        <f>VLOOKUP($A111,Table1[#This Row],COLUMN(J110), FALSE)</f>
        <v>4</v>
      </c>
      <c r="K111">
        <f>VLOOKUP($A111,Table1[#This Row],COLUMN(K110), FALSE)</f>
        <v>0</v>
      </c>
      <c r="L111">
        <f>VLOOKUP($A111,Table1[#This Row],COLUMN(L110), FALSE)</f>
        <v>42.544024685653</v>
      </c>
      <c r="M111" t="str">
        <f>VLOOKUP($A111,Table1[#This Row],COLUMN(M110), FALSE)</f>
        <v>Medium</v>
      </c>
      <c r="N111" t="str">
        <f>VLOOKUP($A111,Table1[#This Row],COLUMN(N110), FALSE)</f>
        <v>Normal Order</v>
      </c>
      <c r="O111" t="str">
        <f>VLOOKUP($A111,Table1[#This Row],COLUMN(O110), FALSE)</f>
        <v>Adam Shillingsburg</v>
      </c>
      <c r="P111" t="str">
        <f>VLOOKUP($A111,Table1[#This Row],COLUMN(P110), FALSE)</f>
        <v>CA</v>
      </c>
      <c r="Q111" t="str">
        <f>VLOOKUP($A111,Table1[#This Row],COLUMN(Q110), FALSE)</f>
        <v>2012</v>
      </c>
      <c r="R111" t="str">
        <f>VLOOKUP($A111,Table1[#This Row],COLUMN(R110), FALSE)</f>
        <v>MEDIUM</v>
      </c>
      <c r="S111" t="str">
        <f>VLOOKUP($A111,Table1[#This Row],COLUMN(S110), FALSE)</f>
        <v>office supplies</v>
      </c>
      <c r="T111" t="str">
        <f>VLOOKUP($A111,Table1[#This Row],COLUMN(T110), FALSE)</f>
        <v>1173#</v>
      </c>
      <c r="U111" t="str">
        <f>VLOOKUP($A111,Table1[#This Row],COLUMN(U110), FALSE)</f>
        <v>AS10090140</v>
      </c>
      <c r="V111" t="str">
        <f>VLOOKUP($A111,Table1[#This Row],COLUMN(V110), FALSE)</f>
        <v>CA</v>
      </c>
      <c r="W111">
        <f>VLOOKUP($A111,Table1[#This Row],COLUMN(W110), FALSE)</f>
        <v>2012</v>
      </c>
      <c r="X111" t="str">
        <f>VLOOKUP($A111,Table1[#This Row],COLUMN(X110), FALSE)</f>
        <v>AS10090140</v>
      </c>
      <c r="Y111" t="str">
        <f>VLOOKUP($A111,Table1[#This Row],COLUMN(Y110), FALSE)</f>
        <v>41173#</v>
      </c>
      <c r="Z111" t="str">
        <f>VLOOKUP($A111,Table1[#This Row],COLUMN(Z110), FALSE)</f>
        <v>CA-2012-AS10090140-41173#</v>
      </c>
      <c r="AA111">
        <f>VLOOKUP($A111,Table1[#This Row],COLUMN(AA110), FALSE)</f>
        <v>2012</v>
      </c>
      <c r="AB111">
        <f>VLOOKUP($A111,Table1[#This Row],COLUMN(AB110), FALSE)</f>
        <v>9</v>
      </c>
      <c r="AC111">
        <f>VLOOKUP($A111,Table1[#This Row],COLUMN(AC110), FALSE)</f>
        <v>6</v>
      </c>
      <c r="AD111">
        <f>VLOOKUP($A111,Table1[#This Row],COLUMN(AD110), FALSE)</f>
        <v>7</v>
      </c>
    </row>
    <row r="112" spans="1:30" ht="15.75">
      <c r="A112" s="53" t="s">
        <v>807</v>
      </c>
      <c r="B112" s="52">
        <f>VLOOKUP($A112,Table1[#This Row],COLUMN(B111), FALSE)</f>
        <v>41159</v>
      </c>
      <c r="C112" s="52">
        <f>VLOOKUP($A112,Table1[#This Row],COLUMN(C111), FALSE)</f>
        <v>41161</v>
      </c>
      <c r="D112" t="str">
        <f>VLOOKUP($A112,Table1[#This Row],COLUMN(D111), FALSE)</f>
        <v>Dennis Bolton</v>
      </c>
      <c r="E112" t="str">
        <f>VLOOKUP($A112,Table1[#This Row],COLUMN(E111), FALSE)</f>
        <v>zambia</v>
      </c>
      <c r="F112" t="str">
        <f>VLOOKUP($A112,Table1[#This Row],COLUMN(F111), FALSE)</f>
        <v>Eastern Africa</v>
      </c>
      <c r="G112" t="str">
        <f>VLOOKUP($A112,Table1[#This Row],COLUMN(G111), FALSE)</f>
        <v>Furniture</v>
      </c>
      <c r="H112" t="str">
        <f>VLOOKUP($A112,Table1[#This Row],COLUMN(H111), FALSE)</f>
        <v>Copiers</v>
      </c>
      <c r="I112">
        <f>VLOOKUP($A112,Table1[#This Row],COLUMN(I111), FALSE)</f>
        <v>2134.4399999999901</v>
      </c>
      <c r="J112">
        <f>VLOOKUP($A112,Table1[#This Row],COLUMN(J111), FALSE)</f>
        <v>4</v>
      </c>
      <c r="K112">
        <f>VLOOKUP($A112,Table1[#This Row],COLUMN(K111), FALSE)</f>
        <v>0</v>
      </c>
      <c r="L112">
        <f>VLOOKUP($A112,Table1[#This Row],COLUMN(L111), FALSE)</f>
        <v>682.92</v>
      </c>
      <c r="M112" t="str">
        <f>VLOOKUP($A112,Table1[#This Row],COLUMN(M111), FALSE)</f>
        <v>Critical</v>
      </c>
      <c r="N112" t="str">
        <f>VLOOKUP($A112,Table1[#This Row],COLUMN(N111), FALSE)</f>
        <v>Normal Order</v>
      </c>
      <c r="O112" t="str">
        <f>VLOOKUP($A112,Table1[#This Row],COLUMN(O111), FALSE)</f>
        <v>Dennis Bolton</v>
      </c>
      <c r="P112" t="str">
        <f>VLOOKUP($A112,Table1[#This Row],COLUMN(P111), FALSE)</f>
        <v>ZA</v>
      </c>
      <c r="Q112" t="str">
        <f>VLOOKUP($A112,Table1[#This Row],COLUMN(Q111), FALSE)</f>
        <v>2012</v>
      </c>
      <c r="R112" t="str">
        <f>VLOOKUP($A112,Table1[#This Row],COLUMN(R111), FALSE)</f>
        <v>CRITICAL</v>
      </c>
      <c r="S112" t="str">
        <f>VLOOKUP($A112,Table1[#This Row],COLUMN(S111), FALSE)</f>
        <v>furniture</v>
      </c>
      <c r="T112" t="str">
        <f>VLOOKUP($A112,Table1[#This Row],COLUMN(T111), FALSE)</f>
        <v>41159</v>
      </c>
      <c r="U112" t="str">
        <f>VLOOKUP($A112,Table1[#This Row],COLUMN(U111), FALSE)</f>
        <v>DB3360146</v>
      </c>
      <c r="V112" t="str">
        <f>VLOOKUP($A112,Table1[#This Row],COLUMN(V111), FALSE)</f>
        <v>ZA</v>
      </c>
      <c r="W112">
        <f>VLOOKUP($A112,Table1[#This Row],COLUMN(W111), FALSE)</f>
        <v>2012</v>
      </c>
      <c r="X112" t="str">
        <f>VLOOKUP($A112,Table1[#This Row],COLUMN(X111), FALSE)</f>
        <v>DB3360146</v>
      </c>
      <c r="Y112">
        <f>VLOOKUP($A112,Table1[#This Row],COLUMN(Y111), FALSE)</f>
        <v>41159</v>
      </c>
      <c r="Z112" t="str">
        <f>VLOOKUP($A112,Table1[#This Row],COLUMN(Z111), FALSE)</f>
        <v>ZA-2012-DB3360146-41159</v>
      </c>
      <c r="AA112">
        <f>VLOOKUP($A112,Table1[#This Row],COLUMN(AA111), FALSE)</f>
        <v>2012</v>
      </c>
      <c r="AB112">
        <f>VLOOKUP($A112,Table1[#This Row],COLUMN(AB111), FALSE)</f>
        <v>9</v>
      </c>
      <c r="AC112">
        <f>VLOOKUP($A112,Table1[#This Row],COLUMN(AC111), FALSE)</f>
        <v>6</v>
      </c>
      <c r="AD112">
        <f>VLOOKUP($A112,Table1[#This Row],COLUMN(AD111), FALSE)</f>
        <v>2</v>
      </c>
    </row>
    <row r="113" spans="1:30" ht="15.75">
      <c r="A113" s="54" t="s">
        <v>819</v>
      </c>
      <c r="B113" s="52">
        <f>VLOOKUP($A113,Table1[#This Row],COLUMN(B112), FALSE)</f>
        <v>41741</v>
      </c>
      <c r="C113" s="52">
        <f>VLOOKUP($A113,Table1[#This Row],COLUMN(C112), FALSE)</f>
        <v>41743</v>
      </c>
      <c r="D113" t="str">
        <f>VLOOKUP($A113,Table1[#This Row],COLUMN(D112), FALSE)</f>
        <v>Neil FranzÃ¶sisch</v>
      </c>
      <c r="E113" t="str">
        <f>VLOOKUP($A113,Table1[#This Row],COLUMN(E112), FALSE)</f>
        <v xml:space="preserve"> China </v>
      </c>
      <c r="F113" t="str">
        <f>VLOOKUP($A113,Table1[#This Row],COLUMN(F112), FALSE)</f>
        <v>Eastern Asia</v>
      </c>
      <c r="G113" t="str">
        <f>VLOOKUP($A113,Table1[#This Row],COLUMN(G112), FALSE)</f>
        <v>Office Supplies</v>
      </c>
      <c r="H113" t="str">
        <f>VLOOKUP($A113,Table1[#This Row],COLUMN(H112), FALSE)</f>
        <v>Binders</v>
      </c>
      <c r="I113">
        <f>VLOOKUP($A113,Table1[#This Row],COLUMN(I112), FALSE)</f>
        <v>899.55</v>
      </c>
      <c r="J113">
        <f>VLOOKUP($A113,Table1[#This Row],COLUMN(J112), FALSE)</f>
        <v>3</v>
      </c>
      <c r="K113">
        <f>VLOOKUP($A113,Table1[#This Row],COLUMN(K112), FALSE)</f>
        <v>0</v>
      </c>
      <c r="L113">
        <f>VLOOKUP($A113,Table1[#This Row],COLUMN(L112), FALSE)</f>
        <v>323.82</v>
      </c>
      <c r="M113" t="str">
        <f>VLOOKUP($A113,Table1[#This Row],COLUMN(M112), FALSE)</f>
        <v>Critical</v>
      </c>
      <c r="N113" t="str">
        <f>VLOOKUP($A113,Table1[#This Row],COLUMN(N112), FALSE)</f>
        <v>Normal Order</v>
      </c>
      <c r="O113" t="str">
        <f>VLOOKUP($A113,Table1[#This Row],COLUMN(O112), FALSE)</f>
        <v>Neil Franzã¶Sisch</v>
      </c>
      <c r="P113" t="str">
        <f>VLOOKUP($A113,Table1[#This Row],COLUMN(P112), FALSE)</f>
        <v>IN</v>
      </c>
      <c r="Q113" t="str">
        <f>VLOOKUP($A113,Table1[#This Row],COLUMN(Q112), FALSE)</f>
        <v>2014</v>
      </c>
      <c r="R113" t="str">
        <f>VLOOKUP($A113,Table1[#This Row],COLUMN(R112), FALSE)</f>
        <v>CRITICAL</v>
      </c>
      <c r="S113" t="str">
        <f>VLOOKUP($A113,Table1[#This Row],COLUMN(S112), FALSE)</f>
        <v>office supplies</v>
      </c>
      <c r="T113" t="str">
        <f>VLOOKUP($A113,Table1[#This Row],COLUMN(T112), FALSE)</f>
        <v>41741</v>
      </c>
      <c r="U113" t="str">
        <f>VLOOKUP($A113,Table1[#This Row],COLUMN(U112), FALSE)</f>
        <v>NF1847527</v>
      </c>
      <c r="V113" t="str">
        <f>VLOOKUP($A113,Table1[#This Row],COLUMN(V112), FALSE)</f>
        <v>IN</v>
      </c>
      <c r="W113">
        <f>VLOOKUP($A113,Table1[#This Row],COLUMN(W112), FALSE)</f>
        <v>2014</v>
      </c>
      <c r="X113" t="str">
        <f>VLOOKUP($A113,Table1[#This Row],COLUMN(X112), FALSE)</f>
        <v>NF1847527</v>
      </c>
      <c r="Y113">
        <f>VLOOKUP($A113,Table1[#This Row],COLUMN(Y112), FALSE)</f>
        <v>41741</v>
      </c>
      <c r="Z113" t="str">
        <f>VLOOKUP($A113,Table1[#This Row],COLUMN(Z112), FALSE)</f>
        <v>IN-2014-NF1847527-41741</v>
      </c>
      <c r="AA113">
        <f>VLOOKUP($A113,Table1[#This Row],COLUMN(AA112), FALSE)</f>
        <v>2014</v>
      </c>
      <c r="AB113">
        <f>VLOOKUP($A113,Table1[#This Row],COLUMN(AB112), FALSE)</f>
        <v>4</v>
      </c>
      <c r="AC113">
        <f>VLOOKUP($A113,Table1[#This Row],COLUMN(AC112), FALSE)</f>
        <v>7</v>
      </c>
      <c r="AD113">
        <f>VLOOKUP($A113,Table1[#This Row],COLUMN(AD112), FALSE)</f>
        <v>2</v>
      </c>
    </row>
    <row r="114" spans="1:30" ht="15.75">
      <c r="A114" s="53" t="s">
        <v>825</v>
      </c>
      <c r="B114" s="52">
        <f>VLOOKUP($A114,Table1[#This Row],COLUMN(B113), FALSE)</f>
        <v>41560</v>
      </c>
      <c r="C114" s="52">
        <f>VLOOKUP($A114,Table1[#This Row],COLUMN(C113), FALSE)</f>
        <v>41563</v>
      </c>
      <c r="D114" t="str">
        <f>VLOOKUP($A114,Table1[#This Row],COLUMN(D113), FALSE)</f>
        <v>Liz Carlisle</v>
      </c>
      <c r="E114" t="str">
        <f>VLOOKUP($A114,Table1[#This Row],COLUMN(E113), FALSE)</f>
        <v>New Zealand#</v>
      </c>
      <c r="F114" t="str">
        <f>VLOOKUP($A114,Table1[#This Row],COLUMN(F113), FALSE)</f>
        <v>Oceania</v>
      </c>
      <c r="G114" t="str">
        <f>VLOOKUP($A114,Table1[#This Row],COLUMN(G113), FALSE)</f>
        <v>Furniture</v>
      </c>
      <c r="H114" t="str">
        <f>VLOOKUP($A114,Table1[#This Row],COLUMN(H113), FALSE)</f>
        <v>Copiers</v>
      </c>
      <c r="I114">
        <f>VLOOKUP($A114,Table1[#This Row],COLUMN(I113), FALSE)</f>
        <v>1136.66399999999</v>
      </c>
      <c r="J114">
        <f>VLOOKUP($A114,Table1[#This Row],COLUMN(J113), FALSE)</f>
        <v>4</v>
      </c>
      <c r="K114">
        <f>VLOOKUP($A114,Table1[#This Row],COLUMN(K113), FALSE)</f>
        <v>0.4</v>
      </c>
      <c r="L114">
        <f>VLOOKUP($A114,Table1[#This Row],COLUMN(L113), FALSE)</f>
        <v>-189.45599999999899</v>
      </c>
      <c r="M114" t="str">
        <f>VLOOKUP($A114,Table1[#This Row],COLUMN(M113), FALSE)</f>
        <v>Critical</v>
      </c>
      <c r="N114" t="str">
        <f>VLOOKUP($A114,Table1[#This Row],COLUMN(N113), FALSE)</f>
        <v>Normal Order</v>
      </c>
      <c r="O114" t="str">
        <f>VLOOKUP($A114,Table1[#This Row],COLUMN(O113), FALSE)</f>
        <v>Liz Carlisle</v>
      </c>
      <c r="P114" t="str">
        <f>VLOOKUP($A114,Table1[#This Row],COLUMN(P113), FALSE)</f>
        <v>ID</v>
      </c>
      <c r="Q114" t="str">
        <f>VLOOKUP($A114,Table1[#This Row],COLUMN(Q113), FALSE)</f>
        <v>2013</v>
      </c>
      <c r="R114" t="str">
        <f>VLOOKUP($A114,Table1[#This Row],COLUMN(R113), FALSE)</f>
        <v>CRITICAL</v>
      </c>
      <c r="S114" t="str">
        <f>VLOOKUP($A114,Table1[#This Row],COLUMN(S113), FALSE)</f>
        <v>furniture</v>
      </c>
      <c r="T114" t="str">
        <f>VLOOKUP($A114,Table1[#This Row],COLUMN(T113), FALSE)</f>
        <v>41560</v>
      </c>
      <c r="U114" t="str">
        <f>VLOOKUP($A114,Table1[#This Row],COLUMN(U113), FALSE)</f>
        <v>LC1705092</v>
      </c>
      <c r="V114" t="str">
        <f>VLOOKUP($A114,Table1[#This Row],COLUMN(V113), FALSE)</f>
        <v>ID</v>
      </c>
      <c r="W114">
        <f>VLOOKUP($A114,Table1[#This Row],COLUMN(W113), FALSE)</f>
        <v>2013</v>
      </c>
      <c r="X114" t="str">
        <f>VLOOKUP($A114,Table1[#This Row],COLUMN(X113), FALSE)</f>
        <v>LC1705092</v>
      </c>
      <c r="Y114">
        <f>VLOOKUP($A114,Table1[#This Row],COLUMN(Y113), FALSE)</f>
        <v>41560</v>
      </c>
      <c r="Z114" t="str">
        <f>VLOOKUP($A114,Table1[#This Row],COLUMN(Z113), FALSE)</f>
        <v>ID-2013-LC1705092-41560</v>
      </c>
      <c r="AA114">
        <f>VLOOKUP($A114,Table1[#This Row],COLUMN(AA113), FALSE)</f>
        <v>2013</v>
      </c>
      <c r="AB114">
        <f>VLOOKUP($A114,Table1[#This Row],COLUMN(AB113), FALSE)</f>
        <v>10</v>
      </c>
      <c r="AC114">
        <f>VLOOKUP($A114,Table1[#This Row],COLUMN(AC113), FALSE)</f>
        <v>1</v>
      </c>
      <c r="AD114">
        <f>VLOOKUP($A114,Table1[#This Row],COLUMN(AD113), FALSE)</f>
        <v>3</v>
      </c>
    </row>
    <row r="115" spans="1:30" ht="15.75">
      <c r="A115" s="54" t="s">
        <v>827</v>
      </c>
      <c r="B115" s="52">
        <f>VLOOKUP($A115,Table1[#This Row],COLUMN(B114), FALSE)</f>
        <v>42034</v>
      </c>
      <c r="C115" s="52">
        <f>VLOOKUP($A115,Table1[#This Row],COLUMN(C114), FALSE)</f>
        <v>42038</v>
      </c>
      <c r="D115" t="str">
        <f>VLOOKUP($A115,Table1[#This Row],COLUMN(D114), FALSE)</f>
        <v>Ruben Ausman</v>
      </c>
      <c r="E115" t="str">
        <f>VLOOKUP($A115,Table1[#This Row],COLUMN(E114), FALSE)</f>
        <v>China</v>
      </c>
      <c r="F115" t="str">
        <f>VLOOKUP($A115,Table1[#This Row],COLUMN(F114), FALSE)</f>
        <v>Eastern Asia</v>
      </c>
      <c r="G115" t="str">
        <f>VLOOKUP($A115,Table1[#This Row],COLUMN(G114), FALSE)</f>
        <v>Furniture</v>
      </c>
      <c r="H115" t="str">
        <f>VLOOKUP($A115,Table1[#This Row],COLUMN(H114), FALSE)</f>
        <v>Phones</v>
      </c>
      <c r="I115">
        <f>VLOOKUP($A115,Table1[#This Row],COLUMN(I114), FALSE)</f>
        <v>2300.99999999999</v>
      </c>
      <c r="J115">
        <f>VLOOKUP($A115,Table1[#This Row],COLUMN(J114), FALSE)</f>
        <v>5</v>
      </c>
      <c r="K115">
        <f>VLOOKUP($A115,Table1[#This Row],COLUMN(K114), FALSE)</f>
        <v>0</v>
      </c>
      <c r="L115">
        <f>VLOOKUP($A115,Table1[#This Row],COLUMN(L114), FALSE)</f>
        <v>91.95</v>
      </c>
      <c r="M115" t="str">
        <f>VLOOKUP($A115,Table1[#This Row],COLUMN(M114), FALSE)</f>
        <v>High</v>
      </c>
      <c r="N115" t="str">
        <f>VLOOKUP($A115,Table1[#This Row],COLUMN(N114), FALSE)</f>
        <v>Normal Order</v>
      </c>
      <c r="O115" t="str">
        <f>VLOOKUP($A115,Table1[#This Row],COLUMN(O114), FALSE)</f>
        <v>Ruben Ausman</v>
      </c>
      <c r="P115" t="str">
        <f>VLOOKUP($A115,Table1[#This Row],COLUMN(P114), FALSE)</f>
        <v>IN</v>
      </c>
      <c r="Q115" t="str">
        <f>VLOOKUP($A115,Table1[#This Row],COLUMN(Q114), FALSE)</f>
        <v>2015</v>
      </c>
      <c r="R115" t="str">
        <f>VLOOKUP($A115,Table1[#This Row],COLUMN(R114), FALSE)</f>
        <v>HIGH</v>
      </c>
      <c r="S115" t="str">
        <f>VLOOKUP($A115,Table1[#This Row],COLUMN(S114), FALSE)</f>
        <v>furniture</v>
      </c>
      <c r="T115" t="str">
        <f>VLOOKUP($A115,Table1[#This Row],COLUMN(T114), FALSE)</f>
        <v>42034</v>
      </c>
      <c r="U115" t="str">
        <f>VLOOKUP($A115,Table1[#This Row],COLUMN(U114), FALSE)</f>
        <v>RA1988527</v>
      </c>
      <c r="V115" t="str">
        <f>VLOOKUP($A115,Table1[#This Row],COLUMN(V114), FALSE)</f>
        <v>IN</v>
      </c>
      <c r="W115">
        <f>VLOOKUP($A115,Table1[#This Row],COLUMN(W114), FALSE)</f>
        <v>2015</v>
      </c>
      <c r="X115" t="str">
        <f>VLOOKUP($A115,Table1[#This Row],COLUMN(X114), FALSE)</f>
        <v>RA1988527</v>
      </c>
      <c r="Y115">
        <f>VLOOKUP($A115,Table1[#This Row],COLUMN(Y114), FALSE)</f>
        <v>42034</v>
      </c>
      <c r="Z115" t="str">
        <f>VLOOKUP($A115,Table1[#This Row],COLUMN(Z114), FALSE)</f>
        <v>IN-2015-RA1988527-42034</v>
      </c>
      <c r="AA115">
        <f>VLOOKUP($A115,Table1[#This Row],COLUMN(AA114), FALSE)</f>
        <v>2015</v>
      </c>
      <c r="AB115">
        <f>VLOOKUP($A115,Table1[#This Row],COLUMN(AB114), FALSE)</f>
        <v>1</v>
      </c>
      <c r="AC115">
        <f>VLOOKUP($A115,Table1[#This Row],COLUMN(AC114), FALSE)</f>
        <v>6</v>
      </c>
      <c r="AD115">
        <f>VLOOKUP($A115,Table1[#This Row],COLUMN(AD114), FALSE)</f>
        <v>4</v>
      </c>
    </row>
    <row r="116" spans="1:30" ht="15.75">
      <c r="A116" s="53" t="s">
        <v>831</v>
      </c>
      <c r="B116" s="52">
        <f>VLOOKUP($A116,Table1[#This Row],COLUMN(B115), FALSE)</f>
        <v>42161</v>
      </c>
      <c r="C116" s="52">
        <f>VLOOKUP($A116,Table1[#This Row],COLUMN(C115), FALSE)</f>
        <v>42162</v>
      </c>
      <c r="D116" t="str">
        <f>VLOOKUP($A116,Table1[#This Row],COLUMN(D115), FALSE)</f>
        <v>Adrian Barton</v>
      </c>
      <c r="E116" t="str">
        <f>VLOOKUP($A116,Table1[#This Row],COLUMN(E115), FALSE)</f>
        <v>United States</v>
      </c>
      <c r="F116" t="str">
        <f>VLOOKUP($A116,Table1[#This Row],COLUMN(F115), FALSE)</f>
        <v>Central US</v>
      </c>
      <c r="G116" t="str">
        <f>VLOOKUP($A116,Table1[#This Row],COLUMN(G115), FALSE)</f>
        <v>Technology</v>
      </c>
      <c r="H116" t="str">
        <f>VLOOKUP($A116,Table1[#This Row],COLUMN(H115), FALSE)</f>
        <v>Chairs</v>
      </c>
      <c r="I116">
        <f>VLOOKUP($A116,Table1[#This Row],COLUMN(I115), FALSE)</f>
        <v>470.37599999999998</v>
      </c>
      <c r="J116">
        <f>VLOOKUP($A116,Table1[#This Row],COLUMN(J115), FALSE)</f>
        <v>3</v>
      </c>
      <c r="K116">
        <f>VLOOKUP($A116,Table1[#This Row],COLUMN(K115), FALSE)</f>
        <v>0.2</v>
      </c>
      <c r="L116">
        <f>VLOOKUP($A116,Table1[#This Row],COLUMN(L115), FALSE)</f>
        <v>52.917299999999898</v>
      </c>
      <c r="M116" t="str">
        <f>VLOOKUP($A116,Table1[#This Row],COLUMN(M115), FALSE)</f>
        <v>High</v>
      </c>
      <c r="N116" t="str">
        <f>VLOOKUP($A116,Table1[#This Row],COLUMN(N115), FALSE)</f>
        <v>Normal Order</v>
      </c>
      <c r="O116" t="str">
        <f>VLOOKUP($A116,Table1[#This Row],COLUMN(O115), FALSE)</f>
        <v>Adrian Barton</v>
      </c>
      <c r="P116" t="str">
        <f>VLOOKUP($A116,Table1[#This Row],COLUMN(P115), FALSE)</f>
        <v>CA</v>
      </c>
      <c r="Q116" t="str">
        <f>VLOOKUP($A116,Table1[#This Row],COLUMN(Q115), FALSE)</f>
        <v>2015</v>
      </c>
      <c r="R116" t="str">
        <f>VLOOKUP($A116,Table1[#This Row],COLUMN(R115), FALSE)</f>
        <v>HIGH</v>
      </c>
      <c r="S116" t="str">
        <f>VLOOKUP($A116,Table1[#This Row],COLUMN(S115), FALSE)</f>
        <v>technology</v>
      </c>
      <c r="T116" t="str">
        <f>VLOOKUP($A116,Table1[#This Row],COLUMN(T115), FALSE)</f>
        <v>42161</v>
      </c>
      <c r="U116" t="str">
        <f>VLOOKUP($A116,Table1[#This Row],COLUMN(U115), FALSE)</f>
        <v>AB10105140</v>
      </c>
      <c r="V116" t="str">
        <f>VLOOKUP($A116,Table1[#This Row],COLUMN(V115), FALSE)</f>
        <v>CA</v>
      </c>
      <c r="W116">
        <f>VLOOKUP($A116,Table1[#This Row],COLUMN(W115), FALSE)</f>
        <v>2015</v>
      </c>
      <c r="X116" t="str">
        <f>VLOOKUP($A116,Table1[#This Row],COLUMN(X115), FALSE)</f>
        <v>AB10105140</v>
      </c>
      <c r="Y116">
        <f>VLOOKUP($A116,Table1[#This Row],COLUMN(Y115), FALSE)</f>
        <v>42161</v>
      </c>
      <c r="Z116" t="str">
        <f>VLOOKUP($A116,Table1[#This Row],COLUMN(Z115), FALSE)</f>
        <v>CA-2015-AB10105140-42161</v>
      </c>
      <c r="AA116">
        <f>VLOOKUP($A116,Table1[#This Row],COLUMN(AA115), FALSE)</f>
        <v>2015</v>
      </c>
      <c r="AB116">
        <f>VLOOKUP($A116,Table1[#This Row],COLUMN(AB115), FALSE)</f>
        <v>6</v>
      </c>
      <c r="AC116">
        <f>VLOOKUP($A116,Table1[#This Row],COLUMN(AC115), FALSE)</f>
        <v>7</v>
      </c>
      <c r="AD116">
        <f>VLOOKUP($A116,Table1[#This Row],COLUMN(AD115), FALSE)</f>
        <v>1</v>
      </c>
    </row>
    <row r="117" spans="1:30" ht="15.75">
      <c r="A117" s="54" t="s">
        <v>834</v>
      </c>
      <c r="B117" s="52">
        <f>VLOOKUP($A117,Table1[#This Row],COLUMN(B116), FALSE)</f>
        <v>41901</v>
      </c>
      <c r="C117" s="52">
        <f>VLOOKUP($A117,Table1[#This Row],COLUMN(C116), FALSE)</f>
        <v>41905</v>
      </c>
      <c r="D117" t="str">
        <f>VLOOKUP($A117,Table1[#This Row],COLUMN(D116), FALSE)</f>
        <v>Eric Murdock</v>
      </c>
      <c r="E117" t="str">
        <f>VLOOKUP($A117,Table1[#This Row],COLUMN(E116), FALSE)</f>
        <v>India</v>
      </c>
      <c r="F117" t="str">
        <f>VLOOKUP($A117,Table1[#This Row],COLUMN(F116), FALSE)</f>
        <v>Southern Asia</v>
      </c>
      <c r="G117" t="str">
        <f>VLOOKUP($A117,Table1[#This Row],COLUMN(G116), FALSE)</f>
        <v>Office Supplies</v>
      </c>
      <c r="H117" t="str">
        <f>VLOOKUP($A117,Table1[#This Row],COLUMN(H116), FALSE)</f>
        <v>Chairs</v>
      </c>
      <c r="I117">
        <f>VLOOKUP($A117,Table1[#This Row],COLUMN(I116), FALSE)</f>
        <v>2249.16</v>
      </c>
      <c r="J117">
        <f>VLOOKUP($A117,Table1[#This Row],COLUMN(J116), FALSE)</f>
        <v>4</v>
      </c>
      <c r="K117">
        <f>VLOOKUP($A117,Table1[#This Row],COLUMN(K116), FALSE)</f>
        <v>0</v>
      </c>
      <c r="L117">
        <f>VLOOKUP($A117,Table1[#This Row],COLUMN(L116), FALSE)</f>
        <v>224.88</v>
      </c>
      <c r="M117" t="str">
        <f>VLOOKUP($A117,Table1[#This Row],COLUMN(M116), FALSE)</f>
        <v>High</v>
      </c>
      <c r="N117" t="str">
        <f>VLOOKUP($A117,Table1[#This Row],COLUMN(N116), FALSE)</f>
        <v>Normal Order</v>
      </c>
      <c r="O117" t="str">
        <f>VLOOKUP($A117,Table1[#This Row],COLUMN(O116), FALSE)</f>
        <v>Eric Murdock</v>
      </c>
      <c r="P117" t="str">
        <f>VLOOKUP($A117,Table1[#This Row],COLUMN(P116), FALSE)</f>
        <v>ID</v>
      </c>
      <c r="Q117" t="str">
        <f>VLOOKUP($A117,Table1[#This Row],COLUMN(Q116), FALSE)</f>
        <v>2014</v>
      </c>
      <c r="R117" t="str">
        <f>VLOOKUP($A117,Table1[#This Row],COLUMN(R116), FALSE)</f>
        <v>HIGH</v>
      </c>
      <c r="S117" t="str">
        <f>VLOOKUP($A117,Table1[#This Row],COLUMN(S116), FALSE)</f>
        <v>office supplies</v>
      </c>
      <c r="T117" t="str">
        <f>VLOOKUP($A117,Table1[#This Row],COLUMN(T116), FALSE)</f>
        <v>41901</v>
      </c>
      <c r="U117" t="str">
        <f>VLOOKUP($A117,Table1[#This Row],COLUMN(U116), FALSE)</f>
        <v>EM1396058</v>
      </c>
      <c r="V117" t="str">
        <f>VLOOKUP($A117,Table1[#This Row],COLUMN(V116), FALSE)</f>
        <v>ID</v>
      </c>
      <c r="W117">
        <f>VLOOKUP($A117,Table1[#This Row],COLUMN(W116), FALSE)</f>
        <v>2014</v>
      </c>
      <c r="X117" t="str">
        <f>VLOOKUP($A117,Table1[#This Row],COLUMN(X116), FALSE)</f>
        <v>EM1396058</v>
      </c>
      <c r="Y117">
        <f>VLOOKUP($A117,Table1[#This Row],COLUMN(Y116), FALSE)</f>
        <v>41901</v>
      </c>
      <c r="Z117" t="str">
        <f>VLOOKUP($A117,Table1[#This Row],COLUMN(Z116), FALSE)</f>
        <v>ID-2014-EM1396058-41901</v>
      </c>
      <c r="AA117">
        <f>VLOOKUP($A117,Table1[#This Row],COLUMN(AA116), FALSE)</f>
        <v>2014</v>
      </c>
      <c r="AB117">
        <f>VLOOKUP($A117,Table1[#This Row],COLUMN(AB116), FALSE)</f>
        <v>9</v>
      </c>
      <c r="AC117">
        <f>VLOOKUP($A117,Table1[#This Row],COLUMN(AC116), FALSE)</f>
        <v>6</v>
      </c>
      <c r="AD117">
        <f>VLOOKUP($A117,Table1[#This Row],COLUMN(AD116), FALSE)</f>
        <v>4</v>
      </c>
    </row>
    <row r="118" spans="1:30" ht="15.75">
      <c r="A118" s="53" t="s">
        <v>841</v>
      </c>
      <c r="B118" s="52">
        <f>VLOOKUP($A118,Table1[#This Row],COLUMN(B117), FALSE)</f>
        <v>41262</v>
      </c>
      <c r="C118" s="52">
        <f>VLOOKUP($A118,Table1[#This Row],COLUMN(C117), FALSE)</f>
        <v>41265</v>
      </c>
      <c r="D118" t="str">
        <f>VLOOKUP($A118,Table1[#This Row],COLUMN(D117), FALSE)</f>
        <v>Adrian Barton</v>
      </c>
      <c r="E118" t="str">
        <f>VLOOKUP($A118,Table1[#This Row],COLUMN(E117), FALSE)</f>
        <v>united states</v>
      </c>
      <c r="F118" t="str">
        <f>VLOOKUP($A118,Table1[#This Row],COLUMN(F117), FALSE)</f>
        <v>Central US</v>
      </c>
      <c r="G118" t="str">
        <f>VLOOKUP($A118,Table1[#This Row],COLUMN(G117), FALSE)</f>
        <v>Office Supplies</v>
      </c>
      <c r="H118" t="str">
        <f>VLOOKUP($A118,Table1[#This Row],COLUMN(H117), FALSE)</f>
        <v>Tables</v>
      </c>
      <c r="I118">
        <f>VLOOKUP($A118,Table1[#This Row],COLUMN(I117), FALSE)</f>
        <v>1103.97</v>
      </c>
      <c r="J118">
        <f>VLOOKUP($A118,Table1[#This Row],COLUMN(J117), FALSE)</f>
        <v>3</v>
      </c>
      <c r="K118">
        <f>VLOOKUP($A118,Table1[#This Row],COLUMN(K117), FALSE)</f>
        <v>0</v>
      </c>
      <c r="L118">
        <f>VLOOKUP($A118,Table1[#This Row],COLUMN(L117), FALSE)</f>
        <v>496.78649999999902</v>
      </c>
      <c r="M118" t="str">
        <f>VLOOKUP($A118,Table1[#This Row],COLUMN(M117), FALSE)</f>
        <v>Medium</v>
      </c>
      <c r="N118" t="str">
        <f>VLOOKUP($A118,Table1[#This Row],COLUMN(N117), FALSE)</f>
        <v>Normal Order</v>
      </c>
      <c r="O118" t="str">
        <f>VLOOKUP($A118,Table1[#This Row],COLUMN(O117), FALSE)</f>
        <v>Adrian Barton</v>
      </c>
      <c r="P118" t="str">
        <f>VLOOKUP($A118,Table1[#This Row],COLUMN(P117), FALSE)</f>
        <v>CA</v>
      </c>
      <c r="Q118" t="str">
        <f>VLOOKUP($A118,Table1[#This Row],COLUMN(Q117), FALSE)</f>
        <v>2012</v>
      </c>
      <c r="R118" t="str">
        <f>VLOOKUP($A118,Table1[#This Row],COLUMN(R117), FALSE)</f>
        <v>MEDIUM</v>
      </c>
      <c r="S118" t="str">
        <f>VLOOKUP($A118,Table1[#This Row],COLUMN(S117), FALSE)</f>
        <v>office supplies</v>
      </c>
      <c r="T118" t="str">
        <f>VLOOKUP($A118,Table1[#This Row],COLUMN(T117), FALSE)</f>
        <v>41262</v>
      </c>
      <c r="U118" t="str">
        <f>VLOOKUP($A118,Table1[#This Row],COLUMN(U117), FALSE)</f>
        <v>AB10105140</v>
      </c>
      <c r="V118" t="str">
        <f>VLOOKUP($A118,Table1[#This Row],COLUMN(V117), FALSE)</f>
        <v>CA</v>
      </c>
      <c r="W118">
        <f>VLOOKUP($A118,Table1[#This Row],COLUMN(W117), FALSE)</f>
        <v>2012</v>
      </c>
      <c r="X118" t="str">
        <f>VLOOKUP($A118,Table1[#This Row],COLUMN(X117), FALSE)</f>
        <v>AB10105140</v>
      </c>
      <c r="Y118">
        <f>VLOOKUP($A118,Table1[#This Row],COLUMN(Y117), FALSE)</f>
        <v>41262</v>
      </c>
      <c r="Z118" t="str">
        <f>VLOOKUP($A118,Table1[#This Row],COLUMN(Z117), FALSE)</f>
        <v>CA-2012-AB10105140-41262</v>
      </c>
      <c r="AA118">
        <f>VLOOKUP($A118,Table1[#This Row],COLUMN(AA117), FALSE)</f>
        <v>2012</v>
      </c>
      <c r="AB118">
        <f>VLOOKUP($A118,Table1[#This Row],COLUMN(AB117), FALSE)</f>
        <v>12</v>
      </c>
      <c r="AC118">
        <f>VLOOKUP($A118,Table1[#This Row],COLUMN(AC117), FALSE)</f>
        <v>4</v>
      </c>
      <c r="AD118">
        <f>VLOOKUP($A118,Table1[#This Row],COLUMN(AD117), FALSE)</f>
        <v>3</v>
      </c>
    </row>
    <row r="119" spans="1:30" ht="15.75">
      <c r="A119" s="54" t="s">
        <v>842</v>
      </c>
      <c r="B119" s="52">
        <f>VLOOKUP($A119,Table1[#This Row],COLUMN(B118), FALSE)</f>
        <v>42143</v>
      </c>
      <c r="C119" s="52">
        <f>VLOOKUP($A119,Table1[#This Row],COLUMN(C118), FALSE)</f>
        <v>42145</v>
      </c>
      <c r="D119" t="str">
        <f>VLOOKUP($A119,Table1[#This Row],COLUMN(D118), FALSE)</f>
        <v>Adrian Barton</v>
      </c>
      <c r="E119" t="str">
        <f>VLOOKUP($A119,Table1[#This Row],COLUMN(E118), FALSE)</f>
        <v>United States</v>
      </c>
      <c r="F119" t="str">
        <f>VLOOKUP($A119,Table1[#This Row],COLUMN(F118), FALSE)</f>
        <v>Western US</v>
      </c>
      <c r="G119" t="str">
        <f>VLOOKUP($A119,Table1[#This Row],COLUMN(G118), FALSE)</f>
        <v>Technology</v>
      </c>
      <c r="H119" t="str">
        <f>VLOOKUP($A119,Table1[#This Row],COLUMN(H118), FALSE)</f>
        <v>Phones</v>
      </c>
      <c r="I119">
        <f>VLOOKUP($A119,Table1[#This Row],COLUMN(I118), FALSE)</f>
        <v>344.70400000000001</v>
      </c>
      <c r="J119">
        <f>VLOOKUP($A119,Table1[#This Row],COLUMN(J118), FALSE)</f>
        <v>2</v>
      </c>
      <c r="K119">
        <f>VLOOKUP($A119,Table1[#This Row],COLUMN(K118), FALSE)</f>
        <v>0.2</v>
      </c>
      <c r="L119">
        <f>VLOOKUP($A119,Table1[#This Row],COLUMN(L118), FALSE)</f>
        <v>38.779199999999904</v>
      </c>
      <c r="M119" t="str">
        <f>VLOOKUP($A119,Table1[#This Row],COLUMN(M118), FALSE)</f>
        <v>Medium</v>
      </c>
      <c r="N119" t="str">
        <f>VLOOKUP($A119,Table1[#This Row],COLUMN(N118), FALSE)</f>
        <v>Normal Order</v>
      </c>
      <c r="O119" t="str">
        <f>VLOOKUP($A119,Table1[#This Row],COLUMN(O118), FALSE)</f>
        <v>Adrian Barton</v>
      </c>
      <c r="P119" t="str">
        <f>VLOOKUP($A119,Table1[#This Row],COLUMN(P118), FALSE)</f>
        <v>CA</v>
      </c>
      <c r="Q119" t="str">
        <f>VLOOKUP($A119,Table1[#This Row],COLUMN(Q118), FALSE)</f>
        <v>2015</v>
      </c>
      <c r="R119" t="str">
        <f>VLOOKUP($A119,Table1[#This Row],COLUMN(R118), FALSE)</f>
        <v>MEDIUM</v>
      </c>
      <c r="S119" t="str">
        <f>VLOOKUP($A119,Table1[#This Row],COLUMN(S118), FALSE)</f>
        <v>technology</v>
      </c>
      <c r="T119" t="str">
        <f>VLOOKUP($A119,Table1[#This Row],COLUMN(T118), FALSE)</f>
        <v>42143</v>
      </c>
      <c r="U119" t="str">
        <f>VLOOKUP($A119,Table1[#This Row],COLUMN(U118), FALSE)</f>
        <v>AB10105140</v>
      </c>
      <c r="V119" t="str">
        <f>VLOOKUP($A119,Table1[#This Row],COLUMN(V118), FALSE)</f>
        <v>CA</v>
      </c>
      <c r="W119">
        <f>VLOOKUP($A119,Table1[#This Row],COLUMN(W118), FALSE)</f>
        <v>2015</v>
      </c>
      <c r="X119" t="str">
        <f>VLOOKUP($A119,Table1[#This Row],COLUMN(X118), FALSE)</f>
        <v>AB10105140</v>
      </c>
      <c r="Y119">
        <f>VLOOKUP($A119,Table1[#This Row],COLUMN(Y118), FALSE)</f>
        <v>42143</v>
      </c>
      <c r="Z119" t="str">
        <f>VLOOKUP($A119,Table1[#This Row],COLUMN(Z118), FALSE)</f>
        <v>CA-2015-AB10105140-42143</v>
      </c>
      <c r="AA119">
        <f>VLOOKUP($A119,Table1[#This Row],COLUMN(AA118), FALSE)</f>
        <v>2015</v>
      </c>
      <c r="AB119">
        <f>VLOOKUP($A119,Table1[#This Row],COLUMN(AB118), FALSE)</f>
        <v>5</v>
      </c>
      <c r="AC119">
        <f>VLOOKUP($A119,Table1[#This Row],COLUMN(AC118), FALSE)</f>
        <v>3</v>
      </c>
      <c r="AD119">
        <f>VLOOKUP($A119,Table1[#This Row],COLUMN(AD118), FALSE)</f>
        <v>2</v>
      </c>
    </row>
    <row r="120" spans="1:30" ht="15.75">
      <c r="A120" s="53" t="s">
        <v>845</v>
      </c>
      <c r="B120" s="52">
        <f>VLOOKUP($A120,Table1[#This Row],COLUMN(B119), FALSE)</f>
        <v>41807</v>
      </c>
      <c r="C120" s="52">
        <f>VLOOKUP($A120,Table1[#This Row],COLUMN(C119), FALSE)</f>
        <v>41809</v>
      </c>
      <c r="D120" t="str">
        <f>VLOOKUP($A120,Table1[#This Row],COLUMN(D119), FALSE)</f>
        <v>Stewart Visinsky</v>
      </c>
      <c r="E120" t="str">
        <f>VLOOKUP($A120,Table1[#This Row],COLUMN(E119), FALSE)</f>
        <v>France</v>
      </c>
      <c r="F120" t="str">
        <f>VLOOKUP($A120,Table1[#This Row],COLUMN(F119), FALSE)</f>
        <v>Western Europe</v>
      </c>
      <c r="G120" t="str">
        <f>VLOOKUP($A120,Table1[#This Row],COLUMN(G119), FALSE)</f>
        <v>Technology</v>
      </c>
      <c r="H120" t="str">
        <f>VLOOKUP($A120,Table1[#This Row],COLUMN(H119), FALSE)</f>
        <v>Accessories</v>
      </c>
      <c r="I120">
        <f>VLOOKUP($A120,Table1[#This Row],COLUMN(I119), FALSE)</f>
        <v>1244.0999999999999</v>
      </c>
      <c r="J120">
        <f>VLOOKUP($A120,Table1[#This Row],COLUMN(J119), FALSE)</f>
        <v>5</v>
      </c>
      <c r="K120">
        <f>VLOOKUP($A120,Table1[#This Row],COLUMN(K119), FALSE)</f>
        <v>0</v>
      </c>
      <c r="L120">
        <f>VLOOKUP($A120,Table1[#This Row],COLUMN(L119), FALSE)</f>
        <v>447.75</v>
      </c>
      <c r="M120" t="str">
        <f>VLOOKUP($A120,Table1[#This Row],COLUMN(M119), FALSE)</f>
        <v>High</v>
      </c>
      <c r="N120" t="str">
        <f>VLOOKUP($A120,Table1[#This Row],COLUMN(N119), FALSE)</f>
        <v>Normal Order</v>
      </c>
      <c r="O120" t="str">
        <f>VLOOKUP($A120,Table1[#This Row],COLUMN(O119), FALSE)</f>
        <v>Stewart Visinsky</v>
      </c>
      <c r="P120" t="str">
        <f>VLOOKUP($A120,Table1[#This Row],COLUMN(P119), FALSE)</f>
        <v>ES</v>
      </c>
      <c r="Q120" t="str">
        <f>VLOOKUP($A120,Table1[#This Row],COLUMN(Q119), FALSE)</f>
        <v>2014</v>
      </c>
      <c r="R120" t="str">
        <f>VLOOKUP($A120,Table1[#This Row],COLUMN(R119), FALSE)</f>
        <v>HIGH</v>
      </c>
      <c r="S120" t="str">
        <f>VLOOKUP($A120,Table1[#This Row],COLUMN(S119), FALSE)</f>
        <v>technology</v>
      </c>
      <c r="T120" t="str">
        <f>VLOOKUP($A120,Table1[#This Row],COLUMN(T119), FALSE)</f>
        <v>41807</v>
      </c>
      <c r="U120" t="str">
        <f>VLOOKUP($A120,Table1[#This Row],COLUMN(U119), FALSE)</f>
        <v>SV2078545</v>
      </c>
      <c r="V120" t="str">
        <f>VLOOKUP($A120,Table1[#This Row],COLUMN(V119), FALSE)</f>
        <v>ES</v>
      </c>
      <c r="W120">
        <f>VLOOKUP($A120,Table1[#This Row],COLUMN(W119), FALSE)</f>
        <v>2014</v>
      </c>
      <c r="X120" t="str">
        <f>VLOOKUP($A120,Table1[#This Row],COLUMN(X119), FALSE)</f>
        <v>SV2078545</v>
      </c>
      <c r="Y120">
        <f>VLOOKUP($A120,Table1[#This Row],COLUMN(Y119), FALSE)</f>
        <v>41807</v>
      </c>
      <c r="Z120" t="str">
        <f>VLOOKUP($A120,Table1[#This Row],COLUMN(Z119), FALSE)</f>
        <v>ES-2014-SV2078545-41807</v>
      </c>
      <c r="AA120">
        <f>VLOOKUP($A120,Table1[#This Row],COLUMN(AA119), FALSE)</f>
        <v>2014</v>
      </c>
      <c r="AB120">
        <f>VLOOKUP($A120,Table1[#This Row],COLUMN(AB119), FALSE)</f>
        <v>6</v>
      </c>
      <c r="AC120">
        <f>VLOOKUP($A120,Table1[#This Row],COLUMN(AC119), FALSE)</f>
        <v>3</v>
      </c>
      <c r="AD120">
        <f>VLOOKUP($A120,Table1[#This Row],COLUMN(AD119), FALSE)</f>
        <v>2</v>
      </c>
    </row>
    <row r="121" spans="1:30" ht="15.75">
      <c r="A121" s="54" t="s">
        <v>848</v>
      </c>
      <c r="B121" s="52">
        <f>VLOOKUP($A121,Table1[#This Row],COLUMN(B120), FALSE)</f>
        <v>42266</v>
      </c>
      <c r="C121" s="52">
        <f>VLOOKUP($A121,Table1[#This Row],COLUMN(C120), FALSE)</f>
        <v>42268</v>
      </c>
      <c r="D121" t="str">
        <f>VLOOKUP($A121,Table1[#This Row],COLUMN(D120), FALSE)</f>
        <v>Chad Sievert</v>
      </c>
      <c r="E121" t="str">
        <f>VLOOKUP($A121,Table1[#This Row],COLUMN(E120), FALSE)</f>
        <v>Australia</v>
      </c>
      <c r="F121" t="str">
        <f>VLOOKUP($A121,Table1[#This Row],COLUMN(F120), FALSE)</f>
        <v>Oceania</v>
      </c>
      <c r="G121" t="str">
        <f>VLOOKUP($A121,Table1[#This Row],COLUMN(G120), FALSE)</f>
        <v>Furniture</v>
      </c>
      <c r="H121" t="str">
        <f>VLOOKUP($A121,Table1[#This Row],COLUMN(H120), FALSE)</f>
        <v>Accessories</v>
      </c>
      <c r="I121">
        <f>VLOOKUP($A121,Table1[#This Row],COLUMN(I120), FALSE)</f>
        <v>1586.41199999999</v>
      </c>
      <c r="J121">
        <f>VLOOKUP($A121,Table1[#This Row],COLUMN(J120), FALSE)</f>
        <v>4</v>
      </c>
      <c r="K121">
        <f>VLOOKUP($A121,Table1[#This Row],COLUMN(K120), FALSE)</f>
        <v>0.1</v>
      </c>
      <c r="L121">
        <f>VLOOKUP($A121,Table1[#This Row],COLUMN(L120), FALSE)</f>
        <v>17.531999999999901</v>
      </c>
      <c r="M121" t="str">
        <f>VLOOKUP($A121,Table1[#This Row],COLUMN(M120), FALSE)</f>
        <v>High</v>
      </c>
      <c r="N121" t="str">
        <f>VLOOKUP($A121,Table1[#This Row],COLUMN(N120), FALSE)</f>
        <v>Normal Order</v>
      </c>
      <c r="O121" t="str">
        <f>VLOOKUP($A121,Table1[#This Row],COLUMN(O120), FALSE)</f>
        <v>Chad Sievert</v>
      </c>
      <c r="P121" t="str">
        <f>VLOOKUP($A121,Table1[#This Row],COLUMN(P120), FALSE)</f>
        <v>IN</v>
      </c>
      <c r="Q121" t="str">
        <f>VLOOKUP($A121,Table1[#This Row],COLUMN(Q120), FALSE)</f>
        <v>2015</v>
      </c>
      <c r="R121" t="str">
        <f>VLOOKUP($A121,Table1[#This Row],COLUMN(R120), FALSE)</f>
        <v>HIGH</v>
      </c>
      <c r="S121" t="str">
        <f>VLOOKUP($A121,Table1[#This Row],COLUMN(S120), FALSE)</f>
        <v>furniture</v>
      </c>
      <c r="T121" t="str">
        <f>VLOOKUP($A121,Table1[#This Row],COLUMN(T120), FALSE)</f>
        <v>42266</v>
      </c>
      <c r="U121" t="str">
        <f>VLOOKUP($A121,Table1[#This Row],COLUMN(U120), FALSE)</f>
        <v>CS121307</v>
      </c>
      <c r="V121" t="str">
        <f>VLOOKUP($A121,Table1[#This Row],COLUMN(V120), FALSE)</f>
        <v>IN</v>
      </c>
      <c r="W121">
        <f>VLOOKUP($A121,Table1[#This Row],COLUMN(W120), FALSE)</f>
        <v>2015</v>
      </c>
      <c r="X121" t="str">
        <f>VLOOKUP($A121,Table1[#This Row],COLUMN(X120), FALSE)</f>
        <v>CS121307</v>
      </c>
      <c r="Y121">
        <f>VLOOKUP($A121,Table1[#This Row],COLUMN(Y120), FALSE)</f>
        <v>42266</v>
      </c>
      <c r="Z121" t="str">
        <f>VLOOKUP($A121,Table1[#This Row],COLUMN(Z120), FALSE)</f>
        <v>IN-2015-CS121307-42266</v>
      </c>
      <c r="AA121">
        <f>VLOOKUP($A121,Table1[#This Row],COLUMN(AA120), FALSE)</f>
        <v>2015</v>
      </c>
      <c r="AB121">
        <f>VLOOKUP($A121,Table1[#This Row],COLUMN(AB120), FALSE)</f>
        <v>9</v>
      </c>
      <c r="AC121">
        <f>VLOOKUP($A121,Table1[#This Row],COLUMN(AC120), FALSE)</f>
        <v>7</v>
      </c>
      <c r="AD121">
        <f>VLOOKUP($A121,Table1[#This Row],COLUMN(AD120), FALSE)</f>
        <v>2</v>
      </c>
    </row>
    <row r="122" spans="1:30" ht="15.75">
      <c r="A122" s="53" t="s">
        <v>856</v>
      </c>
      <c r="B122" s="52">
        <f>VLOOKUP($A122,Table1[#This Row],COLUMN(B121), FALSE)</f>
        <v>42109</v>
      </c>
      <c r="C122" s="52">
        <f>VLOOKUP($A122,Table1[#This Row],COLUMN(C121), FALSE)</f>
        <v>42112</v>
      </c>
      <c r="D122" t="str">
        <f>VLOOKUP($A122,Table1[#This Row],COLUMN(D121), FALSE)</f>
        <v>Maureen Gastineau</v>
      </c>
      <c r="E122" t="str">
        <f>VLOOKUP($A122,Table1[#This Row],COLUMN(E121), FALSE)</f>
        <v xml:space="preserve"> Iran </v>
      </c>
      <c r="F122" t="str">
        <f>VLOOKUP($A122,Table1[#This Row],COLUMN(F121), FALSE)</f>
        <v>Southern Asia</v>
      </c>
      <c r="G122" t="str">
        <f>VLOOKUP($A122,Table1[#This Row],COLUMN(G121), FALSE)</f>
        <v>Furniture</v>
      </c>
      <c r="H122" t="str">
        <f>VLOOKUP($A122,Table1[#This Row],COLUMN(H121), FALSE)</f>
        <v>Appliances</v>
      </c>
      <c r="I122">
        <f>VLOOKUP($A122,Table1[#This Row],COLUMN(I121), FALSE)</f>
        <v>731.34</v>
      </c>
      <c r="J122">
        <f>VLOOKUP($A122,Table1[#This Row],COLUMN(J121), FALSE)</f>
        <v>2</v>
      </c>
      <c r="K122">
        <f>VLOOKUP($A122,Table1[#This Row],COLUMN(K121), FALSE)</f>
        <v>0</v>
      </c>
      <c r="L122">
        <f>VLOOKUP($A122,Table1[#This Row],COLUMN(L121), FALSE)</f>
        <v>80.400000000000006</v>
      </c>
      <c r="M122" t="str">
        <f>VLOOKUP($A122,Table1[#This Row],COLUMN(M121), FALSE)</f>
        <v>Critical</v>
      </c>
      <c r="N122" t="str">
        <f>VLOOKUP($A122,Table1[#This Row],COLUMN(N121), FALSE)</f>
        <v>Normal Order</v>
      </c>
      <c r="O122" t="str">
        <f>VLOOKUP($A122,Table1[#This Row],COLUMN(O121), FALSE)</f>
        <v>Maureen Gastineau</v>
      </c>
      <c r="P122" t="str">
        <f>VLOOKUP($A122,Table1[#This Row],COLUMN(P121), FALSE)</f>
        <v>IR</v>
      </c>
      <c r="Q122" t="str">
        <f>VLOOKUP($A122,Table1[#This Row],COLUMN(Q121), FALSE)</f>
        <v>2015</v>
      </c>
      <c r="R122" t="str">
        <f>VLOOKUP($A122,Table1[#This Row],COLUMN(R121), FALSE)</f>
        <v>CRITICAL</v>
      </c>
      <c r="S122" t="str">
        <f>VLOOKUP($A122,Table1[#This Row],COLUMN(S121), FALSE)</f>
        <v>furniture</v>
      </c>
      <c r="T122" t="str">
        <f>VLOOKUP($A122,Table1[#This Row],COLUMN(T121), FALSE)</f>
        <v>42109</v>
      </c>
      <c r="U122" t="str">
        <f>VLOOKUP($A122,Table1[#This Row],COLUMN(U121), FALSE)</f>
        <v>MG768060</v>
      </c>
      <c r="V122" t="str">
        <f>VLOOKUP($A122,Table1[#This Row],COLUMN(V121), FALSE)</f>
        <v>IR</v>
      </c>
      <c r="W122">
        <f>VLOOKUP($A122,Table1[#This Row],COLUMN(W121), FALSE)</f>
        <v>2015</v>
      </c>
      <c r="X122" t="str">
        <f>VLOOKUP($A122,Table1[#This Row],COLUMN(X121), FALSE)</f>
        <v>MG768060</v>
      </c>
      <c r="Y122">
        <f>VLOOKUP($A122,Table1[#This Row],COLUMN(Y121), FALSE)</f>
        <v>42109</v>
      </c>
      <c r="Z122" t="str">
        <f>VLOOKUP($A122,Table1[#This Row],COLUMN(Z121), FALSE)</f>
        <v>IR-2015-MG768060-42109</v>
      </c>
      <c r="AA122">
        <f>VLOOKUP($A122,Table1[#This Row],COLUMN(AA121), FALSE)</f>
        <v>2015</v>
      </c>
      <c r="AB122">
        <f>VLOOKUP($A122,Table1[#This Row],COLUMN(AB121), FALSE)</f>
        <v>4</v>
      </c>
      <c r="AC122">
        <f>VLOOKUP($A122,Table1[#This Row],COLUMN(AC121), FALSE)</f>
        <v>4</v>
      </c>
      <c r="AD122">
        <f>VLOOKUP($A122,Table1[#This Row],COLUMN(AD121), FALSE)</f>
        <v>3</v>
      </c>
    </row>
    <row r="123" spans="1:30" ht="15.75">
      <c r="A123" s="54" t="s">
        <v>857</v>
      </c>
      <c r="B123" s="52">
        <f>VLOOKUP($A123,Table1[#This Row],COLUMN(B122), FALSE)</f>
        <v>41585</v>
      </c>
      <c r="C123" s="52">
        <f>VLOOKUP($A123,Table1[#This Row],COLUMN(C122), FALSE)</f>
        <v>41590</v>
      </c>
      <c r="D123" t="str">
        <f>VLOOKUP($A123,Table1[#This Row],COLUMN(D122), FALSE)</f>
        <v>Adrian Barton</v>
      </c>
      <c r="E123" t="str">
        <f>VLOOKUP($A123,Table1[#This Row],COLUMN(E122), FALSE)</f>
        <v>United States</v>
      </c>
      <c r="F123" t="str">
        <f>VLOOKUP($A123,Table1[#This Row],COLUMN(F122), FALSE)</f>
        <v>Central US</v>
      </c>
      <c r="G123" t="str">
        <f>VLOOKUP($A123,Table1[#This Row],COLUMN(G122), FALSE)</f>
        <v>Technology</v>
      </c>
      <c r="H123" t="str">
        <f>VLOOKUP($A123,Table1[#This Row],COLUMN(H122), FALSE)</f>
        <v>Bookcases</v>
      </c>
      <c r="I123">
        <f>VLOOKUP($A123,Table1[#This Row],COLUMN(I122), FALSE)</f>
        <v>287.909999999999</v>
      </c>
      <c r="J123">
        <f>VLOOKUP($A123,Table1[#This Row],COLUMN(J122), FALSE)</f>
        <v>3</v>
      </c>
      <c r="K123">
        <f>VLOOKUP($A123,Table1[#This Row],COLUMN(K122), FALSE)</f>
        <v>0.4</v>
      </c>
      <c r="L123">
        <f>VLOOKUP($A123,Table1[#This Row],COLUMN(L122), FALSE)</f>
        <v>33.589499999999902</v>
      </c>
      <c r="M123" t="str">
        <f>VLOOKUP($A123,Table1[#This Row],COLUMN(M122), FALSE)</f>
        <v>Medium</v>
      </c>
      <c r="N123" t="str">
        <f>VLOOKUP($A123,Table1[#This Row],COLUMN(N122), FALSE)</f>
        <v>Normal Order</v>
      </c>
      <c r="O123" t="str">
        <f>VLOOKUP($A123,Table1[#This Row],COLUMN(O122), FALSE)</f>
        <v>Adrian Barton</v>
      </c>
      <c r="P123" t="str">
        <f>VLOOKUP($A123,Table1[#This Row],COLUMN(P122), FALSE)</f>
        <v>CA</v>
      </c>
      <c r="Q123" t="str">
        <f>VLOOKUP($A123,Table1[#This Row],COLUMN(Q122), FALSE)</f>
        <v>2013</v>
      </c>
      <c r="R123" t="str">
        <f>VLOOKUP($A123,Table1[#This Row],COLUMN(R122), FALSE)</f>
        <v>MEDIUM</v>
      </c>
      <c r="S123" t="str">
        <f>VLOOKUP($A123,Table1[#This Row],COLUMN(S122), FALSE)</f>
        <v>technology</v>
      </c>
      <c r="T123" t="str">
        <f>VLOOKUP($A123,Table1[#This Row],COLUMN(T122), FALSE)</f>
        <v>41585</v>
      </c>
      <c r="U123" t="str">
        <f>VLOOKUP($A123,Table1[#This Row],COLUMN(U122), FALSE)</f>
        <v>AB10105140</v>
      </c>
      <c r="V123" t="str">
        <f>VLOOKUP($A123,Table1[#This Row],COLUMN(V122), FALSE)</f>
        <v>CA</v>
      </c>
      <c r="W123">
        <f>VLOOKUP($A123,Table1[#This Row],COLUMN(W122), FALSE)</f>
        <v>2013</v>
      </c>
      <c r="X123" t="str">
        <f>VLOOKUP($A123,Table1[#This Row],COLUMN(X122), FALSE)</f>
        <v>AB10105140</v>
      </c>
      <c r="Y123">
        <f>VLOOKUP($A123,Table1[#This Row],COLUMN(Y122), FALSE)</f>
        <v>41585</v>
      </c>
      <c r="Z123" t="str">
        <f>VLOOKUP($A123,Table1[#This Row],COLUMN(Z122), FALSE)</f>
        <v>CA-2013-AB10105140-41585</v>
      </c>
      <c r="AA123">
        <f>VLOOKUP($A123,Table1[#This Row],COLUMN(AA122), FALSE)</f>
        <v>2013</v>
      </c>
      <c r="AB123">
        <f>VLOOKUP($A123,Table1[#This Row],COLUMN(AB122), FALSE)</f>
        <v>11</v>
      </c>
      <c r="AC123">
        <f>VLOOKUP($A123,Table1[#This Row],COLUMN(AC122), FALSE)</f>
        <v>5</v>
      </c>
      <c r="AD123">
        <f>VLOOKUP($A123,Table1[#This Row],COLUMN(AD122), FALSE)</f>
        <v>5</v>
      </c>
    </row>
    <row r="124" spans="1:30" ht="15.75">
      <c r="A124" s="53" t="s">
        <v>858</v>
      </c>
      <c r="B124" s="52">
        <f>VLOOKUP($A124,Table1[#This Row],COLUMN(B123), FALSE)</f>
        <v>42129</v>
      </c>
      <c r="C124" s="52">
        <f>VLOOKUP($A124,Table1[#This Row],COLUMN(C123), FALSE)</f>
        <v>42131</v>
      </c>
      <c r="D124" t="str">
        <f>VLOOKUP($A124,Table1[#This Row],COLUMN(D123), FALSE)</f>
        <v>Cindy Chapman</v>
      </c>
      <c r="E124" t="str">
        <f>VLOOKUP($A124,Table1[#This Row],COLUMN(E123), FALSE)</f>
        <v>India</v>
      </c>
      <c r="F124" t="str">
        <f>VLOOKUP($A124,Table1[#This Row],COLUMN(F123), FALSE)</f>
        <v xml:space="preserve"> Southern Asia </v>
      </c>
      <c r="G124" t="str">
        <f>VLOOKUP($A124,Table1[#This Row],COLUMN(G123), FALSE)</f>
        <v>Technology</v>
      </c>
      <c r="H124" t="str">
        <f>VLOOKUP($A124,Table1[#This Row],COLUMN(H123), FALSE)</f>
        <v>Bookcases</v>
      </c>
      <c r="I124">
        <f>VLOOKUP($A124,Table1[#This Row],COLUMN(I123), FALSE)</f>
        <v>1272.72</v>
      </c>
      <c r="J124">
        <f>VLOOKUP($A124,Table1[#This Row],COLUMN(J123), FALSE)</f>
        <v>4</v>
      </c>
      <c r="K124">
        <f>VLOOKUP($A124,Table1[#This Row],COLUMN(K123), FALSE)</f>
        <v>0</v>
      </c>
      <c r="L124">
        <f>VLOOKUP($A124,Table1[#This Row],COLUMN(L123), FALSE)</f>
        <v>534.48</v>
      </c>
      <c r="M124" t="str">
        <f>VLOOKUP($A124,Table1[#This Row],COLUMN(M123), FALSE)</f>
        <v>High</v>
      </c>
      <c r="N124" t="str">
        <f>VLOOKUP($A124,Table1[#This Row],COLUMN(N123), FALSE)</f>
        <v>Normal Order</v>
      </c>
      <c r="O124" t="str">
        <f>VLOOKUP($A124,Table1[#This Row],COLUMN(O123), FALSE)</f>
        <v>Cindy Chapman</v>
      </c>
      <c r="P124" t="str">
        <f>VLOOKUP($A124,Table1[#This Row],COLUMN(P123), FALSE)</f>
        <v>IN</v>
      </c>
      <c r="Q124" t="str">
        <f>VLOOKUP($A124,Table1[#This Row],COLUMN(Q123), FALSE)</f>
        <v>2015</v>
      </c>
      <c r="R124" t="str">
        <f>VLOOKUP($A124,Table1[#This Row],COLUMN(R123), FALSE)</f>
        <v>HIGH</v>
      </c>
      <c r="S124" t="str">
        <f>VLOOKUP($A124,Table1[#This Row],COLUMN(S123), FALSE)</f>
        <v>technology</v>
      </c>
      <c r="T124" t="str">
        <f>VLOOKUP($A124,Table1[#This Row],COLUMN(T123), FALSE)</f>
        <v>42129</v>
      </c>
      <c r="U124" t="str">
        <f>VLOOKUP($A124,Table1[#This Row],COLUMN(U123), FALSE)</f>
        <v>CC1247558</v>
      </c>
      <c r="V124" t="str">
        <f>VLOOKUP($A124,Table1[#This Row],COLUMN(V123), FALSE)</f>
        <v>IN</v>
      </c>
      <c r="W124">
        <f>VLOOKUP($A124,Table1[#This Row],COLUMN(W123), FALSE)</f>
        <v>2015</v>
      </c>
      <c r="X124" t="str">
        <f>VLOOKUP($A124,Table1[#This Row],COLUMN(X123), FALSE)</f>
        <v>CC1247558</v>
      </c>
      <c r="Y124">
        <f>VLOOKUP($A124,Table1[#This Row],COLUMN(Y123), FALSE)</f>
        <v>42129</v>
      </c>
      <c r="Z124" t="str">
        <f>VLOOKUP($A124,Table1[#This Row],COLUMN(Z123), FALSE)</f>
        <v>IN-2015-CC1247558-42129</v>
      </c>
      <c r="AA124">
        <f>VLOOKUP($A124,Table1[#This Row],COLUMN(AA123), FALSE)</f>
        <v>2015</v>
      </c>
      <c r="AB124">
        <f>VLOOKUP($A124,Table1[#This Row],COLUMN(AB123), FALSE)</f>
        <v>5</v>
      </c>
      <c r="AC124">
        <f>VLOOKUP($A124,Table1[#This Row],COLUMN(AC123), FALSE)</f>
        <v>3</v>
      </c>
      <c r="AD124">
        <f>VLOOKUP($A124,Table1[#This Row],COLUMN(AD123), FALSE)</f>
        <v>2</v>
      </c>
    </row>
    <row r="125" spans="1:30" ht="15.75">
      <c r="A125" s="54" t="s">
        <v>870</v>
      </c>
      <c r="B125" s="52">
        <f>VLOOKUP($A125,Table1[#This Row],COLUMN(B124), FALSE)</f>
        <v>41422</v>
      </c>
      <c r="C125" s="52">
        <f>VLOOKUP($A125,Table1[#This Row],COLUMN(C124), FALSE)</f>
        <v>41423</v>
      </c>
      <c r="D125" t="str">
        <f>VLOOKUP($A125,Table1[#This Row],COLUMN(D124), FALSE)</f>
        <v>Sara Luxemburg</v>
      </c>
      <c r="E125" t="str">
        <f>VLOOKUP($A125,Table1[#This Row],COLUMN(E124), FALSE)</f>
        <v>Mexico</v>
      </c>
      <c r="F125" t="str">
        <f>VLOOKUP($A125,Table1[#This Row],COLUMN(F124), FALSE)</f>
        <v>Central America</v>
      </c>
      <c r="G125" t="str">
        <f>VLOOKUP($A125,Table1[#This Row],COLUMN(G124), FALSE)</f>
        <v>Furniture</v>
      </c>
      <c r="H125" t="str">
        <f>VLOOKUP($A125,Table1[#This Row],COLUMN(H124), FALSE)</f>
        <v>Phones</v>
      </c>
      <c r="I125">
        <f>VLOOKUP($A125,Table1[#This Row],COLUMN(I124), FALSE)</f>
        <v>585.45600000000002</v>
      </c>
      <c r="J125">
        <f>VLOOKUP($A125,Table1[#This Row],COLUMN(J124), FALSE)</f>
        <v>3</v>
      </c>
      <c r="K125">
        <f>VLOOKUP($A125,Table1[#This Row],COLUMN(K124), FALSE)</f>
        <v>0.2</v>
      </c>
      <c r="L125">
        <f>VLOOKUP($A125,Table1[#This Row],COLUMN(L124), FALSE)</f>
        <v>-2.4000000000000899E-2</v>
      </c>
      <c r="M125" t="str">
        <f>VLOOKUP($A125,Table1[#This Row],COLUMN(M124), FALSE)</f>
        <v>Critical</v>
      </c>
      <c r="N125" t="str">
        <f>VLOOKUP($A125,Table1[#This Row],COLUMN(N124), FALSE)</f>
        <v>Normal Order</v>
      </c>
      <c r="O125" t="str">
        <f>VLOOKUP($A125,Table1[#This Row],COLUMN(O124), FALSE)</f>
        <v>Sara Luxemburg</v>
      </c>
      <c r="P125" t="str">
        <f>VLOOKUP($A125,Table1[#This Row],COLUMN(P124), FALSE)</f>
        <v>US</v>
      </c>
      <c r="Q125" t="str">
        <f>VLOOKUP($A125,Table1[#This Row],COLUMN(Q124), FALSE)</f>
        <v>2013</v>
      </c>
      <c r="R125" t="str">
        <f>VLOOKUP($A125,Table1[#This Row],COLUMN(R124), FALSE)</f>
        <v>CRITICAL</v>
      </c>
      <c r="S125" t="str">
        <f>VLOOKUP($A125,Table1[#This Row],COLUMN(S124), FALSE)</f>
        <v>furniture</v>
      </c>
      <c r="T125" t="str">
        <f>VLOOKUP($A125,Table1[#This Row],COLUMN(T124), FALSE)</f>
        <v>41422</v>
      </c>
      <c r="U125" t="str">
        <f>VLOOKUP($A125,Table1[#This Row],COLUMN(U124), FALSE)</f>
        <v>SL2015582</v>
      </c>
      <c r="V125" t="str">
        <f>VLOOKUP($A125,Table1[#This Row],COLUMN(V124), FALSE)</f>
        <v>US</v>
      </c>
      <c r="W125">
        <f>VLOOKUP($A125,Table1[#This Row],COLUMN(W124), FALSE)</f>
        <v>2013</v>
      </c>
      <c r="X125" t="str">
        <f>VLOOKUP($A125,Table1[#This Row],COLUMN(X124), FALSE)</f>
        <v>SL2015582</v>
      </c>
      <c r="Y125">
        <f>VLOOKUP($A125,Table1[#This Row],COLUMN(Y124), FALSE)</f>
        <v>41422</v>
      </c>
      <c r="Z125" t="str">
        <f>VLOOKUP($A125,Table1[#This Row],COLUMN(Z124), FALSE)</f>
        <v>US-2013-SL2015582-41422</v>
      </c>
      <c r="AA125">
        <f>VLOOKUP($A125,Table1[#This Row],COLUMN(AA124), FALSE)</f>
        <v>2013</v>
      </c>
      <c r="AB125">
        <f>VLOOKUP($A125,Table1[#This Row],COLUMN(AB124), FALSE)</f>
        <v>5</v>
      </c>
      <c r="AC125">
        <f>VLOOKUP($A125,Table1[#This Row],COLUMN(AC124), FALSE)</f>
        <v>3</v>
      </c>
      <c r="AD125">
        <f>VLOOKUP($A125,Table1[#This Row],COLUMN(AD124), FALSE)</f>
        <v>1</v>
      </c>
    </row>
    <row r="126" spans="1:30" ht="15.75">
      <c r="A126" s="53" t="s">
        <v>872</v>
      </c>
      <c r="B126" s="52">
        <f>VLOOKUP($A126,Table1[#This Row],COLUMN(B125), FALSE)</f>
        <v>42143</v>
      </c>
      <c r="C126" s="52" t="str">
        <f>VLOOKUP($A126,Table1[#This Row],COLUMN(C125), FALSE)</f>
        <v>05/21/2015</v>
      </c>
      <c r="D126" t="str">
        <f>VLOOKUP($A126,Table1[#This Row],COLUMN(D125), FALSE)</f>
        <v>Nat Carroll</v>
      </c>
      <c r="E126" t="str">
        <f>VLOOKUP($A126,Table1[#This Row],COLUMN(E125), FALSE)</f>
        <v>Liberia</v>
      </c>
      <c r="F126" t="str">
        <f>VLOOKUP($A126,Table1[#This Row],COLUMN(F125), FALSE)</f>
        <v>Western Africa</v>
      </c>
      <c r="G126" t="str">
        <f>VLOOKUP($A126,Table1[#This Row],COLUMN(G125), FALSE)</f>
        <v>Technology</v>
      </c>
      <c r="H126" t="str">
        <f>VLOOKUP($A126,Table1[#This Row],COLUMN(H125), FALSE)</f>
        <v>Accessories</v>
      </c>
      <c r="I126">
        <f>VLOOKUP($A126,Table1[#This Row],COLUMN(I125), FALSE)</f>
        <v>1429.4399999999901</v>
      </c>
      <c r="J126">
        <f>VLOOKUP($A126,Table1[#This Row],COLUMN(J125), FALSE)</f>
        <v>4</v>
      </c>
      <c r="K126">
        <f>VLOOKUP($A126,Table1[#This Row],COLUMN(K125), FALSE)</f>
        <v>0</v>
      </c>
      <c r="L126">
        <f>VLOOKUP($A126,Table1[#This Row],COLUMN(L125), FALSE)</f>
        <v>471.599999999999</v>
      </c>
      <c r="M126" t="str">
        <f>VLOOKUP($A126,Table1[#This Row],COLUMN(M125), FALSE)</f>
        <v>Critical</v>
      </c>
      <c r="N126" t="str">
        <f>VLOOKUP($A126,Table1[#This Row],COLUMN(N125), FALSE)</f>
        <v>Normal Order</v>
      </c>
      <c r="O126" t="str">
        <f>VLOOKUP($A126,Table1[#This Row],COLUMN(O125), FALSE)</f>
        <v>Nat Carroll</v>
      </c>
      <c r="P126" t="str">
        <f>VLOOKUP($A126,Table1[#This Row],COLUMN(P125), FALSE)</f>
        <v>LI</v>
      </c>
      <c r="Q126" t="str">
        <f>VLOOKUP($A126,Table1[#This Row],COLUMN(Q125), FALSE)</f>
        <v>2015</v>
      </c>
      <c r="R126" t="str">
        <f>VLOOKUP($A126,Table1[#This Row],COLUMN(R125), FALSE)</f>
        <v>CRITICAL</v>
      </c>
      <c r="S126" t="str">
        <f>VLOOKUP($A126,Table1[#This Row],COLUMN(S125), FALSE)</f>
        <v>technology</v>
      </c>
      <c r="T126" t="str">
        <f>VLOOKUP($A126,Table1[#This Row],COLUMN(T125), FALSE)</f>
        <v>42143</v>
      </c>
      <c r="U126" t="str">
        <f>VLOOKUP($A126,Table1[#This Row],COLUMN(U125), FALSE)</f>
        <v>NC834073</v>
      </c>
      <c r="V126" t="str">
        <f>VLOOKUP($A126,Table1[#This Row],COLUMN(V125), FALSE)</f>
        <v>LI</v>
      </c>
      <c r="W126">
        <f>VLOOKUP($A126,Table1[#This Row],COLUMN(W125), FALSE)</f>
        <v>2015</v>
      </c>
      <c r="X126" t="str">
        <f>VLOOKUP($A126,Table1[#This Row],COLUMN(X125), FALSE)</f>
        <v>NC834073</v>
      </c>
      <c r="Y126">
        <f>VLOOKUP($A126,Table1[#This Row],COLUMN(Y125), FALSE)</f>
        <v>42143</v>
      </c>
      <c r="Z126" t="str">
        <f>VLOOKUP($A126,Table1[#This Row],COLUMN(Z125), FALSE)</f>
        <v>LI-2015-NC834073-42143</v>
      </c>
      <c r="AA126">
        <f>VLOOKUP($A126,Table1[#This Row],COLUMN(AA125), FALSE)</f>
        <v>2015</v>
      </c>
      <c r="AB126">
        <f>VLOOKUP($A126,Table1[#This Row],COLUMN(AB125), FALSE)</f>
        <v>5</v>
      </c>
      <c r="AC126">
        <f>VLOOKUP($A126,Table1[#This Row],COLUMN(AC125), FALSE)</f>
        <v>3</v>
      </c>
      <c r="AD126">
        <f>VLOOKUP($A126,Table1[#This Row],COLUMN(AD125), FALSE)</f>
        <v>2</v>
      </c>
    </row>
    <row r="127" spans="1:30" ht="15.75">
      <c r="A127" s="54" t="s">
        <v>880</v>
      </c>
      <c r="B127" s="52">
        <f>VLOOKUP($A127,Table1[#This Row],COLUMN(B126), FALSE)</f>
        <v>42109</v>
      </c>
      <c r="C127" s="52">
        <f>VLOOKUP($A127,Table1[#This Row],COLUMN(C126), FALSE)</f>
        <v>42111</v>
      </c>
      <c r="D127" t="str">
        <f>VLOOKUP($A127,Table1[#This Row],COLUMN(D126), FALSE)</f>
        <v>Paul Stevenson</v>
      </c>
      <c r="E127" t="str">
        <f>VLOOKUP($A127,Table1[#This Row],COLUMN(E126), FALSE)</f>
        <v>Colombia</v>
      </c>
      <c r="F127" t="str">
        <f>VLOOKUP($A127,Table1[#This Row],COLUMN(F126), FALSE)</f>
        <v>South America</v>
      </c>
      <c r="G127" t="str">
        <f>VLOOKUP($A127,Table1[#This Row],COLUMN(G126), FALSE)</f>
        <v>Office Supplies</v>
      </c>
      <c r="H127" t="str">
        <f>VLOOKUP($A127,Table1[#This Row],COLUMN(H126), FALSE)</f>
        <v>Bookcases</v>
      </c>
      <c r="I127">
        <f>VLOOKUP($A127,Table1[#This Row],COLUMN(I126), FALSE)</f>
        <v>1792.4</v>
      </c>
      <c r="J127">
        <f>VLOOKUP($A127,Table1[#This Row],COLUMN(J126), FALSE)</f>
        <v>5</v>
      </c>
      <c r="K127">
        <f>VLOOKUP($A127,Table1[#This Row],COLUMN(K126), FALSE)</f>
        <v>0</v>
      </c>
      <c r="L127">
        <f>VLOOKUP($A127,Table1[#This Row],COLUMN(L126), FALSE)</f>
        <v>304.7</v>
      </c>
      <c r="M127" t="str">
        <f>VLOOKUP($A127,Table1[#This Row],COLUMN(M126), FALSE)</f>
        <v>Critical</v>
      </c>
      <c r="N127" t="str">
        <f>VLOOKUP($A127,Table1[#This Row],COLUMN(N126), FALSE)</f>
        <v>Normal Order</v>
      </c>
      <c r="O127" t="str">
        <f>VLOOKUP($A127,Table1[#This Row],COLUMN(O126), FALSE)</f>
        <v>Paul Stevenson</v>
      </c>
      <c r="P127" t="str">
        <f>VLOOKUP($A127,Table1[#This Row],COLUMN(P126), FALSE)</f>
        <v>MX</v>
      </c>
      <c r="Q127" t="str">
        <f>VLOOKUP($A127,Table1[#This Row],COLUMN(Q126), FALSE)</f>
        <v>2015</v>
      </c>
      <c r="R127" t="str">
        <f>VLOOKUP($A127,Table1[#This Row],COLUMN(R126), FALSE)</f>
        <v>CRITICAL</v>
      </c>
      <c r="S127" t="str">
        <f>VLOOKUP($A127,Table1[#This Row],COLUMN(S126), FALSE)</f>
        <v>office supplies</v>
      </c>
      <c r="T127" t="str">
        <f>VLOOKUP($A127,Table1[#This Row],COLUMN(T126), FALSE)</f>
        <v>42109</v>
      </c>
      <c r="U127" t="str">
        <f>VLOOKUP($A127,Table1[#This Row],COLUMN(U126), FALSE)</f>
        <v>PS1897028</v>
      </c>
      <c r="V127" t="str">
        <f>VLOOKUP($A127,Table1[#This Row],COLUMN(V126), FALSE)</f>
        <v>MX</v>
      </c>
      <c r="W127">
        <f>VLOOKUP($A127,Table1[#This Row],COLUMN(W126), FALSE)</f>
        <v>2015</v>
      </c>
      <c r="X127" t="str">
        <f>VLOOKUP($A127,Table1[#This Row],COLUMN(X126), FALSE)</f>
        <v>PS1897028</v>
      </c>
      <c r="Y127">
        <f>VLOOKUP($A127,Table1[#This Row],COLUMN(Y126), FALSE)</f>
        <v>42109</v>
      </c>
      <c r="Z127" t="str">
        <f>VLOOKUP($A127,Table1[#This Row],COLUMN(Z126), FALSE)</f>
        <v>MX-2015-PS1897028-42109</v>
      </c>
      <c r="AA127">
        <f>VLOOKUP($A127,Table1[#This Row],COLUMN(AA126), FALSE)</f>
        <v>2015</v>
      </c>
      <c r="AB127">
        <f>VLOOKUP($A127,Table1[#This Row],COLUMN(AB126), FALSE)</f>
        <v>4</v>
      </c>
      <c r="AC127">
        <f>VLOOKUP($A127,Table1[#This Row],COLUMN(AC126), FALSE)</f>
        <v>4</v>
      </c>
      <c r="AD127">
        <f>VLOOKUP($A127,Table1[#This Row],COLUMN(AD126), FALSE)</f>
        <v>2</v>
      </c>
    </row>
    <row r="128" spans="1:30" ht="15.75">
      <c r="A128" s="53" t="s">
        <v>897</v>
      </c>
      <c r="B128" s="52">
        <f>VLOOKUP($A128,Table1[#This Row],COLUMN(B127), FALSE)</f>
        <v>42347</v>
      </c>
      <c r="C128" s="52">
        <f>VLOOKUP($A128,Table1[#This Row],COLUMN(C127), FALSE)</f>
        <v>42350</v>
      </c>
      <c r="D128" t="str">
        <f>VLOOKUP($A128,Table1[#This Row],COLUMN(D127), FALSE)</f>
        <v>Cassandra Brandow</v>
      </c>
      <c r="E128" t="str">
        <f>VLOOKUP($A128,Table1[#This Row],COLUMN(E127), FALSE)</f>
        <v>Poland#</v>
      </c>
      <c r="F128" t="str">
        <f>VLOOKUP($A128,Table1[#This Row],COLUMN(F127), FALSE)</f>
        <v>Eastern Europe</v>
      </c>
      <c r="G128" t="str">
        <f>VLOOKUP($A128,Table1[#This Row],COLUMN(G127), FALSE)</f>
        <v>Technology</v>
      </c>
      <c r="H128" t="str">
        <f>VLOOKUP($A128,Table1[#This Row],COLUMN(H127), FALSE)</f>
        <v>Bookcases</v>
      </c>
      <c r="I128">
        <f>VLOOKUP($A128,Table1[#This Row],COLUMN(I127), FALSE)</f>
        <v>1188.3599999999999</v>
      </c>
      <c r="J128">
        <f>VLOOKUP($A128,Table1[#This Row],COLUMN(J127), FALSE)</f>
        <v>4</v>
      </c>
      <c r="K128">
        <f>VLOOKUP($A128,Table1[#This Row],COLUMN(K127), FALSE)</f>
        <v>0</v>
      </c>
      <c r="L128">
        <f>VLOOKUP($A128,Table1[#This Row],COLUMN(L127), FALSE)</f>
        <v>95.039999999999907</v>
      </c>
      <c r="M128" t="str">
        <f>VLOOKUP($A128,Table1[#This Row],COLUMN(M127), FALSE)</f>
        <v>High</v>
      </c>
      <c r="N128" t="str">
        <f>VLOOKUP($A128,Table1[#This Row],COLUMN(N127), FALSE)</f>
        <v>Normal Order</v>
      </c>
      <c r="O128" t="str">
        <f>VLOOKUP($A128,Table1[#This Row],COLUMN(O127), FALSE)</f>
        <v>Cassandra Brandow</v>
      </c>
      <c r="P128" t="str">
        <f>VLOOKUP($A128,Table1[#This Row],COLUMN(P127), FALSE)</f>
        <v>PL</v>
      </c>
      <c r="Q128" t="str">
        <f>VLOOKUP($A128,Table1[#This Row],COLUMN(Q127), FALSE)</f>
        <v>2015</v>
      </c>
      <c r="R128" t="str">
        <f>VLOOKUP($A128,Table1[#This Row],COLUMN(R127), FALSE)</f>
        <v>HIGH</v>
      </c>
      <c r="S128" t="str">
        <f>VLOOKUP($A128,Table1[#This Row],COLUMN(S127), FALSE)</f>
        <v>technology</v>
      </c>
      <c r="T128" t="str">
        <f>VLOOKUP($A128,Table1[#This Row],COLUMN(T127), FALSE)</f>
        <v>42347</v>
      </c>
      <c r="U128" t="str">
        <f>VLOOKUP($A128,Table1[#This Row],COLUMN(U127), FALSE)</f>
        <v>CB2025103</v>
      </c>
      <c r="V128" t="str">
        <f>VLOOKUP($A128,Table1[#This Row],COLUMN(V127), FALSE)</f>
        <v>PL</v>
      </c>
      <c r="W128">
        <f>VLOOKUP($A128,Table1[#This Row],COLUMN(W127), FALSE)</f>
        <v>2015</v>
      </c>
      <c r="X128" t="str">
        <f>VLOOKUP($A128,Table1[#This Row],COLUMN(X127), FALSE)</f>
        <v>CB2025103</v>
      </c>
      <c r="Y128">
        <f>VLOOKUP($A128,Table1[#This Row],COLUMN(Y127), FALSE)</f>
        <v>42347</v>
      </c>
      <c r="Z128" t="str">
        <f>VLOOKUP($A128,Table1[#This Row],COLUMN(Z127), FALSE)</f>
        <v>PL-2015-CB2025103-42347</v>
      </c>
      <c r="AA128">
        <f>VLOOKUP($A128,Table1[#This Row],COLUMN(AA127), FALSE)</f>
        <v>2015</v>
      </c>
      <c r="AB128">
        <f>VLOOKUP($A128,Table1[#This Row],COLUMN(AB127), FALSE)</f>
        <v>12</v>
      </c>
      <c r="AC128">
        <f>VLOOKUP($A128,Table1[#This Row],COLUMN(AC127), FALSE)</f>
        <v>4</v>
      </c>
      <c r="AD128">
        <f>VLOOKUP($A128,Table1[#This Row],COLUMN(AD127), FALSE)</f>
        <v>3</v>
      </c>
    </row>
    <row r="129" spans="1:30" ht="15.75">
      <c r="A129" s="54" t="s">
        <v>900</v>
      </c>
      <c r="B129" s="52">
        <f>VLOOKUP($A129,Table1[#This Row],COLUMN(B128), FALSE)</f>
        <v>41249</v>
      </c>
      <c r="C129" s="52">
        <f>VLOOKUP($A129,Table1[#This Row],COLUMN(C128), FALSE)</f>
        <v>41253</v>
      </c>
      <c r="D129" t="str">
        <f>VLOOKUP($A129,Table1[#This Row],COLUMN(D128), FALSE)</f>
        <v>Sample Company A</v>
      </c>
      <c r="E129" t="str">
        <f>VLOOKUP($A129,Table1[#This Row],COLUMN(E128), FALSE)</f>
        <v>Australia</v>
      </c>
      <c r="F129" t="str">
        <f>VLOOKUP($A129,Table1[#This Row],COLUMN(F128), FALSE)</f>
        <v>Oceania</v>
      </c>
      <c r="G129" t="str">
        <f>VLOOKUP($A129,Table1[#This Row],COLUMN(G128), FALSE)</f>
        <v>Technology</v>
      </c>
      <c r="H129" t="str">
        <f>VLOOKUP($A129,Table1[#This Row],COLUMN(H128), FALSE)</f>
        <v>Appliances</v>
      </c>
      <c r="I129">
        <f>VLOOKUP($A129,Table1[#This Row],COLUMN(I128), FALSE)</f>
        <v>2875.0949999999998</v>
      </c>
      <c r="J129">
        <f>VLOOKUP($A129,Table1[#This Row],COLUMN(J128), FALSE)</f>
        <v>5</v>
      </c>
      <c r="K129">
        <f>VLOOKUP($A129,Table1[#This Row],COLUMN(K128), FALSE)</f>
        <v>0.1</v>
      </c>
      <c r="L129">
        <f>VLOOKUP($A129,Table1[#This Row],COLUMN(L128), FALSE)</f>
        <v>511.094999999999</v>
      </c>
      <c r="M129" t="str">
        <f>VLOOKUP($A129,Table1[#This Row],COLUMN(M128), FALSE)</f>
        <v>High</v>
      </c>
      <c r="N129" t="str">
        <f>VLOOKUP($A129,Table1[#This Row],COLUMN(N128), FALSE)</f>
        <v>Normal Order</v>
      </c>
      <c r="O129" t="str">
        <f>VLOOKUP($A129,Table1[#This Row],COLUMN(O128), FALSE)</f>
        <v>Sample Company A</v>
      </c>
      <c r="P129" t="str">
        <f>VLOOKUP($A129,Table1[#This Row],COLUMN(P128), FALSE)</f>
        <v>IN</v>
      </c>
      <c r="Q129" t="str">
        <f>VLOOKUP($A129,Table1[#This Row],COLUMN(Q128), FALSE)</f>
        <v>2012</v>
      </c>
      <c r="R129" t="str">
        <f>VLOOKUP($A129,Table1[#This Row],COLUMN(R128), FALSE)</f>
        <v>HIGH</v>
      </c>
      <c r="S129" t="str">
        <f>VLOOKUP($A129,Table1[#This Row],COLUMN(S128), FALSE)</f>
        <v>technology</v>
      </c>
      <c r="T129" t="str">
        <f>VLOOKUP($A129,Table1[#This Row],COLUMN(T128), FALSE)</f>
        <v>41249</v>
      </c>
      <c r="U129" t="str">
        <f>VLOOKUP($A129,Table1[#This Row],COLUMN(U128), FALSE)</f>
        <v>SC200507</v>
      </c>
      <c r="V129" t="str">
        <f>VLOOKUP($A129,Table1[#This Row],COLUMN(V128), FALSE)</f>
        <v>IN</v>
      </c>
      <c r="W129">
        <f>VLOOKUP($A129,Table1[#This Row],COLUMN(W128), FALSE)</f>
        <v>2012</v>
      </c>
      <c r="X129" t="str">
        <f>VLOOKUP($A129,Table1[#This Row],COLUMN(X128), FALSE)</f>
        <v>SC200507</v>
      </c>
      <c r="Y129">
        <f>VLOOKUP($A129,Table1[#This Row],COLUMN(Y128), FALSE)</f>
        <v>41249</v>
      </c>
      <c r="Z129" t="str">
        <f>VLOOKUP($A129,Table1[#This Row],COLUMN(Z128), FALSE)</f>
        <v>IN-2012-SC200507-41249</v>
      </c>
      <c r="AA129">
        <f>VLOOKUP($A129,Table1[#This Row],COLUMN(AA128), FALSE)</f>
        <v>2012</v>
      </c>
      <c r="AB129">
        <f>VLOOKUP($A129,Table1[#This Row],COLUMN(AB128), FALSE)</f>
        <v>12</v>
      </c>
      <c r="AC129">
        <f>VLOOKUP($A129,Table1[#This Row],COLUMN(AC128), FALSE)</f>
        <v>5</v>
      </c>
      <c r="AD129">
        <f>VLOOKUP($A129,Table1[#This Row],COLUMN(AD128), FALSE)</f>
        <v>4</v>
      </c>
    </row>
    <row r="130" spans="1:30" ht="15.75">
      <c r="A130" s="53" t="s">
        <v>902</v>
      </c>
      <c r="B130" s="52">
        <f>VLOOKUP($A130,Table1[#This Row],COLUMN(B129), FALSE)</f>
        <v>41892</v>
      </c>
      <c r="C130" s="52">
        <f>VLOOKUP($A130,Table1[#This Row],COLUMN(C129), FALSE)</f>
        <v>41897</v>
      </c>
      <c r="D130" t="str">
        <f>VLOOKUP($A130,Table1[#This Row],COLUMN(D129), FALSE)</f>
        <v>Anne McFarland</v>
      </c>
      <c r="E130" t="str">
        <f>VLOOKUP($A130,Table1[#This Row],COLUMN(E129), FALSE)</f>
        <v>Switzerland</v>
      </c>
      <c r="F130" t="str">
        <f>VLOOKUP($A130,Table1[#This Row],COLUMN(F129), FALSE)</f>
        <v>WESTERN EUROPE</v>
      </c>
      <c r="G130" t="str">
        <f>VLOOKUP($A130,Table1[#This Row],COLUMN(G129), FALSE)</f>
        <v>Furniture</v>
      </c>
      <c r="H130" t="str">
        <f>VLOOKUP($A130,Table1[#This Row],COLUMN(H129), FALSE)</f>
        <v>Copiers</v>
      </c>
      <c r="I130" t="str">
        <f>VLOOKUP($A130,Table1[#This Row],COLUMN(I129), FALSE)</f>
        <v>missing</v>
      </c>
      <c r="J130">
        <f>VLOOKUP($A130,Table1[#This Row],COLUMN(J129), FALSE)</f>
        <v>5</v>
      </c>
      <c r="K130">
        <f>VLOOKUP($A130,Table1[#This Row],COLUMN(K129), FALSE)</f>
        <v>0</v>
      </c>
      <c r="L130">
        <f>VLOOKUP($A130,Table1[#This Row],COLUMN(L129), FALSE)</f>
        <v>952.2</v>
      </c>
      <c r="M130" t="str">
        <f>VLOOKUP($A130,Table1[#This Row],COLUMN(M129), FALSE)</f>
        <v>Medium</v>
      </c>
      <c r="N130" t="str">
        <f>VLOOKUP($A130,Table1[#This Row],COLUMN(N129), FALSE)</f>
        <v>Normal Order</v>
      </c>
      <c r="O130" t="str">
        <f>VLOOKUP($A130,Table1[#This Row],COLUMN(O129), FALSE)</f>
        <v>Anne Mcfarland</v>
      </c>
      <c r="P130" t="str">
        <f>VLOOKUP($A130,Table1[#This Row],COLUMN(P129), FALSE)</f>
        <v>IT</v>
      </c>
      <c r="Q130" t="str">
        <f>VLOOKUP($A130,Table1[#This Row],COLUMN(Q129), FALSE)</f>
        <v>2014</v>
      </c>
      <c r="R130" t="str">
        <f>VLOOKUP($A130,Table1[#This Row],COLUMN(R129), FALSE)</f>
        <v>MEDIUM</v>
      </c>
      <c r="S130" t="str">
        <f>VLOOKUP($A130,Table1[#This Row],COLUMN(S129), FALSE)</f>
        <v>furniture</v>
      </c>
      <c r="T130" t="str">
        <f>VLOOKUP($A130,Table1[#This Row],COLUMN(T129), FALSE)</f>
        <v>41892</v>
      </c>
      <c r="U130" t="str">
        <f>VLOOKUP($A130,Table1[#This Row],COLUMN(U129), FALSE)</f>
        <v>AM10705125</v>
      </c>
      <c r="V130" t="str">
        <f>VLOOKUP($A130,Table1[#This Row],COLUMN(V129), FALSE)</f>
        <v>IT</v>
      </c>
      <c r="W130">
        <f>VLOOKUP($A130,Table1[#This Row],COLUMN(W129), FALSE)</f>
        <v>2014</v>
      </c>
      <c r="X130" t="str">
        <f>VLOOKUP($A130,Table1[#This Row],COLUMN(X129), FALSE)</f>
        <v>AM10705125</v>
      </c>
      <c r="Y130">
        <f>VLOOKUP($A130,Table1[#This Row],COLUMN(Y129), FALSE)</f>
        <v>41892</v>
      </c>
      <c r="Z130" t="str">
        <f>VLOOKUP($A130,Table1[#This Row],COLUMN(Z129), FALSE)</f>
        <v>IT-2014-AM10705125-41892</v>
      </c>
      <c r="AA130">
        <f>VLOOKUP($A130,Table1[#This Row],COLUMN(AA129), FALSE)</f>
        <v>2014</v>
      </c>
      <c r="AB130">
        <f>VLOOKUP($A130,Table1[#This Row],COLUMN(AB129), FALSE)</f>
        <v>9</v>
      </c>
      <c r="AC130">
        <f>VLOOKUP($A130,Table1[#This Row],COLUMN(AC129), FALSE)</f>
        <v>4</v>
      </c>
      <c r="AD130">
        <f>VLOOKUP($A130,Table1[#This Row],COLUMN(AD129), FALSE)</f>
        <v>5</v>
      </c>
    </row>
    <row r="131" spans="1:30" ht="15.75">
      <c r="A131" s="54" t="s">
        <v>909</v>
      </c>
      <c r="B131" s="52">
        <f>VLOOKUP($A131,Table1[#This Row],COLUMN(B130), FALSE)</f>
        <v>41962</v>
      </c>
      <c r="C131" s="52">
        <f>VLOOKUP($A131,Table1[#This Row],COLUMN(C130), FALSE)</f>
        <v>41962</v>
      </c>
      <c r="D131" t="str">
        <f>VLOOKUP($A131,Table1[#This Row],COLUMN(D130), FALSE)</f>
        <v>Toby Carlisle</v>
      </c>
      <c r="E131" t="str">
        <f>VLOOKUP($A131,Table1[#This Row],COLUMN(E130), FALSE)</f>
        <v>thailand</v>
      </c>
      <c r="F131" t="str">
        <f>VLOOKUP($A131,Table1[#This Row],COLUMN(F130), FALSE)</f>
        <v>Southeastern Asia</v>
      </c>
      <c r="G131" t="str">
        <f>VLOOKUP($A131,Table1[#This Row],COLUMN(G130), FALSE)</f>
        <v>Office Supplies</v>
      </c>
      <c r="H131" t="str">
        <f>VLOOKUP($A131,Table1[#This Row],COLUMN(H130), FALSE)</f>
        <v>Appliances</v>
      </c>
      <c r="I131">
        <f>VLOOKUP($A131,Table1[#This Row],COLUMN(I130), FALSE)</f>
        <v>1798.6763999999901</v>
      </c>
      <c r="J131">
        <f>VLOOKUP($A131,Table1[#This Row],COLUMN(J130), FALSE)</f>
        <v>4</v>
      </c>
      <c r="K131">
        <f>VLOOKUP($A131,Table1[#This Row],COLUMN(K130), FALSE)</f>
        <v>0.17</v>
      </c>
      <c r="L131">
        <f>VLOOKUP($A131,Table1[#This Row],COLUMN(L130), FALSE)</f>
        <v>86.636399999999895</v>
      </c>
      <c r="M131" t="str">
        <f>VLOOKUP($A131,Table1[#This Row],COLUMN(M130), FALSE)</f>
        <v>High</v>
      </c>
      <c r="N131" t="str">
        <f>VLOOKUP($A131,Table1[#This Row],COLUMN(N130), FALSE)</f>
        <v>Normal Order</v>
      </c>
      <c r="O131" t="str">
        <f>VLOOKUP($A131,Table1[#This Row],COLUMN(O130), FALSE)</f>
        <v>Toby Carlisle</v>
      </c>
      <c r="P131" t="str">
        <f>VLOOKUP($A131,Table1[#This Row],COLUMN(P130), FALSE)</f>
        <v>IN</v>
      </c>
      <c r="Q131" t="str">
        <f>VLOOKUP($A131,Table1[#This Row],COLUMN(Q130), FALSE)</f>
        <v>2014</v>
      </c>
      <c r="R131" t="str">
        <f>VLOOKUP($A131,Table1[#This Row],COLUMN(R130), FALSE)</f>
        <v>HIGH</v>
      </c>
      <c r="S131" t="str">
        <f>VLOOKUP($A131,Table1[#This Row],COLUMN(S130), FALSE)</f>
        <v>office supplies</v>
      </c>
      <c r="T131" t="str">
        <f>VLOOKUP($A131,Table1[#This Row],COLUMN(T130), FALSE)</f>
        <v>41962</v>
      </c>
      <c r="U131" t="str">
        <f>VLOOKUP($A131,Table1[#This Row],COLUMN(U130), FALSE)</f>
        <v>TC21295130</v>
      </c>
      <c r="V131" t="str">
        <f>VLOOKUP($A131,Table1[#This Row],COLUMN(V130), FALSE)</f>
        <v>IN</v>
      </c>
      <c r="W131">
        <f>VLOOKUP($A131,Table1[#This Row],COLUMN(W130), FALSE)</f>
        <v>2014</v>
      </c>
      <c r="X131" t="str">
        <f>VLOOKUP($A131,Table1[#This Row],COLUMN(X130), FALSE)</f>
        <v>TC21295130</v>
      </c>
      <c r="Y131">
        <f>VLOOKUP($A131,Table1[#This Row],COLUMN(Y130), FALSE)</f>
        <v>41962</v>
      </c>
      <c r="Z131" t="str">
        <f>VLOOKUP($A131,Table1[#This Row],COLUMN(Z130), FALSE)</f>
        <v>IN-2014-TC21295130-41962</v>
      </c>
      <c r="AA131">
        <f>VLOOKUP($A131,Table1[#This Row],COLUMN(AA130), FALSE)</f>
        <v>2014</v>
      </c>
      <c r="AB131">
        <f>VLOOKUP($A131,Table1[#This Row],COLUMN(AB130), FALSE)</f>
        <v>11</v>
      </c>
      <c r="AC131">
        <f>VLOOKUP($A131,Table1[#This Row],COLUMN(AC130), FALSE)</f>
        <v>4</v>
      </c>
      <c r="AD131">
        <f>VLOOKUP($A131,Table1[#This Row],COLUMN(AD130), FALSE)</f>
        <v>0</v>
      </c>
    </row>
    <row r="132" spans="1:30" ht="15.75">
      <c r="A132" s="53" t="s">
        <v>913</v>
      </c>
      <c r="B132" s="52">
        <f>VLOOKUP($A132,Table1[#This Row],COLUMN(B131), FALSE)</f>
        <v>42279</v>
      </c>
      <c r="C132" s="52">
        <f>VLOOKUP($A132,Table1[#This Row],COLUMN(C131), FALSE)</f>
        <v>42283</v>
      </c>
      <c r="D132" t="str">
        <f>VLOOKUP($A132,Table1[#This Row],COLUMN(D131), FALSE)</f>
        <v>Natalie Fritzler</v>
      </c>
      <c r="E132" t="str">
        <f>VLOOKUP($A132,Table1[#This Row],COLUMN(E131), FALSE)</f>
        <v>Bangladesh</v>
      </c>
      <c r="F132" t="str">
        <f>VLOOKUP($A132,Table1[#This Row],COLUMN(F131), FALSE)</f>
        <v>Southern Asia</v>
      </c>
      <c r="G132" t="str">
        <f>VLOOKUP($A132,Table1[#This Row],COLUMN(G131), FALSE)</f>
        <v>Technology</v>
      </c>
      <c r="H132" t="str">
        <f>VLOOKUP($A132,Table1[#This Row],COLUMN(H131), FALSE)</f>
        <v>Phones</v>
      </c>
      <c r="I132">
        <f>VLOOKUP($A132,Table1[#This Row],COLUMN(I131), FALSE)</f>
        <v>2575.92</v>
      </c>
      <c r="J132">
        <f>VLOOKUP($A132,Table1[#This Row],COLUMN(J131), FALSE)</f>
        <v>4</v>
      </c>
      <c r="K132">
        <f>VLOOKUP($A132,Table1[#This Row],COLUMN(K131), FALSE)</f>
        <v>0</v>
      </c>
      <c r="L132">
        <f>VLOOKUP($A132,Table1[#This Row],COLUMN(L131), FALSE)</f>
        <v>978.83999999999901</v>
      </c>
      <c r="M132" t="str">
        <f>VLOOKUP($A132,Table1[#This Row],COLUMN(M131), FALSE)</f>
        <v>High</v>
      </c>
      <c r="N132" t="str">
        <f>VLOOKUP($A132,Table1[#This Row],COLUMN(N131), FALSE)</f>
        <v>Normal Order</v>
      </c>
      <c r="O132" t="str">
        <f>VLOOKUP($A132,Table1[#This Row],COLUMN(O131), FALSE)</f>
        <v>Natalie Fritzler</v>
      </c>
      <c r="P132" t="str">
        <f>VLOOKUP($A132,Table1[#This Row],COLUMN(P131), FALSE)</f>
        <v>IN</v>
      </c>
      <c r="Q132" t="str">
        <f>VLOOKUP($A132,Table1[#This Row],COLUMN(Q131), FALSE)</f>
        <v>2015</v>
      </c>
      <c r="R132" t="str">
        <f>VLOOKUP($A132,Table1[#This Row],COLUMN(R131), FALSE)</f>
        <v>HIGH</v>
      </c>
      <c r="S132" t="str">
        <f>VLOOKUP($A132,Table1[#This Row],COLUMN(S131), FALSE)</f>
        <v>technology</v>
      </c>
      <c r="T132" t="str">
        <f>VLOOKUP($A132,Table1[#This Row],COLUMN(T131), FALSE)</f>
        <v>42279</v>
      </c>
      <c r="U132" t="str">
        <f>VLOOKUP($A132,Table1[#This Row],COLUMN(U131), FALSE)</f>
        <v>NF1838511</v>
      </c>
      <c r="V132" t="str">
        <f>VLOOKUP($A132,Table1[#This Row],COLUMN(V131), FALSE)</f>
        <v>IN</v>
      </c>
      <c r="W132">
        <f>VLOOKUP($A132,Table1[#This Row],COLUMN(W131), FALSE)</f>
        <v>2015</v>
      </c>
      <c r="X132" t="str">
        <f>VLOOKUP($A132,Table1[#This Row],COLUMN(X131), FALSE)</f>
        <v>NF1838511</v>
      </c>
      <c r="Y132">
        <f>VLOOKUP($A132,Table1[#This Row],COLUMN(Y131), FALSE)</f>
        <v>42279</v>
      </c>
      <c r="Z132" t="str">
        <f>VLOOKUP($A132,Table1[#This Row],COLUMN(Z131), FALSE)</f>
        <v>IN-2015-NF1838511-42279</v>
      </c>
      <c r="AA132">
        <f>VLOOKUP($A132,Table1[#This Row],COLUMN(AA131), FALSE)</f>
        <v>2015</v>
      </c>
      <c r="AB132">
        <f>VLOOKUP($A132,Table1[#This Row],COLUMN(AB131), FALSE)</f>
        <v>10</v>
      </c>
      <c r="AC132">
        <f>VLOOKUP($A132,Table1[#This Row],COLUMN(AC131), FALSE)</f>
        <v>6</v>
      </c>
      <c r="AD132">
        <f>VLOOKUP($A132,Table1[#This Row],COLUMN(AD131), FALSE)</f>
        <v>4</v>
      </c>
    </row>
    <row r="133" spans="1:30" ht="15.75">
      <c r="A133" s="54" t="s">
        <v>914</v>
      </c>
      <c r="B133" s="52">
        <f>VLOOKUP($A133,Table1[#This Row],COLUMN(B132), FALSE)</f>
        <v>42062</v>
      </c>
      <c r="C133" s="52">
        <f>VLOOKUP($A133,Table1[#This Row],COLUMN(C132), FALSE)</f>
        <v>42066</v>
      </c>
      <c r="D133" t="str">
        <f>VLOOKUP($A133,Table1[#This Row],COLUMN(D132), FALSE)</f>
        <v>Adam Shillingsburg</v>
      </c>
      <c r="E133" t="str">
        <f>VLOOKUP($A133,Table1[#This Row],COLUMN(E132), FALSE)</f>
        <v>United Kingdom</v>
      </c>
      <c r="F133" t="str">
        <f>VLOOKUP($A133,Table1[#This Row],COLUMN(F132), FALSE)</f>
        <v>Northern Europe</v>
      </c>
      <c r="G133" t="str">
        <f>VLOOKUP($A133,Table1[#This Row],COLUMN(G132), FALSE)</f>
        <v>Office Supplies</v>
      </c>
      <c r="H133" t="str">
        <f>VLOOKUP($A133,Table1[#This Row],COLUMN(H132), FALSE)</f>
        <v>Chairs</v>
      </c>
      <c r="I133">
        <f>VLOOKUP($A133,Table1[#This Row],COLUMN(I132), FALSE)</f>
        <v>1699.83</v>
      </c>
      <c r="J133">
        <f>VLOOKUP($A133,Table1[#This Row],COLUMN(J132), FALSE)</f>
        <v>3</v>
      </c>
      <c r="K133">
        <f>VLOOKUP($A133,Table1[#This Row],COLUMN(K132), FALSE)</f>
        <v>0</v>
      </c>
      <c r="L133">
        <f>VLOOKUP($A133,Table1[#This Row],COLUMN(L132), FALSE)</f>
        <v>84.96</v>
      </c>
      <c r="M133" t="str">
        <f>VLOOKUP($A133,Table1[#This Row],COLUMN(M132), FALSE)</f>
        <v>High</v>
      </c>
      <c r="N133" t="str">
        <f>VLOOKUP($A133,Table1[#This Row],COLUMN(N132), FALSE)</f>
        <v>Normal Order</v>
      </c>
      <c r="O133" t="str">
        <f>VLOOKUP($A133,Table1[#This Row],COLUMN(O132), FALSE)</f>
        <v>Adam Shillingsburg</v>
      </c>
      <c r="P133" t="str">
        <f>VLOOKUP($A133,Table1[#This Row],COLUMN(P132), FALSE)</f>
        <v>ES</v>
      </c>
      <c r="Q133" t="str">
        <f>VLOOKUP($A133,Table1[#This Row],COLUMN(Q132), FALSE)</f>
        <v>2015</v>
      </c>
      <c r="R133" t="str">
        <f>VLOOKUP($A133,Table1[#This Row],COLUMN(R132), FALSE)</f>
        <v>HIGH</v>
      </c>
      <c r="S133" t="str">
        <f>VLOOKUP($A133,Table1[#This Row],COLUMN(S132), FALSE)</f>
        <v>office supplies</v>
      </c>
      <c r="T133" t="str">
        <f>VLOOKUP($A133,Table1[#This Row],COLUMN(T132), FALSE)</f>
        <v>42062</v>
      </c>
      <c r="U133" t="str">
        <f>VLOOKUP($A133,Table1[#This Row],COLUMN(U132), FALSE)</f>
        <v>AS10090139</v>
      </c>
      <c r="V133" t="str">
        <f>VLOOKUP($A133,Table1[#This Row],COLUMN(V132), FALSE)</f>
        <v>ES</v>
      </c>
      <c r="W133">
        <f>VLOOKUP($A133,Table1[#This Row],COLUMN(W132), FALSE)</f>
        <v>2015</v>
      </c>
      <c r="X133" t="str">
        <f>VLOOKUP($A133,Table1[#This Row],COLUMN(X132), FALSE)</f>
        <v>AS10090139</v>
      </c>
      <c r="Y133">
        <f>VLOOKUP($A133,Table1[#This Row],COLUMN(Y132), FALSE)</f>
        <v>42062</v>
      </c>
      <c r="Z133" t="str">
        <f>VLOOKUP($A133,Table1[#This Row],COLUMN(Z132), FALSE)</f>
        <v>ES-2015-AS10090139-42062</v>
      </c>
      <c r="AA133">
        <f>VLOOKUP($A133,Table1[#This Row],COLUMN(AA132), FALSE)</f>
        <v>2015</v>
      </c>
      <c r="AB133">
        <f>VLOOKUP($A133,Table1[#This Row],COLUMN(AB132), FALSE)</f>
        <v>2</v>
      </c>
      <c r="AC133">
        <f>VLOOKUP($A133,Table1[#This Row],COLUMN(AC132), FALSE)</f>
        <v>6</v>
      </c>
      <c r="AD133">
        <f>VLOOKUP($A133,Table1[#This Row],COLUMN(AD132), FALSE)</f>
        <v>4</v>
      </c>
    </row>
    <row r="134" spans="1:30" ht="15.75">
      <c r="A134" s="53" t="s">
        <v>920</v>
      </c>
      <c r="B134" s="52">
        <f>VLOOKUP($A134,Table1[#This Row],COLUMN(B133), FALSE)</f>
        <v>42133</v>
      </c>
      <c r="C134" s="52">
        <f>VLOOKUP($A134,Table1[#This Row],COLUMN(C133), FALSE)</f>
        <v>42139</v>
      </c>
      <c r="D134" t="str">
        <f>VLOOKUP($A134,Table1[#This Row],COLUMN(D133), FALSE)</f>
        <v>Larry Tron</v>
      </c>
      <c r="E134" t="str">
        <f>VLOOKUP($A134,Table1[#This Row],COLUMN(E133), FALSE)</f>
        <v>India</v>
      </c>
      <c r="F134" t="str">
        <f>VLOOKUP($A134,Table1[#This Row],COLUMN(F133), FALSE)</f>
        <v>SOUTHERN ASIA</v>
      </c>
      <c r="G134" t="str">
        <f>VLOOKUP($A134,Table1[#This Row],COLUMN(G133), FALSE)</f>
        <v>Furniture</v>
      </c>
      <c r="H134" t="str">
        <f>VLOOKUP($A134,Table1[#This Row],COLUMN(H133), FALSE)</f>
        <v>Bookcases</v>
      </c>
      <c r="I134">
        <f>VLOOKUP($A134,Table1[#This Row],COLUMN(I133), FALSE)</f>
        <v>4298.8500000000004</v>
      </c>
      <c r="J134">
        <f>VLOOKUP($A134,Table1[#This Row],COLUMN(J133), FALSE)</f>
        <v>5</v>
      </c>
      <c r="K134">
        <f>VLOOKUP($A134,Table1[#This Row],COLUMN(K133), FALSE)</f>
        <v>0</v>
      </c>
      <c r="L134">
        <f>VLOOKUP($A134,Table1[#This Row],COLUMN(L133), FALSE)</f>
        <v>300.89999999999998</v>
      </c>
      <c r="M134" t="str">
        <f>VLOOKUP($A134,Table1[#This Row],COLUMN(M133), FALSE)</f>
        <v>Low</v>
      </c>
      <c r="N134" t="str">
        <f>VLOOKUP($A134,Table1[#This Row],COLUMN(N133), FALSE)</f>
        <v>Normal Order</v>
      </c>
      <c r="O134" t="str">
        <f>VLOOKUP($A134,Table1[#This Row],COLUMN(O133), FALSE)</f>
        <v>Larry Tron</v>
      </c>
      <c r="P134" t="str">
        <f>VLOOKUP($A134,Table1[#This Row],COLUMN(P133), FALSE)</f>
        <v>IN</v>
      </c>
      <c r="Q134" t="str">
        <f>VLOOKUP($A134,Table1[#This Row],COLUMN(Q133), FALSE)</f>
        <v>2015</v>
      </c>
      <c r="R134" t="str">
        <f>VLOOKUP($A134,Table1[#This Row],COLUMN(R133), FALSE)</f>
        <v>LOW</v>
      </c>
      <c r="S134" t="str">
        <f>VLOOKUP($A134,Table1[#This Row],COLUMN(S133), FALSE)</f>
        <v>furniture</v>
      </c>
      <c r="T134" t="str">
        <f>VLOOKUP($A134,Table1[#This Row],COLUMN(T133), FALSE)</f>
        <v>42133</v>
      </c>
      <c r="U134" t="str">
        <f>VLOOKUP($A134,Table1[#This Row],COLUMN(U133), FALSE)</f>
        <v>LT1676558</v>
      </c>
      <c r="V134" t="str">
        <f>VLOOKUP($A134,Table1[#This Row],COLUMN(V133), FALSE)</f>
        <v>IN</v>
      </c>
      <c r="W134">
        <f>VLOOKUP($A134,Table1[#This Row],COLUMN(W133), FALSE)</f>
        <v>2015</v>
      </c>
      <c r="X134" t="str">
        <f>VLOOKUP($A134,Table1[#This Row],COLUMN(X133), FALSE)</f>
        <v>LT1676558</v>
      </c>
      <c r="Y134">
        <f>VLOOKUP($A134,Table1[#This Row],COLUMN(Y133), FALSE)</f>
        <v>42133</v>
      </c>
      <c r="Z134" t="str">
        <f>VLOOKUP($A134,Table1[#This Row],COLUMN(Z133), FALSE)</f>
        <v>IN-2015-LT1676558-42133</v>
      </c>
      <c r="AA134">
        <f>VLOOKUP($A134,Table1[#This Row],COLUMN(AA133), FALSE)</f>
        <v>2015</v>
      </c>
      <c r="AB134">
        <f>VLOOKUP($A134,Table1[#This Row],COLUMN(AB133), FALSE)</f>
        <v>5</v>
      </c>
      <c r="AC134">
        <f>VLOOKUP($A134,Table1[#This Row],COLUMN(AC133), FALSE)</f>
        <v>7</v>
      </c>
      <c r="AD134">
        <f>VLOOKUP($A134,Table1[#This Row],COLUMN(AD133), FALSE)</f>
        <v>6</v>
      </c>
    </row>
    <row r="135" spans="1:30" ht="15.75">
      <c r="A135" s="54" t="s">
        <v>921</v>
      </c>
      <c r="B135" s="52">
        <f>VLOOKUP($A135,Table1[#This Row],COLUMN(B134), FALSE)</f>
        <v>41411</v>
      </c>
      <c r="C135" s="52">
        <f>VLOOKUP($A135,Table1[#This Row],COLUMN(C134), FALSE)</f>
        <v>41415</v>
      </c>
      <c r="D135" t="str">
        <f>VLOOKUP($A135,Table1[#This Row],COLUMN(D134), FALSE)</f>
        <v>Benjamin Patterson</v>
      </c>
      <c r="E135" t="str">
        <f>VLOOKUP($A135,Table1[#This Row],COLUMN(E134), FALSE)</f>
        <v>Spain</v>
      </c>
      <c r="F135" t="str">
        <f>VLOOKUP($A135,Table1[#This Row],COLUMN(F134), FALSE)</f>
        <v>Southern Europe</v>
      </c>
      <c r="G135" t="str">
        <f>VLOOKUP($A135,Table1[#This Row],COLUMN(G134), FALSE)</f>
        <v>Office Supplies</v>
      </c>
      <c r="H135" t="str">
        <f>VLOOKUP($A135,Table1[#This Row],COLUMN(H134), FALSE)</f>
        <v>Tables</v>
      </c>
      <c r="I135">
        <f>VLOOKUP($A135,Table1[#This Row],COLUMN(I134), FALSE)</f>
        <v>2080.3199999999902</v>
      </c>
      <c r="J135">
        <f>VLOOKUP($A135,Table1[#This Row],COLUMN(J134), FALSE)</f>
        <v>4</v>
      </c>
      <c r="K135">
        <f>VLOOKUP($A135,Table1[#This Row],COLUMN(K134), FALSE)</f>
        <v>0</v>
      </c>
      <c r="L135">
        <f>VLOOKUP($A135,Table1[#This Row],COLUMN(L134), FALSE)</f>
        <v>561.599999999999</v>
      </c>
      <c r="M135" t="str">
        <f>VLOOKUP($A135,Table1[#This Row],COLUMN(M134), FALSE)</f>
        <v>High</v>
      </c>
      <c r="N135" t="str">
        <f>VLOOKUP($A135,Table1[#This Row],COLUMN(N134), FALSE)</f>
        <v>Normal Order</v>
      </c>
      <c r="O135" t="str">
        <f>VLOOKUP($A135,Table1[#This Row],COLUMN(O134), FALSE)</f>
        <v>Benjamin Patterson</v>
      </c>
      <c r="P135" t="str">
        <f>VLOOKUP($A135,Table1[#This Row],COLUMN(P134), FALSE)</f>
        <v>ES</v>
      </c>
      <c r="Q135" t="str">
        <f>VLOOKUP($A135,Table1[#This Row],COLUMN(Q134), FALSE)</f>
        <v>2013</v>
      </c>
      <c r="R135" t="str">
        <f>VLOOKUP($A135,Table1[#This Row],COLUMN(R134), FALSE)</f>
        <v>HIGH</v>
      </c>
      <c r="S135" t="str">
        <f>VLOOKUP($A135,Table1[#This Row],COLUMN(S134), FALSE)</f>
        <v>office supplies</v>
      </c>
      <c r="T135" t="str">
        <f>VLOOKUP($A135,Table1[#This Row],COLUMN(T134), FALSE)</f>
        <v>41411</v>
      </c>
      <c r="U135" t="str">
        <f>VLOOKUP($A135,Table1[#This Row],COLUMN(U134), FALSE)</f>
        <v>BP11230120</v>
      </c>
      <c r="V135" t="str">
        <f>VLOOKUP($A135,Table1[#This Row],COLUMN(V134), FALSE)</f>
        <v>ES</v>
      </c>
      <c r="W135">
        <f>VLOOKUP($A135,Table1[#This Row],COLUMN(W134), FALSE)</f>
        <v>2013</v>
      </c>
      <c r="X135" t="str">
        <f>VLOOKUP($A135,Table1[#This Row],COLUMN(X134), FALSE)</f>
        <v>BP11230120</v>
      </c>
      <c r="Y135">
        <f>VLOOKUP($A135,Table1[#This Row],COLUMN(Y134), FALSE)</f>
        <v>41411</v>
      </c>
      <c r="Z135" t="str">
        <f>VLOOKUP($A135,Table1[#This Row],COLUMN(Z134), FALSE)</f>
        <v>ES-2013-BP11230120-41411</v>
      </c>
      <c r="AA135">
        <f>VLOOKUP($A135,Table1[#This Row],COLUMN(AA134), FALSE)</f>
        <v>2013</v>
      </c>
      <c r="AB135">
        <f>VLOOKUP($A135,Table1[#This Row],COLUMN(AB134), FALSE)</f>
        <v>5</v>
      </c>
      <c r="AC135">
        <f>VLOOKUP($A135,Table1[#This Row],COLUMN(AC134), FALSE)</f>
        <v>6</v>
      </c>
      <c r="AD135">
        <f>VLOOKUP($A135,Table1[#This Row],COLUMN(AD134), FALSE)</f>
        <v>4</v>
      </c>
    </row>
    <row r="136" spans="1:30" ht="15.75">
      <c r="A136" s="53" t="s">
        <v>922</v>
      </c>
      <c r="B136" s="52">
        <f>VLOOKUP($A136,Table1[#This Row],COLUMN(B135), FALSE)</f>
        <v>41123</v>
      </c>
      <c r="C136" s="52">
        <f>VLOOKUP($A136,Table1[#This Row],COLUMN(C135), FALSE)</f>
        <v>41126</v>
      </c>
      <c r="D136" t="str">
        <f>VLOOKUP($A136,Table1[#This Row],COLUMN(D135), FALSE)</f>
        <v>Don Miller</v>
      </c>
      <c r="E136" t="str">
        <f>VLOOKUP($A136,Table1[#This Row],COLUMN(E135), FALSE)</f>
        <v>India</v>
      </c>
      <c r="F136" t="str">
        <f>VLOOKUP($A136,Table1[#This Row],COLUMN(F135), FALSE)</f>
        <v>Southern Asia</v>
      </c>
      <c r="G136" t="str">
        <f>VLOOKUP($A136,Table1[#This Row],COLUMN(G135), FALSE)</f>
        <v>Technology</v>
      </c>
      <c r="H136" t="str">
        <f>VLOOKUP($A136,Table1[#This Row],COLUMN(H135), FALSE)</f>
        <v>Appliances</v>
      </c>
      <c r="I136">
        <f>VLOOKUP($A136,Table1[#This Row],COLUMN(I135), FALSE)</f>
        <v>840.6</v>
      </c>
      <c r="J136">
        <f>VLOOKUP($A136,Table1[#This Row],COLUMN(J135), FALSE)</f>
        <v>5</v>
      </c>
      <c r="K136">
        <f>VLOOKUP($A136,Table1[#This Row],COLUMN(K135), FALSE)</f>
        <v>0</v>
      </c>
      <c r="L136">
        <f>VLOOKUP($A136,Table1[#This Row],COLUMN(L135), FALSE)</f>
        <v>319.349999999999</v>
      </c>
      <c r="M136" t="str">
        <f>VLOOKUP($A136,Table1[#This Row],COLUMN(M135), FALSE)</f>
        <v>Critical</v>
      </c>
      <c r="N136" t="str">
        <f>VLOOKUP($A136,Table1[#This Row],COLUMN(N135), FALSE)</f>
        <v>Normal Order</v>
      </c>
      <c r="O136" t="str">
        <f>VLOOKUP($A136,Table1[#This Row],COLUMN(O135), FALSE)</f>
        <v>Don Miller</v>
      </c>
      <c r="P136" t="str">
        <f>VLOOKUP($A136,Table1[#This Row],COLUMN(P135), FALSE)</f>
        <v>IN</v>
      </c>
      <c r="Q136" t="str">
        <f>VLOOKUP($A136,Table1[#This Row],COLUMN(Q135), FALSE)</f>
        <v>2012</v>
      </c>
      <c r="R136" t="str">
        <f>VLOOKUP($A136,Table1[#This Row],COLUMN(R135), FALSE)</f>
        <v>CRITICAL</v>
      </c>
      <c r="S136" t="str">
        <f>VLOOKUP($A136,Table1[#This Row],COLUMN(S135), FALSE)</f>
        <v>technology</v>
      </c>
      <c r="T136" t="str">
        <f>VLOOKUP($A136,Table1[#This Row],COLUMN(T135), FALSE)</f>
        <v>41123</v>
      </c>
      <c r="U136" t="str">
        <f>VLOOKUP($A136,Table1[#This Row],COLUMN(U135), FALSE)</f>
        <v>DM1352558</v>
      </c>
      <c r="V136" t="str">
        <f>VLOOKUP($A136,Table1[#This Row],COLUMN(V135), FALSE)</f>
        <v>IN</v>
      </c>
      <c r="W136">
        <f>VLOOKUP($A136,Table1[#This Row],COLUMN(W135), FALSE)</f>
        <v>2012</v>
      </c>
      <c r="X136" t="str">
        <f>VLOOKUP($A136,Table1[#This Row],COLUMN(X135), FALSE)</f>
        <v>DM1352558</v>
      </c>
      <c r="Y136">
        <f>VLOOKUP($A136,Table1[#This Row],COLUMN(Y135), FALSE)</f>
        <v>41123</v>
      </c>
      <c r="Z136" t="str">
        <f>VLOOKUP($A136,Table1[#This Row],COLUMN(Z135), FALSE)</f>
        <v>IN-2012-DM1352558-41123</v>
      </c>
      <c r="AA136">
        <f>VLOOKUP($A136,Table1[#This Row],COLUMN(AA135), FALSE)</f>
        <v>2012</v>
      </c>
      <c r="AB136">
        <f>VLOOKUP($A136,Table1[#This Row],COLUMN(AB135), FALSE)</f>
        <v>8</v>
      </c>
      <c r="AC136">
        <f>VLOOKUP($A136,Table1[#This Row],COLUMN(AC135), FALSE)</f>
        <v>5</v>
      </c>
      <c r="AD136">
        <f>VLOOKUP($A136,Table1[#This Row],COLUMN(AD135), FALSE)</f>
        <v>3</v>
      </c>
    </row>
    <row r="137" spans="1:30" ht="15.75">
      <c r="A137" s="54" t="s">
        <v>933</v>
      </c>
      <c r="B137" s="52">
        <f>VLOOKUP($A137,Table1[#This Row],COLUMN(B136), FALSE)</f>
        <v>41956</v>
      </c>
      <c r="C137" s="52">
        <f>VLOOKUP($A137,Table1[#This Row],COLUMN(C136), FALSE)</f>
        <v>41961</v>
      </c>
      <c r="D137" t="str">
        <f>VLOOKUP($A137,Table1[#This Row],COLUMN(D136), FALSE)</f>
        <v>Toby Swindell</v>
      </c>
      <c r="E137" t="str">
        <f>VLOOKUP($A137,Table1[#This Row],COLUMN(E136), FALSE)</f>
        <v>brazil</v>
      </c>
      <c r="F137" t="str">
        <f>VLOOKUP($A137,Table1[#This Row],COLUMN(F136), FALSE)</f>
        <v>South America</v>
      </c>
      <c r="G137" t="str">
        <f>VLOOKUP($A137,Table1[#This Row],COLUMN(G136), FALSE)</f>
        <v>Technology</v>
      </c>
      <c r="H137" t="str">
        <f>VLOOKUP($A137,Table1[#This Row],COLUMN(H136), FALSE)</f>
        <v>Bookcases</v>
      </c>
      <c r="I137">
        <f>VLOOKUP($A137,Table1[#This Row],COLUMN(I136), FALSE)</f>
        <v>2171.3000000000002</v>
      </c>
      <c r="J137">
        <f>VLOOKUP($A137,Table1[#This Row],COLUMN(J136), FALSE)</f>
        <v>5</v>
      </c>
      <c r="K137">
        <f>VLOOKUP($A137,Table1[#This Row],COLUMN(K136), FALSE)</f>
        <v>0</v>
      </c>
      <c r="L137">
        <f>VLOOKUP($A137,Table1[#This Row],COLUMN(L136), FALSE)</f>
        <v>390.79999999999899</v>
      </c>
      <c r="M137" t="str">
        <f>VLOOKUP($A137,Table1[#This Row],COLUMN(M136), FALSE)</f>
        <v>High</v>
      </c>
      <c r="N137" t="str">
        <f>VLOOKUP($A137,Table1[#This Row],COLUMN(N136), FALSE)</f>
        <v>Normal Order</v>
      </c>
      <c r="O137" t="str">
        <f>VLOOKUP($A137,Table1[#This Row],COLUMN(O136), FALSE)</f>
        <v>Toby Swindell</v>
      </c>
      <c r="P137" t="str">
        <f>VLOOKUP($A137,Table1[#This Row],COLUMN(P136), FALSE)</f>
        <v>MX</v>
      </c>
      <c r="Q137" t="str">
        <f>VLOOKUP($A137,Table1[#This Row],COLUMN(Q136), FALSE)</f>
        <v>2014</v>
      </c>
      <c r="R137" t="str">
        <f>VLOOKUP($A137,Table1[#This Row],COLUMN(R136), FALSE)</f>
        <v>HIGH</v>
      </c>
      <c r="S137" t="str">
        <f>VLOOKUP($A137,Table1[#This Row],COLUMN(S136), FALSE)</f>
        <v>technology</v>
      </c>
      <c r="T137" t="str">
        <f>VLOOKUP($A137,Table1[#This Row],COLUMN(T136), FALSE)</f>
        <v>41956</v>
      </c>
      <c r="U137" t="str">
        <f>VLOOKUP($A137,Table1[#This Row],COLUMN(U136), FALSE)</f>
        <v>TS2134018</v>
      </c>
      <c r="V137" t="str">
        <f>VLOOKUP($A137,Table1[#This Row],COLUMN(V136), FALSE)</f>
        <v>MX</v>
      </c>
      <c r="W137">
        <f>VLOOKUP($A137,Table1[#This Row],COLUMN(W136), FALSE)</f>
        <v>2014</v>
      </c>
      <c r="X137" t="str">
        <f>VLOOKUP($A137,Table1[#This Row],COLUMN(X136), FALSE)</f>
        <v>TS2134018</v>
      </c>
      <c r="Y137">
        <f>VLOOKUP($A137,Table1[#This Row],COLUMN(Y136), FALSE)</f>
        <v>41956</v>
      </c>
      <c r="Z137" t="str">
        <f>VLOOKUP($A137,Table1[#This Row],COLUMN(Z136), FALSE)</f>
        <v>MX-2014-TS2134018-41956</v>
      </c>
      <c r="AA137">
        <f>VLOOKUP($A137,Table1[#This Row],COLUMN(AA136), FALSE)</f>
        <v>2014</v>
      </c>
      <c r="AB137">
        <f>VLOOKUP($A137,Table1[#This Row],COLUMN(AB136), FALSE)</f>
        <v>11</v>
      </c>
      <c r="AC137">
        <f>VLOOKUP($A137,Table1[#This Row],COLUMN(AC136), FALSE)</f>
        <v>5</v>
      </c>
      <c r="AD137">
        <f>VLOOKUP($A137,Table1[#This Row],COLUMN(AD136), FALSE)</f>
        <v>5</v>
      </c>
    </row>
    <row r="138" spans="1:30" ht="15.75">
      <c r="A138" s="53" t="s">
        <v>857</v>
      </c>
      <c r="B138" s="52">
        <f>VLOOKUP($A138,Table1[#This Row],COLUMN(B137), FALSE)</f>
        <v>41585</v>
      </c>
      <c r="C138" s="52">
        <f>VLOOKUP($A138,Table1[#This Row],COLUMN(C137), FALSE)</f>
        <v>41590</v>
      </c>
      <c r="D138" t="str">
        <f>VLOOKUP($A138,Table1[#This Row],COLUMN(D137), FALSE)</f>
        <v>Adrian Barton</v>
      </c>
      <c r="E138" t="str">
        <f>VLOOKUP($A138,Table1[#This Row],COLUMN(E137), FALSE)</f>
        <v>United States</v>
      </c>
      <c r="F138" t="str">
        <f>VLOOKUP($A138,Table1[#This Row],COLUMN(F137), FALSE)</f>
        <v>Central US</v>
      </c>
      <c r="G138" t="str">
        <f>VLOOKUP($A138,Table1[#This Row],COLUMN(G137), FALSE)</f>
        <v>Office Supplies</v>
      </c>
      <c r="H138" t="str">
        <f>VLOOKUP($A138,Table1[#This Row],COLUMN(H137), FALSE)</f>
        <v>Phones</v>
      </c>
      <c r="I138">
        <f>VLOOKUP($A138,Table1[#This Row],COLUMN(I137), FALSE)</f>
        <v>177.648</v>
      </c>
      <c r="J138">
        <f>VLOOKUP($A138,Table1[#This Row],COLUMN(J137), FALSE)</f>
        <v>2</v>
      </c>
      <c r="K138">
        <f>VLOOKUP($A138,Table1[#This Row],COLUMN(K137), FALSE)</f>
        <v>0.2</v>
      </c>
      <c r="L138">
        <f>VLOOKUP($A138,Table1[#This Row],COLUMN(L137), FALSE)</f>
        <v>-28.867799999999999</v>
      </c>
      <c r="M138" t="str">
        <f>VLOOKUP($A138,Table1[#This Row],COLUMN(M137), FALSE)</f>
        <v>Medium</v>
      </c>
      <c r="N138" t="str">
        <f>VLOOKUP($A138,Table1[#This Row],COLUMN(N137), FALSE)</f>
        <v>Normal Order</v>
      </c>
      <c r="O138" t="str">
        <f>VLOOKUP($A138,Table1[#This Row],COLUMN(O137), FALSE)</f>
        <v>Adrian Barton</v>
      </c>
      <c r="P138" t="str">
        <f>VLOOKUP($A138,Table1[#This Row],COLUMN(P137), FALSE)</f>
        <v>CA</v>
      </c>
      <c r="Q138" t="str">
        <f>VLOOKUP($A138,Table1[#This Row],COLUMN(Q137), FALSE)</f>
        <v>2013</v>
      </c>
      <c r="R138" t="str">
        <f>VLOOKUP($A138,Table1[#This Row],COLUMN(R137), FALSE)</f>
        <v>MEDIUM</v>
      </c>
      <c r="S138" t="str">
        <f>VLOOKUP($A138,Table1[#This Row],COLUMN(S137), FALSE)</f>
        <v>office supplies</v>
      </c>
      <c r="T138" t="str">
        <f>VLOOKUP($A138,Table1[#This Row],COLUMN(T137), FALSE)</f>
        <v>41585</v>
      </c>
      <c r="U138" t="str">
        <f>VLOOKUP($A138,Table1[#This Row],COLUMN(U137), FALSE)</f>
        <v>AB10105140</v>
      </c>
      <c r="V138" t="str">
        <f>VLOOKUP($A138,Table1[#This Row],COLUMN(V137), FALSE)</f>
        <v>CA</v>
      </c>
      <c r="W138">
        <f>VLOOKUP($A138,Table1[#This Row],COLUMN(W137), FALSE)</f>
        <v>2013</v>
      </c>
      <c r="X138" t="str">
        <f>VLOOKUP($A138,Table1[#This Row],COLUMN(X137), FALSE)</f>
        <v>AB10105140</v>
      </c>
      <c r="Y138">
        <f>VLOOKUP($A138,Table1[#This Row],COLUMN(Y137), FALSE)</f>
        <v>41585</v>
      </c>
      <c r="Z138" t="str">
        <f>VLOOKUP($A138,Table1[#This Row],COLUMN(Z137), FALSE)</f>
        <v>CA-2013-AB10105140-41585</v>
      </c>
      <c r="AA138">
        <f>VLOOKUP($A138,Table1[#This Row],COLUMN(AA137), FALSE)</f>
        <v>2013</v>
      </c>
      <c r="AB138">
        <f>VLOOKUP($A138,Table1[#This Row],COLUMN(AB137), FALSE)</f>
        <v>11</v>
      </c>
      <c r="AC138">
        <f>VLOOKUP($A138,Table1[#This Row],COLUMN(AC137), FALSE)</f>
        <v>5</v>
      </c>
      <c r="AD138">
        <f>VLOOKUP($A138,Table1[#This Row],COLUMN(AD137), FALSE)</f>
        <v>5</v>
      </c>
    </row>
    <row r="139" spans="1:30" ht="15.75">
      <c r="A139" s="54" t="s">
        <v>924</v>
      </c>
      <c r="B139" s="52">
        <f>VLOOKUP($A139,Table1[#This Row],COLUMN(B138), FALSE)</f>
        <v>42267</v>
      </c>
      <c r="C139" s="52">
        <f>VLOOKUP($A139,Table1[#This Row],COLUMN(C138), FALSE)</f>
        <v>42273</v>
      </c>
      <c r="D139" t="str">
        <f>VLOOKUP($A139,Table1[#This Row],COLUMN(D138), FALSE)</f>
        <v>Adrian Barton</v>
      </c>
      <c r="E139" t="str">
        <f>VLOOKUP($A139,Table1[#This Row],COLUMN(E138), FALSE)</f>
        <v>United States</v>
      </c>
      <c r="F139" t="str">
        <f>VLOOKUP($A139,Table1[#This Row],COLUMN(F138), FALSE)</f>
        <v>Western US</v>
      </c>
      <c r="G139" t="str">
        <f>VLOOKUP($A139,Table1[#This Row],COLUMN(G138), FALSE)</f>
        <v>Technology</v>
      </c>
      <c r="H139" t="str">
        <f>VLOOKUP($A139,Table1[#This Row],COLUMN(H138), FALSE)</f>
        <v>Bookcases</v>
      </c>
      <c r="I139">
        <f>VLOOKUP($A139,Table1[#This Row],COLUMN(I138), FALSE)</f>
        <v>89.584000000000003</v>
      </c>
      <c r="J139">
        <f>VLOOKUP($A139,Table1[#This Row],COLUMN(J138), FALSE)</f>
        <v>2</v>
      </c>
      <c r="K139">
        <f>VLOOKUP($A139,Table1[#This Row],COLUMN(K138), FALSE)</f>
        <v>0.2</v>
      </c>
      <c r="L139">
        <f>VLOOKUP($A139,Table1[#This Row],COLUMN(L138), FALSE)</f>
        <v>4.4791999999999996</v>
      </c>
      <c r="M139" t="str">
        <f>VLOOKUP($A139,Table1[#This Row],COLUMN(M138), FALSE)</f>
        <v>Low</v>
      </c>
      <c r="N139" t="str">
        <f>VLOOKUP($A139,Table1[#This Row],COLUMN(N138), FALSE)</f>
        <v>Normal Order</v>
      </c>
      <c r="O139" t="str">
        <f>VLOOKUP($A139,Table1[#This Row],COLUMN(O138), FALSE)</f>
        <v>Adrian Barton</v>
      </c>
      <c r="P139" t="str">
        <f>VLOOKUP($A139,Table1[#This Row],COLUMN(P138), FALSE)</f>
        <v>CA</v>
      </c>
      <c r="Q139" t="str">
        <f>VLOOKUP($A139,Table1[#This Row],COLUMN(Q138), FALSE)</f>
        <v>2015</v>
      </c>
      <c r="R139" t="str">
        <f>VLOOKUP($A139,Table1[#This Row],COLUMN(R138), FALSE)</f>
        <v>LOW</v>
      </c>
      <c r="S139" t="str">
        <f>VLOOKUP($A139,Table1[#This Row],COLUMN(S138), FALSE)</f>
        <v>technology</v>
      </c>
      <c r="T139" t="str">
        <f>VLOOKUP($A139,Table1[#This Row],COLUMN(T138), FALSE)</f>
        <v>42267</v>
      </c>
      <c r="U139" t="str">
        <f>VLOOKUP($A139,Table1[#This Row],COLUMN(U138), FALSE)</f>
        <v>AB10105140</v>
      </c>
      <c r="V139" t="str">
        <f>VLOOKUP($A139,Table1[#This Row],COLUMN(V138), FALSE)</f>
        <v>CA</v>
      </c>
      <c r="W139">
        <f>VLOOKUP($A139,Table1[#This Row],COLUMN(W138), FALSE)</f>
        <v>2015</v>
      </c>
      <c r="X139" t="str">
        <f>VLOOKUP($A139,Table1[#This Row],COLUMN(X138), FALSE)</f>
        <v>AB10105140</v>
      </c>
      <c r="Y139">
        <f>VLOOKUP($A139,Table1[#This Row],COLUMN(Y138), FALSE)</f>
        <v>42267</v>
      </c>
      <c r="Z139" t="str">
        <f>VLOOKUP($A139,Table1[#This Row],COLUMN(Z138), FALSE)</f>
        <v>CA-2015-AB10105140-42267</v>
      </c>
      <c r="AA139">
        <f>VLOOKUP($A139,Table1[#This Row],COLUMN(AA138), FALSE)</f>
        <v>2015</v>
      </c>
      <c r="AB139">
        <f>VLOOKUP($A139,Table1[#This Row],COLUMN(AB138), FALSE)</f>
        <v>9</v>
      </c>
      <c r="AC139">
        <f>VLOOKUP($A139,Table1[#This Row],COLUMN(AC138), FALSE)</f>
        <v>1</v>
      </c>
      <c r="AD139">
        <f>VLOOKUP($A139,Table1[#This Row],COLUMN(AD138), FALSE)</f>
        <v>6</v>
      </c>
    </row>
    <row r="140" spans="1:30" ht="15.75">
      <c r="A140" s="53" t="s">
        <v>948</v>
      </c>
      <c r="B140" s="52">
        <f>VLOOKUP($A140,Table1[#This Row],COLUMN(B139), FALSE)</f>
        <v>42263</v>
      </c>
      <c r="C140" s="52">
        <f>VLOOKUP($A140,Table1[#This Row],COLUMN(C139), FALSE)</f>
        <v>42265</v>
      </c>
      <c r="D140" t="str">
        <f>VLOOKUP($A140,Table1[#This Row],COLUMN(D139), FALSE)</f>
        <v>Jennifer Braxton</v>
      </c>
      <c r="E140" t="str">
        <f>VLOOKUP($A140,Table1[#This Row],COLUMN(E139), FALSE)</f>
        <v>Guatemala</v>
      </c>
      <c r="F140" t="str">
        <f>VLOOKUP($A140,Table1[#This Row],COLUMN(F139), FALSE)</f>
        <v>Central America</v>
      </c>
      <c r="G140" t="str">
        <f>VLOOKUP($A140,Table1[#This Row],COLUMN(G139), FALSE)</f>
        <v>Technology</v>
      </c>
      <c r="H140" t="str">
        <f>VLOOKUP($A140,Table1[#This Row],COLUMN(H139), FALSE)</f>
        <v>Bookcases</v>
      </c>
      <c r="I140">
        <f>VLOOKUP($A140,Table1[#This Row],COLUMN(I139), FALSE)</f>
        <v>1258.7773999999999</v>
      </c>
      <c r="J140">
        <f>VLOOKUP($A140,Table1[#This Row],COLUMN(J139), FALSE)</f>
        <v>5</v>
      </c>
      <c r="K140">
        <f>VLOOKUP($A140,Table1[#This Row],COLUMN(K139), FALSE)</f>
        <v>2E-3</v>
      </c>
      <c r="L140">
        <f>VLOOKUP($A140,Table1[#This Row],COLUMN(L139), FALSE)</f>
        <v>375.77739999999898</v>
      </c>
      <c r="M140" t="str">
        <f>VLOOKUP($A140,Table1[#This Row],COLUMN(M139), FALSE)</f>
        <v>High</v>
      </c>
      <c r="N140" t="str">
        <f>VLOOKUP($A140,Table1[#This Row],COLUMN(N139), FALSE)</f>
        <v>Normal Order</v>
      </c>
      <c r="O140" t="str">
        <f>VLOOKUP($A140,Table1[#This Row],COLUMN(O139), FALSE)</f>
        <v>Jennifer Braxton</v>
      </c>
      <c r="P140" t="str">
        <f>VLOOKUP($A140,Table1[#This Row],COLUMN(P139), FALSE)</f>
        <v>MX</v>
      </c>
      <c r="Q140" t="str">
        <f>VLOOKUP($A140,Table1[#This Row],COLUMN(Q139), FALSE)</f>
        <v>2015</v>
      </c>
      <c r="R140" t="str">
        <f>VLOOKUP($A140,Table1[#This Row],COLUMN(R139), FALSE)</f>
        <v>HIGH</v>
      </c>
      <c r="S140" t="str">
        <f>VLOOKUP($A140,Table1[#This Row],COLUMN(S139), FALSE)</f>
        <v>technology</v>
      </c>
      <c r="T140" t="str">
        <f>VLOOKUP($A140,Table1[#This Row],COLUMN(T139), FALSE)</f>
        <v>42263</v>
      </c>
      <c r="U140" t="str">
        <f>VLOOKUP($A140,Table1[#This Row],COLUMN(U139), FALSE)</f>
        <v>JB1540051</v>
      </c>
      <c r="V140" t="str">
        <f>VLOOKUP($A140,Table1[#This Row],COLUMN(V139), FALSE)</f>
        <v>MX</v>
      </c>
      <c r="W140">
        <f>VLOOKUP($A140,Table1[#This Row],COLUMN(W139), FALSE)</f>
        <v>2015</v>
      </c>
      <c r="X140" t="str">
        <f>VLOOKUP($A140,Table1[#This Row],COLUMN(X139), FALSE)</f>
        <v>JB1540051</v>
      </c>
      <c r="Y140">
        <f>VLOOKUP($A140,Table1[#This Row],COLUMN(Y139), FALSE)</f>
        <v>42263</v>
      </c>
      <c r="Z140" t="str">
        <f>VLOOKUP($A140,Table1[#This Row],COLUMN(Z139), FALSE)</f>
        <v>MX-2015-JB1540051-42263</v>
      </c>
      <c r="AA140">
        <f>VLOOKUP($A140,Table1[#This Row],COLUMN(AA139), FALSE)</f>
        <v>2015</v>
      </c>
      <c r="AB140">
        <f>VLOOKUP($A140,Table1[#This Row],COLUMN(AB139), FALSE)</f>
        <v>9</v>
      </c>
      <c r="AC140">
        <f>VLOOKUP($A140,Table1[#This Row],COLUMN(AC139), FALSE)</f>
        <v>4</v>
      </c>
      <c r="AD140">
        <f>VLOOKUP($A140,Table1[#This Row],COLUMN(AD139), FALSE)</f>
        <v>2</v>
      </c>
    </row>
    <row r="141" spans="1:30" ht="15.75">
      <c r="A141" s="54" t="s">
        <v>952</v>
      </c>
      <c r="B141" s="52">
        <f>VLOOKUP($A141,Table1[#This Row],COLUMN(B140), FALSE)</f>
        <v>42255</v>
      </c>
      <c r="C141" s="52">
        <f>VLOOKUP($A141,Table1[#This Row],COLUMN(C140), FALSE)</f>
        <v>42258</v>
      </c>
      <c r="D141" t="str">
        <f>VLOOKUP($A141,Table1[#This Row],COLUMN(D140), FALSE)</f>
        <v>Sarah Foster</v>
      </c>
      <c r="E141" t="str">
        <f>VLOOKUP($A141,Table1[#This Row],COLUMN(E140), FALSE)</f>
        <v>El Salvador</v>
      </c>
      <c r="F141" t="str">
        <f>VLOOKUP($A141,Table1[#This Row],COLUMN(F140), FALSE)</f>
        <v>Central America</v>
      </c>
      <c r="G141" t="str">
        <f>VLOOKUP($A141,Table1[#This Row],COLUMN(G140), FALSE)</f>
        <v>Technology</v>
      </c>
      <c r="H141" t="str">
        <f>VLOOKUP($A141,Table1[#This Row],COLUMN(H140), FALSE)</f>
        <v>Chairs</v>
      </c>
      <c r="I141">
        <f>VLOOKUP($A141,Table1[#This Row],COLUMN(I140), FALSE)</f>
        <v>1274.7</v>
      </c>
      <c r="J141">
        <f>VLOOKUP($A141,Table1[#This Row],COLUMN(J140), FALSE)</f>
        <v>3</v>
      </c>
      <c r="K141">
        <f>VLOOKUP($A141,Table1[#This Row],COLUMN(K140), FALSE)</f>
        <v>0</v>
      </c>
      <c r="L141">
        <f>VLOOKUP($A141,Table1[#This Row],COLUMN(L140), FALSE)</f>
        <v>293.16000000000003</v>
      </c>
      <c r="M141" t="str">
        <f>VLOOKUP($A141,Table1[#This Row],COLUMN(M140), FALSE)</f>
        <v>Critical#</v>
      </c>
      <c r="N141" t="str">
        <f>VLOOKUP($A141,Table1[#This Row],COLUMN(N140), FALSE)</f>
        <v>Normal Order</v>
      </c>
      <c r="O141" t="str">
        <f>VLOOKUP($A141,Table1[#This Row],COLUMN(O140), FALSE)</f>
        <v>Sarah Foster</v>
      </c>
      <c r="P141" t="str">
        <f>VLOOKUP($A141,Table1[#This Row],COLUMN(P140), FALSE)</f>
        <v>MX</v>
      </c>
      <c r="Q141" t="str">
        <f>VLOOKUP($A141,Table1[#This Row],COLUMN(Q140), FALSE)</f>
        <v>2015</v>
      </c>
      <c r="R141" t="str">
        <f>VLOOKUP($A141,Table1[#This Row],COLUMN(R140), FALSE)</f>
        <v>CRITICAL#</v>
      </c>
      <c r="S141" t="str">
        <f>VLOOKUP($A141,Table1[#This Row],COLUMN(S140), FALSE)</f>
        <v>technology</v>
      </c>
      <c r="T141" t="str">
        <f>VLOOKUP($A141,Table1[#This Row],COLUMN(T140), FALSE)</f>
        <v>42255</v>
      </c>
      <c r="U141" t="str">
        <f>VLOOKUP($A141,Table1[#This Row],COLUMN(U140), FALSE)</f>
        <v>SF2020039</v>
      </c>
      <c r="V141" t="str">
        <f>VLOOKUP($A141,Table1[#This Row],COLUMN(V140), FALSE)</f>
        <v>MX</v>
      </c>
      <c r="W141">
        <f>VLOOKUP($A141,Table1[#This Row],COLUMN(W140), FALSE)</f>
        <v>2015</v>
      </c>
      <c r="X141" t="str">
        <f>VLOOKUP($A141,Table1[#This Row],COLUMN(X140), FALSE)</f>
        <v>SF2020039</v>
      </c>
      <c r="Y141">
        <f>VLOOKUP($A141,Table1[#This Row],COLUMN(Y140), FALSE)</f>
        <v>42255</v>
      </c>
      <c r="Z141" t="str">
        <f>VLOOKUP($A141,Table1[#This Row],COLUMN(Z140), FALSE)</f>
        <v>MX-2015-SF2020039-42255</v>
      </c>
      <c r="AA141">
        <f>VLOOKUP($A141,Table1[#This Row],COLUMN(AA140), FALSE)</f>
        <v>2015</v>
      </c>
      <c r="AB141">
        <f>VLOOKUP($A141,Table1[#This Row],COLUMN(AB140), FALSE)</f>
        <v>9</v>
      </c>
      <c r="AC141">
        <f>VLOOKUP($A141,Table1[#This Row],COLUMN(AC140), FALSE)</f>
        <v>3</v>
      </c>
      <c r="AD141">
        <f>VLOOKUP($A141,Table1[#This Row],COLUMN(AD140), FALSE)</f>
        <v>3</v>
      </c>
    </row>
    <row r="142" spans="1:30" ht="15.75">
      <c r="A142" s="53" t="s">
        <v>956</v>
      </c>
      <c r="B142" s="52">
        <f>VLOOKUP($A142,Table1[#This Row],COLUMN(B141), FALSE)</f>
        <v>42052</v>
      </c>
      <c r="C142" s="52">
        <f>VLOOKUP($A142,Table1[#This Row],COLUMN(C141), FALSE)</f>
        <v>42053</v>
      </c>
      <c r="D142" t="str">
        <f>VLOOKUP($A142,Table1[#This Row],COLUMN(D141), FALSE)</f>
        <v>Keith Herrera</v>
      </c>
      <c r="E142" t="str">
        <f>VLOOKUP($A142,Table1[#This Row],COLUMN(E141), FALSE)</f>
        <v>Philippines</v>
      </c>
      <c r="F142" t="str">
        <f>VLOOKUP($A142,Table1[#This Row],COLUMN(F141), FALSE)</f>
        <v>Southeastern Asia</v>
      </c>
      <c r="G142" t="str">
        <f>VLOOKUP($A142,Table1[#This Row],COLUMN(G141), FALSE)</f>
        <v>Furniture</v>
      </c>
      <c r="H142" t="str">
        <f>VLOOKUP($A142,Table1[#This Row],COLUMN(H141), FALSE)</f>
        <v>Chairs</v>
      </c>
      <c r="I142">
        <f>VLOOKUP($A142,Table1[#This Row],COLUMN(I141), FALSE)</f>
        <v>1046.24999999999</v>
      </c>
      <c r="J142">
        <f>VLOOKUP($A142,Table1[#This Row],COLUMN(J141), FALSE)</f>
        <v>3</v>
      </c>
      <c r="K142">
        <f>VLOOKUP($A142,Table1[#This Row],COLUMN(K141), FALSE)</f>
        <v>0.25</v>
      </c>
      <c r="L142">
        <f>VLOOKUP($A142,Table1[#This Row],COLUMN(L141), FALSE)</f>
        <v>-111.599999999999</v>
      </c>
      <c r="M142" t="str">
        <f>VLOOKUP($A142,Table1[#This Row],COLUMN(M141), FALSE)</f>
        <v>High</v>
      </c>
      <c r="N142" t="str">
        <f>VLOOKUP($A142,Table1[#This Row],COLUMN(N141), FALSE)</f>
        <v>Normal Order</v>
      </c>
      <c r="O142" t="str">
        <f>VLOOKUP($A142,Table1[#This Row],COLUMN(O141), FALSE)</f>
        <v>Keith Herrera</v>
      </c>
      <c r="P142" t="str">
        <f>VLOOKUP($A142,Table1[#This Row],COLUMN(P141), FALSE)</f>
        <v>ID</v>
      </c>
      <c r="Q142" t="str">
        <f>VLOOKUP($A142,Table1[#This Row],COLUMN(Q141), FALSE)</f>
        <v>2015</v>
      </c>
      <c r="R142" t="str">
        <f>VLOOKUP($A142,Table1[#This Row],COLUMN(R141), FALSE)</f>
        <v>HIGH</v>
      </c>
      <c r="S142" t="str">
        <f>VLOOKUP($A142,Table1[#This Row],COLUMN(S141), FALSE)</f>
        <v>furniture</v>
      </c>
      <c r="T142" t="str">
        <f>VLOOKUP($A142,Table1[#This Row],COLUMN(T141), FALSE)</f>
        <v>2052#</v>
      </c>
      <c r="U142" t="str">
        <f>VLOOKUP($A142,Table1[#This Row],COLUMN(U141), FALSE)</f>
        <v>KH16510102</v>
      </c>
      <c r="V142" t="str">
        <f>VLOOKUP($A142,Table1[#This Row],COLUMN(V141), FALSE)</f>
        <v>ID</v>
      </c>
      <c r="W142">
        <f>VLOOKUP($A142,Table1[#This Row],COLUMN(W141), FALSE)</f>
        <v>2015</v>
      </c>
      <c r="X142" t="str">
        <f>VLOOKUP($A142,Table1[#This Row],COLUMN(X141), FALSE)</f>
        <v>KH16510102</v>
      </c>
      <c r="Y142" t="str">
        <f>VLOOKUP($A142,Table1[#This Row],COLUMN(Y141), FALSE)</f>
        <v>42052#</v>
      </c>
      <c r="Z142" t="str">
        <f>VLOOKUP($A142,Table1[#This Row],COLUMN(Z141), FALSE)</f>
        <v>ID-2015-KH16510102-42052#</v>
      </c>
      <c r="AA142">
        <f>VLOOKUP($A142,Table1[#This Row],COLUMN(AA141), FALSE)</f>
        <v>2015</v>
      </c>
      <c r="AB142">
        <f>VLOOKUP($A142,Table1[#This Row],COLUMN(AB141), FALSE)</f>
        <v>2</v>
      </c>
      <c r="AC142">
        <f>VLOOKUP($A142,Table1[#This Row],COLUMN(AC141), FALSE)</f>
        <v>3</v>
      </c>
      <c r="AD142">
        <f>VLOOKUP($A142,Table1[#This Row],COLUMN(AD141), FALSE)</f>
        <v>1</v>
      </c>
    </row>
    <row r="143" spans="1:30" ht="15.75">
      <c r="A143" s="54" t="s">
        <v>958</v>
      </c>
      <c r="B143" s="52">
        <f>VLOOKUP($A143,Table1[#This Row],COLUMN(B142), FALSE)</f>
        <v>41328</v>
      </c>
      <c r="C143" s="52">
        <f>VLOOKUP($A143,Table1[#This Row],COLUMN(C142), FALSE)</f>
        <v>41333</v>
      </c>
      <c r="D143" t="str">
        <f>VLOOKUP($A143,Table1[#This Row],COLUMN(D142), FALSE)</f>
        <v>Denise Leinenbach</v>
      </c>
      <c r="E143" t="str">
        <f>VLOOKUP($A143,Table1[#This Row],COLUMN(E142), FALSE)</f>
        <v>India</v>
      </c>
      <c r="F143" t="str">
        <f>VLOOKUP($A143,Table1[#This Row],COLUMN(F142), FALSE)</f>
        <v>Southern Asia</v>
      </c>
      <c r="G143" t="str">
        <f>VLOOKUP($A143,Table1[#This Row],COLUMN(G142), FALSE)</f>
        <v>Technology</v>
      </c>
      <c r="H143" t="str">
        <f>VLOOKUP($A143,Table1[#This Row],COLUMN(H142), FALSE)</f>
        <v>Chairs</v>
      </c>
      <c r="I143">
        <f>VLOOKUP($A143,Table1[#This Row],COLUMN(I142), FALSE)</f>
        <v>3187.2</v>
      </c>
      <c r="J143">
        <f>VLOOKUP($A143,Table1[#This Row],COLUMN(J142), FALSE)</f>
        <v>5</v>
      </c>
      <c r="K143">
        <f>VLOOKUP($A143,Table1[#This Row],COLUMN(K142), FALSE)</f>
        <v>0</v>
      </c>
      <c r="L143">
        <f>VLOOKUP($A143,Table1[#This Row],COLUMN(L142), FALSE)</f>
        <v>541.79999999999995</v>
      </c>
      <c r="M143" t="str">
        <f>VLOOKUP($A143,Table1[#This Row],COLUMN(M142), FALSE)</f>
        <v>Medium</v>
      </c>
      <c r="N143" t="str">
        <f>VLOOKUP($A143,Table1[#This Row],COLUMN(N142), FALSE)</f>
        <v>Normal Order</v>
      </c>
      <c r="O143" t="str">
        <f>VLOOKUP($A143,Table1[#This Row],COLUMN(O142), FALSE)</f>
        <v>Denise Leinenbach</v>
      </c>
      <c r="P143" t="str">
        <f>VLOOKUP($A143,Table1[#This Row],COLUMN(P142), FALSE)</f>
        <v>IN</v>
      </c>
      <c r="Q143" t="str">
        <f>VLOOKUP($A143,Table1[#This Row],COLUMN(Q142), FALSE)</f>
        <v>2013</v>
      </c>
      <c r="R143" t="str">
        <f>VLOOKUP($A143,Table1[#This Row],COLUMN(R142), FALSE)</f>
        <v>MEDIUM</v>
      </c>
      <c r="S143" t="str">
        <f>VLOOKUP($A143,Table1[#This Row],COLUMN(S142), FALSE)</f>
        <v>technology</v>
      </c>
      <c r="T143" t="str">
        <f>VLOOKUP($A143,Table1[#This Row],COLUMN(T142), FALSE)</f>
        <v>41328</v>
      </c>
      <c r="U143" t="str">
        <f>VLOOKUP($A143,Table1[#This Row],COLUMN(U142), FALSE)</f>
        <v>DL1333058</v>
      </c>
      <c r="V143" t="str">
        <f>VLOOKUP($A143,Table1[#This Row],COLUMN(V142), FALSE)</f>
        <v>IN</v>
      </c>
      <c r="W143">
        <f>VLOOKUP($A143,Table1[#This Row],COLUMN(W142), FALSE)</f>
        <v>2013</v>
      </c>
      <c r="X143" t="str">
        <f>VLOOKUP($A143,Table1[#This Row],COLUMN(X142), FALSE)</f>
        <v>DL1333058</v>
      </c>
      <c r="Y143">
        <f>VLOOKUP($A143,Table1[#This Row],COLUMN(Y142), FALSE)</f>
        <v>41328</v>
      </c>
      <c r="Z143" t="str">
        <f>VLOOKUP($A143,Table1[#This Row],COLUMN(Z142), FALSE)</f>
        <v>IN-2013-DL1333058-41328</v>
      </c>
      <c r="AA143">
        <f>VLOOKUP($A143,Table1[#This Row],COLUMN(AA142), FALSE)</f>
        <v>2013</v>
      </c>
      <c r="AB143">
        <f>VLOOKUP($A143,Table1[#This Row],COLUMN(AB142), FALSE)</f>
        <v>2</v>
      </c>
      <c r="AC143">
        <f>VLOOKUP($A143,Table1[#This Row],COLUMN(AC142), FALSE)</f>
        <v>7</v>
      </c>
      <c r="AD143">
        <f>VLOOKUP($A143,Table1[#This Row],COLUMN(AD142), FALSE)</f>
        <v>5</v>
      </c>
    </row>
    <row r="144" spans="1:30" ht="15.75">
      <c r="A144" s="53" t="s">
        <v>963</v>
      </c>
      <c r="B144" s="52">
        <f>VLOOKUP($A144,Table1[#This Row],COLUMN(B143), FALSE)</f>
        <v>41620</v>
      </c>
      <c r="C144" s="52">
        <f>VLOOKUP($A144,Table1[#This Row],COLUMN(C143), FALSE)</f>
        <v>41622</v>
      </c>
      <c r="D144" t="str">
        <f>VLOOKUP($A144,Table1[#This Row],COLUMN(D143), FALSE)</f>
        <v>Susan Vittorini</v>
      </c>
      <c r="E144" t="str">
        <f>VLOOKUP($A144,Table1[#This Row],COLUMN(E143), FALSE)</f>
        <v>China</v>
      </c>
      <c r="F144" t="str">
        <f>VLOOKUP($A144,Table1[#This Row],COLUMN(F143), FALSE)</f>
        <v>Eastern Asia</v>
      </c>
      <c r="G144" t="str">
        <f>VLOOKUP($A144,Table1[#This Row],COLUMN(G143), FALSE)</f>
        <v>Office Supplies</v>
      </c>
      <c r="H144" t="str">
        <f>VLOOKUP($A144,Table1[#This Row],COLUMN(H143), FALSE)</f>
        <v>Phones</v>
      </c>
      <c r="I144">
        <f>VLOOKUP($A144,Table1[#This Row],COLUMN(I143), FALSE)</f>
        <v>703.35</v>
      </c>
      <c r="J144">
        <f>VLOOKUP($A144,Table1[#This Row],COLUMN(J143), FALSE)</f>
        <v>5</v>
      </c>
      <c r="K144">
        <f>VLOOKUP($A144,Table1[#This Row],COLUMN(K143), FALSE)</f>
        <v>0</v>
      </c>
      <c r="L144">
        <f>VLOOKUP($A144,Table1[#This Row],COLUMN(L143), FALSE)</f>
        <v>260.099999999999</v>
      </c>
      <c r="M144" t="str">
        <f>VLOOKUP($A144,Table1[#This Row],COLUMN(M143), FALSE)</f>
        <v>Critical</v>
      </c>
      <c r="N144" t="str">
        <f>VLOOKUP($A144,Table1[#This Row],COLUMN(N143), FALSE)</f>
        <v>Normal Order</v>
      </c>
      <c r="O144" t="str">
        <f>VLOOKUP($A144,Table1[#This Row],COLUMN(O143), FALSE)</f>
        <v>Susan Vittorini</v>
      </c>
      <c r="P144" t="str">
        <f>VLOOKUP($A144,Table1[#This Row],COLUMN(P143), FALSE)</f>
        <v>IN</v>
      </c>
      <c r="Q144" t="str">
        <f>VLOOKUP($A144,Table1[#This Row],COLUMN(Q143), FALSE)</f>
        <v>2013</v>
      </c>
      <c r="R144" t="str">
        <f>VLOOKUP($A144,Table1[#This Row],COLUMN(R143), FALSE)</f>
        <v>CRITICAL</v>
      </c>
      <c r="S144" t="str">
        <f>VLOOKUP($A144,Table1[#This Row],COLUMN(S143), FALSE)</f>
        <v>office supplies</v>
      </c>
      <c r="T144" t="str">
        <f>VLOOKUP($A144,Table1[#This Row],COLUMN(T143), FALSE)</f>
        <v>41620</v>
      </c>
      <c r="U144" t="str">
        <f>VLOOKUP($A144,Table1[#This Row],COLUMN(U143), FALSE)</f>
        <v>SV2093527</v>
      </c>
      <c r="V144" t="str">
        <f>VLOOKUP($A144,Table1[#This Row],COLUMN(V143), FALSE)</f>
        <v>IN</v>
      </c>
      <c r="W144">
        <f>VLOOKUP($A144,Table1[#This Row],COLUMN(W143), FALSE)</f>
        <v>2013</v>
      </c>
      <c r="X144" t="str">
        <f>VLOOKUP($A144,Table1[#This Row],COLUMN(X143), FALSE)</f>
        <v>SV2093527</v>
      </c>
      <c r="Y144">
        <f>VLOOKUP($A144,Table1[#This Row],COLUMN(Y143), FALSE)</f>
        <v>41620</v>
      </c>
      <c r="Z144" t="str">
        <f>VLOOKUP($A144,Table1[#This Row],COLUMN(Z143), FALSE)</f>
        <v>IN-2013-SV2093527-41620</v>
      </c>
      <c r="AA144">
        <f>VLOOKUP($A144,Table1[#This Row],COLUMN(AA143), FALSE)</f>
        <v>2013</v>
      </c>
      <c r="AB144">
        <f>VLOOKUP($A144,Table1[#This Row],COLUMN(AB143), FALSE)</f>
        <v>12</v>
      </c>
      <c r="AC144">
        <f>VLOOKUP($A144,Table1[#This Row],COLUMN(AC143), FALSE)</f>
        <v>5</v>
      </c>
      <c r="AD144">
        <f>VLOOKUP($A144,Table1[#This Row],COLUMN(AD143), FALSE)</f>
        <v>2</v>
      </c>
    </row>
    <row r="145" spans="1:30" ht="15.75">
      <c r="A145" s="54" t="s">
        <v>976</v>
      </c>
      <c r="B145" s="52">
        <f>VLOOKUP($A145,Table1[#This Row],COLUMN(B144), FALSE)</f>
        <v>41895</v>
      </c>
      <c r="C145" s="52">
        <f>VLOOKUP($A145,Table1[#This Row],COLUMN(C144), FALSE)</f>
        <v>41895</v>
      </c>
      <c r="D145" t="str">
        <f>VLOOKUP($A145,Table1[#This Row],COLUMN(D144), FALSE)</f>
        <v>Jim Epp</v>
      </c>
      <c r="E145" t="str">
        <f>VLOOKUP($A145,Table1[#This Row],COLUMN(E144), FALSE)</f>
        <v>India</v>
      </c>
      <c r="F145" t="str">
        <f>VLOOKUP($A145,Table1[#This Row],COLUMN(F144), FALSE)</f>
        <v>Southern Asia</v>
      </c>
      <c r="G145" t="str">
        <f>VLOOKUP($A145,Table1[#This Row],COLUMN(G144), FALSE)</f>
        <v>Technology</v>
      </c>
      <c r="H145" t="str">
        <f>VLOOKUP($A145,Table1[#This Row],COLUMN(H144), FALSE)</f>
        <v>Appliances</v>
      </c>
      <c r="I145">
        <f>VLOOKUP($A145,Table1[#This Row],COLUMN(I144), FALSE)</f>
        <v>840.15</v>
      </c>
      <c r="J145">
        <f>VLOOKUP($A145,Table1[#This Row],COLUMN(J144), FALSE)</f>
        <v>5</v>
      </c>
      <c r="K145">
        <f>VLOOKUP($A145,Table1[#This Row],COLUMN(K144), FALSE)</f>
        <v>0</v>
      </c>
      <c r="L145">
        <f>VLOOKUP($A145,Table1[#This Row],COLUMN(L144), FALSE)</f>
        <v>260.39999999999998</v>
      </c>
      <c r="M145" t="str">
        <f>VLOOKUP($A145,Table1[#This Row],COLUMN(M144), FALSE)</f>
        <v>Critical</v>
      </c>
      <c r="N145" t="str">
        <f>VLOOKUP($A145,Table1[#This Row],COLUMN(N144), FALSE)</f>
        <v>Normal Order</v>
      </c>
      <c r="O145" t="str">
        <f>VLOOKUP($A145,Table1[#This Row],COLUMN(O144), FALSE)</f>
        <v>Jim Epp</v>
      </c>
      <c r="P145" t="str">
        <f>VLOOKUP($A145,Table1[#This Row],COLUMN(P144), FALSE)</f>
        <v>IN</v>
      </c>
      <c r="Q145" t="str">
        <f>VLOOKUP($A145,Table1[#This Row],COLUMN(Q144), FALSE)</f>
        <v>2014</v>
      </c>
      <c r="R145" t="str">
        <f>VLOOKUP($A145,Table1[#This Row],COLUMN(R144), FALSE)</f>
        <v>CRITICAL</v>
      </c>
      <c r="S145" t="str">
        <f>VLOOKUP($A145,Table1[#This Row],COLUMN(S144), FALSE)</f>
        <v>technology</v>
      </c>
      <c r="T145" t="str">
        <f>VLOOKUP($A145,Table1[#This Row],COLUMN(T144), FALSE)</f>
        <v>41895</v>
      </c>
      <c r="U145" t="str">
        <f>VLOOKUP($A145,Table1[#This Row],COLUMN(U144), FALSE)</f>
        <v>JE1561058</v>
      </c>
      <c r="V145" t="str">
        <f>VLOOKUP($A145,Table1[#This Row],COLUMN(V144), FALSE)</f>
        <v>IN</v>
      </c>
      <c r="W145">
        <f>VLOOKUP($A145,Table1[#This Row],COLUMN(W144), FALSE)</f>
        <v>2014</v>
      </c>
      <c r="X145" t="str">
        <f>VLOOKUP($A145,Table1[#This Row],COLUMN(X144), FALSE)</f>
        <v>JE1561058</v>
      </c>
      <c r="Y145">
        <f>VLOOKUP($A145,Table1[#This Row],COLUMN(Y144), FALSE)</f>
        <v>41895</v>
      </c>
      <c r="Z145" t="str">
        <f>VLOOKUP($A145,Table1[#This Row],COLUMN(Z144), FALSE)</f>
        <v>IN-2014-JE1561058-41895</v>
      </c>
      <c r="AA145">
        <f>VLOOKUP($A145,Table1[#This Row],COLUMN(AA144), FALSE)</f>
        <v>2014</v>
      </c>
      <c r="AB145">
        <f>VLOOKUP($A145,Table1[#This Row],COLUMN(AB144), FALSE)</f>
        <v>9</v>
      </c>
      <c r="AC145">
        <f>VLOOKUP($A145,Table1[#This Row],COLUMN(AC144), FALSE)</f>
        <v>7</v>
      </c>
      <c r="AD145">
        <f>VLOOKUP($A145,Table1[#This Row],COLUMN(AD144), FALSE)</f>
        <v>0</v>
      </c>
    </row>
    <row r="146" spans="1:30" ht="15.75">
      <c r="A146" s="53" t="s">
        <v>978</v>
      </c>
      <c r="B146" s="52">
        <f>VLOOKUP($A146,Table1[#This Row],COLUMN(B145), FALSE)</f>
        <v>41845</v>
      </c>
      <c r="C146" s="52">
        <f>VLOOKUP($A146,Table1[#This Row],COLUMN(C145), FALSE)</f>
        <v>41848</v>
      </c>
      <c r="D146" t="str">
        <f>VLOOKUP($A146,Table1[#This Row],COLUMN(D145), FALSE)</f>
        <v>Gary Hwang</v>
      </c>
      <c r="E146" t="str">
        <f>VLOOKUP($A146,Table1[#This Row],COLUMN(E145), FALSE)</f>
        <v>China</v>
      </c>
      <c r="F146" t="str">
        <f>VLOOKUP($A146,Table1[#This Row],COLUMN(F145), FALSE)</f>
        <v>Eastern Asia</v>
      </c>
      <c r="G146" t="str">
        <f>VLOOKUP($A146,Table1[#This Row],COLUMN(G145), FALSE)</f>
        <v>Furniture</v>
      </c>
      <c r="H146" t="str">
        <f>VLOOKUP($A146,Table1[#This Row],COLUMN(H145), FALSE)</f>
        <v>Machines</v>
      </c>
      <c r="I146">
        <f>VLOOKUP($A146,Table1[#This Row],COLUMN(I145), FALSE)</f>
        <v>1236.33</v>
      </c>
      <c r="J146">
        <f>VLOOKUP($A146,Table1[#This Row],COLUMN(J145), FALSE)</f>
        <v>3</v>
      </c>
      <c r="K146">
        <f>VLOOKUP($A146,Table1[#This Row],COLUMN(K145), FALSE)</f>
        <v>0</v>
      </c>
      <c r="L146">
        <f>VLOOKUP($A146,Table1[#This Row],COLUMN(L145), FALSE)</f>
        <v>519.21</v>
      </c>
      <c r="M146" t="str">
        <f>VLOOKUP($A146,Table1[#This Row],COLUMN(M145), FALSE)</f>
        <v>Medium</v>
      </c>
      <c r="N146" t="str">
        <f>VLOOKUP($A146,Table1[#This Row],COLUMN(N145), FALSE)</f>
        <v>Normal Order</v>
      </c>
      <c r="O146" t="str">
        <f>VLOOKUP($A146,Table1[#This Row],COLUMN(O145), FALSE)</f>
        <v>Gary Hwang</v>
      </c>
      <c r="P146" t="str">
        <f>VLOOKUP($A146,Table1[#This Row],COLUMN(P145), FALSE)</f>
        <v>IN</v>
      </c>
      <c r="Q146" t="str">
        <f>VLOOKUP($A146,Table1[#This Row],COLUMN(Q145), FALSE)</f>
        <v>2014</v>
      </c>
      <c r="R146" t="str">
        <f>VLOOKUP($A146,Table1[#This Row],COLUMN(R145), FALSE)</f>
        <v>MEDIUM</v>
      </c>
      <c r="S146" t="str">
        <f>VLOOKUP($A146,Table1[#This Row],COLUMN(S145), FALSE)</f>
        <v>furniture</v>
      </c>
      <c r="T146" t="str">
        <f>VLOOKUP($A146,Table1[#This Row],COLUMN(T145), FALSE)</f>
        <v>41845</v>
      </c>
      <c r="U146" t="str">
        <f>VLOOKUP($A146,Table1[#This Row],COLUMN(U145), FALSE)</f>
        <v>GH1442527</v>
      </c>
      <c r="V146" t="str">
        <f>VLOOKUP($A146,Table1[#This Row],COLUMN(V145), FALSE)</f>
        <v>IN</v>
      </c>
      <c r="W146">
        <f>VLOOKUP($A146,Table1[#This Row],COLUMN(W145), FALSE)</f>
        <v>2014</v>
      </c>
      <c r="X146" t="str">
        <f>VLOOKUP($A146,Table1[#This Row],COLUMN(X145), FALSE)</f>
        <v>GH1442527</v>
      </c>
      <c r="Y146">
        <f>VLOOKUP($A146,Table1[#This Row],COLUMN(Y145), FALSE)</f>
        <v>41845</v>
      </c>
      <c r="Z146" t="str">
        <f>VLOOKUP($A146,Table1[#This Row],COLUMN(Z145), FALSE)</f>
        <v>IN-2014-GH1442527-41845</v>
      </c>
      <c r="AA146">
        <f>VLOOKUP($A146,Table1[#This Row],COLUMN(AA145), FALSE)</f>
        <v>2014</v>
      </c>
      <c r="AB146">
        <f>VLOOKUP($A146,Table1[#This Row],COLUMN(AB145), FALSE)</f>
        <v>7</v>
      </c>
      <c r="AC146">
        <f>VLOOKUP($A146,Table1[#This Row],COLUMN(AC145), FALSE)</f>
        <v>6</v>
      </c>
      <c r="AD146">
        <f>VLOOKUP($A146,Table1[#This Row],COLUMN(AD145), FALSE)</f>
        <v>3</v>
      </c>
    </row>
    <row r="147" spans="1:30" ht="15.75">
      <c r="A147" s="54" t="s">
        <v>857</v>
      </c>
      <c r="B147" s="52">
        <f>VLOOKUP($A147,Table1[#This Row],COLUMN(B146), FALSE)</f>
        <v>41585</v>
      </c>
      <c r="C147" s="52">
        <f>VLOOKUP($A147,Table1[#This Row],COLUMN(C146), FALSE)</f>
        <v>41590</v>
      </c>
      <c r="D147" t="str">
        <f>VLOOKUP($A147,Table1[#This Row],COLUMN(D146), FALSE)</f>
        <v>Adrian Barton</v>
      </c>
      <c r="E147" t="str">
        <f>VLOOKUP($A147,Table1[#This Row],COLUMN(E146), FALSE)</f>
        <v>United States</v>
      </c>
      <c r="F147" t="str">
        <f>VLOOKUP($A147,Table1[#This Row],COLUMN(F146), FALSE)</f>
        <v>Central US</v>
      </c>
      <c r="G147" t="str">
        <f>VLOOKUP($A147,Table1[#This Row],COLUMN(G146), FALSE)</f>
        <v>Furniture</v>
      </c>
      <c r="H147" t="str">
        <f>VLOOKUP($A147,Table1[#This Row],COLUMN(H146), FALSE)</f>
        <v>Appliances</v>
      </c>
      <c r="I147">
        <f>VLOOKUP($A147,Table1[#This Row],COLUMN(I146), FALSE)</f>
        <v>64.959999999999994</v>
      </c>
      <c r="J147">
        <f>VLOOKUP($A147,Table1[#This Row],COLUMN(J146), FALSE)</f>
        <v>5</v>
      </c>
      <c r="K147">
        <f>VLOOKUP($A147,Table1[#This Row],COLUMN(K146), FALSE)</f>
        <v>0.6</v>
      </c>
      <c r="L147">
        <f>VLOOKUP($A147,Table1[#This Row],COLUMN(L146), FALSE)</f>
        <v>-84.447999999999993</v>
      </c>
      <c r="M147" t="str">
        <f>VLOOKUP($A147,Table1[#This Row],COLUMN(M146), FALSE)</f>
        <v>Medium</v>
      </c>
      <c r="N147" t="str">
        <f>VLOOKUP($A147,Table1[#This Row],COLUMN(N146), FALSE)</f>
        <v>Normal Order</v>
      </c>
      <c r="O147" t="str">
        <f>VLOOKUP($A147,Table1[#This Row],COLUMN(O146), FALSE)</f>
        <v>Adrian Barton</v>
      </c>
      <c r="P147" t="str">
        <f>VLOOKUP($A147,Table1[#This Row],COLUMN(P146), FALSE)</f>
        <v>CA</v>
      </c>
      <c r="Q147" t="str">
        <f>VLOOKUP($A147,Table1[#This Row],COLUMN(Q146), FALSE)</f>
        <v>2013</v>
      </c>
      <c r="R147" t="str">
        <f>VLOOKUP($A147,Table1[#This Row],COLUMN(R146), FALSE)</f>
        <v>MEDIUM</v>
      </c>
      <c r="S147" t="str">
        <f>VLOOKUP($A147,Table1[#This Row],COLUMN(S146), FALSE)</f>
        <v>furniture</v>
      </c>
      <c r="T147" t="str">
        <f>VLOOKUP($A147,Table1[#This Row],COLUMN(T146), FALSE)</f>
        <v>41585</v>
      </c>
      <c r="U147" t="str">
        <f>VLOOKUP($A147,Table1[#This Row],COLUMN(U146), FALSE)</f>
        <v>AB10105140</v>
      </c>
      <c r="V147" t="str">
        <f>VLOOKUP($A147,Table1[#This Row],COLUMN(V146), FALSE)</f>
        <v>CA</v>
      </c>
      <c r="W147">
        <f>VLOOKUP($A147,Table1[#This Row],COLUMN(W146), FALSE)</f>
        <v>2013</v>
      </c>
      <c r="X147" t="str">
        <f>VLOOKUP($A147,Table1[#This Row],COLUMN(X146), FALSE)</f>
        <v>AB10105140</v>
      </c>
      <c r="Y147">
        <f>VLOOKUP($A147,Table1[#This Row],COLUMN(Y146), FALSE)</f>
        <v>41585</v>
      </c>
      <c r="Z147" t="str">
        <f>VLOOKUP($A147,Table1[#This Row],COLUMN(Z146), FALSE)</f>
        <v>CA-2013-AB10105140-41585</v>
      </c>
      <c r="AA147">
        <f>VLOOKUP($A147,Table1[#This Row],COLUMN(AA146), FALSE)</f>
        <v>2013</v>
      </c>
      <c r="AB147">
        <f>VLOOKUP($A147,Table1[#This Row],COLUMN(AB146), FALSE)</f>
        <v>11</v>
      </c>
      <c r="AC147">
        <f>VLOOKUP($A147,Table1[#This Row],COLUMN(AC146), FALSE)</f>
        <v>5</v>
      </c>
      <c r="AD147">
        <f>VLOOKUP($A147,Table1[#This Row],COLUMN(AD146), FALSE)</f>
        <v>5</v>
      </c>
    </row>
    <row r="148" spans="1:30" ht="15.75">
      <c r="A148" s="53" t="s">
        <v>985</v>
      </c>
      <c r="B148" s="52">
        <f>VLOOKUP($A148,Table1[#This Row],COLUMN(B147), FALSE)</f>
        <v>41672</v>
      </c>
      <c r="C148" s="52">
        <f>VLOOKUP($A148,Table1[#This Row],COLUMN(C147), FALSE)</f>
        <v>41677</v>
      </c>
      <c r="D148" t="str">
        <f>VLOOKUP($A148,Table1[#This Row],COLUMN(D147), FALSE)</f>
        <v>Adrian Barton#</v>
      </c>
      <c r="E148" t="str">
        <f>VLOOKUP($A148,Table1[#This Row],COLUMN(E147), FALSE)</f>
        <v>United States</v>
      </c>
      <c r="F148" t="str">
        <f>VLOOKUP($A148,Table1[#This Row],COLUMN(F147), FALSE)</f>
        <v>Eastern US</v>
      </c>
      <c r="G148" t="str">
        <f>VLOOKUP($A148,Table1[#This Row],COLUMN(G147), FALSE)</f>
        <v>Office Supplies</v>
      </c>
      <c r="H148" t="str">
        <f>VLOOKUP($A148,Table1[#This Row],COLUMN(H147), FALSE)</f>
        <v>Machines</v>
      </c>
      <c r="I148">
        <f>VLOOKUP($A148,Table1[#This Row],COLUMN(I147), FALSE)</f>
        <v>117.96</v>
      </c>
      <c r="J148">
        <f>VLOOKUP($A148,Table1[#This Row],COLUMN(J147), FALSE)</f>
        <v>2</v>
      </c>
      <c r="K148">
        <f>VLOOKUP($A148,Table1[#This Row],COLUMN(K147), FALSE)</f>
        <v>0</v>
      </c>
      <c r="L148">
        <f>VLOOKUP($A148,Table1[#This Row],COLUMN(L147), FALSE)</f>
        <v>5.8979999999999899</v>
      </c>
      <c r="M148" t="str">
        <f>VLOOKUP($A148,Table1[#This Row],COLUMN(M147), FALSE)</f>
        <v>Medium</v>
      </c>
      <c r="N148" t="str">
        <f>VLOOKUP($A148,Table1[#This Row],COLUMN(N147), FALSE)</f>
        <v>Normal Order</v>
      </c>
      <c r="O148" t="str">
        <f>VLOOKUP($A148,Table1[#This Row],COLUMN(O147), FALSE)</f>
        <v>Adrian Barton#</v>
      </c>
      <c r="P148" t="str">
        <f>VLOOKUP($A148,Table1[#This Row],COLUMN(P147), FALSE)</f>
        <v>CA</v>
      </c>
      <c r="Q148" t="str">
        <f>VLOOKUP($A148,Table1[#This Row],COLUMN(Q147), FALSE)</f>
        <v>2014</v>
      </c>
      <c r="R148" t="str">
        <f>VLOOKUP($A148,Table1[#This Row],COLUMN(R147), FALSE)</f>
        <v>MEDIUM</v>
      </c>
      <c r="S148" t="str">
        <f>VLOOKUP($A148,Table1[#This Row],COLUMN(S147), FALSE)</f>
        <v>office supplies</v>
      </c>
      <c r="T148" t="str">
        <f>VLOOKUP($A148,Table1[#This Row],COLUMN(T147), FALSE)</f>
        <v>41672</v>
      </c>
      <c r="U148" t="str">
        <f>VLOOKUP($A148,Table1[#This Row],COLUMN(U147), FALSE)</f>
        <v>AB10105140</v>
      </c>
      <c r="V148" t="str">
        <f>VLOOKUP($A148,Table1[#This Row],COLUMN(V147), FALSE)</f>
        <v>CA</v>
      </c>
      <c r="W148">
        <f>VLOOKUP($A148,Table1[#This Row],COLUMN(W147), FALSE)</f>
        <v>2014</v>
      </c>
      <c r="X148" t="str">
        <f>VLOOKUP($A148,Table1[#This Row],COLUMN(X147), FALSE)</f>
        <v>AB10105140</v>
      </c>
      <c r="Y148">
        <f>VLOOKUP($A148,Table1[#This Row],COLUMN(Y147), FALSE)</f>
        <v>41672</v>
      </c>
      <c r="Z148" t="str">
        <f>VLOOKUP($A148,Table1[#This Row],COLUMN(Z147), FALSE)</f>
        <v>CA-2014-AB10105140-41672</v>
      </c>
      <c r="AA148">
        <f>VLOOKUP($A148,Table1[#This Row],COLUMN(AA147), FALSE)</f>
        <v>2014</v>
      </c>
      <c r="AB148">
        <f>VLOOKUP($A148,Table1[#This Row],COLUMN(AB147), FALSE)</f>
        <v>2</v>
      </c>
      <c r="AC148">
        <f>VLOOKUP($A148,Table1[#This Row],COLUMN(AC147), FALSE)</f>
        <v>1</v>
      </c>
      <c r="AD148">
        <f>VLOOKUP($A148,Table1[#This Row],COLUMN(AD147), FALSE)</f>
        <v>5</v>
      </c>
    </row>
    <row r="149" spans="1:30" ht="15.75">
      <c r="A149" s="54" t="s">
        <v>158</v>
      </c>
      <c r="B149" s="52">
        <f>VLOOKUP($A149,Table1[#This Row],COLUMN(B148), FALSE)</f>
        <v>42125</v>
      </c>
      <c r="C149" s="52">
        <f>VLOOKUP($A149,Table1[#This Row],COLUMN(C148), FALSE)</f>
        <v>42125</v>
      </c>
      <c r="D149" t="str">
        <f>VLOOKUP($A149,Table1[#This Row],COLUMN(D148), FALSE)</f>
        <v>Scott Williamson</v>
      </c>
      <c r="E149" t="str">
        <f>VLOOKUP($A149,Table1[#This Row],COLUMN(E148), FALSE)</f>
        <v>India</v>
      </c>
      <c r="F149" t="str">
        <f>VLOOKUP($A149,Table1[#This Row],COLUMN(F148), FALSE)</f>
        <v>Southern Asia</v>
      </c>
      <c r="G149" t="str">
        <f>VLOOKUP($A149,Table1[#This Row],COLUMN(G148), FALSE)</f>
        <v>Furniture</v>
      </c>
      <c r="H149" t="str">
        <f>VLOOKUP($A149,Table1[#This Row],COLUMN(H148), FALSE)</f>
        <v>Machines</v>
      </c>
      <c r="I149">
        <f>VLOOKUP($A149,Table1[#This Row],COLUMN(I148), FALSE)</f>
        <v>723.3</v>
      </c>
      <c r="J149">
        <f>VLOOKUP($A149,Table1[#This Row],COLUMN(J148), FALSE)</f>
        <v>5</v>
      </c>
      <c r="K149">
        <f>VLOOKUP($A149,Table1[#This Row],COLUMN(K148), FALSE)</f>
        <v>0</v>
      </c>
      <c r="L149">
        <f>VLOOKUP($A149,Table1[#This Row],COLUMN(L148), FALSE)</f>
        <v>122.85</v>
      </c>
      <c r="M149" t="str">
        <f>VLOOKUP($A149,Table1[#This Row],COLUMN(M148), FALSE)</f>
        <v>Critical</v>
      </c>
      <c r="N149" t="str">
        <f>VLOOKUP($A149,Table1[#This Row],COLUMN(N148), FALSE)</f>
        <v>Normal Order</v>
      </c>
      <c r="O149" t="str">
        <f>VLOOKUP($A149,Table1[#This Row],COLUMN(O148), FALSE)</f>
        <v>Scott Williamson</v>
      </c>
      <c r="P149" t="str">
        <f>VLOOKUP($A149,Table1[#This Row],COLUMN(P148), FALSE)</f>
        <v>IN</v>
      </c>
      <c r="Q149" t="str">
        <f>VLOOKUP($A149,Table1[#This Row],COLUMN(Q148), FALSE)</f>
        <v>2015</v>
      </c>
      <c r="R149" t="str">
        <f>VLOOKUP($A149,Table1[#This Row],COLUMN(R148), FALSE)</f>
        <v>CRITICAL</v>
      </c>
      <c r="S149" t="str">
        <f>VLOOKUP($A149,Table1[#This Row],COLUMN(S148), FALSE)</f>
        <v>furniture</v>
      </c>
      <c r="T149" t="str">
        <f>VLOOKUP($A149,Table1[#This Row],COLUMN(T148), FALSE)</f>
        <v>42125</v>
      </c>
      <c r="U149" t="str">
        <f>VLOOKUP($A149,Table1[#This Row],COLUMN(U148), FALSE)</f>
        <v>SW2027558</v>
      </c>
      <c r="V149" t="str">
        <f>VLOOKUP($A149,Table1[#This Row],COLUMN(V148), FALSE)</f>
        <v>IN</v>
      </c>
      <c r="W149">
        <f>VLOOKUP($A149,Table1[#This Row],COLUMN(W148), FALSE)</f>
        <v>2015</v>
      </c>
      <c r="X149" t="str">
        <f>VLOOKUP($A149,Table1[#This Row],COLUMN(X148), FALSE)</f>
        <v>SW2027558</v>
      </c>
      <c r="Y149">
        <f>VLOOKUP($A149,Table1[#This Row],COLUMN(Y148), FALSE)</f>
        <v>42125</v>
      </c>
      <c r="Z149" t="str">
        <f>VLOOKUP($A149,Table1[#This Row],COLUMN(Z148), FALSE)</f>
        <v>IN-2015-SW2027558-42125</v>
      </c>
      <c r="AA149">
        <f>VLOOKUP($A149,Table1[#This Row],COLUMN(AA148), FALSE)</f>
        <v>2015</v>
      </c>
      <c r="AB149">
        <f>VLOOKUP($A149,Table1[#This Row],COLUMN(AB148), FALSE)</f>
        <v>5</v>
      </c>
      <c r="AC149">
        <f>VLOOKUP($A149,Table1[#This Row],COLUMN(AC148), FALSE)</f>
        <v>6</v>
      </c>
      <c r="AD149">
        <f>VLOOKUP($A149,Table1[#This Row],COLUMN(AD148), FALSE)</f>
        <v>0</v>
      </c>
    </row>
    <row r="150" spans="1:30" ht="15.75">
      <c r="A150" s="53" t="s">
        <v>993</v>
      </c>
      <c r="B150" s="52">
        <f>VLOOKUP($A150,Table1[#This Row],COLUMN(B149), FALSE)</f>
        <v>40978</v>
      </c>
      <c r="C150" s="52">
        <f>VLOOKUP($A150,Table1[#This Row],COLUMN(C149), FALSE)</f>
        <v>40980</v>
      </c>
      <c r="D150" t="str">
        <f>VLOOKUP($A150,Table1[#This Row],COLUMN(D149), FALSE)</f>
        <v>Peter MceVe</v>
      </c>
      <c r="E150" t="str">
        <f>VLOOKUP($A150,Table1[#This Row],COLUMN(E149), FALSE)</f>
        <v>Iran</v>
      </c>
      <c r="F150" t="str">
        <f>VLOOKUP($A150,Table1[#This Row],COLUMN(F149), FALSE)</f>
        <v>Southern Asia</v>
      </c>
      <c r="G150" t="str">
        <f>VLOOKUP($A150,Table1[#This Row],COLUMN(G149), FALSE)</f>
        <v>Technology</v>
      </c>
      <c r="H150" t="str">
        <f>VLOOKUP($A150,Table1[#This Row],COLUMN(H149), FALSE)</f>
        <v>Copiers</v>
      </c>
      <c r="I150">
        <f>VLOOKUP($A150,Table1[#This Row],COLUMN(I149), FALSE)</f>
        <v>642.68999999999903</v>
      </c>
      <c r="J150">
        <f>VLOOKUP($A150,Table1[#This Row],COLUMN(J149), FALSE)</f>
        <v>1</v>
      </c>
      <c r="K150">
        <f>VLOOKUP($A150,Table1[#This Row],COLUMN(K149), FALSE)</f>
        <v>0</v>
      </c>
      <c r="L150">
        <f>VLOOKUP($A150,Table1[#This Row],COLUMN(L149), FALSE)</f>
        <v>244.2</v>
      </c>
      <c r="M150" t="str">
        <f>VLOOKUP($A150,Table1[#This Row],COLUMN(M149), FALSE)</f>
        <v>Critical</v>
      </c>
      <c r="N150" t="str">
        <f>VLOOKUP($A150,Table1[#This Row],COLUMN(N149), FALSE)</f>
        <v>Normal Order</v>
      </c>
      <c r="O150" t="str">
        <f>VLOOKUP($A150,Table1[#This Row],COLUMN(O149), FALSE)</f>
        <v>Peter Mceve</v>
      </c>
      <c r="P150" t="str">
        <f>VLOOKUP($A150,Table1[#This Row],COLUMN(P149), FALSE)</f>
        <v>IR</v>
      </c>
      <c r="Q150" t="str">
        <f>VLOOKUP($A150,Table1[#This Row],COLUMN(Q149), FALSE)</f>
        <v>2012</v>
      </c>
      <c r="R150" t="str">
        <f>VLOOKUP($A150,Table1[#This Row],COLUMN(R149), FALSE)</f>
        <v>CRITICAL</v>
      </c>
      <c r="S150" t="str">
        <f>VLOOKUP($A150,Table1[#This Row],COLUMN(S149), FALSE)</f>
        <v>technology</v>
      </c>
      <c r="T150" t="str">
        <f>VLOOKUP($A150,Table1[#This Row],COLUMN(T149), FALSE)</f>
        <v>40978</v>
      </c>
      <c r="U150" t="str">
        <f>VLOOKUP($A150,Table1[#This Row],COLUMN(U149), FALSE)</f>
        <v>PM913560</v>
      </c>
      <c r="V150" t="str">
        <f>VLOOKUP($A150,Table1[#This Row],COLUMN(V149), FALSE)</f>
        <v>IR</v>
      </c>
      <c r="W150">
        <f>VLOOKUP($A150,Table1[#This Row],COLUMN(W149), FALSE)</f>
        <v>2012</v>
      </c>
      <c r="X150" t="str">
        <f>VLOOKUP($A150,Table1[#This Row],COLUMN(X149), FALSE)</f>
        <v>PM913560</v>
      </c>
      <c r="Y150">
        <f>VLOOKUP($A150,Table1[#This Row],COLUMN(Y149), FALSE)</f>
        <v>40978</v>
      </c>
      <c r="Z150" t="str">
        <f>VLOOKUP($A150,Table1[#This Row],COLUMN(Z149), FALSE)</f>
        <v>IR-2012-PM913560-40978</v>
      </c>
      <c r="AA150">
        <f>VLOOKUP($A150,Table1[#This Row],COLUMN(AA149), FALSE)</f>
        <v>2012</v>
      </c>
      <c r="AB150">
        <f>VLOOKUP($A150,Table1[#This Row],COLUMN(AB149), FALSE)</f>
        <v>3</v>
      </c>
      <c r="AC150">
        <f>VLOOKUP($A150,Table1[#This Row],COLUMN(AC149), FALSE)</f>
        <v>7</v>
      </c>
      <c r="AD150">
        <f>VLOOKUP($A150,Table1[#This Row],COLUMN(AD149), FALSE)</f>
        <v>2</v>
      </c>
    </row>
    <row r="151" spans="1:30" ht="15.75">
      <c r="A151" s="54" t="s">
        <v>998</v>
      </c>
      <c r="B151" s="52">
        <f>VLOOKUP($A151,Table1[#This Row],COLUMN(B150), FALSE)</f>
        <v>41445</v>
      </c>
      <c r="C151" s="52">
        <f>VLOOKUP($A151,Table1[#This Row],COLUMN(C150), FALSE)</f>
        <v>41447</v>
      </c>
      <c r="D151" t="str">
        <f>VLOOKUP($A151,Table1[#This Row],COLUMN(D150), FALSE)</f>
        <v>Sung Chung</v>
      </c>
      <c r="E151" t="str">
        <f>VLOOKUP($A151,Table1[#This Row],COLUMN(E150), FALSE)</f>
        <v>China</v>
      </c>
      <c r="F151" t="str">
        <f>VLOOKUP($A151,Table1[#This Row],COLUMN(F150), FALSE)</f>
        <v>Eastern Asia</v>
      </c>
      <c r="G151" t="str">
        <f>VLOOKUP($A151,Table1[#This Row],COLUMN(G150), FALSE)</f>
        <v>Technology</v>
      </c>
      <c r="H151" t="str">
        <f>VLOOKUP($A151,Table1[#This Row],COLUMN(H150), FALSE)</f>
        <v>Appliances</v>
      </c>
      <c r="I151" t="str">
        <f>VLOOKUP($A151,Table1[#This Row],COLUMN(I150), FALSE)</f>
        <v xml:space="preserve"> missing </v>
      </c>
      <c r="J151">
        <f>VLOOKUP($A151,Table1[#This Row],COLUMN(J150), FALSE)</f>
        <v>2</v>
      </c>
      <c r="K151">
        <f>VLOOKUP($A151,Table1[#This Row],COLUMN(K150), FALSE)</f>
        <v>0</v>
      </c>
      <c r="L151">
        <f>VLOOKUP($A151,Table1[#This Row],COLUMN(L150), FALSE)</f>
        <v>460.08</v>
      </c>
      <c r="M151" t="str">
        <f>VLOOKUP($A151,Table1[#This Row],COLUMN(M150), FALSE)</f>
        <v>High</v>
      </c>
      <c r="N151" t="str">
        <f>VLOOKUP($A151,Table1[#This Row],COLUMN(N150), FALSE)</f>
        <v>Normal Order</v>
      </c>
      <c r="O151" t="str">
        <f>VLOOKUP($A151,Table1[#This Row],COLUMN(O150), FALSE)</f>
        <v>Sung Chung</v>
      </c>
      <c r="P151" t="str">
        <f>VLOOKUP($A151,Table1[#This Row],COLUMN(P150), FALSE)</f>
        <v>IN</v>
      </c>
      <c r="Q151" t="str">
        <f>VLOOKUP($A151,Table1[#This Row],COLUMN(Q150), FALSE)</f>
        <v>2013</v>
      </c>
      <c r="R151" t="str">
        <f>VLOOKUP($A151,Table1[#This Row],COLUMN(R150), FALSE)</f>
        <v>HIGH</v>
      </c>
      <c r="S151" t="str">
        <f>VLOOKUP($A151,Table1[#This Row],COLUMN(S150), FALSE)</f>
        <v>technology</v>
      </c>
      <c r="T151" t="str">
        <f>VLOOKUP($A151,Table1[#This Row],COLUMN(T150), FALSE)</f>
        <v>41445</v>
      </c>
      <c r="U151" t="str">
        <f>VLOOKUP($A151,Table1[#This Row],COLUMN(U150), FALSE)</f>
        <v>SC2084527</v>
      </c>
      <c r="V151" t="str">
        <f>VLOOKUP($A151,Table1[#This Row],COLUMN(V150), FALSE)</f>
        <v>IN</v>
      </c>
      <c r="W151">
        <f>VLOOKUP($A151,Table1[#This Row],COLUMN(W150), FALSE)</f>
        <v>2013</v>
      </c>
      <c r="X151" t="str">
        <f>VLOOKUP($A151,Table1[#This Row],COLUMN(X150), FALSE)</f>
        <v>SC2084527</v>
      </c>
      <c r="Y151">
        <f>VLOOKUP($A151,Table1[#This Row],COLUMN(Y150), FALSE)</f>
        <v>41445</v>
      </c>
      <c r="Z151" t="str">
        <f>VLOOKUP($A151,Table1[#This Row],COLUMN(Z150), FALSE)</f>
        <v>IN-2013-SC2084527-41445</v>
      </c>
      <c r="AA151">
        <f>VLOOKUP($A151,Table1[#This Row],COLUMN(AA150), FALSE)</f>
        <v>2013</v>
      </c>
      <c r="AB151">
        <f>VLOOKUP($A151,Table1[#This Row],COLUMN(AB150), FALSE)</f>
        <v>6</v>
      </c>
      <c r="AC151">
        <f>VLOOKUP($A151,Table1[#This Row],COLUMN(AC150), FALSE)</f>
        <v>5</v>
      </c>
      <c r="AD151">
        <f>VLOOKUP($A151,Table1[#This Row],COLUMN(AD150), FALSE)</f>
        <v>2</v>
      </c>
    </row>
    <row r="152" spans="1:30" ht="15.75">
      <c r="A152" s="53" t="s">
        <v>1005</v>
      </c>
      <c r="B152" s="52">
        <f>VLOOKUP($A152,Table1[#This Row],COLUMN(B151), FALSE)</f>
        <v>41993</v>
      </c>
      <c r="C152" s="52">
        <f>VLOOKUP($A152,Table1[#This Row],COLUMN(C151), FALSE)</f>
        <v>41995</v>
      </c>
      <c r="D152" t="str">
        <f>VLOOKUP($A152,Table1[#This Row],COLUMN(D151), FALSE)</f>
        <v>Craig Reiter</v>
      </c>
      <c r="E152" t="str">
        <f>VLOOKUP($A152,Table1[#This Row],COLUMN(E151), FALSE)</f>
        <v>Colombia</v>
      </c>
      <c r="F152" t="str">
        <f>VLOOKUP($A152,Table1[#This Row],COLUMN(F151), FALSE)</f>
        <v>South America</v>
      </c>
      <c r="G152" t="str">
        <f>VLOOKUP($A152,Table1[#This Row],COLUMN(G151), FALSE)</f>
        <v>Furniture</v>
      </c>
      <c r="H152" t="str">
        <f>VLOOKUP($A152,Table1[#This Row],COLUMN(H151), FALSE)</f>
        <v>Appliances</v>
      </c>
      <c r="I152">
        <f>VLOOKUP($A152,Table1[#This Row],COLUMN(I151), FALSE)</f>
        <v>1480.3679999999999</v>
      </c>
      <c r="J152">
        <f>VLOOKUP($A152,Table1[#This Row],COLUMN(J151), FALSE)</f>
        <v>3</v>
      </c>
      <c r="K152">
        <f>VLOOKUP($A152,Table1[#This Row],COLUMN(K151), FALSE)</f>
        <v>0.2</v>
      </c>
      <c r="L152">
        <f>VLOOKUP($A152,Table1[#This Row],COLUMN(L151), FALSE)</f>
        <v>333.048</v>
      </c>
      <c r="M152" t="str">
        <f>VLOOKUP($A152,Table1[#This Row],COLUMN(M151), FALSE)</f>
        <v>Medium</v>
      </c>
      <c r="N152" t="str">
        <f>VLOOKUP($A152,Table1[#This Row],COLUMN(N151), FALSE)</f>
        <v>Normal Order</v>
      </c>
      <c r="O152" t="str">
        <f>VLOOKUP($A152,Table1[#This Row],COLUMN(O151), FALSE)</f>
        <v>Craig Reiter</v>
      </c>
      <c r="P152" t="str">
        <f>VLOOKUP($A152,Table1[#This Row],COLUMN(P151), FALSE)</f>
        <v>MX</v>
      </c>
      <c r="Q152" t="str">
        <f>VLOOKUP($A152,Table1[#This Row],COLUMN(Q151), FALSE)</f>
        <v>2014</v>
      </c>
      <c r="R152" t="str">
        <f>VLOOKUP($A152,Table1[#This Row],COLUMN(R151), FALSE)</f>
        <v>MEDIUM</v>
      </c>
      <c r="S152" t="str">
        <f>VLOOKUP($A152,Table1[#This Row],COLUMN(S151), FALSE)</f>
        <v>furniture</v>
      </c>
      <c r="T152" t="str">
        <f>VLOOKUP($A152,Table1[#This Row],COLUMN(T151), FALSE)</f>
        <v>41993</v>
      </c>
      <c r="U152" t="str">
        <f>VLOOKUP($A152,Table1[#This Row],COLUMN(U151), FALSE)</f>
        <v>CR1273028</v>
      </c>
      <c r="V152" t="str">
        <f>VLOOKUP($A152,Table1[#This Row],COLUMN(V151), FALSE)</f>
        <v>MX</v>
      </c>
      <c r="W152">
        <f>VLOOKUP($A152,Table1[#This Row],COLUMN(W151), FALSE)</f>
        <v>2014</v>
      </c>
      <c r="X152" t="str">
        <f>VLOOKUP($A152,Table1[#This Row],COLUMN(X151), FALSE)</f>
        <v>CR1273028</v>
      </c>
      <c r="Y152">
        <f>VLOOKUP($A152,Table1[#This Row],COLUMN(Y151), FALSE)</f>
        <v>41993</v>
      </c>
      <c r="Z152" t="str">
        <f>VLOOKUP($A152,Table1[#This Row],COLUMN(Z151), FALSE)</f>
        <v>MX-2014-CR1273028-41993</v>
      </c>
      <c r="AA152">
        <f>VLOOKUP($A152,Table1[#This Row],COLUMN(AA151), FALSE)</f>
        <v>2014</v>
      </c>
      <c r="AB152">
        <f>VLOOKUP($A152,Table1[#This Row],COLUMN(AB151), FALSE)</f>
        <v>12</v>
      </c>
      <c r="AC152">
        <f>VLOOKUP($A152,Table1[#This Row],COLUMN(AC151), FALSE)</f>
        <v>7</v>
      </c>
      <c r="AD152">
        <f>VLOOKUP($A152,Table1[#This Row],COLUMN(AD151), FALSE)</f>
        <v>2</v>
      </c>
    </row>
    <row r="153" spans="1:30" ht="15.75">
      <c r="A153" s="54" t="s">
        <v>1008</v>
      </c>
      <c r="B153" s="52">
        <f>VLOOKUP($A153,Table1[#This Row],COLUMN(B152), FALSE)</f>
        <v>42203</v>
      </c>
      <c r="C153" s="52">
        <f>VLOOKUP($A153,Table1[#This Row],COLUMN(C152), FALSE)</f>
        <v>42203</v>
      </c>
      <c r="D153" t="str">
        <f>VLOOKUP($A153,Table1[#This Row],COLUMN(D152), FALSE)</f>
        <v>Aaron Hawkins#</v>
      </c>
      <c r="E153" t="str">
        <f>VLOOKUP($A153,Table1[#This Row],COLUMN(E152), FALSE)</f>
        <v>Austria</v>
      </c>
      <c r="F153" t="str">
        <f>VLOOKUP($A153,Table1[#This Row],COLUMN(F152), FALSE)</f>
        <v>Western Europe</v>
      </c>
      <c r="G153" t="str">
        <f>VLOOKUP($A153,Table1[#This Row],COLUMN(G152), FALSE)</f>
        <v>Furniture</v>
      </c>
      <c r="H153" t="str">
        <f>VLOOKUP($A153,Table1[#This Row],COLUMN(H152), FALSE)</f>
        <v>Phones</v>
      </c>
      <c r="I153">
        <f>VLOOKUP($A153,Table1[#This Row],COLUMN(I152), FALSE)</f>
        <v>1100.52</v>
      </c>
      <c r="J153">
        <f>VLOOKUP($A153,Table1[#This Row],COLUMN(J152), FALSE)</f>
        <v>3</v>
      </c>
      <c r="K153">
        <f>VLOOKUP($A153,Table1[#This Row],COLUMN(K152), FALSE)</f>
        <v>0</v>
      </c>
      <c r="L153">
        <f>VLOOKUP($A153,Table1[#This Row],COLUMN(L152), FALSE)</f>
        <v>352.07999999999902</v>
      </c>
      <c r="M153" t="str">
        <f>VLOOKUP($A153,Table1[#This Row],COLUMN(M152), FALSE)</f>
        <v>Critical</v>
      </c>
      <c r="N153" t="str">
        <f>VLOOKUP($A153,Table1[#This Row],COLUMN(N152), FALSE)</f>
        <v>Normal Order</v>
      </c>
      <c r="O153" t="str">
        <f>VLOOKUP($A153,Table1[#This Row],COLUMN(O152), FALSE)</f>
        <v>Aaron Hawkins#</v>
      </c>
      <c r="P153" t="str">
        <f>VLOOKUP($A153,Table1[#This Row],COLUMN(P152), FALSE)</f>
        <v>ES</v>
      </c>
      <c r="Q153" t="str">
        <f>VLOOKUP($A153,Table1[#This Row],COLUMN(Q152), FALSE)</f>
        <v>2015</v>
      </c>
      <c r="R153" t="str">
        <f>VLOOKUP($A153,Table1[#This Row],COLUMN(R152), FALSE)</f>
        <v>CRITICAL</v>
      </c>
      <c r="S153" t="str">
        <f>VLOOKUP($A153,Table1[#This Row],COLUMN(S152), FALSE)</f>
        <v>furniture</v>
      </c>
      <c r="T153" t="str">
        <f>VLOOKUP($A153,Table1[#This Row],COLUMN(T152), FALSE)</f>
        <v>42203</v>
      </c>
      <c r="U153" t="str">
        <f>VLOOKUP($A153,Table1[#This Row],COLUMN(U152), FALSE)</f>
        <v>AH100308</v>
      </c>
      <c r="V153" t="str">
        <f>VLOOKUP($A153,Table1[#This Row],COLUMN(V152), FALSE)</f>
        <v>ES</v>
      </c>
      <c r="W153">
        <f>VLOOKUP($A153,Table1[#This Row],COLUMN(W152), FALSE)</f>
        <v>2015</v>
      </c>
      <c r="X153" t="str">
        <f>VLOOKUP($A153,Table1[#This Row],COLUMN(X152), FALSE)</f>
        <v>AH100308</v>
      </c>
      <c r="Y153">
        <f>VLOOKUP($A153,Table1[#This Row],COLUMN(Y152), FALSE)</f>
        <v>42203</v>
      </c>
      <c r="Z153" t="str">
        <f>VLOOKUP($A153,Table1[#This Row],COLUMN(Z152), FALSE)</f>
        <v>ES-2015-AH100308-42203</v>
      </c>
      <c r="AA153">
        <f>VLOOKUP($A153,Table1[#This Row],COLUMN(AA152), FALSE)</f>
        <v>2015</v>
      </c>
      <c r="AB153">
        <f>VLOOKUP($A153,Table1[#This Row],COLUMN(AB152), FALSE)</f>
        <v>7</v>
      </c>
      <c r="AC153">
        <f>VLOOKUP($A153,Table1[#This Row],COLUMN(AC152), FALSE)</f>
        <v>7</v>
      </c>
      <c r="AD153">
        <f>VLOOKUP($A153,Table1[#This Row],COLUMN(AD152), FALSE)</f>
        <v>0</v>
      </c>
    </row>
    <row r="154" spans="1:30" ht="15.75">
      <c r="A154" s="53" t="s">
        <v>1013</v>
      </c>
      <c r="B154" s="52">
        <f>VLOOKUP($A154,Table1[#This Row],COLUMN(B153), FALSE)</f>
        <v>41153</v>
      </c>
      <c r="C154" s="52" t="str">
        <f>VLOOKUP($A154,Table1[#This Row],COLUMN(C153), FALSE)</f>
        <v xml:space="preserve"> 2012-09-01 </v>
      </c>
      <c r="D154" t="str">
        <f>VLOOKUP($A154,Table1[#This Row],COLUMN(D153), FALSE)</f>
        <v>Anna Gayman</v>
      </c>
      <c r="E154" t="str">
        <f>VLOOKUP($A154,Table1[#This Row],COLUMN(E153), FALSE)</f>
        <v>Austria</v>
      </c>
      <c r="F154" t="str">
        <f>VLOOKUP($A154,Table1[#This Row],COLUMN(F153), FALSE)</f>
        <v>Western Europe</v>
      </c>
      <c r="G154" t="str">
        <f>VLOOKUP($A154,Table1[#This Row],COLUMN(G153), FALSE)</f>
        <v>Furniture</v>
      </c>
      <c r="H154" t="str">
        <f>VLOOKUP($A154,Table1[#This Row],COLUMN(H153), FALSE)</f>
        <v>Bookcases</v>
      </c>
      <c r="I154">
        <f>VLOOKUP($A154,Table1[#This Row],COLUMN(I153), FALSE)</f>
        <v>922.94999999999902</v>
      </c>
      <c r="J154">
        <f>VLOOKUP($A154,Table1[#This Row],COLUMN(J153), FALSE)</f>
        <v>1</v>
      </c>
      <c r="K154">
        <f>VLOOKUP($A154,Table1[#This Row],COLUMN(K153), FALSE)</f>
        <v>0</v>
      </c>
      <c r="L154">
        <f>VLOOKUP($A154,Table1[#This Row],COLUMN(L153), FALSE)</f>
        <v>341.49</v>
      </c>
      <c r="M154" t="str">
        <f>VLOOKUP($A154,Table1[#This Row],COLUMN(M153), FALSE)</f>
        <v>Critical</v>
      </c>
      <c r="N154" t="str">
        <f>VLOOKUP($A154,Table1[#This Row],COLUMN(N153), FALSE)</f>
        <v>Normal Order</v>
      </c>
      <c r="O154" t="str">
        <f>VLOOKUP($A154,Table1[#This Row],COLUMN(O153), FALSE)</f>
        <v>Anna Gayman</v>
      </c>
      <c r="P154" t="str">
        <f>VLOOKUP($A154,Table1[#This Row],COLUMN(P153), FALSE)</f>
        <v>AU</v>
      </c>
      <c r="Q154" t="str">
        <f>VLOOKUP($A154,Table1[#This Row],COLUMN(Q153), FALSE)</f>
        <v>2012</v>
      </c>
      <c r="R154" t="str">
        <f>VLOOKUP($A154,Table1[#This Row],COLUMN(R153), FALSE)</f>
        <v>CRITICAL</v>
      </c>
      <c r="S154" t="str">
        <f>VLOOKUP($A154,Table1[#This Row],COLUMN(S153), FALSE)</f>
        <v>furniture</v>
      </c>
      <c r="T154" t="str">
        <f>VLOOKUP($A154,Table1[#This Row],COLUMN(T153), FALSE)</f>
        <v>41153</v>
      </c>
      <c r="U154" t="str">
        <f>VLOOKUP($A154,Table1[#This Row],COLUMN(U153), FALSE)</f>
        <v>AG6758</v>
      </c>
      <c r="V154" t="str">
        <f>VLOOKUP($A154,Table1[#This Row],COLUMN(V153), FALSE)</f>
        <v>AU</v>
      </c>
      <c r="W154">
        <f>VLOOKUP($A154,Table1[#This Row],COLUMN(W153), FALSE)</f>
        <v>2012</v>
      </c>
      <c r="X154" t="str">
        <f>VLOOKUP($A154,Table1[#This Row],COLUMN(X153), FALSE)</f>
        <v>AG6758</v>
      </c>
      <c r="Y154">
        <f>VLOOKUP($A154,Table1[#This Row],COLUMN(Y153), FALSE)</f>
        <v>41153</v>
      </c>
      <c r="Z154" t="str">
        <f>VLOOKUP($A154,Table1[#This Row],COLUMN(Z153), FALSE)</f>
        <v>AU-2012-AG6758-41153</v>
      </c>
      <c r="AA154">
        <f>VLOOKUP($A154,Table1[#This Row],COLUMN(AA153), FALSE)</f>
        <v>2012</v>
      </c>
      <c r="AB154">
        <f>VLOOKUP($A154,Table1[#This Row],COLUMN(AB153), FALSE)</f>
        <v>9</v>
      </c>
      <c r="AC154">
        <f>VLOOKUP($A154,Table1[#This Row],COLUMN(AC153), FALSE)</f>
        <v>7</v>
      </c>
      <c r="AD154">
        <f>VLOOKUP($A154,Table1[#This Row],COLUMN(AD153), FALSE)</f>
        <v>0</v>
      </c>
    </row>
    <row r="155" spans="1:30" ht="15.75">
      <c r="A155" s="54" t="s">
        <v>1016</v>
      </c>
      <c r="B155" s="52">
        <f>VLOOKUP($A155,Table1[#This Row],COLUMN(B154), FALSE)</f>
        <v>41852</v>
      </c>
      <c r="C155" s="52">
        <f>VLOOKUP($A155,Table1[#This Row],COLUMN(C154), FALSE)</f>
        <v>41853</v>
      </c>
      <c r="D155" t="str">
        <f>VLOOKUP($A155,Table1[#This Row],COLUMN(D154), FALSE)</f>
        <v>Steven Ward</v>
      </c>
      <c r="E155" t="str">
        <f>VLOOKUP($A155,Table1[#This Row],COLUMN(E154), FALSE)</f>
        <v>France</v>
      </c>
      <c r="F155" t="str">
        <f>VLOOKUP($A155,Table1[#This Row],COLUMN(F154), FALSE)</f>
        <v>Western Europe</v>
      </c>
      <c r="G155" t="str">
        <f>VLOOKUP($A155,Table1[#This Row],COLUMN(G154), FALSE)</f>
        <v>Furniture</v>
      </c>
      <c r="H155" t="str">
        <f>VLOOKUP($A155,Table1[#This Row],COLUMN(H154), FALSE)</f>
        <v>Machines</v>
      </c>
      <c r="I155">
        <f>VLOOKUP($A155,Table1[#This Row],COLUMN(I154), FALSE)</f>
        <v>1850.4449999999999</v>
      </c>
      <c r="J155">
        <f>VLOOKUP($A155,Table1[#This Row],COLUMN(J154), FALSE)</f>
        <v>5</v>
      </c>
      <c r="K155">
        <f>VLOOKUP($A155,Table1[#This Row],COLUMN(K154), FALSE)</f>
        <v>0.1</v>
      </c>
      <c r="L155">
        <f>VLOOKUP($A155,Table1[#This Row],COLUMN(L154), FALSE)</f>
        <v>184.995</v>
      </c>
      <c r="M155" t="str">
        <f>VLOOKUP($A155,Table1[#This Row],COLUMN(M154), FALSE)</f>
        <v>High</v>
      </c>
      <c r="N155" t="str">
        <f>VLOOKUP($A155,Table1[#This Row],COLUMN(N154), FALSE)</f>
        <v>Normal Order</v>
      </c>
      <c r="O155" t="str">
        <f>VLOOKUP($A155,Table1[#This Row],COLUMN(O154), FALSE)</f>
        <v>Steven Ward</v>
      </c>
      <c r="P155" t="str">
        <f>VLOOKUP($A155,Table1[#This Row],COLUMN(P154), FALSE)</f>
        <v>ES</v>
      </c>
      <c r="Q155" t="str">
        <f>VLOOKUP($A155,Table1[#This Row],COLUMN(Q154), FALSE)</f>
        <v>2014</v>
      </c>
      <c r="R155" t="str">
        <f>VLOOKUP($A155,Table1[#This Row],COLUMN(R154), FALSE)</f>
        <v>HIGH</v>
      </c>
      <c r="S155" t="str">
        <f>VLOOKUP($A155,Table1[#This Row],COLUMN(S154), FALSE)</f>
        <v>furniture</v>
      </c>
      <c r="T155" t="str">
        <f>VLOOKUP($A155,Table1[#This Row],COLUMN(T154), FALSE)</f>
        <v>41852</v>
      </c>
      <c r="U155" t="str">
        <f>VLOOKUP($A155,Table1[#This Row],COLUMN(U154), FALSE)</f>
        <v>SW2075545</v>
      </c>
      <c r="V155" t="str">
        <f>VLOOKUP($A155,Table1[#This Row],COLUMN(V154), FALSE)</f>
        <v>ES</v>
      </c>
      <c r="W155">
        <f>VLOOKUP($A155,Table1[#This Row],COLUMN(W154), FALSE)</f>
        <v>2014</v>
      </c>
      <c r="X155" t="str">
        <f>VLOOKUP($A155,Table1[#This Row],COLUMN(X154), FALSE)</f>
        <v>SW2075545</v>
      </c>
      <c r="Y155">
        <f>VLOOKUP($A155,Table1[#This Row],COLUMN(Y154), FALSE)</f>
        <v>41852</v>
      </c>
      <c r="Z155" t="str">
        <f>VLOOKUP($A155,Table1[#This Row],COLUMN(Z154), FALSE)</f>
        <v>ES-2014-SW2075545-41852</v>
      </c>
      <c r="AA155">
        <f>VLOOKUP($A155,Table1[#This Row],COLUMN(AA154), FALSE)</f>
        <v>2014</v>
      </c>
      <c r="AB155">
        <f>VLOOKUP($A155,Table1[#This Row],COLUMN(AB154), FALSE)</f>
        <v>8</v>
      </c>
      <c r="AC155">
        <f>VLOOKUP($A155,Table1[#This Row],COLUMN(AC154), FALSE)</f>
        <v>6</v>
      </c>
      <c r="AD155">
        <f>VLOOKUP($A155,Table1[#This Row],COLUMN(AD154), FALSE)</f>
        <v>1</v>
      </c>
    </row>
    <row r="156" spans="1:30" ht="15.75">
      <c r="A156" s="53" t="s">
        <v>1021</v>
      </c>
      <c r="B156" s="52">
        <f>VLOOKUP($A156,Table1[#This Row],COLUMN(B155), FALSE)</f>
        <v>42328</v>
      </c>
      <c r="C156" s="52">
        <f>VLOOKUP($A156,Table1[#This Row],COLUMN(C155), FALSE)</f>
        <v>42331</v>
      </c>
      <c r="D156" t="str">
        <f>VLOOKUP($A156,Table1[#This Row],COLUMN(D155), FALSE)</f>
        <v>Mike Pelletier</v>
      </c>
      <c r="E156" t="str">
        <f>VLOOKUP($A156,Table1[#This Row],COLUMN(E155), FALSE)</f>
        <v>Vietnam</v>
      </c>
      <c r="F156" t="str">
        <f>VLOOKUP($A156,Table1[#This Row],COLUMN(F155), FALSE)</f>
        <v>Southeastern Asia</v>
      </c>
      <c r="G156" t="str">
        <f>VLOOKUP($A156,Table1[#This Row],COLUMN(G155), FALSE)</f>
        <v>Office Supplies</v>
      </c>
      <c r="H156" t="str">
        <f>VLOOKUP($A156,Table1[#This Row],COLUMN(H155), FALSE)</f>
        <v>Bookcases</v>
      </c>
      <c r="I156">
        <f>VLOOKUP($A156,Table1[#This Row],COLUMN(I155), FALSE)</f>
        <v>2190.95099999999</v>
      </c>
      <c r="J156">
        <f>VLOOKUP($A156,Table1[#This Row],COLUMN(J155), FALSE)</f>
        <v>5</v>
      </c>
      <c r="K156">
        <f>VLOOKUP($A156,Table1[#This Row],COLUMN(K155), FALSE)</f>
        <v>0.17</v>
      </c>
      <c r="L156">
        <f>VLOOKUP($A156,Table1[#This Row],COLUMN(L155), FALSE)</f>
        <v>316.70100000000002</v>
      </c>
      <c r="M156" t="str">
        <f>VLOOKUP($A156,Table1[#This Row],COLUMN(M155), FALSE)</f>
        <v>Medium</v>
      </c>
      <c r="N156" t="str">
        <f>VLOOKUP($A156,Table1[#This Row],COLUMN(N155), FALSE)</f>
        <v>Normal Order</v>
      </c>
      <c r="O156" t="str">
        <f>VLOOKUP($A156,Table1[#This Row],COLUMN(O155), FALSE)</f>
        <v>Mike Pelletier</v>
      </c>
      <c r="P156" t="str">
        <f>VLOOKUP($A156,Table1[#This Row],COLUMN(P155), FALSE)</f>
        <v>IN</v>
      </c>
      <c r="Q156" t="str">
        <f>VLOOKUP($A156,Table1[#This Row],COLUMN(Q155), FALSE)</f>
        <v>2015</v>
      </c>
      <c r="R156" t="str">
        <f>VLOOKUP($A156,Table1[#This Row],COLUMN(R155), FALSE)</f>
        <v>MEDIUM</v>
      </c>
      <c r="S156" t="str">
        <f>VLOOKUP($A156,Table1[#This Row],COLUMN(S155), FALSE)</f>
        <v>office supplies</v>
      </c>
      <c r="T156" t="str">
        <f>VLOOKUP($A156,Table1[#This Row],COLUMN(T155), FALSE)</f>
        <v>42328</v>
      </c>
      <c r="U156" t="str">
        <f>VLOOKUP($A156,Table1[#This Row],COLUMN(U155), FALSE)</f>
        <v>MP18175144</v>
      </c>
      <c r="V156" t="str">
        <f>VLOOKUP($A156,Table1[#This Row],COLUMN(V155), FALSE)</f>
        <v>IN</v>
      </c>
      <c r="W156">
        <f>VLOOKUP($A156,Table1[#This Row],COLUMN(W155), FALSE)</f>
        <v>2015</v>
      </c>
      <c r="X156" t="str">
        <f>VLOOKUP($A156,Table1[#This Row],COLUMN(X155), FALSE)</f>
        <v>MP18175144</v>
      </c>
      <c r="Y156">
        <f>VLOOKUP($A156,Table1[#This Row],COLUMN(Y155), FALSE)</f>
        <v>42328</v>
      </c>
      <c r="Z156" t="str">
        <f>VLOOKUP($A156,Table1[#This Row],COLUMN(Z155), FALSE)</f>
        <v>IN-2015-MP18175144-42328</v>
      </c>
      <c r="AA156">
        <f>VLOOKUP($A156,Table1[#This Row],COLUMN(AA155), FALSE)</f>
        <v>2015</v>
      </c>
      <c r="AB156">
        <f>VLOOKUP($A156,Table1[#This Row],COLUMN(AB155), FALSE)</f>
        <v>11</v>
      </c>
      <c r="AC156">
        <f>VLOOKUP($A156,Table1[#This Row],COLUMN(AC155), FALSE)</f>
        <v>6</v>
      </c>
      <c r="AD156">
        <f>VLOOKUP($A156,Table1[#This Row],COLUMN(AD155), FALSE)</f>
        <v>3</v>
      </c>
    </row>
    <row r="157" spans="1:30" ht="15.75">
      <c r="A157" s="54" t="s">
        <v>1025</v>
      </c>
      <c r="B157" s="52">
        <f>VLOOKUP($A157,Table1[#This Row],COLUMN(B156), FALSE)</f>
        <v>41997</v>
      </c>
      <c r="C157" s="52">
        <f>VLOOKUP($A157,Table1[#This Row],COLUMN(C156), FALSE)</f>
        <v>42002</v>
      </c>
      <c r="D157" t="str">
        <f>VLOOKUP($A157,Table1[#This Row],COLUMN(D156), FALSE)</f>
        <v>Marc Crier</v>
      </c>
      <c r="E157" t="str">
        <f>VLOOKUP($A157,Table1[#This Row],COLUMN(E156), FALSE)</f>
        <v>Ukraine</v>
      </c>
      <c r="F157" t="str">
        <f>VLOOKUP($A157,Table1[#This Row],COLUMN(F156), FALSE)</f>
        <v>Eastern Europe</v>
      </c>
      <c r="G157" t="str">
        <f>VLOOKUP($A157,Table1[#This Row],COLUMN(G156), FALSE)</f>
        <v>Technology</v>
      </c>
      <c r="H157" t="str">
        <f>VLOOKUP($A157,Table1[#This Row],COLUMN(H156), FALSE)</f>
        <v>Appliances</v>
      </c>
      <c r="I157">
        <f>VLOOKUP($A157,Table1[#This Row],COLUMN(I156), FALSE)</f>
        <v>2605.56</v>
      </c>
      <c r="J157">
        <f>VLOOKUP($A157,Table1[#This Row],COLUMN(J156), FALSE)</f>
        <v>4</v>
      </c>
      <c r="K157">
        <f>VLOOKUP($A157,Table1[#This Row],COLUMN(K156), FALSE)</f>
        <v>0</v>
      </c>
      <c r="L157">
        <f>VLOOKUP($A157,Table1[#This Row],COLUMN(L156), FALSE)</f>
        <v>573.12</v>
      </c>
      <c r="M157" t="str">
        <f>VLOOKUP($A157,Table1[#This Row],COLUMN(M156), FALSE)</f>
        <v>Medium</v>
      </c>
      <c r="N157" t="str">
        <f>VLOOKUP($A157,Table1[#This Row],COLUMN(N156), FALSE)</f>
        <v>Normal Order</v>
      </c>
      <c r="O157" t="str">
        <f>VLOOKUP($A157,Table1[#This Row],COLUMN(O156), FALSE)</f>
        <v>Marc Crier</v>
      </c>
      <c r="P157" t="str">
        <f>VLOOKUP($A157,Table1[#This Row],COLUMN(P156), FALSE)</f>
        <v>UP</v>
      </c>
      <c r="Q157" t="str">
        <f>VLOOKUP($A157,Table1[#This Row],COLUMN(Q156), FALSE)</f>
        <v>2014</v>
      </c>
      <c r="R157" t="str">
        <f>VLOOKUP($A157,Table1[#This Row],COLUMN(R156), FALSE)</f>
        <v>MEDIUM</v>
      </c>
      <c r="S157" t="str">
        <f>VLOOKUP($A157,Table1[#This Row],COLUMN(S156), FALSE)</f>
        <v>technology</v>
      </c>
      <c r="T157" t="str">
        <f>VLOOKUP($A157,Table1[#This Row],COLUMN(T156), FALSE)</f>
        <v>41997</v>
      </c>
      <c r="U157" t="str">
        <f>VLOOKUP($A157,Table1[#This Row],COLUMN(U156), FALSE)</f>
        <v>MC7275137</v>
      </c>
      <c r="V157" t="str">
        <f>VLOOKUP($A157,Table1[#This Row],COLUMN(V156), FALSE)</f>
        <v>UP</v>
      </c>
      <c r="W157">
        <f>VLOOKUP($A157,Table1[#This Row],COLUMN(W156), FALSE)</f>
        <v>2014</v>
      </c>
      <c r="X157" t="str">
        <f>VLOOKUP($A157,Table1[#This Row],COLUMN(X156), FALSE)</f>
        <v>MC7275137</v>
      </c>
      <c r="Y157">
        <f>VLOOKUP($A157,Table1[#This Row],COLUMN(Y156), FALSE)</f>
        <v>41997</v>
      </c>
      <c r="Z157" t="str">
        <f>VLOOKUP($A157,Table1[#This Row],COLUMN(Z156), FALSE)</f>
        <v>UP-2014-MC7275137-41997</v>
      </c>
      <c r="AA157">
        <f>VLOOKUP($A157,Table1[#This Row],COLUMN(AA156), FALSE)</f>
        <v>2014</v>
      </c>
      <c r="AB157">
        <f>VLOOKUP($A157,Table1[#This Row],COLUMN(AB156), FALSE)</f>
        <v>12</v>
      </c>
      <c r="AC157">
        <f>VLOOKUP($A157,Table1[#This Row],COLUMN(AC156), FALSE)</f>
        <v>4</v>
      </c>
      <c r="AD157">
        <f>VLOOKUP($A157,Table1[#This Row],COLUMN(AD156), FALSE)</f>
        <v>5</v>
      </c>
    </row>
    <row r="158" spans="1:30" ht="15.75">
      <c r="A158" s="53" t="s">
        <v>947</v>
      </c>
      <c r="B158" s="52">
        <f>VLOOKUP($A158,Table1[#This Row],COLUMN(B157), FALSE)</f>
        <v>42139</v>
      </c>
      <c r="C158" s="52">
        <f>VLOOKUP($A158,Table1[#This Row],COLUMN(C157), FALSE)</f>
        <v>42139</v>
      </c>
      <c r="D158" t="str">
        <f>VLOOKUP($A158,Table1[#This Row],COLUMN(D157), FALSE)</f>
        <v>Adrian Barton</v>
      </c>
      <c r="E158" t="str">
        <f>VLOOKUP($A158,Table1[#This Row],COLUMN(E157), FALSE)</f>
        <v>canada</v>
      </c>
      <c r="F158" t="str">
        <f>VLOOKUP($A158,Table1[#This Row],COLUMN(F157), FALSE)</f>
        <v>Canada</v>
      </c>
      <c r="G158" t="str">
        <f>VLOOKUP($A158,Table1[#This Row],COLUMN(G157), FALSE)</f>
        <v>Office Supplies</v>
      </c>
      <c r="H158" t="str">
        <f>VLOOKUP($A158,Table1[#This Row],COLUMN(H157), FALSE)</f>
        <v>Phones</v>
      </c>
      <c r="I158">
        <f>VLOOKUP($A158,Table1[#This Row],COLUMN(I157), FALSE)</f>
        <v>34.019999999999897</v>
      </c>
      <c r="J158">
        <f>VLOOKUP($A158,Table1[#This Row],COLUMN(J157), FALSE)</f>
        <v>2</v>
      </c>
      <c r="K158">
        <f>VLOOKUP($A158,Table1[#This Row],COLUMN(K157), FALSE)</f>
        <v>0</v>
      </c>
      <c r="L158">
        <f>VLOOKUP($A158,Table1[#This Row],COLUMN(L157), FALSE)</f>
        <v>14.28</v>
      </c>
      <c r="M158" t="str">
        <f>VLOOKUP($A158,Table1[#This Row],COLUMN(M157), FALSE)</f>
        <v xml:space="preserve"> High </v>
      </c>
      <c r="N158" t="str">
        <f>VLOOKUP($A158,Table1[#This Row],COLUMN(N157), FALSE)</f>
        <v>Normal Order</v>
      </c>
      <c r="O158" t="str">
        <f>VLOOKUP($A158,Table1[#This Row],COLUMN(O157), FALSE)</f>
        <v>Adrian Barton</v>
      </c>
      <c r="P158" t="str">
        <f>VLOOKUP($A158,Table1[#This Row],COLUMN(P157), FALSE)</f>
        <v>CA</v>
      </c>
      <c r="Q158" t="str">
        <f>VLOOKUP($A158,Table1[#This Row],COLUMN(Q157), FALSE)</f>
        <v>2015</v>
      </c>
      <c r="R158" t="str">
        <f>VLOOKUP($A158,Table1[#This Row],COLUMN(R157), FALSE)</f>
        <v xml:space="preserve"> HIGH </v>
      </c>
      <c r="S158" t="str">
        <f>VLOOKUP($A158,Table1[#This Row],COLUMN(S157), FALSE)</f>
        <v>office supplies</v>
      </c>
      <c r="T158" t="str">
        <f>VLOOKUP($A158,Table1[#This Row],COLUMN(T157), FALSE)</f>
        <v>42139</v>
      </c>
      <c r="U158" t="str">
        <f>VLOOKUP($A158,Table1[#This Row],COLUMN(U157), FALSE)</f>
        <v>AB10523</v>
      </c>
      <c r="V158" t="str">
        <f>VLOOKUP($A158,Table1[#This Row],COLUMN(V157), FALSE)</f>
        <v>CA</v>
      </c>
      <c r="W158">
        <f>VLOOKUP($A158,Table1[#This Row],COLUMN(W157), FALSE)</f>
        <v>2015</v>
      </c>
      <c r="X158" t="str">
        <f>VLOOKUP($A158,Table1[#This Row],COLUMN(X157), FALSE)</f>
        <v>AB10523</v>
      </c>
      <c r="Y158">
        <f>VLOOKUP($A158,Table1[#This Row],COLUMN(Y157), FALSE)</f>
        <v>42139</v>
      </c>
      <c r="Z158" t="str">
        <f>VLOOKUP($A158,Table1[#This Row],COLUMN(Z157), FALSE)</f>
        <v>CA-2015-AB10523-42139</v>
      </c>
      <c r="AA158">
        <f>VLOOKUP($A158,Table1[#This Row],COLUMN(AA157), FALSE)</f>
        <v>2015</v>
      </c>
      <c r="AB158">
        <f>VLOOKUP($A158,Table1[#This Row],COLUMN(AB157), FALSE)</f>
        <v>5</v>
      </c>
      <c r="AC158">
        <f>VLOOKUP($A158,Table1[#This Row],COLUMN(AC157), FALSE)</f>
        <v>6</v>
      </c>
      <c r="AD158">
        <f>VLOOKUP($A158,Table1[#This Row],COLUMN(AD157), FALSE)</f>
        <v>0</v>
      </c>
    </row>
    <row r="159" spans="1:30" ht="15.75">
      <c r="A159" s="54" t="s">
        <v>1030</v>
      </c>
      <c r="B159" s="52">
        <f>VLOOKUP($A159,Table1[#This Row],COLUMN(B158), FALSE)</f>
        <v>41608</v>
      </c>
      <c r="C159" s="52">
        <f>VLOOKUP($A159,Table1[#This Row],COLUMN(C158), FALSE)</f>
        <v>41612</v>
      </c>
      <c r="D159" t="str">
        <f>VLOOKUP($A159,Table1[#This Row],COLUMN(D158), FALSE)</f>
        <v>Ed Jacobs</v>
      </c>
      <c r="E159" t="str">
        <f>VLOOKUP($A159,Table1[#This Row],COLUMN(E158), FALSE)</f>
        <v>Singapore</v>
      </c>
      <c r="F159" t="str">
        <f>VLOOKUP($A159,Table1[#This Row],COLUMN(F158), FALSE)</f>
        <v>Southeastern Asia</v>
      </c>
      <c r="G159" t="str">
        <f>VLOOKUP($A159,Table1[#This Row],COLUMN(G158), FALSE)</f>
        <v>Furniture</v>
      </c>
      <c r="H159" t="str">
        <f>VLOOKUP($A159,Table1[#This Row],COLUMN(H158), FALSE)</f>
        <v>Tables</v>
      </c>
      <c r="I159">
        <f>VLOOKUP($A159,Table1[#This Row],COLUMN(I158), FALSE)</f>
        <v>2051.1</v>
      </c>
      <c r="J159">
        <f>VLOOKUP($A159,Table1[#This Row],COLUMN(J158), FALSE)</f>
        <v>5</v>
      </c>
      <c r="K159">
        <f>VLOOKUP($A159,Table1[#This Row],COLUMN(K158), FALSE)</f>
        <v>0</v>
      </c>
      <c r="L159">
        <f>VLOOKUP($A159,Table1[#This Row],COLUMN(L158), FALSE)</f>
        <v>40.949999999999903</v>
      </c>
      <c r="M159" t="str">
        <f>VLOOKUP($A159,Table1[#This Row],COLUMN(M158), FALSE)</f>
        <v>High</v>
      </c>
      <c r="N159" t="str">
        <f>VLOOKUP($A159,Table1[#This Row],COLUMN(N158), FALSE)</f>
        <v>Normal Order</v>
      </c>
      <c r="O159" t="str">
        <f>VLOOKUP($A159,Table1[#This Row],COLUMN(O158), FALSE)</f>
        <v>Ed Jacobs</v>
      </c>
      <c r="P159" t="str">
        <f>VLOOKUP($A159,Table1[#This Row],COLUMN(P158), FALSE)</f>
        <v>IN</v>
      </c>
      <c r="Q159" t="str">
        <f>VLOOKUP($A159,Table1[#This Row],COLUMN(Q158), FALSE)</f>
        <v>2013</v>
      </c>
      <c r="R159" t="str">
        <f>VLOOKUP($A159,Table1[#This Row],COLUMN(R158), FALSE)</f>
        <v>HIGH</v>
      </c>
      <c r="S159" t="str">
        <f>VLOOKUP($A159,Table1[#This Row],COLUMN(S158), FALSE)</f>
        <v>furniture</v>
      </c>
      <c r="T159" t="str">
        <f>VLOOKUP($A159,Table1[#This Row],COLUMN(T158), FALSE)</f>
        <v>41608</v>
      </c>
      <c r="U159" t="str">
        <f>VLOOKUP($A159,Table1[#This Row],COLUMN(U158), FALSE)</f>
        <v>EJ13720113</v>
      </c>
      <c r="V159" t="str">
        <f>VLOOKUP($A159,Table1[#This Row],COLUMN(V158), FALSE)</f>
        <v>IN</v>
      </c>
      <c r="W159">
        <f>VLOOKUP($A159,Table1[#This Row],COLUMN(W158), FALSE)</f>
        <v>2013</v>
      </c>
      <c r="X159" t="str">
        <f>VLOOKUP($A159,Table1[#This Row],COLUMN(X158), FALSE)</f>
        <v>EJ13720113</v>
      </c>
      <c r="Y159">
        <f>VLOOKUP($A159,Table1[#This Row],COLUMN(Y158), FALSE)</f>
        <v>41608</v>
      </c>
      <c r="Z159" t="str">
        <f>VLOOKUP($A159,Table1[#This Row],COLUMN(Z158), FALSE)</f>
        <v>IN-2013-EJ13720113-41608</v>
      </c>
      <c r="AA159">
        <f>VLOOKUP($A159,Table1[#This Row],COLUMN(AA158), FALSE)</f>
        <v>2013</v>
      </c>
      <c r="AB159">
        <f>VLOOKUP($A159,Table1[#This Row],COLUMN(AB158), FALSE)</f>
        <v>11</v>
      </c>
      <c r="AC159">
        <f>VLOOKUP($A159,Table1[#This Row],COLUMN(AC158), FALSE)</f>
        <v>7</v>
      </c>
      <c r="AD159">
        <f>VLOOKUP($A159,Table1[#This Row],COLUMN(AD158), FALSE)</f>
        <v>4</v>
      </c>
    </row>
    <row r="160" spans="1:30" ht="15.75">
      <c r="A160" s="53" t="s">
        <v>857</v>
      </c>
      <c r="B160" s="52">
        <f>VLOOKUP($A160,Table1[#This Row],COLUMN(B159), FALSE)</f>
        <v>41585</v>
      </c>
      <c r="C160" s="52">
        <f>VLOOKUP($A160,Table1[#This Row],COLUMN(C159), FALSE)</f>
        <v>41590</v>
      </c>
      <c r="D160" t="str">
        <f>VLOOKUP($A160,Table1[#This Row],COLUMN(D159), FALSE)</f>
        <v>Adrian Barton</v>
      </c>
      <c r="E160" t="str">
        <f>VLOOKUP($A160,Table1[#This Row],COLUMN(E159), FALSE)</f>
        <v>United States</v>
      </c>
      <c r="F160" t="str">
        <f>VLOOKUP($A160,Table1[#This Row],COLUMN(F159), FALSE)</f>
        <v>Central US</v>
      </c>
      <c r="G160" t="str">
        <f>VLOOKUP($A160,Table1[#This Row],COLUMN(G159), FALSE)</f>
        <v>Office_Supplies</v>
      </c>
      <c r="H160" t="str">
        <f>VLOOKUP($A160,Table1[#This Row],COLUMN(H159), FALSE)</f>
        <v>Bookcases</v>
      </c>
      <c r="I160">
        <f>VLOOKUP($A160,Table1[#This Row],COLUMN(I159), FALSE)</f>
        <v>23.64</v>
      </c>
      <c r="J160">
        <f>VLOOKUP($A160,Table1[#This Row],COLUMN(J159), FALSE)</f>
        <v>3</v>
      </c>
      <c r="K160">
        <f>VLOOKUP($A160,Table1[#This Row],COLUMN(K159), FALSE)</f>
        <v>0.2</v>
      </c>
      <c r="L160">
        <f>VLOOKUP($A160,Table1[#This Row],COLUMN(L159), FALSE)</f>
        <v>5.319</v>
      </c>
      <c r="M160" t="str">
        <f>VLOOKUP($A160,Table1[#This Row],COLUMN(M159), FALSE)</f>
        <v>Mdeium</v>
      </c>
      <c r="N160" t="str">
        <f>VLOOKUP($A160,Table1[#This Row],COLUMN(N159), FALSE)</f>
        <v>Normal Order</v>
      </c>
      <c r="O160" t="str">
        <f>VLOOKUP($A160,Table1[#This Row],COLUMN(O159), FALSE)</f>
        <v>Adrian Barton</v>
      </c>
      <c r="P160" t="str">
        <f>VLOOKUP($A160,Table1[#This Row],COLUMN(P159), FALSE)</f>
        <v>CA</v>
      </c>
      <c r="Q160" t="str">
        <f>VLOOKUP($A160,Table1[#This Row],COLUMN(Q159), FALSE)</f>
        <v>2013</v>
      </c>
      <c r="R160" t="str">
        <f>VLOOKUP($A160,Table1[#This Row],COLUMN(R159), FALSE)</f>
        <v>MDEIUM</v>
      </c>
      <c r="S160" t="str">
        <f>VLOOKUP($A160,Table1[#This Row],COLUMN(S159), FALSE)</f>
        <v>office_supplies</v>
      </c>
      <c r="T160" t="str">
        <f>VLOOKUP($A160,Table1[#This Row],COLUMN(T159), FALSE)</f>
        <v>41585</v>
      </c>
      <c r="U160" t="str">
        <f>VLOOKUP($A160,Table1[#This Row],COLUMN(U159), FALSE)</f>
        <v>AB10105140</v>
      </c>
      <c r="V160" t="str">
        <f>VLOOKUP($A160,Table1[#This Row],COLUMN(V159), FALSE)</f>
        <v>CA</v>
      </c>
      <c r="W160">
        <f>VLOOKUP($A160,Table1[#This Row],COLUMN(W159), FALSE)</f>
        <v>2013</v>
      </c>
      <c r="X160" t="str">
        <f>VLOOKUP($A160,Table1[#This Row],COLUMN(X159), FALSE)</f>
        <v>AB10105140</v>
      </c>
      <c r="Y160">
        <f>VLOOKUP($A160,Table1[#This Row],COLUMN(Y159), FALSE)</f>
        <v>41585</v>
      </c>
      <c r="Z160" t="str">
        <f>VLOOKUP($A160,Table1[#This Row],COLUMN(Z159), FALSE)</f>
        <v>CA-2013-AB10105140-41585</v>
      </c>
      <c r="AA160">
        <f>VLOOKUP($A160,Table1[#This Row],COLUMN(AA159), FALSE)</f>
        <v>2013</v>
      </c>
      <c r="AB160">
        <f>VLOOKUP($A160,Table1[#This Row],COLUMN(AB159), FALSE)</f>
        <v>11</v>
      </c>
      <c r="AC160">
        <f>VLOOKUP($A160,Table1[#This Row],COLUMN(AC159), FALSE)</f>
        <v>5</v>
      </c>
      <c r="AD160">
        <f>VLOOKUP($A160,Table1[#This Row],COLUMN(AD159), FALSE)</f>
        <v>5</v>
      </c>
    </row>
    <row r="161" spans="1:30" ht="15.75">
      <c r="A161" s="54" t="s">
        <v>833</v>
      </c>
      <c r="B161" s="52">
        <f>VLOOKUP($A161,Table1[#This Row],COLUMN(B160), FALSE)</f>
        <v>42328</v>
      </c>
      <c r="C161" s="52">
        <f>VLOOKUP($A161,Table1[#This Row],COLUMN(C160), FALSE)</f>
        <v>42332</v>
      </c>
      <c r="D161" t="str">
        <f>VLOOKUP($A161,Table1[#This Row],COLUMN(D160), FALSE)</f>
        <v>Adrian Barton</v>
      </c>
      <c r="E161" t="str">
        <f>VLOOKUP($A161,Table1[#This Row],COLUMN(E160), FALSE)</f>
        <v>United States</v>
      </c>
      <c r="F161" t="str">
        <f>VLOOKUP($A161,Table1[#This Row],COLUMN(F160), FALSE)</f>
        <v>Southern US</v>
      </c>
      <c r="G161" t="str">
        <f>VLOOKUP($A161,Table1[#This Row],COLUMN(G160), FALSE)</f>
        <v>Office Supplies</v>
      </c>
      <c r="H161" t="str">
        <f>VLOOKUP($A161,Table1[#This Row],COLUMN(H160), FALSE)</f>
        <v>Machines</v>
      </c>
      <c r="I161">
        <f>VLOOKUP($A161,Table1[#This Row],COLUMN(I160), FALSE)</f>
        <v>21.96</v>
      </c>
      <c r="J161">
        <f>VLOOKUP($A161,Table1[#This Row],COLUMN(J160), FALSE)</f>
        <v>2</v>
      </c>
      <c r="K161">
        <f>VLOOKUP($A161,Table1[#This Row],COLUMN(K160), FALSE)</f>
        <v>0</v>
      </c>
      <c r="L161">
        <f>VLOOKUP($A161,Table1[#This Row],COLUMN(L160), FALSE)</f>
        <v>10.760400000000001</v>
      </c>
      <c r="M161" t="str">
        <f>VLOOKUP($A161,Table1[#This Row],COLUMN(M160), FALSE)</f>
        <v>Medium</v>
      </c>
      <c r="N161" t="str">
        <f>VLOOKUP($A161,Table1[#This Row],COLUMN(N160), FALSE)</f>
        <v>Normal Order</v>
      </c>
      <c r="O161" t="str">
        <f>VLOOKUP($A161,Table1[#This Row],COLUMN(O160), FALSE)</f>
        <v>Adrian Barton</v>
      </c>
      <c r="P161" t="str">
        <f>VLOOKUP($A161,Table1[#This Row],COLUMN(P160), FALSE)</f>
        <v>CA</v>
      </c>
      <c r="Q161" t="str">
        <f>VLOOKUP($A161,Table1[#This Row],COLUMN(Q160), FALSE)</f>
        <v>2015</v>
      </c>
      <c r="R161" t="str">
        <f>VLOOKUP($A161,Table1[#This Row],COLUMN(R160), FALSE)</f>
        <v>MEDIUM</v>
      </c>
      <c r="S161" t="str">
        <f>VLOOKUP($A161,Table1[#This Row],COLUMN(S160), FALSE)</f>
        <v>office supplies</v>
      </c>
      <c r="T161" t="str">
        <f>VLOOKUP($A161,Table1[#This Row],COLUMN(T160), FALSE)</f>
        <v>42328</v>
      </c>
      <c r="U161" t="str">
        <f>VLOOKUP($A161,Table1[#This Row],COLUMN(U160), FALSE)</f>
        <v>AB10105140</v>
      </c>
      <c r="V161" t="str">
        <f>VLOOKUP($A161,Table1[#This Row],COLUMN(V160), FALSE)</f>
        <v>CA</v>
      </c>
      <c r="W161">
        <f>VLOOKUP($A161,Table1[#This Row],COLUMN(W160), FALSE)</f>
        <v>2015</v>
      </c>
      <c r="X161" t="str">
        <f>VLOOKUP($A161,Table1[#This Row],COLUMN(X160), FALSE)</f>
        <v>AB10105140</v>
      </c>
      <c r="Y161">
        <f>VLOOKUP($A161,Table1[#This Row],COLUMN(Y160), FALSE)</f>
        <v>42328</v>
      </c>
      <c r="Z161" t="str">
        <f>VLOOKUP($A161,Table1[#This Row],COLUMN(Z160), FALSE)</f>
        <v>CA-2015-AB10105140-42328</v>
      </c>
      <c r="AA161">
        <f>VLOOKUP($A161,Table1[#This Row],COLUMN(AA160), FALSE)</f>
        <v>2015</v>
      </c>
      <c r="AB161">
        <f>VLOOKUP($A161,Table1[#This Row],COLUMN(AB160), FALSE)</f>
        <v>11</v>
      </c>
      <c r="AC161">
        <f>VLOOKUP($A161,Table1[#This Row],COLUMN(AC160), FALSE)</f>
        <v>6</v>
      </c>
      <c r="AD161">
        <f>VLOOKUP($A161,Table1[#This Row],COLUMN(AD160), FALSE)</f>
        <v>4</v>
      </c>
    </row>
    <row r="162" spans="1:30" ht="15.75">
      <c r="A162" s="53" t="s">
        <v>841</v>
      </c>
      <c r="B162" s="52">
        <f>VLOOKUP($A162,Table1[#This Row],COLUMN(B161), FALSE)</f>
        <v>41262</v>
      </c>
      <c r="C162" s="52">
        <f>VLOOKUP($A162,Table1[#This Row],COLUMN(C161), FALSE)</f>
        <v>41265</v>
      </c>
      <c r="D162" t="str">
        <f>VLOOKUP($A162,Table1[#This Row],COLUMN(D161), FALSE)</f>
        <v>Adrian Barton</v>
      </c>
      <c r="E162" t="str">
        <f>VLOOKUP($A162,Table1[#This Row],COLUMN(E161), FALSE)</f>
        <v>United States</v>
      </c>
      <c r="F162" t="str">
        <f>VLOOKUP($A162,Table1[#This Row],COLUMN(F161), FALSE)</f>
        <v>CENTRAL US</v>
      </c>
      <c r="G162" t="str">
        <f>VLOOKUP($A162,Table1[#This Row],COLUMN(G161), FALSE)</f>
        <v>Office Supplies</v>
      </c>
      <c r="H162" t="str">
        <f>VLOOKUP($A162,Table1[#This Row],COLUMN(H161), FALSE)</f>
        <v>Copiers</v>
      </c>
      <c r="I162">
        <f>VLOOKUP($A162,Table1[#This Row],COLUMN(I161), FALSE)</f>
        <v>3.69</v>
      </c>
      <c r="J162">
        <f>VLOOKUP($A162,Table1[#This Row],COLUMN(J161), FALSE)</f>
        <v>1</v>
      </c>
      <c r="K162">
        <f>VLOOKUP($A162,Table1[#This Row],COLUMN(K161), FALSE)</f>
        <v>0</v>
      </c>
      <c r="L162">
        <f>VLOOKUP($A162,Table1[#This Row],COLUMN(L161), FALSE)</f>
        <v>1.7343</v>
      </c>
      <c r="M162" t="str">
        <f>VLOOKUP($A162,Table1[#This Row],COLUMN(M161), FALSE)</f>
        <v>Medium</v>
      </c>
      <c r="N162" t="str">
        <f>VLOOKUP($A162,Table1[#This Row],COLUMN(N161), FALSE)</f>
        <v>Normal Order</v>
      </c>
      <c r="O162" t="str">
        <f>VLOOKUP($A162,Table1[#This Row],COLUMN(O161), FALSE)</f>
        <v>Adrian Barton</v>
      </c>
      <c r="P162" t="str">
        <f>VLOOKUP($A162,Table1[#This Row],COLUMN(P161), FALSE)</f>
        <v>CA</v>
      </c>
      <c r="Q162" t="str">
        <f>VLOOKUP($A162,Table1[#This Row],COLUMN(Q161), FALSE)</f>
        <v>2012</v>
      </c>
      <c r="R162" t="str">
        <f>VLOOKUP($A162,Table1[#This Row],COLUMN(R161), FALSE)</f>
        <v>MEDIUM</v>
      </c>
      <c r="S162" t="str">
        <f>VLOOKUP($A162,Table1[#This Row],COLUMN(S161), FALSE)</f>
        <v>office supplies</v>
      </c>
      <c r="T162" t="str">
        <f>VLOOKUP($A162,Table1[#This Row],COLUMN(T161), FALSE)</f>
        <v>41262</v>
      </c>
      <c r="U162" t="str">
        <f>VLOOKUP($A162,Table1[#This Row],COLUMN(U161), FALSE)</f>
        <v>AB10105140</v>
      </c>
      <c r="V162" t="str">
        <f>VLOOKUP($A162,Table1[#This Row],COLUMN(V161), FALSE)</f>
        <v>CA</v>
      </c>
      <c r="W162">
        <f>VLOOKUP($A162,Table1[#This Row],COLUMN(W161), FALSE)</f>
        <v>2012</v>
      </c>
      <c r="X162" t="str">
        <f>VLOOKUP($A162,Table1[#This Row],COLUMN(X161), FALSE)</f>
        <v>AB10105140</v>
      </c>
      <c r="Y162">
        <f>VLOOKUP($A162,Table1[#This Row],COLUMN(Y161), FALSE)</f>
        <v>41262</v>
      </c>
      <c r="Z162" t="str">
        <f>VLOOKUP($A162,Table1[#This Row],COLUMN(Z161), FALSE)</f>
        <v>CA-2012-AB10105140-41262</v>
      </c>
      <c r="AA162">
        <f>VLOOKUP($A162,Table1[#This Row],COLUMN(AA161), FALSE)</f>
        <v>2012</v>
      </c>
      <c r="AB162">
        <f>VLOOKUP($A162,Table1[#This Row],COLUMN(AB161), FALSE)</f>
        <v>12</v>
      </c>
      <c r="AC162">
        <f>VLOOKUP($A162,Table1[#This Row],COLUMN(AC161), FALSE)</f>
        <v>4</v>
      </c>
      <c r="AD162">
        <f>VLOOKUP($A162,Table1[#This Row],COLUMN(AD161), FALSE)</f>
        <v>3</v>
      </c>
    </row>
    <row r="163" spans="1:30" ht="15.75">
      <c r="A163" s="54" t="s">
        <v>1050</v>
      </c>
      <c r="B163" s="52">
        <f>VLOOKUP($A163,Table1[#This Row],COLUMN(B162), FALSE)</f>
        <v>42103</v>
      </c>
      <c r="C163" s="52">
        <f>VLOOKUP($A163,Table1[#This Row],COLUMN(C162), FALSE)</f>
        <v>42107</v>
      </c>
      <c r="D163" t="str">
        <f>VLOOKUP($A163,Table1[#This Row],COLUMN(D162), FALSE)</f>
        <v>Adrian Hane</v>
      </c>
      <c r="E163" t="str">
        <f>VLOOKUP($A163,Table1[#This Row],COLUMN(E162), FALSE)</f>
        <v>United States</v>
      </c>
      <c r="F163" t="str">
        <f>VLOOKUP($A163,Table1[#This Row],COLUMN(F162), FALSE)</f>
        <v>Western US</v>
      </c>
      <c r="G163" t="str">
        <f>VLOOKUP($A163,Table1[#This Row],COLUMN(G162), FALSE)</f>
        <v>Office Supplies</v>
      </c>
      <c r="H163" t="str">
        <f>VLOOKUP($A163,Table1[#This Row],COLUMN(H162), FALSE)</f>
        <v>Machines</v>
      </c>
      <c r="I163">
        <f>VLOOKUP($A163,Table1[#This Row],COLUMN(I162), FALSE)</f>
        <v>195.76</v>
      </c>
      <c r="J163">
        <f>VLOOKUP($A163,Table1[#This Row],COLUMN(J162), FALSE)</f>
        <v>4</v>
      </c>
      <c r="K163">
        <f>VLOOKUP($A163,Table1[#This Row],COLUMN(K162), FALSE)</f>
        <v>0</v>
      </c>
      <c r="L163">
        <f>VLOOKUP($A163,Table1[#This Row],COLUMN(L162), FALSE)</f>
        <v>97.88</v>
      </c>
      <c r="M163" t="str">
        <f>VLOOKUP($A163,Table1[#This Row],COLUMN(M162), FALSE)</f>
        <v>High</v>
      </c>
      <c r="N163" t="str">
        <f>VLOOKUP($A163,Table1[#This Row],COLUMN(N162), FALSE)</f>
        <v>Normal Order</v>
      </c>
      <c r="O163" t="str">
        <f>VLOOKUP($A163,Table1[#This Row],COLUMN(O162), FALSE)</f>
        <v>Adrian Hane</v>
      </c>
      <c r="P163" t="str">
        <f>VLOOKUP($A163,Table1[#This Row],COLUMN(P162), FALSE)</f>
        <v>CA</v>
      </c>
      <c r="Q163" t="str">
        <f>VLOOKUP($A163,Table1[#This Row],COLUMN(Q162), FALSE)</f>
        <v>2015</v>
      </c>
      <c r="R163" t="str">
        <f>VLOOKUP($A163,Table1[#This Row],COLUMN(R162), FALSE)</f>
        <v>HIGH</v>
      </c>
      <c r="S163" t="str">
        <f>VLOOKUP($A163,Table1[#This Row],COLUMN(S162), FALSE)</f>
        <v>office supplies</v>
      </c>
      <c r="T163" t="str">
        <f>VLOOKUP($A163,Table1[#This Row],COLUMN(T162), FALSE)</f>
        <v>42103</v>
      </c>
      <c r="U163" t="str">
        <f>VLOOKUP($A163,Table1[#This Row],COLUMN(U162), FALSE)</f>
        <v>AH10120140</v>
      </c>
      <c r="V163" t="str">
        <f>VLOOKUP($A163,Table1[#This Row],COLUMN(V162), FALSE)</f>
        <v>CA</v>
      </c>
      <c r="W163">
        <f>VLOOKUP($A163,Table1[#This Row],COLUMN(W162), FALSE)</f>
        <v>2015</v>
      </c>
      <c r="X163" t="str">
        <f>VLOOKUP($A163,Table1[#This Row],COLUMN(X162), FALSE)</f>
        <v>AH10120140</v>
      </c>
      <c r="Y163">
        <f>VLOOKUP($A163,Table1[#This Row],COLUMN(Y162), FALSE)</f>
        <v>42103</v>
      </c>
      <c r="Z163" t="str">
        <f>VLOOKUP($A163,Table1[#This Row],COLUMN(Z162), FALSE)</f>
        <v>CA-2015-AH10120140-42103</v>
      </c>
      <c r="AA163">
        <f>VLOOKUP($A163,Table1[#This Row],COLUMN(AA162), FALSE)</f>
        <v>2015</v>
      </c>
      <c r="AB163">
        <f>VLOOKUP($A163,Table1[#This Row],COLUMN(AB162), FALSE)</f>
        <v>4</v>
      </c>
      <c r="AC163">
        <f>VLOOKUP($A163,Table1[#This Row],COLUMN(AC162), FALSE)</f>
        <v>5</v>
      </c>
      <c r="AD163">
        <f>VLOOKUP($A163,Table1[#This Row],COLUMN(AD162), FALSE)</f>
        <v>4</v>
      </c>
    </row>
    <row r="164" spans="1:30" ht="15.75">
      <c r="A164" s="53" t="s">
        <v>1051</v>
      </c>
      <c r="B164" s="52">
        <f>VLOOKUP($A164,Table1[#This Row],COLUMN(B163), FALSE)</f>
        <v>41077</v>
      </c>
      <c r="C164" s="52">
        <f>VLOOKUP($A164,Table1[#This Row],COLUMN(C163), FALSE)</f>
        <v>41079</v>
      </c>
      <c r="D164" t="str">
        <f>VLOOKUP($A164,Table1[#This Row],COLUMN(D163), FALSE)</f>
        <v>Randy Bradley</v>
      </c>
      <c r="E164" t="str">
        <f>VLOOKUP($A164,Table1[#This Row],COLUMN(E163), FALSE)</f>
        <v>Spain</v>
      </c>
      <c r="F164" t="str">
        <f>VLOOKUP($A164,Table1[#This Row],COLUMN(F163), FALSE)</f>
        <v>Southern Europe</v>
      </c>
      <c r="G164" t="str">
        <f>VLOOKUP($A164,Table1[#This Row],COLUMN(G163), FALSE)</f>
        <v>Furniture</v>
      </c>
      <c r="H164" t="str">
        <f>VLOOKUP($A164,Table1[#This Row],COLUMN(H163), FALSE)</f>
        <v>Appliances</v>
      </c>
      <c r="I164">
        <f>VLOOKUP($A164,Table1[#This Row],COLUMN(I163), FALSE)</f>
        <v>1814.25</v>
      </c>
      <c r="J164">
        <f>VLOOKUP($A164,Table1[#This Row],COLUMN(J163), FALSE)</f>
        <v>5</v>
      </c>
      <c r="K164">
        <f>VLOOKUP($A164,Table1[#This Row],COLUMN(K163), FALSE)</f>
        <v>0</v>
      </c>
      <c r="L164">
        <f>VLOOKUP($A164,Table1[#This Row],COLUMN(L163), FALSE)</f>
        <v>653.1</v>
      </c>
      <c r="M164" t="str">
        <f>VLOOKUP($A164,Table1[#This Row],COLUMN(M163), FALSE)</f>
        <v>High</v>
      </c>
      <c r="N164" t="str">
        <f>VLOOKUP($A164,Table1[#This Row],COLUMN(N163), FALSE)</f>
        <v>Normal Order</v>
      </c>
      <c r="O164" t="str">
        <f>VLOOKUP($A164,Table1[#This Row],COLUMN(O163), FALSE)</f>
        <v>Randy Bradley</v>
      </c>
      <c r="P164" t="str">
        <f>VLOOKUP($A164,Table1[#This Row],COLUMN(P163), FALSE)</f>
        <v>IT</v>
      </c>
      <c r="Q164" t="str">
        <f>VLOOKUP($A164,Table1[#This Row],COLUMN(Q163), FALSE)</f>
        <v>2012</v>
      </c>
      <c r="R164" t="str">
        <f>VLOOKUP($A164,Table1[#This Row],COLUMN(R163), FALSE)</f>
        <v>HIGH</v>
      </c>
      <c r="S164" t="str">
        <f>VLOOKUP($A164,Table1[#This Row],COLUMN(S163), FALSE)</f>
        <v>furniture</v>
      </c>
      <c r="T164" t="str">
        <f>VLOOKUP($A164,Table1[#This Row],COLUMN(T163), FALSE)</f>
        <v>41077</v>
      </c>
      <c r="U164" t="str">
        <f>VLOOKUP($A164,Table1[#This Row],COLUMN(U163), FALSE)</f>
        <v>RB19330120</v>
      </c>
      <c r="V164" t="str">
        <f>VLOOKUP($A164,Table1[#This Row],COLUMN(V163), FALSE)</f>
        <v>IT</v>
      </c>
      <c r="W164">
        <f>VLOOKUP($A164,Table1[#This Row],COLUMN(W163), FALSE)</f>
        <v>2012</v>
      </c>
      <c r="X164" t="str">
        <f>VLOOKUP($A164,Table1[#This Row],COLUMN(X163), FALSE)</f>
        <v>RB19330120</v>
      </c>
      <c r="Y164">
        <f>VLOOKUP($A164,Table1[#This Row],COLUMN(Y163), FALSE)</f>
        <v>41077</v>
      </c>
      <c r="Z164" t="str">
        <f>VLOOKUP($A164,Table1[#This Row],COLUMN(Z163), FALSE)</f>
        <v>IT-2012-RB19330120-41077</v>
      </c>
      <c r="AA164">
        <f>VLOOKUP($A164,Table1[#This Row],COLUMN(AA163), FALSE)</f>
        <v>2012</v>
      </c>
      <c r="AB164">
        <f>VLOOKUP($A164,Table1[#This Row],COLUMN(AB163), FALSE)</f>
        <v>6</v>
      </c>
      <c r="AC164">
        <f>VLOOKUP($A164,Table1[#This Row],COLUMN(AC163), FALSE)</f>
        <v>1</v>
      </c>
      <c r="AD164">
        <f>VLOOKUP($A164,Table1[#This Row],COLUMN(AD163), FALSE)</f>
        <v>2</v>
      </c>
    </row>
    <row r="165" spans="1:30" ht="15.75">
      <c r="A165" s="54" t="s">
        <v>1057</v>
      </c>
      <c r="B165" s="52">
        <f>VLOOKUP($A165,Table1[#This Row],COLUMN(B164), FALSE)</f>
        <v>41376</v>
      </c>
      <c r="C165" s="52">
        <f>VLOOKUP($A165,Table1[#This Row],COLUMN(C164), FALSE)</f>
        <v>41378</v>
      </c>
      <c r="D165" t="str">
        <f>VLOOKUP($A165,Table1[#This Row],COLUMN(D164), FALSE)</f>
        <v>Laurel Workman</v>
      </c>
      <c r="E165" t="str">
        <f>VLOOKUP($A165,Table1[#This Row],COLUMN(E164), FALSE)</f>
        <v>India</v>
      </c>
      <c r="F165" t="str">
        <f>VLOOKUP($A165,Table1[#This Row],COLUMN(F164), FALSE)</f>
        <v>Southern Asia</v>
      </c>
      <c r="G165" t="str">
        <f>VLOOKUP($A165,Table1[#This Row],COLUMN(G164), FALSE)</f>
        <v>Technology</v>
      </c>
      <c r="H165" t="str">
        <f>VLOOKUP($A165,Table1[#This Row],COLUMN(H164), FALSE)</f>
        <v>Appliances</v>
      </c>
      <c r="I165">
        <f>VLOOKUP($A165,Table1[#This Row],COLUMN(I164), FALSE)</f>
        <v>723.3</v>
      </c>
      <c r="J165">
        <f>VLOOKUP($A165,Table1[#This Row],COLUMN(J164), FALSE)</f>
        <v>2</v>
      </c>
      <c r="K165">
        <f>VLOOKUP($A165,Table1[#This Row],COLUMN(K164), FALSE)</f>
        <v>0</v>
      </c>
      <c r="L165">
        <f>VLOOKUP($A165,Table1[#This Row],COLUMN(L164), FALSE)</f>
        <v>332.7</v>
      </c>
      <c r="M165" t="str">
        <f>VLOOKUP($A165,Table1[#This Row],COLUMN(M164), FALSE)</f>
        <v>Critical</v>
      </c>
      <c r="N165" t="str">
        <f>VLOOKUP($A165,Table1[#This Row],COLUMN(N164), FALSE)</f>
        <v>Normal Order</v>
      </c>
      <c r="O165" t="str">
        <f>VLOOKUP($A165,Table1[#This Row],COLUMN(O164), FALSE)</f>
        <v>Laurel Workman</v>
      </c>
      <c r="P165" t="str">
        <f>VLOOKUP($A165,Table1[#This Row],COLUMN(P164), FALSE)</f>
        <v>IN</v>
      </c>
      <c r="Q165" t="str">
        <f>VLOOKUP($A165,Table1[#This Row],COLUMN(Q164), FALSE)</f>
        <v>2013</v>
      </c>
      <c r="R165" t="str">
        <f>VLOOKUP($A165,Table1[#This Row],COLUMN(R164), FALSE)</f>
        <v>CRITICAL</v>
      </c>
      <c r="S165" t="str">
        <f>VLOOKUP($A165,Table1[#This Row],COLUMN(S164), FALSE)</f>
        <v>technology</v>
      </c>
      <c r="T165" t="str">
        <f>VLOOKUP($A165,Table1[#This Row],COLUMN(T164), FALSE)</f>
        <v>41376</v>
      </c>
      <c r="U165" t="str">
        <f>VLOOKUP($A165,Table1[#This Row],COLUMN(U164), FALSE)</f>
        <v>LW1682558</v>
      </c>
      <c r="V165" t="str">
        <f>VLOOKUP($A165,Table1[#This Row],COLUMN(V164), FALSE)</f>
        <v>IN</v>
      </c>
      <c r="W165">
        <f>VLOOKUP($A165,Table1[#This Row],COLUMN(W164), FALSE)</f>
        <v>2013</v>
      </c>
      <c r="X165" t="str">
        <f>VLOOKUP($A165,Table1[#This Row],COLUMN(X164), FALSE)</f>
        <v>LW1682558</v>
      </c>
      <c r="Y165">
        <f>VLOOKUP($A165,Table1[#This Row],COLUMN(Y164), FALSE)</f>
        <v>41376</v>
      </c>
      <c r="Z165" t="str">
        <f>VLOOKUP($A165,Table1[#This Row],COLUMN(Z164), FALSE)</f>
        <v>IN-2013-LW1682558-41376</v>
      </c>
      <c r="AA165">
        <f>VLOOKUP($A165,Table1[#This Row],COLUMN(AA164), FALSE)</f>
        <v>2013</v>
      </c>
      <c r="AB165">
        <f>VLOOKUP($A165,Table1[#This Row],COLUMN(AB164), FALSE)</f>
        <v>4</v>
      </c>
      <c r="AC165">
        <f>VLOOKUP($A165,Table1[#This Row],COLUMN(AC164), FALSE)</f>
        <v>6</v>
      </c>
      <c r="AD165">
        <f>VLOOKUP($A165,Table1[#This Row],COLUMN(AD164), FALSE)</f>
        <v>2</v>
      </c>
    </row>
    <row r="166" spans="1:30" ht="15.75">
      <c r="A166" s="53" t="s">
        <v>526</v>
      </c>
      <c r="B166" s="52">
        <f>VLOOKUP($A166,Table1[#This Row],COLUMN(B165), FALSE)</f>
        <v>42355</v>
      </c>
      <c r="C166" s="52">
        <f>VLOOKUP($A166,Table1[#This Row],COLUMN(C165), FALSE)</f>
        <v>42357</v>
      </c>
      <c r="D166" t="str">
        <f>VLOOKUP($A166,Table1[#This Row],COLUMN(D165), FALSE)</f>
        <v>Muhammed Yedwab</v>
      </c>
      <c r="E166" t="str">
        <f>VLOOKUP($A166,Table1[#This Row],COLUMN(E165), FALSE)</f>
        <v>Nicaragua</v>
      </c>
      <c r="F166" t="str">
        <f>VLOOKUP($A166,Table1[#This Row],COLUMN(F165), FALSE)</f>
        <v>Central America</v>
      </c>
      <c r="G166" t="str">
        <f>VLOOKUP($A166,Table1[#This Row],COLUMN(G165), FALSE)</f>
        <v>Furniture</v>
      </c>
      <c r="H166" t="str">
        <f>VLOOKUP($A166,Table1[#This Row],COLUMN(H165), FALSE)</f>
        <v>Appliances</v>
      </c>
      <c r="I166">
        <f>VLOOKUP($A166,Table1[#This Row],COLUMN(I165), FALSE)</f>
        <v>1212.5</v>
      </c>
      <c r="J166">
        <f>VLOOKUP($A166,Table1[#This Row],COLUMN(J165), FALSE)</f>
        <v>5</v>
      </c>
      <c r="K166">
        <f>VLOOKUP($A166,Table1[#This Row],COLUMN(K165), FALSE)</f>
        <v>0</v>
      </c>
      <c r="L166">
        <f>VLOOKUP($A166,Table1[#This Row],COLUMN(L165), FALSE)</f>
        <v>606.20000000000005</v>
      </c>
      <c r="M166" t="str">
        <f>VLOOKUP($A166,Table1[#This Row],COLUMN(M165), FALSE)</f>
        <v>Critical</v>
      </c>
      <c r="N166" t="str">
        <f>VLOOKUP($A166,Table1[#This Row],COLUMN(N165), FALSE)</f>
        <v>Normal Order</v>
      </c>
      <c r="O166" t="str">
        <f>VLOOKUP($A166,Table1[#This Row],COLUMN(O165), FALSE)</f>
        <v>Muhammed Yedwab</v>
      </c>
      <c r="P166" t="str">
        <f>VLOOKUP($A166,Table1[#This Row],COLUMN(P165), FALSE)</f>
        <v>MX</v>
      </c>
      <c r="Q166" t="str">
        <f>VLOOKUP($A166,Table1[#This Row],COLUMN(Q165), FALSE)</f>
        <v>2015</v>
      </c>
      <c r="R166" t="str">
        <f>VLOOKUP($A166,Table1[#This Row],COLUMN(R165), FALSE)</f>
        <v>CRITICAL</v>
      </c>
      <c r="S166" t="str">
        <f>VLOOKUP($A166,Table1[#This Row],COLUMN(S165), FALSE)</f>
        <v>furniture</v>
      </c>
      <c r="T166" t="str">
        <f>VLOOKUP($A166,Table1[#This Row],COLUMN(T165), FALSE)</f>
        <v>42355</v>
      </c>
      <c r="U166" t="str">
        <f>VLOOKUP($A166,Table1[#This Row],COLUMN(U165), FALSE)</f>
        <v>MY1829593</v>
      </c>
      <c r="V166" t="str">
        <f>VLOOKUP($A166,Table1[#This Row],COLUMN(V165), FALSE)</f>
        <v>MX</v>
      </c>
      <c r="W166">
        <f>VLOOKUP($A166,Table1[#This Row],COLUMN(W165), FALSE)</f>
        <v>2015</v>
      </c>
      <c r="X166" t="str">
        <f>VLOOKUP($A166,Table1[#This Row],COLUMN(X165), FALSE)</f>
        <v>MY1829593</v>
      </c>
      <c r="Y166">
        <f>VLOOKUP($A166,Table1[#This Row],COLUMN(Y165), FALSE)</f>
        <v>42355</v>
      </c>
      <c r="Z166" t="str">
        <f>VLOOKUP($A166,Table1[#This Row],COLUMN(Z165), FALSE)</f>
        <v>MX-2015-MY1829593-42355</v>
      </c>
      <c r="AA166">
        <f>VLOOKUP($A166,Table1[#This Row],COLUMN(AA165), FALSE)</f>
        <v>2015</v>
      </c>
      <c r="AB166">
        <f>VLOOKUP($A166,Table1[#This Row],COLUMN(AB165), FALSE)</f>
        <v>12</v>
      </c>
      <c r="AC166">
        <f>VLOOKUP($A166,Table1[#This Row],COLUMN(AC165), FALSE)</f>
        <v>5</v>
      </c>
      <c r="AD166">
        <f>VLOOKUP($A166,Table1[#This Row],COLUMN(AD165), FALSE)</f>
        <v>2</v>
      </c>
    </row>
    <row r="167" spans="1:30" ht="15.75">
      <c r="A167" s="54" t="s">
        <v>1080</v>
      </c>
      <c r="B167" s="52">
        <f>VLOOKUP($A167,Table1[#This Row],COLUMN(B166), FALSE)</f>
        <v>41734</v>
      </c>
      <c r="C167" s="52">
        <f>VLOOKUP($A167,Table1[#This Row],COLUMN(C166), FALSE)</f>
        <v>41737</v>
      </c>
      <c r="D167" t="str">
        <f>VLOOKUP($A167,Table1[#This Row],COLUMN(D166), FALSE)</f>
        <v>Brian Stugart</v>
      </c>
      <c r="E167" t="str">
        <f>VLOOKUP($A167,Table1[#This Row],COLUMN(E166), FALSE)</f>
        <v>France</v>
      </c>
      <c r="F167" t="str">
        <f>VLOOKUP($A167,Table1[#This Row],COLUMN(F166), FALSE)</f>
        <v>Western Europe</v>
      </c>
      <c r="G167" t="str">
        <f>VLOOKUP($A167,Table1[#This Row],COLUMN(G166), FALSE)</f>
        <v>Technology</v>
      </c>
      <c r="H167" t="str">
        <f>VLOOKUP($A167,Table1[#This Row],COLUMN(H166), FALSE)</f>
        <v>Bookcases</v>
      </c>
      <c r="I167">
        <f>VLOOKUP($A167,Table1[#This Row],COLUMN(I166), FALSE)</f>
        <v>1622.5649999999901</v>
      </c>
      <c r="J167">
        <f>VLOOKUP($A167,Table1[#This Row],COLUMN(J166), FALSE)</f>
        <v>3</v>
      </c>
      <c r="K167">
        <f>VLOOKUP($A167,Table1[#This Row],COLUMN(K166), FALSE)</f>
        <v>0.15</v>
      </c>
      <c r="L167">
        <f>VLOOKUP($A167,Table1[#This Row],COLUMN(L166), FALSE)</f>
        <v>133.604999999999</v>
      </c>
      <c r="M167" t="str">
        <f>VLOOKUP($A167,Table1[#This Row],COLUMN(M166), FALSE)</f>
        <v>Medium</v>
      </c>
      <c r="N167" t="str">
        <f>VLOOKUP($A167,Table1[#This Row],COLUMN(N166), FALSE)</f>
        <v>Normal Order</v>
      </c>
      <c r="O167" t="str">
        <f>VLOOKUP($A167,Table1[#This Row],COLUMN(O166), FALSE)</f>
        <v>Brian Stugart</v>
      </c>
      <c r="P167" t="str">
        <f>VLOOKUP($A167,Table1[#This Row],COLUMN(P166), FALSE)</f>
        <v>ES</v>
      </c>
      <c r="Q167" t="str">
        <f>VLOOKUP($A167,Table1[#This Row],COLUMN(Q166), FALSE)</f>
        <v>2014</v>
      </c>
      <c r="R167" t="str">
        <f>VLOOKUP($A167,Table1[#This Row],COLUMN(R166), FALSE)</f>
        <v>MEDIUM</v>
      </c>
      <c r="S167" t="str">
        <f>VLOOKUP($A167,Table1[#This Row],COLUMN(S166), FALSE)</f>
        <v>technology</v>
      </c>
      <c r="T167" t="str">
        <f>VLOOKUP($A167,Table1[#This Row],COLUMN(T166), FALSE)</f>
        <v>41734</v>
      </c>
      <c r="U167" t="str">
        <f>VLOOKUP($A167,Table1[#This Row],COLUMN(U166), FALSE)</f>
        <v>BS1166545</v>
      </c>
      <c r="V167" t="str">
        <f>VLOOKUP($A167,Table1[#This Row],COLUMN(V166), FALSE)</f>
        <v>ES</v>
      </c>
      <c r="W167">
        <f>VLOOKUP($A167,Table1[#This Row],COLUMN(W166), FALSE)</f>
        <v>2014</v>
      </c>
      <c r="X167" t="str">
        <f>VLOOKUP($A167,Table1[#This Row],COLUMN(X166), FALSE)</f>
        <v>BS1166545</v>
      </c>
      <c r="Y167">
        <f>VLOOKUP($A167,Table1[#This Row],COLUMN(Y166), FALSE)</f>
        <v>41734</v>
      </c>
      <c r="Z167" t="str">
        <f>VLOOKUP($A167,Table1[#This Row],COLUMN(Z166), FALSE)</f>
        <v>ES-2014-BS1166545-41734</v>
      </c>
      <c r="AA167">
        <f>VLOOKUP($A167,Table1[#This Row],COLUMN(AA166), FALSE)</f>
        <v>2014</v>
      </c>
      <c r="AB167">
        <f>VLOOKUP($A167,Table1[#This Row],COLUMN(AB166), FALSE)</f>
        <v>4</v>
      </c>
      <c r="AC167">
        <f>VLOOKUP($A167,Table1[#This Row],COLUMN(AC166), FALSE)</f>
        <v>7</v>
      </c>
      <c r="AD167">
        <f>VLOOKUP($A167,Table1[#This Row],COLUMN(AD166), FALSE)</f>
        <v>3</v>
      </c>
    </row>
    <row r="168" spans="1:30" ht="15.75">
      <c r="A168" s="53" t="s">
        <v>1088</v>
      </c>
      <c r="B168" s="52">
        <f>VLOOKUP($A168,Table1[#This Row],COLUMN(B167), FALSE)</f>
        <v>41150</v>
      </c>
      <c r="C168" s="52">
        <f>VLOOKUP($A168,Table1[#This Row],COLUMN(C167), FALSE)</f>
        <v>41150</v>
      </c>
      <c r="D168" t="str">
        <f>VLOOKUP($A168,Table1[#This Row],COLUMN(D167), FALSE)</f>
        <v>Joe Kamberova</v>
      </c>
      <c r="E168" t="str">
        <f>VLOOKUP($A168,Table1[#This Row],COLUMN(E167), FALSE)</f>
        <v>Russia</v>
      </c>
      <c r="F168" t="str">
        <f>VLOOKUP($A168,Table1[#This Row],COLUMN(F167), FALSE)</f>
        <v>Eastern Europe</v>
      </c>
      <c r="G168" t="str">
        <f>VLOOKUP($A168,Table1[#This Row],COLUMN(G167), FALSE)</f>
        <v>Furniture</v>
      </c>
      <c r="H168" t="str">
        <f>VLOOKUP($A168,Table1[#This Row],COLUMN(H167), FALSE)</f>
        <v>Phones</v>
      </c>
      <c r="I168">
        <f>VLOOKUP($A168,Table1[#This Row],COLUMN(I167), FALSE)</f>
        <v>1782.48</v>
      </c>
      <c r="J168">
        <f>VLOOKUP($A168,Table1[#This Row],COLUMN(J167), FALSE)</f>
        <v>4</v>
      </c>
      <c r="K168">
        <f>VLOOKUP($A168,Table1[#This Row],COLUMN(K167), FALSE)</f>
        <v>0</v>
      </c>
      <c r="L168">
        <f>VLOOKUP($A168,Table1[#This Row],COLUMN(L167), FALSE)</f>
        <v>873.36</v>
      </c>
      <c r="M168" t="str">
        <f>VLOOKUP($A168,Table1[#This Row],COLUMN(M167), FALSE)</f>
        <v>High</v>
      </c>
      <c r="N168" t="str">
        <f>VLOOKUP($A168,Table1[#This Row],COLUMN(N167), FALSE)</f>
        <v>Normal Order</v>
      </c>
      <c r="O168" t="str">
        <f>VLOOKUP($A168,Table1[#This Row],COLUMN(O167), FALSE)</f>
        <v>Joe Kamberova</v>
      </c>
      <c r="P168" t="str">
        <f>VLOOKUP($A168,Table1[#This Row],COLUMN(P167), FALSE)</f>
        <v>RS</v>
      </c>
      <c r="Q168" t="str">
        <f>VLOOKUP($A168,Table1[#This Row],COLUMN(Q167), FALSE)</f>
        <v>2012</v>
      </c>
      <c r="R168" t="str">
        <f>VLOOKUP($A168,Table1[#This Row],COLUMN(R167), FALSE)</f>
        <v>HIGH</v>
      </c>
      <c r="S168" t="str">
        <f>VLOOKUP($A168,Table1[#This Row],COLUMN(S167), FALSE)</f>
        <v>furniture</v>
      </c>
      <c r="T168" t="str">
        <f>VLOOKUP($A168,Table1[#This Row],COLUMN(T167), FALSE)</f>
        <v>41150</v>
      </c>
      <c r="U168" t="str">
        <f>VLOOKUP($A168,Table1[#This Row],COLUMN(U167), FALSE)</f>
        <v>JK5730108</v>
      </c>
      <c r="V168" t="str">
        <f>VLOOKUP($A168,Table1[#This Row],COLUMN(V167), FALSE)</f>
        <v>RS</v>
      </c>
      <c r="W168">
        <f>VLOOKUP($A168,Table1[#This Row],COLUMN(W167), FALSE)</f>
        <v>2012</v>
      </c>
      <c r="X168" t="str">
        <f>VLOOKUP($A168,Table1[#This Row],COLUMN(X167), FALSE)</f>
        <v>JK5730108</v>
      </c>
      <c r="Y168">
        <f>VLOOKUP($A168,Table1[#This Row],COLUMN(Y167), FALSE)</f>
        <v>41150</v>
      </c>
      <c r="Z168" t="str">
        <f>VLOOKUP($A168,Table1[#This Row],COLUMN(Z167), FALSE)</f>
        <v>RS-2012-JK5730108-41150</v>
      </c>
      <c r="AA168">
        <f>VLOOKUP($A168,Table1[#This Row],COLUMN(AA167), FALSE)</f>
        <v>2012</v>
      </c>
      <c r="AB168">
        <f>VLOOKUP($A168,Table1[#This Row],COLUMN(AB167), FALSE)</f>
        <v>8</v>
      </c>
      <c r="AC168">
        <f>VLOOKUP($A168,Table1[#This Row],COLUMN(AC167), FALSE)</f>
        <v>4</v>
      </c>
      <c r="AD168">
        <f>VLOOKUP($A168,Table1[#This Row],COLUMN(AD167), FALSE)</f>
        <v>0</v>
      </c>
    </row>
    <row r="169" spans="1:30" ht="15.75">
      <c r="A169" s="54" t="s">
        <v>1090</v>
      </c>
      <c r="B169" s="52">
        <f>VLOOKUP($A169,Table1[#This Row],COLUMN(B168), FALSE)</f>
        <v>41612</v>
      </c>
      <c r="C169" s="52">
        <f>VLOOKUP($A169,Table1[#This Row],COLUMN(C168), FALSE)</f>
        <v>41613</v>
      </c>
      <c r="D169" t="str">
        <f>VLOOKUP($A169,Table1[#This Row],COLUMN(D168), FALSE)</f>
        <v>Henia Zydlo</v>
      </c>
      <c r="E169" t="str">
        <f>VLOOKUP($A169,Table1[#This Row],COLUMN(E168), FALSE)</f>
        <v>France</v>
      </c>
      <c r="F169" t="str">
        <f>VLOOKUP($A169,Table1[#This Row],COLUMN(F168), FALSE)</f>
        <v>Western Europe</v>
      </c>
      <c r="G169" t="str">
        <f>VLOOKUP($A169,Table1[#This Row],COLUMN(G168), FALSE)</f>
        <v>Technology</v>
      </c>
      <c r="H169" t="str">
        <f>VLOOKUP($A169,Table1[#This Row],COLUMN(H168), FALSE)</f>
        <v>Bookcases</v>
      </c>
      <c r="I169">
        <f>VLOOKUP($A169,Table1[#This Row],COLUMN(I168), FALSE)</f>
        <v>667.76849999999899</v>
      </c>
      <c r="J169">
        <f>VLOOKUP($A169,Table1[#This Row],COLUMN(J168), FALSE)</f>
        <v>3</v>
      </c>
      <c r="K169">
        <f>VLOOKUP($A169,Table1[#This Row],COLUMN(K168), FALSE)</f>
        <v>0.15</v>
      </c>
      <c r="L169">
        <f>VLOOKUP($A169,Table1[#This Row],COLUMN(L168), FALSE)</f>
        <v>274.91849999999999</v>
      </c>
      <c r="M169" t="str">
        <f>VLOOKUP($A169,Table1[#This Row],COLUMN(M168), FALSE)</f>
        <v>Critical</v>
      </c>
      <c r="N169" t="str">
        <f>VLOOKUP($A169,Table1[#This Row],COLUMN(N168), FALSE)</f>
        <v>Normal Order</v>
      </c>
      <c r="O169" t="str">
        <f>VLOOKUP($A169,Table1[#This Row],COLUMN(O168), FALSE)</f>
        <v>Henia Zydlo</v>
      </c>
      <c r="P169" t="str">
        <f>VLOOKUP($A169,Table1[#This Row],COLUMN(P168), FALSE)</f>
        <v>ES</v>
      </c>
      <c r="Q169" t="str">
        <f>VLOOKUP($A169,Table1[#This Row],COLUMN(Q168), FALSE)</f>
        <v>2013</v>
      </c>
      <c r="R169" t="str">
        <f>VLOOKUP($A169,Table1[#This Row],COLUMN(R168), FALSE)</f>
        <v>CRITICAL</v>
      </c>
      <c r="S169" t="str">
        <f>VLOOKUP($A169,Table1[#This Row],COLUMN(S168), FALSE)</f>
        <v>technology</v>
      </c>
      <c r="T169" t="str">
        <f>VLOOKUP($A169,Table1[#This Row],COLUMN(T168), FALSE)</f>
        <v>41612</v>
      </c>
      <c r="U169" t="str">
        <f>VLOOKUP($A169,Table1[#This Row],COLUMN(U168), FALSE)</f>
        <v>HZ1495045</v>
      </c>
      <c r="V169" t="str">
        <f>VLOOKUP($A169,Table1[#This Row],COLUMN(V168), FALSE)</f>
        <v>ES</v>
      </c>
      <c r="W169">
        <f>VLOOKUP($A169,Table1[#This Row],COLUMN(W168), FALSE)</f>
        <v>2013</v>
      </c>
      <c r="X169" t="str">
        <f>VLOOKUP($A169,Table1[#This Row],COLUMN(X168), FALSE)</f>
        <v>HZ1495045</v>
      </c>
      <c r="Y169">
        <f>VLOOKUP($A169,Table1[#This Row],COLUMN(Y168), FALSE)</f>
        <v>41612</v>
      </c>
      <c r="Z169" t="str">
        <f>VLOOKUP($A169,Table1[#This Row],COLUMN(Z168), FALSE)</f>
        <v>ES-2013-HZ1495045-41612</v>
      </c>
      <c r="AA169">
        <f>VLOOKUP($A169,Table1[#This Row],COLUMN(AA168), FALSE)</f>
        <v>2013</v>
      </c>
      <c r="AB169">
        <f>VLOOKUP($A169,Table1[#This Row],COLUMN(AB168), FALSE)</f>
        <v>12</v>
      </c>
      <c r="AC169">
        <f>VLOOKUP($A169,Table1[#This Row],COLUMN(AC168), FALSE)</f>
        <v>4</v>
      </c>
      <c r="AD169">
        <f>VLOOKUP($A169,Table1[#This Row],COLUMN(AD168), FALSE)</f>
        <v>1</v>
      </c>
    </row>
    <row r="170" spans="1:30" ht="15.75">
      <c r="A170" s="53" t="s">
        <v>1100</v>
      </c>
      <c r="B170" s="52">
        <f>VLOOKUP($A170,Table1[#This Row],COLUMN(B169), FALSE)</f>
        <v>41446</v>
      </c>
      <c r="C170" s="52" t="str">
        <f>VLOOKUP($A170,Table1[#This Row],COLUMN(C169), FALSE)</f>
        <v>32/13/2020</v>
      </c>
      <c r="D170" t="str">
        <f>VLOOKUP($A170,Table1[#This Row],COLUMN(D169), FALSE)</f>
        <v>Theresa Coyne</v>
      </c>
      <c r="E170" t="str">
        <f>VLOOKUP($A170,Table1[#This Row],COLUMN(E169), FALSE)</f>
        <v>Mexico</v>
      </c>
      <c r="F170" t="str">
        <f>VLOOKUP($A170,Table1[#This Row],COLUMN(F169), FALSE)</f>
        <v>Central America</v>
      </c>
      <c r="G170" t="str">
        <f>VLOOKUP($A170,Table1[#This Row],COLUMN(G169), FALSE)</f>
        <v>Technology</v>
      </c>
      <c r="H170" t="str">
        <f>VLOOKUP($A170,Table1[#This Row],COLUMN(H169), FALSE)</f>
        <v>Appliances</v>
      </c>
      <c r="I170">
        <f>VLOOKUP($A170,Table1[#This Row],COLUMN(I169), FALSE)</f>
        <v>1696.4</v>
      </c>
      <c r="J170">
        <f>VLOOKUP($A170,Table1[#This Row],COLUMN(J169), FALSE)</f>
        <v>4</v>
      </c>
      <c r="K170">
        <f>VLOOKUP($A170,Table1[#This Row],COLUMN(K169), FALSE)</f>
        <v>0</v>
      </c>
      <c r="L170">
        <f>VLOOKUP($A170,Table1[#This Row],COLUMN(L169), FALSE)</f>
        <v>67.84</v>
      </c>
      <c r="M170" t="str">
        <f>VLOOKUP($A170,Table1[#This Row],COLUMN(M169), FALSE)</f>
        <v>High</v>
      </c>
      <c r="N170" t="str">
        <f>VLOOKUP($A170,Table1[#This Row],COLUMN(N169), FALSE)</f>
        <v>Normal Order</v>
      </c>
      <c r="O170" t="str">
        <f>VLOOKUP($A170,Table1[#This Row],COLUMN(O169), FALSE)</f>
        <v>Theresa Coyne</v>
      </c>
      <c r="P170" t="str">
        <f>VLOOKUP($A170,Table1[#This Row],COLUMN(P169), FALSE)</f>
        <v>MX</v>
      </c>
      <c r="Q170" t="str">
        <f>VLOOKUP($A170,Table1[#This Row],COLUMN(Q169), FALSE)</f>
        <v>2013</v>
      </c>
      <c r="R170" t="str">
        <f>VLOOKUP($A170,Table1[#This Row],COLUMN(R169), FALSE)</f>
        <v>HIGH</v>
      </c>
      <c r="S170" t="str">
        <f>VLOOKUP($A170,Table1[#This Row],COLUMN(S169), FALSE)</f>
        <v>technology</v>
      </c>
      <c r="T170" t="str">
        <f>VLOOKUP($A170,Table1[#This Row],COLUMN(T169), FALSE)</f>
        <v>41446</v>
      </c>
      <c r="U170" t="str">
        <f>VLOOKUP($A170,Table1[#This Row],COLUMN(U169), FALSE)</f>
        <v>TC2114582</v>
      </c>
      <c r="V170" t="str">
        <f>VLOOKUP($A170,Table1[#This Row],COLUMN(V169), FALSE)</f>
        <v>MX</v>
      </c>
      <c r="W170">
        <f>VLOOKUP($A170,Table1[#This Row],COLUMN(W169), FALSE)</f>
        <v>2013</v>
      </c>
      <c r="X170" t="str">
        <f>VLOOKUP($A170,Table1[#This Row],COLUMN(X169), FALSE)</f>
        <v>TC2114582</v>
      </c>
      <c r="Y170">
        <f>VLOOKUP($A170,Table1[#This Row],COLUMN(Y169), FALSE)</f>
        <v>41446</v>
      </c>
      <c r="Z170" t="str">
        <f>VLOOKUP($A170,Table1[#This Row],COLUMN(Z169), FALSE)</f>
        <v>MX-2013-TC2114582-41446</v>
      </c>
      <c r="AA170">
        <f>VLOOKUP($A170,Table1[#This Row],COLUMN(AA169), FALSE)</f>
        <v>2013</v>
      </c>
      <c r="AB170">
        <f>VLOOKUP($A170,Table1[#This Row],COLUMN(AB169), FALSE)</f>
        <v>6</v>
      </c>
      <c r="AC170">
        <f>VLOOKUP($A170,Table1[#This Row],COLUMN(AC169), FALSE)</f>
        <v>6</v>
      </c>
      <c r="AD170">
        <f>VLOOKUP($A170,Table1[#This Row],COLUMN(AD169), FALSE)</f>
        <v>0</v>
      </c>
    </row>
    <row r="171" spans="1:30" ht="15.75">
      <c r="A171" s="54" t="s">
        <v>1102</v>
      </c>
      <c r="B171" s="52">
        <f>VLOOKUP($A171,Table1[#This Row],COLUMN(B170), FALSE)</f>
        <v>41417</v>
      </c>
      <c r="C171" s="52">
        <f>VLOOKUP($A171,Table1[#This Row],COLUMN(C170), FALSE)</f>
        <v>41419</v>
      </c>
      <c r="D171" t="str">
        <f>VLOOKUP($A171,Table1[#This Row],COLUMN(D170), FALSE)</f>
        <v>Deirdre Greer</v>
      </c>
      <c r="E171" t="str">
        <f>VLOOKUP($A171,Table1[#This Row],COLUMN(E170), FALSE)</f>
        <v>Mexico</v>
      </c>
      <c r="F171" t="str">
        <f>VLOOKUP($A171,Table1[#This Row],COLUMN(F170), FALSE)</f>
        <v>Central America</v>
      </c>
      <c r="G171" t="str">
        <f>VLOOKUP($A171,Table1[#This Row],COLUMN(G170), FALSE)</f>
        <v>Office Supplies</v>
      </c>
      <c r="H171" t="str">
        <f>VLOOKUP($A171,Table1[#This Row],COLUMN(H170), FALSE)</f>
        <v>Appliances</v>
      </c>
      <c r="I171">
        <f>VLOOKUP($A171,Table1[#This Row],COLUMN(I170), FALSE)</f>
        <v>935.5</v>
      </c>
      <c r="J171">
        <f>VLOOKUP($A171,Table1[#This Row],COLUMN(J170), FALSE)</f>
        <v>5</v>
      </c>
      <c r="K171">
        <f>VLOOKUP($A171,Table1[#This Row],COLUMN(K170), FALSE)</f>
        <v>0</v>
      </c>
      <c r="L171">
        <f>VLOOKUP($A171,Table1[#This Row],COLUMN(L170), FALSE)</f>
        <v>168.3</v>
      </c>
      <c r="M171" t="str">
        <f>VLOOKUP($A171,Table1[#This Row],COLUMN(M170), FALSE)</f>
        <v>Medium</v>
      </c>
      <c r="N171" t="str">
        <f>VLOOKUP($A171,Table1[#This Row],COLUMN(N170), FALSE)</f>
        <v>Normal Order</v>
      </c>
      <c r="O171" t="str">
        <f>VLOOKUP($A171,Table1[#This Row],COLUMN(O170), FALSE)</f>
        <v>Deirdre Greer</v>
      </c>
      <c r="P171" t="str">
        <f>VLOOKUP($A171,Table1[#This Row],COLUMN(P170), FALSE)</f>
        <v>MX</v>
      </c>
      <c r="Q171" t="str">
        <f>VLOOKUP($A171,Table1[#This Row],COLUMN(Q170), FALSE)</f>
        <v>2013</v>
      </c>
      <c r="R171" t="str">
        <f>VLOOKUP($A171,Table1[#This Row],COLUMN(R170), FALSE)</f>
        <v>MEDIUM</v>
      </c>
      <c r="S171" t="str">
        <f>VLOOKUP($A171,Table1[#This Row],COLUMN(S170), FALSE)</f>
        <v>office supplies</v>
      </c>
      <c r="T171" t="str">
        <f>VLOOKUP($A171,Table1[#This Row],COLUMN(T170), FALSE)</f>
        <v>41417</v>
      </c>
      <c r="U171" t="str">
        <f>VLOOKUP($A171,Table1[#This Row],COLUMN(U170), FALSE)</f>
        <v>DG1330082</v>
      </c>
      <c r="V171" t="str">
        <f>VLOOKUP($A171,Table1[#This Row],COLUMN(V170), FALSE)</f>
        <v>MX</v>
      </c>
      <c r="W171">
        <f>VLOOKUP($A171,Table1[#This Row],COLUMN(W170), FALSE)</f>
        <v>2013</v>
      </c>
      <c r="X171" t="str">
        <f>VLOOKUP($A171,Table1[#This Row],COLUMN(X170), FALSE)</f>
        <v>DG1330082</v>
      </c>
      <c r="Y171">
        <f>VLOOKUP($A171,Table1[#This Row],COLUMN(Y170), FALSE)</f>
        <v>41417</v>
      </c>
      <c r="Z171" t="str">
        <f>VLOOKUP($A171,Table1[#This Row],COLUMN(Z170), FALSE)</f>
        <v>MX-2013-DG1330082-41417</v>
      </c>
      <c r="AA171">
        <f>VLOOKUP($A171,Table1[#This Row],COLUMN(AA170), FALSE)</f>
        <v>2013</v>
      </c>
      <c r="AB171">
        <f>VLOOKUP($A171,Table1[#This Row],COLUMN(AB170), FALSE)</f>
        <v>5</v>
      </c>
      <c r="AC171">
        <f>VLOOKUP($A171,Table1[#This Row],COLUMN(AC170), FALSE)</f>
        <v>5</v>
      </c>
      <c r="AD171">
        <f>VLOOKUP($A171,Table1[#This Row],COLUMN(AD170), FALSE)</f>
        <v>2</v>
      </c>
    </row>
    <row r="172" spans="1:30" ht="15.75">
      <c r="A172" s="53" t="s">
        <v>1105</v>
      </c>
      <c r="B172" s="52">
        <f>VLOOKUP($A172,Table1[#This Row],COLUMN(B171), FALSE)</f>
        <v>41440</v>
      </c>
      <c r="C172" s="52">
        <f>VLOOKUP($A172,Table1[#This Row],COLUMN(C171), FALSE)</f>
        <v>41440</v>
      </c>
      <c r="D172" t="str">
        <f>VLOOKUP($A172,Table1[#This Row],COLUMN(D171), FALSE)</f>
        <v>Dorris liebe</v>
      </c>
      <c r="E172" t="str">
        <f>VLOOKUP($A172,Table1[#This Row],COLUMN(E171), FALSE)</f>
        <v>France</v>
      </c>
      <c r="F172" t="str">
        <f>VLOOKUP($A172,Table1[#This Row],COLUMN(F171), FALSE)</f>
        <v>Western Europe</v>
      </c>
      <c r="G172" t="str">
        <f>VLOOKUP($A172,Table1[#This Row],COLUMN(G171), FALSE)</f>
        <v>Technology</v>
      </c>
      <c r="H172" t="str">
        <f>VLOOKUP($A172,Table1[#This Row],COLUMN(H171), FALSE)</f>
        <v>Appliances</v>
      </c>
      <c r="I172">
        <f>VLOOKUP($A172,Table1[#This Row],COLUMN(I171), FALSE)</f>
        <v>980.52</v>
      </c>
      <c r="J172">
        <f>VLOOKUP($A172,Table1[#This Row],COLUMN(J171), FALSE)</f>
        <v>4</v>
      </c>
      <c r="K172">
        <f>VLOOKUP($A172,Table1[#This Row],COLUMN(K171), FALSE)</f>
        <v>0</v>
      </c>
      <c r="L172">
        <f>VLOOKUP($A172,Table1[#This Row],COLUMN(L171), FALSE)</f>
        <v>176.39999999999901</v>
      </c>
      <c r="M172" t="str">
        <f>VLOOKUP($A172,Table1[#This Row],COLUMN(M171), FALSE)</f>
        <v>High</v>
      </c>
      <c r="N172" t="str">
        <f>VLOOKUP($A172,Table1[#This Row],COLUMN(N171), FALSE)</f>
        <v>Normal Order</v>
      </c>
      <c r="O172" t="str">
        <f>VLOOKUP($A172,Table1[#This Row],COLUMN(O171), FALSE)</f>
        <v>Dorris Liebe</v>
      </c>
      <c r="P172" t="str">
        <f>VLOOKUP($A172,Table1[#This Row],COLUMN(P171), FALSE)</f>
        <v>ES</v>
      </c>
      <c r="Q172" t="str">
        <f>VLOOKUP($A172,Table1[#This Row],COLUMN(Q171), FALSE)</f>
        <v>2013</v>
      </c>
      <c r="R172" t="str">
        <f>VLOOKUP($A172,Table1[#This Row],COLUMN(R171), FALSE)</f>
        <v>HIGH</v>
      </c>
      <c r="S172" t="str">
        <f>VLOOKUP($A172,Table1[#This Row],COLUMN(S171), FALSE)</f>
        <v>technology</v>
      </c>
      <c r="T172" t="str">
        <f>VLOOKUP($A172,Table1[#This Row],COLUMN(T171), FALSE)</f>
        <v>41440</v>
      </c>
      <c r="U172" t="str">
        <f>VLOOKUP($A172,Table1[#This Row],COLUMN(U171), FALSE)</f>
        <v>Dl1360045</v>
      </c>
      <c r="V172" t="str">
        <f>VLOOKUP($A172,Table1[#This Row],COLUMN(V171), FALSE)</f>
        <v>ES</v>
      </c>
      <c r="W172">
        <f>VLOOKUP($A172,Table1[#This Row],COLUMN(W171), FALSE)</f>
        <v>2013</v>
      </c>
      <c r="X172" t="str">
        <f>VLOOKUP($A172,Table1[#This Row],COLUMN(X171), FALSE)</f>
        <v>Dl1360045</v>
      </c>
      <c r="Y172">
        <f>VLOOKUP($A172,Table1[#This Row],COLUMN(Y171), FALSE)</f>
        <v>41440</v>
      </c>
      <c r="Z172" t="str">
        <f>VLOOKUP($A172,Table1[#This Row],COLUMN(Z171), FALSE)</f>
        <v>ES-2013-Dl1360045-41440</v>
      </c>
      <c r="AA172">
        <f>VLOOKUP($A172,Table1[#This Row],COLUMN(AA171), FALSE)</f>
        <v>2013</v>
      </c>
      <c r="AB172">
        <f>VLOOKUP($A172,Table1[#This Row],COLUMN(AB171), FALSE)</f>
        <v>6</v>
      </c>
      <c r="AC172">
        <f>VLOOKUP($A172,Table1[#This Row],COLUMN(AC171), FALSE)</f>
        <v>7</v>
      </c>
      <c r="AD172">
        <f>VLOOKUP($A172,Table1[#This Row],COLUMN(AD171), FALSE)</f>
        <v>0</v>
      </c>
    </row>
    <row r="173" spans="1:30" ht="15.75">
      <c r="A173" s="54" t="s">
        <v>1116</v>
      </c>
      <c r="B173" s="52">
        <f>VLOOKUP($A173,Table1[#This Row],COLUMN(B172), FALSE)</f>
        <v>41992</v>
      </c>
      <c r="C173" s="52">
        <f>VLOOKUP($A173,Table1[#This Row],COLUMN(C172), FALSE)</f>
        <v>41995</v>
      </c>
      <c r="D173" t="str">
        <f>VLOOKUP($A173,Table1[#This Row],COLUMN(D172), FALSE)</f>
        <v>Adrian Hane</v>
      </c>
      <c r="E173" t="str">
        <f>VLOOKUP($A173,Table1[#This Row],COLUMN(E172), FALSE)</f>
        <v>United States</v>
      </c>
      <c r="F173" t="str">
        <f>VLOOKUP($A173,Table1[#This Row],COLUMN(F172), FALSE)</f>
        <v>Western US</v>
      </c>
      <c r="G173" t="str">
        <f>VLOOKUP($A173,Table1[#This Row],COLUMN(G172), FALSE)</f>
        <v>Technology</v>
      </c>
      <c r="H173" t="str">
        <f>VLOOKUP($A173,Table1[#This Row],COLUMN(H172), FALSE)</f>
        <v>Phones</v>
      </c>
      <c r="I173">
        <f>VLOOKUP($A173,Table1[#This Row],COLUMN(I172), FALSE)</f>
        <v>28.68</v>
      </c>
      <c r="J173">
        <f>VLOOKUP($A173,Table1[#This Row],COLUMN(J172), FALSE)</f>
        <v>3</v>
      </c>
      <c r="K173">
        <f>VLOOKUP($A173,Table1[#This Row],COLUMN(K172), FALSE)</f>
        <v>0.2</v>
      </c>
      <c r="L173">
        <f>VLOOKUP($A173,Table1[#This Row],COLUMN(L172), FALSE)</f>
        <v>-7.17</v>
      </c>
      <c r="M173" t="str">
        <f>VLOOKUP($A173,Table1[#This Row],COLUMN(M172), FALSE)</f>
        <v>Medium</v>
      </c>
      <c r="N173" t="str">
        <f>VLOOKUP($A173,Table1[#This Row],COLUMN(N172), FALSE)</f>
        <v>Normal Order</v>
      </c>
      <c r="O173" t="str">
        <f>VLOOKUP($A173,Table1[#This Row],COLUMN(O172), FALSE)</f>
        <v>Adrian Hane</v>
      </c>
      <c r="P173" t="str">
        <f>VLOOKUP($A173,Table1[#This Row],COLUMN(P172), FALSE)</f>
        <v>CA</v>
      </c>
      <c r="Q173" t="str">
        <f>VLOOKUP($A173,Table1[#This Row],COLUMN(Q172), FALSE)</f>
        <v>2014</v>
      </c>
      <c r="R173" t="str">
        <f>VLOOKUP($A173,Table1[#This Row],COLUMN(R172), FALSE)</f>
        <v>MEDIUM</v>
      </c>
      <c r="S173" t="str">
        <f>VLOOKUP($A173,Table1[#This Row],COLUMN(S172), FALSE)</f>
        <v>technology</v>
      </c>
      <c r="T173" t="str">
        <f>VLOOKUP($A173,Table1[#This Row],COLUMN(T172), FALSE)</f>
        <v>41929</v>
      </c>
      <c r="U173" t="str">
        <f>VLOOKUP($A173,Table1[#This Row],COLUMN(U172), FALSE)</f>
        <v>AH10120140</v>
      </c>
      <c r="V173" t="str">
        <f>VLOOKUP($A173,Table1[#This Row],COLUMN(V172), FALSE)</f>
        <v>CA</v>
      </c>
      <c r="W173">
        <f>VLOOKUP($A173,Table1[#This Row],COLUMN(W172), FALSE)</f>
        <v>2014</v>
      </c>
      <c r="X173" t="str">
        <f>VLOOKUP($A173,Table1[#This Row],COLUMN(X172), FALSE)</f>
        <v>AH10120140</v>
      </c>
      <c r="Y173">
        <f>VLOOKUP($A173,Table1[#This Row],COLUMN(Y172), FALSE)</f>
        <v>41929</v>
      </c>
      <c r="Z173" t="str">
        <f>VLOOKUP($A173,Table1[#This Row],COLUMN(Z172), FALSE)</f>
        <v>CA-2014-AH10120140-41929</v>
      </c>
      <c r="AA173">
        <f>VLOOKUP($A173,Table1[#This Row],COLUMN(AA172), FALSE)</f>
        <v>2014</v>
      </c>
      <c r="AB173">
        <f>VLOOKUP($A173,Table1[#This Row],COLUMN(AB172), FALSE)</f>
        <v>12</v>
      </c>
      <c r="AC173">
        <f>VLOOKUP($A173,Table1[#This Row],COLUMN(AC172), FALSE)</f>
        <v>6</v>
      </c>
      <c r="AD173">
        <f>VLOOKUP($A173,Table1[#This Row],COLUMN(AD172), FALSE)</f>
        <v>3</v>
      </c>
    </row>
    <row r="174" spans="1:30" ht="15.75">
      <c r="A174" s="53" t="s">
        <v>1119</v>
      </c>
      <c r="B174" s="52">
        <f>VLOOKUP($A174,Table1[#This Row],COLUMN(B173), FALSE)</f>
        <v>41238</v>
      </c>
      <c r="C174" s="52">
        <f>VLOOKUP($A174,Table1[#This Row],COLUMN(C173), FALSE)</f>
        <v>41242</v>
      </c>
      <c r="D174" t="str">
        <f>VLOOKUP($A174,Table1[#This Row],COLUMN(D173), FALSE)</f>
        <v>Jim Radford</v>
      </c>
      <c r="E174" t="str">
        <f>VLOOKUP($A174,Table1[#This Row],COLUMN(E173), FALSE)</f>
        <v>Germany</v>
      </c>
      <c r="F174" t="str">
        <f>VLOOKUP($A174,Table1[#This Row],COLUMN(F173), FALSE)</f>
        <v>Western Europe</v>
      </c>
      <c r="G174" t="str">
        <f>VLOOKUP($A174,Table1[#This Row],COLUMN(G173), FALSE)</f>
        <v>Office Supplies</v>
      </c>
      <c r="H174" t="str">
        <f>VLOOKUP($A174,Table1[#This Row],COLUMN(H173), FALSE)</f>
        <v>Supplies</v>
      </c>
      <c r="I174">
        <f>VLOOKUP($A174,Table1[#This Row],COLUMN(I173), FALSE)</f>
        <v>2039.796</v>
      </c>
      <c r="J174">
        <f>VLOOKUP($A174,Table1[#This Row],COLUMN(J173), FALSE)</f>
        <v>4</v>
      </c>
      <c r="K174">
        <f>VLOOKUP($A174,Table1[#This Row],COLUMN(K173), FALSE)</f>
        <v>0.1</v>
      </c>
      <c r="L174">
        <f>VLOOKUP($A174,Table1[#This Row],COLUMN(L173), FALSE)</f>
        <v>-113.364</v>
      </c>
      <c r="M174" t="str">
        <f>VLOOKUP($A174,Table1[#This Row],COLUMN(M173), FALSE)</f>
        <v>High</v>
      </c>
      <c r="N174" t="str">
        <f>VLOOKUP($A174,Table1[#This Row],COLUMN(N173), FALSE)</f>
        <v>Normal Order</v>
      </c>
      <c r="O174" t="str">
        <f>VLOOKUP($A174,Table1[#This Row],COLUMN(O173), FALSE)</f>
        <v>Jim Radford</v>
      </c>
      <c r="P174" t="str">
        <f>VLOOKUP($A174,Table1[#This Row],COLUMN(P173), FALSE)</f>
        <v>IT</v>
      </c>
      <c r="Q174" t="str">
        <f>VLOOKUP($A174,Table1[#This Row],COLUMN(Q173), FALSE)</f>
        <v>2012</v>
      </c>
      <c r="R174" t="str">
        <f>VLOOKUP($A174,Table1[#This Row],COLUMN(R173), FALSE)</f>
        <v>HIGH</v>
      </c>
      <c r="S174" t="str">
        <f>VLOOKUP($A174,Table1[#This Row],COLUMN(S173), FALSE)</f>
        <v>office supplies</v>
      </c>
      <c r="T174" t="str">
        <f>VLOOKUP($A174,Table1[#This Row],COLUMN(T173), FALSE)</f>
        <v>41238</v>
      </c>
      <c r="U174" t="str">
        <f>VLOOKUP($A174,Table1[#This Row],COLUMN(U173), FALSE)</f>
        <v>JR1567048</v>
      </c>
      <c r="V174" t="str">
        <f>VLOOKUP($A174,Table1[#This Row],COLUMN(V173), FALSE)</f>
        <v>IT</v>
      </c>
      <c r="W174">
        <f>VLOOKUP($A174,Table1[#This Row],COLUMN(W173), FALSE)</f>
        <v>2012</v>
      </c>
      <c r="X174" t="str">
        <f>VLOOKUP($A174,Table1[#This Row],COLUMN(X173), FALSE)</f>
        <v>JR1567048</v>
      </c>
      <c r="Y174">
        <f>VLOOKUP($A174,Table1[#This Row],COLUMN(Y173), FALSE)</f>
        <v>41238</v>
      </c>
      <c r="Z174" t="str">
        <f>VLOOKUP($A174,Table1[#This Row],COLUMN(Z173), FALSE)</f>
        <v>IT-2012-JR1567048-41238</v>
      </c>
      <c r="AA174">
        <f>VLOOKUP($A174,Table1[#This Row],COLUMN(AA173), FALSE)</f>
        <v>2012</v>
      </c>
      <c r="AB174">
        <f>VLOOKUP($A174,Table1[#This Row],COLUMN(AB173), FALSE)</f>
        <v>11</v>
      </c>
      <c r="AC174">
        <f>VLOOKUP($A174,Table1[#This Row],COLUMN(AC173), FALSE)</f>
        <v>1</v>
      </c>
      <c r="AD174">
        <f>VLOOKUP($A174,Table1[#This Row],COLUMN(AD173), FALSE)</f>
        <v>4</v>
      </c>
    </row>
    <row r="175" spans="1:30" ht="15.75">
      <c r="A175" s="54" t="s">
        <v>1125</v>
      </c>
      <c r="B175" s="52">
        <f>VLOOKUP($A175,Table1[#This Row],COLUMN(B174), FALSE)</f>
        <v>41216</v>
      </c>
      <c r="C175" s="52">
        <f>VLOOKUP($A175,Table1[#This Row],COLUMN(C174), FALSE)</f>
        <v>41220</v>
      </c>
      <c r="D175" t="str">
        <f>VLOOKUP($A175,Table1[#This Row],COLUMN(D174), FALSE)</f>
        <v>Frank Merwin</v>
      </c>
      <c r="E175" t="str">
        <f>VLOOKUP($A175,Table1[#This Row],COLUMN(E174), FALSE)</f>
        <v>Jamaica</v>
      </c>
      <c r="F175" t="str">
        <f>VLOOKUP($A175,Table1[#This Row],COLUMN(F174), FALSE)</f>
        <v>Caribbean</v>
      </c>
      <c r="G175" t="str">
        <f>VLOOKUP($A175,Table1[#This Row],COLUMN(G174), FALSE)</f>
        <v>Furniture</v>
      </c>
      <c r="H175" t="str">
        <f>VLOOKUP($A175,Table1[#This Row],COLUMN(H174), FALSE)</f>
        <v>Phones</v>
      </c>
      <c r="I175">
        <f>VLOOKUP($A175,Table1[#This Row],COLUMN(I174), FALSE)</f>
        <v>1380.8999999999901</v>
      </c>
      <c r="J175">
        <f>VLOOKUP($A175,Table1[#This Row],COLUMN(J174), FALSE)</f>
        <v>5</v>
      </c>
      <c r="K175">
        <f>VLOOKUP($A175,Table1[#This Row],COLUMN(K174), FALSE)</f>
        <v>0</v>
      </c>
      <c r="L175">
        <f>VLOOKUP($A175,Table1[#This Row],COLUMN(L174), FALSE)</f>
        <v>303.7</v>
      </c>
      <c r="M175" t="str">
        <f>VLOOKUP($A175,Table1[#This Row],COLUMN(M174), FALSE)</f>
        <v>High</v>
      </c>
      <c r="N175" t="str">
        <f>VLOOKUP($A175,Table1[#This Row],COLUMN(N174), FALSE)</f>
        <v>Normal Order</v>
      </c>
      <c r="O175" t="str">
        <f>VLOOKUP($A175,Table1[#This Row],COLUMN(O174), FALSE)</f>
        <v>Frank Merwin</v>
      </c>
      <c r="P175" t="str">
        <f>VLOOKUP($A175,Table1[#This Row],COLUMN(P174), FALSE)</f>
        <v>MX</v>
      </c>
      <c r="Q175" t="str">
        <f>VLOOKUP($A175,Table1[#This Row],COLUMN(Q174), FALSE)</f>
        <v>2012</v>
      </c>
      <c r="R175" t="str">
        <f>VLOOKUP($A175,Table1[#This Row],COLUMN(R174), FALSE)</f>
        <v>HIGH</v>
      </c>
      <c r="S175" t="str">
        <f>VLOOKUP($A175,Table1[#This Row],COLUMN(S174), FALSE)</f>
        <v>furniture</v>
      </c>
      <c r="T175" t="str">
        <f>VLOOKUP($A175,Table1[#This Row],COLUMN(T174), FALSE)</f>
        <v>41216</v>
      </c>
      <c r="U175" t="str">
        <f>VLOOKUP($A175,Table1[#This Row],COLUMN(U174), FALSE)</f>
        <v>FM1429065</v>
      </c>
      <c r="V175" t="str">
        <f>VLOOKUP($A175,Table1[#This Row],COLUMN(V174), FALSE)</f>
        <v>MX</v>
      </c>
      <c r="W175">
        <f>VLOOKUP($A175,Table1[#This Row],COLUMN(W174), FALSE)</f>
        <v>2012</v>
      </c>
      <c r="X175" t="str">
        <f>VLOOKUP($A175,Table1[#This Row],COLUMN(X174), FALSE)</f>
        <v>FM1429065</v>
      </c>
      <c r="Y175">
        <f>VLOOKUP($A175,Table1[#This Row],COLUMN(Y174), FALSE)</f>
        <v>41216</v>
      </c>
      <c r="Z175" t="str">
        <f>VLOOKUP($A175,Table1[#This Row],COLUMN(Z174), FALSE)</f>
        <v>MX-2012-FM1429065-41216</v>
      </c>
      <c r="AA175">
        <f>VLOOKUP($A175,Table1[#This Row],COLUMN(AA174), FALSE)</f>
        <v>2012</v>
      </c>
      <c r="AB175">
        <f>VLOOKUP($A175,Table1[#This Row],COLUMN(AB174), FALSE)</f>
        <v>11</v>
      </c>
      <c r="AC175">
        <f>VLOOKUP($A175,Table1[#This Row],COLUMN(AC174), FALSE)</f>
        <v>7</v>
      </c>
      <c r="AD175">
        <f>VLOOKUP($A175,Table1[#This Row],COLUMN(AD174), FALSE)</f>
        <v>4</v>
      </c>
    </row>
    <row r="176" spans="1:30" ht="15.75">
      <c r="A176" s="53" t="s">
        <v>1130</v>
      </c>
      <c r="B176" s="52">
        <f>VLOOKUP($A176,Table1[#This Row],COLUMN(B175), FALSE)</f>
        <v>41929</v>
      </c>
      <c r="C176" s="52">
        <f>VLOOKUP($A176,Table1[#This Row],COLUMN(C175), FALSE)</f>
        <v>41931</v>
      </c>
      <c r="D176" t="str">
        <f>VLOOKUP($A176,Table1[#This Row],COLUMN(D175), FALSE)</f>
        <v>Clytie Kelty</v>
      </c>
      <c r="E176" t="str">
        <f>VLOOKUP($A176,Table1[#This Row],COLUMN(E175), FALSE)</f>
        <v>New Zealand</v>
      </c>
      <c r="F176" t="str">
        <f>VLOOKUP($A176,Table1[#This Row],COLUMN(F175), FALSE)</f>
        <v>Oceania</v>
      </c>
      <c r="G176" t="str">
        <f>VLOOKUP($A176,Table1[#This Row],COLUMN(G175), FALSE)</f>
        <v>Furniture</v>
      </c>
      <c r="H176" t="str">
        <f>VLOOKUP($A176,Table1[#This Row],COLUMN(H175), FALSE)</f>
        <v>Bookcases</v>
      </c>
      <c r="I176">
        <f>VLOOKUP($A176,Table1[#This Row],COLUMN(I175), FALSE)</f>
        <v>823.5</v>
      </c>
      <c r="J176">
        <f>VLOOKUP($A176,Table1[#This Row],COLUMN(J175), FALSE)</f>
        <v>2</v>
      </c>
      <c r="K176">
        <f>VLOOKUP($A176,Table1[#This Row],COLUMN(K175), FALSE)</f>
        <v>0</v>
      </c>
      <c r="L176">
        <f>VLOOKUP($A176,Table1[#This Row],COLUMN(L175), FALSE)</f>
        <v>172.92</v>
      </c>
      <c r="M176" t="str">
        <f>VLOOKUP($A176,Table1[#This Row],COLUMN(M175), FALSE)</f>
        <v>Critical</v>
      </c>
      <c r="N176" t="str">
        <f>VLOOKUP($A176,Table1[#This Row],COLUMN(N175), FALSE)</f>
        <v>Normal Order</v>
      </c>
      <c r="O176" t="str">
        <f>VLOOKUP($A176,Table1[#This Row],COLUMN(O175), FALSE)</f>
        <v>Clytie Kelty</v>
      </c>
      <c r="P176" t="str">
        <f>VLOOKUP($A176,Table1[#This Row],COLUMN(P175), FALSE)</f>
        <v>IN</v>
      </c>
      <c r="Q176" t="str">
        <f>VLOOKUP($A176,Table1[#This Row],COLUMN(Q175), FALSE)</f>
        <v>2014</v>
      </c>
      <c r="R176" t="str">
        <f>VLOOKUP($A176,Table1[#This Row],COLUMN(R175), FALSE)</f>
        <v>CRITICAL</v>
      </c>
      <c r="S176" t="str">
        <f>VLOOKUP($A176,Table1[#This Row],COLUMN(S175), FALSE)</f>
        <v>furniture</v>
      </c>
      <c r="T176" t="str">
        <f>VLOOKUP($A176,Table1[#This Row],COLUMN(T175), FALSE)</f>
        <v>41929</v>
      </c>
      <c r="U176" t="str">
        <f>VLOOKUP($A176,Table1[#This Row],COLUMN(U175), FALSE)</f>
        <v>CK1259592</v>
      </c>
      <c r="V176" t="str">
        <f>VLOOKUP($A176,Table1[#This Row],COLUMN(V175), FALSE)</f>
        <v>IN</v>
      </c>
      <c r="W176">
        <f>VLOOKUP($A176,Table1[#This Row],COLUMN(W175), FALSE)</f>
        <v>2014</v>
      </c>
      <c r="X176" t="str">
        <f>VLOOKUP($A176,Table1[#This Row],COLUMN(X175), FALSE)</f>
        <v>CK1259592</v>
      </c>
      <c r="Y176">
        <f>VLOOKUP($A176,Table1[#This Row],COLUMN(Y175), FALSE)</f>
        <v>41929</v>
      </c>
      <c r="Z176" t="str">
        <f>VLOOKUP($A176,Table1[#This Row],COLUMN(Z175), FALSE)</f>
        <v>IN-2014-CK1259592-41929</v>
      </c>
      <c r="AA176">
        <f>VLOOKUP($A176,Table1[#This Row],COLUMN(AA175), FALSE)</f>
        <v>2014</v>
      </c>
      <c r="AB176">
        <f>VLOOKUP($A176,Table1[#This Row],COLUMN(AB175), FALSE)</f>
        <v>10</v>
      </c>
      <c r="AC176">
        <f>VLOOKUP($A176,Table1[#This Row],COLUMN(AC175), FALSE)</f>
        <v>6</v>
      </c>
      <c r="AD176">
        <f>VLOOKUP($A176,Table1[#This Row],COLUMN(AD175), FALSE)</f>
        <v>2</v>
      </c>
    </row>
    <row r="177" spans="1:30" ht="15.75">
      <c r="A177" s="54" t="s">
        <v>1133</v>
      </c>
      <c r="B177" s="52">
        <f>VLOOKUP($A177,Table1[#This Row],COLUMN(B176), FALSE)</f>
        <v>41795</v>
      </c>
      <c r="C177" s="52">
        <f>VLOOKUP($A177,Table1[#This Row],COLUMN(C176), FALSE)</f>
        <v>41799</v>
      </c>
      <c r="D177" t="str">
        <f>VLOOKUP($A177,Table1[#This Row],COLUMN(D176), FALSE)</f>
        <v>Gary McGarr</v>
      </c>
      <c r="E177" t="str">
        <f>VLOOKUP($A177,Table1[#This Row],COLUMN(E176), FALSE)</f>
        <v>China</v>
      </c>
      <c r="F177" t="str">
        <f>VLOOKUP($A177,Table1[#This Row],COLUMN(F176), FALSE)</f>
        <v>Eastern Asia</v>
      </c>
      <c r="G177" t="str">
        <f>VLOOKUP($A177,Table1[#This Row],COLUMN(G176), FALSE)</f>
        <v>Technology</v>
      </c>
      <c r="H177" t="str">
        <f>VLOOKUP($A177,Table1[#This Row],COLUMN(H176), FALSE)</f>
        <v>Bookcases</v>
      </c>
      <c r="I177">
        <f>VLOOKUP($A177,Table1[#This Row],COLUMN(I176), FALSE)</f>
        <v>3180.75</v>
      </c>
      <c r="J177">
        <f>VLOOKUP($A177,Table1[#This Row],COLUMN(J176), FALSE)</f>
        <v>5</v>
      </c>
      <c r="K177">
        <f>VLOOKUP($A177,Table1[#This Row],COLUMN(K176), FALSE)</f>
        <v>0</v>
      </c>
      <c r="L177">
        <f>VLOOKUP($A177,Table1[#This Row],COLUMN(L176), FALSE)</f>
        <v>1081.3499999999999</v>
      </c>
      <c r="M177" t="str">
        <f>VLOOKUP($A177,Table1[#This Row],COLUMN(M176), FALSE)</f>
        <v>Medium</v>
      </c>
      <c r="N177" t="str">
        <f>VLOOKUP($A177,Table1[#This Row],COLUMN(N176), FALSE)</f>
        <v>Normal Order</v>
      </c>
      <c r="O177" t="str">
        <f>VLOOKUP($A177,Table1[#This Row],COLUMN(O176), FALSE)</f>
        <v>Gary Mcgarr</v>
      </c>
      <c r="P177" t="str">
        <f>VLOOKUP($A177,Table1[#This Row],COLUMN(P176), FALSE)</f>
        <v>IN</v>
      </c>
      <c r="Q177" t="str">
        <f>VLOOKUP($A177,Table1[#This Row],COLUMN(Q176), FALSE)</f>
        <v>2014</v>
      </c>
      <c r="R177" t="str">
        <f>VLOOKUP($A177,Table1[#This Row],COLUMN(R176), FALSE)</f>
        <v>MEDIUM</v>
      </c>
      <c r="S177" t="str">
        <f>VLOOKUP($A177,Table1[#This Row],COLUMN(S176), FALSE)</f>
        <v>technology</v>
      </c>
      <c r="T177" t="str">
        <f>VLOOKUP($A177,Table1[#This Row],COLUMN(T176), FALSE)</f>
        <v>41795</v>
      </c>
      <c r="U177" t="str">
        <f>VLOOKUP($A177,Table1[#This Row],COLUMN(U176), FALSE)</f>
        <v>GM1444027</v>
      </c>
      <c r="V177" t="str">
        <f>VLOOKUP($A177,Table1[#This Row],COLUMN(V176), FALSE)</f>
        <v>IN</v>
      </c>
      <c r="W177">
        <f>VLOOKUP($A177,Table1[#This Row],COLUMN(W176), FALSE)</f>
        <v>2014</v>
      </c>
      <c r="X177" t="str">
        <f>VLOOKUP($A177,Table1[#This Row],COLUMN(X176), FALSE)</f>
        <v>GM1444027</v>
      </c>
      <c r="Y177">
        <f>VLOOKUP($A177,Table1[#This Row],COLUMN(Y176), FALSE)</f>
        <v>41795</v>
      </c>
      <c r="Z177" t="str">
        <f>VLOOKUP($A177,Table1[#This Row],COLUMN(Z176), FALSE)</f>
        <v>IN-2014-GM1444027-41795</v>
      </c>
      <c r="AA177">
        <f>VLOOKUP($A177,Table1[#This Row],COLUMN(AA176), FALSE)</f>
        <v>2014</v>
      </c>
      <c r="AB177">
        <f>VLOOKUP($A177,Table1[#This Row],COLUMN(AB176), FALSE)</f>
        <v>6</v>
      </c>
      <c r="AC177">
        <f>VLOOKUP($A177,Table1[#This Row],COLUMN(AC176), FALSE)</f>
        <v>5</v>
      </c>
      <c r="AD177">
        <f>VLOOKUP($A177,Table1[#This Row],COLUMN(AD176), FALSE)</f>
        <v>4</v>
      </c>
    </row>
    <row r="178" spans="1:30" ht="15.75">
      <c r="A178" s="53" t="s">
        <v>1048</v>
      </c>
      <c r="B178" s="52">
        <f>VLOOKUP($A178,Table1[#This Row],COLUMN(B177), FALSE)</f>
        <v>41992</v>
      </c>
      <c r="C178" s="52">
        <f>VLOOKUP($A178,Table1[#This Row],COLUMN(C177), FALSE)</f>
        <v>41995</v>
      </c>
      <c r="D178" t="str">
        <f>VLOOKUP($A178,Table1[#This Row],COLUMN(D177), FALSE)</f>
        <v>Adrian Hane</v>
      </c>
      <c r="E178" t="str">
        <f>VLOOKUP($A178,Table1[#This Row],COLUMN(E177), FALSE)</f>
        <v>United States</v>
      </c>
      <c r="F178" t="str">
        <f>VLOOKUP($A178,Table1[#This Row],COLUMN(F177), FALSE)</f>
        <v>Western US</v>
      </c>
      <c r="G178" t="str">
        <f>VLOOKUP($A178,Table1[#This Row],COLUMN(G177), FALSE)</f>
        <v>Office Supplies</v>
      </c>
      <c r="H178" t="str">
        <f>VLOOKUP($A178,Table1[#This Row],COLUMN(H177), FALSE)</f>
        <v>Phones</v>
      </c>
      <c r="I178">
        <f>VLOOKUP($A178,Table1[#This Row],COLUMN(I177), FALSE)</f>
        <v>15.936</v>
      </c>
      <c r="J178">
        <f>VLOOKUP($A178,Table1[#This Row],COLUMN(J177), FALSE)</f>
        <v>4</v>
      </c>
      <c r="K178">
        <f>VLOOKUP($A178,Table1[#This Row],COLUMN(K177), FALSE)</f>
        <v>0.2</v>
      </c>
      <c r="L178">
        <f>VLOOKUP($A178,Table1[#This Row],COLUMN(L177), FALSE)</f>
        <v>5.1791999999999998</v>
      </c>
      <c r="M178" t="str">
        <f>VLOOKUP($A178,Table1[#This Row],COLUMN(M177), FALSE)</f>
        <v>Medium</v>
      </c>
      <c r="N178" t="str">
        <f>VLOOKUP($A178,Table1[#This Row],COLUMN(N177), FALSE)</f>
        <v>Normal Order</v>
      </c>
      <c r="O178" t="str">
        <f>VLOOKUP($A178,Table1[#This Row],COLUMN(O177), FALSE)</f>
        <v>Adrian Hane</v>
      </c>
      <c r="P178" t="str">
        <f>VLOOKUP($A178,Table1[#This Row],COLUMN(P177), FALSE)</f>
        <v>CA</v>
      </c>
      <c r="Q178" t="str">
        <f>VLOOKUP($A178,Table1[#This Row],COLUMN(Q177), FALSE)</f>
        <v>2014</v>
      </c>
      <c r="R178" t="str">
        <f>VLOOKUP($A178,Table1[#This Row],COLUMN(R177), FALSE)</f>
        <v>MEDIUM</v>
      </c>
      <c r="S178" t="str">
        <f>VLOOKUP($A178,Table1[#This Row],COLUMN(S177), FALSE)</f>
        <v>office supplies</v>
      </c>
      <c r="T178" t="str">
        <f>VLOOKUP($A178,Table1[#This Row],COLUMN(T177), FALSE)</f>
        <v>41992</v>
      </c>
      <c r="U178" t="str">
        <f>VLOOKUP($A178,Table1[#This Row],COLUMN(U177), FALSE)</f>
        <v>AH10120140</v>
      </c>
      <c r="V178" t="str">
        <f>VLOOKUP($A178,Table1[#This Row],COLUMN(V177), FALSE)</f>
        <v>CA</v>
      </c>
      <c r="W178">
        <f>VLOOKUP($A178,Table1[#This Row],COLUMN(W177), FALSE)</f>
        <v>2014</v>
      </c>
      <c r="X178" t="str">
        <f>VLOOKUP($A178,Table1[#This Row],COLUMN(X177), FALSE)</f>
        <v>AH10120140</v>
      </c>
      <c r="Y178">
        <f>VLOOKUP($A178,Table1[#This Row],COLUMN(Y177), FALSE)</f>
        <v>41992</v>
      </c>
      <c r="Z178" t="str">
        <f>VLOOKUP($A178,Table1[#This Row],COLUMN(Z177), FALSE)</f>
        <v>CA-2014-AH10120140-41992</v>
      </c>
      <c r="AA178">
        <f>VLOOKUP($A178,Table1[#This Row],COLUMN(AA177), FALSE)</f>
        <v>2014</v>
      </c>
      <c r="AB178">
        <f>VLOOKUP($A178,Table1[#This Row],COLUMN(AB177), FALSE)</f>
        <v>12</v>
      </c>
      <c r="AC178">
        <f>VLOOKUP($A178,Table1[#This Row],COLUMN(AC177), FALSE)</f>
        <v>6</v>
      </c>
      <c r="AD178">
        <f>VLOOKUP($A178,Table1[#This Row],COLUMN(AD177), FALSE)</f>
        <v>3</v>
      </c>
    </row>
    <row r="179" spans="1:30" ht="15.75">
      <c r="A179" s="54" t="s">
        <v>1065</v>
      </c>
      <c r="B179" s="52">
        <f>VLOOKUP($A179,Table1[#This Row],COLUMN(B178), FALSE)</f>
        <v>42188</v>
      </c>
      <c r="C179" s="52">
        <f>VLOOKUP($A179,Table1[#This Row],COLUMN(C178), FALSE)</f>
        <v>42191</v>
      </c>
      <c r="D179" t="str">
        <f>VLOOKUP($A179,Table1[#This Row],COLUMN(D178), FALSE)</f>
        <v>Adrian Hane</v>
      </c>
      <c r="E179" t="str">
        <f>VLOOKUP($A179,Table1[#This Row],COLUMN(E178), FALSE)</f>
        <v>united states</v>
      </c>
      <c r="F179" t="str">
        <f>VLOOKUP($A179,Table1[#This Row],COLUMN(F178), FALSE)</f>
        <v>Central US</v>
      </c>
      <c r="G179" t="str">
        <f>VLOOKUP($A179,Table1[#This Row],COLUMN(G178), FALSE)</f>
        <v>Office Supplies</v>
      </c>
      <c r="H179" t="str">
        <f>VLOOKUP($A179,Table1[#This Row],COLUMN(H178), FALSE)</f>
        <v>Machines</v>
      </c>
      <c r="I179">
        <f>VLOOKUP($A179,Table1[#This Row],COLUMN(I178), FALSE)</f>
        <v>5.2319999999999904</v>
      </c>
      <c r="J179">
        <f>VLOOKUP($A179,Table1[#This Row],COLUMN(J178), FALSE)</f>
        <v>4</v>
      </c>
      <c r="K179">
        <f>VLOOKUP($A179,Table1[#This Row],COLUMN(K178), FALSE)</f>
        <v>0.8</v>
      </c>
      <c r="L179">
        <f>VLOOKUP($A179,Table1[#This Row],COLUMN(L178), FALSE)</f>
        <v>-8.1096000000000004</v>
      </c>
      <c r="M179" t="str">
        <f>VLOOKUP($A179,Table1[#This Row],COLUMN(M178), FALSE)</f>
        <v>Medium</v>
      </c>
      <c r="N179" t="str">
        <f>VLOOKUP($A179,Table1[#This Row],COLUMN(N178), FALSE)</f>
        <v>Normal Order</v>
      </c>
      <c r="O179" t="str">
        <f>VLOOKUP($A179,Table1[#This Row],COLUMN(O178), FALSE)</f>
        <v>Adrian Hane</v>
      </c>
      <c r="P179" t="str">
        <f>VLOOKUP($A179,Table1[#This Row],COLUMN(P178), FALSE)</f>
        <v>CA</v>
      </c>
      <c r="Q179" t="str">
        <f>VLOOKUP($A179,Table1[#This Row],COLUMN(Q178), FALSE)</f>
        <v>2015</v>
      </c>
      <c r="R179" t="str">
        <f>VLOOKUP($A179,Table1[#This Row],COLUMN(R178), FALSE)</f>
        <v>MEDIUM</v>
      </c>
      <c r="S179" t="str">
        <f>VLOOKUP($A179,Table1[#This Row],COLUMN(S178), FALSE)</f>
        <v>office supplies</v>
      </c>
      <c r="T179" t="str">
        <f>VLOOKUP($A179,Table1[#This Row],COLUMN(T178), FALSE)</f>
        <v>42188</v>
      </c>
      <c r="U179" t="str">
        <f>VLOOKUP($A179,Table1[#This Row],COLUMN(U178), FALSE)</f>
        <v>AH10120140</v>
      </c>
      <c r="V179" t="str">
        <f>VLOOKUP($A179,Table1[#This Row],COLUMN(V178), FALSE)</f>
        <v>CA</v>
      </c>
      <c r="W179">
        <f>VLOOKUP($A179,Table1[#This Row],COLUMN(W178), FALSE)</f>
        <v>2015</v>
      </c>
      <c r="X179" t="str">
        <f>VLOOKUP($A179,Table1[#This Row],COLUMN(X178), FALSE)</f>
        <v>AH10120140</v>
      </c>
      <c r="Y179">
        <f>VLOOKUP($A179,Table1[#This Row],COLUMN(Y178), FALSE)</f>
        <v>42188</v>
      </c>
      <c r="Z179" t="str">
        <f>VLOOKUP($A179,Table1[#This Row],COLUMN(Z178), FALSE)</f>
        <v>CA-2015-AH10120140-42188</v>
      </c>
      <c r="AA179">
        <f>VLOOKUP($A179,Table1[#This Row],COLUMN(AA178), FALSE)</f>
        <v>2015</v>
      </c>
      <c r="AB179">
        <f>VLOOKUP($A179,Table1[#This Row],COLUMN(AB178), FALSE)</f>
        <v>7</v>
      </c>
      <c r="AC179">
        <f>VLOOKUP($A179,Table1[#This Row],COLUMN(AC178), FALSE)</f>
        <v>6</v>
      </c>
      <c r="AD179">
        <f>VLOOKUP($A179,Table1[#This Row],COLUMN(AD178), FALSE)</f>
        <v>3</v>
      </c>
    </row>
    <row r="180" spans="1:30" ht="15.75">
      <c r="A180" s="53" t="s">
        <v>1138</v>
      </c>
      <c r="B180" s="52">
        <f>VLOOKUP($A180,Table1[#This Row],COLUMN(B179), FALSE)</f>
        <v>41933</v>
      </c>
      <c r="C180" s="52">
        <f>VLOOKUP($A180,Table1[#This Row],COLUMN(C179), FALSE)</f>
        <v>41936</v>
      </c>
      <c r="D180" t="str">
        <f>VLOOKUP($A180,Table1[#This Row],COLUMN(D179), FALSE)</f>
        <v>Magdelene Morse</v>
      </c>
      <c r="E180" t="str">
        <f>VLOOKUP($A180,Table1[#This Row],COLUMN(E179), FALSE)</f>
        <v>China</v>
      </c>
      <c r="F180" t="str">
        <f>VLOOKUP($A180,Table1[#This Row],COLUMN(F179), FALSE)</f>
        <v>Eastern Asia</v>
      </c>
      <c r="G180" t="str">
        <f>VLOOKUP($A180,Table1[#This Row],COLUMN(G179), FALSE)</f>
        <v>Technology</v>
      </c>
      <c r="H180" t="str">
        <f>VLOOKUP($A180,Table1[#This Row],COLUMN(H179), FALSE)</f>
        <v>Tables</v>
      </c>
      <c r="I180">
        <f>VLOOKUP($A180,Table1[#This Row],COLUMN(I179), FALSE)</f>
        <v>910.349999999999</v>
      </c>
      <c r="J180">
        <f>VLOOKUP($A180,Table1[#This Row],COLUMN(J179), FALSE)</f>
        <v>5</v>
      </c>
      <c r="K180">
        <f>VLOOKUP($A180,Table1[#This Row],COLUMN(K179), FALSE)</f>
        <v>0</v>
      </c>
      <c r="L180">
        <f>VLOOKUP($A180,Table1[#This Row],COLUMN(L179), FALSE)</f>
        <v>391.349999999999</v>
      </c>
      <c r="M180" t="str">
        <f>VLOOKUP($A180,Table1[#This Row],COLUMN(M179), FALSE)</f>
        <v>Critical</v>
      </c>
      <c r="N180" t="str">
        <f>VLOOKUP($A180,Table1[#This Row],COLUMN(N179), FALSE)</f>
        <v>Normal Order</v>
      </c>
      <c r="O180" t="str">
        <f>VLOOKUP($A180,Table1[#This Row],COLUMN(O179), FALSE)</f>
        <v>Magdelene Morse</v>
      </c>
      <c r="P180" t="str">
        <f>VLOOKUP($A180,Table1[#This Row],COLUMN(P179), FALSE)</f>
        <v>IN</v>
      </c>
      <c r="Q180" t="str">
        <f>VLOOKUP($A180,Table1[#This Row],COLUMN(Q179), FALSE)</f>
        <v>2014</v>
      </c>
      <c r="R180" t="str">
        <f>VLOOKUP($A180,Table1[#This Row],COLUMN(R179), FALSE)</f>
        <v>CRITICAL</v>
      </c>
      <c r="S180" t="str">
        <f>VLOOKUP($A180,Table1[#This Row],COLUMN(S179), FALSE)</f>
        <v>technology</v>
      </c>
      <c r="T180" t="str">
        <f>VLOOKUP($A180,Table1[#This Row],COLUMN(T179), FALSE)</f>
        <v>41933</v>
      </c>
      <c r="U180" t="str">
        <f>VLOOKUP($A180,Table1[#This Row],COLUMN(U179), FALSE)</f>
        <v>MM1726027</v>
      </c>
      <c r="V180" t="str">
        <f>VLOOKUP($A180,Table1[#This Row],COLUMN(V179), FALSE)</f>
        <v>IN</v>
      </c>
      <c r="W180">
        <f>VLOOKUP($A180,Table1[#This Row],COLUMN(W179), FALSE)</f>
        <v>2014</v>
      </c>
      <c r="X180" t="str">
        <f>VLOOKUP($A180,Table1[#This Row],COLUMN(X179), FALSE)</f>
        <v>MM1726027</v>
      </c>
      <c r="Y180">
        <f>VLOOKUP($A180,Table1[#This Row],COLUMN(Y179), FALSE)</f>
        <v>41933</v>
      </c>
      <c r="Z180" t="str">
        <f>VLOOKUP($A180,Table1[#This Row],COLUMN(Z179), FALSE)</f>
        <v>IN-2014-MM1726027-41933</v>
      </c>
      <c r="AA180">
        <f>VLOOKUP($A180,Table1[#This Row],COLUMN(AA179), FALSE)</f>
        <v>2014</v>
      </c>
      <c r="AB180">
        <f>VLOOKUP($A180,Table1[#This Row],COLUMN(AB179), FALSE)</f>
        <v>10</v>
      </c>
      <c r="AC180">
        <f>VLOOKUP($A180,Table1[#This Row],COLUMN(AC179), FALSE)</f>
        <v>3</v>
      </c>
      <c r="AD180">
        <f>VLOOKUP($A180,Table1[#This Row],COLUMN(AD179), FALSE)</f>
        <v>3</v>
      </c>
    </row>
    <row r="181" spans="1:30" ht="15.75">
      <c r="A181" s="54" t="s">
        <v>1139</v>
      </c>
      <c r="B181" s="52">
        <f>VLOOKUP($A181,Table1[#This Row],COLUMN(B180), FALSE)</f>
        <v>42227</v>
      </c>
      <c r="C181" s="52">
        <f>VLOOKUP($A181,Table1[#This Row],COLUMN(C180), FALSE)</f>
        <v>42230</v>
      </c>
      <c r="D181" t="str">
        <f>VLOOKUP($A181,Table1[#This Row],COLUMN(D180), FALSE)</f>
        <v>Maria Etezadi</v>
      </c>
      <c r="E181" t="str">
        <f>VLOOKUP($A181,Table1[#This Row],COLUMN(E180), FALSE)</f>
        <v>United Kingdom</v>
      </c>
      <c r="F181" t="str">
        <f>VLOOKUP($A181,Table1[#This Row],COLUMN(F180), FALSE)</f>
        <v>Northern Europe</v>
      </c>
      <c r="G181" t="str">
        <f>VLOOKUP($A181,Table1[#This Row],COLUMN(G180), FALSE)</f>
        <v>Furniture</v>
      </c>
      <c r="H181" t="str">
        <f>VLOOKUP($A181,Table1[#This Row],COLUMN(H180), FALSE)</f>
        <v>Appliances</v>
      </c>
      <c r="I181" t="str">
        <f>VLOOKUP($A181,Table1[#This Row],COLUMN(I180), FALSE)</f>
        <v>missing</v>
      </c>
      <c r="J181">
        <f>VLOOKUP($A181,Table1[#This Row],COLUMN(J180), FALSE)</f>
        <v>2</v>
      </c>
      <c r="K181">
        <f>VLOOKUP($A181,Table1[#This Row],COLUMN(K180), FALSE)</f>
        <v>0</v>
      </c>
      <c r="L181">
        <f>VLOOKUP($A181,Table1[#This Row],COLUMN(L180), FALSE)</f>
        <v>274.08</v>
      </c>
      <c r="M181" t="str">
        <f>VLOOKUP($A181,Table1[#This Row],COLUMN(M180), FALSE)</f>
        <v>Critical</v>
      </c>
      <c r="N181" t="str">
        <f>VLOOKUP($A181,Table1[#This Row],COLUMN(N180), FALSE)</f>
        <v>Normal Order</v>
      </c>
      <c r="O181" t="str">
        <f>VLOOKUP($A181,Table1[#This Row],COLUMN(O180), FALSE)</f>
        <v>Maria Etezadi</v>
      </c>
      <c r="P181" t="str">
        <f>VLOOKUP($A181,Table1[#This Row],COLUMN(P180), FALSE)</f>
        <v>ES</v>
      </c>
      <c r="Q181" t="str">
        <f>VLOOKUP($A181,Table1[#This Row],COLUMN(Q180), FALSE)</f>
        <v>2015</v>
      </c>
      <c r="R181" t="str">
        <f>VLOOKUP($A181,Table1[#This Row],COLUMN(R180), FALSE)</f>
        <v>CRITICAL</v>
      </c>
      <c r="S181" t="str">
        <f>VLOOKUP($A181,Table1[#This Row],COLUMN(S180), FALSE)</f>
        <v>furniture</v>
      </c>
      <c r="T181" t="str">
        <f>VLOOKUP($A181,Table1[#This Row],COLUMN(T180), FALSE)</f>
        <v>42227</v>
      </c>
      <c r="U181" t="str">
        <f>VLOOKUP($A181,Table1[#This Row],COLUMN(U180), FALSE)</f>
        <v>ME17320139</v>
      </c>
      <c r="V181" t="str">
        <f>VLOOKUP($A181,Table1[#This Row],COLUMN(V180), FALSE)</f>
        <v>ES</v>
      </c>
      <c r="W181">
        <f>VLOOKUP($A181,Table1[#This Row],COLUMN(W180), FALSE)</f>
        <v>2015</v>
      </c>
      <c r="X181" t="str">
        <f>VLOOKUP($A181,Table1[#This Row],COLUMN(X180), FALSE)</f>
        <v>ME17320139</v>
      </c>
      <c r="Y181">
        <f>VLOOKUP($A181,Table1[#This Row],COLUMN(Y180), FALSE)</f>
        <v>42227</v>
      </c>
      <c r="Z181" t="str">
        <f>VLOOKUP($A181,Table1[#This Row],COLUMN(Z180), FALSE)</f>
        <v>ES-2015-ME17320139-42227</v>
      </c>
      <c r="AA181">
        <f>VLOOKUP($A181,Table1[#This Row],COLUMN(AA180), FALSE)</f>
        <v>2015</v>
      </c>
      <c r="AB181">
        <f>VLOOKUP($A181,Table1[#This Row],COLUMN(AB180), FALSE)</f>
        <v>8</v>
      </c>
      <c r="AC181">
        <f>VLOOKUP($A181,Table1[#This Row],COLUMN(AC180), FALSE)</f>
        <v>3</v>
      </c>
      <c r="AD181">
        <f>VLOOKUP($A181,Table1[#This Row],COLUMN(AD180), FALSE)</f>
        <v>3</v>
      </c>
    </row>
    <row r="182" spans="1:30" ht="15.75">
      <c r="A182" s="53" t="s">
        <v>1162</v>
      </c>
      <c r="B182" s="52">
        <f>VLOOKUP($A182,Table1[#This Row],COLUMN(B181), FALSE)</f>
        <v>41416</v>
      </c>
      <c r="C182" s="52">
        <f>VLOOKUP($A182,Table1[#This Row],COLUMN(C181), FALSE)</f>
        <v>41419</v>
      </c>
      <c r="D182" t="str">
        <f>VLOOKUP($A182,Table1[#This Row],COLUMN(D181), FALSE)</f>
        <v>Pauline Chand</v>
      </c>
      <c r="E182" t="str">
        <f>VLOOKUP($A182,Table1[#This Row],COLUMN(E181), FALSE)</f>
        <v>Malaysia</v>
      </c>
      <c r="F182" t="str">
        <f>VLOOKUP($A182,Table1[#This Row],COLUMN(F181), FALSE)</f>
        <v>Southeastern Asia</v>
      </c>
      <c r="G182" t="str">
        <f>VLOOKUP($A182,Table1[#This Row],COLUMN(G181), FALSE)</f>
        <v>Technology</v>
      </c>
      <c r="H182" t="str">
        <f>VLOOKUP($A182,Table1[#This Row],COLUMN(H181), FALSE)</f>
        <v>Bookcases</v>
      </c>
      <c r="I182">
        <f>VLOOKUP($A182,Table1[#This Row],COLUMN(I181), FALSE)</f>
        <v>1031.3999999999901</v>
      </c>
      <c r="J182">
        <f>VLOOKUP($A182,Table1[#This Row],COLUMN(J181), FALSE)</f>
        <v>4</v>
      </c>
      <c r="K182">
        <f>VLOOKUP($A182,Table1[#This Row],COLUMN(K181), FALSE)</f>
        <v>0</v>
      </c>
      <c r="L182">
        <f>VLOOKUP($A182,Table1[#This Row],COLUMN(L181), FALSE)</f>
        <v>1773.8879586580799</v>
      </c>
      <c r="M182" t="str">
        <f>VLOOKUP($A182,Table1[#This Row],COLUMN(M181), FALSE)</f>
        <v>High</v>
      </c>
      <c r="N182" t="str">
        <f>VLOOKUP($A182,Table1[#This Row],COLUMN(N181), FALSE)</f>
        <v>Normal Order</v>
      </c>
      <c r="O182" t="str">
        <f>VLOOKUP($A182,Table1[#This Row],COLUMN(O181), FALSE)</f>
        <v>Pauline Chand</v>
      </c>
      <c r="P182" t="str">
        <f>VLOOKUP($A182,Table1[#This Row],COLUMN(P181), FALSE)</f>
        <v>IN</v>
      </c>
      <c r="Q182" t="str">
        <f>VLOOKUP($A182,Table1[#This Row],COLUMN(Q181), FALSE)</f>
        <v>2013</v>
      </c>
      <c r="R182" t="str">
        <f>VLOOKUP($A182,Table1[#This Row],COLUMN(R181), FALSE)</f>
        <v>HIGH</v>
      </c>
      <c r="S182" t="str">
        <f>VLOOKUP($A182,Table1[#This Row],COLUMN(S181), FALSE)</f>
        <v>technology</v>
      </c>
      <c r="T182" t="str">
        <f>VLOOKUP($A182,Table1[#This Row],COLUMN(T181), FALSE)</f>
        <v>41416</v>
      </c>
      <c r="U182" t="str">
        <f>VLOOKUP($A182,Table1[#This Row],COLUMN(U181), FALSE)</f>
        <v>PC1900078</v>
      </c>
      <c r="V182" t="str">
        <f>VLOOKUP($A182,Table1[#This Row],COLUMN(V181), FALSE)</f>
        <v>IN</v>
      </c>
      <c r="W182">
        <f>VLOOKUP($A182,Table1[#This Row],COLUMN(W181), FALSE)</f>
        <v>2013</v>
      </c>
      <c r="X182" t="str">
        <f>VLOOKUP($A182,Table1[#This Row],COLUMN(X181), FALSE)</f>
        <v>PC1900078</v>
      </c>
      <c r="Y182">
        <f>VLOOKUP($A182,Table1[#This Row],COLUMN(Y181), FALSE)</f>
        <v>41416</v>
      </c>
      <c r="Z182" t="str">
        <f>VLOOKUP($A182,Table1[#This Row],COLUMN(Z181), FALSE)</f>
        <v>IN-2013-PC1900078-41416</v>
      </c>
      <c r="AA182">
        <f>VLOOKUP($A182,Table1[#This Row],COLUMN(AA181), FALSE)</f>
        <v>2013</v>
      </c>
      <c r="AB182">
        <f>VLOOKUP($A182,Table1[#This Row],COLUMN(AB181), FALSE)</f>
        <v>5</v>
      </c>
      <c r="AC182">
        <f>VLOOKUP($A182,Table1[#This Row],COLUMN(AC181), FALSE)</f>
        <v>4</v>
      </c>
      <c r="AD182">
        <f>VLOOKUP($A182,Table1[#This Row],COLUMN(AD181), FALSE)</f>
        <v>3</v>
      </c>
    </row>
    <row r="183" spans="1:30" ht="15.75">
      <c r="A183" s="54" t="s">
        <v>1165</v>
      </c>
      <c r="B183" s="52">
        <f>VLOOKUP($A183,Table1[#This Row],COLUMN(B182), FALSE)</f>
        <v>42228</v>
      </c>
      <c r="C183" s="52">
        <f>VLOOKUP($A183,Table1[#This Row],COLUMN(C182), FALSE)</f>
        <v>42231</v>
      </c>
      <c r="D183" t="str">
        <f>VLOOKUP($A183,Table1[#This Row],COLUMN(D182), FALSE)</f>
        <v>Dennis Kane</v>
      </c>
      <c r="E183" t="str">
        <f>VLOOKUP($A183,Table1[#This Row],COLUMN(E182), FALSE)</f>
        <v>Democratic Republic of the Congo</v>
      </c>
      <c r="F183" t="str">
        <f>VLOOKUP($A183,Table1[#This Row],COLUMN(F182), FALSE)</f>
        <v>Central Africa</v>
      </c>
      <c r="G183" t="str">
        <f>VLOOKUP($A183,Table1[#This Row],COLUMN(G182), FALSE)</f>
        <v>Technology</v>
      </c>
      <c r="H183" t="str">
        <f>VLOOKUP($A183,Table1[#This Row],COLUMN(H182), FALSE)</f>
        <v>Accessories</v>
      </c>
      <c r="I183">
        <f>VLOOKUP($A183,Table1[#This Row],COLUMN(I182), FALSE)</f>
        <v>1018.32</v>
      </c>
      <c r="J183">
        <f>VLOOKUP($A183,Table1[#This Row],COLUMN(J182), FALSE)</f>
        <v>4</v>
      </c>
      <c r="K183">
        <f>VLOOKUP($A183,Table1[#This Row],COLUMN(K182), FALSE)</f>
        <v>0</v>
      </c>
      <c r="L183">
        <f>VLOOKUP($A183,Table1[#This Row],COLUMN(L182), FALSE)</f>
        <v>183.24</v>
      </c>
      <c r="M183" t="str">
        <f>VLOOKUP($A183,Table1[#This Row],COLUMN(M182), FALSE)</f>
        <v>Critical</v>
      </c>
      <c r="N183" t="str">
        <f>VLOOKUP($A183,Table1[#This Row],COLUMN(N182), FALSE)</f>
        <v>Normal Order</v>
      </c>
      <c r="O183" t="str">
        <f>VLOOKUP($A183,Table1[#This Row],COLUMN(O182), FALSE)</f>
        <v>Dennis Kane</v>
      </c>
      <c r="P183" t="str">
        <f>VLOOKUP($A183,Table1[#This Row],COLUMN(P182), FALSE)</f>
        <v>CG</v>
      </c>
      <c r="Q183" t="str">
        <f>VLOOKUP($A183,Table1[#This Row],COLUMN(Q182), FALSE)</f>
        <v>2015</v>
      </c>
      <c r="R183" t="str">
        <f>VLOOKUP($A183,Table1[#This Row],COLUMN(R182), FALSE)</f>
        <v>CRITICAL</v>
      </c>
      <c r="S183" t="str">
        <f>VLOOKUP($A183,Table1[#This Row],COLUMN(S182), FALSE)</f>
        <v>technology</v>
      </c>
      <c r="T183" t="str">
        <f>VLOOKUP($A183,Table1[#This Row],COLUMN(T182), FALSE)</f>
        <v>42228</v>
      </c>
      <c r="U183" t="str">
        <f>VLOOKUP($A183,Table1[#This Row],COLUMN(U182), FALSE)</f>
        <v>DK337533</v>
      </c>
      <c r="V183" t="str">
        <f>VLOOKUP($A183,Table1[#This Row],COLUMN(V182), FALSE)</f>
        <v>CG</v>
      </c>
      <c r="W183">
        <f>VLOOKUP($A183,Table1[#This Row],COLUMN(W182), FALSE)</f>
        <v>2015</v>
      </c>
      <c r="X183" t="str">
        <f>VLOOKUP($A183,Table1[#This Row],COLUMN(X182), FALSE)</f>
        <v>DK337533</v>
      </c>
      <c r="Y183">
        <f>VLOOKUP($A183,Table1[#This Row],COLUMN(Y182), FALSE)</f>
        <v>42228</v>
      </c>
      <c r="Z183" t="str">
        <f>VLOOKUP($A183,Table1[#This Row],COLUMN(Z182), FALSE)</f>
        <v>CG-2015-DK337533-42228</v>
      </c>
      <c r="AA183">
        <f>VLOOKUP($A183,Table1[#This Row],COLUMN(AA182), FALSE)</f>
        <v>2015</v>
      </c>
      <c r="AB183">
        <f>VLOOKUP($A183,Table1[#This Row],COLUMN(AB182), FALSE)</f>
        <v>8</v>
      </c>
      <c r="AC183">
        <f>VLOOKUP($A183,Table1[#This Row],COLUMN(AC182), FALSE)</f>
        <v>4</v>
      </c>
      <c r="AD183">
        <f>VLOOKUP($A183,Table1[#This Row],COLUMN(AD182), FALSE)</f>
        <v>3</v>
      </c>
    </row>
    <row r="184" spans="1:30" ht="15.75">
      <c r="A184" s="53" t="s">
        <v>1168</v>
      </c>
      <c r="B184" s="52">
        <f>VLOOKUP($A184,Table1[#This Row],COLUMN(B183), FALSE)</f>
        <v>42367</v>
      </c>
      <c r="C184" s="52">
        <f>VLOOKUP($A184,Table1[#This Row],COLUMN(C183), FALSE)</f>
        <v>42369</v>
      </c>
      <c r="D184" t="str">
        <f>VLOOKUP($A184,Table1[#This Row],COLUMN(D183), FALSE)</f>
        <v>Adam Hart</v>
      </c>
      <c r="E184" t="str">
        <f>VLOOKUP($A184,Table1[#This Row],COLUMN(E183), FALSE)</f>
        <v>Australia</v>
      </c>
      <c r="F184" t="str">
        <f>VLOOKUP($A184,Table1[#This Row],COLUMN(F183), FALSE)</f>
        <v>Oceania</v>
      </c>
      <c r="G184" t="str">
        <f>VLOOKUP($A184,Table1[#This Row],COLUMN(G183), FALSE)</f>
        <v>Office Supplies</v>
      </c>
      <c r="H184" t="str">
        <f>VLOOKUP($A184,Table1[#This Row],COLUMN(H183), FALSE)</f>
        <v>Supplies</v>
      </c>
      <c r="I184">
        <f>VLOOKUP($A184,Table1[#This Row],COLUMN(I183), FALSE)</f>
        <v>1534.8689999999999</v>
      </c>
      <c r="J184">
        <f>VLOOKUP($A184,Table1[#This Row],COLUMN(J183), FALSE)</f>
        <v>3</v>
      </c>
      <c r="K184">
        <f>VLOOKUP($A184,Table1[#This Row],COLUMN(K183), FALSE)</f>
        <v>0.1</v>
      </c>
      <c r="L184">
        <f>VLOOKUP($A184,Table1[#This Row],COLUMN(L183), FALSE)</f>
        <v>-102.411</v>
      </c>
      <c r="M184" t="str">
        <f>VLOOKUP($A184,Table1[#This Row],COLUMN(M183), FALSE)</f>
        <v>Meduim</v>
      </c>
      <c r="N184" t="str">
        <f>VLOOKUP($A184,Table1[#This Row],COLUMN(N183), FALSE)</f>
        <v>Normal Order</v>
      </c>
      <c r="O184" t="str">
        <f>VLOOKUP($A184,Table1[#This Row],COLUMN(O183), FALSE)</f>
        <v>Adam Hart</v>
      </c>
      <c r="P184" t="str">
        <f>VLOOKUP($A184,Table1[#This Row],COLUMN(P183), FALSE)</f>
        <v xml:space="preserve"> I</v>
      </c>
      <c r="Q184" t="str">
        <f>VLOOKUP($A184,Table1[#This Row],COLUMN(Q183), FALSE)</f>
        <v>-201</v>
      </c>
      <c r="R184" t="str">
        <f>VLOOKUP($A184,Table1[#This Row],COLUMN(R183), FALSE)</f>
        <v>MEDUIM</v>
      </c>
      <c r="S184" t="str">
        <f>VLOOKUP($A184,Table1[#This Row],COLUMN(S183), FALSE)</f>
        <v>office supplies</v>
      </c>
      <c r="T184" t="str">
        <f>VLOOKUP($A184,Table1[#This Row],COLUMN(T183), FALSE)</f>
        <v xml:space="preserve">2367 </v>
      </c>
      <c r="U184" t="str">
        <f>VLOOKUP($A184,Table1[#This Row],COLUMN(U183), FALSE)</f>
        <v>AH100757</v>
      </c>
      <c r="V184" t="str">
        <f>VLOOKUP($A184,Table1[#This Row],COLUMN(V183), FALSE)</f>
        <v xml:space="preserve"> ID</v>
      </c>
      <c r="W184">
        <f>VLOOKUP($A184,Table1[#This Row],COLUMN(W183), FALSE)</f>
        <v>2015</v>
      </c>
      <c r="X184" t="str">
        <f>VLOOKUP($A184,Table1[#This Row],COLUMN(X183), FALSE)</f>
        <v>AH100757</v>
      </c>
      <c r="Y184">
        <f>VLOOKUP($A184,Table1[#This Row],COLUMN(Y183), FALSE)</f>
        <v>42367</v>
      </c>
      <c r="Z184" t="str">
        <f>VLOOKUP($A184,Table1[#This Row],COLUMN(Z183), FALSE)</f>
        <v>ID-2015-AH100757-42367</v>
      </c>
      <c r="AA184">
        <f>VLOOKUP($A184,Table1[#This Row],COLUMN(AA183), FALSE)</f>
        <v>2015</v>
      </c>
      <c r="AB184">
        <f>VLOOKUP($A184,Table1[#This Row],COLUMN(AB183), FALSE)</f>
        <v>12</v>
      </c>
      <c r="AC184">
        <f>VLOOKUP($A184,Table1[#This Row],COLUMN(AC183), FALSE)</f>
        <v>3</v>
      </c>
      <c r="AD184">
        <f>VLOOKUP($A184,Table1[#This Row],COLUMN(AD183), FALSE)</f>
        <v>2</v>
      </c>
    </row>
    <row r="185" spans="1:30" ht="15.75">
      <c r="A185" s="54" t="s">
        <v>1180</v>
      </c>
      <c r="B185" s="52">
        <f>VLOOKUP($A185,Table1[#This Row],COLUMN(B184), FALSE)</f>
        <v>41006</v>
      </c>
      <c r="C185" s="52">
        <f>VLOOKUP($A185,Table1[#This Row],COLUMN(C184), FALSE)</f>
        <v>41011</v>
      </c>
      <c r="D185" t="str">
        <f>VLOOKUP($A185,Table1[#This Row],COLUMN(D184), FALSE)</f>
        <v>Vivek Sundaresam</v>
      </c>
      <c r="E185" t="str">
        <f>VLOOKUP($A185,Table1[#This Row],COLUMN(E184), FALSE)</f>
        <v>Australia</v>
      </c>
      <c r="F185" t="str">
        <f>VLOOKUP($A185,Table1[#This Row],COLUMN(F184), FALSE)</f>
        <v>Oceania</v>
      </c>
      <c r="G185" t="str">
        <f>VLOOKUP($A185,Table1[#This Row],COLUMN(G184), FALSE)</f>
        <v>Office Supplies</v>
      </c>
      <c r="H185" t="str">
        <f>VLOOKUP($A185,Table1[#This Row],COLUMN(H184), FALSE)</f>
        <v>Machines</v>
      </c>
      <c r="I185">
        <f>VLOOKUP($A185,Table1[#This Row],COLUMN(I184), FALSE)</f>
        <v>1894.5360000000001</v>
      </c>
      <c r="J185">
        <f>VLOOKUP($A185,Table1[#This Row],COLUMN(J184), FALSE)</f>
        <v>4</v>
      </c>
      <c r="K185">
        <f>VLOOKUP($A185,Table1[#This Row],COLUMN(K184), FALSE)</f>
        <v>0.1</v>
      </c>
      <c r="L185">
        <f>VLOOKUP($A185,Table1[#This Row],COLUMN(L184), FALSE)</f>
        <v>505.17599999999999</v>
      </c>
      <c r="M185" t="str">
        <f>VLOOKUP($A185,Table1[#This Row],COLUMN(M184), FALSE)</f>
        <v>High</v>
      </c>
      <c r="N185" t="str">
        <f>VLOOKUP($A185,Table1[#This Row],COLUMN(N184), FALSE)</f>
        <v>Normal Order</v>
      </c>
      <c r="O185" t="str">
        <f>VLOOKUP($A185,Table1[#This Row],COLUMN(O184), FALSE)</f>
        <v>Vivek Sundaresam</v>
      </c>
      <c r="P185" t="str">
        <f>VLOOKUP($A185,Table1[#This Row],COLUMN(P184), FALSE)</f>
        <v>IN</v>
      </c>
      <c r="Q185" t="str">
        <f>VLOOKUP($A185,Table1[#This Row],COLUMN(Q184), FALSE)</f>
        <v>2012</v>
      </c>
      <c r="R185" t="str">
        <f>VLOOKUP($A185,Table1[#This Row],COLUMN(R184), FALSE)</f>
        <v>HIGH</v>
      </c>
      <c r="S185" t="str">
        <f>VLOOKUP($A185,Table1[#This Row],COLUMN(S184), FALSE)</f>
        <v>office supplies</v>
      </c>
      <c r="T185" t="str">
        <f>VLOOKUP($A185,Table1[#This Row],COLUMN(T184), FALSE)</f>
        <v>41006</v>
      </c>
      <c r="U185" t="str">
        <f>VLOOKUP($A185,Table1[#This Row],COLUMN(U184), FALSE)</f>
        <v>VS218207</v>
      </c>
      <c r="V185" t="str">
        <f>VLOOKUP($A185,Table1[#This Row],COLUMN(V184), FALSE)</f>
        <v>IN</v>
      </c>
      <c r="W185">
        <f>VLOOKUP($A185,Table1[#This Row],COLUMN(W184), FALSE)</f>
        <v>2012</v>
      </c>
      <c r="X185" t="str">
        <f>VLOOKUP($A185,Table1[#This Row],COLUMN(X184), FALSE)</f>
        <v>VS218207</v>
      </c>
      <c r="Y185">
        <f>VLOOKUP($A185,Table1[#This Row],COLUMN(Y184), FALSE)</f>
        <v>41006</v>
      </c>
      <c r="Z185" t="str">
        <f>VLOOKUP($A185,Table1[#This Row],COLUMN(Z184), FALSE)</f>
        <v>IN-2012-VS218207-41006</v>
      </c>
      <c r="AA185">
        <f>VLOOKUP($A185,Table1[#This Row],COLUMN(AA184), FALSE)</f>
        <v>2012</v>
      </c>
      <c r="AB185">
        <f>VLOOKUP($A185,Table1[#This Row],COLUMN(AB184), FALSE)</f>
        <v>4</v>
      </c>
      <c r="AC185">
        <f>VLOOKUP($A185,Table1[#This Row],COLUMN(AC184), FALSE)</f>
        <v>7</v>
      </c>
      <c r="AD185">
        <f>VLOOKUP($A185,Table1[#This Row],COLUMN(AD184), FALSE)</f>
        <v>5</v>
      </c>
    </row>
    <row r="186" spans="1:30" ht="15.75">
      <c r="A186" s="53" t="s">
        <v>1185</v>
      </c>
      <c r="B186" s="52">
        <f>VLOOKUP($A186,Table1[#This Row],COLUMN(B185), FALSE)</f>
        <v>41597</v>
      </c>
      <c r="C186" s="52">
        <f>VLOOKUP($A186,Table1[#This Row],COLUMN(C185), FALSE)</f>
        <v>41601</v>
      </c>
      <c r="D186" t="str">
        <f>VLOOKUP($A186,Table1[#This Row],COLUMN(D185), FALSE)</f>
        <v>Jim Radford</v>
      </c>
      <c r="E186" t="str">
        <f>VLOOKUP($A186,Table1[#This Row],COLUMN(E185), FALSE)</f>
        <v>China</v>
      </c>
      <c r="F186" t="str">
        <f>VLOOKUP($A186,Table1[#This Row],COLUMN(F185), FALSE)</f>
        <v>Eastern Asia</v>
      </c>
      <c r="G186" t="str">
        <f>VLOOKUP($A186,Table1[#This Row],COLUMN(G185), FALSE)</f>
        <v>Technology</v>
      </c>
      <c r="H186" t="str">
        <f>VLOOKUP($A186,Table1[#This Row],COLUMN(H185), FALSE)</f>
        <v>Storage</v>
      </c>
      <c r="I186">
        <f>VLOOKUP($A186,Table1[#This Row],COLUMN(I185), FALSE)</f>
        <v>1317.8999999999901</v>
      </c>
      <c r="J186">
        <f>VLOOKUP($A186,Table1[#This Row],COLUMN(J185), FALSE)</f>
        <v>5</v>
      </c>
      <c r="K186">
        <f>VLOOKUP($A186,Table1[#This Row],COLUMN(K185), FALSE)</f>
        <v>0</v>
      </c>
      <c r="L186">
        <f>VLOOKUP($A186,Table1[#This Row],COLUMN(L185), FALSE)</f>
        <v>0</v>
      </c>
      <c r="M186" t="str">
        <f>VLOOKUP($A186,Table1[#This Row],COLUMN(M185), FALSE)</f>
        <v>High</v>
      </c>
      <c r="N186" t="str">
        <f>VLOOKUP($A186,Table1[#This Row],COLUMN(N185), FALSE)</f>
        <v>Normal Order</v>
      </c>
      <c r="O186" t="str">
        <f>VLOOKUP($A186,Table1[#This Row],COLUMN(O185), FALSE)</f>
        <v>Jim Radford</v>
      </c>
      <c r="P186" t="str">
        <f>VLOOKUP($A186,Table1[#This Row],COLUMN(P185), FALSE)</f>
        <v>IN</v>
      </c>
      <c r="Q186" t="str">
        <f>VLOOKUP($A186,Table1[#This Row],COLUMN(Q185), FALSE)</f>
        <v>2013</v>
      </c>
      <c r="R186" t="str">
        <f>VLOOKUP($A186,Table1[#This Row],COLUMN(R185), FALSE)</f>
        <v>HIGH</v>
      </c>
      <c r="S186" t="str">
        <f>VLOOKUP($A186,Table1[#This Row],COLUMN(S185), FALSE)</f>
        <v>technology</v>
      </c>
      <c r="T186" t="str">
        <f>VLOOKUP($A186,Table1[#This Row],COLUMN(T185), FALSE)</f>
        <v>41597</v>
      </c>
      <c r="U186" t="str">
        <f>VLOOKUP($A186,Table1[#This Row],COLUMN(U185), FALSE)</f>
        <v>JR1567027</v>
      </c>
      <c r="V186" t="str">
        <f>VLOOKUP($A186,Table1[#This Row],COLUMN(V185), FALSE)</f>
        <v>IN</v>
      </c>
      <c r="W186">
        <f>VLOOKUP($A186,Table1[#This Row],COLUMN(W185), FALSE)</f>
        <v>2013</v>
      </c>
      <c r="X186" t="str">
        <f>VLOOKUP($A186,Table1[#This Row],COLUMN(X185), FALSE)</f>
        <v>JR1567027</v>
      </c>
      <c r="Y186">
        <f>VLOOKUP($A186,Table1[#This Row],COLUMN(Y185), FALSE)</f>
        <v>41597</v>
      </c>
      <c r="Z186" t="str">
        <f>VLOOKUP($A186,Table1[#This Row],COLUMN(Z185), FALSE)</f>
        <v>IN-2013-JR1567027-41597</v>
      </c>
      <c r="AA186">
        <f>VLOOKUP($A186,Table1[#This Row],COLUMN(AA185), FALSE)</f>
        <v>2013</v>
      </c>
      <c r="AB186">
        <f>VLOOKUP($A186,Table1[#This Row],COLUMN(AB185), FALSE)</f>
        <v>11</v>
      </c>
      <c r="AC186">
        <f>VLOOKUP($A186,Table1[#This Row],COLUMN(AC185), FALSE)</f>
        <v>3</v>
      </c>
      <c r="AD186">
        <f>VLOOKUP($A186,Table1[#This Row],COLUMN(AD185), FALSE)</f>
        <v>4</v>
      </c>
    </row>
    <row r="187" spans="1:30" ht="15.75">
      <c r="A187" s="54" t="s">
        <v>1181</v>
      </c>
      <c r="B187" s="52">
        <f>VLOOKUP($A187,Table1[#This Row],COLUMN(B186), FALSE)</f>
        <v>42328</v>
      </c>
      <c r="C187" s="52">
        <f>VLOOKUP($A187,Table1[#This Row],COLUMN(C186), FALSE)</f>
        <v>42331</v>
      </c>
      <c r="D187" t="str">
        <f>VLOOKUP($A187,Table1[#This Row],COLUMN(D186), FALSE)</f>
        <v>Adrian Shami</v>
      </c>
      <c r="E187" t="str">
        <f>VLOOKUP($A187,Table1[#This Row],COLUMN(E186), FALSE)</f>
        <v>United States</v>
      </c>
      <c r="F187" t="str">
        <f>VLOOKUP($A187,Table1[#This Row],COLUMN(F186), FALSE)</f>
        <v>Eastern US</v>
      </c>
      <c r="G187" t="str">
        <f>VLOOKUP($A187,Table1[#This Row],COLUMN(G186), FALSE)</f>
        <v>Office Supplies</v>
      </c>
      <c r="H187" t="str">
        <f>VLOOKUP($A187,Table1[#This Row],COLUMN(H186), FALSE)</f>
        <v>Copiers</v>
      </c>
      <c r="I187">
        <f>VLOOKUP($A187,Table1[#This Row],COLUMN(I186), FALSE)</f>
        <v>13.36</v>
      </c>
      <c r="J187">
        <f>VLOOKUP($A187,Table1[#This Row],COLUMN(J186), FALSE)</f>
        <v>2</v>
      </c>
      <c r="K187">
        <f>VLOOKUP($A187,Table1[#This Row],COLUMN(K186), FALSE)</f>
        <v>0</v>
      </c>
      <c r="L187">
        <f>VLOOKUP($A187,Table1[#This Row],COLUMN(L186), FALSE)</f>
        <v>6.4127999999999998</v>
      </c>
      <c r="M187" t="str">
        <f>VLOOKUP($A187,Table1[#This Row],COLUMN(M186), FALSE)</f>
        <v>Medium</v>
      </c>
      <c r="N187" t="str">
        <f>VLOOKUP($A187,Table1[#This Row],COLUMN(N186), FALSE)</f>
        <v>Normal Order</v>
      </c>
      <c r="O187" t="str">
        <f>VLOOKUP($A187,Table1[#This Row],COLUMN(O186), FALSE)</f>
        <v>Adrian Shami</v>
      </c>
      <c r="P187" t="str">
        <f>VLOOKUP($A187,Table1[#This Row],COLUMN(P186), FALSE)</f>
        <v>CA</v>
      </c>
      <c r="Q187" t="str">
        <f>VLOOKUP($A187,Table1[#This Row],COLUMN(Q186), FALSE)</f>
        <v>2015</v>
      </c>
      <c r="R187" t="str">
        <f>VLOOKUP($A187,Table1[#This Row],COLUMN(R186), FALSE)</f>
        <v>MEDIUM</v>
      </c>
      <c r="S187" t="str">
        <f>VLOOKUP($A187,Table1[#This Row],COLUMN(S186), FALSE)</f>
        <v>office supplies</v>
      </c>
      <c r="T187" t="str">
        <f>VLOOKUP($A187,Table1[#This Row],COLUMN(T186), FALSE)</f>
        <v>42328</v>
      </c>
      <c r="U187" t="str">
        <f>VLOOKUP($A187,Table1[#This Row],COLUMN(U186), FALSE)</f>
        <v>AS10135140</v>
      </c>
      <c r="V187" t="str">
        <f>VLOOKUP($A187,Table1[#This Row],COLUMN(V186), FALSE)</f>
        <v>CA</v>
      </c>
      <c r="W187">
        <f>VLOOKUP($A187,Table1[#This Row],COLUMN(W186), FALSE)</f>
        <v>2015</v>
      </c>
      <c r="X187" t="str">
        <f>VLOOKUP($A187,Table1[#This Row],COLUMN(X186), FALSE)</f>
        <v>AS10135140</v>
      </c>
      <c r="Y187">
        <f>VLOOKUP($A187,Table1[#This Row],COLUMN(Y186), FALSE)</f>
        <v>42328</v>
      </c>
      <c r="Z187" t="str">
        <f>VLOOKUP($A187,Table1[#This Row],COLUMN(Z186), FALSE)</f>
        <v>CA-2015-AS10135140-42328</v>
      </c>
      <c r="AA187">
        <f>VLOOKUP($A187,Table1[#This Row],COLUMN(AA186), FALSE)</f>
        <v>2015</v>
      </c>
      <c r="AB187">
        <f>VLOOKUP($A187,Table1[#This Row],COLUMN(AB186), FALSE)</f>
        <v>11</v>
      </c>
      <c r="AC187">
        <f>VLOOKUP($A187,Table1[#This Row],COLUMN(AC186), FALSE)</f>
        <v>6</v>
      </c>
      <c r="AD187">
        <f>VLOOKUP($A187,Table1[#This Row],COLUMN(AD186), FALSE)</f>
        <v>3</v>
      </c>
    </row>
    <row r="188" spans="1:30" ht="15.75">
      <c r="A188" s="53" t="s">
        <v>1187</v>
      </c>
      <c r="B188" s="52">
        <f>VLOOKUP($A188,Table1[#This Row],COLUMN(B187), FALSE)</f>
        <v>41962</v>
      </c>
      <c r="C188" s="52">
        <f>VLOOKUP($A188,Table1[#This Row],COLUMN(C187), FALSE)</f>
        <v>41967</v>
      </c>
      <c r="D188" t="str">
        <f>VLOOKUP($A188,Table1[#This Row],COLUMN(D187), FALSE)</f>
        <v>Eric Barreto</v>
      </c>
      <c r="E188" t="str">
        <f>VLOOKUP($A188,Table1[#This Row],COLUMN(E187), FALSE)</f>
        <v>United Kingdom</v>
      </c>
      <c r="F188" t="str">
        <f>VLOOKUP($A188,Table1[#This Row],COLUMN(F187), FALSE)</f>
        <v>Northern Europe</v>
      </c>
      <c r="G188" t="str">
        <f>VLOOKUP($A188,Table1[#This Row],COLUMN(G187), FALSE)</f>
        <v>Technology</v>
      </c>
      <c r="H188" t="str">
        <f>VLOOKUP($A188,Table1[#This Row],COLUMN(H187), FALSE)</f>
        <v>Machines</v>
      </c>
      <c r="I188">
        <f>VLOOKUP($A188,Table1[#This Row],COLUMN(I187), FALSE)</f>
        <v>1908.18</v>
      </c>
      <c r="J188">
        <f>VLOOKUP($A188,Table1[#This Row],COLUMN(J187), FALSE)</f>
        <v>3</v>
      </c>
      <c r="K188">
        <f>VLOOKUP($A188,Table1[#This Row],COLUMN(K187), FALSE)</f>
        <v>0</v>
      </c>
      <c r="L188">
        <f>VLOOKUP($A188,Table1[#This Row],COLUMN(L187), FALSE)</f>
        <v>820.44</v>
      </c>
      <c r="M188" t="str">
        <f>VLOOKUP($A188,Table1[#This Row],COLUMN(M187), FALSE)</f>
        <v>High</v>
      </c>
      <c r="N188" t="str">
        <f>VLOOKUP($A188,Table1[#This Row],COLUMN(N187), FALSE)</f>
        <v>Normal Order</v>
      </c>
      <c r="O188" t="str">
        <f>VLOOKUP($A188,Table1[#This Row],COLUMN(O187), FALSE)</f>
        <v>Eric Barreto</v>
      </c>
      <c r="P188" t="str">
        <f>VLOOKUP($A188,Table1[#This Row],COLUMN(P187), FALSE)</f>
        <v>ES</v>
      </c>
      <c r="Q188" t="str">
        <f>VLOOKUP($A188,Table1[#This Row],COLUMN(Q187), FALSE)</f>
        <v>2014</v>
      </c>
      <c r="R188" t="str">
        <f>VLOOKUP($A188,Table1[#This Row],COLUMN(R187), FALSE)</f>
        <v>HIGH</v>
      </c>
      <c r="S188" t="str">
        <f>VLOOKUP($A188,Table1[#This Row],COLUMN(S187), FALSE)</f>
        <v>technology</v>
      </c>
      <c r="T188" t="str">
        <f>VLOOKUP($A188,Table1[#This Row],COLUMN(T187), FALSE)</f>
        <v>41962</v>
      </c>
      <c r="U188" t="str">
        <f>VLOOKUP($A188,Table1[#This Row],COLUMN(U187), FALSE)</f>
        <v>EB13930139</v>
      </c>
      <c r="V188" t="str">
        <f>VLOOKUP($A188,Table1[#This Row],COLUMN(V187), FALSE)</f>
        <v>ES</v>
      </c>
      <c r="W188">
        <f>VLOOKUP($A188,Table1[#This Row],COLUMN(W187), FALSE)</f>
        <v>2014</v>
      </c>
      <c r="X188" t="str">
        <f>VLOOKUP($A188,Table1[#This Row],COLUMN(X187), FALSE)</f>
        <v>EB13930139</v>
      </c>
      <c r="Y188">
        <f>VLOOKUP($A188,Table1[#This Row],COLUMN(Y187), FALSE)</f>
        <v>41962</v>
      </c>
      <c r="Z188" t="str">
        <f>VLOOKUP($A188,Table1[#This Row],COLUMN(Z187), FALSE)</f>
        <v>ES-2014-EB13930139-41962</v>
      </c>
      <c r="AA188">
        <f>VLOOKUP($A188,Table1[#This Row],COLUMN(AA187), FALSE)</f>
        <v>2014</v>
      </c>
      <c r="AB188">
        <f>VLOOKUP($A188,Table1[#This Row],COLUMN(AB187), FALSE)</f>
        <v>11</v>
      </c>
      <c r="AC188">
        <f>VLOOKUP($A188,Table1[#This Row],COLUMN(AC187), FALSE)</f>
        <v>4</v>
      </c>
      <c r="AD188">
        <f>VLOOKUP($A188,Table1[#This Row],COLUMN(AD187), FALSE)</f>
        <v>5</v>
      </c>
    </row>
    <row r="189" spans="1:30" ht="15.75">
      <c r="A189" s="54" t="s">
        <v>1193</v>
      </c>
      <c r="B189" s="52">
        <f>VLOOKUP($A189,Table1[#This Row],COLUMN(B188), FALSE)</f>
        <v>41717</v>
      </c>
      <c r="C189" s="52">
        <f>VLOOKUP($A189,Table1[#This Row],COLUMN(C188), FALSE)</f>
        <v>41717</v>
      </c>
      <c r="D189" t="str">
        <f>VLOOKUP($A189,Table1[#This Row],COLUMN(D188), FALSE)</f>
        <v>Mark Van Huff</v>
      </c>
      <c r="E189" t="str">
        <f>VLOOKUP($A189,Table1[#This Row],COLUMN(E188), FALSE)</f>
        <v>France</v>
      </c>
      <c r="F189" t="str">
        <f>VLOOKUP($A189,Table1[#This Row],COLUMN(F188), FALSE)</f>
        <v>Western Europe</v>
      </c>
      <c r="G189" t="str">
        <f>VLOOKUP($A189,Table1[#This Row],COLUMN(G188), FALSE)</f>
        <v>Office Supplies</v>
      </c>
      <c r="H189" t="str">
        <f>VLOOKUP($A189,Table1[#This Row],COLUMN(H188), FALSE)</f>
        <v>Supplies</v>
      </c>
      <c r="I189">
        <f>VLOOKUP($A189,Table1[#This Row],COLUMN(I188), FALSE)</f>
        <v>748.11599999999999</v>
      </c>
      <c r="J189">
        <f>VLOOKUP($A189,Table1[#This Row],COLUMN(J188), FALSE)</f>
        <v>4</v>
      </c>
      <c r="K189">
        <f>VLOOKUP($A189,Table1[#This Row],COLUMN(K188), FALSE)</f>
        <v>0.1</v>
      </c>
      <c r="L189">
        <f>VLOOKUP($A189,Table1[#This Row],COLUMN(L188), FALSE)</f>
        <v>282.515999999999</v>
      </c>
      <c r="M189" t="str">
        <f>VLOOKUP($A189,Table1[#This Row],COLUMN(M188), FALSE)</f>
        <v>Critical</v>
      </c>
      <c r="N189" t="str">
        <f>VLOOKUP($A189,Table1[#This Row],COLUMN(N188), FALSE)</f>
        <v>Normal Order</v>
      </c>
      <c r="O189" t="str">
        <f>VLOOKUP($A189,Table1[#This Row],COLUMN(O188), FALSE)</f>
        <v>Mark Van Huff</v>
      </c>
      <c r="P189" t="str">
        <f>VLOOKUP($A189,Table1[#This Row],COLUMN(P188), FALSE)</f>
        <v>IT</v>
      </c>
      <c r="Q189" t="str">
        <f>VLOOKUP($A189,Table1[#This Row],COLUMN(Q188), FALSE)</f>
        <v>2014</v>
      </c>
      <c r="R189" t="str">
        <f>VLOOKUP($A189,Table1[#This Row],COLUMN(R188), FALSE)</f>
        <v>CRITICAL</v>
      </c>
      <c r="S189" t="str">
        <f>VLOOKUP($A189,Table1[#This Row],COLUMN(S188), FALSE)</f>
        <v>office supplies</v>
      </c>
      <c r="T189" t="str">
        <f>VLOOKUP($A189,Table1[#This Row],COLUMN(T188), FALSE)</f>
        <v>41717</v>
      </c>
      <c r="U189" t="str">
        <f>VLOOKUP($A189,Table1[#This Row],COLUMN(U188), FALSE)</f>
        <v>MV1748545</v>
      </c>
      <c r="V189" t="str">
        <f>VLOOKUP($A189,Table1[#This Row],COLUMN(V188), FALSE)</f>
        <v>IT</v>
      </c>
      <c r="W189">
        <f>VLOOKUP($A189,Table1[#This Row],COLUMN(W188), FALSE)</f>
        <v>2014</v>
      </c>
      <c r="X189" t="str">
        <f>VLOOKUP($A189,Table1[#This Row],COLUMN(X188), FALSE)</f>
        <v>MV1748545</v>
      </c>
      <c r="Y189">
        <f>VLOOKUP($A189,Table1[#This Row],COLUMN(Y188), FALSE)</f>
        <v>41717</v>
      </c>
      <c r="Z189" t="str">
        <f>VLOOKUP($A189,Table1[#This Row],COLUMN(Z188), FALSE)</f>
        <v>IT-2014-MV1748545-41717</v>
      </c>
      <c r="AA189">
        <f>VLOOKUP($A189,Table1[#This Row],COLUMN(AA188), FALSE)</f>
        <v>2014</v>
      </c>
      <c r="AB189">
        <f>VLOOKUP($A189,Table1[#This Row],COLUMN(AB188), FALSE)</f>
        <v>3</v>
      </c>
      <c r="AC189">
        <f>VLOOKUP($A189,Table1[#This Row],COLUMN(AC188), FALSE)</f>
        <v>4</v>
      </c>
      <c r="AD189">
        <f>VLOOKUP($A189,Table1[#This Row],COLUMN(AD188), FALSE)</f>
        <v>0</v>
      </c>
    </row>
    <row r="190" spans="1:30" ht="15.75">
      <c r="A190" s="53" t="s">
        <v>1200</v>
      </c>
      <c r="B190" s="52">
        <f>VLOOKUP($A190,Table1[#This Row],COLUMN(B189), FALSE)</f>
        <v>40972</v>
      </c>
      <c r="C190" s="52">
        <f>VLOOKUP($A190,Table1[#This Row],COLUMN(C189), FALSE)</f>
        <v>40975</v>
      </c>
      <c r="D190" t="str">
        <f>VLOOKUP($A190,Table1[#This Row],COLUMN(D189), FALSE)</f>
        <v>Aimee Bixby</v>
      </c>
      <c r="E190" t="str">
        <f>VLOOKUP($A190,Table1[#This Row],COLUMN(E189), FALSE)</f>
        <v>United States</v>
      </c>
      <c r="F190" t="str">
        <f>VLOOKUP($A190,Table1[#This Row],COLUMN(F189), FALSE)</f>
        <v>Eastern US</v>
      </c>
      <c r="G190" t="str">
        <f>VLOOKUP($A190,Table1[#This Row],COLUMN(G189), FALSE)</f>
        <v>Technology</v>
      </c>
      <c r="H190" t="str">
        <f>VLOOKUP($A190,Table1[#This Row],COLUMN(H189), FALSE)</f>
        <v>Bookcases</v>
      </c>
      <c r="I190">
        <f>VLOOKUP($A190,Table1[#This Row],COLUMN(I189), FALSE)</f>
        <v>479.97</v>
      </c>
      <c r="J190">
        <f>VLOOKUP($A190,Table1[#This Row],COLUMN(J189), FALSE)</f>
        <v>3</v>
      </c>
      <c r="K190">
        <f>VLOOKUP($A190,Table1[#This Row],COLUMN(K189), FALSE)</f>
        <v>0</v>
      </c>
      <c r="L190">
        <f>VLOOKUP($A190,Table1[#This Row],COLUMN(L189), FALSE)</f>
        <v>177.5889</v>
      </c>
      <c r="M190" t="str">
        <f>VLOOKUP($A190,Table1[#This Row],COLUMN(M189), FALSE)</f>
        <v>Medium</v>
      </c>
      <c r="N190" t="str">
        <f>VLOOKUP($A190,Table1[#This Row],COLUMN(N189), FALSE)</f>
        <v>Normal Order</v>
      </c>
      <c r="O190" t="str">
        <f>VLOOKUP($A190,Table1[#This Row],COLUMN(O189), FALSE)</f>
        <v>Aimee Bixby</v>
      </c>
      <c r="P190" t="str">
        <f>VLOOKUP($A190,Table1[#This Row],COLUMN(P189), FALSE)</f>
        <v>CA</v>
      </c>
      <c r="Q190" t="str">
        <f>VLOOKUP($A190,Table1[#This Row],COLUMN(Q189), FALSE)</f>
        <v>2012</v>
      </c>
      <c r="R190" t="str">
        <f>VLOOKUP($A190,Table1[#This Row],COLUMN(R189), FALSE)</f>
        <v>MEDIUM</v>
      </c>
      <c r="S190" t="str">
        <f>VLOOKUP($A190,Table1[#This Row],COLUMN(S189), FALSE)</f>
        <v>technology</v>
      </c>
      <c r="T190" t="str">
        <f>VLOOKUP($A190,Table1[#This Row],COLUMN(T189), FALSE)</f>
        <v>40972</v>
      </c>
      <c r="U190" t="str">
        <f>VLOOKUP($A190,Table1[#This Row],COLUMN(U189), FALSE)</f>
        <v>AB10150140</v>
      </c>
      <c r="V190" t="str">
        <f>VLOOKUP($A190,Table1[#This Row],COLUMN(V189), FALSE)</f>
        <v>CA</v>
      </c>
      <c r="W190">
        <f>VLOOKUP($A190,Table1[#This Row],COLUMN(W189), FALSE)</f>
        <v>2012</v>
      </c>
      <c r="X190" t="str">
        <f>VLOOKUP($A190,Table1[#This Row],COLUMN(X189), FALSE)</f>
        <v>AB10150140</v>
      </c>
      <c r="Y190">
        <f>VLOOKUP($A190,Table1[#This Row],COLUMN(Y189), FALSE)</f>
        <v>40972</v>
      </c>
      <c r="Z190" t="str">
        <f>VLOOKUP($A190,Table1[#This Row],COLUMN(Z189), FALSE)</f>
        <v>CA-2012-AB10150140-40972</v>
      </c>
      <c r="AA190">
        <f>VLOOKUP($A190,Table1[#This Row],COLUMN(AA189), FALSE)</f>
        <v>2012</v>
      </c>
      <c r="AB190">
        <f>VLOOKUP($A190,Table1[#This Row],COLUMN(AB189), FALSE)</f>
        <v>3</v>
      </c>
      <c r="AC190">
        <f>VLOOKUP($A190,Table1[#This Row],COLUMN(AC189), FALSE)</f>
        <v>1</v>
      </c>
      <c r="AD190">
        <f>VLOOKUP($A190,Table1[#This Row],COLUMN(AD189), FALSE)</f>
        <v>3</v>
      </c>
    </row>
    <row r="191" spans="1:30" ht="15.75">
      <c r="A191" s="54" t="s">
        <v>1200</v>
      </c>
      <c r="B191" s="52">
        <f>VLOOKUP($A191,Table1[#This Row],COLUMN(B190), FALSE)</f>
        <v>40972</v>
      </c>
      <c r="C191" s="52">
        <f>VLOOKUP($A191,Table1[#This Row],COLUMN(C190), FALSE)</f>
        <v>40975</v>
      </c>
      <c r="D191" t="str">
        <f>VLOOKUP($A191,Table1[#This Row],COLUMN(D190), FALSE)</f>
        <v>Aimee Bixby</v>
      </c>
      <c r="E191" t="str">
        <f>VLOOKUP($A191,Table1[#This Row],COLUMN(E190), FALSE)</f>
        <v>United States</v>
      </c>
      <c r="F191" t="str">
        <f>VLOOKUP($A191,Table1[#This Row],COLUMN(F190), FALSE)</f>
        <v>Eastern US</v>
      </c>
      <c r="G191" t="str">
        <f>VLOOKUP($A191,Table1[#This Row],COLUMN(G190), FALSE)</f>
        <v>Office Supplies</v>
      </c>
      <c r="H191" t="str">
        <f>VLOOKUP($A191,Table1[#This Row],COLUMN(H190), FALSE)</f>
        <v>Copiers</v>
      </c>
      <c r="I191">
        <f>VLOOKUP($A191,Table1[#This Row],COLUMN(I190), FALSE)</f>
        <v>59.519999999999897</v>
      </c>
      <c r="J191">
        <f>VLOOKUP($A191,Table1[#This Row],COLUMN(J190), FALSE)</f>
        <v>3</v>
      </c>
      <c r="K191">
        <f>VLOOKUP($A191,Table1[#This Row],COLUMN(K190), FALSE)</f>
        <v>0</v>
      </c>
      <c r="L191">
        <f>VLOOKUP($A191,Table1[#This Row],COLUMN(L190), FALSE)</f>
        <v>15.475199999999999</v>
      </c>
      <c r="M191" t="str">
        <f>VLOOKUP($A191,Table1[#This Row],COLUMN(M190), FALSE)</f>
        <v>Medium</v>
      </c>
      <c r="N191" t="str">
        <f>VLOOKUP($A191,Table1[#This Row],COLUMN(N190), FALSE)</f>
        <v>Normal Order</v>
      </c>
      <c r="O191" t="str">
        <f>VLOOKUP($A191,Table1[#This Row],COLUMN(O190), FALSE)</f>
        <v>Aimee Bixby</v>
      </c>
      <c r="P191" t="str">
        <f>VLOOKUP($A191,Table1[#This Row],COLUMN(P190), FALSE)</f>
        <v>CA</v>
      </c>
      <c r="Q191" t="str">
        <f>VLOOKUP($A191,Table1[#This Row],COLUMN(Q190), FALSE)</f>
        <v>2012</v>
      </c>
      <c r="R191" t="str">
        <f>VLOOKUP($A191,Table1[#This Row],COLUMN(R190), FALSE)</f>
        <v>MEDIUM</v>
      </c>
      <c r="S191" t="str">
        <f>VLOOKUP($A191,Table1[#This Row],COLUMN(S190), FALSE)</f>
        <v>office supplies</v>
      </c>
      <c r="T191" t="str">
        <f>VLOOKUP($A191,Table1[#This Row],COLUMN(T190), FALSE)</f>
        <v>40972</v>
      </c>
      <c r="U191" t="str">
        <f>VLOOKUP($A191,Table1[#This Row],COLUMN(U190), FALSE)</f>
        <v>AB10150140</v>
      </c>
      <c r="V191" t="str">
        <f>VLOOKUP($A191,Table1[#This Row],COLUMN(V190), FALSE)</f>
        <v>CA</v>
      </c>
      <c r="W191">
        <f>VLOOKUP($A191,Table1[#This Row],COLUMN(W190), FALSE)</f>
        <v>2012</v>
      </c>
      <c r="X191" t="str">
        <f>VLOOKUP($A191,Table1[#This Row],COLUMN(X190), FALSE)</f>
        <v>AB10150140</v>
      </c>
      <c r="Y191">
        <f>VLOOKUP($A191,Table1[#This Row],COLUMN(Y190), FALSE)</f>
        <v>40972</v>
      </c>
      <c r="Z191" t="str">
        <f>VLOOKUP($A191,Table1[#This Row],COLUMN(Z190), FALSE)</f>
        <v>CA-2012-AB10150140-40972</v>
      </c>
      <c r="AA191">
        <f>VLOOKUP($A191,Table1[#This Row],COLUMN(AA190), FALSE)</f>
        <v>2012</v>
      </c>
      <c r="AB191">
        <f>VLOOKUP($A191,Table1[#This Row],COLUMN(AB190), FALSE)</f>
        <v>3</v>
      </c>
      <c r="AC191">
        <f>VLOOKUP($A191,Table1[#This Row],COLUMN(AC190), FALSE)</f>
        <v>1</v>
      </c>
      <c r="AD191">
        <f>VLOOKUP($A191,Table1[#This Row],COLUMN(AD190), FALSE)</f>
        <v>3</v>
      </c>
    </row>
    <row r="192" spans="1:30" ht="15.75">
      <c r="A192" s="53" t="s">
        <v>1206</v>
      </c>
      <c r="B192" s="52">
        <f>VLOOKUP($A192,Table1[#This Row],COLUMN(B191), FALSE)</f>
        <v>41745</v>
      </c>
      <c r="C192" s="52">
        <f>VLOOKUP($A192,Table1[#This Row],COLUMN(C191), FALSE)</f>
        <v>41748</v>
      </c>
      <c r="D192" t="str">
        <f>VLOOKUP($A192,Table1[#This Row],COLUMN(D191), FALSE)</f>
        <v>Alan Hwang</v>
      </c>
      <c r="E192" t="str">
        <f>VLOOKUP($A192,Table1[#This Row],COLUMN(E191), FALSE)</f>
        <v>Brazil</v>
      </c>
      <c r="F192" t="str">
        <f>VLOOKUP($A192,Table1[#This Row],COLUMN(F191), FALSE)</f>
        <v>South America</v>
      </c>
      <c r="G192" t="str">
        <f>VLOOKUP($A192,Table1[#This Row],COLUMN(G191), FALSE)</f>
        <v>Office Supplies</v>
      </c>
      <c r="H192" t="str">
        <f>VLOOKUP($A192,Table1[#This Row],COLUMN(H191), FALSE)</f>
        <v>Phones</v>
      </c>
      <c r="I192">
        <f>VLOOKUP($A192,Table1[#This Row],COLUMN(I191), FALSE)</f>
        <v>1403.36</v>
      </c>
      <c r="J192">
        <f>VLOOKUP($A192,Table1[#This Row],COLUMN(J191), FALSE)</f>
        <v>4</v>
      </c>
      <c r="K192">
        <f>VLOOKUP($A192,Table1[#This Row],COLUMN(K191), FALSE)</f>
        <v>0</v>
      </c>
      <c r="L192">
        <f>VLOOKUP($A192,Table1[#This Row],COLUMN(L191), FALSE)</f>
        <v>449.039999999999</v>
      </c>
      <c r="M192" t="str">
        <f>VLOOKUP($A192,Table1[#This Row],COLUMN(M191), FALSE)</f>
        <v xml:space="preserve"> High </v>
      </c>
      <c r="N192" t="str">
        <f>VLOOKUP($A192,Table1[#This Row],COLUMN(N191), FALSE)</f>
        <v>Normal Order</v>
      </c>
      <c r="O192" t="str">
        <f>VLOOKUP($A192,Table1[#This Row],COLUMN(O191), FALSE)</f>
        <v>Alan Hwang</v>
      </c>
      <c r="P192" t="str">
        <f>VLOOKUP($A192,Table1[#This Row],COLUMN(P191), FALSE)</f>
        <v>MX</v>
      </c>
      <c r="Q192" t="str">
        <f>VLOOKUP($A192,Table1[#This Row],COLUMN(Q191), FALSE)</f>
        <v>2014</v>
      </c>
      <c r="R192" t="str">
        <f>VLOOKUP($A192,Table1[#This Row],COLUMN(R191), FALSE)</f>
        <v xml:space="preserve"> HIGH </v>
      </c>
      <c r="S192" t="str">
        <f>VLOOKUP($A192,Table1[#This Row],COLUMN(S191), FALSE)</f>
        <v>office supplies</v>
      </c>
      <c r="T192" t="str">
        <f>VLOOKUP($A192,Table1[#This Row],COLUMN(T191), FALSE)</f>
        <v>41745</v>
      </c>
      <c r="U192" t="str">
        <f>VLOOKUP($A192,Table1[#This Row],COLUMN(U191), FALSE)</f>
        <v>AH1021018</v>
      </c>
      <c r="V192" t="str">
        <f>VLOOKUP($A192,Table1[#This Row],COLUMN(V191), FALSE)</f>
        <v>MX</v>
      </c>
      <c r="W192">
        <f>VLOOKUP($A192,Table1[#This Row],COLUMN(W191), FALSE)</f>
        <v>2014</v>
      </c>
      <c r="X192" t="str">
        <f>VLOOKUP($A192,Table1[#This Row],COLUMN(X191), FALSE)</f>
        <v>AH1021018</v>
      </c>
      <c r="Y192">
        <f>VLOOKUP($A192,Table1[#This Row],COLUMN(Y191), FALSE)</f>
        <v>41745</v>
      </c>
      <c r="Z192" t="str">
        <f>VLOOKUP($A192,Table1[#This Row],COLUMN(Z191), FALSE)</f>
        <v>MX-2014-AH1021018-41745</v>
      </c>
      <c r="AA192">
        <f>VLOOKUP($A192,Table1[#This Row],COLUMN(AA191), FALSE)</f>
        <v>2014</v>
      </c>
      <c r="AB192">
        <f>VLOOKUP($A192,Table1[#This Row],COLUMN(AB191), FALSE)</f>
        <v>4</v>
      </c>
      <c r="AC192">
        <f>VLOOKUP($A192,Table1[#This Row],COLUMN(AC191), FALSE)</f>
        <v>4</v>
      </c>
      <c r="AD192">
        <f>VLOOKUP($A192,Table1[#This Row],COLUMN(AD191), FALSE)</f>
        <v>3</v>
      </c>
    </row>
    <row r="193" spans="1:30" ht="15.75">
      <c r="A193" s="54" t="s">
        <v>1212</v>
      </c>
      <c r="B193" s="52">
        <f>VLOOKUP($A193,Table1[#This Row],COLUMN(B192), FALSE)</f>
        <v>42173</v>
      </c>
      <c r="C193" s="52">
        <f>VLOOKUP($A193,Table1[#This Row],COLUMN(C192), FALSE)</f>
        <v>42173</v>
      </c>
      <c r="D193" t="str">
        <f>VLOOKUP($A193,Table1[#This Row],COLUMN(D192), FALSE)</f>
        <v>Troy Staebel</v>
      </c>
      <c r="E193" t="str">
        <f>VLOOKUP($A193,Table1[#This Row],COLUMN(E192), FALSE)</f>
        <v>United Kingdom</v>
      </c>
      <c r="F193" t="str">
        <f>VLOOKUP($A193,Table1[#This Row],COLUMN(F192), FALSE)</f>
        <v>Northern Europe</v>
      </c>
      <c r="G193" t="str">
        <f>VLOOKUP($A193,Table1[#This Row],COLUMN(G192), FALSE)</f>
        <v xml:space="preserve"> Office Supplies </v>
      </c>
      <c r="H193" t="str">
        <f>VLOOKUP($A193,Table1[#This Row],COLUMN(H192), FALSE)</f>
        <v>Copiers</v>
      </c>
      <c r="I193">
        <f>VLOOKUP($A193,Table1[#This Row],COLUMN(I192), FALSE)</f>
        <v>1560.23999999999</v>
      </c>
      <c r="J193">
        <f>VLOOKUP($A193,Table1[#This Row],COLUMN(J192), FALSE)</f>
        <v>3</v>
      </c>
      <c r="K193">
        <f>VLOOKUP($A193,Table1[#This Row],COLUMN(K192), FALSE)</f>
        <v>0</v>
      </c>
      <c r="L193">
        <f>VLOOKUP($A193,Table1[#This Row],COLUMN(L192), FALSE)</f>
        <v>421.19999999999902</v>
      </c>
      <c r="M193" t="str">
        <f>VLOOKUP($A193,Table1[#This Row],COLUMN(M192), FALSE)</f>
        <v>High</v>
      </c>
      <c r="N193" t="str">
        <f>VLOOKUP($A193,Table1[#This Row],COLUMN(N192), FALSE)</f>
        <v>Normal Order</v>
      </c>
      <c r="O193" t="str">
        <f>VLOOKUP($A193,Table1[#This Row],COLUMN(O192), FALSE)</f>
        <v>Troy Staebel</v>
      </c>
      <c r="P193" t="str">
        <f>VLOOKUP($A193,Table1[#This Row],COLUMN(P192), FALSE)</f>
        <v>IT</v>
      </c>
      <c r="Q193" t="str">
        <f>VLOOKUP($A193,Table1[#This Row],COLUMN(Q192), FALSE)</f>
        <v>2015</v>
      </c>
      <c r="R193" t="str">
        <f>VLOOKUP($A193,Table1[#This Row],COLUMN(R192), FALSE)</f>
        <v>HIGH</v>
      </c>
      <c r="S193" t="str">
        <f>VLOOKUP($A193,Table1[#This Row],COLUMN(S192), FALSE)</f>
        <v xml:space="preserve"> office supplies </v>
      </c>
      <c r="T193" t="str">
        <f>VLOOKUP($A193,Table1[#This Row],COLUMN(T192), FALSE)</f>
        <v>42173</v>
      </c>
      <c r="U193" t="str">
        <f>VLOOKUP($A193,Table1[#This Row],COLUMN(U192), FALSE)</f>
        <v>TS21610139</v>
      </c>
      <c r="V193" t="str">
        <f>VLOOKUP($A193,Table1[#This Row],COLUMN(V192), FALSE)</f>
        <v>IT</v>
      </c>
      <c r="W193">
        <f>VLOOKUP($A193,Table1[#This Row],COLUMN(W192), FALSE)</f>
        <v>2015</v>
      </c>
      <c r="X193" t="str">
        <f>VLOOKUP($A193,Table1[#This Row],COLUMN(X192), FALSE)</f>
        <v>TS21610139</v>
      </c>
      <c r="Y193">
        <f>VLOOKUP($A193,Table1[#This Row],COLUMN(Y192), FALSE)</f>
        <v>42173</v>
      </c>
      <c r="Z193" t="str">
        <f>VLOOKUP($A193,Table1[#This Row],COLUMN(Z192), FALSE)</f>
        <v>IT-2015-TS21610139-42173</v>
      </c>
      <c r="AA193">
        <f>VLOOKUP($A193,Table1[#This Row],COLUMN(AA192), FALSE)</f>
        <v>2015</v>
      </c>
      <c r="AB193">
        <f>VLOOKUP($A193,Table1[#This Row],COLUMN(AB192), FALSE)</f>
        <v>6</v>
      </c>
      <c r="AC193">
        <f>VLOOKUP($A193,Table1[#This Row],COLUMN(AC192), FALSE)</f>
        <v>5</v>
      </c>
      <c r="AD193">
        <f>VLOOKUP($A193,Table1[#This Row],COLUMN(AD192), FALSE)</f>
        <v>0</v>
      </c>
    </row>
    <row r="194" spans="1:30" ht="15.75">
      <c r="A194" s="53" t="s">
        <v>1218</v>
      </c>
      <c r="B194" s="52">
        <f>VLOOKUP($A194,Table1[#This Row],COLUMN(B193), FALSE)</f>
        <v>41643</v>
      </c>
      <c r="C194" s="52">
        <f>VLOOKUP($A194,Table1[#This Row],COLUMN(C193), FALSE)</f>
        <v>41649</v>
      </c>
      <c r="D194" t="str">
        <f>VLOOKUP($A194,Table1[#This Row],COLUMN(D193), FALSE)</f>
        <v>Liz Carlisle</v>
      </c>
      <c r="E194" t="str">
        <f>VLOOKUP($A194,Table1[#This Row],COLUMN(E193), FALSE)</f>
        <v>Guatemala</v>
      </c>
      <c r="F194" t="str">
        <f>VLOOKUP($A194,Table1[#This Row],COLUMN(F193), FALSE)</f>
        <v>Central America</v>
      </c>
      <c r="G194" t="str">
        <f>VLOOKUP($A194,Table1[#This Row],COLUMN(G193), FALSE)</f>
        <v>Technology</v>
      </c>
      <c r="H194" t="str">
        <f>VLOOKUP($A194,Table1[#This Row],COLUMN(H193), FALSE)</f>
        <v>Phones</v>
      </c>
      <c r="I194">
        <f>VLOOKUP($A194,Table1[#This Row],COLUMN(I193), FALSE)</f>
        <v>2120.8000000000002</v>
      </c>
      <c r="J194">
        <f>VLOOKUP($A194,Table1[#This Row],COLUMN(J193), FALSE)</f>
        <v>5</v>
      </c>
      <c r="K194">
        <f>VLOOKUP($A194,Table1[#This Row],COLUMN(K193), FALSE)</f>
        <v>0</v>
      </c>
      <c r="L194">
        <f>VLOOKUP($A194,Table1[#This Row],COLUMN(L193), FALSE)</f>
        <v>275.7</v>
      </c>
      <c r="M194" t="str">
        <f>VLOOKUP($A194,Table1[#This Row],COLUMN(M193), FALSE)</f>
        <v>Medium</v>
      </c>
      <c r="N194" t="str">
        <f>VLOOKUP($A194,Table1[#This Row],COLUMN(N193), FALSE)</f>
        <v>Normal Order</v>
      </c>
      <c r="O194" t="str">
        <f>VLOOKUP($A194,Table1[#This Row],COLUMN(O193), FALSE)</f>
        <v>Liz Carlisle</v>
      </c>
      <c r="P194" t="str">
        <f>VLOOKUP($A194,Table1[#This Row],COLUMN(P193), FALSE)</f>
        <v>MX</v>
      </c>
      <c r="Q194" t="str">
        <f>VLOOKUP($A194,Table1[#This Row],COLUMN(Q193), FALSE)</f>
        <v>2014</v>
      </c>
      <c r="R194" t="str">
        <f>VLOOKUP($A194,Table1[#This Row],COLUMN(R193), FALSE)</f>
        <v>MEDIUM</v>
      </c>
      <c r="S194" t="str">
        <f>VLOOKUP($A194,Table1[#This Row],COLUMN(S193), FALSE)</f>
        <v>technology</v>
      </c>
      <c r="T194" t="str">
        <f>VLOOKUP($A194,Table1[#This Row],COLUMN(T193), FALSE)</f>
        <v>41643</v>
      </c>
      <c r="U194" t="str">
        <f>VLOOKUP($A194,Table1[#This Row],COLUMN(U193), FALSE)</f>
        <v>LC1705051</v>
      </c>
      <c r="V194" t="str">
        <f>VLOOKUP($A194,Table1[#This Row],COLUMN(V193), FALSE)</f>
        <v>MX</v>
      </c>
      <c r="W194">
        <f>VLOOKUP($A194,Table1[#This Row],COLUMN(W193), FALSE)</f>
        <v>2014</v>
      </c>
      <c r="X194" t="str">
        <f>VLOOKUP($A194,Table1[#This Row],COLUMN(X193), FALSE)</f>
        <v>LC1705051</v>
      </c>
      <c r="Y194">
        <f>VLOOKUP($A194,Table1[#This Row],COLUMN(Y193), FALSE)</f>
        <v>41643</v>
      </c>
      <c r="Z194" t="str">
        <f>VLOOKUP($A194,Table1[#This Row],COLUMN(Z193), FALSE)</f>
        <v>MX-2014-LC1705051-41643</v>
      </c>
      <c r="AA194">
        <f>VLOOKUP($A194,Table1[#This Row],COLUMN(AA193), FALSE)</f>
        <v>2014</v>
      </c>
      <c r="AB194">
        <f>VLOOKUP($A194,Table1[#This Row],COLUMN(AB193), FALSE)</f>
        <v>1</v>
      </c>
      <c r="AC194">
        <f>VLOOKUP($A194,Table1[#This Row],COLUMN(AC193), FALSE)</f>
        <v>7</v>
      </c>
      <c r="AD194">
        <f>VLOOKUP($A194,Table1[#This Row],COLUMN(AD193), FALSE)</f>
        <v>6</v>
      </c>
    </row>
    <row r="195" spans="1:30" ht="15.75">
      <c r="A195" s="54" t="s">
        <v>1225</v>
      </c>
      <c r="B195" s="52">
        <f>VLOOKUP($A195,Table1[#This Row],COLUMN(B194), FALSE)</f>
        <v>41516</v>
      </c>
      <c r="C195" s="52">
        <f>VLOOKUP($A195,Table1[#This Row],COLUMN(C194), FALSE)</f>
        <v>41519</v>
      </c>
      <c r="D195" t="str">
        <f>VLOOKUP($A195,Table1[#This Row],COLUMN(D194), FALSE)</f>
        <v>Stefanie Holloman</v>
      </c>
      <c r="E195" t="str">
        <f>VLOOKUP($A195,Table1[#This Row],COLUMN(E194), FALSE)</f>
        <v>Germany</v>
      </c>
      <c r="F195" t="str">
        <f>VLOOKUP($A195,Table1[#This Row],COLUMN(F194), FALSE)</f>
        <v>Western Europe</v>
      </c>
      <c r="G195" t="str">
        <f>VLOOKUP($A195,Table1[#This Row],COLUMN(G194), FALSE)</f>
        <v>Furniture</v>
      </c>
      <c r="H195" t="str">
        <f>VLOOKUP($A195,Table1[#This Row],COLUMN(H194), FALSE)</f>
        <v>Copiers</v>
      </c>
      <c r="I195">
        <f>VLOOKUP($A195,Table1[#This Row],COLUMN(I194), FALSE)</f>
        <v>2794.2525000000001</v>
      </c>
      <c r="J195">
        <f>VLOOKUP($A195,Table1[#This Row],COLUMN(J194), FALSE)</f>
        <v>5</v>
      </c>
      <c r="K195">
        <f>VLOOKUP($A195,Table1[#This Row],COLUMN(K194), FALSE)</f>
        <v>0.35</v>
      </c>
      <c r="L195">
        <f>VLOOKUP($A195,Table1[#This Row],COLUMN(L194), FALSE)</f>
        <v>515.75250000000005</v>
      </c>
      <c r="M195" t="str">
        <f>VLOOKUP($A195,Table1[#This Row],COLUMN(M194), FALSE)</f>
        <v>Medium</v>
      </c>
      <c r="N195" t="str">
        <f>VLOOKUP($A195,Table1[#This Row],COLUMN(N194), FALSE)</f>
        <v>Normal Order</v>
      </c>
      <c r="O195" t="str">
        <f>VLOOKUP($A195,Table1[#This Row],COLUMN(O194), FALSE)</f>
        <v>Stefanie Holloman</v>
      </c>
      <c r="P195" t="str">
        <f>VLOOKUP($A195,Table1[#This Row],COLUMN(P194), FALSE)</f>
        <v>ES</v>
      </c>
      <c r="Q195" t="str">
        <f>VLOOKUP($A195,Table1[#This Row],COLUMN(Q194), FALSE)</f>
        <v>2013</v>
      </c>
      <c r="R195" t="str">
        <f>VLOOKUP($A195,Table1[#This Row],COLUMN(R194), FALSE)</f>
        <v>MEDIUM</v>
      </c>
      <c r="S195" t="str">
        <f>VLOOKUP($A195,Table1[#This Row],COLUMN(S194), FALSE)</f>
        <v>furniture</v>
      </c>
      <c r="T195" t="str">
        <f>VLOOKUP($A195,Table1[#This Row],COLUMN(T194), FALSE)</f>
        <v>41516</v>
      </c>
      <c r="U195" t="str">
        <f>VLOOKUP($A195,Table1[#This Row],COLUMN(U194), FALSE)</f>
        <v>SH2063548</v>
      </c>
      <c r="V195" t="str">
        <f>VLOOKUP($A195,Table1[#This Row],COLUMN(V194), FALSE)</f>
        <v>ES</v>
      </c>
      <c r="W195">
        <f>VLOOKUP($A195,Table1[#This Row],COLUMN(W194), FALSE)</f>
        <v>2013</v>
      </c>
      <c r="X195" t="str">
        <f>VLOOKUP($A195,Table1[#This Row],COLUMN(X194), FALSE)</f>
        <v>SH2063548</v>
      </c>
      <c r="Y195">
        <f>VLOOKUP($A195,Table1[#This Row],COLUMN(Y194), FALSE)</f>
        <v>41516</v>
      </c>
      <c r="Z195" t="str">
        <f>VLOOKUP($A195,Table1[#This Row],COLUMN(Z194), FALSE)</f>
        <v>ES-2013-SH2063548-41516</v>
      </c>
      <c r="AA195">
        <f>VLOOKUP($A195,Table1[#This Row],COLUMN(AA194), FALSE)</f>
        <v>2013</v>
      </c>
      <c r="AB195">
        <f>VLOOKUP($A195,Table1[#This Row],COLUMN(AB194), FALSE)</f>
        <v>8</v>
      </c>
      <c r="AC195">
        <f>VLOOKUP($A195,Table1[#This Row],COLUMN(AC194), FALSE)</f>
        <v>6</v>
      </c>
      <c r="AD195">
        <f>VLOOKUP($A195,Table1[#This Row],COLUMN(AD194), FALSE)</f>
        <v>3</v>
      </c>
    </row>
    <row r="196" spans="1:30" ht="15.75">
      <c r="A196" s="53" t="s">
        <v>1236</v>
      </c>
      <c r="B196" s="52">
        <f>VLOOKUP($A196,Table1[#This Row],COLUMN(B195), FALSE)</f>
        <v>42152</v>
      </c>
      <c r="C196" s="52">
        <f>VLOOKUP($A196,Table1[#This Row],COLUMN(C195), FALSE)</f>
        <v>42156</v>
      </c>
      <c r="D196" t="str">
        <f>VLOOKUP($A196,Table1[#This Row],COLUMN(D195), FALSE)</f>
        <v>Daniel Raglin</v>
      </c>
      <c r="E196" t="str">
        <f>VLOOKUP($A196,Table1[#This Row],COLUMN(E195), FALSE)</f>
        <v>India</v>
      </c>
      <c r="F196" t="str">
        <f>VLOOKUP($A196,Table1[#This Row],COLUMN(F195), FALSE)</f>
        <v>Southern Asia</v>
      </c>
      <c r="G196" t="str">
        <f>VLOOKUP($A196,Table1[#This Row],COLUMN(G195), FALSE)</f>
        <v>Furniture</v>
      </c>
      <c r="H196" t="str">
        <f>VLOOKUP($A196,Table1[#This Row],COLUMN(H195), FALSE)</f>
        <v>Binders</v>
      </c>
      <c r="I196">
        <f>VLOOKUP($A196,Table1[#This Row],COLUMN(I195), FALSE)</f>
        <v>1394.99999999999</v>
      </c>
      <c r="J196">
        <f>VLOOKUP($A196,Table1[#This Row],COLUMN(J195), FALSE)</f>
        <v>3</v>
      </c>
      <c r="K196">
        <f>VLOOKUP($A196,Table1[#This Row],COLUMN(K195), FALSE)</f>
        <v>0</v>
      </c>
      <c r="L196">
        <f>VLOOKUP($A196,Table1[#This Row],COLUMN(L195), FALSE)</f>
        <v>237.15</v>
      </c>
      <c r="M196" t="str">
        <f>VLOOKUP($A196,Table1[#This Row],COLUMN(M195), FALSE)</f>
        <v>High</v>
      </c>
      <c r="N196" t="str">
        <f>VLOOKUP($A196,Table1[#This Row],COLUMN(N195), FALSE)</f>
        <v>Normal Order</v>
      </c>
      <c r="O196" t="str">
        <f>VLOOKUP($A196,Table1[#This Row],COLUMN(O195), FALSE)</f>
        <v>Daniel Raglin</v>
      </c>
      <c r="P196" t="str">
        <f>VLOOKUP($A196,Table1[#This Row],COLUMN(P195), FALSE)</f>
        <v>IN</v>
      </c>
      <c r="Q196" t="str">
        <f>VLOOKUP($A196,Table1[#This Row],COLUMN(Q195), FALSE)</f>
        <v>2015</v>
      </c>
      <c r="R196" t="str">
        <f>VLOOKUP($A196,Table1[#This Row],COLUMN(R195), FALSE)</f>
        <v>HIGH</v>
      </c>
      <c r="S196" t="str">
        <f>VLOOKUP($A196,Table1[#This Row],COLUMN(S195), FALSE)</f>
        <v>furniture</v>
      </c>
      <c r="T196" t="str">
        <f>VLOOKUP($A196,Table1[#This Row],COLUMN(T195), FALSE)</f>
        <v>42152</v>
      </c>
      <c r="U196" t="str">
        <f>VLOOKUP($A196,Table1[#This Row],COLUMN(U195), FALSE)</f>
        <v>DR1294058</v>
      </c>
      <c r="V196" t="str">
        <f>VLOOKUP($A196,Table1[#This Row],COLUMN(V195), FALSE)</f>
        <v>IN</v>
      </c>
      <c r="W196">
        <f>VLOOKUP($A196,Table1[#This Row],COLUMN(W195), FALSE)</f>
        <v>2015</v>
      </c>
      <c r="X196" t="str">
        <f>VLOOKUP($A196,Table1[#This Row],COLUMN(X195), FALSE)</f>
        <v>DR1294058</v>
      </c>
      <c r="Y196">
        <f>VLOOKUP($A196,Table1[#This Row],COLUMN(Y195), FALSE)</f>
        <v>42152</v>
      </c>
      <c r="Z196" t="str">
        <f>VLOOKUP($A196,Table1[#This Row],COLUMN(Z195), FALSE)</f>
        <v>IN-2015-DR1294058-42152</v>
      </c>
      <c r="AA196">
        <f>VLOOKUP($A196,Table1[#This Row],COLUMN(AA195), FALSE)</f>
        <v>2015</v>
      </c>
      <c r="AB196">
        <f>VLOOKUP($A196,Table1[#This Row],COLUMN(AB195), FALSE)</f>
        <v>5</v>
      </c>
      <c r="AC196">
        <f>VLOOKUP($A196,Table1[#This Row],COLUMN(AC195), FALSE)</f>
        <v>5</v>
      </c>
      <c r="AD196">
        <f>VLOOKUP($A196,Table1[#This Row],COLUMN(AD195), FALSE)</f>
        <v>4</v>
      </c>
    </row>
    <row r="197" spans="1:30" ht="15.75">
      <c r="A197" s="54" t="s">
        <v>1239</v>
      </c>
      <c r="B197" s="52">
        <f>VLOOKUP($A197,Table1[#This Row],COLUMN(B196), FALSE)</f>
        <v>41224</v>
      </c>
      <c r="C197" s="52">
        <f>VLOOKUP($A197,Table1[#This Row],COLUMN(C196), FALSE)</f>
        <v>41228</v>
      </c>
      <c r="D197" t="str">
        <f>VLOOKUP($A197,Table1[#This Row],COLUMN(D196), FALSE)</f>
        <v>Ionia McGrath</v>
      </c>
      <c r="E197" t="str">
        <f>VLOOKUP($A197,Table1[#This Row],COLUMN(E196), FALSE)</f>
        <v>Republic of the Congo</v>
      </c>
      <c r="F197" t="str">
        <f>VLOOKUP($A197,Table1[#This Row],COLUMN(F196), FALSE)</f>
        <v>Central Africa</v>
      </c>
      <c r="G197" t="str">
        <f>VLOOKUP($A197,Table1[#This Row],COLUMN(G196), FALSE)</f>
        <v>Furniture</v>
      </c>
      <c r="H197" t="str">
        <f>VLOOKUP($A197,Table1[#This Row],COLUMN(H196), FALSE)</f>
        <v>Chairs</v>
      </c>
      <c r="I197">
        <f>VLOOKUP($A197,Table1[#This Row],COLUMN(I196), FALSE)</f>
        <v>1660.79999999999</v>
      </c>
      <c r="J197">
        <f>VLOOKUP($A197,Table1[#This Row],COLUMN(J196), FALSE)</f>
        <v>4</v>
      </c>
      <c r="K197">
        <f>VLOOKUP($A197,Table1[#This Row],COLUMN(K196), FALSE)</f>
        <v>0</v>
      </c>
      <c r="L197">
        <f>VLOOKUP($A197,Table1[#This Row],COLUMN(L196), FALSE)</f>
        <v>83.039999999999907</v>
      </c>
      <c r="M197" t="str">
        <f>VLOOKUP($A197,Table1[#This Row],COLUMN(M196), FALSE)</f>
        <v>High</v>
      </c>
      <c r="N197" t="str">
        <f>VLOOKUP($A197,Table1[#This Row],COLUMN(N196), FALSE)</f>
        <v>Normal Order</v>
      </c>
      <c r="O197" t="str">
        <f>VLOOKUP($A197,Table1[#This Row],COLUMN(O196), FALSE)</f>
        <v>Ionia Mcgrath</v>
      </c>
      <c r="P197" t="str">
        <f>VLOOKUP($A197,Table1[#This Row],COLUMN(P196), FALSE)</f>
        <v>CF</v>
      </c>
      <c r="Q197" t="str">
        <f>VLOOKUP($A197,Table1[#This Row],COLUMN(Q196), FALSE)</f>
        <v>2012</v>
      </c>
      <c r="R197" t="str">
        <f>VLOOKUP($A197,Table1[#This Row],COLUMN(R196), FALSE)</f>
        <v>HIGH</v>
      </c>
      <c r="S197" t="str">
        <f>VLOOKUP($A197,Table1[#This Row],COLUMN(S196), FALSE)</f>
        <v>furniture</v>
      </c>
      <c r="T197" t="str">
        <f>VLOOKUP($A197,Table1[#This Row],COLUMN(T196), FALSE)</f>
        <v>41224</v>
      </c>
      <c r="U197" t="str">
        <f>VLOOKUP($A197,Table1[#This Row],COLUMN(U196), FALSE)</f>
        <v>IM5055106</v>
      </c>
      <c r="V197" t="str">
        <f>VLOOKUP($A197,Table1[#This Row],COLUMN(V196), FALSE)</f>
        <v>CF</v>
      </c>
      <c r="W197">
        <f>VLOOKUP($A197,Table1[#This Row],COLUMN(W196), FALSE)</f>
        <v>2012</v>
      </c>
      <c r="X197" t="str">
        <f>VLOOKUP($A197,Table1[#This Row],COLUMN(X196), FALSE)</f>
        <v>IM5055106</v>
      </c>
      <c r="Y197">
        <f>VLOOKUP($A197,Table1[#This Row],COLUMN(Y196), FALSE)</f>
        <v>41224</v>
      </c>
      <c r="Z197" t="str">
        <f>VLOOKUP($A197,Table1[#This Row],COLUMN(Z196), FALSE)</f>
        <v>CF-2012-IM5055106-41224</v>
      </c>
      <c r="AA197">
        <f>VLOOKUP($A197,Table1[#This Row],COLUMN(AA196), FALSE)</f>
        <v>2012</v>
      </c>
      <c r="AB197">
        <f>VLOOKUP($A197,Table1[#This Row],COLUMN(AB196), FALSE)</f>
        <v>11</v>
      </c>
      <c r="AC197">
        <f>VLOOKUP($A197,Table1[#This Row],COLUMN(AC196), FALSE)</f>
        <v>1</v>
      </c>
      <c r="AD197">
        <f>VLOOKUP($A197,Table1[#This Row],COLUMN(AD196), FALSE)</f>
        <v>4</v>
      </c>
    </row>
    <row r="198" spans="1:30" ht="15.75">
      <c r="A198" s="53" t="s">
        <v>1242</v>
      </c>
      <c r="B198" s="52">
        <f>VLOOKUP($A198,Table1[#This Row],COLUMN(B197), FALSE)</f>
        <v>41790</v>
      </c>
      <c r="C198" s="52">
        <f>VLOOKUP($A198,Table1[#This Row],COLUMN(C197), FALSE)</f>
        <v>41795</v>
      </c>
      <c r="D198" t="str">
        <f>VLOOKUP($A198,Table1[#This Row],COLUMN(D197), FALSE)</f>
        <v>Vivek Grady</v>
      </c>
      <c r="E198" t="str">
        <f>VLOOKUP($A198,Table1[#This Row],COLUMN(E197), FALSE)</f>
        <v>China</v>
      </c>
      <c r="F198" t="str">
        <f>VLOOKUP($A198,Table1[#This Row],COLUMN(F197), FALSE)</f>
        <v>Eastern Asia</v>
      </c>
      <c r="G198" t="str">
        <f>VLOOKUP($A198,Table1[#This Row],COLUMN(G197), FALSE)</f>
        <v>Furniture</v>
      </c>
      <c r="H198" t="str">
        <f>VLOOKUP($A198,Table1[#This Row],COLUMN(H197), FALSE)</f>
        <v>Tables</v>
      </c>
      <c r="I198">
        <f>VLOOKUP($A198,Table1[#This Row],COLUMN(I197), FALSE)</f>
        <v>2436.672</v>
      </c>
      <c r="J198">
        <f>VLOOKUP($A198,Table1[#This Row],COLUMN(J197), FALSE)</f>
        <v>4</v>
      </c>
      <c r="K198">
        <f>VLOOKUP($A198,Table1[#This Row],COLUMN(K197), FALSE)</f>
        <v>0.3</v>
      </c>
      <c r="L198">
        <f>VLOOKUP($A198,Table1[#This Row],COLUMN(L197), FALSE)</f>
        <v>-487.36799999999999</v>
      </c>
      <c r="M198" t="str">
        <f>VLOOKUP($A198,Table1[#This Row],COLUMN(M197), FALSE)</f>
        <v>High</v>
      </c>
      <c r="N198" t="str">
        <f>VLOOKUP($A198,Table1[#This Row],COLUMN(N197), FALSE)</f>
        <v>Normal Order</v>
      </c>
      <c r="O198" t="str">
        <f>VLOOKUP($A198,Table1[#This Row],COLUMN(O197), FALSE)</f>
        <v>Vivek Grady</v>
      </c>
      <c r="P198" t="str">
        <f>VLOOKUP($A198,Table1[#This Row],COLUMN(P197), FALSE)</f>
        <v>ID</v>
      </c>
      <c r="Q198" t="str">
        <f>VLOOKUP($A198,Table1[#This Row],COLUMN(Q197), FALSE)</f>
        <v>2014</v>
      </c>
      <c r="R198" t="str">
        <f>VLOOKUP($A198,Table1[#This Row],COLUMN(R197), FALSE)</f>
        <v>HIGH</v>
      </c>
      <c r="S198" t="str">
        <f>VLOOKUP($A198,Table1[#This Row],COLUMN(S197), FALSE)</f>
        <v>furniture</v>
      </c>
      <c r="T198" t="str">
        <f>VLOOKUP($A198,Table1[#This Row],COLUMN(T197), FALSE)</f>
        <v>41790</v>
      </c>
      <c r="U198" t="str">
        <f>VLOOKUP($A198,Table1[#This Row],COLUMN(U197), FALSE)</f>
        <v>VG2180527</v>
      </c>
      <c r="V198" t="str">
        <f>VLOOKUP($A198,Table1[#This Row],COLUMN(V197), FALSE)</f>
        <v>ID</v>
      </c>
      <c r="W198">
        <f>VLOOKUP($A198,Table1[#This Row],COLUMN(W197), FALSE)</f>
        <v>2014</v>
      </c>
      <c r="X198" t="str">
        <f>VLOOKUP($A198,Table1[#This Row],COLUMN(X197), FALSE)</f>
        <v>VG2180527</v>
      </c>
      <c r="Y198">
        <f>VLOOKUP($A198,Table1[#This Row],COLUMN(Y197), FALSE)</f>
        <v>41790</v>
      </c>
      <c r="Z198" t="str">
        <f>VLOOKUP($A198,Table1[#This Row],COLUMN(Z197), FALSE)</f>
        <v>ID-2014-VG2180527-41790</v>
      </c>
      <c r="AA198">
        <f>VLOOKUP($A198,Table1[#This Row],COLUMN(AA197), FALSE)</f>
        <v>2014</v>
      </c>
      <c r="AB198">
        <f>VLOOKUP($A198,Table1[#This Row],COLUMN(AB197), FALSE)</f>
        <v>5</v>
      </c>
      <c r="AC198">
        <f>VLOOKUP($A198,Table1[#This Row],COLUMN(AC197), FALSE)</f>
        <v>7</v>
      </c>
      <c r="AD198">
        <f>VLOOKUP($A198,Table1[#This Row],COLUMN(AD197), FALSE)</f>
        <v>5</v>
      </c>
    </row>
    <row r="199" spans="1:30" ht="15.75">
      <c r="A199" s="54" t="s">
        <v>1200</v>
      </c>
      <c r="B199" s="52">
        <f>VLOOKUP($A199,Table1[#This Row],COLUMN(B198), FALSE)</f>
        <v>40972</v>
      </c>
      <c r="C199" s="52">
        <f>VLOOKUP($A199,Table1[#This Row],COLUMN(C198), FALSE)</f>
        <v>40975</v>
      </c>
      <c r="D199" t="str">
        <f>VLOOKUP($A199,Table1[#This Row],COLUMN(D198), FALSE)</f>
        <v>Aimee Bixby</v>
      </c>
      <c r="E199" t="str">
        <f>VLOOKUP($A199,Table1[#This Row],COLUMN(E198), FALSE)</f>
        <v>United States</v>
      </c>
      <c r="F199" t="str">
        <f>VLOOKUP($A199,Table1[#This Row],COLUMN(F198), FALSE)</f>
        <v>Eastern US</v>
      </c>
      <c r="G199" t="str">
        <f>VLOOKUP($A199,Table1[#This Row],COLUMN(G198), FALSE)</f>
        <v>Office Supplies</v>
      </c>
      <c r="H199" t="str">
        <f>VLOOKUP($A199,Table1[#This Row],COLUMN(H198), FALSE)</f>
        <v>Bookcases</v>
      </c>
      <c r="I199">
        <f>VLOOKUP($A199,Table1[#This Row],COLUMN(I198), FALSE)</f>
        <v>18.62</v>
      </c>
      <c r="J199">
        <f>VLOOKUP($A199,Table1[#This Row],COLUMN(J198), FALSE)</f>
        <v>2</v>
      </c>
      <c r="K199">
        <f>VLOOKUP($A199,Table1[#This Row],COLUMN(K198), FALSE)</f>
        <v>0</v>
      </c>
      <c r="L199">
        <f>VLOOKUP($A199,Table1[#This Row],COLUMN(L198), FALSE)</f>
        <v>5.3997999999999902</v>
      </c>
      <c r="M199" t="str">
        <f>VLOOKUP($A199,Table1[#This Row],COLUMN(M198), FALSE)</f>
        <v>Medium</v>
      </c>
      <c r="N199" t="str">
        <f>VLOOKUP($A199,Table1[#This Row],COLUMN(N198), FALSE)</f>
        <v>Normal Order</v>
      </c>
      <c r="O199" t="str">
        <f>VLOOKUP($A199,Table1[#This Row],COLUMN(O198), FALSE)</f>
        <v>Aimee Bixby</v>
      </c>
      <c r="P199" t="str">
        <f>VLOOKUP($A199,Table1[#This Row],COLUMN(P198), FALSE)</f>
        <v>CA</v>
      </c>
      <c r="Q199" t="str">
        <f>VLOOKUP($A199,Table1[#This Row],COLUMN(Q198), FALSE)</f>
        <v>2012</v>
      </c>
      <c r="R199" t="str">
        <f>VLOOKUP($A199,Table1[#This Row],COLUMN(R198), FALSE)</f>
        <v>MEDIUM</v>
      </c>
      <c r="S199" t="str">
        <f>VLOOKUP($A199,Table1[#This Row],COLUMN(S198), FALSE)</f>
        <v>office supplies</v>
      </c>
      <c r="T199" t="str">
        <f>VLOOKUP($A199,Table1[#This Row],COLUMN(T198), FALSE)</f>
        <v>40972</v>
      </c>
      <c r="U199" t="str">
        <f>VLOOKUP($A199,Table1[#This Row],COLUMN(U198), FALSE)</f>
        <v>AB10150140</v>
      </c>
      <c r="V199" t="str">
        <f>VLOOKUP($A199,Table1[#This Row],COLUMN(V198), FALSE)</f>
        <v>CA</v>
      </c>
      <c r="W199">
        <f>VLOOKUP($A199,Table1[#This Row],COLUMN(W198), FALSE)</f>
        <v>2012</v>
      </c>
      <c r="X199" t="str">
        <f>VLOOKUP($A199,Table1[#This Row],COLUMN(X198), FALSE)</f>
        <v>AB10150140</v>
      </c>
      <c r="Y199">
        <f>VLOOKUP($A199,Table1[#This Row],COLUMN(Y198), FALSE)</f>
        <v>40972</v>
      </c>
      <c r="Z199" t="str">
        <f>VLOOKUP($A199,Table1[#This Row],COLUMN(Z198), FALSE)</f>
        <v>CA-2012-AB10150140-40972</v>
      </c>
      <c r="AA199">
        <f>VLOOKUP($A199,Table1[#This Row],COLUMN(AA198), FALSE)</f>
        <v>2012</v>
      </c>
      <c r="AB199">
        <f>VLOOKUP($A199,Table1[#This Row],COLUMN(AB198), FALSE)</f>
        <v>3</v>
      </c>
      <c r="AC199">
        <f>VLOOKUP($A199,Table1[#This Row],COLUMN(AC198), FALSE)</f>
        <v>1</v>
      </c>
      <c r="AD199">
        <f>VLOOKUP($A199,Table1[#This Row],COLUMN(AD198), FALSE)</f>
        <v>3</v>
      </c>
    </row>
    <row r="200" spans="1:30" ht="15.75">
      <c r="A200" s="53" t="s">
        <v>1245</v>
      </c>
      <c r="B200" s="52">
        <f>VLOOKUP($A200,Table1[#This Row],COLUMN(B199), FALSE)</f>
        <v>41339</v>
      </c>
      <c r="C200" s="52">
        <f>VLOOKUP($A200,Table1[#This Row],COLUMN(C199), FALSE)</f>
        <v>41344</v>
      </c>
      <c r="D200" t="str">
        <f>VLOOKUP($A200,Table1[#This Row],COLUMN(D199), FALSE)</f>
        <v>Darren Koutras</v>
      </c>
      <c r="E200" t="str">
        <f>VLOOKUP($A200,Table1[#This Row],COLUMN(E199), FALSE)</f>
        <v>El Salvador</v>
      </c>
      <c r="F200" t="str">
        <f>VLOOKUP($A200,Table1[#This Row],COLUMN(F199), FALSE)</f>
        <v>Central America</v>
      </c>
      <c r="G200" t="str">
        <f>VLOOKUP($A200,Table1[#This Row],COLUMN(G199), FALSE)</f>
        <v>Office Supplies</v>
      </c>
      <c r="H200" t="str">
        <f>VLOOKUP($A200,Table1[#This Row],COLUMN(H199), FALSE)</f>
        <v>Chairs</v>
      </c>
      <c r="I200">
        <f>VLOOKUP($A200,Table1[#This Row],COLUMN(I199), FALSE)</f>
        <v>1903</v>
      </c>
      <c r="J200">
        <f>VLOOKUP($A200,Table1[#This Row],COLUMN(J199), FALSE)</f>
        <v>5</v>
      </c>
      <c r="K200">
        <f>VLOOKUP($A200,Table1[#This Row],COLUMN(K199), FALSE)</f>
        <v>0</v>
      </c>
      <c r="L200">
        <f>VLOOKUP($A200,Table1[#This Row],COLUMN(L199), FALSE)</f>
        <v>57</v>
      </c>
      <c r="M200" t="str">
        <f>VLOOKUP($A200,Table1[#This Row],COLUMN(M199), FALSE)</f>
        <v>High</v>
      </c>
      <c r="N200" t="str">
        <f>VLOOKUP($A200,Table1[#This Row],COLUMN(N199), FALSE)</f>
        <v>Normal Order</v>
      </c>
      <c r="O200" t="str">
        <f>VLOOKUP($A200,Table1[#This Row],COLUMN(O199), FALSE)</f>
        <v>Darren Koutras</v>
      </c>
      <c r="P200" t="str">
        <f>VLOOKUP($A200,Table1[#This Row],COLUMN(P199), FALSE)</f>
        <v xml:space="preserve"> M</v>
      </c>
      <c r="Q200" t="str">
        <f>VLOOKUP($A200,Table1[#This Row],COLUMN(Q199), FALSE)</f>
        <v>-201</v>
      </c>
      <c r="R200" t="str">
        <f>VLOOKUP($A200,Table1[#This Row],COLUMN(R199), FALSE)</f>
        <v>HIGH</v>
      </c>
      <c r="S200" t="str">
        <f>VLOOKUP($A200,Table1[#This Row],COLUMN(S199), FALSE)</f>
        <v>office supplies</v>
      </c>
      <c r="T200" t="str">
        <f>VLOOKUP($A200,Table1[#This Row],COLUMN(T199), FALSE)</f>
        <v xml:space="preserve">1339 </v>
      </c>
      <c r="U200" t="str">
        <f>VLOOKUP($A200,Table1[#This Row],COLUMN(U199), FALSE)</f>
        <v>DK1298539</v>
      </c>
      <c r="V200" t="str">
        <f>VLOOKUP($A200,Table1[#This Row],COLUMN(V199), FALSE)</f>
        <v xml:space="preserve"> MX</v>
      </c>
      <c r="W200">
        <f>VLOOKUP($A200,Table1[#This Row],COLUMN(W199), FALSE)</f>
        <v>2013</v>
      </c>
      <c r="X200" t="str">
        <f>VLOOKUP($A200,Table1[#This Row],COLUMN(X199), FALSE)</f>
        <v>DK1298539</v>
      </c>
      <c r="Y200">
        <f>VLOOKUP($A200,Table1[#This Row],COLUMN(Y199), FALSE)</f>
        <v>41339</v>
      </c>
      <c r="Z200" t="str">
        <f>VLOOKUP($A200,Table1[#This Row],COLUMN(Z199), FALSE)</f>
        <v>MX-2013-DK1298539-41339</v>
      </c>
      <c r="AA200">
        <f>VLOOKUP($A200,Table1[#This Row],COLUMN(AA199), FALSE)</f>
        <v>2013</v>
      </c>
      <c r="AB200">
        <f>VLOOKUP($A200,Table1[#This Row],COLUMN(AB199), FALSE)</f>
        <v>3</v>
      </c>
      <c r="AC200">
        <f>VLOOKUP($A200,Table1[#This Row],COLUMN(AC199), FALSE)</f>
        <v>4</v>
      </c>
      <c r="AD200">
        <f>VLOOKUP($A200,Table1[#This Row],COLUMN(AD199), FALSE)</f>
        <v>5</v>
      </c>
    </row>
    <row r="201" spans="1:30" ht="15.75">
      <c r="A201" s="54" t="s">
        <v>1228</v>
      </c>
      <c r="B201" s="52">
        <f>VLOOKUP($A201,Table1[#This Row],COLUMN(B200), FALSE)</f>
        <v>42328</v>
      </c>
      <c r="C201" s="52">
        <f>VLOOKUP($A201,Table1[#This Row],COLUMN(C200), FALSE)</f>
        <v>42330</v>
      </c>
      <c r="D201" t="str">
        <f>VLOOKUP($A201,Table1[#This Row],COLUMN(D200), FALSE)</f>
        <v>Aimee Bixby</v>
      </c>
      <c r="E201" t="str">
        <f>VLOOKUP($A201,Table1[#This Row],COLUMN(E200), FALSE)</f>
        <v>United States</v>
      </c>
      <c r="F201" t="str">
        <f>VLOOKUP($A201,Table1[#This Row],COLUMN(F200), FALSE)</f>
        <v>Central US</v>
      </c>
      <c r="G201" t="str">
        <f>VLOOKUP($A201,Table1[#This Row],COLUMN(G200), FALSE)</f>
        <v>Office Supplies</v>
      </c>
      <c r="H201" t="str">
        <f>VLOOKUP($A201,Table1[#This Row],COLUMN(H200), FALSE)</f>
        <v>Chairs</v>
      </c>
      <c r="I201">
        <f>VLOOKUP($A201,Table1[#This Row],COLUMN(I200), FALSE)</f>
        <v>16.896000000000001</v>
      </c>
      <c r="J201">
        <f>VLOOKUP($A201,Table1[#This Row],COLUMN(J200), FALSE)</f>
        <v>4</v>
      </c>
      <c r="K201">
        <f>VLOOKUP($A201,Table1[#This Row],COLUMN(K200), FALSE)</f>
        <v>0.2</v>
      </c>
      <c r="L201">
        <f>VLOOKUP($A201,Table1[#This Row],COLUMN(L200), FALSE)</f>
        <v>5.2799999999999896</v>
      </c>
      <c r="M201" t="str">
        <f>VLOOKUP($A201,Table1[#This Row],COLUMN(M200), FALSE)</f>
        <v>Medium</v>
      </c>
      <c r="N201" t="str">
        <f>VLOOKUP($A201,Table1[#This Row],COLUMN(N200), FALSE)</f>
        <v>Normal Order</v>
      </c>
      <c r="O201" t="str">
        <f>VLOOKUP($A201,Table1[#This Row],COLUMN(O200), FALSE)</f>
        <v>Aimee Bixby</v>
      </c>
      <c r="P201" t="str">
        <f>VLOOKUP($A201,Table1[#This Row],COLUMN(P200), FALSE)</f>
        <v>CA</v>
      </c>
      <c r="Q201" t="str">
        <f>VLOOKUP($A201,Table1[#This Row],COLUMN(Q200), FALSE)</f>
        <v>2015</v>
      </c>
      <c r="R201" t="str">
        <f>VLOOKUP($A201,Table1[#This Row],COLUMN(R200), FALSE)</f>
        <v>MEDIUM</v>
      </c>
      <c r="S201" t="str">
        <f>VLOOKUP($A201,Table1[#This Row],COLUMN(S200), FALSE)</f>
        <v>office supplies</v>
      </c>
      <c r="T201" t="str">
        <f>VLOOKUP($A201,Table1[#This Row],COLUMN(T200), FALSE)</f>
        <v>42328</v>
      </c>
      <c r="U201" t="str">
        <f>VLOOKUP($A201,Table1[#This Row],COLUMN(U200), FALSE)</f>
        <v>AB10150140</v>
      </c>
      <c r="V201" t="str">
        <f>VLOOKUP($A201,Table1[#This Row],COLUMN(V200), FALSE)</f>
        <v>CA</v>
      </c>
      <c r="W201">
        <f>VLOOKUP($A201,Table1[#This Row],COLUMN(W200), FALSE)</f>
        <v>2015</v>
      </c>
      <c r="X201" t="str">
        <f>VLOOKUP($A201,Table1[#This Row],COLUMN(X200), FALSE)</f>
        <v>AB10150140</v>
      </c>
      <c r="Y201">
        <f>VLOOKUP($A201,Table1[#This Row],COLUMN(Y200), FALSE)</f>
        <v>42328</v>
      </c>
      <c r="Z201" t="str">
        <f>VLOOKUP($A201,Table1[#This Row],COLUMN(Z200), FALSE)</f>
        <v>CA-2015-AB10150140-42328</v>
      </c>
      <c r="AA201">
        <f>VLOOKUP($A201,Table1[#This Row],COLUMN(AA200), FALSE)</f>
        <v>2015</v>
      </c>
      <c r="AB201">
        <f>VLOOKUP($A201,Table1[#This Row],COLUMN(AB200), FALSE)</f>
        <v>11</v>
      </c>
      <c r="AC201">
        <f>VLOOKUP($A201,Table1[#This Row],COLUMN(AC200), FALSE)</f>
        <v>6</v>
      </c>
      <c r="AD201">
        <f>VLOOKUP($A201,Table1[#This Row],COLUMN(AD200), FALSE)</f>
        <v>2</v>
      </c>
    </row>
    <row r="202" spans="1:30" ht="15.75">
      <c r="A202" s="53" t="s">
        <v>1247</v>
      </c>
      <c r="B202" s="52">
        <f>VLOOKUP($A202,Table1[#This Row],COLUMN(B201), FALSE)</f>
        <v>42222</v>
      </c>
      <c r="C202" s="52">
        <f>VLOOKUP($A202,Table1[#This Row],COLUMN(C201), FALSE)</f>
        <v>42222</v>
      </c>
      <c r="D202" t="str">
        <f>VLOOKUP($A202,Table1[#This Row],COLUMN(D201), FALSE)</f>
        <v>Rick Wilson</v>
      </c>
      <c r="E202" t="str">
        <f>VLOOKUP($A202,Table1[#This Row],COLUMN(E201), FALSE)</f>
        <v>Norway</v>
      </c>
      <c r="F202" t="str">
        <f>VLOOKUP($A202,Table1[#This Row],COLUMN(F201), FALSE)</f>
        <v>Northern Europe</v>
      </c>
      <c r="G202" t="str">
        <f>VLOOKUP($A202,Table1[#This Row],COLUMN(G201), FALSE)</f>
        <v>Technology</v>
      </c>
      <c r="H202" t="str">
        <f>VLOOKUP($A202,Table1[#This Row],COLUMN(H201), FALSE)</f>
        <v>Appliances</v>
      </c>
      <c r="I202">
        <f>VLOOKUP($A202,Table1[#This Row],COLUMN(I201), FALSE)</f>
        <v>1590.9</v>
      </c>
      <c r="J202">
        <f>VLOOKUP($A202,Table1[#This Row],COLUMN(J201), FALSE)</f>
        <v>5</v>
      </c>
      <c r="K202">
        <f>VLOOKUP($A202,Table1[#This Row],COLUMN(K201), FALSE)</f>
        <v>0</v>
      </c>
      <c r="L202">
        <f>VLOOKUP($A202,Table1[#This Row],COLUMN(L201), FALSE)</f>
        <v>508.94999999999902</v>
      </c>
      <c r="M202" t="str">
        <f>VLOOKUP($A202,Table1[#This Row],COLUMN(M201), FALSE)</f>
        <v>Medium</v>
      </c>
      <c r="N202" t="str">
        <f>VLOOKUP($A202,Table1[#This Row],COLUMN(N201), FALSE)</f>
        <v>Normal Order</v>
      </c>
      <c r="O202" t="str">
        <f>VLOOKUP($A202,Table1[#This Row],COLUMN(O201), FALSE)</f>
        <v>Rick Wilson</v>
      </c>
      <c r="P202" t="str">
        <f>VLOOKUP($A202,Table1[#This Row],COLUMN(P201), FALSE)</f>
        <v>ES</v>
      </c>
      <c r="Q202" t="str">
        <f>VLOOKUP($A202,Table1[#This Row],COLUMN(Q201), FALSE)</f>
        <v>2015</v>
      </c>
      <c r="R202" t="str">
        <f>VLOOKUP($A202,Table1[#This Row],COLUMN(R201), FALSE)</f>
        <v>MEDIUM</v>
      </c>
      <c r="S202" t="str">
        <f>VLOOKUP($A202,Table1[#This Row],COLUMN(S201), FALSE)</f>
        <v>technology</v>
      </c>
      <c r="T202" t="str">
        <f>VLOOKUP($A202,Table1[#This Row],COLUMN(T201), FALSE)</f>
        <v>42222</v>
      </c>
      <c r="U202" t="str">
        <f>VLOOKUP($A202,Table1[#This Row],COLUMN(U201), FALSE)</f>
        <v>RW1954096</v>
      </c>
      <c r="V202" t="str">
        <f>VLOOKUP($A202,Table1[#This Row],COLUMN(V201), FALSE)</f>
        <v>ES</v>
      </c>
      <c r="W202">
        <f>VLOOKUP($A202,Table1[#This Row],COLUMN(W201), FALSE)</f>
        <v>2015</v>
      </c>
      <c r="X202" t="str">
        <f>VLOOKUP($A202,Table1[#This Row],COLUMN(X201), FALSE)</f>
        <v>RW1954096</v>
      </c>
      <c r="Y202">
        <f>VLOOKUP($A202,Table1[#This Row],COLUMN(Y201), FALSE)</f>
        <v>42222</v>
      </c>
      <c r="Z202" t="str">
        <f>VLOOKUP($A202,Table1[#This Row],COLUMN(Z201), FALSE)</f>
        <v>ES-2015-RW1954096-42222</v>
      </c>
      <c r="AA202">
        <f>VLOOKUP($A202,Table1[#This Row],COLUMN(AA201), FALSE)</f>
        <v>2015</v>
      </c>
      <c r="AB202">
        <f>VLOOKUP($A202,Table1[#This Row],COLUMN(AB201), FALSE)</f>
        <v>8</v>
      </c>
      <c r="AC202">
        <f>VLOOKUP($A202,Table1[#This Row],COLUMN(AC201), FALSE)</f>
        <v>5</v>
      </c>
      <c r="AD202">
        <f>VLOOKUP($A202,Table1[#This Row],COLUMN(AD201), FALSE)</f>
        <v>0</v>
      </c>
    </row>
    <row r="203" spans="1:30" ht="15.75">
      <c r="A203" s="54" t="s">
        <v>1249</v>
      </c>
      <c r="B203" s="52">
        <f>VLOOKUP($A203,Table1[#This Row],COLUMN(B202), FALSE)</f>
        <v>42173</v>
      </c>
      <c r="C203" s="52">
        <f>VLOOKUP($A203,Table1[#This Row],COLUMN(C202), FALSE)</f>
        <v>42176</v>
      </c>
      <c r="D203" t="str">
        <f>VLOOKUP($A203,Table1[#This Row],COLUMN(D202), FALSE)</f>
        <v>Evan Henry</v>
      </c>
      <c r="E203" t="str">
        <f>VLOOKUP($A203,Table1[#This Row],COLUMN(E202), FALSE)</f>
        <v>Iraq</v>
      </c>
      <c r="F203" t="str">
        <f>VLOOKUP($A203,Table1[#This Row],COLUMN(F202), FALSE)</f>
        <v>Western Asia</v>
      </c>
      <c r="G203" t="str">
        <f>VLOOKUP($A203,Table1[#This Row],COLUMN(G202), FALSE)</f>
        <v>Furniture</v>
      </c>
      <c r="H203" t="str">
        <f>VLOOKUP($A203,Table1[#This Row],COLUMN(H202), FALSE)</f>
        <v>Chairs</v>
      </c>
      <c r="I203">
        <f>VLOOKUP($A203,Table1[#This Row],COLUMN(I202), FALSE)</f>
        <v>1467.36</v>
      </c>
      <c r="J203">
        <f>VLOOKUP($A203,Table1[#This Row],COLUMN(J202), FALSE)</f>
        <v>4</v>
      </c>
      <c r="K203">
        <f>VLOOKUP($A203,Table1[#This Row],COLUMN(K202), FALSE)</f>
        <v>0</v>
      </c>
      <c r="L203">
        <f>VLOOKUP($A203,Table1[#This Row],COLUMN(L202), FALSE)</f>
        <v>469.43999999999897</v>
      </c>
      <c r="M203" t="str">
        <f>VLOOKUP($A203,Table1[#This Row],COLUMN(M202), FALSE)</f>
        <v>High</v>
      </c>
      <c r="N203" t="str">
        <f>VLOOKUP($A203,Table1[#This Row],COLUMN(N202), FALSE)</f>
        <v>Normal Order</v>
      </c>
      <c r="O203" t="str">
        <f>VLOOKUP($A203,Table1[#This Row],COLUMN(O202), FALSE)</f>
        <v>Evan Henry</v>
      </c>
      <c r="P203" t="str">
        <f>VLOOKUP($A203,Table1[#This Row],COLUMN(P202), FALSE)</f>
        <v>IZ</v>
      </c>
      <c r="Q203" t="str">
        <f>VLOOKUP($A203,Table1[#This Row],COLUMN(Q202), FALSE)</f>
        <v>2015</v>
      </c>
      <c r="R203" t="str">
        <f>VLOOKUP($A203,Table1[#This Row],COLUMN(R202), FALSE)</f>
        <v>HIGH</v>
      </c>
      <c r="S203" t="str">
        <f>VLOOKUP($A203,Table1[#This Row],COLUMN(S202), FALSE)</f>
        <v>furniture</v>
      </c>
      <c r="T203" t="str">
        <f>VLOOKUP($A203,Table1[#This Row],COLUMN(T202), FALSE)</f>
        <v>42173</v>
      </c>
      <c r="U203" t="str">
        <f>VLOOKUP($A203,Table1[#This Row],COLUMN(U202), FALSE)</f>
        <v>EH418561</v>
      </c>
      <c r="V203" t="str">
        <f>VLOOKUP($A203,Table1[#This Row],COLUMN(V202), FALSE)</f>
        <v>IZ</v>
      </c>
      <c r="W203">
        <f>VLOOKUP($A203,Table1[#This Row],COLUMN(W202), FALSE)</f>
        <v>2015</v>
      </c>
      <c r="X203" t="str">
        <f>VLOOKUP($A203,Table1[#This Row],COLUMN(X202), FALSE)</f>
        <v>EH418561</v>
      </c>
      <c r="Y203">
        <f>VLOOKUP($A203,Table1[#This Row],COLUMN(Y202), FALSE)</f>
        <v>42173</v>
      </c>
      <c r="Z203" t="str">
        <f>VLOOKUP($A203,Table1[#This Row],COLUMN(Z202), FALSE)</f>
        <v>IZ-2015-EH418561-42173</v>
      </c>
      <c r="AA203">
        <f>VLOOKUP($A203,Table1[#This Row],COLUMN(AA202), FALSE)</f>
        <v>2015</v>
      </c>
      <c r="AB203">
        <f>VLOOKUP($A203,Table1[#This Row],COLUMN(AB202), FALSE)</f>
        <v>6</v>
      </c>
      <c r="AC203">
        <f>VLOOKUP($A203,Table1[#This Row],COLUMN(AC202), FALSE)</f>
        <v>5</v>
      </c>
      <c r="AD203">
        <f>VLOOKUP($A203,Table1[#This Row],COLUMN(AD202), FALSE)</f>
        <v>3</v>
      </c>
    </row>
    <row r="204" spans="1:30" ht="15.75">
      <c r="A204" s="53" t="s">
        <v>1251</v>
      </c>
      <c r="B204" s="52">
        <f>VLOOKUP($A204,Table1[#This Row],COLUMN(B203), FALSE)</f>
        <v>42369</v>
      </c>
      <c r="C204" s="52">
        <f>VLOOKUP($A204,Table1[#This Row],COLUMN(C203), FALSE)</f>
        <v>42370</v>
      </c>
      <c r="D204" t="str">
        <f>VLOOKUP($A204,Table1[#This Row],COLUMN(D203), FALSE)</f>
        <v>Marina Lichtenstein</v>
      </c>
      <c r="E204" t="str">
        <f>VLOOKUP($A204,Table1[#This Row],COLUMN(E203), FALSE)</f>
        <v>Indonesia</v>
      </c>
      <c r="F204" t="str">
        <f>VLOOKUP($A204,Table1[#This Row],COLUMN(F203), FALSE)</f>
        <v>Southeastern Asia</v>
      </c>
      <c r="G204" t="str">
        <f>VLOOKUP($A204,Table1[#This Row],COLUMN(G203), FALSE)</f>
        <v>Furniture</v>
      </c>
      <c r="H204" t="str">
        <f>VLOOKUP($A204,Table1[#This Row],COLUMN(H203), FALSE)</f>
        <v>Copiers</v>
      </c>
      <c r="I204">
        <f>VLOOKUP($A204,Table1[#This Row],COLUMN(I203), FALSE)</f>
        <v>1091.28059999999</v>
      </c>
      <c r="J204">
        <f>VLOOKUP($A204,Table1[#This Row],COLUMN(J203), FALSE)</f>
        <v>3</v>
      </c>
      <c r="K204">
        <f>VLOOKUP($A204,Table1[#This Row],COLUMN(K203), FALSE)</f>
        <v>7.0000000000000007E-2</v>
      </c>
      <c r="L204">
        <f>VLOOKUP($A204,Table1[#This Row],COLUMN(L203), FALSE)</f>
        <v>46.920599999999901</v>
      </c>
      <c r="M204" t="str">
        <f>VLOOKUP($A204,Table1[#This Row],COLUMN(M203), FALSE)</f>
        <v>High</v>
      </c>
      <c r="N204" t="str">
        <f>VLOOKUP($A204,Table1[#This Row],COLUMN(N203), FALSE)</f>
        <v>Normal Order</v>
      </c>
      <c r="O204" t="str">
        <f>VLOOKUP($A204,Table1[#This Row],COLUMN(O203), FALSE)</f>
        <v>Marina Lichtenstein</v>
      </c>
      <c r="P204" t="str">
        <f>VLOOKUP($A204,Table1[#This Row],COLUMN(P203), FALSE)</f>
        <v>IN</v>
      </c>
      <c r="Q204" t="str">
        <f>VLOOKUP($A204,Table1[#This Row],COLUMN(Q203), FALSE)</f>
        <v>2015</v>
      </c>
      <c r="R204" t="str">
        <f>VLOOKUP($A204,Table1[#This Row],COLUMN(R203), FALSE)</f>
        <v>HIGH</v>
      </c>
      <c r="S204" t="str">
        <f>VLOOKUP($A204,Table1[#This Row],COLUMN(S203), FALSE)</f>
        <v>furniture</v>
      </c>
      <c r="T204" t="str">
        <f>VLOOKUP($A204,Table1[#This Row],COLUMN(T203), FALSE)</f>
        <v>42369</v>
      </c>
      <c r="U204" t="str">
        <f>VLOOKUP($A204,Table1[#This Row],COLUMN(U203), FALSE)</f>
        <v>ML1739559</v>
      </c>
      <c r="V204" t="str">
        <f>VLOOKUP($A204,Table1[#This Row],COLUMN(V203), FALSE)</f>
        <v>IN</v>
      </c>
      <c r="W204">
        <f>VLOOKUP($A204,Table1[#This Row],COLUMN(W203), FALSE)</f>
        <v>2015</v>
      </c>
      <c r="X204" t="str">
        <f>VLOOKUP($A204,Table1[#This Row],COLUMN(X203), FALSE)</f>
        <v>ML1739559</v>
      </c>
      <c r="Y204">
        <f>VLOOKUP($A204,Table1[#This Row],COLUMN(Y203), FALSE)</f>
        <v>42369</v>
      </c>
      <c r="Z204" t="str">
        <f>VLOOKUP($A204,Table1[#This Row],COLUMN(Z203), FALSE)</f>
        <v>IN-2015-ML1739559-42369</v>
      </c>
      <c r="AA204">
        <f>VLOOKUP($A204,Table1[#This Row],COLUMN(AA203), FALSE)</f>
        <v>2015</v>
      </c>
      <c r="AB204">
        <f>VLOOKUP($A204,Table1[#This Row],COLUMN(AB203), FALSE)</f>
        <v>12</v>
      </c>
      <c r="AC204">
        <f>VLOOKUP($A204,Table1[#This Row],COLUMN(AC203), FALSE)</f>
        <v>5</v>
      </c>
      <c r="AD204">
        <f>VLOOKUP($A204,Table1[#This Row],COLUMN(AD203), FALSE)</f>
        <v>1</v>
      </c>
    </row>
    <row r="205" spans="1:30" ht="15.75">
      <c r="A205" s="54" t="s">
        <v>1256</v>
      </c>
      <c r="B205" s="52">
        <f>VLOOKUP($A205,Table1[#This Row],COLUMN(B204), FALSE)</f>
        <v>42332</v>
      </c>
      <c r="C205" s="52">
        <f>VLOOKUP($A205,Table1[#This Row],COLUMN(C204), FALSE)</f>
        <v>42334</v>
      </c>
      <c r="D205" t="str">
        <f>VLOOKUP($A205,Table1[#This Row],COLUMN(D204), FALSE)</f>
        <v>Kean Nguyen</v>
      </c>
      <c r="E205" t="str">
        <f>VLOOKUP($A205,Table1[#This Row],COLUMN(E204), FALSE)</f>
        <v>Australia</v>
      </c>
      <c r="F205" t="str">
        <f>VLOOKUP($A205,Table1[#This Row],COLUMN(F204), FALSE)</f>
        <v>Oceania</v>
      </c>
      <c r="G205" t="str">
        <f>VLOOKUP($A205,Table1[#This Row],COLUMN(G204), FALSE)</f>
        <v>Technology</v>
      </c>
      <c r="H205" t="str">
        <f>VLOOKUP($A205,Table1[#This Row],COLUMN(H204), FALSE)</f>
        <v>Tables</v>
      </c>
      <c r="I205">
        <f>VLOOKUP($A205,Table1[#This Row],COLUMN(I204), FALSE)</f>
        <v>2863.35</v>
      </c>
      <c r="J205">
        <f>VLOOKUP($A205,Table1[#This Row],COLUMN(J204), FALSE)</f>
        <v>5</v>
      </c>
      <c r="K205">
        <f>VLOOKUP($A205,Table1[#This Row],COLUMN(K204), FALSE)</f>
        <v>0.1</v>
      </c>
      <c r="L205">
        <f>VLOOKUP($A205,Table1[#This Row],COLUMN(L204), FALSE)</f>
        <v>858.9</v>
      </c>
      <c r="M205" t="str">
        <f>VLOOKUP($A205,Table1[#This Row],COLUMN(M204), FALSE)</f>
        <v>Medium</v>
      </c>
      <c r="N205" t="str">
        <f>VLOOKUP($A205,Table1[#This Row],COLUMN(N204), FALSE)</f>
        <v>Normal Order</v>
      </c>
      <c r="O205" t="str">
        <f>VLOOKUP($A205,Table1[#This Row],COLUMN(O204), FALSE)</f>
        <v>Kean Nguyen</v>
      </c>
      <c r="P205" t="str">
        <f>VLOOKUP($A205,Table1[#This Row],COLUMN(P204), FALSE)</f>
        <v>IN</v>
      </c>
      <c r="Q205" t="str">
        <f>VLOOKUP($A205,Table1[#This Row],COLUMN(Q204), FALSE)</f>
        <v>2015</v>
      </c>
      <c r="R205" t="str">
        <f>VLOOKUP($A205,Table1[#This Row],COLUMN(R204), FALSE)</f>
        <v>MEDIUM</v>
      </c>
      <c r="S205" t="str">
        <f>VLOOKUP($A205,Table1[#This Row],COLUMN(S204), FALSE)</f>
        <v>technology</v>
      </c>
      <c r="T205" t="str">
        <f>VLOOKUP($A205,Table1[#This Row],COLUMN(T204), FALSE)</f>
        <v>42332</v>
      </c>
      <c r="U205" t="str">
        <f>VLOOKUP($A205,Table1[#This Row],COLUMN(U204), FALSE)</f>
        <v>KN164507</v>
      </c>
      <c r="V205" t="str">
        <f>VLOOKUP($A205,Table1[#This Row],COLUMN(V204), FALSE)</f>
        <v>IN</v>
      </c>
      <c r="W205">
        <f>VLOOKUP($A205,Table1[#This Row],COLUMN(W204), FALSE)</f>
        <v>2015</v>
      </c>
      <c r="X205" t="str">
        <f>VLOOKUP($A205,Table1[#This Row],COLUMN(X204), FALSE)</f>
        <v>KN164507</v>
      </c>
      <c r="Y205">
        <f>VLOOKUP($A205,Table1[#This Row],COLUMN(Y204), FALSE)</f>
        <v>42332</v>
      </c>
      <c r="Z205" t="str">
        <f>VLOOKUP($A205,Table1[#This Row],COLUMN(Z204), FALSE)</f>
        <v>IN-2015-KN164507-42332</v>
      </c>
      <c r="AA205">
        <f>VLOOKUP($A205,Table1[#This Row],COLUMN(AA204), FALSE)</f>
        <v>2015</v>
      </c>
      <c r="AB205">
        <f>VLOOKUP($A205,Table1[#This Row],COLUMN(AB204), FALSE)</f>
        <v>11</v>
      </c>
      <c r="AC205">
        <f>VLOOKUP($A205,Table1[#This Row],COLUMN(AC204), FALSE)</f>
        <v>3</v>
      </c>
      <c r="AD205">
        <f>VLOOKUP($A205,Table1[#This Row],COLUMN(AD204), FALSE)</f>
        <v>2</v>
      </c>
    </row>
    <row r="206" spans="1:30" ht="15.75">
      <c r="A206" s="53" t="s">
        <v>1259</v>
      </c>
      <c r="B206" s="52">
        <f>VLOOKUP($A206,Table1[#This Row],COLUMN(B205), FALSE)</f>
        <v>42312</v>
      </c>
      <c r="C206" s="52">
        <f>VLOOKUP($A206,Table1[#This Row],COLUMN(C205), FALSE)</f>
        <v>42315</v>
      </c>
      <c r="D206" t="str">
        <f>VLOOKUP($A206,Table1[#This Row],COLUMN(D205), FALSE)</f>
        <v>Cyma Kinney</v>
      </c>
      <c r="E206" t="str">
        <f>VLOOKUP($A206,Table1[#This Row],COLUMN(E205), FALSE)</f>
        <v>France</v>
      </c>
      <c r="F206" t="str">
        <f>VLOOKUP($A206,Table1[#This Row],COLUMN(F205), FALSE)</f>
        <v>Western Europe</v>
      </c>
      <c r="G206" t="str">
        <f>VLOOKUP($A206,Table1[#This Row],COLUMN(G205), FALSE)</f>
        <v>Technology</v>
      </c>
      <c r="H206" t="str">
        <f>VLOOKUP($A206,Table1[#This Row],COLUMN(H205), FALSE)</f>
        <v>Phones</v>
      </c>
      <c r="I206">
        <f>VLOOKUP($A206,Table1[#This Row],COLUMN(I205), FALSE)</f>
        <v>765.45899999999995</v>
      </c>
      <c r="J206">
        <f>VLOOKUP($A206,Table1[#This Row],COLUMN(J205), FALSE)</f>
        <v>3</v>
      </c>
      <c r="K206">
        <f>VLOOKUP($A206,Table1[#This Row],COLUMN(K205), FALSE)</f>
        <v>0.15</v>
      </c>
      <c r="L206">
        <f>VLOOKUP($A206,Table1[#This Row],COLUMN(L205), FALSE)</f>
        <v>-36.081000000000003</v>
      </c>
      <c r="M206" t="str">
        <f>VLOOKUP($A206,Table1[#This Row],COLUMN(M205), FALSE)</f>
        <v>Critical</v>
      </c>
      <c r="N206" t="str">
        <f>VLOOKUP($A206,Table1[#This Row],COLUMN(N205), FALSE)</f>
        <v>Normal Order</v>
      </c>
      <c r="O206" t="str">
        <f>VLOOKUP($A206,Table1[#This Row],COLUMN(O205), FALSE)</f>
        <v>Cyma Kinney</v>
      </c>
      <c r="P206" t="str">
        <f>VLOOKUP($A206,Table1[#This Row],COLUMN(P205), FALSE)</f>
        <v>ES</v>
      </c>
      <c r="Q206" t="str">
        <f>VLOOKUP($A206,Table1[#This Row],COLUMN(Q205), FALSE)</f>
        <v>2015</v>
      </c>
      <c r="R206" t="str">
        <f>VLOOKUP($A206,Table1[#This Row],COLUMN(R205), FALSE)</f>
        <v>CRITICAL</v>
      </c>
      <c r="S206" t="str">
        <f>VLOOKUP($A206,Table1[#This Row],COLUMN(S205), FALSE)</f>
        <v>technology</v>
      </c>
      <c r="T206" t="str">
        <f>VLOOKUP($A206,Table1[#This Row],COLUMN(T205), FALSE)</f>
        <v>42312</v>
      </c>
      <c r="U206" t="str">
        <f>VLOOKUP($A206,Table1[#This Row],COLUMN(U205), FALSE)</f>
        <v>CK1276045</v>
      </c>
      <c r="V206" t="str">
        <f>VLOOKUP($A206,Table1[#This Row],COLUMN(V205), FALSE)</f>
        <v>ES</v>
      </c>
      <c r="W206">
        <f>VLOOKUP($A206,Table1[#This Row],COLUMN(W205), FALSE)</f>
        <v>2015</v>
      </c>
      <c r="X206" t="str">
        <f>VLOOKUP($A206,Table1[#This Row],COLUMN(X205), FALSE)</f>
        <v>CK1276045</v>
      </c>
      <c r="Y206">
        <f>VLOOKUP($A206,Table1[#This Row],COLUMN(Y205), FALSE)</f>
        <v>42312</v>
      </c>
      <c r="Z206" t="str">
        <f>VLOOKUP($A206,Table1[#This Row],COLUMN(Z205), FALSE)</f>
        <v>ES-2015-CK1276045-42312</v>
      </c>
      <c r="AA206">
        <f>VLOOKUP($A206,Table1[#This Row],COLUMN(AA205), FALSE)</f>
        <v>2015</v>
      </c>
      <c r="AB206">
        <f>VLOOKUP($A206,Table1[#This Row],COLUMN(AB205), FALSE)</f>
        <v>11</v>
      </c>
      <c r="AC206">
        <f>VLOOKUP($A206,Table1[#This Row],COLUMN(AC205), FALSE)</f>
        <v>4</v>
      </c>
      <c r="AD206">
        <f>VLOOKUP($A206,Table1[#This Row],COLUMN(AD205), FALSE)</f>
        <v>3</v>
      </c>
    </row>
    <row r="207" spans="1:30" ht="15.75">
      <c r="A207" s="54" t="s">
        <v>1261</v>
      </c>
      <c r="B207" s="52">
        <f>VLOOKUP($A207,Table1[#This Row],COLUMN(B206), FALSE)</f>
        <v>42248</v>
      </c>
      <c r="C207" s="52">
        <f>VLOOKUP($A207,Table1[#This Row],COLUMN(C206), FALSE)</f>
        <v>42251</v>
      </c>
      <c r="D207" t="str">
        <f>VLOOKUP($A207,Table1[#This Row],COLUMN(D206), FALSE)</f>
        <v>Phillip Breyer</v>
      </c>
      <c r="E207" t="str">
        <f>VLOOKUP($A207,Table1[#This Row],COLUMN(E206), FALSE)</f>
        <v>Australia</v>
      </c>
      <c r="F207" t="str">
        <f>VLOOKUP($A207,Table1[#This Row],COLUMN(F206), FALSE)</f>
        <v>Oceania</v>
      </c>
      <c r="G207" t="str">
        <f>VLOOKUP($A207,Table1[#This Row],COLUMN(G206), FALSE)</f>
        <v>Office Supplies</v>
      </c>
      <c r="H207" t="str">
        <f>VLOOKUP($A207,Table1[#This Row],COLUMN(H206), FALSE)</f>
        <v>Chairs</v>
      </c>
      <c r="I207">
        <f>VLOOKUP($A207,Table1[#This Row],COLUMN(I206), FALSE)</f>
        <v>1887.84</v>
      </c>
      <c r="J207">
        <f>VLOOKUP($A207,Table1[#This Row],COLUMN(J206), FALSE)</f>
        <v>4</v>
      </c>
      <c r="K207">
        <f>VLOOKUP($A207,Table1[#This Row],COLUMN(K206), FALSE)</f>
        <v>0.1</v>
      </c>
      <c r="L207">
        <f>VLOOKUP($A207,Table1[#This Row],COLUMN(L206), FALSE)</f>
        <v>0</v>
      </c>
      <c r="M207" t="str">
        <f>VLOOKUP($A207,Table1[#This Row],COLUMN(M206), FALSE)</f>
        <v>Medium</v>
      </c>
      <c r="N207" t="str">
        <f>VLOOKUP($A207,Table1[#This Row],COLUMN(N206), FALSE)</f>
        <v>Normal Order</v>
      </c>
      <c r="O207" t="str">
        <f>VLOOKUP($A207,Table1[#This Row],COLUMN(O206), FALSE)</f>
        <v>Phillip Breyer</v>
      </c>
      <c r="P207" t="str">
        <f>VLOOKUP($A207,Table1[#This Row],COLUMN(P206), FALSE)</f>
        <v>IN</v>
      </c>
      <c r="Q207" t="str">
        <f>VLOOKUP($A207,Table1[#This Row],COLUMN(Q206), FALSE)</f>
        <v>2015</v>
      </c>
      <c r="R207" t="str">
        <f>VLOOKUP($A207,Table1[#This Row],COLUMN(R206), FALSE)</f>
        <v>MEDIUM</v>
      </c>
      <c r="S207" t="str">
        <f>VLOOKUP($A207,Table1[#This Row],COLUMN(S206), FALSE)</f>
        <v>office supplies</v>
      </c>
      <c r="T207" t="str">
        <f>VLOOKUP($A207,Table1[#This Row],COLUMN(T206), FALSE)</f>
        <v>42248</v>
      </c>
      <c r="U207" t="str">
        <f>VLOOKUP($A207,Table1[#This Row],COLUMN(U206), FALSE)</f>
        <v>PB192107</v>
      </c>
      <c r="V207" t="str">
        <f>VLOOKUP($A207,Table1[#This Row],COLUMN(V206), FALSE)</f>
        <v>IN</v>
      </c>
      <c r="W207">
        <f>VLOOKUP($A207,Table1[#This Row],COLUMN(W206), FALSE)</f>
        <v>2015</v>
      </c>
      <c r="X207" t="str">
        <f>VLOOKUP($A207,Table1[#This Row],COLUMN(X206), FALSE)</f>
        <v>PB192107</v>
      </c>
      <c r="Y207">
        <f>VLOOKUP($A207,Table1[#This Row],COLUMN(Y206), FALSE)</f>
        <v>42248</v>
      </c>
      <c r="Z207" t="str">
        <f>VLOOKUP($A207,Table1[#This Row],COLUMN(Z206), FALSE)</f>
        <v>IN-2015-PB192107-42248</v>
      </c>
      <c r="AA207">
        <f>VLOOKUP($A207,Table1[#This Row],COLUMN(AA206), FALSE)</f>
        <v>2015</v>
      </c>
      <c r="AB207">
        <f>VLOOKUP($A207,Table1[#This Row],COLUMN(AB206), FALSE)</f>
        <v>9</v>
      </c>
      <c r="AC207">
        <f>VLOOKUP($A207,Table1[#This Row],COLUMN(AC206), FALSE)</f>
        <v>3</v>
      </c>
      <c r="AD207">
        <f>VLOOKUP($A207,Table1[#This Row],COLUMN(AD206), FALSE)</f>
        <v>3</v>
      </c>
    </row>
    <row r="208" spans="1:30" ht="15.75">
      <c r="A208" s="53" t="s">
        <v>1266</v>
      </c>
      <c r="B208" s="52">
        <f>VLOOKUP($A208,Table1[#This Row],COLUMN(B207), FALSE)</f>
        <v>42111</v>
      </c>
      <c r="C208" s="52">
        <f>VLOOKUP($A208,Table1[#This Row],COLUMN(C207), FALSE)</f>
        <v>42114</v>
      </c>
      <c r="D208" t="str">
        <f>VLOOKUP($A208,Table1[#This Row],COLUMN(D207), FALSE)</f>
        <v>Andrew Allen</v>
      </c>
      <c r="E208" t="str">
        <f>VLOOKUP($A208,Table1[#This Row],COLUMN(E207), FALSE)</f>
        <v>Cuba</v>
      </c>
      <c r="F208" t="str">
        <f>VLOOKUP($A208,Table1[#This Row],COLUMN(F207), FALSE)</f>
        <v>Caribbean</v>
      </c>
      <c r="G208" t="str">
        <f>VLOOKUP($A208,Table1[#This Row],COLUMN(G207), FALSE)</f>
        <v>Office Supplies</v>
      </c>
      <c r="H208" t="str">
        <f>VLOOKUP($A208,Table1[#This Row],COLUMN(H207), FALSE)</f>
        <v>Phones</v>
      </c>
      <c r="I208" t="str">
        <f>VLOOKUP($A208,Table1[#This Row],COLUMN(I207), FALSE)</f>
        <v>missing</v>
      </c>
      <c r="J208">
        <f>VLOOKUP($A208,Table1[#This Row],COLUMN(J207), FALSE)</f>
        <v>5</v>
      </c>
      <c r="K208">
        <f>VLOOKUP($A208,Table1[#This Row],COLUMN(K207), FALSE)</f>
        <v>0</v>
      </c>
      <c r="L208">
        <f>VLOOKUP($A208,Table1[#This Row],COLUMN(L207), FALSE)</f>
        <v>180.1</v>
      </c>
      <c r="M208" t="str">
        <f>VLOOKUP($A208,Table1[#This Row],COLUMN(M207), FALSE)</f>
        <v>Medium</v>
      </c>
      <c r="N208" t="str">
        <f>VLOOKUP($A208,Table1[#This Row],COLUMN(N207), FALSE)</f>
        <v>Normal Order</v>
      </c>
      <c r="O208" t="str">
        <f>VLOOKUP($A208,Table1[#This Row],COLUMN(O207), FALSE)</f>
        <v>Andrew Allen</v>
      </c>
      <c r="P208" t="str">
        <f>VLOOKUP($A208,Table1[#This Row],COLUMN(P207), FALSE)</f>
        <v>MX</v>
      </c>
      <c r="Q208" t="str">
        <f>VLOOKUP($A208,Table1[#This Row],COLUMN(Q207), FALSE)</f>
        <v>2015</v>
      </c>
      <c r="R208" t="str">
        <f>VLOOKUP($A208,Table1[#This Row],COLUMN(R207), FALSE)</f>
        <v>MEDIUM</v>
      </c>
      <c r="S208" t="str">
        <f>VLOOKUP($A208,Table1[#This Row],COLUMN(S207), FALSE)</f>
        <v>office supplies</v>
      </c>
      <c r="T208" t="str">
        <f>VLOOKUP($A208,Table1[#This Row],COLUMN(T207), FALSE)</f>
        <v>42111</v>
      </c>
      <c r="U208" t="str">
        <f>VLOOKUP($A208,Table1[#This Row],COLUMN(U207), FALSE)</f>
        <v>AA1048031</v>
      </c>
      <c r="V208" t="str">
        <f>VLOOKUP($A208,Table1[#This Row],COLUMN(V207), FALSE)</f>
        <v>MX</v>
      </c>
      <c r="W208">
        <f>VLOOKUP($A208,Table1[#This Row],COLUMN(W207), FALSE)</f>
        <v>2015</v>
      </c>
      <c r="X208" t="str">
        <f>VLOOKUP($A208,Table1[#This Row],COLUMN(X207), FALSE)</f>
        <v>AA1048031</v>
      </c>
      <c r="Y208">
        <f>VLOOKUP($A208,Table1[#This Row],COLUMN(Y207), FALSE)</f>
        <v>42111</v>
      </c>
      <c r="Z208" t="str">
        <f>VLOOKUP($A208,Table1[#This Row],COLUMN(Z207), FALSE)</f>
        <v>MX-2015-AA1048031-42111</v>
      </c>
      <c r="AA208">
        <f>VLOOKUP($A208,Table1[#This Row],COLUMN(AA207), FALSE)</f>
        <v>2015</v>
      </c>
      <c r="AB208">
        <f>VLOOKUP($A208,Table1[#This Row],COLUMN(AB207), FALSE)</f>
        <v>4</v>
      </c>
      <c r="AC208">
        <f>VLOOKUP($A208,Table1[#This Row],COLUMN(AC207), FALSE)</f>
        <v>6</v>
      </c>
      <c r="AD208">
        <f>VLOOKUP($A208,Table1[#This Row],COLUMN(AD207), FALSE)</f>
        <v>3</v>
      </c>
    </row>
    <row r="209" spans="1:30" ht="15.75">
      <c r="A209" s="54" t="s">
        <v>154</v>
      </c>
      <c r="B209" s="52">
        <f>VLOOKUP($A209,Table1[#This Row],COLUMN(B208), FALSE)</f>
        <v>41706</v>
      </c>
      <c r="C209" s="52">
        <f>VLOOKUP($A209,Table1[#This Row],COLUMN(C208), FALSE)</f>
        <v>41706</v>
      </c>
      <c r="D209" t="str">
        <f>VLOOKUP($A209,Table1[#This Row],COLUMN(D208), FALSE)</f>
        <v>Ellis Ballard</v>
      </c>
      <c r="E209" t="str">
        <f>VLOOKUP($A209,Table1[#This Row],COLUMN(E208), FALSE)</f>
        <v>France</v>
      </c>
      <c r="F209" t="str">
        <f>VLOOKUP($A209,Table1[#This Row],COLUMN(F208), FALSE)</f>
        <v>Western Europe</v>
      </c>
      <c r="G209" t="str">
        <f>VLOOKUP($A209,Table1[#This Row],COLUMN(G208), FALSE)</f>
        <v>Technology</v>
      </c>
      <c r="H209" t="str">
        <f>VLOOKUP($A209,Table1[#This Row],COLUMN(H208), FALSE)</f>
        <v>Appliances</v>
      </c>
      <c r="I209">
        <f>VLOOKUP($A209,Table1[#This Row],COLUMN(I208), FALSE)</f>
        <v>779.28</v>
      </c>
      <c r="J209">
        <f>VLOOKUP($A209,Table1[#This Row],COLUMN(J208), FALSE)</f>
        <v>5</v>
      </c>
      <c r="K209">
        <f>VLOOKUP($A209,Table1[#This Row],COLUMN(K208), FALSE)</f>
        <v>0.15</v>
      </c>
      <c r="L209">
        <f>VLOOKUP($A209,Table1[#This Row],COLUMN(L208), FALSE)</f>
        <v>-0.119999999999976</v>
      </c>
      <c r="M209" t="str">
        <f>VLOOKUP($A209,Table1[#This Row],COLUMN(M208), FALSE)</f>
        <v>Critical</v>
      </c>
      <c r="N209" t="str">
        <f>VLOOKUP($A209,Table1[#This Row],COLUMN(N208), FALSE)</f>
        <v>Normal Order</v>
      </c>
      <c r="O209" t="str">
        <f>VLOOKUP($A209,Table1[#This Row],COLUMN(O208), FALSE)</f>
        <v>Ellis Ballard</v>
      </c>
      <c r="P209" t="str">
        <f>VLOOKUP($A209,Table1[#This Row],COLUMN(P208), FALSE)</f>
        <v>IT</v>
      </c>
      <c r="Q209" t="str">
        <f>VLOOKUP($A209,Table1[#This Row],COLUMN(Q208), FALSE)</f>
        <v>2014</v>
      </c>
      <c r="R209" t="str">
        <f>VLOOKUP($A209,Table1[#This Row],COLUMN(R208), FALSE)</f>
        <v>CRITICAL</v>
      </c>
      <c r="S209" t="str">
        <f>VLOOKUP($A209,Table1[#This Row],COLUMN(S208), FALSE)</f>
        <v>technology</v>
      </c>
      <c r="T209" t="str">
        <f>VLOOKUP($A209,Table1[#This Row],COLUMN(T208), FALSE)</f>
        <v>41706</v>
      </c>
      <c r="U209" t="str">
        <f>VLOOKUP($A209,Table1[#This Row],COLUMN(U208), FALSE)</f>
        <v>EB1384045</v>
      </c>
      <c r="V209" t="str">
        <f>VLOOKUP($A209,Table1[#This Row],COLUMN(V208), FALSE)</f>
        <v>IT</v>
      </c>
      <c r="W209">
        <f>VLOOKUP($A209,Table1[#This Row],COLUMN(W208), FALSE)</f>
        <v>2014</v>
      </c>
      <c r="X209" t="str">
        <f>VLOOKUP($A209,Table1[#This Row],COLUMN(X208), FALSE)</f>
        <v>EB1384045</v>
      </c>
      <c r="Y209">
        <f>VLOOKUP($A209,Table1[#This Row],COLUMN(Y208), FALSE)</f>
        <v>41706</v>
      </c>
      <c r="Z209" t="str">
        <f>VLOOKUP($A209,Table1[#This Row],COLUMN(Z208), FALSE)</f>
        <v>IT-2014-EB1384045-41706</v>
      </c>
      <c r="AA209">
        <f>VLOOKUP($A209,Table1[#This Row],COLUMN(AA208), FALSE)</f>
        <v>2014</v>
      </c>
      <c r="AB209">
        <f>VLOOKUP($A209,Table1[#This Row],COLUMN(AB208), FALSE)</f>
        <v>3</v>
      </c>
      <c r="AC209">
        <f>VLOOKUP($A209,Table1[#This Row],COLUMN(AC208), FALSE)</f>
        <v>7</v>
      </c>
      <c r="AD209">
        <f>VLOOKUP($A209,Table1[#This Row],COLUMN(AD208), FALSE)</f>
        <v>0</v>
      </c>
    </row>
    <row r="210" spans="1:30" ht="15.75">
      <c r="A210" s="53" t="s">
        <v>1267</v>
      </c>
      <c r="B210" s="52">
        <f>VLOOKUP($A210,Table1[#This Row],COLUMN(B209), FALSE)</f>
        <v>40964</v>
      </c>
      <c r="C210" s="52">
        <f>VLOOKUP($A210,Table1[#This Row],COLUMN(C209), FALSE)</f>
        <v>40964</v>
      </c>
      <c r="D210" t="str">
        <f>VLOOKUP($A210,Table1[#This Row],COLUMN(D209), FALSE)</f>
        <v>Rose O'Brian</v>
      </c>
      <c r="E210" t="str">
        <f>VLOOKUP($A210,Table1[#This Row],COLUMN(E209), FALSE)</f>
        <v>Algeria</v>
      </c>
      <c r="F210" t="str">
        <f>VLOOKUP($A210,Table1[#This Row],COLUMN(F209), FALSE)</f>
        <v>North Africa</v>
      </c>
      <c r="G210" t="str">
        <f>VLOOKUP($A210,Table1[#This Row],COLUMN(G209), FALSE)</f>
        <v>Technology</v>
      </c>
      <c r="H210" t="str">
        <f>VLOOKUP($A210,Table1[#This Row],COLUMN(H209), FALSE)</f>
        <v>Appliances</v>
      </c>
      <c r="I210">
        <f>VLOOKUP($A210,Table1[#This Row],COLUMN(I209), FALSE)</f>
        <v>613.26</v>
      </c>
      <c r="J210">
        <f>VLOOKUP($A210,Table1[#This Row],COLUMN(J209), FALSE)</f>
        <v>2</v>
      </c>
      <c r="K210">
        <f>VLOOKUP($A210,Table1[#This Row],COLUMN(K209), FALSE)</f>
        <v>0</v>
      </c>
      <c r="L210">
        <f>VLOOKUP($A210,Table1[#This Row],COLUMN(L209), FALSE)</f>
        <v>202.32</v>
      </c>
      <c r="M210" t="str">
        <f>VLOOKUP($A210,Table1[#This Row],COLUMN(M209), FALSE)</f>
        <v>Critical</v>
      </c>
      <c r="N210" t="str">
        <f>VLOOKUP($A210,Table1[#This Row],COLUMN(N209), FALSE)</f>
        <v>Normal Order</v>
      </c>
      <c r="O210" t="str">
        <f>VLOOKUP($A210,Table1[#This Row],COLUMN(O209), FALSE)</f>
        <v>Rose O'Brian</v>
      </c>
      <c r="P210" t="str">
        <f>VLOOKUP($A210,Table1[#This Row],COLUMN(P209), FALSE)</f>
        <v>AG</v>
      </c>
      <c r="Q210" t="str">
        <f>VLOOKUP($A210,Table1[#This Row],COLUMN(Q209), FALSE)</f>
        <v>2012</v>
      </c>
      <c r="R210" t="str">
        <f>VLOOKUP($A210,Table1[#This Row],COLUMN(R209), FALSE)</f>
        <v>CRITICAL</v>
      </c>
      <c r="S210" t="str">
        <f>VLOOKUP($A210,Table1[#This Row],COLUMN(S209), FALSE)</f>
        <v>technology</v>
      </c>
      <c r="T210" t="str">
        <f>VLOOKUP($A210,Table1[#This Row],COLUMN(T209), FALSE)</f>
        <v>40964</v>
      </c>
      <c r="U210" t="str">
        <f>VLOOKUP($A210,Table1[#This Row],COLUMN(U209), FALSE)</f>
        <v>RO97803</v>
      </c>
      <c r="V210" t="str">
        <f>VLOOKUP($A210,Table1[#This Row],COLUMN(V209), FALSE)</f>
        <v>AG</v>
      </c>
      <c r="W210">
        <f>VLOOKUP($A210,Table1[#This Row],COLUMN(W209), FALSE)</f>
        <v>2012</v>
      </c>
      <c r="X210" t="str">
        <f>VLOOKUP($A210,Table1[#This Row],COLUMN(X209), FALSE)</f>
        <v>RO97803</v>
      </c>
      <c r="Y210">
        <f>VLOOKUP($A210,Table1[#This Row],COLUMN(Y209), FALSE)</f>
        <v>40964</v>
      </c>
      <c r="Z210" t="str">
        <f>VLOOKUP($A210,Table1[#This Row],COLUMN(Z209), FALSE)</f>
        <v>AG-2012-RO97803-40964</v>
      </c>
      <c r="AA210">
        <f>VLOOKUP($A210,Table1[#This Row],COLUMN(AA209), FALSE)</f>
        <v>2012</v>
      </c>
      <c r="AB210">
        <f>VLOOKUP($A210,Table1[#This Row],COLUMN(AB209), FALSE)</f>
        <v>2</v>
      </c>
      <c r="AC210">
        <f>VLOOKUP($A210,Table1[#This Row],COLUMN(AC209), FALSE)</f>
        <v>7</v>
      </c>
      <c r="AD210">
        <f>VLOOKUP($A210,Table1[#This Row],COLUMN(AD209), FALSE)</f>
        <v>0</v>
      </c>
    </row>
    <row r="211" spans="1:30" ht="15.75">
      <c r="A211" s="54" t="s">
        <v>1269</v>
      </c>
      <c r="B211" s="52">
        <f>VLOOKUP($A211,Table1[#This Row],COLUMN(B210), FALSE)</f>
        <v>41361</v>
      </c>
      <c r="C211" s="52">
        <f>VLOOKUP($A211,Table1[#This Row],COLUMN(C210), FALSE)</f>
        <v>41366</v>
      </c>
      <c r="D211" t="str">
        <f>VLOOKUP($A211,Table1[#This Row],COLUMN(D210), FALSE)</f>
        <v>Alan Barnes</v>
      </c>
      <c r="E211" t="str">
        <f>VLOOKUP($A211,Table1[#This Row],COLUMN(E210), FALSE)</f>
        <v>United States</v>
      </c>
      <c r="F211" t="str">
        <f>VLOOKUP($A211,Table1[#This Row],COLUMN(F210), FALSE)</f>
        <v>WESTERN US</v>
      </c>
      <c r="G211" t="str">
        <f>VLOOKUP($A211,Table1[#This Row],COLUMN(G210), FALSE)</f>
        <v>Technology</v>
      </c>
      <c r="H211" t="str">
        <f>VLOOKUP($A211,Table1[#This Row],COLUMN(H210), FALSE)</f>
        <v>Phones</v>
      </c>
      <c r="I211">
        <f>VLOOKUP($A211,Table1[#This Row],COLUMN(I210), FALSE)</f>
        <v>166.24</v>
      </c>
      <c r="J211">
        <f>VLOOKUP($A211,Table1[#This Row],COLUMN(J210), FALSE)</f>
        <v>1</v>
      </c>
      <c r="K211">
        <f>VLOOKUP($A211,Table1[#This Row],COLUMN(K210), FALSE)</f>
        <v>0</v>
      </c>
      <c r="L211">
        <f>VLOOKUP($A211,Table1[#This Row],COLUMN(L210), FALSE)</f>
        <v>24.936</v>
      </c>
      <c r="M211" t="str">
        <f>VLOOKUP($A211,Table1[#This Row],COLUMN(M210), FALSE)</f>
        <v>Medium</v>
      </c>
      <c r="N211" t="str">
        <f>VLOOKUP($A211,Table1[#This Row],COLUMN(N210), FALSE)</f>
        <v>Normal Order</v>
      </c>
      <c r="O211" t="str">
        <f>VLOOKUP($A211,Table1[#This Row],COLUMN(O210), FALSE)</f>
        <v>Alan Barnes</v>
      </c>
      <c r="P211" t="str">
        <f>VLOOKUP($A211,Table1[#This Row],COLUMN(P210), FALSE)</f>
        <v>CA</v>
      </c>
      <c r="Q211" t="str">
        <f>VLOOKUP($A211,Table1[#This Row],COLUMN(Q210), FALSE)</f>
        <v>2013</v>
      </c>
      <c r="R211" t="str">
        <f>VLOOKUP($A211,Table1[#This Row],COLUMN(R210), FALSE)</f>
        <v>MEDIUM</v>
      </c>
      <c r="S211" t="str">
        <f>VLOOKUP($A211,Table1[#This Row],COLUMN(S210), FALSE)</f>
        <v>technology</v>
      </c>
      <c r="T211" t="str">
        <f>VLOOKUP($A211,Table1[#This Row],COLUMN(T210), FALSE)</f>
        <v>41361</v>
      </c>
      <c r="U211" t="str">
        <f>VLOOKUP($A211,Table1[#This Row],COLUMN(U210), FALSE)</f>
        <v>AB10165140</v>
      </c>
      <c r="V211" t="str">
        <f>VLOOKUP($A211,Table1[#This Row],COLUMN(V210), FALSE)</f>
        <v>CA</v>
      </c>
      <c r="W211">
        <f>VLOOKUP($A211,Table1[#This Row],COLUMN(W210), FALSE)</f>
        <v>2013</v>
      </c>
      <c r="X211" t="str">
        <f>VLOOKUP($A211,Table1[#This Row],COLUMN(X210), FALSE)</f>
        <v>AB10165140</v>
      </c>
      <c r="Y211">
        <f>VLOOKUP($A211,Table1[#This Row],COLUMN(Y210), FALSE)</f>
        <v>41361</v>
      </c>
      <c r="Z211" t="str">
        <f>VLOOKUP($A211,Table1[#This Row],COLUMN(Z210), FALSE)</f>
        <v>CA-2013-AB10165140-41361</v>
      </c>
      <c r="AA211">
        <f>VLOOKUP($A211,Table1[#This Row],COLUMN(AA210), FALSE)</f>
        <v>2013</v>
      </c>
      <c r="AB211">
        <f>VLOOKUP($A211,Table1[#This Row],COLUMN(AB210), FALSE)</f>
        <v>3</v>
      </c>
      <c r="AC211">
        <f>VLOOKUP($A211,Table1[#This Row],COLUMN(AC210), FALSE)</f>
        <v>5</v>
      </c>
      <c r="AD211">
        <f>VLOOKUP($A211,Table1[#This Row],COLUMN(AD210), FALSE)</f>
        <v>5</v>
      </c>
    </row>
    <row r="212" spans="1:30" ht="15.75">
      <c r="A212" s="53" t="s">
        <v>1270</v>
      </c>
      <c r="B212" s="52">
        <f>VLOOKUP($A212,Table1[#This Row],COLUMN(B211), FALSE)</f>
        <v>42263</v>
      </c>
      <c r="C212" s="52">
        <f>VLOOKUP($A212,Table1[#This Row],COLUMN(C211), FALSE)</f>
        <v>42267</v>
      </c>
      <c r="D212" t="str">
        <f>VLOOKUP($A212,Table1[#This Row],COLUMN(D211), FALSE)</f>
        <v>Mathew Reese</v>
      </c>
      <c r="E212" t="str">
        <f>VLOOKUP($A212,Table1[#This Row],COLUMN(E211), FALSE)</f>
        <v>Australia</v>
      </c>
      <c r="F212" t="str">
        <f>VLOOKUP($A212,Table1[#This Row],COLUMN(F211), FALSE)</f>
        <v>Oceania</v>
      </c>
      <c r="G212" t="str">
        <f>VLOOKUP($A212,Table1[#This Row],COLUMN(G211), FALSE)</f>
        <v>Furniture</v>
      </c>
      <c r="H212" t="str">
        <f>VLOOKUP($A212,Table1[#This Row],COLUMN(H211), FALSE)</f>
        <v>Machines</v>
      </c>
      <c r="I212">
        <f>VLOOKUP($A212,Table1[#This Row],COLUMN(I211), FALSE)</f>
        <v>1837.5599999999899</v>
      </c>
      <c r="J212">
        <f>VLOOKUP($A212,Table1[#This Row],COLUMN(J211), FALSE)</f>
        <v>4</v>
      </c>
      <c r="K212">
        <f>VLOOKUP($A212,Table1[#This Row],COLUMN(K211), FALSE)</f>
        <v>0</v>
      </c>
      <c r="L212">
        <f>VLOOKUP($A212,Table1[#This Row],COLUMN(L211), FALSE)</f>
        <v>275.52</v>
      </c>
      <c r="M212" t="str">
        <f>VLOOKUP($A212,Table1[#This Row],COLUMN(M211), FALSE)</f>
        <v>Medium</v>
      </c>
      <c r="N212" t="str">
        <f>VLOOKUP($A212,Table1[#This Row],COLUMN(N211), FALSE)</f>
        <v>Normal Order</v>
      </c>
      <c r="O212" t="str">
        <f>VLOOKUP($A212,Table1[#This Row],COLUMN(O211), FALSE)</f>
        <v>Mathew Reese</v>
      </c>
      <c r="P212" t="str">
        <f>VLOOKUP($A212,Table1[#This Row],COLUMN(P211), FALSE)</f>
        <v>IN</v>
      </c>
      <c r="Q212" t="str">
        <f>VLOOKUP($A212,Table1[#This Row],COLUMN(Q211), FALSE)</f>
        <v>2015</v>
      </c>
      <c r="R212" t="str">
        <f>VLOOKUP($A212,Table1[#This Row],COLUMN(R211), FALSE)</f>
        <v>MEDIUM</v>
      </c>
      <c r="S212" t="str">
        <f>VLOOKUP($A212,Table1[#This Row],COLUMN(S211), FALSE)</f>
        <v>furniture</v>
      </c>
      <c r="T212" t="str">
        <f>VLOOKUP($A212,Table1[#This Row],COLUMN(T211), FALSE)</f>
        <v>42263</v>
      </c>
      <c r="U212" t="str">
        <f>VLOOKUP($A212,Table1[#This Row],COLUMN(U211), FALSE)</f>
        <v>MR175457</v>
      </c>
      <c r="V212" t="str">
        <f>VLOOKUP($A212,Table1[#This Row],COLUMN(V211), FALSE)</f>
        <v>IN</v>
      </c>
      <c r="W212">
        <f>VLOOKUP($A212,Table1[#This Row],COLUMN(W211), FALSE)</f>
        <v>2015</v>
      </c>
      <c r="X212" t="str">
        <f>VLOOKUP($A212,Table1[#This Row],COLUMN(X211), FALSE)</f>
        <v>MR175457</v>
      </c>
      <c r="Y212">
        <f>VLOOKUP($A212,Table1[#This Row],COLUMN(Y211), FALSE)</f>
        <v>42263</v>
      </c>
      <c r="Z212" t="str">
        <f>VLOOKUP($A212,Table1[#This Row],COLUMN(Z211), FALSE)</f>
        <v>IN-2015-MR175457-42263</v>
      </c>
      <c r="AA212">
        <f>VLOOKUP($A212,Table1[#This Row],COLUMN(AA211), FALSE)</f>
        <v>2015</v>
      </c>
      <c r="AB212">
        <f>VLOOKUP($A212,Table1[#This Row],COLUMN(AB211), FALSE)</f>
        <v>9</v>
      </c>
      <c r="AC212">
        <f>VLOOKUP($A212,Table1[#This Row],COLUMN(AC211), FALSE)</f>
        <v>4</v>
      </c>
      <c r="AD212">
        <f>VLOOKUP($A212,Table1[#This Row],COLUMN(AD211), FALSE)</f>
        <v>4</v>
      </c>
    </row>
    <row r="213" spans="1:30" ht="15.75">
      <c r="A213" s="54" t="s">
        <v>1275</v>
      </c>
      <c r="B213" s="52">
        <f>VLOOKUP($A213,Table1[#This Row],COLUMN(B212), FALSE)</f>
        <v>42004</v>
      </c>
      <c r="C213" s="52">
        <f>VLOOKUP($A213,Table1[#This Row],COLUMN(C212), FALSE)</f>
        <v>42005</v>
      </c>
      <c r="D213" t="str">
        <f>VLOOKUP($A213,Table1[#This Row],COLUMN(D212), FALSE)</f>
        <v>Amy Hunt</v>
      </c>
      <c r="E213" t="str">
        <f>VLOOKUP($A213,Table1[#This Row],COLUMN(E212), FALSE)</f>
        <v>Nicaragua</v>
      </c>
      <c r="F213" t="str">
        <f>VLOOKUP($A213,Table1[#This Row],COLUMN(F212), FALSE)</f>
        <v>Central America</v>
      </c>
      <c r="G213" t="str">
        <f>VLOOKUP($A213,Table1[#This Row],COLUMN(G212), FALSE)</f>
        <v>Technology</v>
      </c>
      <c r="H213" t="str">
        <f>VLOOKUP($A213,Table1[#This Row],COLUMN(H212), FALSE)</f>
        <v>Appliances</v>
      </c>
      <c r="I213">
        <f>VLOOKUP($A213,Table1[#This Row],COLUMN(I212), FALSE)</f>
        <v>1198.2986000000001</v>
      </c>
      <c r="J213">
        <f>VLOOKUP($A213,Table1[#This Row],COLUMN(J212), FALSE)</f>
        <v>5</v>
      </c>
      <c r="K213">
        <f>VLOOKUP($A213,Table1[#This Row],COLUMN(K212), FALSE)</f>
        <v>2E-3</v>
      </c>
      <c r="L213">
        <f>VLOOKUP($A213,Table1[#This Row],COLUMN(L212), FALSE)</f>
        <v>165.5986</v>
      </c>
      <c r="M213" t="str">
        <f>VLOOKUP($A213,Table1[#This Row],COLUMN(M212), FALSE)</f>
        <v>High</v>
      </c>
      <c r="N213" t="str">
        <f>VLOOKUP($A213,Table1[#This Row],COLUMN(N212), FALSE)</f>
        <v>Normal Order</v>
      </c>
      <c r="O213" t="str">
        <f>VLOOKUP($A213,Table1[#This Row],COLUMN(O212), FALSE)</f>
        <v>Amy Hunt</v>
      </c>
      <c r="P213" t="str">
        <f>VLOOKUP($A213,Table1[#This Row],COLUMN(P212), FALSE)</f>
        <v>MX</v>
      </c>
      <c r="Q213" t="str">
        <f>VLOOKUP($A213,Table1[#This Row],COLUMN(Q212), FALSE)</f>
        <v>2014</v>
      </c>
      <c r="R213" t="str">
        <f>VLOOKUP($A213,Table1[#This Row],COLUMN(R212), FALSE)</f>
        <v>HIGH</v>
      </c>
      <c r="S213" t="str">
        <f>VLOOKUP($A213,Table1[#This Row],COLUMN(S212), FALSE)</f>
        <v>technology</v>
      </c>
      <c r="T213" t="str">
        <f>VLOOKUP($A213,Table1[#This Row],COLUMN(T212), FALSE)</f>
        <v>42004</v>
      </c>
      <c r="U213" t="str">
        <f>VLOOKUP($A213,Table1[#This Row],COLUMN(U212), FALSE)</f>
        <v>AH1046593</v>
      </c>
      <c r="V213" t="str">
        <f>VLOOKUP($A213,Table1[#This Row],COLUMN(V212), FALSE)</f>
        <v>MX</v>
      </c>
      <c r="W213">
        <f>VLOOKUP($A213,Table1[#This Row],COLUMN(W212), FALSE)</f>
        <v>2014</v>
      </c>
      <c r="X213" t="str">
        <f>VLOOKUP($A213,Table1[#This Row],COLUMN(X212), FALSE)</f>
        <v>AH1046593</v>
      </c>
      <c r="Y213">
        <f>VLOOKUP($A213,Table1[#This Row],COLUMN(Y212), FALSE)</f>
        <v>42004</v>
      </c>
      <c r="Z213" t="str">
        <f>VLOOKUP($A213,Table1[#This Row],COLUMN(Z212), FALSE)</f>
        <v>MX-2014-AH1046593-42004</v>
      </c>
      <c r="AA213">
        <f>VLOOKUP($A213,Table1[#This Row],COLUMN(AA212), FALSE)</f>
        <v>2014</v>
      </c>
      <c r="AB213">
        <f>VLOOKUP($A213,Table1[#This Row],COLUMN(AB212), FALSE)</f>
        <v>12</v>
      </c>
      <c r="AC213">
        <f>VLOOKUP($A213,Table1[#This Row],COLUMN(AC212), FALSE)</f>
        <v>4</v>
      </c>
      <c r="AD213">
        <f>VLOOKUP($A213,Table1[#This Row],COLUMN(AD212), FALSE)</f>
        <v>1</v>
      </c>
    </row>
    <row r="214" spans="1:30" ht="15.75">
      <c r="A214" s="53" t="s">
        <v>1289</v>
      </c>
      <c r="B214" s="52">
        <f>VLOOKUP($A214,Table1[#This Row],COLUMN(B213), FALSE)</f>
        <v>42105</v>
      </c>
      <c r="C214" s="52">
        <f>VLOOKUP($A214,Table1[#This Row],COLUMN(C213), FALSE)</f>
        <v>42111</v>
      </c>
      <c r="D214" t="str">
        <f>VLOOKUP($A214,Table1[#This Row],COLUMN(D213), FALSE)</f>
        <v>Mitch Webber</v>
      </c>
      <c r="E214" t="str">
        <f>VLOOKUP($A214,Table1[#This Row],COLUMN(E213), FALSE)</f>
        <v>saudi arabia</v>
      </c>
      <c r="F214" t="str">
        <f>VLOOKUP($A214,Table1[#This Row],COLUMN(F213), FALSE)</f>
        <v>Western Asia</v>
      </c>
      <c r="G214" t="str">
        <f>VLOOKUP($A214,Table1[#This Row],COLUMN(G213), FALSE)</f>
        <v>Technology</v>
      </c>
      <c r="H214" t="str">
        <f>VLOOKUP($A214,Table1[#This Row],COLUMN(H213), FALSE)</f>
        <v>Phones</v>
      </c>
      <c r="I214">
        <f>VLOOKUP($A214,Table1[#This Row],COLUMN(I213), FALSE)</f>
        <v>1302.78</v>
      </c>
      <c r="J214">
        <f>VLOOKUP($A214,Table1[#This Row],COLUMN(J213), FALSE)</f>
        <v>2</v>
      </c>
      <c r="K214">
        <f>VLOOKUP($A214,Table1[#This Row],COLUMN(K213), FALSE)</f>
        <v>0</v>
      </c>
      <c r="L214">
        <f>VLOOKUP($A214,Table1[#This Row],COLUMN(L213), FALSE)</f>
        <v>286.56</v>
      </c>
      <c r="M214" t="str">
        <f>VLOOKUP($A214,Table1[#This Row],COLUMN(M213), FALSE)</f>
        <v>Low</v>
      </c>
      <c r="N214" t="str">
        <f>VLOOKUP($A214,Table1[#This Row],COLUMN(N213), FALSE)</f>
        <v>Normal Order</v>
      </c>
      <c r="O214" t="str">
        <f>VLOOKUP($A214,Table1[#This Row],COLUMN(O213), FALSE)</f>
        <v>Mitch Webber</v>
      </c>
      <c r="P214" t="str">
        <f>VLOOKUP($A214,Table1[#This Row],COLUMN(P213), FALSE)</f>
        <v>SA</v>
      </c>
      <c r="Q214" t="str">
        <f>VLOOKUP($A214,Table1[#This Row],COLUMN(Q213), FALSE)</f>
        <v>2015</v>
      </c>
      <c r="R214" t="str">
        <f>VLOOKUP($A214,Table1[#This Row],COLUMN(R213), FALSE)</f>
        <v>LOW</v>
      </c>
      <c r="S214" t="str">
        <f>VLOOKUP($A214,Table1[#This Row],COLUMN(S213), FALSE)</f>
        <v>technology</v>
      </c>
      <c r="T214" t="str">
        <f>VLOOKUP($A214,Table1[#This Row],COLUMN(T213), FALSE)</f>
        <v>42105</v>
      </c>
      <c r="U214" t="str">
        <f>VLOOKUP($A214,Table1[#This Row],COLUMN(U213), FALSE)</f>
        <v>MW8220110</v>
      </c>
      <c r="V214" t="str">
        <f>VLOOKUP($A214,Table1[#This Row],COLUMN(V213), FALSE)</f>
        <v>SA</v>
      </c>
      <c r="W214">
        <f>VLOOKUP($A214,Table1[#This Row],COLUMN(W213), FALSE)</f>
        <v>2015</v>
      </c>
      <c r="X214" t="str">
        <f>VLOOKUP($A214,Table1[#This Row],COLUMN(X213), FALSE)</f>
        <v>MW8220110</v>
      </c>
      <c r="Y214">
        <f>VLOOKUP($A214,Table1[#This Row],COLUMN(Y213), FALSE)</f>
        <v>42105</v>
      </c>
      <c r="Z214" t="str">
        <f>VLOOKUP($A214,Table1[#This Row],COLUMN(Z213), FALSE)</f>
        <v>SA-2015-MW8220110-42105</v>
      </c>
      <c r="AA214">
        <f>VLOOKUP($A214,Table1[#This Row],COLUMN(AA213), FALSE)</f>
        <v>2015</v>
      </c>
      <c r="AB214">
        <f>VLOOKUP($A214,Table1[#This Row],COLUMN(AB213), FALSE)</f>
        <v>4</v>
      </c>
      <c r="AC214">
        <f>VLOOKUP($A214,Table1[#This Row],COLUMN(AC213), FALSE)</f>
        <v>7</v>
      </c>
      <c r="AD214">
        <f>VLOOKUP($A214,Table1[#This Row],COLUMN(AD213), FALSE)</f>
        <v>6</v>
      </c>
    </row>
    <row r="215" spans="1:30" ht="15.75">
      <c r="A215" s="54" t="s">
        <v>1291</v>
      </c>
      <c r="B215" s="52">
        <f>VLOOKUP($A215,Table1[#This Row],COLUMN(B214), FALSE)</f>
        <v>41489</v>
      </c>
      <c r="C215" s="52">
        <f>VLOOKUP($A215,Table1[#This Row],COLUMN(C214), FALSE)</f>
        <v>41493</v>
      </c>
      <c r="D215" t="str">
        <f>VLOOKUP($A215,Table1[#This Row],COLUMN(D214), FALSE)</f>
        <v>Alan Hwang</v>
      </c>
      <c r="E215" t="str">
        <f>VLOOKUP($A215,Table1[#This Row],COLUMN(E214), FALSE)</f>
        <v>Egypt</v>
      </c>
      <c r="F215" t="str">
        <f>VLOOKUP($A215,Table1[#This Row],COLUMN(F214), FALSE)</f>
        <v>North Africa</v>
      </c>
      <c r="G215" t="str">
        <f>VLOOKUP($A215,Table1[#This Row],COLUMN(G214), FALSE)</f>
        <v>Office_Supplies</v>
      </c>
      <c r="H215" t="str">
        <f>VLOOKUP($A215,Table1[#This Row],COLUMN(H214), FALSE)</f>
        <v>Bookcases</v>
      </c>
      <c r="I215">
        <f>VLOOKUP($A215,Table1[#This Row],COLUMN(I214), FALSE)</f>
        <v>2243.88</v>
      </c>
      <c r="J215">
        <f>VLOOKUP($A215,Table1[#This Row],COLUMN(J214), FALSE)</f>
        <v>4</v>
      </c>
      <c r="K215">
        <f>VLOOKUP($A215,Table1[#This Row],COLUMN(K214), FALSE)</f>
        <v>0</v>
      </c>
      <c r="L215">
        <f>VLOOKUP($A215,Table1[#This Row],COLUMN(L214), FALSE)</f>
        <v>246.719999999999</v>
      </c>
      <c r="M215" t="str">
        <f>VLOOKUP($A215,Table1[#This Row],COLUMN(M214), FALSE)</f>
        <v>Medium</v>
      </c>
      <c r="N215" t="str">
        <f>VLOOKUP($A215,Table1[#This Row],COLUMN(N214), FALSE)</f>
        <v>Normal Order</v>
      </c>
      <c r="O215" t="str">
        <f>VLOOKUP($A215,Table1[#This Row],COLUMN(O214), FALSE)</f>
        <v>Alan Hwang</v>
      </c>
      <c r="P215" t="str">
        <f>VLOOKUP($A215,Table1[#This Row],COLUMN(P214), FALSE)</f>
        <v>EG</v>
      </c>
      <c r="Q215" t="str">
        <f>VLOOKUP($A215,Table1[#This Row],COLUMN(Q214), FALSE)</f>
        <v>2013</v>
      </c>
      <c r="R215" t="str">
        <f>VLOOKUP($A215,Table1[#This Row],COLUMN(R214), FALSE)</f>
        <v>MEDIUM</v>
      </c>
      <c r="S215" t="str">
        <f>VLOOKUP($A215,Table1[#This Row],COLUMN(S214), FALSE)</f>
        <v>office_supplies</v>
      </c>
      <c r="T215" t="str">
        <f>VLOOKUP($A215,Table1[#This Row],COLUMN(T214), FALSE)</f>
        <v>41489</v>
      </c>
      <c r="U215" t="str">
        <f>VLOOKUP($A215,Table1[#This Row],COLUMN(U214), FALSE)</f>
        <v>AH21038</v>
      </c>
      <c r="V215" t="str">
        <f>VLOOKUP($A215,Table1[#This Row],COLUMN(V214), FALSE)</f>
        <v>EG</v>
      </c>
      <c r="W215">
        <f>VLOOKUP($A215,Table1[#This Row],COLUMN(W214), FALSE)</f>
        <v>2013</v>
      </c>
      <c r="X215" t="str">
        <f>VLOOKUP($A215,Table1[#This Row],COLUMN(X214), FALSE)</f>
        <v>AH21038</v>
      </c>
      <c r="Y215">
        <f>VLOOKUP($A215,Table1[#This Row],COLUMN(Y214), FALSE)</f>
        <v>41489</v>
      </c>
      <c r="Z215" t="str">
        <f>VLOOKUP($A215,Table1[#This Row],COLUMN(Z214), FALSE)</f>
        <v>EG-2013-AH21038-41489</v>
      </c>
      <c r="AA215">
        <f>VLOOKUP($A215,Table1[#This Row],COLUMN(AA214), FALSE)</f>
        <v>2013</v>
      </c>
      <c r="AB215">
        <f>VLOOKUP($A215,Table1[#This Row],COLUMN(AB214), FALSE)</f>
        <v>8</v>
      </c>
      <c r="AC215">
        <f>VLOOKUP($A215,Table1[#This Row],COLUMN(AC214), FALSE)</f>
        <v>7</v>
      </c>
      <c r="AD215">
        <f>VLOOKUP($A215,Table1[#This Row],COLUMN(AD214), FALSE)</f>
        <v>4</v>
      </c>
    </row>
    <row r="216" spans="1:30" ht="15.75">
      <c r="A216" s="53" t="s">
        <v>1294</v>
      </c>
      <c r="B216" s="52">
        <f>VLOOKUP($A216,Table1[#This Row],COLUMN(B215), FALSE)</f>
        <v>41255</v>
      </c>
      <c r="C216" s="52">
        <f>VLOOKUP($A216,Table1[#This Row],COLUMN(C215), FALSE)</f>
        <v>41259</v>
      </c>
      <c r="D216" t="str">
        <f>VLOOKUP($A216,Table1[#This Row],COLUMN(D215), FALSE)</f>
        <v>Maris LaWare</v>
      </c>
      <c r="E216" t="str">
        <f>VLOOKUP($A216,Table1[#This Row],COLUMN(E215), FALSE)</f>
        <v>China</v>
      </c>
      <c r="F216" t="str">
        <f>VLOOKUP($A216,Table1[#This Row],COLUMN(F215), FALSE)</f>
        <v>Eastern Asia</v>
      </c>
      <c r="G216" t="str">
        <f>VLOOKUP($A216,Table1[#This Row],COLUMN(G215), FALSE)</f>
        <v xml:space="preserve"> Office Supplies </v>
      </c>
      <c r="H216" t="str">
        <f>VLOOKUP($A216,Table1[#This Row],COLUMN(H215), FALSE)</f>
        <v>Appliances</v>
      </c>
      <c r="I216">
        <f>VLOOKUP($A216,Table1[#This Row],COLUMN(I215), FALSE)</f>
        <v>1609.29</v>
      </c>
      <c r="J216">
        <f>VLOOKUP($A216,Table1[#This Row],COLUMN(J215), FALSE)</f>
        <v>3</v>
      </c>
      <c r="K216">
        <f>VLOOKUP($A216,Table1[#This Row],COLUMN(K215), FALSE)</f>
        <v>0</v>
      </c>
      <c r="L216">
        <f>VLOOKUP($A216,Table1[#This Row],COLUMN(L215), FALSE)</f>
        <v>241.38</v>
      </c>
      <c r="M216" t="str">
        <f>VLOOKUP($A216,Table1[#This Row],COLUMN(M215), FALSE)</f>
        <v>High</v>
      </c>
      <c r="N216" t="str">
        <f>VLOOKUP($A216,Table1[#This Row],COLUMN(N215), FALSE)</f>
        <v>Normal Order</v>
      </c>
      <c r="O216" t="str">
        <f>VLOOKUP($A216,Table1[#This Row],COLUMN(O215), FALSE)</f>
        <v>Maris Laware</v>
      </c>
      <c r="P216" t="str">
        <f>VLOOKUP($A216,Table1[#This Row],COLUMN(P215), FALSE)</f>
        <v>IN</v>
      </c>
      <c r="Q216" t="str">
        <f>VLOOKUP($A216,Table1[#This Row],COLUMN(Q215), FALSE)</f>
        <v>2012</v>
      </c>
      <c r="R216" t="str">
        <f>VLOOKUP($A216,Table1[#This Row],COLUMN(R215), FALSE)</f>
        <v>HIGH</v>
      </c>
      <c r="S216" t="str">
        <f>VLOOKUP($A216,Table1[#This Row],COLUMN(S215), FALSE)</f>
        <v xml:space="preserve"> office supplies </v>
      </c>
      <c r="T216" t="str">
        <f>VLOOKUP($A216,Table1[#This Row],COLUMN(T215), FALSE)</f>
        <v>41255</v>
      </c>
      <c r="U216" t="str">
        <f>VLOOKUP($A216,Table1[#This Row],COLUMN(U215), FALSE)</f>
        <v>ML1741027</v>
      </c>
      <c r="V216" t="str">
        <f>VLOOKUP($A216,Table1[#This Row],COLUMN(V215), FALSE)</f>
        <v>IN</v>
      </c>
      <c r="W216">
        <f>VLOOKUP($A216,Table1[#This Row],COLUMN(W215), FALSE)</f>
        <v>2012</v>
      </c>
      <c r="X216" t="str">
        <f>VLOOKUP($A216,Table1[#This Row],COLUMN(X215), FALSE)</f>
        <v>ML1741027</v>
      </c>
      <c r="Y216">
        <f>VLOOKUP($A216,Table1[#This Row],COLUMN(Y215), FALSE)</f>
        <v>41255</v>
      </c>
      <c r="Z216" t="str">
        <f>VLOOKUP($A216,Table1[#This Row],COLUMN(Z215), FALSE)</f>
        <v>IN-2012-ML1741027-41255</v>
      </c>
      <c r="AA216">
        <f>VLOOKUP($A216,Table1[#This Row],COLUMN(AA215), FALSE)</f>
        <v>2012</v>
      </c>
      <c r="AB216">
        <f>VLOOKUP($A216,Table1[#This Row],COLUMN(AB215), FALSE)</f>
        <v>12</v>
      </c>
      <c r="AC216">
        <f>VLOOKUP($A216,Table1[#This Row],COLUMN(AC215), FALSE)</f>
        <v>4</v>
      </c>
      <c r="AD216">
        <f>VLOOKUP($A216,Table1[#This Row],COLUMN(AD215), FALSE)</f>
        <v>4</v>
      </c>
    </row>
    <row r="217" spans="1:30" ht="15.75">
      <c r="A217" s="54" t="s">
        <v>1297</v>
      </c>
      <c r="B217" s="52">
        <f>VLOOKUP($A217,Table1[#This Row],COLUMN(B216), FALSE)</f>
        <v>42109</v>
      </c>
      <c r="C217" s="52">
        <f>VLOOKUP($A217,Table1[#This Row],COLUMN(C216), FALSE)</f>
        <v>42112</v>
      </c>
      <c r="D217" t="str">
        <f>VLOOKUP($A217,Table1[#This Row],COLUMN(D216), FALSE)</f>
        <v>Alan Barnes#</v>
      </c>
      <c r="E217" t="str">
        <f>VLOOKUP($A217,Table1[#This Row],COLUMN(E216), FALSE)</f>
        <v>United States</v>
      </c>
      <c r="F217" t="str">
        <f>VLOOKUP($A217,Table1[#This Row],COLUMN(F216), FALSE)</f>
        <v>Eastern US</v>
      </c>
      <c r="G217" t="str">
        <f>VLOOKUP($A217,Table1[#This Row],COLUMN(G216), FALSE)</f>
        <v>Office Supplies</v>
      </c>
      <c r="H217" t="str">
        <f>VLOOKUP($A217,Table1[#This Row],COLUMN(H216), FALSE)</f>
        <v>Appliances</v>
      </c>
      <c r="I217">
        <f>VLOOKUP($A217,Table1[#This Row],COLUMN(I216), FALSE)</f>
        <v>89.855999999999995</v>
      </c>
      <c r="J217">
        <f>VLOOKUP($A217,Table1[#This Row],COLUMN(J216), FALSE)</f>
        <v>3</v>
      </c>
      <c r="K217">
        <f>VLOOKUP($A217,Table1[#This Row],COLUMN(K216), FALSE)</f>
        <v>0.2</v>
      </c>
      <c r="L217">
        <f>VLOOKUP($A217,Table1[#This Row],COLUMN(L216), FALSE)</f>
        <v>21.340800000000002</v>
      </c>
      <c r="M217" t="str">
        <f>VLOOKUP($A217,Table1[#This Row],COLUMN(M216), FALSE)</f>
        <v>Medium</v>
      </c>
      <c r="N217" t="str">
        <f>VLOOKUP($A217,Table1[#This Row],COLUMN(N216), FALSE)</f>
        <v>Normal Order</v>
      </c>
      <c r="O217" t="str">
        <f>VLOOKUP($A217,Table1[#This Row],COLUMN(O216), FALSE)</f>
        <v>Alan Barnes#</v>
      </c>
      <c r="P217" t="str">
        <f>VLOOKUP($A217,Table1[#This Row],COLUMN(P216), FALSE)</f>
        <v>CA</v>
      </c>
      <c r="Q217" t="str">
        <f>VLOOKUP($A217,Table1[#This Row],COLUMN(Q216), FALSE)</f>
        <v>2015</v>
      </c>
      <c r="R217" t="str">
        <f>VLOOKUP($A217,Table1[#This Row],COLUMN(R216), FALSE)</f>
        <v>MEDIUM</v>
      </c>
      <c r="S217" t="str">
        <f>VLOOKUP($A217,Table1[#This Row],COLUMN(S216), FALSE)</f>
        <v>office supplies</v>
      </c>
      <c r="T217" t="str">
        <f>VLOOKUP($A217,Table1[#This Row],COLUMN(T216), FALSE)</f>
        <v>42109</v>
      </c>
      <c r="U217" t="str">
        <f>VLOOKUP($A217,Table1[#This Row],COLUMN(U216), FALSE)</f>
        <v>AB10165140</v>
      </c>
      <c r="V217" t="str">
        <f>VLOOKUP($A217,Table1[#This Row],COLUMN(V216), FALSE)</f>
        <v>CA</v>
      </c>
      <c r="W217">
        <f>VLOOKUP($A217,Table1[#This Row],COLUMN(W216), FALSE)</f>
        <v>2015</v>
      </c>
      <c r="X217" t="str">
        <f>VLOOKUP($A217,Table1[#This Row],COLUMN(X216), FALSE)</f>
        <v>AB10165140</v>
      </c>
      <c r="Y217">
        <f>VLOOKUP($A217,Table1[#This Row],COLUMN(Y216), FALSE)</f>
        <v>42109</v>
      </c>
      <c r="Z217" t="str">
        <f>VLOOKUP($A217,Table1[#This Row],COLUMN(Z216), FALSE)</f>
        <v>CA-2015-AB10165140-42109</v>
      </c>
      <c r="AA217">
        <f>VLOOKUP($A217,Table1[#This Row],COLUMN(AA216), FALSE)</f>
        <v>2015</v>
      </c>
      <c r="AB217">
        <f>VLOOKUP($A217,Table1[#This Row],COLUMN(AB216), FALSE)</f>
        <v>4</v>
      </c>
      <c r="AC217">
        <f>VLOOKUP($A217,Table1[#This Row],COLUMN(AC216), FALSE)</f>
        <v>4</v>
      </c>
      <c r="AD217">
        <f>VLOOKUP($A217,Table1[#This Row],COLUMN(AD216), FALSE)</f>
        <v>3</v>
      </c>
    </row>
    <row r="218" spans="1:30" ht="15.75">
      <c r="A218" s="53" t="s">
        <v>1273</v>
      </c>
      <c r="B218" s="52">
        <f>VLOOKUP($A218,Table1[#This Row],COLUMN(B217), FALSE)</f>
        <v>41450</v>
      </c>
      <c r="C218" s="52">
        <f>VLOOKUP($A218,Table1[#This Row],COLUMN(C217), FALSE)</f>
        <v>41456</v>
      </c>
      <c r="D218" t="str">
        <f>VLOOKUP($A218,Table1[#This Row],COLUMN(D217), FALSE)</f>
        <v>Alan Barnes</v>
      </c>
      <c r="E218" t="str">
        <f>VLOOKUP($A218,Table1[#This Row],COLUMN(E217), FALSE)</f>
        <v>United States</v>
      </c>
      <c r="F218" t="str">
        <f>VLOOKUP($A218,Table1[#This Row],COLUMN(F217), FALSE)</f>
        <v>Western US</v>
      </c>
      <c r="G218" t="str">
        <f>VLOOKUP($A218,Table1[#This Row],COLUMN(G217), FALSE)</f>
        <v>Office Supplies</v>
      </c>
      <c r="H218" t="str">
        <f>VLOOKUP($A218,Table1[#This Row],COLUMN(H217), FALSE)</f>
        <v>Tables</v>
      </c>
      <c r="I218">
        <f>VLOOKUP($A218,Table1[#This Row],COLUMN(I217), FALSE)</f>
        <v>88.751999999999995</v>
      </c>
      <c r="J218">
        <f>VLOOKUP($A218,Table1[#This Row],COLUMN(J217), FALSE)</f>
        <v>3</v>
      </c>
      <c r="K218">
        <f>VLOOKUP($A218,Table1[#This Row],COLUMN(K217), FALSE)</f>
        <v>0.2</v>
      </c>
      <c r="L218">
        <f>VLOOKUP($A218,Table1[#This Row],COLUMN(L217), FALSE)</f>
        <v>27.7349999999999</v>
      </c>
      <c r="M218" t="str">
        <f>VLOOKUP($A218,Table1[#This Row],COLUMN(M217), FALSE)</f>
        <v>Medium</v>
      </c>
      <c r="N218" t="str">
        <f>VLOOKUP($A218,Table1[#This Row],COLUMN(N217), FALSE)</f>
        <v>Normal Order</v>
      </c>
      <c r="O218" t="str">
        <f>VLOOKUP($A218,Table1[#This Row],COLUMN(O217), FALSE)</f>
        <v>Alan Barnes</v>
      </c>
      <c r="P218" t="str">
        <f>VLOOKUP($A218,Table1[#This Row],COLUMN(P217), FALSE)</f>
        <v>CA</v>
      </c>
      <c r="Q218" t="str">
        <f>VLOOKUP($A218,Table1[#This Row],COLUMN(Q217), FALSE)</f>
        <v>2013</v>
      </c>
      <c r="R218" t="str">
        <f>VLOOKUP($A218,Table1[#This Row],COLUMN(R217), FALSE)</f>
        <v>MEDIUM</v>
      </c>
      <c r="S218" t="str">
        <f>VLOOKUP($A218,Table1[#This Row],COLUMN(S217), FALSE)</f>
        <v>office supplies</v>
      </c>
      <c r="T218" t="str">
        <f>VLOOKUP($A218,Table1[#This Row],COLUMN(T217), FALSE)</f>
        <v>41450</v>
      </c>
      <c r="U218" t="str">
        <f>VLOOKUP($A218,Table1[#This Row],COLUMN(U217), FALSE)</f>
        <v>AB10165140</v>
      </c>
      <c r="V218" t="str">
        <f>VLOOKUP($A218,Table1[#This Row],COLUMN(V217), FALSE)</f>
        <v>CA</v>
      </c>
      <c r="W218">
        <f>VLOOKUP($A218,Table1[#This Row],COLUMN(W217), FALSE)</f>
        <v>2013</v>
      </c>
      <c r="X218" t="str">
        <f>VLOOKUP($A218,Table1[#This Row],COLUMN(X217), FALSE)</f>
        <v>AB10165140</v>
      </c>
      <c r="Y218">
        <f>VLOOKUP($A218,Table1[#This Row],COLUMN(Y217), FALSE)</f>
        <v>41450</v>
      </c>
      <c r="Z218" t="str">
        <f>VLOOKUP($A218,Table1[#This Row],COLUMN(Z217), FALSE)</f>
        <v>CA-2013-AB10165140-41450</v>
      </c>
      <c r="AA218">
        <f>VLOOKUP($A218,Table1[#This Row],COLUMN(AA217), FALSE)</f>
        <v>2013</v>
      </c>
      <c r="AB218">
        <f>VLOOKUP($A218,Table1[#This Row],COLUMN(AB217), FALSE)</f>
        <v>6</v>
      </c>
      <c r="AC218">
        <f>VLOOKUP($A218,Table1[#This Row],COLUMN(AC217), FALSE)</f>
        <v>3</v>
      </c>
      <c r="AD218">
        <f>VLOOKUP($A218,Table1[#This Row],COLUMN(AD217), FALSE)</f>
        <v>6</v>
      </c>
    </row>
    <row r="219" spans="1:30" ht="15.75">
      <c r="A219" s="54" t="s">
        <v>1306</v>
      </c>
      <c r="B219" s="52">
        <f>VLOOKUP($A219,Table1[#This Row],COLUMN(B218), FALSE)</f>
        <v>42326</v>
      </c>
      <c r="C219" s="52">
        <f>VLOOKUP($A219,Table1[#This Row],COLUMN(C218), FALSE)</f>
        <v>42329</v>
      </c>
      <c r="D219" t="str">
        <f>VLOOKUP($A219,Table1[#This Row],COLUMN(D218), FALSE)</f>
        <v>Matt Collins</v>
      </c>
      <c r="E219" t="str">
        <f>VLOOKUP($A219,Table1[#This Row],COLUMN(E218), FALSE)</f>
        <v>Saudi Arabia</v>
      </c>
      <c r="F219" t="str">
        <f>VLOOKUP($A219,Table1[#This Row],COLUMN(F218), FALSE)</f>
        <v>Western Asia</v>
      </c>
      <c r="G219" t="str">
        <f>VLOOKUP($A219,Table1[#This Row],COLUMN(G218), FALSE)</f>
        <v>Technology</v>
      </c>
      <c r="H219" t="str">
        <f>VLOOKUP($A219,Table1[#This Row],COLUMN(H218), FALSE)</f>
        <v>Tables</v>
      </c>
      <c r="I219">
        <f>VLOOKUP($A219,Table1[#This Row],COLUMN(I218), FALSE)</f>
        <v>621</v>
      </c>
      <c r="J219">
        <f>VLOOKUP($A219,Table1[#This Row],COLUMN(J218), FALSE)</f>
        <v>2</v>
      </c>
      <c r="K219">
        <f>VLOOKUP($A219,Table1[#This Row],COLUMN(K218), FALSE)</f>
        <v>0</v>
      </c>
      <c r="L219">
        <f>VLOOKUP($A219,Table1[#This Row],COLUMN(L218), FALSE)</f>
        <v>180.06</v>
      </c>
      <c r="M219" t="str">
        <f>VLOOKUP($A219,Table1[#This Row],COLUMN(M218), FALSE)</f>
        <v>Critical</v>
      </c>
      <c r="N219" t="str">
        <f>VLOOKUP($A219,Table1[#This Row],COLUMN(N218), FALSE)</f>
        <v>Normal Order</v>
      </c>
      <c r="O219" t="str">
        <f>VLOOKUP($A219,Table1[#This Row],COLUMN(O218), FALSE)</f>
        <v>Matt Collins</v>
      </c>
      <c r="P219" t="str">
        <f>VLOOKUP($A219,Table1[#This Row],COLUMN(P218), FALSE)</f>
        <v>SA</v>
      </c>
      <c r="Q219" t="str">
        <f>VLOOKUP($A219,Table1[#This Row],COLUMN(Q218), FALSE)</f>
        <v>2015</v>
      </c>
      <c r="R219" t="str">
        <f>VLOOKUP($A219,Table1[#This Row],COLUMN(R218), FALSE)</f>
        <v>CRITICAL</v>
      </c>
      <c r="S219" t="str">
        <f>VLOOKUP($A219,Table1[#This Row],COLUMN(S218), FALSE)</f>
        <v>technology</v>
      </c>
      <c r="T219" t="str">
        <f>VLOOKUP($A219,Table1[#This Row],COLUMN(T218), FALSE)</f>
        <v>42326</v>
      </c>
      <c r="U219" t="str">
        <f>VLOOKUP($A219,Table1[#This Row],COLUMN(U218), FALSE)</f>
        <v>MC7575110</v>
      </c>
      <c r="V219" t="str">
        <f>VLOOKUP($A219,Table1[#This Row],COLUMN(V218), FALSE)</f>
        <v>SA</v>
      </c>
      <c r="W219">
        <f>VLOOKUP($A219,Table1[#This Row],COLUMN(W218), FALSE)</f>
        <v>2015</v>
      </c>
      <c r="X219" t="str">
        <f>VLOOKUP($A219,Table1[#This Row],COLUMN(X218), FALSE)</f>
        <v>MC7575110</v>
      </c>
      <c r="Y219">
        <f>VLOOKUP($A219,Table1[#This Row],COLUMN(Y218), FALSE)</f>
        <v>42326</v>
      </c>
      <c r="Z219" t="str">
        <f>VLOOKUP($A219,Table1[#This Row],COLUMN(Z218), FALSE)</f>
        <v>SA-2015-MC7575110-42326</v>
      </c>
      <c r="AA219">
        <f>VLOOKUP($A219,Table1[#This Row],COLUMN(AA218), FALSE)</f>
        <v>2015</v>
      </c>
      <c r="AB219">
        <f>VLOOKUP($A219,Table1[#This Row],COLUMN(AB218), FALSE)</f>
        <v>11</v>
      </c>
      <c r="AC219">
        <f>VLOOKUP($A219,Table1[#This Row],COLUMN(AC218), FALSE)</f>
        <v>4</v>
      </c>
      <c r="AD219">
        <f>VLOOKUP($A219,Table1[#This Row],COLUMN(AD218), FALSE)</f>
        <v>3</v>
      </c>
    </row>
    <row r="220" spans="1:30" ht="15.75">
      <c r="A220" s="53" t="s">
        <v>1310</v>
      </c>
      <c r="B220" s="52">
        <f>VLOOKUP($A220,Table1[#This Row],COLUMN(B219), FALSE)</f>
        <v>42277</v>
      </c>
      <c r="C220" s="52">
        <f>VLOOKUP($A220,Table1[#This Row],COLUMN(C219), FALSE)</f>
        <v>42279</v>
      </c>
      <c r="D220" t="str">
        <f>VLOOKUP($A220,Table1[#This Row],COLUMN(D219), FALSE)</f>
        <v>Scott Williamson</v>
      </c>
      <c r="E220" t="str">
        <f>VLOOKUP($A220,Table1[#This Row],COLUMN(E219), FALSE)</f>
        <v>Italy</v>
      </c>
      <c r="F220" t="str">
        <f>VLOOKUP($A220,Table1[#This Row],COLUMN(F219), FALSE)</f>
        <v>Southern Europe</v>
      </c>
      <c r="G220" t="str">
        <f>VLOOKUP($A220,Table1[#This Row],COLUMN(G219), FALSE)</f>
        <v>Technology</v>
      </c>
      <c r="H220" t="str">
        <f>VLOOKUP($A220,Table1[#This Row],COLUMN(H219), FALSE)</f>
        <v>Copiers</v>
      </c>
      <c r="I220">
        <f>VLOOKUP($A220,Table1[#This Row],COLUMN(I219), FALSE)</f>
        <v>1145.232</v>
      </c>
      <c r="J220">
        <f>VLOOKUP($A220,Table1[#This Row],COLUMN(J219), FALSE)</f>
        <v>3</v>
      </c>
      <c r="K220">
        <f>VLOOKUP($A220,Table1[#This Row],COLUMN(K219), FALSE)</f>
        <v>0.4</v>
      </c>
      <c r="L220">
        <f>VLOOKUP($A220,Table1[#This Row],COLUMN(L219), FALSE)</f>
        <v>-706.24800000000005</v>
      </c>
      <c r="M220" t="str">
        <f>VLOOKUP($A220,Table1[#This Row],COLUMN(M219), FALSE)</f>
        <v>Critical</v>
      </c>
      <c r="N220" t="str">
        <f>VLOOKUP($A220,Table1[#This Row],COLUMN(N219), FALSE)</f>
        <v>Normal Order</v>
      </c>
      <c r="O220" t="str">
        <f>VLOOKUP($A220,Table1[#This Row],COLUMN(O219), FALSE)</f>
        <v>Scott Williamson</v>
      </c>
      <c r="P220" t="str">
        <f>VLOOKUP($A220,Table1[#This Row],COLUMN(P219), FALSE)</f>
        <v>IT</v>
      </c>
      <c r="Q220" t="str">
        <f>VLOOKUP($A220,Table1[#This Row],COLUMN(Q219), FALSE)</f>
        <v>2015</v>
      </c>
      <c r="R220" t="str">
        <f>VLOOKUP($A220,Table1[#This Row],COLUMN(R219), FALSE)</f>
        <v>CRITICAL</v>
      </c>
      <c r="S220" t="str">
        <f>VLOOKUP($A220,Table1[#This Row],COLUMN(S219), FALSE)</f>
        <v>technology</v>
      </c>
      <c r="T220" t="str">
        <f>VLOOKUP($A220,Table1[#This Row],COLUMN(T219), FALSE)</f>
        <v>42277</v>
      </c>
      <c r="U220" t="str">
        <f>VLOOKUP($A220,Table1[#This Row],COLUMN(U219), FALSE)</f>
        <v>SW2027564</v>
      </c>
      <c r="V220" t="str">
        <f>VLOOKUP($A220,Table1[#This Row],COLUMN(V219), FALSE)</f>
        <v>IT</v>
      </c>
      <c r="W220">
        <f>VLOOKUP($A220,Table1[#This Row],COLUMN(W219), FALSE)</f>
        <v>2015</v>
      </c>
      <c r="X220" t="str">
        <f>VLOOKUP($A220,Table1[#This Row],COLUMN(X219), FALSE)</f>
        <v>SW2027564</v>
      </c>
      <c r="Y220">
        <f>VLOOKUP($A220,Table1[#This Row],COLUMN(Y219), FALSE)</f>
        <v>42277</v>
      </c>
      <c r="Z220" t="str">
        <f>VLOOKUP($A220,Table1[#This Row],COLUMN(Z219), FALSE)</f>
        <v>IT-2015-SW2027564-42277</v>
      </c>
      <c r="AA220">
        <f>VLOOKUP($A220,Table1[#This Row],COLUMN(AA219), FALSE)</f>
        <v>2015</v>
      </c>
      <c r="AB220">
        <f>VLOOKUP($A220,Table1[#This Row],COLUMN(AB219), FALSE)</f>
        <v>9</v>
      </c>
      <c r="AC220">
        <f>VLOOKUP($A220,Table1[#This Row],COLUMN(AC219), FALSE)</f>
        <v>4</v>
      </c>
      <c r="AD220">
        <f>VLOOKUP($A220,Table1[#This Row],COLUMN(AD219), FALSE)</f>
        <v>2</v>
      </c>
    </row>
    <row r="221" spans="1:30" ht="15.75">
      <c r="A221" s="54" t="s">
        <v>1311</v>
      </c>
      <c r="B221" s="52">
        <f>VLOOKUP($A221,Table1[#This Row],COLUMN(B220), FALSE)</f>
        <v>42094</v>
      </c>
      <c r="C221" s="52">
        <f>VLOOKUP($A221,Table1[#This Row],COLUMN(C220), FALSE)</f>
        <v>42096</v>
      </c>
      <c r="D221" t="str">
        <f>VLOOKUP($A221,Table1[#This Row],COLUMN(D220), FALSE)</f>
        <v>Alan Barnes</v>
      </c>
      <c r="E221" t="str">
        <f>VLOOKUP($A221,Table1[#This Row],COLUMN(E220), FALSE)</f>
        <v>United States</v>
      </c>
      <c r="F221" t="str">
        <f>VLOOKUP($A221,Table1[#This Row],COLUMN(F220), FALSE)</f>
        <v>WESTERN US</v>
      </c>
      <c r="G221" t="str">
        <f>VLOOKUP($A221,Table1[#This Row],COLUMN(G220), FALSE)</f>
        <v>Furniture</v>
      </c>
      <c r="H221" t="str">
        <f>VLOOKUP($A221,Table1[#This Row],COLUMN(H220), FALSE)</f>
        <v>Bookcases</v>
      </c>
      <c r="I221">
        <f>VLOOKUP($A221,Table1[#This Row],COLUMN(I220), FALSE)</f>
        <v>94.2</v>
      </c>
      <c r="J221">
        <f>VLOOKUP($A221,Table1[#This Row],COLUMN(J220), FALSE)</f>
        <v>5</v>
      </c>
      <c r="K221">
        <f>VLOOKUP($A221,Table1[#This Row],COLUMN(K220), FALSE)</f>
        <v>0</v>
      </c>
      <c r="L221">
        <f>VLOOKUP($A221,Table1[#This Row],COLUMN(L220), FALSE)</f>
        <v>39.564</v>
      </c>
      <c r="M221" t="str">
        <f>VLOOKUP($A221,Table1[#This Row],COLUMN(M220), FALSE)</f>
        <v>Medium</v>
      </c>
      <c r="N221" t="str">
        <f>VLOOKUP($A221,Table1[#This Row],COLUMN(N220), FALSE)</f>
        <v>Normal Order</v>
      </c>
      <c r="O221" t="str">
        <f>VLOOKUP($A221,Table1[#This Row],COLUMN(O220), FALSE)</f>
        <v>Alan Barnes</v>
      </c>
      <c r="P221" t="str">
        <f>VLOOKUP($A221,Table1[#This Row],COLUMN(P220), FALSE)</f>
        <v>CA</v>
      </c>
      <c r="Q221" t="str">
        <f>VLOOKUP($A221,Table1[#This Row],COLUMN(Q220), FALSE)</f>
        <v>2015</v>
      </c>
      <c r="R221" t="str">
        <f>VLOOKUP($A221,Table1[#This Row],COLUMN(R220), FALSE)</f>
        <v>MEDIUM</v>
      </c>
      <c r="S221" t="str">
        <f>VLOOKUP($A221,Table1[#This Row],COLUMN(S220), FALSE)</f>
        <v>furniture</v>
      </c>
      <c r="T221" t="str">
        <f>VLOOKUP($A221,Table1[#This Row],COLUMN(T220), FALSE)</f>
        <v>42094</v>
      </c>
      <c r="U221" t="str">
        <f>VLOOKUP($A221,Table1[#This Row],COLUMN(U220), FALSE)</f>
        <v>AB10165140</v>
      </c>
      <c r="V221" t="str">
        <f>VLOOKUP($A221,Table1[#This Row],COLUMN(V220), FALSE)</f>
        <v>CA</v>
      </c>
      <c r="W221">
        <f>VLOOKUP($A221,Table1[#This Row],COLUMN(W220), FALSE)</f>
        <v>2015</v>
      </c>
      <c r="X221" t="str">
        <f>VLOOKUP($A221,Table1[#This Row],COLUMN(X220), FALSE)</f>
        <v>AB10165140</v>
      </c>
      <c r="Y221">
        <f>VLOOKUP($A221,Table1[#This Row],COLUMN(Y220), FALSE)</f>
        <v>42094</v>
      </c>
      <c r="Z221" t="str">
        <f>VLOOKUP($A221,Table1[#This Row],COLUMN(Z220), FALSE)</f>
        <v>CA-2015-AB10165140-42094</v>
      </c>
      <c r="AA221">
        <f>VLOOKUP($A221,Table1[#This Row],COLUMN(AA220), FALSE)</f>
        <v>2015</v>
      </c>
      <c r="AB221">
        <f>VLOOKUP($A221,Table1[#This Row],COLUMN(AB220), FALSE)</f>
        <v>3</v>
      </c>
      <c r="AC221">
        <f>VLOOKUP($A221,Table1[#This Row],COLUMN(AC220), FALSE)</f>
        <v>3</v>
      </c>
      <c r="AD221">
        <f>VLOOKUP($A221,Table1[#This Row],COLUMN(AD220), FALSE)</f>
        <v>2</v>
      </c>
    </row>
    <row r="222" spans="1:30" ht="15.75">
      <c r="A222" s="53" t="s">
        <v>1317</v>
      </c>
      <c r="B222" s="52">
        <f>VLOOKUP($A222,Table1[#This Row],COLUMN(B221), FALSE)</f>
        <v>40967</v>
      </c>
      <c r="C222" s="52">
        <f>VLOOKUP($A222,Table1[#This Row],COLUMN(C221), FALSE)</f>
        <v>40970</v>
      </c>
      <c r="D222" t="str">
        <f>VLOOKUP($A222,Table1[#This Row],COLUMN(D221), FALSE)</f>
        <v>Paul Stevenson</v>
      </c>
      <c r="E222" t="str">
        <f>VLOOKUP($A222,Table1[#This Row],COLUMN(E221), FALSE)</f>
        <v>South Korea</v>
      </c>
      <c r="F222" t="str">
        <f>VLOOKUP($A222,Table1[#This Row],COLUMN(F221), FALSE)</f>
        <v>Eastern Asia</v>
      </c>
      <c r="G222" t="str">
        <f>VLOOKUP($A222,Table1[#This Row],COLUMN(G221), FALSE)</f>
        <v>Office Supplies</v>
      </c>
      <c r="H222" t="str">
        <f>VLOOKUP($A222,Table1[#This Row],COLUMN(H221), FALSE)</f>
        <v>Chairs</v>
      </c>
      <c r="I222">
        <f>VLOOKUP($A222,Table1[#This Row],COLUMN(I221), FALSE)</f>
        <v>810.72</v>
      </c>
      <c r="J222">
        <f>VLOOKUP($A222,Table1[#This Row],COLUMN(J221), FALSE)</f>
        <v>3</v>
      </c>
      <c r="K222">
        <f>VLOOKUP($A222,Table1[#This Row],COLUMN(K221), FALSE)</f>
        <v>0.5</v>
      </c>
      <c r="L222">
        <f>VLOOKUP($A222,Table1[#This Row],COLUMN(L221), FALSE)</f>
        <v>-599.94000000000005</v>
      </c>
      <c r="M222" t="str">
        <f>VLOOKUP($A222,Table1[#This Row],COLUMN(M221), FALSE)</f>
        <v>Critical</v>
      </c>
      <c r="N222" t="str">
        <f>VLOOKUP($A222,Table1[#This Row],COLUMN(N221), FALSE)</f>
        <v>Normal Order</v>
      </c>
      <c r="O222" t="str">
        <f>VLOOKUP($A222,Table1[#This Row],COLUMN(O221), FALSE)</f>
        <v>Paul Stevenson</v>
      </c>
      <c r="P222" t="str">
        <f>VLOOKUP($A222,Table1[#This Row],COLUMN(P221), FALSE)</f>
        <v>ID</v>
      </c>
      <c r="Q222" t="str">
        <f>VLOOKUP($A222,Table1[#This Row],COLUMN(Q221), FALSE)</f>
        <v>2012</v>
      </c>
      <c r="R222" t="str">
        <f>VLOOKUP($A222,Table1[#This Row],COLUMN(R221), FALSE)</f>
        <v>CRITICAL</v>
      </c>
      <c r="S222" t="str">
        <f>VLOOKUP($A222,Table1[#This Row],COLUMN(S221), FALSE)</f>
        <v>office supplies</v>
      </c>
      <c r="T222" t="str">
        <f>VLOOKUP($A222,Table1[#This Row],COLUMN(T221), FALSE)</f>
        <v>40967</v>
      </c>
      <c r="U222" t="str">
        <f>VLOOKUP($A222,Table1[#This Row],COLUMN(U221), FALSE)</f>
        <v>PS18970118</v>
      </c>
      <c r="V222" t="str">
        <f>VLOOKUP($A222,Table1[#This Row],COLUMN(V221), FALSE)</f>
        <v>ID</v>
      </c>
      <c r="W222">
        <f>VLOOKUP($A222,Table1[#This Row],COLUMN(W221), FALSE)</f>
        <v>2012</v>
      </c>
      <c r="X222" t="str">
        <f>VLOOKUP($A222,Table1[#This Row],COLUMN(X221), FALSE)</f>
        <v>PS18970118</v>
      </c>
      <c r="Y222">
        <f>VLOOKUP($A222,Table1[#This Row],COLUMN(Y221), FALSE)</f>
        <v>40967</v>
      </c>
      <c r="Z222" t="str">
        <f>VLOOKUP($A222,Table1[#This Row],COLUMN(Z221), FALSE)</f>
        <v>ID-2012-PS18970118-40967</v>
      </c>
      <c r="AA222">
        <f>VLOOKUP($A222,Table1[#This Row],COLUMN(AA221), FALSE)</f>
        <v>2012</v>
      </c>
      <c r="AB222">
        <f>VLOOKUP($A222,Table1[#This Row],COLUMN(AB221), FALSE)</f>
        <v>2</v>
      </c>
      <c r="AC222">
        <f>VLOOKUP($A222,Table1[#This Row],COLUMN(AC221), FALSE)</f>
        <v>3</v>
      </c>
      <c r="AD222">
        <f>VLOOKUP($A222,Table1[#This Row],COLUMN(AD221), FALSE)</f>
        <v>3</v>
      </c>
    </row>
    <row r="223" spans="1:30" ht="15.75">
      <c r="A223" s="54" t="s">
        <v>1321</v>
      </c>
      <c r="B223" s="52">
        <f>VLOOKUP($A223,Table1[#This Row],COLUMN(B222), FALSE)</f>
        <v>41793</v>
      </c>
      <c r="C223" s="52">
        <f>VLOOKUP($A223,Table1[#This Row],COLUMN(C222), FALSE)</f>
        <v>41796</v>
      </c>
      <c r="D223" t="str">
        <f>VLOOKUP($A223,Table1[#This Row],COLUMN(D222), FALSE)</f>
        <v>Quincy Jones</v>
      </c>
      <c r="E223" t="str">
        <f>VLOOKUP($A223,Table1[#This Row],COLUMN(E222), FALSE)</f>
        <v>Italy</v>
      </c>
      <c r="F223" t="str">
        <f>VLOOKUP($A223,Table1[#This Row],COLUMN(F222), FALSE)</f>
        <v>Southern Europe</v>
      </c>
      <c r="G223" t="str">
        <f>VLOOKUP($A223,Table1[#This Row],COLUMN(G222), FALSE)</f>
        <v>Office Supplies</v>
      </c>
      <c r="H223" t="str">
        <f>VLOOKUP($A223,Table1[#This Row],COLUMN(H222), FALSE)</f>
        <v>Appliances</v>
      </c>
      <c r="I223">
        <f>VLOOKUP($A223,Table1[#This Row],COLUMN(I222), FALSE)</f>
        <v>2593.8000000000002</v>
      </c>
      <c r="J223">
        <f>VLOOKUP($A223,Table1[#This Row],COLUMN(J222), FALSE)</f>
        <v>5</v>
      </c>
      <c r="K223">
        <f>VLOOKUP($A223,Table1[#This Row],COLUMN(K222), FALSE)</f>
        <v>0</v>
      </c>
      <c r="L223">
        <f>VLOOKUP($A223,Table1[#This Row],COLUMN(L222), FALSE)</f>
        <v>1141.2</v>
      </c>
      <c r="M223" t="str">
        <f>VLOOKUP($A223,Table1[#This Row],COLUMN(M222), FALSE)</f>
        <v>High</v>
      </c>
      <c r="N223" t="str">
        <f>VLOOKUP($A223,Table1[#This Row],COLUMN(N222), FALSE)</f>
        <v>Normal Order</v>
      </c>
      <c r="O223" t="str">
        <f>VLOOKUP($A223,Table1[#This Row],COLUMN(O222), FALSE)</f>
        <v>Quincy Jones</v>
      </c>
      <c r="P223" t="str">
        <f>VLOOKUP($A223,Table1[#This Row],COLUMN(P222), FALSE)</f>
        <v xml:space="preserve"> E</v>
      </c>
      <c r="Q223" t="str">
        <f>VLOOKUP($A223,Table1[#This Row],COLUMN(Q222), FALSE)</f>
        <v>-201</v>
      </c>
      <c r="R223" t="str">
        <f>VLOOKUP($A223,Table1[#This Row],COLUMN(R222), FALSE)</f>
        <v>HIGH</v>
      </c>
      <c r="S223" t="str">
        <f>VLOOKUP($A223,Table1[#This Row],COLUMN(S222), FALSE)</f>
        <v>office supplies</v>
      </c>
      <c r="T223" t="str">
        <f>VLOOKUP($A223,Table1[#This Row],COLUMN(T222), FALSE)</f>
        <v xml:space="preserve">1793 </v>
      </c>
      <c r="U223" t="str">
        <f>VLOOKUP($A223,Table1[#This Row],COLUMN(U222), FALSE)</f>
        <v>QJ1925564</v>
      </c>
      <c r="V223" t="str">
        <f>VLOOKUP($A223,Table1[#This Row],COLUMN(V222), FALSE)</f>
        <v xml:space="preserve"> ES</v>
      </c>
      <c r="W223">
        <f>VLOOKUP($A223,Table1[#This Row],COLUMN(W222), FALSE)</f>
        <v>2014</v>
      </c>
      <c r="X223" t="str">
        <f>VLOOKUP($A223,Table1[#This Row],COLUMN(X222), FALSE)</f>
        <v>QJ1925564</v>
      </c>
      <c r="Y223">
        <f>VLOOKUP($A223,Table1[#This Row],COLUMN(Y222), FALSE)</f>
        <v>41793</v>
      </c>
      <c r="Z223" t="str">
        <f>VLOOKUP($A223,Table1[#This Row],COLUMN(Z222), FALSE)</f>
        <v>ES-2014-QJ1925564-41793</v>
      </c>
      <c r="AA223">
        <f>VLOOKUP($A223,Table1[#This Row],COLUMN(AA222), FALSE)</f>
        <v>2014</v>
      </c>
      <c r="AB223">
        <f>VLOOKUP($A223,Table1[#This Row],COLUMN(AB222), FALSE)</f>
        <v>6</v>
      </c>
      <c r="AC223">
        <f>VLOOKUP($A223,Table1[#This Row],COLUMN(AC222), FALSE)</f>
        <v>3</v>
      </c>
      <c r="AD223">
        <f>VLOOKUP($A223,Table1[#This Row],COLUMN(AD222), FALSE)</f>
        <v>3</v>
      </c>
    </row>
    <row r="224" spans="1:30" ht="15.75">
      <c r="A224" s="53" t="s">
        <v>746</v>
      </c>
      <c r="B224" s="52">
        <f>VLOOKUP($A224,Table1[#This Row],COLUMN(B223), FALSE)</f>
        <v>42292</v>
      </c>
      <c r="C224" s="52">
        <f>VLOOKUP($A224,Table1[#This Row],COLUMN(C223), FALSE)</f>
        <v>42294</v>
      </c>
      <c r="D224" t="str">
        <f>VLOOKUP($A224,Table1[#This Row],COLUMN(D223), FALSE)</f>
        <v>Cari Schnelling</v>
      </c>
      <c r="E224" t="str">
        <f>VLOOKUP($A224,Table1[#This Row],COLUMN(E223), FALSE)</f>
        <v>Austria</v>
      </c>
      <c r="F224" t="str">
        <f>VLOOKUP($A224,Table1[#This Row],COLUMN(F223), FALSE)</f>
        <v>Western Europe</v>
      </c>
      <c r="G224" t="str">
        <f>VLOOKUP($A224,Table1[#This Row],COLUMN(G223), FALSE)</f>
        <v>Technology</v>
      </c>
      <c r="H224" t="str">
        <f>VLOOKUP($A224,Table1[#This Row],COLUMN(H223), FALSE)</f>
        <v>Appliances</v>
      </c>
      <c r="I224" t="str">
        <f>VLOOKUP($A224,Table1[#This Row],COLUMN(I223), FALSE)</f>
        <v>missing</v>
      </c>
      <c r="J224">
        <f>VLOOKUP($A224,Table1[#This Row],COLUMN(J223), FALSE)</f>
        <v>5</v>
      </c>
      <c r="K224">
        <f>VLOOKUP($A224,Table1[#This Row],COLUMN(K223), FALSE)</f>
        <v>0</v>
      </c>
      <c r="L224">
        <f>VLOOKUP($A224,Table1[#This Row],COLUMN(L223), FALSE)</f>
        <v>567</v>
      </c>
      <c r="M224" t="str">
        <f>VLOOKUP($A224,Table1[#This Row],COLUMN(M223), FALSE)</f>
        <v>Critical</v>
      </c>
      <c r="N224" t="str">
        <f>VLOOKUP($A224,Table1[#This Row],COLUMN(N223), FALSE)</f>
        <v>Normal Order</v>
      </c>
      <c r="O224" t="str">
        <f>VLOOKUP($A224,Table1[#This Row],COLUMN(O223), FALSE)</f>
        <v>Cari Schnelling</v>
      </c>
      <c r="P224" t="str">
        <f>VLOOKUP($A224,Table1[#This Row],COLUMN(P223), FALSE)</f>
        <v>ES</v>
      </c>
      <c r="Q224" t="str">
        <f>VLOOKUP($A224,Table1[#This Row],COLUMN(Q223), FALSE)</f>
        <v>2015</v>
      </c>
      <c r="R224" t="str">
        <f>VLOOKUP($A224,Table1[#This Row],COLUMN(R223), FALSE)</f>
        <v>CRITICAL</v>
      </c>
      <c r="S224" t="str">
        <f>VLOOKUP($A224,Table1[#This Row],COLUMN(S223), FALSE)</f>
        <v>technology</v>
      </c>
      <c r="T224" t="str">
        <f>VLOOKUP($A224,Table1[#This Row],COLUMN(T223), FALSE)</f>
        <v>42292</v>
      </c>
      <c r="U224" t="str">
        <f>VLOOKUP($A224,Table1[#This Row],COLUMN(U223), FALSE)</f>
        <v>CS118608</v>
      </c>
      <c r="V224" t="str">
        <f>VLOOKUP($A224,Table1[#This Row],COLUMN(V223), FALSE)</f>
        <v>ES</v>
      </c>
      <c r="W224">
        <f>VLOOKUP($A224,Table1[#This Row],COLUMN(W223), FALSE)</f>
        <v>2015</v>
      </c>
      <c r="X224" t="str">
        <f>VLOOKUP($A224,Table1[#This Row],COLUMN(X223), FALSE)</f>
        <v>CS118608</v>
      </c>
      <c r="Y224">
        <f>VLOOKUP($A224,Table1[#This Row],COLUMN(Y223), FALSE)</f>
        <v>42292</v>
      </c>
      <c r="Z224" t="str">
        <f>VLOOKUP($A224,Table1[#This Row],COLUMN(Z223), FALSE)</f>
        <v>ES-2015-CS118608-42292</v>
      </c>
      <c r="AA224">
        <f>VLOOKUP($A224,Table1[#This Row],COLUMN(AA223), FALSE)</f>
        <v>2015</v>
      </c>
      <c r="AB224">
        <f>VLOOKUP($A224,Table1[#This Row],COLUMN(AB223), FALSE)</f>
        <v>10</v>
      </c>
      <c r="AC224">
        <f>VLOOKUP($A224,Table1[#This Row],COLUMN(AC223), FALSE)</f>
        <v>5</v>
      </c>
      <c r="AD224">
        <f>VLOOKUP($A224,Table1[#This Row],COLUMN(AD223), FALSE)</f>
        <v>2</v>
      </c>
    </row>
    <row r="225" spans="1:30" ht="15.75">
      <c r="A225" s="54" t="s">
        <v>1330</v>
      </c>
      <c r="B225" s="52">
        <f>VLOOKUP($A225,Table1[#This Row],COLUMN(B224), FALSE)</f>
        <v>42176</v>
      </c>
      <c r="C225" s="52">
        <f>VLOOKUP($A225,Table1[#This Row],COLUMN(C224), FALSE)</f>
        <v>42177</v>
      </c>
      <c r="D225" t="str">
        <f>VLOOKUP($A225,Table1[#This Row],COLUMN(D224), FALSE)</f>
        <v>Michelle Tran</v>
      </c>
      <c r="E225" t="str">
        <f>VLOOKUP($A225,Table1[#This Row],COLUMN(E224), FALSE)</f>
        <v>France</v>
      </c>
      <c r="F225" t="str">
        <f>VLOOKUP($A225,Table1[#This Row],COLUMN(F224), FALSE)</f>
        <v>Western Europe</v>
      </c>
      <c r="G225" t="str">
        <f>VLOOKUP($A225,Table1[#This Row],COLUMN(G224), FALSE)</f>
        <v>Furniture</v>
      </c>
      <c r="H225" t="str">
        <f>VLOOKUP($A225,Table1[#This Row],COLUMN(H224), FALSE)</f>
        <v>Phones</v>
      </c>
      <c r="I225">
        <f>VLOOKUP($A225,Table1[#This Row],COLUMN(I224), FALSE)</f>
        <v>656.85599999999999</v>
      </c>
      <c r="J225">
        <f>VLOOKUP($A225,Table1[#This Row],COLUMN(J224), FALSE)</f>
        <v>2</v>
      </c>
      <c r="K225">
        <f>VLOOKUP($A225,Table1[#This Row],COLUMN(K224), FALSE)</f>
        <v>0.1</v>
      </c>
      <c r="L225">
        <f>VLOOKUP($A225,Table1[#This Row],COLUMN(L224), FALSE)</f>
        <v>94.835999999999899</v>
      </c>
      <c r="M225" t="str">
        <f>VLOOKUP($A225,Table1[#This Row],COLUMN(M224), FALSE)</f>
        <v>Critical</v>
      </c>
      <c r="N225" t="str">
        <f>VLOOKUP($A225,Table1[#This Row],COLUMN(N224), FALSE)</f>
        <v>Normal Order</v>
      </c>
      <c r="O225" t="str">
        <f>VLOOKUP($A225,Table1[#This Row],COLUMN(O224), FALSE)</f>
        <v>Michelle Tran</v>
      </c>
      <c r="P225" t="str">
        <f>VLOOKUP($A225,Table1[#This Row],COLUMN(P224), FALSE)</f>
        <v>ES</v>
      </c>
      <c r="Q225" t="str">
        <f>VLOOKUP($A225,Table1[#This Row],COLUMN(Q224), FALSE)</f>
        <v>2015</v>
      </c>
      <c r="R225" t="str">
        <f>VLOOKUP($A225,Table1[#This Row],COLUMN(R224), FALSE)</f>
        <v>CRITICAL</v>
      </c>
      <c r="S225" t="str">
        <f>VLOOKUP($A225,Table1[#This Row],COLUMN(S224), FALSE)</f>
        <v>furniture</v>
      </c>
      <c r="T225" t="str">
        <f>VLOOKUP($A225,Table1[#This Row],COLUMN(T224), FALSE)</f>
        <v>42176</v>
      </c>
      <c r="U225" t="str">
        <f>VLOOKUP($A225,Table1[#This Row],COLUMN(U224), FALSE)</f>
        <v>MT1807045</v>
      </c>
      <c r="V225" t="str">
        <f>VLOOKUP($A225,Table1[#This Row],COLUMN(V224), FALSE)</f>
        <v>ES</v>
      </c>
      <c r="W225">
        <f>VLOOKUP($A225,Table1[#This Row],COLUMN(W224), FALSE)</f>
        <v>2015</v>
      </c>
      <c r="X225" t="str">
        <f>VLOOKUP($A225,Table1[#This Row],COLUMN(X224), FALSE)</f>
        <v>MT1807045</v>
      </c>
      <c r="Y225">
        <f>VLOOKUP($A225,Table1[#This Row],COLUMN(Y224), FALSE)</f>
        <v>42176</v>
      </c>
      <c r="Z225" t="str">
        <f>VLOOKUP($A225,Table1[#This Row],COLUMN(Z224), FALSE)</f>
        <v>ES-2015-MT1807045-42176</v>
      </c>
      <c r="AA225">
        <f>VLOOKUP($A225,Table1[#This Row],COLUMN(AA224), FALSE)</f>
        <v>2015</v>
      </c>
      <c r="AB225">
        <f>VLOOKUP($A225,Table1[#This Row],COLUMN(AB224), FALSE)</f>
        <v>6</v>
      </c>
      <c r="AC225">
        <f>VLOOKUP($A225,Table1[#This Row],COLUMN(AC224), FALSE)</f>
        <v>1</v>
      </c>
      <c r="AD225">
        <f>VLOOKUP($A225,Table1[#This Row],COLUMN(AD224), FALSE)</f>
        <v>1</v>
      </c>
    </row>
    <row r="226" spans="1:30" ht="15.75">
      <c r="A226" s="53" t="s">
        <v>1336</v>
      </c>
      <c r="B226" s="52">
        <f>VLOOKUP($A226,Table1[#This Row],COLUMN(B225), FALSE)</f>
        <v>40932</v>
      </c>
      <c r="C226" s="52">
        <f>VLOOKUP($A226,Table1[#This Row],COLUMN(C225), FALSE)</f>
        <v>40932</v>
      </c>
      <c r="D226" t="str">
        <f>VLOOKUP($A226,Table1[#This Row],COLUMN(D225), FALSE)</f>
        <v>Ann Blume</v>
      </c>
      <c r="E226" t="str">
        <f>VLOOKUP($A226,Table1[#This Row],COLUMN(E225), FALSE)</f>
        <v>Estonia</v>
      </c>
      <c r="F226" t="str">
        <f>VLOOKUP($A226,Table1[#This Row],COLUMN(F225), FALSE)</f>
        <v>Northern Europe</v>
      </c>
      <c r="G226" t="str">
        <f>VLOOKUP($A226,Table1[#This Row],COLUMN(G225), FALSE)</f>
        <v>Technology</v>
      </c>
      <c r="H226" t="str">
        <f>VLOOKUP($A226,Table1[#This Row],COLUMN(H225), FALSE)</f>
        <v>Chairs</v>
      </c>
      <c r="I226">
        <f>VLOOKUP($A226,Table1[#This Row],COLUMN(I225), FALSE)</f>
        <v>1302.78</v>
      </c>
      <c r="J226">
        <f>VLOOKUP($A226,Table1[#This Row],COLUMN(J225), FALSE)</f>
        <v>2</v>
      </c>
      <c r="K226">
        <f>VLOOKUP($A226,Table1[#This Row],COLUMN(K225), FALSE)</f>
        <v>0</v>
      </c>
      <c r="L226">
        <f>VLOOKUP($A226,Table1[#This Row],COLUMN(L225), FALSE)</f>
        <v>286.56</v>
      </c>
      <c r="M226" t="str">
        <f>VLOOKUP($A226,Table1[#This Row],COLUMN(M225), FALSE)</f>
        <v>Medium</v>
      </c>
      <c r="N226" t="str">
        <f>VLOOKUP($A226,Table1[#This Row],COLUMN(N225), FALSE)</f>
        <v>Normal Order</v>
      </c>
      <c r="O226" t="str">
        <f>VLOOKUP($A226,Table1[#This Row],COLUMN(O225), FALSE)</f>
        <v>Ann Blume</v>
      </c>
      <c r="P226" t="str">
        <f>VLOOKUP($A226,Table1[#This Row],COLUMN(P225), FALSE)</f>
        <v>EN</v>
      </c>
      <c r="Q226" t="str">
        <f>VLOOKUP($A226,Table1[#This Row],COLUMN(Q225), FALSE)</f>
        <v>2012</v>
      </c>
      <c r="R226" t="str">
        <f>VLOOKUP($A226,Table1[#This Row],COLUMN(R225), FALSE)</f>
        <v>MEDIUM</v>
      </c>
      <c r="S226" t="str">
        <f>VLOOKUP($A226,Table1[#This Row],COLUMN(S225), FALSE)</f>
        <v>technology</v>
      </c>
      <c r="T226" t="str">
        <f>VLOOKUP($A226,Table1[#This Row],COLUMN(T225), FALSE)</f>
        <v>40932</v>
      </c>
      <c r="U226" t="str">
        <f>VLOOKUP($A226,Table1[#This Row],COLUMN(U225), FALSE)</f>
        <v>AB60042</v>
      </c>
      <c r="V226" t="str">
        <f>VLOOKUP($A226,Table1[#This Row],COLUMN(V225), FALSE)</f>
        <v>EN</v>
      </c>
      <c r="W226">
        <f>VLOOKUP($A226,Table1[#This Row],COLUMN(W225), FALSE)</f>
        <v>2012</v>
      </c>
      <c r="X226" t="str">
        <f>VLOOKUP($A226,Table1[#This Row],COLUMN(X225), FALSE)</f>
        <v>AB60042</v>
      </c>
      <c r="Y226">
        <f>VLOOKUP($A226,Table1[#This Row],COLUMN(Y225), FALSE)</f>
        <v>40932</v>
      </c>
      <c r="Z226" t="str">
        <f>VLOOKUP($A226,Table1[#This Row],COLUMN(Z225), FALSE)</f>
        <v>EN-2012-AB60042-40932</v>
      </c>
      <c r="AA226">
        <f>VLOOKUP($A226,Table1[#This Row],COLUMN(AA225), FALSE)</f>
        <v>2012</v>
      </c>
      <c r="AB226">
        <f>VLOOKUP($A226,Table1[#This Row],COLUMN(AB225), FALSE)</f>
        <v>1</v>
      </c>
      <c r="AC226">
        <f>VLOOKUP($A226,Table1[#This Row],COLUMN(AC225), FALSE)</f>
        <v>3</v>
      </c>
      <c r="AD226">
        <f>VLOOKUP($A226,Table1[#This Row],COLUMN(AD225), FALSE)</f>
        <v>0</v>
      </c>
    </row>
    <row r="227" spans="1:30" ht="15.75">
      <c r="A227" s="54" t="s">
        <v>1338</v>
      </c>
      <c r="B227" s="52">
        <f>VLOOKUP($A227,Table1[#This Row],COLUMN(B226), FALSE)</f>
        <v>42342</v>
      </c>
      <c r="C227" s="52">
        <f>VLOOKUP($A227,Table1[#This Row],COLUMN(C226), FALSE)</f>
        <v>42346</v>
      </c>
      <c r="D227" t="str">
        <f>VLOOKUP($A227,Table1[#This Row],COLUMN(D226), FALSE)</f>
        <v>Paul Stevenson</v>
      </c>
      <c r="E227" t="str">
        <f>VLOOKUP($A227,Table1[#This Row],COLUMN(E226), FALSE)</f>
        <v>Australia</v>
      </c>
      <c r="F227" t="str">
        <f>VLOOKUP($A227,Table1[#This Row],COLUMN(F226), FALSE)</f>
        <v>Oceania</v>
      </c>
      <c r="G227" t="str">
        <f>VLOOKUP($A227,Table1[#This Row],COLUMN(G226), FALSE)</f>
        <v>Furniture</v>
      </c>
      <c r="H227" t="str">
        <f>VLOOKUP($A227,Table1[#This Row],COLUMN(H226), FALSE)</f>
        <v>Accessories</v>
      </c>
      <c r="I227">
        <f>VLOOKUP($A227,Table1[#This Row],COLUMN(I226), FALSE)</f>
        <v>2125.3199999999902</v>
      </c>
      <c r="J227">
        <f>VLOOKUP($A227,Table1[#This Row],COLUMN(J226), FALSE)</f>
        <v>4</v>
      </c>
      <c r="K227">
        <f>VLOOKUP($A227,Table1[#This Row],COLUMN(K226), FALSE)</f>
        <v>0</v>
      </c>
      <c r="L227">
        <f>VLOOKUP($A227,Table1[#This Row],COLUMN(L226), FALSE)</f>
        <v>148.68</v>
      </c>
      <c r="M227" t="str">
        <f>VLOOKUP($A227,Table1[#This Row],COLUMN(M226), FALSE)</f>
        <v>Medium</v>
      </c>
      <c r="N227" t="str">
        <f>VLOOKUP($A227,Table1[#This Row],COLUMN(N226), FALSE)</f>
        <v>Normal Order</v>
      </c>
      <c r="O227" t="str">
        <f>VLOOKUP($A227,Table1[#This Row],COLUMN(O226), FALSE)</f>
        <v>Paul Stevenson</v>
      </c>
      <c r="P227" t="str">
        <f>VLOOKUP($A227,Table1[#This Row],COLUMN(P226), FALSE)</f>
        <v>IN</v>
      </c>
      <c r="Q227" t="str">
        <f>VLOOKUP($A227,Table1[#This Row],COLUMN(Q226), FALSE)</f>
        <v>2015</v>
      </c>
      <c r="R227" t="str">
        <f>VLOOKUP($A227,Table1[#This Row],COLUMN(R226), FALSE)</f>
        <v>MEDIUM</v>
      </c>
      <c r="S227" t="str">
        <f>VLOOKUP($A227,Table1[#This Row],COLUMN(S226), FALSE)</f>
        <v>furniture</v>
      </c>
      <c r="T227" t="str">
        <f>VLOOKUP($A227,Table1[#This Row],COLUMN(T226), FALSE)</f>
        <v>42342</v>
      </c>
      <c r="U227" t="str">
        <f>VLOOKUP($A227,Table1[#This Row],COLUMN(U226), FALSE)</f>
        <v>PS189707</v>
      </c>
      <c r="V227" t="str">
        <f>VLOOKUP($A227,Table1[#This Row],COLUMN(V226), FALSE)</f>
        <v>IN</v>
      </c>
      <c r="W227">
        <f>VLOOKUP($A227,Table1[#This Row],COLUMN(W226), FALSE)</f>
        <v>2015</v>
      </c>
      <c r="X227" t="str">
        <f>VLOOKUP($A227,Table1[#This Row],COLUMN(X226), FALSE)</f>
        <v>PS189707</v>
      </c>
      <c r="Y227">
        <f>VLOOKUP($A227,Table1[#This Row],COLUMN(Y226), FALSE)</f>
        <v>42342</v>
      </c>
      <c r="Z227" t="str">
        <f>VLOOKUP($A227,Table1[#This Row],COLUMN(Z226), FALSE)</f>
        <v>IN-2015-PS189707-42342</v>
      </c>
      <c r="AA227">
        <f>VLOOKUP($A227,Table1[#This Row],COLUMN(AA226), FALSE)</f>
        <v>2015</v>
      </c>
      <c r="AB227">
        <f>VLOOKUP($A227,Table1[#This Row],COLUMN(AB226), FALSE)</f>
        <v>12</v>
      </c>
      <c r="AC227">
        <f>VLOOKUP($A227,Table1[#This Row],COLUMN(AC226), FALSE)</f>
        <v>6</v>
      </c>
      <c r="AD227">
        <f>VLOOKUP($A227,Table1[#This Row],COLUMN(AD226), FALSE)</f>
        <v>4</v>
      </c>
    </row>
    <row r="228" spans="1:30" ht="15.75">
      <c r="A228" s="53" t="s">
        <v>1339</v>
      </c>
      <c r="B228" s="52">
        <f>VLOOKUP($A228,Table1[#This Row],COLUMN(B227), FALSE)</f>
        <v>41818</v>
      </c>
      <c r="C228" s="52">
        <f>VLOOKUP($A228,Table1[#This Row],COLUMN(C227), FALSE)</f>
        <v>41824</v>
      </c>
      <c r="D228" t="str">
        <f>VLOOKUP($A228,Table1[#This Row],COLUMN(D227), FALSE)</f>
        <v>Erica Bern</v>
      </c>
      <c r="E228" t="str">
        <f>VLOOKUP($A228,Table1[#This Row],COLUMN(E227), FALSE)</f>
        <v>United Kingdom</v>
      </c>
      <c r="F228" t="str">
        <f>VLOOKUP($A228,Table1[#This Row],COLUMN(F227), FALSE)</f>
        <v>Northern Europe</v>
      </c>
      <c r="G228" t="str">
        <f>VLOOKUP($A228,Table1[#This Row],COLUMN(G227), FALSE)</f>
        <v>Technology</v>
      </c>
      <c r="H228" t="str">
        <f>VLOOKUP($A228,Table1[#This Row],COLUMN(H227), FALSE)</f>
        <v>Phones</v>
      </c>
      <c r="I228">
        <f>VLOOKUP($A228,Table1[#This Row],COLUMN(I227), FALSE)</f>
        <v>1954.44</v>
      </c>
      <c r="J228">
        <f>VLOOKUP($A228,Table1[#This Row],COLUMN(J227), FALSE)</f>
        <v>3</v>
      </c>
      <c r="K228">
        <f>VLOOKUP($A228,Table1[#This Row],COLUMN(K227), FALSE)</f>
        <v>0</v>
      </c>
      <c r="L228">
        <f>VLOOKUP($A228,Table1[#This Row],COLUMN(L227), FALSE)</f>
        <v>781.74</v>
      </c>
      <c r="M228" t="str">
        <f>VLOOKUP($A228,Table1[#This Row],COLUMN(M227), FALSE)</f>
        <v>Low</v>
      </c>
      <c r="N228" t="str">
        <f>VLOOKUP($A228,Table1[#This Row],COLUMN(N227), FALSE)</f>
        <v>Normal Order</v>
      </c>
      <c r="O228" t="str">
        <f>VLOOKUP($A228,Table1[#This Row],COLUMN(O227), FALSE)</f>
        <v>Erica Bern</v>
      </c>
      <c r="P228" t="str">
        <f>VLOOKUP($A228,Table1[#This Row],COLUMN(P227), FALSE)</f>
        <v>ES</v>
      </c>
      <c r="Q228" t="str">
        <f>VLOOKUP($A228,Table1[#This Row],COLUMN(Q227), FALSE)</f>
        <v>2014</v>
      </c>
      <c r="R228" t="str">
        <f>VLOOKUP($A228,Table1[#This Row],COLUMN(R227), FALSE)</f>
        <v>LOW</v>
      </c>
      <c r="S228" t="str">
        <f>VLOOKUP($A228,Table1[#This Row],COLUMN(S227), FALSE)</f>
        <v>technology</v>
      </c>
      <c r="T228" t="str">
        <f>VLOOKUP($A228,Table1[#This Row],COLUMN(T227), FALSE)</f>
        <v>41818</v>
      </c>
      <c r="U228" t="str">
        <f>VLOOKUP($A228,Table1[#This Row],COLUMN(U227), FALSE)</f>
        <v>EB13975139</v>
      </c>
      <c r="V228" t="str">
        <f>VLOOKUP($A228,Table1[#This Row],COLUMN(V227), FALSE)</f>
        <v>ES</v>
      </c>
      <c r="W228">
        <f>VLOOKUP($A228,Table1[#This Row],COLUMN(W227), FALSE)</f>
        <v>2014</v>
      </c>
      <c r="X228" t="str">
        <f>VLOOKUP($A228,Table1[#This Row],COLUMN(X227), FALSE)</f>
        <v>EB13975139</v>
      </c>
      <c r="Y228">
        <f>VLOOKUP($A228,Table1[#This Row],COLUMN(Y227), FALSE)</f>
        <v>41818</v>
      </c>
      <c r="Z228" t="str">
        <f>VLOOKUP($A228,Table1[#This Row],COLUMN(Z227), FALSE)</f>
        <v>ES-2014-EB13975139-41818</v>
      </c>
      <c r="AA228">
        <f>VLOOKUP($A228,Table1[#This Row],COLUMN(AA227), FALSE)</f>
        <v>2014</v>
      </c>
      <c r="AB228">
        <f>VLOOKUP($A228,Table1[#This Row],COLUMN(AB227), FALSE)</f>
        <v>6</v>
      </c>
      <c r="AC228">
        <f>VLOOKUP($A228,Table1[#This Row],COLUMN(AC227), FALSE)</f>
        <v>7</v>
      </c>
      <c r="AD228">
        <f>VLOOKUP($A228,Table1[#This Row],COLUMN(AD227), FALSE)</f>
        <v>6</v>
      </c>
    </row>
    <row r="229" spans="1:30" ht="15.75">
      <c r="A229" s="54" t="s">
        <v>1340</v>
      </c>
      <c r="B229" s="52">
        <f>VLOOKUP($A229,Table1[#This Row],COLUMN(B228), FALSE)</f>
        <v>41418</v>
      </c>
      <c r="C229" s="52">
        <f>VLOOKUP($A229,Table1[#This Row],COLUMN(C228), FALSE)</f>
        <v>41420</v>
      </c>
      <c r="D229" t="str">
        <f>VLOOKUP($A229,Table1[#This Row],COLUMN(D228), FALSE)</f>
        <v>Art Ferguson</v>
      </c>
      <c r="E229" t="str">
        <f>VLOOKUP($A229,Table1[#This Row],COLUMN(E228), FALSE)</f>
        <v>Brazil</v>
      </c>
      <c r="F229" t="str">
        <f>VLOOKUP($A229,Table1[#This Row],COLUMN(F228), FALSE)</f>
        <v>SOUTHA MERICA</v>
      </c>
      <c r="G229" t="str">
        <f>VLOOKUP($A229,Table1[#This Row],COLUMN(G228), FALSE)</f>
        <v>Technology</v>
      </c>
      <c r="H229" t="str">
        <f>VLOOKUP($A229,Table1[#This Row],COLUMN(H228), FALSE)</f>
        <v>Tables</v>
      </c>
      <c r="I229">
        <f>VLOOKUP($A229,Table1[#This Row],COLUMN(I228), FALSE)</f>
        <v>856.92</v>
      </c>
      <c r="J229">
        <f>VLOOKUP($A229,Table1[#This Row],COLUMN(J228), FALSE)</f>
        <v>2</v>
      </c>
      <c r="K229">
        <f>VLOOKUP($A229,Table1[#This Row],COLUMN(K228), FALSE)</f>
        <v>0</v>
      </c>
      <c r="L229">
        <f>VLOOKUP($A229,Table1[#This Row],COLUMN(L228), FALSE)</f>
        <v>222.76</v>
      </c>
      <c r="M229" t="str">
        <f>VLOOKUP($A229,Table1[#This Row],COLUMN(M228), FALSE)</f>
        <v>Critical</v>
      </c>
      <c r="N229" t="str">
        <f>VLOOKUP($A229,Table1[#This Row],COLUMN(N228), FALSE)</f>
        <v>Normal Order</v>
      </c>
      <c r="O229" t="str">
        <f>VLOOKUP($A229,Table1[#This Row],COLUMN(O228), FALSE)</f>
        <v>Art Ferguson</v>
      </c>
      <c r="P229" t="str">
        <f>VLOOKUP($A229,Table1[#This Row],COLUMN(P228), FALSE)</f>
        <v>MX</v>
      </c>
      <c r="Q229" t="str">
        <f>VLOOKUP($A229,Table1[#This Row],COLUMN(Q228), FALSE)</f>
        <v>2013</v>
      </c>
      <c r="R229" t="str">
        <f>VLOOKUP($A229,Table1[#This Row],COLUMN(R228), FALSE)</f>
        <v>CRITICAL</v>
      </c>
      <c r="S229" t="str">
        <f>VLOOKUP($A229,Table1[#This Row],COLUMN(S228), FALSE)</f>
        <v>technology</v>
      </c>
      <c r="T229" t="str">
        <f>VLOOKUP($A229,Table1[#This Row],COLUMN(T228), FALSE)</f>
        <v>41418</v>
      </c>
      <c r="U229" t="str">
        <f>VLOOKUP($A229,Table1[#This Row],COLUMN(U228), FALSE)</f>
        <v>AF1087018</v>
      </c>
      <c r="V229" t="str">
        <f>VLOOKUP($A229,Table1[#This Row],COLUMN(V228), FALSE)</f>
        <v>MX</v>
      </c>
      <c r="W229">
        <f>VLOOKUP($A229,Table1[#This Row],COLUMN(W228), FALSE)</f>
        <v>2013</v>
      </c>
      <c r="X229" t="str">
        <f>VLOOKUP($A229,Table1[#This Row],COLUMN(X228), FALSE)</f>
        <v>AF1087018</v>
      </c>
      <c r="Y229">
        <f>VLOOKUP($A229,Table1[#This Row],COLUMN(Y228), FALSE)</f>
        <v>41418</v>
      </c>
      <c r="Z229" t="str">
        <f>VLOOKUP($A229,Table1[#This Row],COLUMN(Z228), FALSE)</f>
        <v>MX-2013-AF1087018-41418</v>
      </c>
      <c r="AA229">
        <f>VLOOKUP($A229,Table1[#This Row],COLUMN(AA228), FALSE)</f>
        <v>2013</v>
      </c>
      <c r="AB229">
        <f>VLOOKUP($A229,Table1[#This Row],COLUMN(AB228), FALSE)</f>
        <v>5</v>
      </c>
      <c r="AC229">
        <f>VLOOKUP($A229,Table1[#This Row],COLUMN(AC228), FALSE)</f>
        <v>6</v>
      </c>
      <c r="AD229">
        <f>VLOOKUP($A229,Table1[#This Row],COLUMN(AD228), FALSE)</f>
        <v>2</v>
      </c>
    </row>
    <row r="230" spans="1:30" ht="15.75">
      <c r="A230" s="53" t="s">
        <v>1346</v>
      </c>
      <c r="B230" s="52">
        <f>VLOOKUP($A230,Table1[#This Row],COLUMN(B229), FALSE)</f>
        <v>41619</v>
      </c>
      <c r="C230" s="52">
        <f>VLOOKUP($A230,Table1[#This Row],COLUMN(C229), FALSE)</f>
        <v>41623</v>
      </c>
      <c r="D230" t="str">
        <f>VLOOKUP($A230,Table1[#This Row],COLUMN(D229), FALSE)</f>
        <v>Craig Carroll</v>
      </c>
      <c r="E230" t="str">
        <f>VLOOKUP($A230,Table1[#This Row],COLUMN(E229), FALSE)</f>
        <v>India#</v>
      </c>
      <c r="F230" t="str">
        <f>VLOOKUP($A230,Table1[#This Row],COLUMN(F229), FALSE)</f>
        <v>Southern Asia</v>
      </c>
      <c r="G230" t="str">
        <f>VLOOKUP($A230,Table1[#This Row],COLUMN(G229), FALSE)</f>
        <v>Technology</v>
      </c>
      <c r="H230" t="str">
        <f>VLOOKUP($A230,Table1[#This Row],COLUMN(H229), FALSE)</f>
        <v>Phones</v>
      </c>
      <c r="I230">
        <f>VLOOKUP($A230,Table1[#This Row],COLUMN(I229), FALSE)</f>
        <v>1302.96</v>
      </c>
      <c r="J230">
        <f>VLOOKUP($A230,Table1[#This Row],COLUMN(J229), FALSE)</f>
        <v>2</v>
      </c>
      <c r="K230">
        <f>VLOOKUP($A230,Table1[#This Row],COLUMN(K229), FALSE)</f>
        <v>0</v>
      </c>
      <c r="L230">
        <f>VLOOKUP($A230,Table1[#This Row],COLUMN(L229), FALSE)</f>
        <v>182.39999999999901</v>
      </c>
      <c r="M230" t="str">
        <f>VLOOKUP($A230,Table1[#This Row],COLUMN(M229), FALSE)</f>
        <v>High</v>
      </c>
      <c r="N230" t="str">
        <f>VLOOKUP($A230,Table1[#This Row],COLUMN(N229), FALSE)</f>
        <v>Normal Order</v>
      </c>
      <c r="O230" t="str">
        <f>VLOOKUP($A230,Table1[#This Row],COLUMN(O229), FALSE)</f>
        <v>Craig Carroll</v>
      </c>
      <c r="P230" t="str">
        <f>VLOOKUP($A230,Table1[#This Row],COLUMN(P229), FALSE)</f>
        <v>IN</v>
      </c>
      <c r="Q230" t="str">
        <f>VLOOKUP($A230,Table1[#This Row],COLUMN(Q229), FALSE)</f>
        <v>2013</v>
      </c>
      <c r="R230" t="str">
        <f>VLOOKUP($A230,Table1[#This Row],COLUMN(R229), FALSE)</f>
        <v>HIGH</v>
      </c>
      <c r="S230" t="str">
        <f>VLOOKUP($A230,Table1[#This Row],COLUMN(S229), FALSE)</f>
        <v>technology</v>
      </c>
      <c r="T230" t="str">
        <f>VLOOKUP($A230,Table1[#This Row],COLUMN(T229), FALSE)</f>
        <v>41619</v>
      </c>
      <c r="U230" t="str">
        <f>VLOOKUP($A230,Table1[#This Row],COLUMN(U229), FALSE)</f>
        <v>CC1268558</v>
      </c>
      <c r="V230" t="str">
        <f>VLOOKUP($A230,Table1[#This Row],COLUMN(V229), FALSE)</f>
        <v>IN</v>
      </c>
      <c r="W230">
        <f>VLOOKUP($A230,Table1[#This Row],COLUMN(W229), FALSE)</f>
        <v>2013</v>
      </c>
      <c r="X230" t="str">
        <f>VLOOKUP($A230,Table1[#This Row],COLUMN(X229), FALSE)</f>
        <v>CC1268558</v>
      </c>
      <c r="Y230">
        <f>VLOOKUP($A230,Table1[#This Row],COLUMN(Y229), FALSE)</f>
        <v>41619</v>
      </c>
      <c r="Z230" t="str">
        <f>VLOOKUP($A230,Table1[#This Row],COLUMN(Z229), FALSE)</f>
        <v>IN-2013-CC1268558-41619</v>
      </c>
      <c r="AA230">
        <f>VLOOKUP($A230,Table1[#This Row],COLUMN(AA229), FALSE)</f>
        <v>2013</v>
      </c>
      <c r="AB230">
        <f>VLOOKUP($A230,Table1[#This Row],COLUMN(AB229), FALSE)</f>
        <v>12</v>
      </c>
      <c r="AC230">
        <f>VLOOKUP($A230,Table1[#This Row],COLUMN(AC229), FALSE)</f>
        <v>4</v>
      </c>
      <c r="AD230">
        <f>VLOOKUP($A230,Table1[#This Row],COLUMN(AD229), FALSE)</f>
        <v>4</v>
      </c>
    </row>
    <row r="231" spans="1:30" ht="15.75">
      <c r="A231" s="54" t="s">
        <v>1360</v>
      </c>
      <c r="B231" s="52">
        <f>VLOOKUP($A231,Table1[#This Row],COLUMN(B230), FALSE)</f>
        <v>42344</v>
      </c>
      <c r="C231" s="52">
        <f>VLOOKUP($A231,Table1[#This Row],COLUMN(C230), FALSE)</f>
        <v>42348</v>
      </c>
      <c r="D231" t="str">
        <f>VLOOKUP($A231,Table1[#This Row],COLUMN(D230), FALSE)</f>
        <v>Alan Barnes</v>
      </c>
      <c r="E231" t="str">
        <f>VLOOKUP($A231,Table1[#This Row],COLUMN(E230), FALSE)</f>
        <v>united states</v>
      </c>
      <c r="F231" t="str">
        <f>VLOOKUP($A231,Table1[#This Row],COLUMN(F230), FALSE)</f>
        <v>Western US</v>
      </c>
      <c r="G231" t="str">
        <f>VLOOKUP($A231,Table1[#This Row],COLUMN(G230), FALSE)</f>
        <v xml:space="preserve"> Office Supplies </v>
      </c>
      <c r="H231" t="str">
        <f>VLOOKUP($A231,Table1[#This Row],COLUMN(H230), FALSE)</f>
        <v>Appliances</v>
      </c>
      <c r="I231">
        <f>VLOOKUP($A231,Table1[#This Row],COLUMN(I230), FALSE)</f>
        <v>24.815999999999999</v>
      </c>
      <c r="J231">
        <f>VLOOKUP($A231,Table1[#This Row],COLUMN(J230), FALSE)</f>
        <v>3</v>
      </c>
      <c r="K231">
        <f>VLOOKUP($A231,Table1[#This Row],COLUMN(K230), FALSE)</f>
        <v>0.2</v>
      </c>
      <c r="L231">
        <f>VLOOKUP($A231,Table1[#This Row],COLUMN(L230), FALSE)</f>
        <v>8.3753999999999902</v>
      </c>
      <c r="M231" t="str">
        <f>VLOOKUP($A231,Table1[#This Row],COLUMN(M230), FALSE)</f>
        <v>Medium</v>
      </c>
      <c r="N231" t="str">
        <f>VLOOKUP($A231,Table1[#This Row],COLUMN(N230), FALSE)</f>
        <v>Normal Order</v>
      </c>
      <c r="O231" t="str">
        <f>VLOOKUP($A231,Table1[#This Row],COLUMN(O230), FALSE)</f>
        <v>Alan Barnes</v>
      </c>
      <c r="P231" t="str">
        <f>VLOOKUP($A231,Table1[#This Row],COLUMN(P230), FALSE)</f>
        <v>CA</v>
      </c>
      <c r="Q231" t="str">
        <f>VLOOKUP($A231,Table1[#This Row],COLUMN(Q230), FALSE)</f>
        <v>2015</v>
      </c>
      <c r="R231" t="str">
        <f>VLOOKUP($A231,Table1[#This Row],COLUMN(R230), FALSE)</f>
        <v>MEDIUM</v>
      </c>
      <c r="S231" t="str">
        <f>VLOOKUP($A231,Table1[#This Row],COLUMN(S230), FALSE)</f>
        <v xml:space="preserve"> office supplies </v>
      </c>
      <c r="T231" t="str">
        <f>VLOOKUP($A231,Table1[#This Row],COLUMN(T230), FALSE)</f>
        <v>42344</v>
      </c>
      <c r="U231" t="str">
        <f>VLOOKUP($A231,Table1[#This Row],COLUMN(U230), FALSE)</f>
        <v>AB10165140</v>
      </c>
      <c r="V231" t="str">
        <f>VLOOKUP($A231,Table1[#This Row],COLUMN(V230), FALSE)</f>
        <v>CA</v>
      </c>
      <c r="W231">
        <f>VLOOKUP($A231,Table1[#This Row],COLUMN(W230), FALSE)</f>
        <v>2015</v>
      </c>
      <c r="X231" t="str">
        <f>VLOOKUP($A231,Table1[#This Row],COLUMN(X230), FALSE)</f>
        <v>AB10165140</v>
      </c>
      <c r="Y231">
        <f>VLOOKUP($A231,Table1[#This Row],COLUMN(Y230), FALSE)</f>
        <v>42344</v>
      </c>
      <c r="Z231" t="str">
        <f>VLOOKUP($A231,Table1[#This Row],COLUMN(Z230), FALSE)</f>
        <v>CA-2015-AB10165140-42344</v>
      </c>
      <c r="AA231">
        <f>VLOOKUP($A231,Table1[#This Row],COLUMN(AA230), FALSE)</f>
        <v>2015</v>
      </c>
      <c r="AB231">
        <f>VLOOKUP($A231,Table1[#This Row],COLUMN(AB230), FALSE)</f>
        <v>12</v>
      </c>
      <c r="AC231">
        <f>VLOOKUP($A231,Table1[#This Row],COLUMN(AC230), FALSE)</f>
        <v>1</v>
      </c>
      <c r="AD231">
        <f>VLOOKUP($A231,Table1[#This Row],COLUMN(AD230), FALSE)</f>
        <v>4</v>
      </c>
    </row>
    <row r="232" spans="1:30" ht="15.75">
      <c r="A232" s="53" t="s">
        <v>1273</v>
      </c>
      <c r="B232" s="52">
        <f>VLOOKUP($A232,Table1[#This Row],COLUMN(B231), FALSE)</f>
        <v>41450</v>
      </c>
      <c r="C232" s="52">
        <f>VLOOKUP($A232,Table1[#This Row],COLUMN(C231), FALSE)</f>
        <v>41456</v>
      </c>
      <c r="D232" t="str">
        <f>VLOOKUP($A232,Table1[#This Row],COLUMN(D231), FALSE)</f>
        <v>Alan Barnes</v>
      </c>
      <c r="E232" t="str">
        <f>VLOOKUP($A232,Table1[#This Row],COLUMN(E231), FALSE)</f>
        <v>United States</v>
      </c>
      <c r="F232" t="str">
        <f>VLOOKUP($A232,Table1[#This Row],COLUMN(F231), FALSE)</f>
        <v>Western US</v>
      </c>
      <c r="G232" t="str">
        <f>VLOOKUP($A232,Table1[#This Row],COLUMN(G231), FALSE)</f>
        <v>Office Supplies</v>
      </c>
      <c r="H232" t="str">
        <f>VLOOKUP($A232,Table1[#This Row],COLUMN(H231), FALSE)</f>
        <v>Machines</v>
      </c>
      <c r="I232">
        <f>VLOOKUP($A232,Table1[#This Row],COLUMN(I231), FALSE)</f>
        <v>20.96</v>
      </c>
      <c r="J232">
        <f>VLOOKUP($A232,Table1[#This Row],COLUMN(J231), FALSE)</f>
        <v>2</v>
      </c>
      <c r="K232">
        <f>VLOOKUP($A232,Table1[#This Row],COLUMN(K231), FALSE)</f>
        <v>0</v>
      </c>
      <c r="L232">
        <f>VLOOKUP($A232,Table1[#This Row],COLUMN(L231), FALSE)</f>
        <v>5.24</v>
      </c>
      <c r="M232" t="str">
        <f>VLOOKUP($A232,Table1[#This Row],COLUMN(M231), FALSE)</f>
        <v>Medium</v>
      </c>
      <c r="N232" t="str">
        <f>VLOOKUP($A232,Table1[#This Row],COLUMN(N231), FALSE)</f>
        <v>Normal Order</v>
      </c>
      <c r="O232" t="str">
        <f>VLOOKUP($A232,Table1[#This Row],COLUMN(O231), FALSE)</f>
        <v>Alan Barnes</v>
      </c>
      <c r="P232" t="str">
        <f>VLOOKUP($A232,Table1[#This Row],COLUMN(P231), FALSE)</f>
        <v>CA</v>
      </c>
      <c r="Q232" t="str">
        <f>VLOOKUP($A232,Table1[#This Row],COLUMN(Q231), FALSE)</f>
        <v>2013</v>
      </c>
      <c r="R232" t="str">
        <f>VLOOKUP($A232,Table1[#This Row],COLUMN(R231), FALSE)</f>
        <v>MEDIUM</v>
      </c>
      <c r="S232" t="str">
        <f>VLOOKUP($A232,Table1[#This Row],COLUMN(S231), FALSE)</f>
        <v>office supplies</v>
      </c>
      <c r="T232" t="str">
        <f>VLOOKUP($A232,Table1[#This Row],COLUMN(T231), FALSE)</f>
        <v>41450</v>
      </c>
      <c r="U232" t="str">
        <f>VLOOKUP($A232,Table1[#This Row],COLUMN(U231), FALSE)</f>
        <v>AB10165140</v>
      </c>
      <c r="V232" t="str">
        <f>VLOOKUP($A232,Table1[#This Row],COLUMN(V231), FALSE)</f>
        <v>CA</v>
      </c>
      <c r="W232">
        <f>VLOOKUP($A232,Table1[#This Row],COLUMN(W231), FALSE)</f>
        <v>2013</v>
      </c>
      <c r="X232" t="str">
        <f>VLOOKUP($A232,Table1[#This Row],COLUMN(X231), FALSE)</f>
        <v>AB10165140</v>
      </c>
      <c r="Y232">
        <f>VLOOKUP($A232,Table1[#This Row],COLUMN(Y231), FALSE)</f>
        <v>41450</v>
      </c>
      <c r="Z232" t="str">
        <f>VLOOKUP($A232,Table1[#This Row],COLUMN(Z231), FALSE)</f>
        <v>CA-2013-AB10165140-41450</v>
      </c>
      <c r="AA232">
        <f>VLOOKUP($A232,Table1[#This Row],COLUMN(AA231), FALSE)</f>
        <v>2013</v>
      </c>
      <c r="AB232">
        <f>VLOOKUP($A232,Table1[#This Row],COLUMN(AB231), FALSE)</f>
        <v>6</v>
      </c>
      <c r="AC232">
        <f>VLOOKUP($A232,Table1[#This Row],COLUMN(AC231), FALSE)</f>
        <v>3</v>
      </c>
      <c r="AD232">
        <f>VLOOKUP($A232,Table1[#This Row],COLUMN(AD231), FALSE)</f>
        <v>6</v>
      </c>
    </row>
    <row r="233" spans="1:30" ht="15.75">
      <c r="A233" s="54" t="s">
        <v>1361</v>
      </c>
      <c r="B233" s="52">
        <f>VLOOKUP($A233,Table1[#This Row],COLUMN(B232), FALSE)</f>
        <v>42329</v>
      </c>
      <c r="C233" s="52">
        <f>VLOOKUP($A233,Table1[#This Row],COLUMN(C232), FALSE)</f>
        <v>42330</v>
      </c>
      <c r="D233" t="str">
        <f>VLOOKUP($A233,Table1[#This Row],COLUMN(D232), FALSE)</f>
        <v>Lena Creighton</v>
      </c>
      <c r="E233" t="str">
        <f>VLOOKUP($A233,Table1[#This Row],COLUMN(E232), FALSE)</f>
        <v>Mexico</v>
      </c>
      <c r="F233" t="str">
        <f>VLOOKUP($A233,Table1[#This Row],COLUMN(F232), FALSE)</f>
        <v>Central America</v>
      </c>
      <c r="G233" t="str">
        <f>VLOOKUP($A233,Table1[#This Row],COLUMN(G232), FALSE)</f>
        <v>Furniture</v>
      </c>
      <c r="H233" t="str">
        <f>VLOOKUP($A233,Table1[#This Row],COLUMN(H232), FALSE)</f>
        <v>Storage</v>
      </c>
      <c r="I233">
        <f>VLOOKUP($A233,Table1[#This Row],COLUMN(I232), FALSE)</f>
        <v>775.53599999999994</v>
      </c>
      <c r="J233">
        <f>VLOOKUP($A233,Table1[#This Row],COLUMN(J232), FALSE)</f>
        <v>3</v>
      </c>
      <c r="K233">
        <f>VLOOKUP($A233,Table1[#This Row],COLUMN(K232), FALSE)</f>
        <v>0.2</v>
      </c>
      <c r="L233">
        <f>VLOOKUP($A233,Table1[#This Row],COLUMN(L232), FALSE)</f>
        <v>213.21599999999901</v>
      </c>
      <c r="M233" t="str">
        <f>VLOOKUP($A233,Table1[#This Row],COLUMN(M232), FALSE)</f>
        <v>High</v>
      </c>
      <c r="N233" t="str">
        <f>VLOOKUP($A233,Table1[#This Row],COLUMN(N232), FALSE)</f>
        <v>Normal Order</v>
      </c>
      <c r="O233" t="str">
        <f>VLOOKUP($A233,Table1[#This Row],COLUMN(O232), FALSE)</f>
        <v>Lena Creighton</v>
      </c>
      <c r="P233" t="str">
        <f>VLOOKUP($A233,Table1[#This Row],COLUMN(P232), FALSE)</f>
        <v>MX</v>
      </c>
      <c r="Q233" t="str">
        <f>VLOOKUP($A233,Table1[#This Row],COLUMN(Q232), FALSE)</f>
        <v>2015</v>
      </c>
      <c r="R233" t="str">
        <f>VLOOKUP($A233,Table1[#This Row],COLUMN(R232), FALSE)</f>
        <v>HIGH</v>
      </c>
      <c r="S233" t="str">
        <f>VLOOKUP($A233,Table1[#This Row],COLUMN(S232), FALSE)</f>
        <v>furniture</v>
      </c>
      <c r="T233" t="str">
        <f>VLOOKUP($A233,Table1[#This Row],COLUMN(T232), FALSE)</f>
        <v>42329</v>
      </c>
      <c r="U233" t="str">
        <f>VLOOKUP($A233,Table1[#This Row],COLUMN(U232), FALSE)</f>
        <v>LC1688582</v>
      </c>
      <c r="V233" t="str">
        <f>VLOOKUP($A233,Table1[#This Row],COLUMN(V232), FALSE)</f>
        <v>MX</v>
      </c>
      <c r="W233">
        <f>VLOOKUP($A233,Table1[#This Row],COLUMN(W232), FALSE)</f>
        <v>2015</v>
      </c>
      <c r="X233" t="str">
        <f>VLOOKUP($A233,Table1[#This Row],COLUMN(X232), FALSE)</f>
        <v>LC1688582</v>
      </c>
      <c r="Y233">
        <f>VLOOKUP($A233,Table1[#This Row],COLUMN(Y232), FALSE)</f>
        <v>42329</v>
      </c>
      <c r="Z233" t="str">
        <f>VLOOKUP($A233,Table1[#This Row],COLUMN(Z232), FALSE)</f>
        <v>MX-2015-LC1688582-42329</v>
      </c>
      <c r="AA233">
        <f>VLOOKUP($A233,Table1[#This Row],COLUMN(AA232), FALSE)</f>
        <v>2015</v>
      </c>
      <c r="AB233">
        <f>VLOOKUP($A233,Table1[#This Row],COLUMN(AB232), FALSE)</f>
        <v>11</v>
      </c>
      <c r="AC233">
        <f>VLOOKUP($A233,Table1[#This Row],COLUMN(AC232), FALSE)</f>
        <v>7</v>
      </c>
      <c r="AD233">
        <f>VLOOKUP($A233,Table1[#This Row],COLUMN(AD232), FALSE)</f>
        <v>1</v>
      </c>
    </row>
    <row r="234" spans="1:30" ht="15.75">
      <c r="A234" s="53" t="s">
        <v>1365</v>
      </c>
      <c r="B234" s="52" t="str">
        <f>VLOOKUP($A234,Table1[#This Row],COLUMN(B233), FALSE)</f>
        <v xml:space="preserve"> 2012-06-07 </v>
      </c>
      <c r="C234" s="52">
        <f>VLOOKUP($A234,Table1[#This Row],COLUMN(C233), FALSE)</f>
        <v>41072</v>
      </c>
      <c r="D234" t="str">
        <f>VLOOKUP($A234,Table1[#This Row],COLUMN(D233), FALSE)</f>
        <v>Sean Wendt</v>
      </c>
      <c r="E234" t="str">
        <f>VLOOKUP($A234,Table1[#This Row],COLUMN(E233), FALSE)</f>
        <v>Indonesia</v>
      </c>
      <c r="F234" t="str">
        <f>VLOOKUP($A234,Table1[#This Row],COLUMN(F233), FALSE)</f>
        <v>Southeastern Asia</v>
      </c>
      <c r="G234" t="str">
        <f>VLOOKUP($A234,Table1[#This Row],COLUMN(G233), FALSE)</f>
        <v>Technology</v>
      </c>
      <c r="H234" t="str">
        <f>VLOOKUP($A234,Table1[#This Row],COLUMN(H233), FALSE)</f>
        <v>Tables</v>
      </c>
      <c r="I234">
        <f>VLOOKUP($A234,Table1[#This Row],COLUMN(I233), FALSE)</f>
        <v>2166.8975999999998</v>
      </c>
      <c r="J234">
        <f>VLOOKUP($A234,Table1[#This Row],COLUMN(J233), FALSE)</f>
        <v>4</v>
      </c>
      <c r="K234">
        <f>VLOOKUP($A234,Table1[#This Row],COLUMN(K233), FALSE)</f>
        <v>0.17</v>
      </c>
      <c r="L234">
        <f>VLOOKUP($A234,Table1[#This Row],COLUMN(L233), FALSE)</f>
        <v>391.49759999999901</v>
      </c>
      <c r="M234" t="str">
        <f>VLOOKUP($A234,Table1[#This Row],COLUMN(M233), FALSE)</f>
        <v>Medium</v>
      </c>
      <c r="N234" t="str">
        <f>VLOOKUP($A234,Table1[#This Row],COLUMN(N233), FALSE)</f>
        <v>Normal Order</v>
      </c>
      <c r="O234" t="str">
        <f>VLOOKUP($A234,Table1[#This Row],COLUMN(O233), FALSE)</f>
        <v>Sean Wendt</v>
      </c>
      <c r="P234" t="str">
        <f>VLOOKUP($A234,Table1[#This Row],COLUMN(P233), FALSE)</f>
        <v>IN</v>
      </c>
      <c r="Q234" t="str">
        <f>VLOOKUP($A234,Table1[#This Row],COLUMN(Q233), FALSE)</f>
        <v>2012</v>
      </c>
      <c r="R234" t="str">
        <f>VLOOKUP($A234,Table1[#This Row],COLUMN(R233), FALSE)</f>
        <v>MEDIUM</v>
      </c>
      <c r="S234" t="str">
        <f>VLOOKUP($A234,Table1[#This Row],COLUMN(S233), FALSE)</f>
        <v>technology</v>
      </c>
      <c r="T234" t="str">
        <f>VLOOKUP($A234,Table1[#This Row],COLUMN(T233), FALSE)</f>
        <v>41067</v>
      </c>
      <c r="U234" t="str">
        <f>VLOOKUP($A234,Table1[#This Row],COLUMN(U233), FALSE)</f>
        <v>SW2035059</v>
      </c>
      <c r="V234" t="str">
        <f>VLOOKUP($A234,Table1[#This Row],COLUMN(V233), FALSE)</f>
        <v>IN</v>
      </c>
      <c r="W234">
        <f>VLOOKUP($A234,Table1[#This Row],COLUMN(W233), FALSE)</f>
        <v>2012</v>
      </c>
      <c r="X234" t="str">
        <f>VLOOKUP($A234,Table1[#This Row],COLUMN(X233), FALSE)</f>
        <v>SW2035059</v>
      </c>
      <c r="Y234">
        <f>VLOOKUP($A234,Table1[#This Row],COLUMN(Y233), FALSE)</f>
        <v>41067</v>
      </c>
      <c r="Z234" t="str">
        <f>VLOOKUP($A234,Table1[#This Row],COLUMN(Z233), FALSE)</f>
        <v>IN-2012-SW2035059-41067</v>
      </c>
      <c r="AA234">
        <f>VLOOKUP($A234,Table1[#This Row],COLUMN(AA233), FALSE)</f>
        <v>0</v>
      </c>
      <c r="AB234">
        <f>VLOOKUP($A234,Table1[#This Row],COLUMN(AB233), FALSE)</f>
        <v>0</v>
      </c>
      <c r="AC234">
        <f>VLOOKUP($A234,Table1[#This Row],COLUMN(AC233), FALSE)</f>
        <v>0</v>
      </c>
      <c r="AD234">
        <f>VLOOKUP($A234,Table1[#This Row],COLUMN(AD233), FALSE)</f>
        <v>0</v>
      </c>
    </row>
    <row r="235" spans="1:30" ht="15.75">
      <c r="A235" s="54" t="s">
        <v>1370</v>
      </c>
      <c r="B235" s="52">
        <f>VLOOKUP($A235,Table1[#This Row],COLUMN(B234), FALSE)</f>
        <v>41517</v>
      </c>
      <c r="C235" s="52">
        <f>VLOOKUP($A235,Table1[#This Row],COLUMN(C234), FALSE)</f>
        <v>41519</v>
      </c>
      <c r="D235" t="str">
        <f>VLOOKUP($A235,Table1[#This Row],COLUMN(D234), FALSE)</f>
        <v>Cari Sayre</v>
      </c>
      <c r="E235" t="str">
        <f>VLOOKUP($A235,Table1[#This Row],COLUMN(E234), FALSE)</f>
        <v xml:space="preserve"> China </v>
      </c>
      <c r="F235" t="str">
        <f>VLOOKUP($A235,Table1[#This Row],COLUMN(F234), FALSE)</f>
        <v>Eastern Asia</v>
      </c>
      <c r="G235" t="str">
        <f>VLOOKUP($A235,Table1[#This Row],COLUMN(G234), FALSE)</f>
        <v>Technology</v>
      </c>
      <c r="H235" t="str">
        <f>VLOOKUP($A235,Table1[#This Row],COLUMN(H234), FALSE)</f>
        <v>Copiers</v>
      </c>
      <c r="I235">
        <f>VLOOKUP($A235,Table1[#This Row],COLUMN(I234), FALSE)</f>
        <v>1285.56</v>
      </c>
      <c r="J235">
        <f>VLOOKUP($A235,Table1[#This Row],COLUMN(J234), FALSE)</f>
        <v>2</v>
      </c>
      <c r="K235">
        <f>VLOOKUP($A235,Table1[#This Row],COLUMN(K234), FALSE)</f>
        <v>0</v>
      </c>
      <c r="L235">
        <f>VLOOKUP($A235,Table1[#This Row],COLUMN(L234), FALSE)</f>
        <v>51.42</v>
      </c>
      <c r="M235" t="str">
        <f>VLOOKUP($A235,Table1[#This Row],COLUMN(M234), FALSE)</f>
        <v>Critical</v>
      </c>
      <c r="N235" t="str">
        <f>VLOOKUP($A235,Table1[#This Row],COLUMN(N234), FALSE)</f>
        <v>Normal Order</v>
      </c>
      <c r="O235" t="str">
        <f>VLOOKUP($A235,Table1[#This Row],COLUMN(O234), FALSE)</f>
        <v>Cari Sayre</v>
      </c>
      <c r="P235" t="str">
        <f>VLOOKUP($A235,Table1[#This Row],COLUMN(P234), FALSE)</f>
        <v>IN</v>
      </c>
      <c r="Q235" t="str">
        <f>VLOOKUP($A235,Table1[#This Row],COLUMN(Q234), FALSE)</f>
        <v>2013</v>
      </c>
      <c r="R235" t="str">
        <f>VLOOKUP($A235,Table1[#This Row],COLUMN(R234), FALSE)</f>
        <v>CRITICAL</v>
      </c>
      <c r="S235" t="str">
        <f>VLOOKUP($A235,Table1[#This Row],COLUMN(S234), FALSE)</f>
        <v>technology</v>
      </c>
      <c r="T235" t="str">
        <f>VLOOKUP($A235,Table1[#This Row],COLUMN(T234), FALSE)</f>
        <v>41517</v>
      </c>
      <c r="U235" t="str">
        <f>VLOOKUP($A235,Table1[#This Row],COLUMN(U234), FALSE)</f>
        <v>CS1184527</v>
      </c>
      <c r="V235" t="str">
        <f>VLOOKUP($A235,Table1[#This Row],COLUMN(V234), FALSE)</f>
        <v>IN</v>
      </c>
      <c r="W235">
        <f>VLOOKUP($A235,Table1[#This Row],COLUMN(W234), FALSE)</f>
        <v>2013</v>
      </c>
      <c r="X235" t="str">
        <f>VLOOKUP($A235,Table1[#This Row],COLUMN(X234), FALSE)</f>
        <v>CS1184527</v>
      </c>
      <c r="Y235">
        <f>VLOOKUP($A235,Table1[#This Row],COLUMN(Y234), FALSE)</f>
        <v>41517</v>
      </c>
      <c r="Z235" t="str">
        <f>VLOOKUP($A235,Table1[#This Row],COLUMN(Z234), FALSE)</f>
        <v>IN-2013-CS1184527-41517</v>
      </c>
      <c r="AA235">
        <f>VLOOKUP($A235,Table1[#This Row],COLUMN(AA234), FALSE)</f>
        <v>2013</v>
      </c>
      <c r="AB235">
        <f>VLOOKUP($A235,Table1[#This Row],COLUMN(AB234), FALSE)</f>
        <v>8</v>
      </c>
      <c r="AC235">
        <f>VLOOKUP($A235,Table1[#This Row],COLUMN(AC234), FALSE)</f>
        <v>7</v>
      </c>
      <c r="AD235">
        <f>VLOOKUP($A235,Table1[#This Row],COLUMN(AD234), FALSE)</f>
        <v>2</v>
      </c>
    </row>
    <row r="236" spans="1:30" ht="15.75">
      <c r="A236" s="53" t="s">
        <v>1374</v>
      </c>
      <c r="B236" s="52">
        <f>VLOOKUP($A236,Table1[#This Row],COLUMN(B235), FALSE)</f>
        <v>41993</v>
      </c>
      <c r="C236" s="52">
        <f>VLOOKUP($A236,Table1[#This Row],COLUMN(C235), FALSE)</f>
        <v>41995</v>
      </c>
      <c r="D236" t="str">
        <f>VLOOKUP($A236,Table1[#This Row],COLUMN(D235), FALSE)</f>
        <v>Craig Reiter</v>
      </c>
      <c r="E236" t="str">
        <f>VLOOKUP($A236,Table1[#This Row],COLUMN(E235), FALSE)</f>
        <v>Brazil</v>
      </c>
      <c r="F236" t="str">
        <f>VLOOKUP($A236,Table1[#This Row],COLUMN(F235), FALSE)</f>
        <v>South America</v>
      </c>
      <c r="G236" t="str">
        <f>VLOOKUP($A236,Table1[#This Row],COLUMN(G235), FALSE)</f>
        <v>Furniture</v>
      </c>
      <c r="H236" t="str">
        <f>VLOOKUP($A236,Table1[#This Row],COLUMN(H235), FALSE)</f>
        <v>Phones</v>
      </c>
      <c r="I236">
        <f>VLOOKUP($A236,Table1[#This Row],COLUMN(I235), FALSE)</f>
        <v>740.18399999999997</v>
      </c>
      <c r="J236">
        <f>VLOOKUP($A236,Table1[#This Row],COLUMN(J235), FALSE)</f>
        <v>3</v>
      </c>
      <c r="K236">
        <f>VLOOKUP($A236,Table1[#This Row],COLUMN(K235), FALSE)</f>
        <v>0.6</v>
      </c>
      <c r="L236">
        <f>VLOOKUP($A236,Table1[#This Row],COLUMN(L235), FALSE)</f>
        <v>-407.135999999999</v>
      </c>
      <c r="M236" t="str">
        <f>VLOOKUP($A236,Table1[#This Row],COLUMN(M235), FALSE)</f>
        <v>Critical</v>
      </c>
      <c r="N236" t="str">
        <f>VLOOKUP($A236,Table1[#This Row],COLUMN(N235), FALSE)</f>
        <v>Normal Order</v>
      </c>
      <c r="O236" t="str">
        <f>VLOOKUP($A236,Table1[#This Row],COLUMN(O235), FALSE)</f>
        <v>Craig Reiter</v>
      </c>
      <c r="P236" t="str">
        <f>VLOOKUP($A236,Table1[#This Row],COLUMN(P235), FALSE)</f>
        <v>US</v>
      </c>
      <c r="Q236" t="str">
        <f>VLOOKUP($A236,Table1[#This Row],COLUMN(Q235), FALSE)</f>
        <v>2014</v>
      </c>
      <c r="R236" t="str">
        <f>VLOOKUP($A236,Table1[#This Row],COLUMN(R235), FALSE)</f>
        <v>CRITICAL</v>
      </c>
      <c r="S236" t="str">
        <f>VLOOKUP($A236,Table1[#This Row],COLUMN(S235), FALSE)</f>
        <v>furniture</v>
      </c>
      <c r="T236" t="str">
        <f>VLOOKUP($A236,Table1[#This Row],COLUMN(T235), FALSE)</f>
        <v>41993</v>
      </c>
      <c r="U236" t="str">
        <f>VLOOKUP($A236,Table1[#This Row],COLUMN(U235), FALSE)</f>
        <v>CR1273018</v>
      </c>
      <c r="V236" t="str">
        <f>VLOOKUP($A236,Table1[#This Row],COLUMN(V235), FALSE)</f>
        <v>US</v>
      </c>
      <c r="W236">
        <f>VLOOKUP($A236,Table1[#This Row],COLUMN(W235), FALSE)</f>
        <v>2014</v>
      </c>
      <c r="X236" t="str">
        <f>VLOOKUP($A236,Table1[#This Row],COLUMN(X235), FALSE)</f>
        <v>CR1273018</v>
      </c>
      <c r="Y236">
        <f>VLOOKUP($A236,Table1[#This Row],COLUMN(Y235), FALSE)</f>
        <v>41993</v>
      </c>
      <c r="Z236" t="str">
        <f>VLOOKUP($A236,Table1[#This Row],COLUMN(Z235), FALSE)</f>
        <v>US-2014-CR1273018-41993</v>
      </c>
      <c r="AA236">
        <f>VLOOKUP($A236,Table1[#This Row],COLUMN(AA235), FALSE)</f>
        <v>2014</v>
      </c>
      <c r="AB236">
        <f>VLOOKUP($A236,Table1[#This Row],COLUMN(AB235), FALSE)</f>
        <v>12</v>
      </c>
      <c r="AC236">
        <f>VLOOKUP($A236,Table1[#This Row],COLUMN(AC235), FALSE)</f>
        <v>7</v>
      </c>
      <c r="AD236">
        <f>VLOOKUP($A236,Table1[#This Row],COLUMN(AD235), FALSE)</f>
        <v>2</v>
      </c>
    </row>
    <row r="237" spans="1:30" ht="15.75">
      <c r="A237" s="54" t="s">
        <v>1378</v>
      </c>
      <c r="B237" s="52">
        <f>VLOOKUP($A237,Table1[#This Row],COLUMN(B236), FALSE)</f>
        <v>41502</v>
      </c>
      <c r="C237" s="52">
        <f>VLOOKUP($A237,Table1[#This Row],COLUMN(C236), FALSE)</f>
        <v>41506</v>
      </c>
      <c r="D237" t="str">
        <f>VLOOKUP($A237,Table1[#This Row],COLUMN(D236), FALSE)</f>
        <v>Steven Ward</v>
      </c>
      <c r="E237" t="str">
        <f>VLOOKUP($A237,Table1[#This Row],COLUMN(E236), FALSE)</f>
        <v>australia</v>
      </c>
      <c r="F237" t="str">
        <f>VLOOKUP($A237,Table1[#This Row],COLUMN(F236), FALSE)</f>
        <v>Oceania</v>
      </c>
      <c r="G237" t="str">
        <f>VLOOKUP($A237,Table1[#This Row],COLUMN(G236), FALSE)</f>
        <v>Technology</v>
      </c>
      <c r="H237" t="str">
        <f>VLOOKUP($A237,Table1[#This Row],COLUMN(H236), FALSE)</f>
        <v>Machines</v>
      </c>
      <c r="I237">
        <f>VLOOKUP($A237,Table1[#This Row],COLUMN(I236), FALSE)</f>
        <v>2897.91</v>
      </c>
      <c r="J237">
        <f>VLOOKUP($A237,Table1[#This Row],COLUMN(J236), FALSE)</f>
        <v>5</v>
      </c>
      <c r="K237">
        <f>VLOOKUP($A237,Table1[#This Row],COLUMN(K236), FALSE)</f>
        <v>0.1</v>
      </c>
      <c r="L237">
        <f>VLOOKUP($A237,Table1[#This Row],COLUMN(L236), FALSE)</f>
        <v>901.56</v>
      </c>
      <c r="M237" t="str">
        <f>VLOOKUP($A237,Table1[#This Row],COLUMN(M236), FALSE)</f>
        <v>Medium</v>
      </c>
      <c r="N237" t="str">
        <f>VLOOKUP($A237,Table1[#This Row],COLUMN(N236), FALSE)</f>
        <v>Normal Order</v>
      </c>
      <c r="O237" t="str">
        <f>VLOOKUP($A237,Table1[#This Row],COLUMN(O236), FALSE)</f>
        <v>Steven Ward</v>
      </c>
      <c r="P237" t="str">
        <f>VLOOKUP($A237,Table1[#This Row],COLUMN(P236), FALSE)</f>
        <v>IN</v>
      </c>
      <c r="Q237" t="str">
        <f>VLOOKUP($A237,Table1[#This Row],COLUMN(Q236), FALSE)</f>
        <v>2013</v>
      </c>
      <c r="R237" t="str">
        <f>VLOOKUP($A237,Table1[#This Row],COLUMN(R236), FALSE)</f>
        <v>MEDIUM</v>
      </c>
      <c r="S237" t="str">
        <f>VLOOKUP($A237,Table1[#This Row],COLUMN(S236), FALSE)</f>
        <v>technology</v>
      </c>
      <c r="T237" t="str">
        <f>VLOOKUP($A237,Table1[#This Row],COLUMN(T236), FALSE)</f>
        <v>41502</v>
      </c>
      <c r="U237" t="str">
        <f>VLOOKUP($A237,Table1[#This Row],COLUMN(U236), FALSE)</f>
        <v>SW207557</v>
      </c>
      <c r="V237" t="str">
        <f>VLOOKUP($A237,Table1[#This Row],COLUMN(V236), FALSE)</f>
        <v>IN</v>
      </c>
      <c r="W237">
        <f>VLOOKUP($A237,Table1[#This Row],COLUMN(W236), FALSE)</f>
        <v>2013</v>
      </c>
      <c r="X237" t="str">
        <f>VLOOKUP($A237,Table1[#This Row],COLUMN(X236), FALSE)</f>
        <v>SW207557</v>
      </c>
      <c r="Y237">
        <f>VLOOKUP($A237,Table1[#This Row],COLUMN(Y236), FALSE)</f>
        <v>41502</v>
      </c>
      <c r="Z237" t="str">
        <f>VLOOKUP($A237,Table1[#This Row],COLUMN(Z236), FALSE)</f>
        <v>IN-2013-SW207557-41502</v>
      </c>
      <c r="AA237">
        <f>VLOOKUP($A237,Table1[#This Row],COLUMN(AA236), FALSE)</f>
        <v>2013</v>
      </c>
      <c r="AB237">
        <f>VLOOKUP($A237,Table1[#This Row],COLUMN(AB236), FALSE)</f>
        <v>8</v>
      </c>
      <c r="AC237">
        <f>VLOOKUP($A237,Table1[#This Row],COLUMN(AC236), FALSE)</f>
        <v>6</v>
      </c>
      <c r="AD237">
        <f>VLOOKUP($A237,Table1[#This Row],COLUMN(AD236), FALSE)</f>
        <v>4</v>
      </c>
    </row>
    <row r="238" spans="1:30" ht="15.75">
      <c r="A238" s="53" t="s">
        <v>1297</v>
      </c>
      <c r="B238" s="52">
        <f>VLOOKUP($A238,Table1[#This Row],COLUMN(B237), FALSE)</f>
        <v>42109</v>
      </c>
      <c r="C238" s="52">
        <f>VLOOKUP($A238,Table1[#This Row],COLUMN(C237), FALSE)</f>
        <v>55261</v>
      </c>
      <c r="D238" t="str">
        <f>VLOOKUP($A238,Table1[#This Row],COLUMN(D237), FALSE)</f>
        <v>Alan Barnes</v>
      </c>
      <c r="E238" t="str">
        <f>VLOOKUP($A238,Table1[#This Row],COLUMN(E237), FALSE)</f>
        <v>United States</v>
      </c>
      <c r="F238" t="str">
        <f>VLOOKUP($A238,Table1[#This Row],COLUMN(F237), FALSE)</f>
        <v>Eastern US</v>
      </c>
      <c r="G238" t="str">
        <f>VLOOKUP($A238,Table1[#This Row],COLUMN(G237), FALSE)</f>
        <v>Offcie Supplies</v>
      </c>
      <c r="H238" t="str">
        <f>VLOOKUP($A238,Table1[#This Row],COLUMN(H237), FALSE)</f>
        <v>Tables</v>
      </c>
      <c r="I238">
        <f>VLOOKUP($A238,Table1[#This Row],COLUMN(I237), FALSE)</f>
        <v>13.872</v>
      </c>
      <c r="J238">
        <f>VLOOKUP($A238,Table1[#This Row],COLUMN(J237), FALSE)</f>
        <v>3</v>
      </c>
      <c r="K238">
        <f>VLOOKUP($A238,Table1[#This Row],COLUMN(K237), FALSE)</f>
        <v>1.5857943638652301</v>
      </c>
      <c r="L238">
        <f>VLOOKUP($A238,Table1[#This Row],COLUMN(L237), FALSE)</f>
        <v>5.0286</v>
      </c>
      <c r="M238" t="str">
        <f>VLOOKUP($A238,Table1[#This Row],COLUMN(M237), FALSE)</f>
        <v>Medium</v>
      </c>
      <c r="N238" t="str">
        <f>VLOOKUP($A238,Table1[#This Row],COLUMN(N237), FALSE)</f>
        <v>Normal Order</v>
      </c>
      <c r="O238" t="str">
        <f>VLOOKUP($A238,Table1[#This Row],COLUMN(O237), FALSE)</f>
        <v>Alan Barnes</v>
      </c>
      <c r="P238" t="str">
        <f>VLOOKUP($A238,Table1[#This Row],COLUMN(P237), FALSE)</f>
        <v>CA</v>
      </c>
      <c r="Q238" t="str">
        <f>VLOOKUP($A238,Table1[#This Row],COLUMN(Q237), FALSE)</f>
        <v>2015</v>
      </c>
      <c r="R238" t="str">
        <f>VLOOKUP($A238,Table1[#This Row],COLUMN(R237), FALSE)</f>
        <v>MEDIUM</v>
      </c>
      <c r="S238" t="str">
        <f>VLOOKUP($A238,Table1[#This Row],COLUMN(S237), FALSE)</f>
        <v>offcie supplies</v>
      </c>
      <c r="T238" t="str">
        <f>VLOOKUP($A238,Table1[#This Row],COLUMN(T237), FALSE)</f>
        <v>42109</v>
      </c>
      <c r="U238" t="str">
        <f>VLOOKUP($A238,Table1[#This Row],COLUMN(U237), FALSE)</f>
        <v>AB10165140</v>
      </c>
      <c r="V238" t="str">
        <f>VLOOKUP($A238,Table1[#This Row],COLUMN(V237), FALSE)</f>
        <v>CA</v>
      </c>
      <c r="W238">
        <f>VLOOKUP($A238,Table1[#This Row],COLUMN(W237), FALSE)</f>
        <v>2015</v>
      </c>
      <c r="X238" t="str">
        <f>VLOOKUP($A238,Table1[#This Row],COLUMN(X237), FALSE)</f>
        <v>AB10165140</v>
      </c>
      <c r="Y238">
        <f>VLOOKUP($A238,Table1[#This Row],COLUMN(Y237), FALSE)</f>
        <v>42109</v>
      </c>
      <c r="Z238" t="str">
        <f>VLOOKUP($A238,Table1[#This Row],COLUMN(Z237), FALSE)</f>
        <v>CA-2015-AB10165140-42109</v>
      </c>
      <c r="AA238">
        <f>VLOOKUP($A238,Table1[#This Row],COLUMN(AA237), FALSE)</f>
        <v>2015</v>
      </c>
      <c r="AB238">
        <f>VLOOKUP($A238,Table1[#This Row],COLUMN(AB237), FALSE)</f>
        <v>4</v>
      </c>
      <c r="AC238">
        <f>VLOOKUP($A238,Table1[#This Row],COLUMN(AC237), FALSE)</f>
        <v>4</v>
      </c>
      <c r="AD238">
        <f>VLOOKUP($A238,Table1[#This Row],COLUMN(AD237), FALSE)</f>
        <v>13152</v>
      </c>
    </row>
    <row r="239" spans="1:30" ht="15.75">
      <c r="A239" s="54" t="s">
        <v>1397</v>
      </c>
      <c r="B239" s="52">
        <f>VLOOKUP($A239,Table1[#This Row],COLUMN(B238), FALSE)</f>
        <v>42218</v>
      </c>
      <c r="C239" s="52">
        <f>VLOOKUP($A239,Table1[#This Row],COLUMN(C238), FALSE)</f>
        <v>42224</v>
      </c>
      <c r="D239" t="str">
        <f>VLOOKUP($A239,Table1[#This Row],COLUMN(D238), FALSE)</f>
        <v>Mark Haberlin</v>
      </c>
      <c r="E239" t="str">
        <f>VLOOKUP($A239,Table1[#This Row],COLUMN(E238), FALSE)</f>
        <v>Democratic Republic of the Congo</v>
      </c>
      <c r="F239" t="str">
        <f>VLOOKUP($A239,Table1[#This Row],COLUMN(F238), FALSE)</f>
        <v>Central Africa</v>
      </c>
      <c r="G239" t="str">
        <f>VLOOKUP($A239,Table1[#This Row],COLUMN(G238), FALSE)</f>
        <v>Furniture</v>
      </c>
      <c r="H239" t="str">
        <f>VLOOKUP($A239,Table1[#This Row],COLUMN(H238), FALSE)</f>
        <v>Tables</v>
      </c>
      <c r="I239">
        <f>VLOOKUP($A239,Table1[#This Row],COLUMN(I238), FALSE)</f>
        <v>1752.6</v>
      </c>
      <c r="J239">
        <f>VLOOKUP($A239,Table1[#This Row],COLUMN(J238), FALSE)</f>
        <v>4</v>
      </c>
      <c r="K239">
        <f>VLOOKUP($A239,Table1[#This Row],COLUMN(K238), FALSE)</f>
        <v>0</v>
      </c>
      <c r="L239">
        <f>VLOOKUP($A239,Table1[#This Row],COLUMN(L238), FALSE)</f>
        <v>455.64</v>
      </c>
      <c r="M239" t="str">
        <f>VLOOKUP($A239,Table1[#This Row],COLUMN(M238), FALSE)</f>
        <v>Low</v>
      </c>
      <c r="N239" t="str">
        <f>VLOOKUP($A239,Table1[#This Row],COLUMN(N238), FALSE)</f>
        <v>Normal Order</v>
      </c>
      <c r="O239" t="str">
        <f>VLOOKUP($A239,Table1[#This Row],COLUMN(O238), FALSE)</f>
        <v>Mark Haberlin</v>
      </c>
      <c r="P239" t="str">
        <f>VLOOKUP($A239,Table1[#This Row],COLUMN(P238), FALSE)</f>
        <v>CG</v>
      </c>
      <c r="Q239" t="str">
        <f>VLOOKUP($A239,Table1[#This Row],COLUMN(Q238), FALSE)</f>
        <v>2015</v>
      </c>
      <c r="R239" t="str">
        <f>VLOOKUP($A239,Table1[#This Row],COLUMN(R238), FALSE)</f>
        <v>LOW</v>
      </c>
      <c r="S239" t="str">
        <f>VLOOKUP($A239,Table1[#This Row],COLUMN(S238), FALSE)</f>
        <v>furniture</v>
      </c>
      <c r="T239" t="str">
        <f>VLOOKUP($A239,Table1[#This Row],COLUMN(T238), FALSE)</f>
        <v>42218</v>
      </c>
      <c r="U239" t="str">
        <f>VLOOKUP($A239,Table1[#This Row],COLUMN(U238), FALSE)</f>
        <v>MH744033</v>
      </c>
      <c r="V239" t="str">
        <f>VLOOKUP($A239,Table1[#This Row],COLUMN(V238), FALSE)</f>
        <v>CG</v>
      </c>
      <c r="W239">
        <f>VLOOKUP($A239,Table1[#This Row],COLUMN(W238), FALSE)</f>
        <v>2015</v>
      </c>
      <c r="X239" t="str">
        <f>VLOOKUP($A239,Table1[#This Row],COLUMN(X238), FALSE)</f>
        <v>MH744033</v>
      </c>
      <c r="Y239">
        <f>VLOOKUP($A239,Table1[#This Row],COLUMN(Y238), FALSE)</f>
        <v>42218</v>
      </c>
      <c r="Z239" t="str">
        <f>VLOOKUP($A239,Table1[#This Row],COLUMN(Z238), FALSE)</f>
        <v>CG-2015-MH744033-42218</v>
      </c>
      <c r="AA239">
        <f>VLOOKUP($A239,Table1[#This Row],COLUMN(AA238), FALSE)</f>
        <v>2015</v>
      </c>
      <c r="AB239">
        <f>VLOOKUP($A239,Table1[#This Row],COLUMN(AB238), FALSE)</f>
        <v>8</v>
      </c>
      <c r="AC239">
        <f>VLOOKUP($A239,Table1[#This Row],COLUMN(AC238), FALSE)</f>
        <v>1</v>
      </c>
      <c r="AD239">
        <f>VLOOKUP($A239,Table1[#This Row],COLUMN(AD238), FALSE)</f>
        <v>6</v>
      </c>
    </row>
    <row r="240" spans="1:30" ht="15.75">
      <c r="A240" s="53" t="s">
        <v>1399</v>
      </c>
      <c r="B240" s="52">
        <f>VLOOKUP($A240,Table1[#This Row],COLUMN(B239), FALSE)</f>
        <v>41971</v>
      </c>
      <c r="C240" s="52">
        <f>VLOOKUP($A240,Table1[#This Row],COLUMN(C239), FALSE)</f>
        <v>41973</v>
      </c>
      <c r="D240" t="str">
        <f>VLOOKUP($A240,Table1[#This Row],COLUMN(D239), FALSE)</f>
        <v>Michael Chen</v>
      </c>
      <c r="E240" t="str">
        <f>VLOOKUP($A240,Table1[#This Row],COLUMN(E239), FALSE)</f>
        <v>India</v>
      </c>
      <c r="F240" t="str">
        <f>VLOOKUP($A240,Table1[#This Row],COLUMN(F239), FALSE)</f>
        <v>Southern Asia</v>
      </c>
      <c r="G240" t="str">
        <f>VLOOKUP($A240,Table1[#This Row],COLUMN(G239), FALSE)</f>
        <v>Furniture</v>
      </c>
      <c r="H240" t="str">
        <f>VLOOKUP($A240,Table1[#This Row],COLUMN(H239), FALSE)</f>
        <v>Bookcases</v>
      </c>
      <c r="I240">
        <f>VLOOKUP($A240,Table1[#This Row],COLUMN(I239), FALSE)</f>
        <v>1850.45999999999</v>
      </c>
      <c r="J240">
        <f>VLOOKUP($A240,Table1[#This Row],COLUMN(J239), FALSE)</f>
        <v>2</v>
      </c>
      <c r="K240">
        <f>VLOOKUP($A240,Table1[#This Row],COLUMN(K239), FALSE)</f>
        <v>0</v>
      </c>
      <c r="L240">
        <f>VLOOKUP($A240,Table1[#This Row],COLUMN(L239), FALSE)</f>
        <v>259.02</v>
      </c>
      <c r="M240" t="str">
        <f>VLOOKUP($A240,Table1[#This Row],COLUMN(M239), FALSE)</f>
        <v>iHgh</v>
      </c>
      <c r="N240" t="str">
        <f>VLOOKUP($A240,Table1[#This Row],COLUMN(N239), FALSE)</f>
        <v>Normal Order</v>
      </c>
      <c r="O240" t="str">
        <f>VLOOKUP($A240,Table1[#This Row],COLUMN(O239), FALSE)</f>
        <v>Michael Chen</v>
      </c>
      <c r="P240" t="str">
        <f>VLOOKUP($A240,Table1[#This Row],COLUMN(P239), FALSE)</f>
        <v>IN</v>
      </c>
      <c r="Q240" t="str">
        <f>VLOOKUP($A240,Table1[#This Row],COLUMN(Q239), FALSE)</f>
        <v>2014</v>
      </c>
      <c r="R240" t="str">
        <f>VLOOKUP($A240,Table1[#This Row],COLUMN(R239), FALSE)</f>
        <v>IHGH</v>
      </c>
      <c r="S240" t="str">
        <f>VLOOKUP($A240,Table1[#This Row],COLUMN(S239), FALSE)</f>
        <v>furniture</v>
      </c>
      <c r="T240" t="str">
        <f>VLOOKUP($A240,Table1[#This Row],COLUMN(T239), FALSE)</f>
        <v>41971</v>
      </c>
      <c r="U240" t="str">
        <f>VLOOKUP($A240,Table1[#This Row],COLUMN(U239), FALSE)</f>
        <v>MC1784558</v>
      </c>
      <c r="V240" t="str">
        <f>VLOOKUP($A240,Table1[#This Row],COLUMN(V239), FALSE)</f>
        <v>IN</v>
      </c>
      <c r="W240">
        <f>VLOOKUP($A240,Table1[#This Row],COLUMN(W239), FALSE)</f>
        <v>2014</v>
      </c>
      <c r="X240" t="str">
        <f>VLOOKUP($A240,Table1[#This Row],COLUMN(X239), FALSE)</f>
        <v>MC1784558</v>
      </c>
      <c r="Y240">
        <f>VLOOKUP($A240,Table1[#This Row],COLUMN(Y239), FALSE)</f>
        <v>41971</v>
      </c>
      <c r="Z240" t="str">
        <f>VLOOKUP($A240,Table1[#This Row],COLUMN(Z239), FALSE)</f>
        <v>IN-2014-MC1784558-41971</v>
      </c>
      <c r="AA240">
        <f>VLOOKUP($A240,Table1[#This Row],COLUMN(AA239), FALSE)</f>
        <v>2014</v>
      </c>
      <c r="AB240">
        <f>VLOOKUP($A240,Table1[#This Row],COLUMN(AB239), FALSE)</f>
        <v>11</v>
      </c>
      <c r="AC240">
        <f>VLOOKUP($A240,Table1[#This Row],COLUMN(AC239), FALSE)</f>
        <v>6</v>
      </c>
      <c r="AD240">
        <f>VLOOKUP($A240,Table1[#This Row],COLUMN(AD239), FALSE)</f>
        <v>2</v>
      </c>
    </row>
    <row r="241" spans="1:30" ht="15.75">
      <c r="A241" s="54" t="s">
        <v>1402</v>
      </c>
      <c r="B241" s="52">
        <f>VLOOKUP($A241,Table1[#This Row],COLUMN(B240), FALSE)</f>
        <v>41139</v>
      </c>
      <c r="C241" s="52">
        <f>VLOOKUP($A241,Table1[#This Row],COLUMN(C240), FALSE)</f>
        <v>41143</v>
      </c>
      <c r="D241" t="str">
        <f>VLOOKUP($A241,Table1[#This Row],COLUMN(D240), FALSE)</f>
        <v>Cari Sayre</v>
      </c>
      <c r="E241" t="str">
        <f>VLOOKUP($A241,Table1[#This Row],COLUMN(E240), FALSE)</f>
        <v>China</v>
      </c>
      <c r="F241" t="str">
        <f>VLOOKUP($A241,Table1[#This Row],COLUMN(F240), FALSE)</f>
        <v>Eastern Asia</v>
      </c>
      <c r="G241" t="str">
        <f>VLOOKUP($A241,Table1[#This Row],COLUMN(G240), FALSE)</f>
        <v>Furniture</v>
      </c>
      <c r="H241" t="str">
        <f>VLOOKUP($A241,Table1[#This Row],COLUMN(H240), FALSE)</f>
        <v>Bookcases</v>
      </c>
      <c r="I241">
        <f>VLOOKUP($A241,Table1[#This Row],COLUMN(I240), FALSE)</f>
        <v>2337.1499999999901</v>
      </c>
      <c r="J241">
        <f>VLOOKUP($A241,Table1[#This Row],COLUMN(J240), FALSE)</f>
        <v>5</v>
      </c>
      <c r="K241">
        <f>VLOOKUP($A241,Table1[#This Row],COLUMN(K240), FALSE)</f>
        <v>0</v>
      </c>
      <c r="L241">
        <f>VLOOKUP($A241,Table1[#This Row],COLUMN(L240), FALSE)</f>
        <v>1098.45</v>
      </c>
      <c r="M241" t="str">
        <f>VLOOKUP($A241,Table1[#This Row],COLUMN(M240), FALSE)</f>
        <v>Medium</v>
      </c>
      <c r="N241" t="str">
        <f>VLOOKUP($A241,Table1[#This Row],COLUMN(N240), FALSE)</f>
        <v>Normal Order</v>
      </c>
      <c r="O241" t="str">
        <f>VLOOKUP($A241,Table1[#This Row],COLUMN(O240), FALSE)</f>
        <v>Cari Sayre</v>
      </c>
      <c r="P241" t="str">
        <f>VLOOKUP($A241,Table1[#This Row],COLUMN(P240), FALSE)</f>
        <v>IN</v>
      </c>
      <c r="Q241" t="str">
        <f>VLOOKUP($A241,Table1[#This Row],COLUMN(Q240), FALSE)</f>
        <v>2012</v>
      </c>
      <c r="R241" t="str">
        <f>VLOOKUP($A241,Table1[#This Row],COLUMN(R240), FALSE)</f>
        <v>MEDIUM</v>
      </c>
      <c r="S241" t="str">
        <f>VLOOKUP($A241,Table1[#This Row],COLUMN(S240), FALSE)</f>
        <v>furniture</v>
      </c>
      <c r="T241" t="str">
        <f>VLOOKUP($A241,Table1[#This Row],COLUMN(T240), FALSE)</f>
        <v>41139</v>
      </c>
      <c r="U241" t="str">
        <f>VLOOKUP($A241,Table1[#This Row],COLUMN(U240), FALSE)</f>
        <v>CS1184527</v>
      </c>
      <c r="V241" t="str">
        <f>VLOOKUP($A241,Table1[#This Row],COLUMN(V240), FALSE)</f>
        <v>IN</v>
      </c>
      <c r="W241">
        <f>VLOOKUP($A241,Table1[#This Row],COLUMN(W240), FALSE)</f>
        <v>2012</v>
      </c>
      <c r="X241" t="str">
        <f>VLOOKUP($A241,Table1[#This Row],COLUMN(X240), FALSE)</f>
        <v>CS1184527</v>
      </c>
      <c r="Y241">
        <f>VLOOKUP($A241,Table1[#This Row],COLUMN(Y240), FALSE)</f>
        <v>41139</v>
      </c>
      <c r="Z241" t="str">
        <f>VLOOKUP($A241,Table1[#This Row],COLUMN(Z240), FALSE)</f>
        <v>IN-2012-CS1184527-41139</v>
      </c>
      <c r="AA241">
        <f>VLOOKUP($A241,Table1[#This Row],COLUMN(AA240), FALSE)</f>
        <v>2012</v>
      </c>
      <c r="AB241">
        <f>VLOOKUP($A241,Table1[#This Row],COLUMN(AB240), FALSE)</f>
        <v>8</v>
      </c>
      <c r="AC241">
        <f>VLOOKUP($A241,Table1[#This Row],COLUMN(AC240), FALSE)</f>
        <v>7</v>
      </c>
      <c r="AD241">
        <f>VLOOKUP($A241,Table1[#This Row],COLUMN(AD240), FALSE)</f>
        <v>4</v>
      </c>
    </row>
    <row r="242" spans="1:30" ht="15.75">
      <c r="A242" s="53" t="s">
        <v>1403</v>
      </c>
      <c r="B242" s="52">
        <f>VLOOKUP($A242,Table1[#This Row],COLUMN(B241), FALSE)</f>
        <v>42076</v>
      </c>
      <c r="C242" s="52">
        <f>VLOOKUP($A242,Table1[#This Row],COLUMN(C241), FALSE)</f>
        <v>42076</v>
      </c>
      <c r="D242" t="str">
        <f>VLOOKUP($A242,Table1[#This Row],COLUMN(D241), FALSE)</f>
        <v>Pauline Webber</v>
      </c>
      <c r="E242" t="str">
        <f>VLOOKUP($A242,Table1[#This Row],COLUMN(E241), FALSE)</f>
        <v>United Kingdom</v>
      </c>
      <c r="F242" t="str">
        <f>VLOOKUP($A242,Table1[#This Row],COLUMN(F241), FALSE)</f>
        <v>Northern Europe</v>
      </c>
      <c r="G242" t="str">
        <f>VLOOKUP($A242,Table1[#This Row],COLUMN(G241), FALSE)</f>
        <v>Furniture</v>
      </c>
      <c r="H242" t="str">
        <f>VLOOKUP($A242,Table1[#This Row],COLUMN(H241), FALSE)</f>
        <v>Tables</v>
      </c>
      <c r="I242">
        <f>VLOOKUP($A242,Table1[#This Row],COLUMN(I241), FALSE)</f>
        <v>788.4</v>
      </c>
      <c r="J242">
        <f>VLOOKUP($A242,Table1[#This Row],COLUMN(J241), FALSE)</f>
        <v>4</v>
      </c>
      <c r="K242">
        <f>VLOOKUP($A242,Table1[#This Row],COLUMN(K241), FALSE)</f>
        <v>0</v>
      </c>
      <c r="L242">
        <f>VLOOKUP($A242,Table1[#This Row],COLUMN(L241), FALSE)</f>
        <v>291.60000000000002</v>
      </c>
      <c r="M242" t="str">
        <f>VLOOKUP($A242,Table1[#This Row],COLUMN(M241), FALSE)</f>
        <v>Medium</v>
      </c>
      <c r="N242" t="str">
        <f>VLOOKUP($A242,Table1[#This Row],COLUMN(N241), FALSE)</f>
        <v>Normal Order</v>
      </c>
      <c r="O242" t="str">
        <f>VLOOKUP($A242,Table1[#This Row],COLUMN(O241), FALSE)</f>
        <v>Pauline Webber</v>
      </c>
      <c r="P242" t="str">
        <f>VLOOKUP($A242,Table1[#This Row],COLUMN(P241), FALSE)</f>
        <v>ES</v>
      </c>
      <c r="Q242" t="str">
        <f>VLOOKUP($A242,Table1[#This Row],COLUMN(Q241), FALSE)</f>
        <v>2015</v>
      </c>
      <c r="R242" t="str">
        <f>VLOOKUP($A242,Table1[#This Row],COLUMN(R241), FALSE)</f>
        <v>MEDIUM</v>
      </c>
      <c r="S242" t="str">
        <f>VLOOKUP($A242,Table1[#This Row],COLUMN(S241), FALSE)</f>
        <v>furniture</v>
      </c>
      <c r="T242" t="str">
        <f>VLOOKUP($A242,Table1[#This Row],COLUMN(T241), FALSE)</f>
        <v>42076</v>
      </c>
      <c r="U242" t="str">
        <f>VLOOKUP($A242,Table1[#This Row],COLUMN(U241), FALSE)</f>
        <v>PW19030139</v>
      </c>
      <c r="V242" t="str">
        <f>VLOOKUP($A242,Table1[#This Row],COLUMN(V241), FALSE)</f>
        <v>ES</v>
      </c>
      <c r="W242">
        <f>VLOOKUP($A242,Table1[#This Row],COLUMN(W241), FALSE)</f>
        <v>2015</v>
      </c>
      <c r="X242" t="str">
        <f>VLOOKUP($A242,Table1[#This Row],COLUMN(X241), FALSE)</f>
        <v>PW19030139</v>
      </c>
      <c r="Y242">
        <f>VLOOKUP($A242,Table1[#This Row],COLUMN(Y241), FALSE)</f>
        <v>42076</v>
      </c>
      <c r="Z242" t="str">
        <f>VLOOKUP($A242,Table1[#This Row],COLUMN(Z241), FALSE)</f>
        <v>ES-2015-PW19030139-42076</v>
      </c>
      <c r="AA242">
        <f>VLOOKUP($A242,Table1[#This Row],COLUMN(AA241), FALSE)</f>
        <v>2015</v>
      </c>
      <c r="AB242">
        <f>VLOOKUP($A242,Table1[#This Row],COLUMN(AB241), FALSE)</f>
        <v>3</v>
      </c>
      <c r="AC242">
        <f>VLOOKUP($A242,Table1[#This Row],COLUMN(AC241), FALSE)</f>
        <v>6</v>
      </c>
      <c r="AD242">
        <f>VLOOKUP($A242,Table1[#This Row],COLUMN(AD241), FALSE)</f>
        <v>0</v>
      </c>
    </row>
    <row r="243" spans="1:30" ht="15.75">
      <c r="A243" s="54" t="s">
        <v>1406</v>
      </c>
      <c r="B243" s="52">
        <f>VLOOKUP($A243,Table1[#This Row],COLUMN(B242), FALSE)</f>
        <v>42027</v>
      </c>
      <c r="C243" s="52">
        <f>VLOOKUP($A243,Table1[#This Row],COLUMN(C242), FALSE)</f>
        <v>42032</v>
      </c>
      <c r="D243" t="str">
        <f>VLOOKUP($A243,Table1[#This Row],COLUMN(D242), FALSE)</f>
        <v>Alan Dominguez</v>
      </c>
      <c r="E243" t="str">
        <f>VLOOKUP($A243,Table1[#This Row],COLUMN(E242), FALSE)</f>
        <v>United States</v>
      </c>
      <c r="F243" t="str">
        <f>VLOOKUP($A243,Table1[#This Row],COLUMN(F242), FALSE)</f>
        <v>Wetsern US</v>
      </c>
      <c r="G243" t="str">
        <f>VLOOKUP($A243,Table1[#This Row],COLUMN(G242), FALSE)</f>
        <v>Technology</v>
      </c>
      <c r="H243" t="str">
        <f>VLOOKUP($A243,Table1[#This Row],COLUMN(H242), FALSE)</f>
        <v>Bookcases</v>
      </c>
      <c r="I243">
        <f>VLOOKUP($A243,Table1[#This Row],COLUMN(I242), FALSE)</f>
        <v>2999.95</v>
      </c>
      <c r="J243">
        <f>VLOOKUP($A243,Table1[#This Row],COLUMN(J242), FALSE)</f>
        <v>5</v>
      </c>
      <c r="K243">
        <f>VLOOKUP($A243,Table1[#This Row],COLUMN(K242), FALSE)</f>
        <v>0</v>
      </c>
      <c r="L243">
        <f>VLOOKUP($A243,Table1[#This Row],COLUMN(L242), FALSE)</f>
        <v>1379.9769999999901</v>
      </c>
      <c r="M243" t="str">
        <f>VLOOKUP($A243,Table1[#This Row],COLUMN(M242), FALSE)</f>
        <v>Medium</v>
      </c>
      <c r="N243" t="str">
        <f>VLOOKUP($A243,Table1[#This Row],COLUMN(N242), FALSE)</f>
        <v>Normal Order</v>
      </c>
      <c r="O243" t="str">
        <f>VLOOKUP($A243,Table1[#This Row],COLUMN(O242), FALSE)</f>
        <v>Alan Dominguez</v>
      </c>
      <c r="P243" t="str">
        <f>VLOOKUP($A243,Table1[#This Row],COLUMN(P242), FALSE)</f>
        <v>CA</v>
      </c>
      <c r="Q243" t="str">
        <f>VLOOKUP($A243,Table1[#This Row],COLUMN(Q242), FALSE)</f>
        <v>2015</v>
      </c>
      <c r="R243" t="str">
        <f>VLOOKUP($A243,Table1[#This Row],COLUMN(R242), FALSE)</f>
        <v>MEDIUM</v>
      </c>
      <c r="S243" t="str">
        <f>VLOOKUP($A243,Table1[#This Row],COLUMN(S242), FALSE)</f>
        <v>technology</v>
      </c>
      <c r="T243" t="str">
        <f>VLOOKUP($A243,Table1[#This Row],COLUMN(T242), FALSE)</f>
        <v>42027</v>
      </c>
      <c r="U243" t="str">
        <f>VLOOKUP($A243,Table1[#This Row],COLUMN(U242), FALSE)</f>
        <v>AD10180140</v>
      </c>
      <c r="V243" t="str">
        <f>VLOOKUP($A243,Table1[#This Row],COLUMN(V242), FALSE)</f>
        <v>CA</v>
      </c>
      <c r="W243">
        <f>VLOOKUP($A243,Table1[#This Row],COLUMN(W242), FALSE)</f>
        <v>2015</v>
      </c>
      <c r="X243" t="str">
        <f>VLOOKUP($A243,Table1[#This Row],COLUMN(X242), FALSE)</f>
        <v>AD10180140</v>
      </c>
      <c r="Y243">
        <f>VLOOKUP($A243,Table1[#This Row],COLUMN(Y242), FALSE)</f>
        <v>42027</v>
      </c>
      <c r="Z243" t="str">
        <f>VLOOKUP($A243,Table1[#This Row],COLUMN(Z242), FALSE)</f>
        <v>CA-2015-AD10180140-42027</v>
      </c>
      <c r="AA243">
        <f>VLOOKUP($A243,Table1[#This Row],COLUMN(AA242), FALSE)</f>
        <v>2015</v>
      </c>
      <c r="AB243">
        <f>VLOOKUP($A243,Table1[#This Row],COLUMN(AB242), FALSE)</f>
        <v>1</v>
      </c>
      <c r="AC243">
        <f>VLOOKUP($A243,Table1[#This Row],COLUMN(AC242), FALSE)</f>
        <v>6</v>
      </c>
      <c r="AD243">
        <f>VLOOKUP($A243,Table1[#This Row],COLUMN(AD242), FALSE)</f>
        <v>5</v>
      </c>
    </row>
    <row r="244" spans="1:30" ht="15.75">
      <c r="A244" s="53" t="s">
        <v>1414</v>
      </c>
      <c r="B244" s="52">
        <f>VLOOKUP($A244,Table1[#This Row],COLUMN(B243), FALSE)</f>
        <v>41552</v>
      </c>
      <c r="C244" s="52">
        <f>VLOOKUP($A244,Table1[#This Row],COLUMN(C243), FALSE)</f>
        <v>41556</v>
      </c>
      <c r="D244" t="str">
        <f>VLOOKUP($A244,Table1[#This Row],COLUMN(D243), FALSE)</f>
        <v>Thomas Brumley</v>
      </c>
      <c r="E244" t="str">
        <f>VLOOKUP($A244,Table1[#This Row],COLUMN(E243), FALSE)</f>
        <v>India</v>
      </c>
      <c r="F244" t="str">
        <f>VLOOKUP($A244,Table1[#This Row],COLUMN(F243), FALSE)</f>
        <v>Southern Asia</v>
      </c>
      <c r="G244" t="str">
        <f>VLOOKUP($A244,Table1[#This Row],COLUMN(G243), FALSE)</f>
        <v>Technology</v>
      </c>
      <c r="H244" t="str">
        <f>VLOOKUP($A244,Table1[#This Row],COLUMN(H243), FALSE)</f>
        <v>Tables</v>
      </c>
      <c r="I244">
        <f>VLOOKUP($A244,Table1[#This Row],COLUMN(I243), FALSE)</f>
        <v>2544.6</v>
      </c>
      <c r="J244">
        <f>VLOOKUP($A244,Table1[#This Row],COLUMN(J243), FALSE)</f>
        <v>4</v>
      </c>
      <c r="K244">
        <f>VLOOKUP($A244,Table1[#This Row],COLUMN(K243), FALSE)</f>
        <v>0</v>
      </c>
      <c r="L244">
        <f>VLOOKUP($A244,Table1[#This Row],COLUMN(L243), FALSE)</f>
        <v>865.08</v>
      </c>
      <c r="M244" t="str">
        <f>VLOOKUP($A244,Table1[#This Row],COLUMN(M243), FALSE)</f>
        <v>Medium</v>
      </c>
      <c r="N244" t="str">
        <f>VLOOKUP($A244,Table1[#This Row],COLUMN(N243), FALSE)</f>
        <v>Normal Order</v>
      </c>
      <c r="O244" t="str">
        <f>VLOOKUP($A244,Table1[#This Row],COLUMN(O243), FALSE)</f>
        <v>Thomas Brumley</v>
      </c>
      <c r="P244" t="str">
        <f>VLOOKUP($A244,Table1[#This Row],COLUMN(P243), FALSE)</f>
        <v>IN</v>
      </c>
      <c r="Q244" t="str">
        <f>VLOOKUP($A244,Table1[#This Row],COLUMN(Q243), FALSE)</f>
        <v>2013</v>
      </c>
      <c r="R244" t="str">
        <f>VLOOKUP($A244,Table1[#This Row],COLUMN(R243), FALSE)</f>
        <v>MEDIUM</v>
      </c>
      <c r="S244" t="str">
        <f>VLOOKUP($A244,Table1[#This Row],COLUMN(S243), FALSE)</f>
        <v>technology</v>
      </c>
      <c r="T244" t="str">
        <f>VLOOKUP($A244,Table1[#This Row],COLUMN(T243), FALSE)</f>
        <v>41552</v>
      </c>
      <c r="U244" t="str">
        <f>VLOOKUP($A244,Table1[#This Row],COLUMN(U243), FALSE)</f>
        <v>TB2119058</v>
      </c>
      <c r="V244" t="str">
        <f>VLOOKUP($A244,Table1[#This Row],COLUMN(V243), FALSE)</f>
        <v>IN</v>
      </c>
      <c r="W244">
        <f>VLOOKUP($A244,Table1[#This Row],COLUMN(W243), FALSE)</f>
        <v>2013</v>
      </c>
      <c r="X244" t="str">
        <f>VLOOKUP($A244,Table1[#This Row],COLUMN(X243), FALSE)</f>
        <v>TB2119058</v>
      </c>
      <c r="Y244">
        <f>VLOOKUP($A244,Table1[#This Row],COLUMN(Y243), FALSE)</f>
        <v>41552</v>
      </c>
      <c r="Z244" t="str">
        <f>VLOOKUP($A244,Table1[#This Row],COLUMN(Z243), FALSE)</f>
        <v>IN-2013-TB2119058-41552</v>
      </c>
      <c r="AA244">
        <f>VLOOKUP($A244,Table1[#This Row],COLUMN(AA243), FALSE)</f>
        <v>2013</v>
      </c>
      <c r="AB244">
        <f>VLOOKUP($A244,Table1[#This Row],COLUMN(AB243), FALSE)</f>
        <v>10</v>
      </c>
      <c r="AC244">
        <f>VLOOKUP($A244,Table1[#This Row],COLUMN(AC243), FALSE)</f>
        <v>7</v>
      </c>
      <c r="AD244">
        <f>VLOOKUP($A244,Table1[#This Row],COLUMN(AD243), FALSE)</f>
        <v>4</v>
      </c>
    </row>
    <row r="245" spans="1:30" ht="15.75">
      <c r="A245" s="54" t="s">
        <v>1416</v>
      </c>
      <c r="B245" s="52">
        <f>VLOOKUP($A245,Table1[#This Row],COLUMN(B244), FALSE)</f>
        <v>42306</v>
      </c>
      <c r="C245" s="52">
        <f>VLOOKUP($A245,Table1[#This Row],COLUMN(C244), FALSE)</f>
        <v>42308</v>
      </c>
      <c r="D245" t="str">
        <f>VLOOKUP($A245,Table1[#This Row],COLUMN(D244), FALSE)</f>
        <v>Karen Daniels</v>
      </c>
      <c r="E245" t="str">
        <f>VLOOKUP($A245,Table1[#This Row],COLUMN(E244), FALSE)</f>
        <v>Indonesia</v>
      </c>
      <c r="F245" t="str">
        <f>VLOOKUP($A245,Table1[#This Row],COLUMN(F244), FALSE)</f>
        <v>Southeastern Asia</v>
      </c>
      <c r="G245" t="str">
        <f>VLOOKUP($A245,Table1[#This Row],COLUMN(G244), FALSE)</f>
        <v>Technology</v>
      </c>
      <c r="H245" t="str">
        <f>VLOOKUP($A245,Table1[#This Row],COLUMN(H244), FALSE)</f>
        <v>Bookcases</v>
      </c>
      <c r="I245">
        <f>VLOOKUP($A245,Table1[#This Row],COLUMN(I244), FALSE)</f>
        <v>886.14120000000003</v>
      </c>
      <c r="J245">
        <f>VLOOKUP($A245,Table1[#This Row],COLUMN(J244), FALSE)</f>
        <v>4</v>
      </c>
      <c r="K245">
        <f>VLOOKUP($A245,Table1[#This Row],COLUMN(K244), FALSE)</f>
        <v>0.17</v>
      </c>
      <c r="L245">
        <f>VLOOKUP($A245,Table1[#This Row],COLUMN(L244), FALSE)</f>
        <v>106.741199999999</v>
      </c>
      <c r="M245" t="str">
        <f>VLOOKUP($A245,Table1[#This Row],COLUMN(M244), FALSE)</f>
        <v>High</v>
      </c>
      <c r="N245" t="str">
        <f>VLOOKUP($A245,Table1[#This Row],COLUMN(N244), FALSE)</f>
        <v>Normal Order</v>
      </c>
      <c r="O245" t="str">
        <f>VLOOKUP($A245,Table1[#This Row],COLUMN(O244), FALSE)</f>
        <v>Karen Daniels</v>
      </c>
      <c r="P245" t="str">
        <f>VLOOKUP($A245,Table1[#This Row],COLUMN(P244), FALSE)</f>
        <v>ID</v>
      </c>
      <c r="Q245" t="str">
        <f>VLOOKUP($A245,Table1[#This Row],COLUMN(Q244), FALSE)</f>
        <v>2015</v>
      </c>
      <c r="R245" t="str">
        <f>VLOOKUP($A245,Table1[#This Row],COLUMN(R244), FALSE)</f>
        <v>HIGH</v>
      </c>
      <c r="S245" t="str">
        <f>VLOOKUP($A245,Table1[#This Row],COLUMN(S244), FALSE)</f>
        <v>technology</v>
      </c>
      <c r="T245" t="str">
        <f>VLOOKUP($A245,Table1[#This Row],COLUMN(T244), FALSE)</f>
        <v>42306</v>
      </c>
      <c r="U245" t="str">
        <f>VLOOKUP($A245,Table1[#This Row],COLUMN(U244), FALSE)</f>
        <v>KD1627059</v>
      </c>
      <c r="V245" t="str">
        <f>VLOOKUP($A245,Table1[#This Row],COLUMN(V244), FALSE)</f>
        <v>ID</v>
      </c>
      <c r="W245">
        <f>VLOOKUP($A245,Table1[#This Row],COLUMN(W244), FALSE)</f>
        <v>2015</v>
      </c>
      <c r="X245" t="str">
        <f>VLOOKUP($A245,Table1[#This Row],COLUMN(X244), FALSE)</f>
        <v>KD1627059</v>
      </c>
      <c r="Y245">
        <f>VLOOKUP($A245,Table1[#This Row],COLUMN(Y244), FALSE)</f>
        <v>42306</v>
      </c>
      <c r="Z245" t="str">
        <f>VLOOKUP($A245,Table1[#This Row],COLUMN(Z244), FALSE)</f>
        <v>ID-2015-KD1627059-42306</v>
      </c>
      <c r="AA245">
        <f>VLOOKUP($A245,Table1[#This Row],COLUMN(AA244), FALSE)</f>
        <v>2015</v>
      </c>
      <c r="AB245">
        <f>VLOOKUP($A245,Table1[#This Row],COLUMN(AB244), FALSE)</f>
        <v>10</v>
      </c>
      <c r="AC245">
        <f>VLOOKUP($A245,Table1[#This Row],COLUMN(AC244), FALSE)</f>
        <v>5</v>
      </c>
      <c r="AD245">
        <f>VLOOKUP($A245,Table1[#This Row],COLUMN(AD244), FALSE)</f>
        <v>2</v>
      </c>
    </row>
    <row r="246" spans="1:30" ht="15.75">
      <c r="A246" s="53" t="s">
        <v>1420</v>
      </c>
      <c r="B246" s="52">
        <f>VLOOKUP($A246,Table1[#This Row],COLUMN(B245), FALSE)</f>
        <v>41251</v>
      </c>
      <c r="C246" s="52">
        <f>VLOOKUP($A246,Table1[#This Row],COLUMN(C245), FALSE)</f>
        <v>41252</v>
      </c>
      <c r="D246" t="str">
        <f>VLOOKUP($A246,Table1[#This Row],COLUMN(D245), FALSE)</f>
        <v>Aaron Hawkins</v>
      </c>
      <c r="E246" t="str">
        <f>VLOOKUP($A246,Table1[#This Row],COLUMN(E245), FALSE)</f>
        <v>Mexico</v>
      </c>
      <c r="F246" t="str">
        <f>VLOOKUP($A246,Table1[#This Row],COLUMN(F245), FALSE)</f>
        <v>Central America</v>
      </c>
      <c r="G246" t="str">
        <f>VLOOKUP($A246,Table1[#This Row],COLUMN(G245), FALSE)</f>
        <v>Furniture</v>
      </c>
      <c r="H246" t="str">
        <f>VLOOKUP($A246,Table1[#This Row],COLUMN(H245), FALSE)</f>
        <v>Machines</v>
      </c>
      <c r="I246">
        <f>VLOOKUP($A246,Table1[#This Row],COLUMN(I245), FALSE)</f>
        <v>780.60799999999995</v>
      </c>
      <c r="J246">
        <f>VLOOKUP($A246,Table1[#This Row],COLUMN(J245), FALSE)</f>
        <v>4</v>
      </c>
      <c r="K246">
        <f>VLOOKUP($A246,Table1[#This Row],COLUMN(K245), FALSE)</f>
        <v>0.2</v>
      </c>
      <c r="L246">
        <f>VLOOKUP($A246,Table1[#This Row],COLUMN(L245), FALSE)</f>
        <v>-3.20000000000163E-2</v>
      </c>
      <c r="M246" t="str">
        <f>VLOOKUP($A246,Table1[#This Row],COLUMN(M245), FALSE)</f>
        <v>High</v>
      </c>
      <c r="N246" t="str">
        <f>VLOOKUP($A246,Table1[#This Row],COLUMN(N245), FALSE)</f>
        <v>Normal Order</v>
      </c>
      <c r="O246" t="str">
        <f>VLOOKUP($A246,Table1[#This Row],COLUMN(O245), FALSE)</f>
        <v>Aaron Hawkins</v>
      </c>
      <c r="P246" t="str">
        <f>VLOOKUP($A246,Table1[#This Row],COLUMN(P245), FALSE)</f>
        <v>MX</v>
      </c>
      <c r="Q246" t="str">
        <f>VLOOKUP($A246,Table1[#This Row],COLUMN(Q245), FALSE)</f>
        <v>2012</v>
      </c>
      <c r="R246" t="str">
        <f>VLOOKUP($A246,Table1[#This Row],COLUMN(R245), FALSE)</f>
        <v>HIGH</v>
      </c>
      <c r="S246" t="str">
        <f>VLOOKUP($A246,Table1[#This Row],COLUMN(S245), FALSE)</f>
        <v>furniture</v>
      </c>
      <c r="T246" t="str">
        <f>VLOOKUP($A246,Table1[#This Row],COLUMN(T245), FALSE)</f>
        <v>41251</v>
      </c>
      <c r="U246" t="str">
        <f>VLOOKUP($A246,Table1[#This Row],COLUMN(U245), FALSE)</f>
        <v>AH1003082</v>
      </c>
      <c r="V246" t="str">
        <f>VLOOKUP($A246,Table1[#This Row],COLUMN(V245), FALSE)</f>
        <v>MX</v>
      </c>
      <c r="W246">
        <f>VLOOKUP($A246,Table1[#This Row],COLUMN(W245), FALSE)</f>
        <v>2012</v>
      </c>
      <c r="X246" t="str">
        <f>VLOOKUP($A246,Table1[#This Row],COLUMN(X245), FALSE)</f>
        <v>AH1003082</v>
      </c>
      <c r="Y246">
        <f>VLOOKUP($A246,Table1[#This Row],COLUMN(Y245), FALSE)</f>
        <v>41251</v>
      </c>
      <c r="Z246" t="str">
        <f>VLOOKUP($A246,Table1[#This Row],COLUMN(Z245), FALSE)</f>
        <v>MX-2012-AH1003082-41251</v>
      </c>
      <c r="AA246">
        <f>VLOOKUP($A246,Table1[#This Row],COLUMN(AA245), FALSE)</f>
        <v>2012</v>
      </c>
      <c r="AB246">
        <f>VLOOKUP($A246,Table1[#This Row],COLUMN(AB245), FALSE)</f>
        <v>12</v>
      </c>
      <c r="AC246">
        <f>VLOOKUP($A246,Table1[#This Row],COLUMN(AC245), FALSE)</f>
        <v>7</v>
      </c>
      <c r="AD246">
        <f>VLOOKUP($A246,Table1[#This Row],COLUMN(AD245), FALSE)</f>
        <v>1</v>
      </c>
    </row>
    <row r="247" spans="1:30" ht="15.75">
      <c r="A247" s="54" t="s">
        <v>1421</v>
      </c>
      <c r="B247" s="52">
        <f>VLOOKUP($A247,Table1[#This Row],COLUMN(B246), FALSE)</f>
        <v>41990</v>
      </c>
      <c r="C247" s="52">
        <f>VLOOKUP($A247,Table1[#This Row],COLUMN(C246), FALSE)</f>
        <v>41990</v>
      </c>
      <c r="D247" t="str">
        <f>VLOOKUP($A247,Table1[#This Row],COLUMN(D246), FALSE)</f>
        <v>Victoria Pisteka</v>
      </c>
      <c r="E247" t="str">
        <f>VLOOKUP($A247,Table1[#This Row],COLUMN(E246), FALSE)</f>
        <v>Spain</v>
      </c>
      <c r="F247" t="str">
        <f>VLOOKUP($A247,Table1[#This Row],COLUMN(F246), FALSE)</f>
        <v>Southern Europe</v>
      </c>
      <c r="G247" t="str">
        <f>VLOOKUP($A247,Table1[#This Row],COLUMN(G246), FALSE)</f>
        <v>Office Supplies</v>
      </c>
      <c r="H247" t="str">
        <f>VLOOKUP($A247,Table1[#This Row],COLUMN(H246), FALSE)</f>
        <v>Bookcases</v>
      </c>
      <c r="I247">
        <f>VLOOKUP($A247,Table1[#This Row],COLUMN(I246), FALSE)</f>
        <v>2711.7</v>
      </c>
      <c r="J247">
        <f>VLOOKUP($A247,Table1[#This Row],COLUMN(J246), FALSE)</f>
        <v>5</v>
      </c>
      <c r="K247">
        <f>VLOOKUP($A247,Table1[#This Row],COLUMN(K246), FALSE)</f>
        <v>0</v>
      </c>
      <c r="L247">
        <f>VLOOKUP($A247,Table1[#This Row],COLUMN(L246), FALSE)</f>
        <v>1220.25</v>
      </c>
      <c r="M247" t="str">
        <f>VLOOKUP($A247,Table1[#This Row],COLUMN(M246), FALSE)</f>
        <v>High</v>
      </c>
      <c r="N247" t="str">
        <f>VLOOKUP($A247,Table1[#This Row],COLUMN(N246), FALSE)</f>
        <v>Normal Order</v>
      </c>
      <c r="O247" t="str">
        <f>VLOOKUP($A247,Table1[#This Row],COLUMN(O246), FALSE)</f>
        <v>Victoria Pisteka</v>
      </c>
      <c r="P247" t="str">
        <f>VLOOKUP($A247,Table1[#This Row],COLUMN(P246), FALSE)</f>
        <v>ES</v>
      </c>
      <c r="Q247" t="str">
        <f>VLOOKUP($A247,Table1[#This Row],COLUMN(Q246), FALSE)</f>
        <v>2014</v>
      </c>
      <c r="R247" t="str">
        <f>VLOOKUP($A247,Table1[#This Row],COLUMN(R246), FALSE)</f>
        <v>HIGH</v>
      </c>
      <c r="S247" t="str">
        <f>VLOOKUP($A247,Table1[#This Row],COLUMN(S246), FALSE)</f>
        <v>office supplies</v>
      </c>
      <c r="T247" t="str">
        <f>VLOOKUP($A247,Table1[#This Row],COLUMN(T246), FALSE)</f>
        <v>41990</v>
      </c>
      <c r="U247" t="str">
        <f>VLOOKUP($A247,Table1[#This Row],COLUMN(U246), FALSE)</f>
        <v>VP21760120</v>
      </c>
      <c r="V247" t="str">
        <f>VLOOKUP($A247,Table1[#This Row],COLUMN(V246), FALSE)</f>
        <v>ES</v>
      </c>
      <c r="W247">
        <f>VLOOKUP($A247,Table1[#This Row],COLUMN(W246), FALSE)</f>
        <v>2014</v>
      </c>
      <c r="X247" t="str">
        <f>VLOOKUP($A247,Table1[#This Row],COLUMN(X246), FALSE)</f>
        <v>VP21760120</v>
      </c>
      <c r="Y247">
        <f>VLOOKUP($A247,Table1[#This Row],COLUMN(Y246), FALSE)</f>
        <v>41990</v>
      </c>
      <c r="Z247" t="str">
        <f>VLOOKUP($A247,Table1[#This Row],COLUMN(Z246), FALSE)</f>
        <v>ES-2014-VP21760120-41990</v>
      </c>
      <c r="AA247">
        <f>VLOOKUP($A247,Table1[#This Row],COLUMN(AA246), FALSE)</f>
        <v>2014</v>
      </c>
      <c r="AB247">
        <f>VLOOKUP($A247,Table1[#This Row],COLUMN(AB246), FALSE)</f>
        <v>12</v>
      </c>
      <c r="AC247">
        <f>VLOOKUP($A247,Table1[#This Row],COLUMN(AC246), FALSE)</f>
        <v>4</v>
      </c>
      <c r="AD247">
        <f>VLOOKUP($A247,Table1[#This Row],COLUMN(AD246), FALSE)</f>
        <v>0</v>
      </c>
    </row>
    <row r="248" spans="1:30" ht="15.75">
      <c r="A248" s="53" t="s">
        <v>1425</v>
      </c>
      <c r="B248" s="52">
        <f>VLOOKUP($A248,Table1[#This Row],COLUMN(B247), FALSE)</f>
        <v>41899</v>
      </c>
      <c r="C248" s="52">
        <f>VLOOKUP($A248,Table1[#This Row],COLUMN(C247), FALSE)</f>
        <v>41902</v>
      </c>
      <c r="D248" t="str">
        <f>VLOOKUP($A248,Table1[#This Row],COLUMN(D247), FALSE)</f>
        <v>Lena Radford</v>
      </c>
      <c r="E248" t="str">
        <f>VLOOKUP($A248,Table1[#This Row],COLUMN(E247), FALSE)</f>
        <v>India</v>
      </c>
      <c r="F248" t="str">
        <f>VLOOKUP($A248,Table1[#This Row],COLUMN(F247), FALSE)</f>
        <v>Southern Asia</v>
      </c>
      <c r="G248" t="str">
        <f>VLOOKUP($A248,Table1[#This Row],COLUMN(G247), FALSE)</f>
        <v>Technology</v>
      </c>
      <c r="H248" t="str">
        <f>VLOOKUP($A248,Table1[#This Row],COLUMN(H247), FALSE)</f>
        <v>Appliances</v>
      </c>
      <c r="I248">
        <f>VLOOKUP($A248,Table1[#This Row],COLUMN(I247), FALSE)</f>
        <v>1908.45</v>
      </c>
      <c r="J248">
        <f>VLOOKUP($A248,Table1[#This Row],COLUMN(J247), FALSE)</f>
        <v>3</v>
      </c>
      <c r="K248">
        <f>VLOOKUP($A248,Table1[#This Row],COLUMN(K247), FALSE)</f>
        <v>0</v>
      </c>
      <c r="L248">
        <f>VLOOKUP($A248,Table1[#This Row],COLUMN(L247), FALSE)</f>
        <v>534.32999999999902</v>
      </c>
      <c r="M248" t="str">
        <f>VLOOKUP($A248,Table1[#This Row],COLUMN(M247), FALSE)</f>
        <v>High</v>
      </c>
      <c r="N248" t="str">
        <f>VLOOKUP($A248,Table1[#This Row],COLUMN(N247), FALSE)</f>
        <v>Normal Order</v>
      </c>
      <c r="O248" t="str">
        <f>VLOOKUP($A248,Table1[#This Row],COLUMN(O247), FALSE)</f>
        <v>Lena Radford</v>
      </c>
      <c r="P248" t="str">
        <f>VLOOKUP($A248,Table1[#This Row],COLUMN(P247), FALSE)</f>
        <v>IN</v>
      </c>
      <c r="Q248" t="str">
        <f>VLOOKUP($A248,Table1[#This Row],COLUMN(Q247), FALSE)</f>
        <v>2014</v>
      </c>
      <c r="R248" t="str">
        <f>VLOOKUP($A248,Table1[#This Row],COLUMN(R247), FALSE)</f>
        <v>HIGH</v>
      </c>
      <c r="S248" t="str">
        <f>VLOOKUP($A248,Table1[#This Row],COLUMN(S247), FALSE)</f>
        <v>technology</v>
      </c>
      <c r="T248" t="str">
        <f>VLOOKUP($A248,Table1[#This Row],COLUMN(T247), FALSE)</f>
        <v>41899</v>
      </c>
      <c r="U248" t="str">
        <f>VLOOKUP($A248,Table1[#This Row],COLUMN(U247), FALSE)</f>
        <v>LR1691558</v>
      </c>
      <c r="V248" t="str">
        <f>VLOOKUP($A248,Table1[#This Row],COLUMN(V247), FALSE)</f>
        <v>IN</v>
      </c>
      <c r="W248">
        <f>VLOOKUP($A248,Table1[#This Row],COLUMN(W247), FALSE)</f>
        <v>2014</v>
      </c>
      <c r="X248" t="str">
        <f>VLOOKUP($A248,Table1[#This Row],COLUMN(X247), FALSE)</f>
        <v>LR1691558</v>
      </c>
      <c r="Y248">
        <f>VLOOKUP($A248,Table1[#This Row],COLUMN(Y247), FALSE)</f>
        <v>41899</v>
      </c>
      <c r="Z248" t="str">
        <f>VLOOKUP($A248,Table1[#This Row],COLUMN(Z247), FALSE)</f>
        <v>IN-2014-LR1691558-41899</v>
      </c>
      <c r="AA248">
        <f>VLOOKUP($A248,Table1[#This Row],COLUMN(AA247), FALSE)</f>
        <v>2014</v>
      </c>
      <c r="AB248">
        <f>VLOOKUP($A248,Table1[#This Row],COLUMN(AB247), FALSE)</f>
        <v>9</v>
      </c>
      <c r="AC248">
        <f>VLOOKUP($A248,Table1[#This Row],COLUMN(AC247), FALSE)</f>
        <v>4</v>
      </c>
      <c r="AD248">
        <f>VLOOKUP($A248,Table1[#This Row],COLUMN(AD247), FALSE)</f>
        <v>3</v>
      </c>
    </row>
    <row r="249" spans="1:30" ht="15.75">
      <c r="A249" s="54" t="s">
        <v>1433</v>
      </c>
      <c r="B249" s="52">
        <f>VLOOKUP($A249,Table1[#This Row],COLUMN(B248), FALSE)</f>
        <v>41923</v>
      </c>
      <c r="C249" s="52">
        <f>VLOOKUP($A249,Table1[#This Row],COLUMN(C248), FALSE)</f>
        <v>41926</v>
      </c>
      <c r="D249" t="str">
        <f>VLOOKUP($A249,Table1[#This Row],COLUMN(D248), FALSE)</f>
        <v>Harold Dahlen</v>
      </c>
      <c r="E249" t="str">
        <f>VLOOKUP($A249,Table1[#This Row],COLUMN(E248), FALSE)</f>
        <v>China</v>
      </c>
      <c r="F249" t="str">
        <f>VLOOKUP($A249,Table1[#This Row],COLUMN(F248), FALSE)</f>
        <v>Eastern Asia</v>
      </c>
      <c r="G249" t="str">
        <f>VLOOKUP($A249,Table1[#This Row],COLUMN(G248), FALSE)</f>
        <v>Technology</v>
      </c>
      <c r="H249" t="str">
        <f>VLOOKUP($A249,Table1[#This Row],COLUMN(H248), FALSE)</f>
        <v>Storage</v>
      </c>
      <c r="I249">
        <f>VLOOKUP($A249,Table1[#This Row],COLUMN(I248), FALSE)</f>
        <v>924.66</v>
      </c>
      <c r="J249">
        <f>VLOOKUP($A249,Table1[#This Row],COLUMN(J248), FALSE)</f>
        <v>3</v>
      </c>
      <c r="K249">
        <f>VLOOKUP($A249,Table1[#This Row],COLUMN(K248), FALSE)</f>
        <v>0</v>
      </c>
      <c r="L249">
        <f>VLOOKUP($A249,Table1[#This Row],COLUMN(L248), FALSE)</f>
        <v>397.53</v>
      </c>
      <c r="M249" t="str">
        <f>VLOOKUP($A249,Table1[#This Row],COLUMN(M248), FALSE)</f>
        <v>Critical</v>
      </c>
      <c r="N249" t="str">
        <f>VLOOKUP($A249,Table1[#This Row],COLUMN(N248), FALSE)</f>
        <v>Normal Order</v>
      </c>
      <c r="O249" t="str">
        <f>VLOOKUP($A249,Table1[#This Row],COLUMN(O248), FALSE)</f>
        <v>Harold Dahlen</v>
      </c>
      <c r="P249" t="str">
        <f>VLOOKUP($A249,Table1[#This Row],COLUMN(P248), FALSE)</f>
        <v>IN</v>
      </c>
      <c r="Q249" t="str">
        <f>VLOOKUP($A249,Table1[#This Row],COLUMN(Q248), FALSE)</f>
        <v>2014</v>
      </c>
      <c r="R249" t="str">
        <f>VLOOKUP($A249,Table1[#This Row],COLUMN(R248), FALSE)</f>
        <v>CRITICAL</v>
      </c>
      <c r="S249" t="str">
        <f>VLOOKUP($A249,Table1[#This Row],COLUMN(S248), FALSE)</f>
        <v>technology</v>
      </c>
      <c r="T249" t="str">
        <f>VLOOKUP($A249,Table1[#This Row],COLUMN(T248), FALSE)</f>
        <v>41923</v>
      </c>
      <c r="U249" t="str">
        <f>VLOOKUP($A249,Table1[#This Row],COLUMN(U248), FALSE)</f>
        <v>HD1478527</v>
      </c>
      <c r="V249" t="str">
        <f>VLOOKUP($A249,Table1[#This Row],COLUMN(V248), FALSE)</f>
        <v>IN</v>
      </c>
      <c r="W249">
        <f>VLOOKUP($A249,Table1[#This Row],COLUMN(W248), FALSE)</f>
        <v>2014</v>
      </c>
      <c r="X249" t="str">
        <f>VLOOKUP($A249,Table1[#This Row],COLUMN(X248), FALSE)</f>
        <v>HD1478527</v>
      </c>
      <c r="Y249">
        <f>VLOOKUP($A249,Table1[#This Row],COLUMN(Y248), FALSE)</f>
        <v>41923</v>
      </c>
      <c r="Z249" t="str">
        <f>VLOOKUP($A249,Table1[#This Row],COLUMN(Z248), FALSE)</f>
        <v>IN-2014-HD1478527-41923</v>
      </c>
      <c r="AA249">
        <f>VLOOKUP($A249,Table1[#This Row],COLUMN(AA248), FALSE)</f>
        <v>2014</v>
      </c>
      <c r="AB249">
        <f>VLOOKUP($A249,Table1[#This Row],COLUMN(AB248), FALSE)</f>
        <v>10</v>
      </c>
      <c r="AC249">
        <f>VLOOKUP($A249,Table1[#This Row],COLUMN(AC248), FALSE)</f>
        <v>7</v>
      </c>
      <c r="AD249">
        <f>VLOOKUP($A249,Table1[#This Row],COLUMN(AD248), FALSE)</f>
        <v>3</v>
      </c>
    </row>
    <row r="250" spans="1:30" ht="15.75">
      <c r="A250" s="53" t="s">
        <v>1434</v>
      </c>
      <c r="B250" s="52">
        <f>VLOOKUP($A250,Table1[#This Row],COLUMN(B249), FALSE)</f>
        <v>41389</v>
      </c>
      <c r="C250" s="52">
        <f>VLOOKUP($A250,Table1[#This Row],COLUMN(C249), FALSE)</f>
        <v>41391</v>
      </c>
      <c r="D250" t="str">
        <f>VLOOKUP($A250,Table1[#This Row],COLUMN(D249), FALSE)</f>
        <v>Theone Pippenger</v>
      </c>
      <c r="E250" t="str">
        <f>VLOOKUP($A250,Table1[#This Row],COLUMN(E249), FALSE)</f>
        <v>China</v>
      </c>
      <c r="F250" t="str">
        <f>VLOOKUP($A250,Table1[#This Row],COLUMN(F249), FALSE)</f>
        <v>Eastern Asia</v>
      </c>
      <c r="G250" t="str">
        <f>VLOOKUP($A250,Table1[#This Row],COLUMN(G249), FALSE)</f>
        <v>Furniture</v>
      </c>
      <c r="H250" t="str">
        <f>VLOOKUP($A250,Table1[#This Row],COLUMN(H249), FALSE)</f>
        <v>Tables</v>
      </c>
      <c r="I250">
        <f>VLOOKUP($A250,Table1[#This Row],COLUMN(I249), FALSE)</f>
        <v>1760.43</v>
      </c>
      <c r="J250">
        <f>VLOOKUP($A250,Table1[#This Row],COLUMN(J249), FALSE)</f>
        <v>5</v>
      </c>
      <c r="K250">
        <f>VLOOKUP($A250,Table1[#This Row],COLUMN(K249), FALSE)</f>
        <v>2.7619086270447899</v>
      </c>
      <c r="L250">
        <f>VLOOKUP($A250,Table1[#This Row],COLUMN(L249), FALSE)</f>
        <v>-326.97000000000003</v>
      </c>
      <c r="M250" t="str">
        <f>VLOOKUP($A250,Table1[#This Row],COLUMN(M249), FALSE)</f>
        <v>High</v>
      </c>
      <c r="N250" t="str">
        <f>VLOOKUP($A250,Table1[#This Row],COLUMN(N249), FALSE)</f>
        <v>Normal Order</v>
      </c>
      <c r="O250" t="str">
        <f>VLOOKUP($A250,Table1[#This Row],COLUMN(O249), FALSE)</f>
        <v>Theone Pippenger</v>
      </c>
      <c r="P250" t="str">
        <f>VLOOKUP($A250,Table1[#This Row],COLUMN(P249), FALSE)</f>
        <v>ID</v>
      </c>
      <c r="Q250" t="str">
        <f>VLOOKUP($A250,Table1[#This Row],COLUMN(Q249), FALSE)</f>
        <v>2013</v>
      </c>
      <c r="R250" t="str">
        <f>VLOOKUP($A250,Table1[#This Row],COLUMN(R249), FALSE)</f>
        <v>HIGH</v>
      </c>
      <c r="S250" t="str">
        <f>VLOOKUP($A250,Table1[#This Row],COLUMN(S249), FALSE)</f>
        <v>furniture</v>
      </c>
      <c r="T250" t="str">
        <f>VLOOKUP($A250,Table1[#This Row],COLUMN(T249), FALSE)</f>
        <v>41389</v>
      </c>
      <c r="U250" t="str">
        <f>VLOOKUP($A250,Table1[#This Row],COLUMN(U249), FALSE)</f>
        <v>TP2113027</v>
      </c>
      <c r="V250" t="str">
        <f>VLOOKUP($A250,Table1[#This Row],COLUMN(V249), FALSE)</f>
        <v>ID</v>
      </c>
      <c r="W250">
        <f>VLOOKUP($A250,Table1[#This Row],COLUMN(W249), FALSE)</f>
        <v>2013</v>
      </c>
      <c r="X250" t="str">
        <f>VLOOKUP($A250,Table1[#This Row],COLUMN(X249), FALSE)</f>
        <v>TP2113027</v>
      </c>
      <c r="Y250">
        <f>VLOOKUP($A250,Table1[#This Row],COLUMN(Y249), FALSE)</f>
        <v>41389</v>
      </c>
      <c r="Z250" t="str">
        <f>VLOOKUP($A250,Table1[#This Row],COLUMN(Z249), FALSE)</f>
        <v>ID-2013-TP2113027-41389</v>
      </c>
      <c r="AA250">
        <f>VLOOKUP($A250,Table1[#This Row],COLUMN(AA249), FALSE)</f>
        <v>2013</v>
      </c>
      <c r="AB250">
        <f>VLOOKUP($A250,Table1[#This Row],COLUMN(AB249), FALSE)</f>
        <v>4</v>
      </c>
      <c r="AC250">
        <f>VLOOKUP($A250,Table1[#This Row],COLUMN(AC249), FALSE)</f>
        <v>5</v>
      </c>
      <c r="AD250">
        <f>VLOOKUP($A250,Table1[#This Row],COLUMN(AD249), FALSE)</f>
        <v>2</v>
      </c>
    </row>
    <row r="251" spans="1:30" ht="15.75">
      <c r="A251" s="54" t="s">
        <v>1437</v>
      </c>
      <c r="B251" s="52">
        <f>VLOOKUP($A251,Table1[#This Row],COLUMN(B250), FALSE)</f>
        <v>41606</v>
      </c>
      <c r="C251" s="52">
        <f>VLOOKUP($A251,Table1[#This Row],COLUMN(C250), FALSE)</f>
        <v>41611</v>
      </c>
      <c r="D251" t="str">
        <f>VLOOKUP($A251,Table1[#This Row],COLUMN(D250), FALSE)</f>
        <v>Janet Lee</v>
      </c>
      <c r="E251" t="str">
        <f>VLOOKUP($A251,Table1[#This Row],COLUMN(E250), FALSE)</f>
        <v>Dominican Republic</v>
      </c>
      <c r="F251" t="str">
        <f>VLOOKUP($A251,Table1[#This Row],COLUMN(F250), FALSE)</f>
        <v>Caribbean</v>
      </c>
      <c r="G251" t="str">
        <f>VLOOKUP($A251,Table1[#This Row],COLUMN(G250), FALSE)</f>
        <v>Office Supplies</v>
      </c>
      <c r="H251" t="str">
        <f>VLOOKUP($A251,Table1[#This Row],COLUMN(H250), FALSE)</f>
        <v>Tables</v>
      </c>
      <c r="I251">
        <f>VLOOKUP($A251,Table1[#This Row],COLUMN(I250), FALSE)</f>
        <v>1510.96</v>
      </c>
      <c r="J251">
        <f>VLOOKUP($A251,Table1[#This Row],COLUMN(J250), FALSE)</f>
        <v>5</v>
      </c>
      <c r="K251">
        <f>VLOOKUP($A251,Table1[#This Row],COLUMN(K250), FALSE)</f>
        <v>0.2</v>
      </c>
      <c r="L251">
        <f>VLOOKUP($A251,Table1[#This Row],COLUMN(L250), FALSE)</f>
        <v>509.86</v>
      </c>
      <c r="M251" t="str">
        <f>VLOOKUP($A251,Table1[#This Row],COLUMN(M250), FALSE)</f>
        <v>High</v>
      </c>
      <c r="N251" t="str">
        <f>VLOOKUP($A251,Table1[#This Row],COLUMN(N250), FALSE)</f>
        <v>Normal Order</v>
      </c>
      <c r="O251" t="str">
        <f>VLOOKUP($A251,Table1[#This Row],COLUMN(O250), FALSE)</f>
        <v>Janet Lee</v>
      </c>
      <c r="P251" t="str">
        <f>VLOOKUP($A251,Table1[#This Row],COLUMN(P250), FALSE)</f>
        <v>MX</v>
      </c>
      <c r="Q251" t="str">
        <f>VLOOKUP($A251,Table1[#This Row],COLUMN(Q250), FALSE)</f>
        <v>2013</v>
      </c>
      <c r="R251" t="str">
        <f>VLOOKUP($A251,Table1[#This Row],COLUMN(R250), FALSE)</f>
        <v>HIGH</v>
      </c>
      <c r="S251" t="str">
        <f>VLOOKUP($A251,Table1[#This Row],COLUMN(S250), FALSE)</f>
        <v>office supplies</v>
      </c>
      <c r="T251" t="str">
        <f>VLOOKUP($A251,Table1[#This Row],COLUMN(T250), FALSE)</f>
        <v>41606</v>
      </c>
      <c r="U251" t="str">
        <f>VLOOKUP($A251,Table1[#This Row],COLUMN(U250), FALSE)</f>
        <v>JL1523536</v>
      </c>
      <c r="V251" t="str">
        <f>VLOOKUP($A251,Table1[#This Row],COLUMN(V250), FALSE)</f>
        <v>MX</v>
      </c>
      <c r="W251">
        <f>VLOOKUP($A251,Table1[#This Row],COLUMN(W250), FALSE)</f>
        <v>2013</v>
      </c>
      <c r="X251" t="str">
        <f>VLOOKUP($A251,Table1[#This Row],COLUMN(X250), FALSE)</f>
        <v>JL1523536</v>
      </c>
      <c r="Y251">
        <f>VLOOKUP($A251,Table1[#This Row],COLUMN(Y250), FALSE)</f>
        <v>41606</v>
      </c>
      <c r="Z251" t="str">
        <f>VLOOKUP($A251,Table1[#This Row],COLUMN(Z250), FALSE)</f>
        <v>MX-2013-JL1523536-41606</v>
      </c>
      <c r="AA251">
        <f>VLOOKUP($A251,Table1[#This Row],COLUMN(AA250), FALSE)</f>
        <v>2013</v>
      </c>
      <c r="AB251">
        <f>VLOOKUP($A251,Table1[#This Row],COLUMN(AB250), FALSE)</f>
        <v>11</v>
      </c>
      <c r="AC251">
        <f>VLOOKUP($A251,Table1[#This Row],COLUMN(AC250), FALSE)</f>
        <v>5</v>
      </c>
      <c r="AD251">
        <f>VLOOKUP($A251,Table1[#This Row],COLUMN(AD250), FALSE)</f>
        <v>5</v>
      </c>
    </row>
    <row r="252" spans="1:30" ht="15.75">
      <c r="A252" s="53" t="s">
        <v>1440</v>
      </c>
      <c r="B252" s="52">
        <f>VLOOKUP($A252,Table1[#This Row],COLUMN(B251), FALSE)</f>
        <v>42181</v>
      </c>
      <c r="C252" s="52">
        <f>VLOOKUP($A252,Table1[#This Row],COLUMN(C251), FALSE)</f>
        <v>42183</v>
      </c>
      <c r="D252" t="str">
        <f>VLOOKUP($A252,Table1[#This Row],COLUMN(D251), FALSE)</f>
        <v>Ralph Kennedy</v>
      </c>
      <c r="E252" t="str">
        <f>VLOOKUP($A252,Table1[#This Row],COLUMN(E251), FALSE)</f>
        <v>Brazil</v>
      </c>
      <c r="F252" t="str">
        <f>VLOOKUP($A252,Table1[#This Row],COLUMN(F251), FALSE)</f>
        <v>South America</v>
      </c>
      <c r="G252" t="str">
        <f>VLOOKUP($A252,Table1[#This Row],COLUMN(G251), FALSE)</f>
        <v>Furniture</v>
      </c>
      <c r="H252" t="str">
        <f>VLOOKUP($A252,Table1[#This Row],COLUMN(H251), FALSE)</f>
        <v>Appliances</v>
      </c>
      <c r="I252">
        <f>VLOOKUP($A252,Table1[#This Row],COLUMN(I251), FALSE)</f>
        <v>1938.23999999999</v>
      </c>
      <c r="J252">
        <f>VLOOKUP($A252,Table1[#This Row],COLUMN(J251), FALSE)</f>
        <v>4</v>
      </c>
      <c r="K252">
        <f>VLOOKUP($A252,Table1[#This Row],COLUMN(K251), FALSE)</f>
        <v>0.2</v>
      </c>
      <c r="L252">
        <f>VLOOKUP($A252,Table1[#This Row],COLUMN(L251), FALSE)</f>
        <v>-96.959999999999894</v>
      </c>
      <c r="M252" t="str">
        <f>VLOOKUP($A252,Table1[#This Row],COLUMN(M251), FALSE)</f>
        <v>Medium</v>
      </c>
      <c r="N252" t="str">
        <f>VLOOKUP($A252,Table1[#This Row],COLUMN(N251), FALSE)</f>
        <v>Normal Order</v>
      </c>
      <c r="O252" t="str">
        <f>VLOOKUP($A252,Table1[#This Row],COLUMN(O251), FALSE)</f>
        <v>Ralph Kennedy</v>
      </c>
      <c r="P252" t="str">
        <f>VLOOKUP($A252,Table1[#This Row],COLUMN(P251), FALSE)</f>
        <v>MX</v>
      </c>
      <c r="Q252" t="str">
        <f>VLOOKUP($A252,Table1[#This Row],COLUMN(Q251), FALSE)</f>
        <v>2015</v>
      </c>
      <c r="R252" t="str">
        <f>VLOOKUP($A252,Table1[#This Row],COLUMN(R251), FALSE)</f>
        <v>MEDIUM</v>
      </c>
      <c r="S252" t="str">
        <f>VLOOKUP($A252,Table1[#This Row],COLUMN(S251), FALSE)</f>
        <v>furniture</v>
      </c>
      <c r="T252" t="str">
        <f>VLOOKUP($A252,Table1[#This Row],COLUMN(T251), FALSE)</f>
        <v>42181</v>
      </c>
      <c r="U252" t="str">
        <f>VLOOKUP($A252,Table1[#This Row],COLUMN(U251), FALSE)</f>
        <v>RK1930018</v>
      </c>
      <c r="V252" t="str">
        <f>VLOOKUP($A252,Table1[#This Row],COLUMN(V251), FALSE)</f>
        <v>MX</v>
      </c>
      <c r="W252">
        <f>VLOOKUP($A252,Table1[#This Row],COLUMN(W251), FALSE)</f>
        <v>2015</v>
      </c>
      <c r="X252" t="str">
        <f>VLOOKUP($A252,Table1[#This Row],COLUMN(X251), FALSE)</f>
        <v>RK1930018</v>
      </c>
      <c r="Y252">
        <f>VLOOKUP($A252,Table1[#This Row],COLUMN(Y251), FALSE)</f>
        <v>42181</v>
      </c>
      <c r="Z252" t="str">
        <f>VLOOKUP($A252,Table1[#This Row],COLUMN(Z251), FALSE)</f>
        <v>MX-2015-RK1930018-42181</v>
      </c>
      <c r="AA252">
        <f>VLOOKUP($A252,Table1[#This Row],COLUMN(AA251), FALSE)</f>
        <v>2015</v>
      </c>
      <c r="AB252">
        <f>VLOOKUP($A252,Table1[#This Row],COLUMN(AB251), FALSE)</f>
        <v>6</v>
      </c>
      <c r="AC252">
        <f>VLOOKUP($A252,Table1[#This Row],COLUMN(AC251), FALSE)</f>
        <v>6</v>
      </c>
      <c r="AD252">
        <f>VLOOKUP($A252,Table1[#This Row],COLUMN(AD251), FALSE)</f>
        <v>2</v>
      </c>
    </row>
    <row r="253" spans="1:30" ht="15.75">
      <c r="A253" s="54" t="s">
        <v>1442</v>
      </c>
      <c r="B253" s="52">
        <f>VLOOKUP($A253,Table1[#This Row],COLUMN(B252), FALSE)</f>
        <v>41534</v>
      </c>
      <c r="C253" s="52">
        <f>VLOOKUP($A253,Table1[#This Row],COLUMN(C252), FALSE)</f>
        <v>41536</v>
      </c>
      <c r="D253" t="str">
        <f>VLOOKUP($A253,Table1[#This Row],COLUMN(D252), FALSE)</f>
        <v>Craig Carreira</v>
      </c>
      <c r="E253" t="str">
        <f>VLOOKUP($A253,Table1[#This Row],COLUMN(E252), FALSE)</f>
        <v>Italy</v>
      </c>
      <c r="F253" t="str">
        <f>VLOOKUP($A253,Table1[#This Row],COLUMN(F252), FALSE)</f>
        <v>Southern Europe</v>
      </c>
      <c r="G253" t="str">
        <f>VLOOKUP($A253,Table1[#This Row],COLUMN(G252), FALSE)</f>
        <v>Technology</v>
      </c>
      <c r="H253" t="str">
        <f>VLOOKUP($A253,Table1[#This Row],COLUMN(H252), FALSE)</f>
        <v>Copiers</v>
      </c>
      <c r="I253">
        <f>VLOOKUP($A253,Table1[#This Row],COLUMN(I252), FALSE)</f>
        <v>803.52</v>
      </c>
      <c r="J253">
        <f>VLOOKUP($A253,Table1[#This Row],COLUMN(J252), FALSE)</f>
        <v>5</v>
      </c>
      <c r="K253">
        <f>VLOOKUP($A253,Table1[#This Row],COLUMN(K252), FALSE)</f>
        <v>0.4</v>
      </c>
      <c r="L253">
        <f>VLOOKUP($A253,Table1[#This Row],COLUMN(L252), FALSE)</f>
        <v>-495.63</v>
      </c>
      <c r="M253" t="str">
        <f>VLOOKUP($A253,Table1[#This Row],COLUMN(M252), FALSE)</f>
        <v>High</v>
      </c>
      <c r="N253" t="str">
        <f>VLOOKUP($A253,Table1[#This Row],COLUMN(N252), FALSE)</f>
        <v>Normal Order</v>
      </c>
      <c r="O253" t="str">
        <f>VLOOKUP($A253,Table1[#This Row],COLUMN(O252), FALSE)</f>
        <v>Craig Carreira</v>
      </c>
      <c r="P253" t="str">
        <f>VLOOKUP($A253,Table1[#This Row],COLUMN(P252), FALSE)</f>
        <v>ES</v>
      </c>
      <c r="Q253" t="str">
        <f>VLOOKUP($A253,Table1[#This Row],COLUMN(Q252), FALSE)</f>
        <v>2013</v>
      </c>
      <c r="R253" t="str">
        <f>VLOOKUP($A253,Table1[#This Row],COLUMN(R252), FALSE)</f>
        <v>HIGH</v>
      </c>
      <c r="S253" t="str">
        <f>VLOOKUP($A253,Table1[#This Row],COLUMN(S252), FALSE)</f>
        <v>technology</v>
      </c>
      <c r="T253" t="str">
        <f>VLOOKUP($A253,Table1[#This Row],COLUMN(T252), FALSE)</f>
        <v>41534</v>
      </c>
      <c r="U253" t="str">
        <f>VLOOKUP($A253,Table1[#This Row],COLUMN(U252), FALSE)</f>
        <v>CC1267064</v>
      </c>
      <c r="V253" t="str">
        <f>VLOOKUP($A253,Table1[#This Row],COLUMN(V252), FALSE)</f>
        <v>ES</v>
      </c>
      <c r="W253">
        <f>VLOOKUP($A253,Table1[#This Row],COLUMN(W252), FALSE)</f>
        <v>2013</v>
      </c>
      <c r="X253" t="str">
        <f>VLOOKUP($A253,Table1[#This Row],COLUMN(X252), FALSE)</f>
        <v>CC1267064</v>
      </c>
      <c r="Y253">
        <f>VLOOKUP($A253,Table1[#This Row],COLUMN(Y252), FALSE)</f>
        <v>41534</v>
      </c>
      <c r="Z253" t="str">
        <f>VLOOKUP($A253,Table1[#This Row],COLUMN(Z252), FALSE)</f>
        <v>ES-2013-CC1267064-41534</v>
      </c>
      <c r="AA253">
        <f>VLOOKUP($A253,Table1[#This Row],COLUMN(AA252), FALSE)</f>
        <v>2013</v>
      </c>
      <c r="AB253">
        <f>VLOOKUP($A253,Table1[#This Row],COLUMN(AB252), FALSE)</f>
        <v>9</v>
      </c>
      <c r="AC253">
        <f>VLOOKUP($A253,Table1[#This Row],COLUMN(AC252), FALSE)</f>
        <v>3</v>
      </c>
      <c r="AD253">
        <f>VLOOKUP($A253,Table1[#This Row],COLUMN(AD252), FALSE)</f>
        <v>2</v>
      </c>
    </row>
    <row r="254" spans="1:30" ht="15.75">
      <c r="A254" s="53" t="s">
        <v>1445</v>
      </c>
      <c r="B254" s="52">
        <f>VLOOKUP($A254,Table1[#This Row],COLUMN(B253), FALSE)</f>
        <v>42322</v>
      </c>
      <c r="C254" s="52">
        <f>VLOOKUP($A254,Table1[#This Row],COLUMN(C253), FALSE)</f>
        <v>42327</v>
      </c>
      <c r="D254" t="str">
        <f>VLOOKUP($A254,Table1[#This Row],COLUMN(D253), FALSE)</f>
        <v>Alan Dominguez</v>
      </c>
      <c r="E254" t="str">
        <f>VLOOKUP($A254,Table1[#This Row],COLUMN(E253), FALSE)</f>
        <v>United States</v>
      </c>
      <c r="F254" t="str">
        <f>VLOOKUP($A254,Table1[#This Row],COLUMN(F253), FALSE)</f>
        <v>Eastern US</v>
      </c>
      <c r="G254" t="str">
        <f>VLOOKUP($A254,Table1[#This Row],COLUMN(G253), FALSE)</f>
        <v>Technology</v>
      </c>
      <c r="H254" t="str">
        <f>VLOOKUP($A254,Table1[#This Row],COLUMN(H253), FALSE)</f>
        <v>Machines</v>
      </c>
      <c r="I254">
        <f>VLOOKUP($A254,Table1[#This Row],COLUMN(I253), FALSE)</f>
        <v>163.96</v>
      </c>
      <c r="J254">
        <f>VLOOKUP($A254,Table1[#This Row],COLUMN(J253), FALSE)</f>
        <v>4</v>
      </c>
      <c r="K254">
        <f>VLOOKUP($A254,Table1[#This Row],COLUMN(K253), FALSE)</f>
        <v>0</v>
      </c>
      <c r="L254">
        <f>VLOOKUP($A254,Table1[#This Row],COLUMN(L253), FALSE)</f>
        <v>70.502799999999993</v>
      </c>
      <c r="M254" t="str">
        <f>VLOOKUP($A254,Table1[#This Row],COLUMN(M253), FALSE)</f>
        <v>Medium</v>
      </c>
      <c r="N254" t="str">
        <f>VLOOKUP($A254,Table1[#This Row],COLUMN(N253), FALSE)</f>
        <v>Normal Order</v>
      </c>
      <c r="O254" t="str">
        <f>VLOOKUP($A254,Table1[#This Row],COLUMN(O253), FALSE)</f>
        <v>Alan Dominguez</v>
      </c>
      <c r="P254" t="str">
        <f>VLOOKUP($A254,Table1[#This Row],COLUMN(P253), FALSE)</f>
        <v xml:space="preserve"> C</v>
      </c>
      <c r="Q254" t="str">
        <f>VLOOKUP($A254,Table1[#This Row],COLUMN(Q253), FALSE)</f>
        <v>-201</v>
      </c>
      <c r="R254" t="str">
        <f>VLOOKUP($A254,Table1[#This Row],COLUMN(R253), FALSE)</f>
        <v>MEDIUM</v>
      </c>
      <c r="S254" t="str">
        <f>VLOOKUP($A254,Table1[#This Row],COLUMN(S253), FALSE)</f>
        <v>technology</v>
      </c>
      <c r="T254" t="str">
        <f>VLOOKUP($A254,Table1[#This Row],COLUMN(T253), FALSE)</f>
        <v xml:space="preserve">2322 </v>
      </c>
      <c r="U254" t="str">
        <f>VLOOKUP($A254,Table1[#This Row],COLUMN(U253), FALSE)</f>
        <v>AD10180140</v>
      </c>
      <c r="V254" t="str">
        <f>VLOOKUP($A254,Table1[#This Row],COLUMN(V253), FALSE)</f>
        <v xml:space="preserve"> CA</v>
      </c>
      <c r="W254">
        <f>VLOOKUP($A254,Table1[#This Row],COLUMN(W253), FALSE)</f>
        <v>2015</v>
      </c>
      <c r="X254" t="str">
        <f>VLOOKUP($A254,Table1[#This Row],COLUMN(X253), FALSE)</f>
        <v>AD10180140</v>
      </c>
      <c r="Y254">
        <f>VLOOKUP($A254,Table1[#This Row],COLUMN(Y253), FALSE)</f>
        <v>42322</v>
      </c>
      <c r="Z254" t="str">
        <f>VLOOKUP($A254,Table1[#This Row],COLUMN(Z253), FALSE)</f>
        <v>CA-2015-AD10180140-42322</v>
      </c>
      <c r="AA254">
        <f>VLOOKUP($A254,Table1[#This Row],COLUMN(AA253), FALSE)</f>
        <v>2015</v>
      </c>
      <c r="AB254">
        <f>VLOOKUP($A254,Table1[#This Row],COLUMN(AB253), FALSE)</f>
        <v>11</v>
      </c>
      <c r="AC254">
        <f>VLOOKUP($A254,Table1[#This Row],COLUMN(AC253), FALSE)</f>
        <v>7</v>
      </c>
      <c r="AD254">
        <f>VLOOKUP($A254,Table1[#This Row],COLUMN(AD253), FALSE)</f>
        <v>5</v>
      </c>
    </row>
    <row r="255" spans="1:30" ht="15.75">
      <c r="A255" s="54" t="s">
        <v>1406</v>
      </c>
      <c r="B255" s="52">
        <f>VLOOKUP($A255,Table1[#This Row],COLUMN(B254), FALSE)</f>
        <v>42027</v>
      </c>
      <c r="C255" s="52">
        <f>VLOOKUP($A255,Table1[#This Row],COLUMN(C254), FALSE)</f>
        <v>42032</v>
      </c>
      <c r="D255" t="str">
        <f>VLOOKUP($A255,Table1[#This Row],COLUMN(D254), FALSE)</f>
        <v>Alan Dominguez</v>
      </c>
      <c r="E255" t="str">
        <f>VLOOKUP($A255,Table1[#This Row],COLUMN(E254), FALSE)</f>
        <v>United States</v>
      </c>
      <c r="F255" t="str">
        <f>VLOOKUP($A255,Table1[#This Row],COLUMN(F254), FALSE)</f>
        <v>Western US</v>
      </c>
      <c r="G255" t="str">
        <f>VLOOKUP($A255,Table1[#This Row],COLUMN(G254), FALSE)</f>
        <v>Office Supplies</v>
      </c>
      <c r="H255" t="str">
        <f>VLOOKUP($A255,Table1[#This Row],COLUMN(H254), FALSE)</f>
        <v>Bookcases</v>
      </c>
      <c r="I255">
        <f>VLOOKUP($A255,Table1[#This Row],COLUMN(I254), FALSE)</f>
        <v>51.449999999999903</v>
      </c>
      <c r="J255">
        <f>VLOOKUP($A255,Table1[#This Row],COLUMN(J254), FALSE)</f>
        <v>3</v>
      </c>
      <c r="K255">
        <f>VLOOKUP($A255,Table1[#This Row],COLUMN(K254), FALSE)</f>
        <v>0</v>
      </c>
      <c r="L255">
        <f>VLOOKUP($A255,Table1[#This Row],COLUMN(L254), FALSE)</f>
        <v>13.891499999999899</v>
      </c>
      <c r="M255" t="str">
        <f>VLOOKUP($A255,Table1[#This Row],COLUMN(M254), FALSE)</f>
        <v>Medium</v>
      </c>
      <c r="N255" t="str">
        <f>VLOOKUP($A255,Table1[#This Row],COLUMN(N254), FALSE)</f>
        <v>Normal Order</v>
      </c>
      <c r="O255" t="str">
        <f>VLOOKUP($A255,Table1[#This Row],COLUMN(O254), FALSE)</f>
        <v>Alan Dominguez</v>
      </c>
      <c r="P255" t="str">
        <f>VLOOKUP($A255,Table1[#This Row],COLUMN(P254), FALSE)</f>
        <v>CA</v>
      </c>
      <c r="Q255" t="str">
        <f>VLOOKUP($A255,Table1[#This Row],COLUMN(Q254), FALSE)</f>
        <v>2015</v>
      </c>
      <c r="R255" t="str">
        <f>VLOOKUP($A255,Table1[#This Row],COLUMN(R254), FALSE)</f>
        <v>MEDIUM</v>
      </c>
      <c r="S255" t="str">
        <f>VLOOKUP($A255,Table1[#This Row],COLUMN(S254), FALSE)</f>
        <v>office supplies</v>
      </c>
      <c r="T255" t="str">
        <f>VLOOKUP($A255,Table1[#This Row],COLUMN(T254), FALSE)</f>
        <v>42027</v>
      </c>
      <c r="U255" t="str">
        <f>VLOOKUP($A255,Table1[#This Row],COLUMN(U254), FALSE)</f>
        <v>AD10180140</v>
      </c>
      <c r="V255" t="str">
        <f>VLOOKUP($A255,Table1[#This Row],COLUMN(V254), FALSE)</f>
        <v>CA</v>
      </c>
      <c r="W255">
        <f>VLOOKUP($A255,Table1[#This Row],COLUMN(W254), FALSE)</f>
        <v>2015</v>
      </c>
      <c r="X255" t="str">
        <f>VLOOKUP($A255,Table1[#This Row],COLUMN(X254), FALSE)</f>
        <v>AD10180140</v>
      </c>
      <c r="Y255">
        <f>VLOOKUP($A255,Table1[#This Row],COLUMN(Y254), FALSE)</f>
        <v>42027</v>
      </c>
      <c r="Z255" t="str">
        <f>VLOOKUP($A255,Table1[#This Row],COLUMN(Z254), FALSE)</f>
        <v>CA-2015-AD10180140-42027</v>
      </c>
      <c r="AA255">
        <f>VLOOKUP($A255,Table1[#This Row],COLUMN(AA254), FALSE)</f>
        <v>2015</v>
      </c>
      <c r="AB255">
        <f>VLOOKUP($A255,Table1[#This Row],COLUMN(AB254), FALSE)</f>
        <v>1</v>
      </c>
      <c r="AC255">
        <f>VLOOKUP($A255,Table1[#This Row],COLUMN(AC254), FALSE)</f>
        <v>6</v>
      </c>
      <c r="AD255">
        <f>VLOOKUP($A255,Table1[#This Row],COLUMN(AD254), FALSE)</f>
        <v>5</v>
      </c>
    </row>
    <row r="256" spans="1:30" ht="15.75">
      <c r="A256" s="53" t="s">
        <v>1451</v>
      </c>
      <c r="B256" s="52">
        <f>VLOOKUP($A256,Table1[#This Row],COLUMN(B255), FALSE)</f>
        <v>42340</v>
      </c>
      <c r="C256" s="52">
        <f>VLOOKUP($A256,Table1[#This Row],COLUMN(C255), FALSE)</f>
        <v>42345</v>
      </c>
      <c r="D256" t="str">
        <f>VLOOKUP($A256,Table1[#This Row],COLUMN(D255), FALSE)</f>
        <v>Alan Dominguez</v>
      </c>
      <c r="E256" t="str">
        <f>VLOOKUP($A256,Table1[#This Row],COLUMN(E255), FALSE)</f>
        <v>United States</v>
      </c>
      <c r="F256" t="str">
        <f>VLOOKUP($A256,Table1[#This Row],COLUMN(F255), FALSE)</f>
        <v>Eastern US</v>
      </c>
      <c r="G256" t="str">
        <f>VLOOKUP($A256,Table1[#This Row],COLUMN(G255), FALSE)</f>
        <v>Office Supplies</v>
      </c>
      <c r="H256" t="str">
        <f>VLOOKUP($A256,Table1[#This Row],COLUMN(H255), FALSE)</f>
        <v>Accessories</v>
      </c>
      <c r="I256">
        <f>VLOOKUP($A256,Table1[#This Row],COLUMN(I255), FALSE)</f>
        <v>19.440000000000001</v>
      </c>
      <c r="J256">
        <f>VLOOKUP($A256,Table1[#This Row],COLUMN(J255), FALSE)</f>
        <v>3</v>
      </c>
      <c r="K256">
        <f>VLOOKUP($A256,Table1[#This Row],COLUMN(K255), FALSE)</f>
        <v>0</v>
      </c>
      <c r="L256">
        <f>VLOOKUP($A256,Table1[#This Row],COLUMN(L255), FALSE)</f>
        <v>9.3312000000000008</v>
      </c>
      <c r="M256" t="str">
        <f>VLOOKUP($A256,Table1[#This Row],COLUMN(M255), FALSE)</f>
        <v>Medium</v>
      </c>
      <c r="N256" t="str">
        <f>VLOOKUP($A256,Table1[#This Row],COLUMN(N255), FALSE)</f>
        <v>Normal Order</v>
      </c>
      <c r="O256" t="str">
        <f>VLOOKUP($A256,Table1[#This Row],COLUMN(O255), FALSE)</f>
        <v>Alan Dominguez</v>
      </c>
      <c r="P256" t="str">
        <f>VLOOKUP($A256,Table1[#This Row],COLUMN(P255), FALSE)</f>
        <v>CA</v>
      </c>
      <c r="Q256" t="str">
        <f>VLOOKUP($A256,Table1[#This Row],COLUMN(Q255), FALSE)</f>
        <v>2015</v>
      </c>
      <c r="R256" t="str">
        <f>VLOOKUP($A256,Table1[#This Row],COLUMN(R255), FALSE)</f>
        <v>MEDIUM</v>
      </c>
      <c r="S256" t="str">
        <f>VLOOKUP($A256,Table1[#This Row],COLUMN(S255), FALSE)</f>
        <v>office supplies</v>
      </c>
      <c r="T256" t="str">
        <f>VLOOKUP($A256,Table1[#This Row],COLUMN(T255), FALSE)</f>
        <v>42340</v>
      </c>
      <c r="U256" t="str">
        <f>VLOOKUP($A256,Table1[#This Row],COLUMN(U255), FALSE)</f>
        <v>AD10180140</v>
      </c>
      <c r="V256" t="str">
        <f>VLOOKUP($A256,Table1[#This Row],COLUMN(V255), FALSE)</f>
        <v>CA</v>
      </c>
      <c r="W256">
        <f>VLOOKUP($A256,Table1[#This Row],COLUMN(W255), FALSE)</f>
        <v>2015</v>
      </c>
      <c r="X256" t="str">
        <f>VLOOKUP($A256,Table1[#This Row],COLUMN(X255), FALSE)</f>
        <v>AD10180140</v>
      </c>
      <c r="Y256">
        <f>VLOOKUP($A256,Table1[#This Row],COLUMN(Y255), FALSE)</f>
        <v>42340</v>
      </c>
      <c r="Z256" t="str">
        <f>VLOOKUP($A256,Table1[#This Row],COLUMN(Z255), FALSE)</f>
        <v>CA-2015-AD10180140-42340</v>
      </c>
      <c r="AA256">
        <f>VLOOKUP($A256,Table1[#This Row],COLUMN(AA255), FALSE)</f>
        <v>2015</v>
      </c>
      <c r="AB256">
        <f>VLOOKUP($A256,Table1[#This Row],COLUMN(AB255), FALSE)</f>
        <v>12</v>
      </c>
      <c r="AC256">
        <f>VLOOKUP($A256,Table1[#This Row],COLUMN(AC255), FALSE)</f>
        <v>4</v>
      </c>
      <c r="AD256">
        <f>VLOOKUP($A256,Table1[#This Row],COLUMN(AD255), FALSE)</f>
        <v>5</v>
      </c>
    </row>
    <row r="257" spans="1:30" ht="15.75">
      <c r="A257" s="54" t="s">
        <v>1460</v>
      </c>
      <c r="B257" s="52">
        <f>VLOOKUP($A257,Table1[#This Row],COLUMN(B256), FALSE)</f>
        <v>42335</v>
      </c>
      <c r="C257" s="52">
        <f>VLOOKUP($A257,Table1[#This Row],COLUMN(C256), FALSE)</f>
        <v>42339</v>
      </c>
      <c r="D257" t="str">
        <f>VLOOKUP($A257,Table1[#This Row],COLUMN(D256), FALSE)</f>
        <v>Penelope Sewall</v>
      </c>
      <c r="E257" t="str">
        <f>VLOOKUP($A257,Table1[#This Row],COLUMN(E256), FALSE)</f>
        <v>Brazil</v>
      </c>
      <c r="F257" t="str">
        <f>VLOOKUP($A257,Table1[#This Row],COLUMN(F256), FALSE)</f>
        <v>South America</v>
      </c>
      <c r="G257" t="str">
        <f>VLOOKUP($A257,Table1[#This Row],COLUMN(G256), FALSE)</f>
        <v>Technology</v>
      </c>
      <c r="H257" t="str">
        <f>VLOOKUP($A257,Table1[#This Row],COLUMN(H256), FALSE)</f>
        <v>Phones</v>
      </c>
      <c r="I257">
        <f>VLOOKUP($A257,Table1[#This Row],COLUMN(I256), FALSE)</f>
        <v>2124.5</v>
      </c>
      <c r="J257">
        <f>VLOOKUP($A257,Table1[#This Row],COLUMN(J256), FALSE)</f>
        <v>5</v>
      </c>
      <c r="K257">
        <f>VLOOKUP($A257,Table1[#This Row],COLUMN(K256), FALSE)</f>
        <v>0</v>
      </c>
      <c r="L257">
        <f>VLOOKUP($A257,Table1[#This Row],COLUMN(L256), FALSE)</f>
        <v>488.6</v>
      </c>
      <c r="M257" t="str">
        <f>VLOOKUP($A257,Table1[#This Row],COLUMN(M256), FALSE)</f>
        <v>High</v>
      </c>
      <c r="N257" t="str">
        <f>VLOOKUP($A257,Table1[#This Row],COLUMN(N256), FALSE)</f>
        <v>Normal Order</v>
      </c>
      <c r="O257" t="str">
        <f>VLOOKUP($A257,Table1[#This Row],COLUMN(O256), FALSE)</f>
        <v>Penelope Sewall</v>
      </c>
      <c r="P257" t="str">
        <f>VLOOKUP($A257,Table1[#This Row],COLUMN(P256), FALSE)</f>
        <v>MX</v>
      </c>
      <c r="Q257" t="str">
        <f>VLOOKUP($A257,Table1[#This Row],COLUMN(Q256), FALSE)</f>
        <v>2015</v>
      </c>
      <c r="R257" t="str">
        <f>VLOOKUP($A257,Table1[#This Row],COLUMN(R256), FALSE)</f>
        <v>HIGH</v>
      </c>
      <c r="S257" t="str">
        <f>VLOOKUP($A257,Table1[#This Row],COLUMN(S256), FALSE)</f>
        <v>technology</v>
      </c>
      <c r="T257" t="str">
        <f>VLOOKUP($A257,Table1[#This Row],COLUMN(T256), FALSE)</f>
        <v>42335</v>
      </c>
      <c r="U257" t="str">
        <f>VLOOKUP($A257,Table1[#This Row],COLUMN(U256), FALSE)</f>
        <v>PS1904518</v>
      </c>
      <c r="V257" t="str">
        <f>VLOOKUP($A257,Table1[#This Row],COLUMN(V256), FALSE)</f>
        <v>MX</v>
      </c>
      <c r="W257">
        <f>VLOOKUP($A257,Table1[#This Row],COLUMN(W256), FALSE)</f>
        <v>2015</v>
      </c>
      <c r="X257" t="str">
        <f>VLOOKUP($A257,Table1[#This Row],COLUMN(X256), FALSE)</f>
        <v>PS1904518</v>
      </c>
      <c r="Y257">
        <f>VLOOKUP($A257,Table1[#This Row],COLUMN(Y256), FALSE)</f>
        <v>42335</v>
      </c>
      <c r="Z257" t="str">
        <f>VLOOKUP($A257,Table1[#This Row],COLUMN(Z256), FALSE)</f>
        <v>MX-2015-PS1904518-42335</v>
      </c>
      <c r="AA257">
        <f>VLOOKUP($A257,Table1[#This Row],COLUMN(AA256), FALSE)</f>
        <v>2015</v>
      </c>
      <c r="AB257">
        <f>VLOOKUP($A257,Table1[#This Row],COLUMN(AB256), FALSE)</f>
        <v>11</v>
      </c>
      <c r="AC257">
        <f>VLOOKUP($A257,Table1[#This Row],COLUMN(AC256), FALSE)</f>
        <v>6</v>
      </c>
      <c r="AD257">
        <f>VLOOKUP($A257,Table1[#This Row],COLUMN(AD256), FALSE)</f>
        <v>4</v>
      </c>
    </row>
    <row r="258" spans="1:30" ht="15.75">
      <c r="A258" s="53" t="s">
        <v>1462</v>
      </c>
      <c r="B258" s="52">
        <f>VLOOKUP($A258,Table1[#This Row],COLUMN(B257), FALSE)</f>
        <v>41231</v>
      </c>
      <c r="C258" s="52">
        <f>VLOOKUP($A258,Table1[#This Row],COLUMN(C257), FALSE)</f>
        <v>41234</v>
      </c>
      <c r="D258" t="str">
        <f>VLOOKUP($A258,Table1[#This Row],COLUMN(D257), FALSE)</f>
        <v>Alan Dominguez</v>
      </c>
      <c r="E258" t="str">
        <f>VLOOKUP($A258,Table1[#This Row],COLUMN(E257), FALSE)</f>
        <v>United States</v>
      </c>
      <c r="F258" t="str">
        <f>VLOOKUP($A258,Table1[#This Row],COLUMN(F257), FALSE)</f>
        <v>Eastern US</v>
      </c>
      <c r="G258" t="str">
        <f>VLOOKUP($A258,Table1[#This Row],COLUMN(G257), FALSE)</f>
        <v>Office Supplies</v>
      </c>
      <c r="H258" t="str">
        <f>VLOOKUP($A258,Table1[#This Row],COLUMN(H257), FALSE)</f>
        <v>Phones</v>
      </c>
      <c r="I258">
        <f>VLOOKUP($A258,Table1[#This Row],COLUMN(I257), FALSE)</f>
        <v>5.88</v>
      </c>
      <c r="J258">
        <f>VLOOKUP($A258,Table1[#This Row],COLUMN(J257), FALSE)</f>
        <v>1</v>
      </c>
      <c r="K258">
        <f>VLOOKUP($A258,Table1[#This Row],COLUMN(K257), FALSE)</f>
        <v>0.2</v>
      </c>
      <c r="L258">
        <f>VLOOKUP($A258,Table1[#This Row],COLUMN(L257), FALSE)</f>
        <v>1.9844999999999899</v>
      </c>
      <c r="M258" t="str">
        <f>VLOOKUP($A258,Table1[#This Row],COLUMN(M257), FALSE)</f>
        <v>Medium</v>
      </c>
      <c r="N258" t="str">
        <f>VLOOKUP($A258,Table1[#This Row],COLUMN(N257), FALSE)</f>
        <v>Normal Order</v>
      </c>
      <c r="O258" t="str">
        <f>VLOOKUP($A258,Table1[#This Row],COLUMN(O257), FALSE)</f>
        <v>Alan Dominguez</v>
      </c>
      <c r="P258" t="str">
        <f>VLOOKUP($A258,Table1[#This Row],COLUMN(P257), FALSE)</f>
        <v xml:space="preserve"> C</v>
      </c>
      <c r="Q258" t="str">
        <f>VLOOKUP($A258,Table1[#This Row],COLUMN(Q257), FALSE)</f>
        <v>-201</v>
      </c>
      <c r="R258" t="str">
        <f>VLOOKUP($A258,Table1[#This Row],COLUMN(R257), FALSE)</f>
        <v>MEDIUM</v>
      </c>
      <c r="S258" t="str">
        <f>VLOOKUP($A258,Table1[#This Row],COLUMN(S257), FALSE)</f>
        <v>office supplies</v>
      </c>
      <c r="T258" t="str">
        <f>VLOOKUP($A258,Table1[#This Row],COLUMN(T257), FALSE)</f>
        <v xml:space="preserve">1231 </v>
      </c>
      <c r="U258" t="str">
        <f>VLOOKUP($A258,Table1[#This Row],COLUMN(U257), FALSE)</f>
        <v>AD10180140</v>
      </c>
      <c r="V258" t="str">
        <f>VLOOKUP($A258,Table1[#This Row],COLUMN(V257), FALSE)</f>
        <v xml:space="preserve"> CA</v>
      </c>
      <c r="W258">
        <f>VLOOKUP($A258,Table1[#This Row],COLUMN(W257), FALSE)</f>
        <v>2012</v>
      </c>
      <c r="X258" t="str">
        <f>VLOOKUP($A258,Table1[#This Row],COLUMN(X257), FALSE)</f>
        <v>AD10180140</v>
      </c>
      <c r="Y258">
        <f>VLOOKUP($A258,Table1[#This Row],COLUMN(Y257), FALSE)</f>
        <v>41231</v>
      </c>
      <c r="Z258" t="str">
        <f>VLOOKUP($A258,Table1[#This Row],COLUMN(Z257), FALSE)</f>
        <v>CA-2012-AD10180140-41231</v>
      </c>
      <c r="AA258">
        <f>VLOOKUP($A258,Table1[#This Row],COLUMN(AA257), FALSE)</f>
        <v>2012</v>
      </c>
      <c r="AB258">
        <f>VLOOKUP($A258,Table1[#This Row],COLUMN(AB257), FALSE)</f>
        <v>11</v>
      </c>
      <c r="AC258">
        <f>VLOOKUP($A258,Table1[#This Row],COLUMN(AC257), FALSE)</f>
        <v>1</v>
      </c>
      <c r="AD258">
        <f>VLOOKUP($A258,Table1[#This Row],COLUMN(AD257), FALSE)</f>
        <v>3</v>
      </c>
    </row>
    <row r="259" spans="1:30" ht="15.75">
      <c r="A259" s="54" t="s">
        <v>1463</v>
      </c>
      <c r="B259" s="52">
        <f>VLOOKUP($A259,Table1[#This Row],COLUMN(B258), FALSE)</f>
        <v>41625</v>
      </c>
      <c r="C259" s="52">
        <f>VLOOKUP($A259,Table1[#This Row],COLUMN(C258), FALSE)</f>
        <v>41629</v>
      </c>
      <c r="D259" t="str">
        <f>VLOOKUP($A259,Table1[#This Row],COLUMN(D258), FALSE)</f>
        <v>Bill Tyler</v>
      </c>
      <c r="E259" t="str">
        <f>VLOOKUP($A259,Table1[#This Row],COLUMN(E258), FALSE)</f>
        <v>United Kingdom</v>
      </c>
      <c r="F259" t="str">
        <f>VLOOKUP($A259,Table1[#This Row],COLUMN(F258), FALSE)</f>
        <v>Northern Europe</v>
      </c>
      <c r="G259" t="str">
        <f>VLOOKUP($A259,Table1[#This Row],COLUMN(G258), FALSE)</f>
        <v>Technology</v>
      </c>
      <c r="H259" t="str">
        <f>VLOOKUP($A259,Table1[#This Row],COLUMN(H258), FALSE)</f>
        <v>Storage</v>
      </c>
      <c r="I259">
        <f>VLOOKUP($A259,Table1[#This Row],COLUMN(I258), FALSE)</f>
        <v>1248.8399999999999</v>
      </c>
      <c r="J259">
        <f>VLOOKUP($A259,Table1[#This Row],COLUMN(J258), FALSE)</f>
        <v>4</v>
      </c>
      <c r="K259">
        <f>VLOOKUP($A259,Table1[#This Row],COLUMN(K258), FALSE)</f>
        <v>0</v>
      </c>
      <c r="L259">
        <f>VLOOKUP($A259,Table1[#This Row],COLUMN(L258), FALSE)</f>
        <v>249.719999999999</v>
      </c>
      <c r="M259" t="str">
        <f>VLOOKUP($A259,Table1[#This Row],COLUMN(M258), FALSE)</f>
        <v>High</v>
      </c>
      <c r="N259" t="str">
        <f>VLOOKUP($A259,Table1[#This Row],COLUMN(N258), FALSE)</f>
        <v>Normal Order</v>
      </c>
      <c r="O259" t="str">
        <f>VLOOKUP($A259,Table1[#This Row],COLUMN(O258), FALSE)</f>
        <v>Bill Tyler</v>
      </c>
      <c r="P259" t="str">
        <f>VLOOKUP($A259,Table1[#This Row],COLUMN(P258), FALSE)</f>
        <v>ES</v>
      </c>
      <c r="Q259" t="str">
        <f>VLOOKUP($A259,Table1[#This Row],COLUMN(Q258), FALSE)</f>
        <v>2013</v>
      </c>
      <c r="R259" t="str">
        <f>VLOOKUP($A259,Table1[#This Row],COLUMN(R258), FALSE)</f>
        <v>HIGH</v>
      </c>
      <c r="S259" t="str">
        <f>VLOOKUP($A259,Table1[#This Row],COLUMN(S258), FALSE)</f>
        <v>technology</v>
      </c>
      <c r="T259" t="str">
        <f>VLOOKUP($A259,Table1[#This Row],COLUMN(T258), FALSE)</f>
        <v>41625</v>
      </c>
      <c r="U259" t="str">
        <f>VLOOKUP($A259,Table1[#This Row],COLUMN(U258), FALSE)</f>
        <v>BT11391539</v>
      </c>
      <c r="V259" t="str">
        <f>VLOOKUP($A259,Table1[#This Row],COLUMN(V258), FALSE)</f>
        <v>ES</v>
      </c>
      <c r="W259">
        <f>VLOOKUP($A259,Table1[#This Row],COLUMN(W258), FALSE)</f>
        <v>2013</v>
      </c>
      <c r="X259" t="str">
        <f>VLOOKUP($A259,Table1[#This Row],COLUMN(X258), FALSE)</f>
        <v>BT11391539</v>
      </c>
      <c r="Y259">
        <f>VLOOKUP($A259,Table1[#This Row],COLUMN(Y258), FALSE)</f>
        <v>41625</v>
      </c>
      <c r="Z259" t="str">
        <f>VLOOKUP($A259,Table1[#This Row],COLUMN(Z258), FALSE)</f>
        <v>ES-2013-BT11391539-41625</v>
      </c>
      <c r="AA259">
        <f>VLOOKUP($A259,Table1[#This Row],COLUMN(AA258), FALSE)</f>
        <v>2013</v>
      </c>
      <c r="AB259">
        <f>VLOOKUP($A259,Table1[#This Row],COLUMN(AB258), FALSE)</f>
        <v>12</v>
      </c>
      <c r="AC259">
        <f>VLOOKUP($A259,Table1[#This Row],COLUMN(AC258), FALSE)</f>
        <v>3</v>
      </c>
      <c r="AD259">
        <f>VLOOKUP($A259,Table1[#This Row],COLUMN(AD258), FALSE)</f>
        <v>4</v>
      </c>
    </row>
    <row r="260" spans="1:30" ht="15.75">
      <c r="A260" s="53" t="s">
        <v>1468</v>
      </c>
      <c r="B260" s="52">
        <f>VLOOKUP($A260,Table1[#This Row],COLUMN(B259), FALSE)</f>
        <v>42140</v>
      </c>
      <c r="C260" s="52">
        <f>VLOOKUP($A260,Table1[#This Row],COLUMN(C259), FALSE)</f>
        <v>42140</v>
      </c>
      <c r="D260" t="str">
        <f>VLOOKUP($A260,Table1[#This Row],COLUMN(D259), FALSE)</f>
        <v>Mitch Gastineau</v>
      </c>
      <c r="E260" t="str">
        <f>VLOOKUP($A260,Table1[#This Row],COLUMN(E259), FALSE)</f>
        <v>Brazil</v>
      </c>
      <c r="F260" t="str">
        <f>VLOOKUP($A260,Table1[#This Row],COLUMN(F259), FALSE)</f>
        <v>South America</v>
      </c>
      <c r="G260" t="str">
        <f>VLOOKUP($A260,Table1[#This Row],COLUMN(G259), FALSE)</f>
        <v>Furniture</v>
      </c>
      <c r="H260" t="str">
        <f>VLOOKUP($A260,Table1[#This Row],COLUMN(H259), FALSE)</f>
        <v>Bookcases</v>
      </c>
      <c r="I260">
        <f>VLOOKUP($A260,Table1[#This Row],COLUMN(I259), FALSE)</f>
        <v>875.22</v>
      </c>
      <c r="J260">
        <f>VLOOKUP($A260,Table1[#This Row],COLUMN(J259), FALSE)</f>
        <v>3</v>
      </c>
      <c r="K260">
        <f>VLOOKUP($A260,Table1[#This Row],COLUMN(K259), FALSE)</f>
        <v>0</v>
      </c>
      <c r="L260">
        <f>VLOOKUP($A260,Table1[#This Row],COLUMN(L259), FALSE)</f>
        <v>139.97999999999999</v>
      </c>
      <c r="M260" t="str">
        <f>VLOOKUP($A260,Table1[#This Row],COLUMN(M259), FALSE)</f>
        <v>High</v>
      </c>
      <c r="N260" t="str">
        <f>VLOOKUP($A260,Table1[#This Row],COLUMN(N259), FALSE)</f>
        <v>Normal Order</v>
      </c>
      <c r="O260" t="str">
        <f>VLOOKUP($A260,Table1[#This Row],COLUMN(O259), FALSE)</f>
        <v>Mitch Gastineau</v>
      </c>
      <c r="P260" t="str">
        <f>VLOOKUP($A260,Table1[#This Row],COLUMN(P259), FALSE)</f>
        <v>MX</v>
      </c>
      <c r="Q260" t="str">
        <f>VLOOKUP($A260,Table1[#This Row],COLUMN(Q259), FALSE)</f>
        <v>2015</v>
      </c>
      <c r="R260" t="str">
        <f>VLOOKUP($A260,Table1[#This Row],COLUMN(R259), FALSE)</f>
        <v>HIGH</v>
      </c>
      <c r="S260" t="str">
        <f>VLOOKUP($A260,Table1[#This Row],COLUMN(S259), FALSE)</f>
        <v>furniture</v>
      </c>
      <c r="T260" t="str">
        <f>VLOOKUP($A260,Table1[#This Row],COLUMN(T259), FALSE)</f>
        <v>42140</v>
      </c>
      <c r="U260" t="str">
        <f>VLOOKUP($A260,Table1[#This Row],COLUMN(U259), FALSE)</f>
        <v>MG1820518</v>
      </c>
      <c r="V260" t="str">
        <f>VLOOKUP($A260,Table1[#This Row],COLUMN(V259), FALSE)</f>
        <v>MX</v>
      </c>
      <c r="W260">
        <f>VLOOKUP($A260,Table1[#This Row],COLUMN(W259), FALSE)</f>
        <v>2015</v>
      </c>
      <c r="X260" t="str">
        <f>VLOOKUP($A260,Table1[#This Row],COLUMN(X259), FALSE)</f>
        <v>MG1820518</v>
      </c>
      <c r="Y260">
        <f>VLOOKUP($A260,Table1[#This Row],COLUMN(Y259), FALSE)</f>
        <v>42140</v>
      </c>
      <c r="Z260" t="str">
        <f>VLOOKUP($A260,Table1[#This Row],COLUMN(Z259), FALSE)</f>
        <v>MX-2015-MG1820518-42140</v>
      </c>
      <c r="AA260">
        <f>VLOOKUP($A260,Table1[#This Row],COLUMN(AA259), FALSE)</f>
        <v>2015</v>
      </c>
      <c r="AB260">
        <f>VLOOKUP($A260,Table1[#This Row],COLUMN(AB259), FALSE)</f>
        <v>5</v>
      </c>
      <c r="AC260">
        <f>VLOOKUP($A260,Table1[#This Row],COLUMN(AC259), FALSE)</f>
        <v>7</v>
      </c>
      <c r="AD260">
        <f>VLOOKUP($A260,Table1[#This Row],COLUMN(AD259), FALSE)</f>
        <v>0</v>
      </c>
    </row>
    <row r="261" spans="1:30" ht="15.75">
      <c r="A261" s="54" t="s">
        <v>1480</v>
      </c>
      <c r="B261" s="52">
        <f>VLOOKUP($A261,Table1[#This Row],COLUMN(B260), FALSE)</f>
        <v>41459</v>
      </c>
      <c r="C261" s="52">
        <f>VLOOKUP($A261,Table1[#This Row],COLUMN(C260), FALSE)</f>
        <v>41463</v>
      </c>
      <c r="D261" t="str">
        <f>VLOOKUP($A261,Table1[#This Row],COLUMN(D260), FALSE)</f>
        <v>Alan Dominguez</v>
      </c>
      <c r="E261" t="str">
        <f>VLOOKUP($A261,Table1[#This Row],COLUMN(E260), FALSE)</f>
        <v>United States</v>
      </c>
      <c r="F261" t="str">
        <f>VLOOKUP($A261,Table1[#This Row],COLUMN(F260), FALSE)</f>
        <v>Eastern US</v>
      </c>
      <c r="G261" t="str">
        <f>VLOOKUP($A261,Table1[#This Row],COLUMN(G260), FALSE)</f>
        <v>Office Supplies</v>
      </c>
      <c r="H261" t="str">
        <f>VLOOKUP($A261,Table1[#This Row],COLUMN(H260), FALSE)</f>
        <v>Bookcases</v>
      </c>
      <c r="I261">
        <f>VLOOKUP($A261,Table1[#This Row],COLUMN(I260), FALSE)</f>
        <v>15.48</v>
      </c>
      <c r="J261">
        <f>VLOOKUP($A261,Table1[#This Row],COLUMN(J260), FALSE)</f>
        <v>3</v>
      </c>
      <c r="K261">
        <f>VLOOKUP($A261,Table1[#This Row],COLUMN(K260), FALSE)</f>
        <v>0</v>
      </c>
      <c r="L261">
        <f>VLOOKUP($A261,Table1[#This Row],COLUMN(L260), FALSE)</f>
        <v>4.4891999999999896</v>
      </c>
      <c r="M261" t="str">
        <f>VLOOKUP($A261,Table1[#This Row],COLUMN(M260), FALSE)</f>
        <v>Medium</v>
      </c>
      <c r="N261" t="str">
        <f>VLOOKUP($A261,Table1[#This Row],COLUMN(N260), FALSE)</f>
        <v>Normal Order</v>
      </c>
      <c r="O261" t="str">
        <f>VLOOKUP($A261,Table1[#This Row],COLUMN(O260), FALSE)</f>
        <v>Alan Dominguez</v>
      </c>
      <c r="P261" t="str">
        <f>VLOOKUP($A261,Table1[#This Row],COLUMN(P260), FALSE)</f>
        <v>CA</v>
      </c>
      <c r="Q261" t="str">
        <f>VLOOKUP($A261,Table1[#This Row],COLUMN(Q260), FALSE)</f>
        <v>2013</v>
      </c>
      <c r="R261" t="str">
        <f>VLOOKUP($A261,Table1[#This Row],COLUMN(R260), FALSE)</f>
        <v>MEDIUM</v>
      </c>
      <c r="S261" t="str">
        <f>VLOOKUP($A261,Table1[#This Row],COLUMN(S260), FALSE)</f>
        <v>office supplies</v>
      </c>
      <c r="T261" t="str">
        <f>VLOOKUP($A261,Table1[#This Row],COLUMN(T260), FALSE)</f>
        <v>41459</v>
      </c>
      <c r="U261" t="str">
        <f>VLOOKUP($A261,Table1[#This Row],COLUMN(U260), FALSE)</f>
        <v>AD10180140</v>
      </c>
      <c r="V261" t="str">
        <f>VLOOKUP($A261,Table1[#This Row],COLUMN(V260), FALSE)</f>
        <v>CA</v>
      </c>
      <c r="W261">
        <f>VLOOKUP($A261,Table1[#This Row],COLUMN(W260), FALSE)</f>
        <v>2013</v>
      </c>
      <c r="X261" t="str">
        <f>VLOOKUP($A261,Table1[#This Row],COLUMN(X260), FALSE)</f>
        <v>AD10180140</v>
      </c>
      <c r="Y261">
        <f>VLOOKUP($A261,Table1[#This Row],COLUMN(Y260), FALSE)</f>
        <v>41459</v>
      </c>
      <c r="Z261" t="str">
        <f>VLOOKUP($A261,Table1[#This Row],COLUMN(Z260), FALSE)</f>
        <v>CA-2013-AD10180140-41459</v>
      </c>
      <c r="AA261">
        <f>VLOOKUP($A261,Table1[#This Row],COLUMN(AA260), FALSE)</f>
        <v>2013</v>
      </c>
      <c r="AB261">
        <f>VLOOKUP($A261,Table1[#This Row],COLUMN(AB260), FALSE)</f>
        <v>7</v>
      </c>
      <c r="AC261">
        <f>VLOOKUP($A261,Table1[#This Row],COLUMN(AC260), FALSE)</f>
        <v>5</v>
      </c>
      <c r="AD261">
        <f>VLOOKUP($A261,Table1[#This Row],COLUMN(AD260), FALSE)</f>
        <v>4</v>
      </c>
    </row>
    <row r="262" spans="1:30" ht="15.75">
      <c r="A262" s="53" t="s">
        <v>1481</v>
      </c>
      <c r="B262" s="52">
        <f>VLOOKUP($A262,Table1[#This Row],COLUMN(B261), FALSE)</f>
        <v>41584</v>
      </c>
      <c r="C262" s="52">
        <f>VLOOKUP($A262,Table1[#This Row],COLUMN(C261), FALSE)</f>
        <v>41586</v>
      </c>
      <c r="D262" t="str">
        <f>VLOOKUP($A262,Table1[#This Row],COLUMN(D261), FALSE)</f>
        <v>Natalie Webber</v>
      </c>
      <c r="E262" t="str">
        <f>VLOOKUP($A262,Table1[#This Row],COLUMN(E261), FALSE)</f>
        <v>Mexico</v>
      </c>
      <c r="F262" t="str">
        <f>VLOOKUP($A262,Table1[#This Row],COLUMN(F261), FALSE)</f>
        <v>Central America</v>
      </c>
      <c r="G262" t="str">
        <f>VLOOKUP($A262,Table1[#This Row],COLUMN(G261), FALSE)</f>
        <v>Technology</v>
      </c>
      <c r="H262" t="str">
        <f>VLOOKUP($A262,Table1[#This Row],COLUMN(H261), FALSE)</f>
        <v>Copiers</v>
      </c>
      <c r="I262">
        <f>VLOOKUP($A262,Table1[#This Row],COLUMN(I261), FALSE)</f>
        <v>1003.34928</v>
      </c>
      <c r="J262">
        <f>VLOOKUP($A262,Table1[#This Row],COLUMN(J261), FALSE)</f>
        <v>4</v>
      </c>
      <c r="K262">
        <f>VLOOKUP($A262,Table1[#This Row],COLUMN(K261), FALSE)</f>
        <v>2E-3</v>
      </c>
      <c r="L262">
        <f>VLOOKUP($A262,Table1[#This Row],COLUMN(L261), FALSE)</f>
        <v>178.94927999999999</v>
      </c>
      <c r="M262" t="str">
        <f>VLOOKUP($A262,Table1[#This Row],COLUMN(M261), FALSE)</f>
        <v>Critiacl</v>
      </c>
      <c r="N262" t="str">
        <f>VLOOKUP($A262,Table1[#This Row],COLUMN(N261), FALSE)</f>
        <v>Normal Order</v>
      </c>
      <c r="O262" t="str">
        <f>VLOOKUP($A262,Table1[#This Row],COLUMN(O261), FALSE)</f>
        <v>Natalie Webber</v>
      </c>
      <c r="P262" t="str">
        <f>VLOOKUP($A262,Table1[#This Row],COLUMN(P261), FALSE)</f>
        <v>MX</v>
      </c>
      <c r="Q262" t="str">
        <f>VLOOKUP($A262,Table1[#This Row],COLUMN(Q261), FALSE)</f>
        <v>2013</v>
      </c>
      <c r="R262" t="str">
        <f>VLOOKUP($A262,Table1[#This Row],COLUMN(R261), FALSE)</f>
        <v>CRITIACL</v>
      </c>
      <c r="S262" t="str">
        <f>VLOOKUP($A262,Table1[#This Row],COLUMN(S261), FALSE)</f>
        <v>technology</v>
      </c>
      <c r="T262" t="str">
        <f>VLOOKUP($A262,Table1[#This Row],COLUMN(T261), FALSE)</f>
        <v>41584</v>
      </c>
      <c r="U262" t="str">
        <f>VLOOKUP($A262,Table1[#This Row],COLUMN(U261), FALSE)</f>
        <v>NW1840082</v>
      </c>
      <c r="V262" t="str">
        <f>VLOOKUP($A262,Table1[#This Row],COLUMN(V261), FALSE)</f>
        <v>MX</v>
      </c>
      <c r="W262">
        <f>VLOOKUP($A262,Table1[#This Row],COLUMN(W261), FALSE)</f>
        <v>2013</v>
      </c>
      <c r="X262" t="str">
        <f>VLOOKUP($A262,Table1[#This Row],COLUMN(X261), FALSE)</f>
        <v>NW1840082</v>
      </c>
      <c r="Y262">
        <f>VLOOKUP($A262,Table1[#This Row],COLUMN(Y261), FALSE)</f>
        <v>41584</v>
      </c>
      <c r="Z262" t="str">
        <f>VLOOKUP($A262,Table1[#This Row],COLUMN(Z261), FALSE)</f>
        <v>MX-2013-NW1840082-41584</v>
      </c>
      <c r="AA262">
        <f>VLOOKUP($A262,Table1[#This Row],COLUMN(AA261), FALSE)</f>
        <v>2013</v>
      </c>
      <c r="AB262">
        <f>VLOOKUP($A262,Table1[#This Row],COLUMN(AB261), FALSE)</f>
        <v>11</v>
      </c>
      <c r="AC262">
        <f>VLOOKUP($A262,Table1[#This Row],COLUMN(AC261), FALSE)</f>
        <v>4</v>
      </c>
      <c r="AD262">
        <f>VLOOKUP($A262,Table1[#This Row],COLUMN(AD261), FALSE)</f>
        <v>2</v>
      </c>
    </row>
    <row r="263" spans="1:30" ht="15.75">
      <c r="A263" s="54" t="s">
        <v>1487</v>
      </c>
      <c r="B263" s="52">
        <f>VLOOKUP($A263,Table1[#This Row],COLUMN(B262), FALSE)</f>
        <v>41992</v>
      </c>
      <c r="C263" s="52">
        <f>VLOOKUP($A263,Table1[#This Row],COLUMN(C262), FALSE)</f>
        <v>41994</v>
      </c>
      <c r="D263" t="str">
        <f>VLOOKUP($A263,Table1[#This Row],COLUMN(D262), FALSE)</f>
        <v>Alan Haines</v>
      </c>
      <c r="E263" t="str">
        <f>VLOOKUP($A263,Table1[#This Row],COLUMN(E262), FALSE)</f>
        <v>United States</v>
      </c>
      <c r="F263" t="str">
        <f>VLOOKUP($A263,Table1[#This Row],COLUMN(F262), FALSE)</f>
        <v>Southern US</v>
      </c>
      <c r="G263" t="str">
        <f>VLOOKUP($A263,Table1[#This Row],COLUMN(G262), FALSE)</f>
        <v>Office Supplies</v>
      </c>
      <c r="H263" t="str">
        <f>VLOOKUP($A263,Table1[#This Row],COLUMN(H262), FALSE)</f>
        <v>Storage</v>
      </c>
      <c r="I263">
        <f>VLOOKUP($A263,Table1[#This Row],COLUMN(I262), FALSE)</f>
        <v>961.48</v>
      </c>
      <c r="J263">
        <f>VLOOKUP($A263,Table1[#This Row],COLUMN(J262), FALSE)</f>
        <v>5</v>
      </c>
      <c r="K263">
        <f>VLOOKUP($A263,Table1[#This Row],COLUMN(K262), FALSE)</f>
        <v>0.2</v>
      </c>
      <c r="L263">
        <f>VLOOKUP($A263,Table1[#This Row],COLUMN(L262), FALSE)</f>
        <v>-204.31449999999899</v>
      </c>
      <c r="M263" t="str">
        <f>VLOOKUP($A263,Table1[#This Row],COLUMN(M262), FALSE)</f>
        <v>Medium</v>
      </c>
      <c r="N263" t="str">
        <f>VLOOKUP($A263,Table1[#This Row],COLUMN(N262), FALSE)</f>
        <v>Normal Order</v>
      </c>
      <c r="O263" t="str">
        <f>VLOOKUP($A263,Table1[#This Row],COLUMN(O262), FALSE)</f>
        <v>Alan Haines</v>
      </c>
      <c r="P263" t="str">
        <f>VLOOKUP($A263,Table1[#This Row],COLUMN(P262), FALSE)</f>
        <v>CA</v>
      </c>
      <c r="Q263" t="str">
        <f>VLOOKUP($A263,Table1[#This Row],COLUMN(Q262), FALSE)</f>
        <v>2014</v>
      </c>
      <c r="R263" t="str">
        <f>VLOOKUP($A263,Table1[#This Row],COLUMN(R262), FALSE)</f>
        <v>MEDIUM</v>
      </c>
      <c r="S263" t="str">
        <f>VLOOKUP($A263,Table1[#This Row],COLUMN(S262), FALSE)</f>
        <v>office supplies</v>
      </c>
      <c r="T263" t="str">
        <f>VLOOKUP($A263,Table1[#This Row],COLUMN(T262), FALSE)</f>
        <v>41992</v>
      </c>
      <c r="U263" t="str">
        <f>VLOOKUP($A263,Table1[#This Row],COLUMN(U262), FALSE)</f>
        <v>AH10195140</v>
      </c>
      <c r="V263" t="str">
        <f>VLOOKUP($A263,Table1[#This Row],COLUMN(V262), FALSE)</f>
        <v>CA</v>
      </c>
      <c r="W263">
        <f>VLOOKUP($A263,Table1[#This Row],COLUMN(W262), FALSE)</f>
        <v>2014</v>
      </c>
      <c r="X263" t="str">
        <f>VLOOKUP($A263,Table1[#This Row],COLUMN(X262), FALSE)</f>
        <v>AH10195140</v>
      </c>
      <c r="Y263">
        <f>VLOOKUP($A263,Table1[#This Row],COLUMN(Y262), FALSE)</f>
        <v>41992</v>
      </c>
      <c r="Z263" t="str">
        <f>VLOOKUP($A263,Table1[#This Row],COLUMN(Z262), FALSE)</f>
        <v>CA-2014-AH10195140-41992</v>
      </c>
      <c r="AA263">
        <f>VLOOKUP($A263,Table1[#This Row],COLUMN(AA262), FALSE)</f>
        <v>2014</v>
      </c>
      <c r="AB263">
        <f>VLOOKUP($A263,Table1[#This Row],COLUMN(AB262), FALSE)</f>
        <v>12</v>
      </c>
      <c r="AC263">
        <f>VLOOKUP($A263,Table1[#This Row],COLUMN(AC262), FALSE)</f>
        <v>6</v>
      </c>
      <c r="AD263">
        <f>VLOOKUP($A263,Table1[#This Row],COLUMN(AD262), FALSE)</f>
        <v>2</v>
      </c>
    </row>
    <row r="264" spans="1:30" ht="15.75">
      <c r="A264" s="53" t="s">
        <v>1489</v>
      </c>
      <c r="B264" s="52">
        <f>VLOOKUP($A264,Table1[#This Row],COLUMN(B263), FALSE)</f>
        <v>42249</v>
      </c>
      <c r="C264" s="52">
        <f>VLOOKUP($A264,Table1[#This Row],COLUMN(C263), FALSE)</f>
        <v>42251</v>
      </c>
      <c r="D264" t="str">
        <f>VLOOKUP($A264,Table1[#This Row],COLUMN(D263), FALSE)</f>
        <v>Alejandro Grove#</v>
      </c>
      <c r="E264" t="str">
        <f>VLOOKUP($A264,Table1[#This Row],COLUMN(E263), FALSE)</f>
        <v>Czech Republic</v>
      </c>
      <c r="F264" t="str">
        <f>VLOOKUP($A264,Table1[#This Row],COLUMN(F263), FALSE)</f>
        <v>Eastern Europe</v>
      </c>
      <c r="G264" t="str">
        <f>VLOOKUP($A264,Table1[#This Row],COLUMN(G263), FALSE)</f>
        <v>Furniture</v>
      </c>
      <c r="H264" t="str">
        <f>VLOOKUP($A264,Table1[#This Row],COLUMN(H263), FALSE)</f>
        <v>Copiers</v>
      </c>
      <c r="I264">
        <f>VLOOKUP($A264,Table1[#This Row],COLUMN(I263), FALSE)</f>
        <v>457.13999999999902</v>
      </c>
      <c r="J264">
        <f>VLOOKUP($A264,Table1[#This Row],COLUMN(J263), FALSE)</f>
        <v>1</v>
      </c>
      <c r="K264">
        <f>VLOOKUP($A264,Table1[#This Row],COLUMN(K263), FALSE)</f>
        <v>0</v>
      </c>
      <c r="L264">
        <f>VLOOKUP($A264,Table1[#This Row],COLUMN(L263), FALSE)</f>
        <v>169.14</v>
      </c>
      <c r="M264" t="str">
        <f>VLOOKUP($A264,Table1[#This Row],COLUMN(M263), FALSE)</f>
        <v>Critical</v>
      </c>
      <c r="N264" t="str">
        <f>VLOOKUP($A264,Table1[#This Row],COLUMN(N263), FALSE)</f>
        <v>Normal Order</v>
      </c>
      <c r="O264" t="str">
        <f>VLOOKUP($A264,Table1[#This Row],COLUMN(O263), FALSE)</f>
        <v>Alejandro Grove#</v>
      </c>
      <c r="P264" t="str">
        <f>VLOOKUP($A264,Table1[#This Row],COLUMN(P263), FALSE)</f>
        <v>EZ</v>
      </c>
      <c r="Q264" t="str">
        <f>VLOOKUP($A264,Table1[#This Row],COLUMN(Q263), FALSE)</f>
        <v>2015</v>
      </c>
      <c r="R264" t="str">
        <f>VLOOKUP($A264,Table1[#This Row],COLUMN(R263), FALSE)</f>
        <v>CRITICAL</v>
      </c>
      <c r="S264" t="str">
        <f>VLOOKUP($A264,Table1[#This Row],COLUMN(S263), FALSE)</f>
        <v>furniture</v>
      </c>
      <c r="T264" t="str">
        <f>VLOOKUP($A264,Table1[#This Row],COLUMN(T263), FALSE)</f>
        <v>42249</v>
      </c>
      <c r="U264" t="str">
        <f>VLOOKUP($A264,Table1[#This Row],COLUMN(U263), FALSE)</f>
        <v>AG27032</v>
      </c>
      <c r="V264" t="str">
        <f>VLOOKUP($A264,Table1[#This Row],COLUMN(V263), FALSE)</f>
        <v>EZ</v>
      </c>
      <c r="W264">
        <f>VLOOKUP($A264,Table1[#This Row],COLUMN(W263), FALSE)</f>
        <v>2015</v>
      </c>
      <c r="X264" t="str">
        <f>VLOOKUP($A264,Table1[#This Row],COLUMN(X263), FALSE)</f>
        <v>AG27032</v>
      </c>
      <c r="Y264">
        <f>VLOOKUP($A264,Table1[#This Row],COLUMN(Y263), FALSE)</f>
        <v>42249</v>
      </c>
      <c r="Z264" t="str">
        <f>VLOOKUP($A264,Table1[#This Row],COLUMN(Z263), FALSE)</f>
        <v>EZ-2015-AG27032-42249</v>
      </c>
      <c r="AA264">
        <f>VLOOKUP($A264,Table1[#This Row],COLUMN(AA263), FALSE)</f>
        <v>2015</v>
      </c>
      <c r="AB264">
        <f>VLOOKUP($A264,Table1[#This Row],COLUMN(AB263), FALSE)</f>
        <v>9</v>
      </c>
      <c r="AC264">
        <f>VLOOKUP($A264,Table1[#This Row],COLUMN(AC263), FALSE)</f>
        <v>4</v>
      </c>
      <c r="AD264">
        <f>VLOOKUP($A264,Table1[#This Row],COLUMN(AD263), FALSE)</f>
        <v>2</v>
      </c>
    </row>
    <row r="265" spans="1:30" ht="15.75">
      <c r="A265" s="54" t="s">
        <v>1495</v>
      </c>
      <c r="B265" s="52">
        <f>VLOOKUP($A265,Table1[#This Row],COLUMN(B264), FALSE)</f>
        <v>42271</v>
      </c>
      <c r="C265" s="52">
        <f>VLOOKUP($A265,Table1[#This Row],COLUMN(C264), FALSE)</f>
        <v>42273</v>
      </c>
      <c r="D265" t="str">
        <f>VLOOKUP($A265,Table1[#This Row],COLUMN(D264), FALSE)</f>
        <v>Filia McAdams</v>
      </c>
      <c r="E265" t="str">
        <f>VLOOKUP($A265,Table1[#This Row],COLUMN(E264), FALSE)</f>
        <v>france</v>
      </c>
      <c r="F265" t="str">
        <f>VLOOKUP($A265,Table1[#This Row],COLUMN(F264), FALSE)</f>
        <v>Western Europe</v>
      </c>
      <c r="G265" t="str">
        <f>VLOOKUP($A265,Table1[#This Row],COLUMN(G264), FALSE)</f>
        <v>Office Supplies</v>
      </c>
      <c r="H265" t="str">
        <f>VLOOKUP($A265,Table1[#This Row],COLUMN(H264), FALSE)</f>
        <v>Machines</v>
      </c>
      <c r="I265">
        <f>VLOOKUP($A265,Table1[#This Row],COLUMN(I264), FALSE)</f>
        <v>1355.13</v>
      </c>
      <c r="J265">
        <f>VLOOKUP($A265,Table1[#This Row],COLUMN(J264), FALSE)</f>
        <v>5</v>
      </c>
      <c r="K265">
        <f>VLOOKUP($A265,Table1[#This Row],COLUMN(K264), FALSE)</f>
        <v>0.1</v>
      </c>
      <c r="L265">
        <f>VLOOKUP($A265,Table1[#This Row],COLUMN(L264), FALSE)</f>
        <v>-60.269999999999897</v>
      </c>
      <c r="M265" t="str">
        <f>VLOOKUP($A265,Table1[#This Row],COLUMN(M264), FALSE)</f>
        <v>High</v>
      </c>
      <c r="N265" t="str">
        <f>VLOOKUP($A265,Table1[#This Row],COLUMN(N264), FALSE)</f>
        <v>Normal Order</v>
      </c>
      <c r="O265" t="str">
        <f>VLOOKUP($A265,Table1[#This Row],COLUMN(O264), FALSE)</f>
        <v>Filia Mcadams</v>
      </c>
      <c r="P265" t="str">
        <f>VLOOKUP($A265,Table1[#This Row],COLUMN(P264), FALSE)</f>
        <v>IT</v>
      </c>
      <c r="Q265" t="str">
        <f>VLOOKUP($A265,Table1[#This Row],COLUMN(Q264), FALSE)</f>
        <v>2015</v>
      </c>
      <c r="R265" t="str">
        <f>VLOOKUP($A265,Table1[#This Row],COLUMN(R264), FALSE)</f>
        <v>HIGH</v>
      </c>
      <c r="S265" t="str">
        <f>VLOOKUP($A265,Table1[#This Row],COLUMN(S264), FALSE)</f>
        <v>office supplies</v>
      </c>
      <c r="T265" t="str">
        <f>VLOOKUP($A265,Table1[#This Row],COLUMN(T264), FALSE)</f>
        <v>42271</v>
      </c>
      <c r="U265" t="str">
        <f>VLOOKUP($A265,Table1[#This Row],COLUMN(U264), FALSE)</f>
        <v>FM1421545</v>
      </c>
      <c r="V265" t="str">
        <f>VLOOKUP($A265,Table1[#This Row],COLUMN(V264), FALSE)</f>
        <v>IT</v>
      </c>
      <c r="W265">
        <f>VLOOKUP($A265,Table1[#This Row],COLUMN(W264), FALSE)</f>
        <v>2015</v>
      </c>
      <c r="X265" t="str">
        <f>VLOOKUP($A265,Table1[#This Row],COLUMN(X264), FALSE)</f>
        <v>FM1421545</v>
      </c>
      <c r="Y265">
        <f>VLOOKUP($A265,Table1[#This Row],COLUMN(Y264), FALSE)</f>
        <v>42271</v>
      </c>
      <c r="Z265" t="str">
        <f>VLOOKUP($A265,Table1[#This Row],COLUMN(Z264), FALSE)</f>
        <v>IT-2015-FM1421545-42271</v>
      </c>
      <c r="AA265">
        <f>VLOOKUP($A265,Table1[#This Row],COLUMN(AA264), FALSE)</f>
        <v>2015</v>
      </c>
      <c r="AB265">
        <f>VLOOKUP($A265,Table1[#This Row],COLUMN(AB264), FALSE)</f>
        <v>9</v>
      </c>
      <c r="AC265">
        <f>VLOOKUP($A265,Table1[#This Row],COLUMN(AC264), FALSE)</f>
        <v>5</v>
      </c>
      <c r="AD265">
        <f>VLOOKUP($A265,Table1[#This Row],COLUMN(AD264), FALSE)</f>
        <v>2</v>
      </c>
    </row>
    <row r="266" spans="1:30" ht="15.75">
      <c r="A266" s="53" t="s">
        <v>1487</v>
      </c>
      <c r="B266" s="52">
        <f>VLOOKUP($A266,Table1[#This Row],COLUMN(B265), FALSE)</f>
        <v>41992</v>
      </c>
      <c r="C266" s="52">
        <f>VLOOKUP($A266,Table1[#This Row],COLUMN(C265), FALSE)</f>
        <v>41994</v>
      </c>
      <c r="D266" t="str">
        <f>VLOOKUP($A266,Table1[#This Row],COLUMN(D265), FALSE)</f>
        <v>Alan Haines</v>
      </c>
      <c r="E266" t="str">
        <f>VLOOKUP($A266,Table1[#This Row],COLUMN(E265), FALSE)</f>
        <v>United States</v>
      </c>
      <c r="F266" t="str">
        <f>VLOOKUP($A266,Table1[#This Row],COLUMN(F265), FALSE)</f>
        <v>Southern US</v>
      </c>
      <c r="G266" t="str">
        <f>VLOOKUP($A266,Table1[#This Row],COLUMN(G265), FALSE)</f>
        <v>Office Supplies</v>
      </c>
      <c r="H266" t="str">
        <f>VLOOKUP($A266,Table1[#This Row],COLUMN(H265), FALSE)</f>
        <v>Appliances</v>
      </c>
      <c r="I266">
        <f>VLOOKUP($A266,Table1[#This Row],COLUMN(I265), FALSE)</f>
        <v>194.52799999999999</v>
      </c>
      <c r="J266">
        <f>VLOOKUP($A266,Table1[#This Row],COLUMN(J265), FALSE)</f>
        <v>2</v>
      </c>
      <c r="K266">
        <f>VLOOKUP($A266,Table1[#This Row],COLUMN(K265), FALSE)</f>
        <v>0.2</v>
      </c>
      <c r="L266">
        <f>VLOOKUP($A266,Table1[#This Row],COLUMN(L265), FALSE)</f>
        <v>24.315999999999899</v>
      </c>
      <c r="M266" t="str">
        <f>VLOOKUP($A266,Table1[#This Row],COLUMN(M265), FALSE)</f>
        <v>Medium</v>
      </c>
      <c r="N266" t="str">
        <f>VLOOKUP($A266,Table1[#This Row],COLUMN(N265), FALSE)</f>
        <v>Normal Order</v>
      </c>
      <c r="O266" t="str">
        <f>VLOOKUP($A266,Table1[#This Row],COLUMN(O265), FALSE)</f>
        <v>Alan Haines</v>
      </c>
      <c r="P266" t="str">
        <f>VLOOKUP($A266,Table1[#This Row],COLUMN(P265), FALSE)</f>
        <v>CA</v>
      </c>
      <c r="Q266" t="str">
        <f>VLOOKUP($A266,Table1[#This Row],COLUMN(Q265), FALSE)</f>
        <v>2014</v>
      </c>
      <c r="R266" t="str">
        <f>VLOOKUP($A266,Table1[#This Row],COLUMN(R265), FALSE)</f>
        <v>MEDIUM</v>
      </c>
      <c r="S266" t="str">
        <f>VLOOKUP($A266,Table1[#This Row],COLUMN(S265), FALSE)</f>
        <v>office supplies</v>
      </c>
      <c r="T266" t="str">
        <f>VLOOKUP($A266,Table1[#This Row],COLUMN(T265), FALSE)</f>
        <v>41992</v>
      </c>
      <c r="U266" t="str">
        <f>VLOOKUP($A266,Table1[#This Row],COLUMN(U265), FALSE)</f>
        <v>AH10195140</v>
      </c>
      <c r="V266" t="str">
        <f>VLOOKUP($A266,Table1[#This Row],COLUMN(V265), FALSE)</f>
        <v>CA</v>
      </c>
      <c r="W266">
        <f>VLOOKUP($A266,Table1[#This Row],COLUMN(W265), FALSE)</f>
        <v>2014</v>
      </c>
      <c r="X266" t="str">
        <f>VLOOKUP($A266,Table1[#This Row],COLUMN(X265), FALSE)</f>
        <v>AH10195140</v>
      </c>
      <c r="Y266">
        <f>VLOOKUP($A266,Table1[#This Row],COLUMN(Y265), FALSE)</f>
        <v>41992</v>
      </c>
      <c r="Z266" t="str">
        <f>VLOOKUP($A266,Table1[#This Row],COLUMN(Z265), FALSE)</f>
        <v>CA-2014-AH10195140-41992</v>
      </c>
      <c r="AA266">
        <f>VLOOKUP($A266,Table1[#This Row],COLUMN(AA265), FALSE)</f>
        <v>2014</v>
      </c>
      <c r="AB266">
        <f>VLOOKUP($A266,Table1[#This Row],COLUMN(AB265), FALSE)</f>
        <v>12</v>
      </c>
      <c r="AC266">
        <f>VLOOKUP($A266,Table1[#This Row],COLUMN(AC265), FALSE)</f>
        <v>6</v>
      </c>
      <c r="AD266">
        <f>VLOOKUP($A266,Table1[#This Row],COLUMN(AD265), FALSE)</f>
        <v>2</v>
      </c>
    </row>
    <row r="267" spans="1:30" ht="15.75">
      <c r="A267" s="54" t="s">
        <v>1500</v>
      </c>
      <c r="B267" s="52" t="str">
        <f>VLOOKUP($A267,Table1[#This Row],COLUMN(B266), FALSE)</f>
        <v>32/13/2020</v>
      </c>
      <c r="C267" s="52">
        <f>VLOOKUP($A267,Table1[#This Row],COLUMN(C266), FALSE)</f>
        <v>41593</v>
      </c>
      <c r="D267" t="str">
        <f>VLOOKUP($A267,Table1[#This Row],COLUMN(D266), FALSE)</f>
        <v>Nancy Lomonaco</v>
      </c>
      <c r="E267" t="str">
        <f>VLOOKUP($A267,Table1[#This Row],COLUMN(E266), FALSE)</f>
        <v>China</v>
      </c>
      <c r="F267" t="str">
        <f>VLOOKUP($A267,Table1[#This Row],COLUMN(F266), FALSE)</f>
        <v>Eastern Asia</v>
      </c>
      <c r="G267" t="str">
        <f>VLOOKUP($A267,Table1[#This Row],COLUMN(G266), FALSE)</f>
        <v>Technology</v>
      </c>
      <c r="H267" t="str">
        <f>VLOOKUP($A267,Table1[#This Row],COLUMN(H266), FALSE)</f>
        <v>Phones</v>
      </c>
      <c r="I267">
        <f>VLOOKUP($A267,Table1[#This Row],COLUMN(I266), FALSE)</f>
        <v>2571.12</v>
      </c>
      <c r="J267">
        <f>VLOOKUP($A267,Table1[#This Row],COLUMN(J266), FALSE)</f>
        <v>4</v>
      </c>
      <c r="K267">
        <f>VLOOKUP($A267,Table1[#This Row],COLUMN(K266), FALSE)</f>
        <v>0</v>
      </c>
      <c r="L267">
        <f>VLOOKUP($A267,Table1[#This Row],COLUMN(L266), FALSE)</f>
        <v>102.84</v>
      </c>
      <c r="M267" t="str">
        <f>VLOOKUP($A267,Table1[#This Row],COLUMN(M266), FALSE)</f>
        <v>Low</v>
      </c>
      <c r="N267" t="str">
        <f>VLOOKUP($A267,Table1[#This Row],COLUMN(N266), FALSE)</f>
        <v>Normal Order</v>
      </c>
      <c r="O267" t="str">
        <f>VLOOKUP($A267,Table1[#This Row],COLUMN(O266), FALSE)</f>
        <v>Nancy Lomonaco</v>
      </c>
      <c r="P267" t="str">
        <f>VLOOKUP($A267,Table1[#This Row],COLUMN(P266), FALSE)</f>
        <v>IN</v>
      </c>
      <c r="Q267" t="str">
        <f>VLOOKUP($A267,Table1[#This Row],COLUMN(Q266), FALSE)</f>
        <v>2013</v>
      </c>
      <c r="R267" t="str">
        <f>VLOOKUP($A267,Table1[#This Row],COLUMN(R266), FALSE)</f>
        <v>LOW</v>
      </c>
      <c r="S267" t="str">
        <f>VLOOKUP($A267,Table1[#This Row],COLUMN(S266), FALSE)</f>
        <v>technology</v>
      </c>
      <c r="T267" t="str">
        <f>VLOOKUP($A267,Table1[#This Row],COLUMN(T266), FALSE)</f>
        <v>41586</v>
      </c>
      <c r="U267" t="str">
        <f>VLOOKUP($A267,Table1[#This Row],COLUMN(U266), FALSE)</f>
        <v>NL1831027</v>
      </c>
      <c r="V267" t="str">
        <f>VLOOKUP($A267,Table1[#This Row],COLUMN(V266), FALSE)</f>
        <v>IN</v>
      </c>
      <c r="W267">
        <f>VLOOKUP($A267,Table1[#This Row],COLUMN(W266), FALSE)</f>
        <v>2013</v>
      </c>
      <c r="X267" t="str">
        <f>VLOOKUP($A267,Table1[#This Row],COLUMN(X266), FALSE)</f>
        <v>NL1831027</v>
      </c>
      <c r="Y267">
        <f>VLOOKUP($A267,Table1[#This Row],COLUMN(Y266), FALSE)</f>
        <v>41586</v>
      </c>
      <c r="Z267" t="str">
        <f>VLOOKUP($A267,Table1[#This Row],COLUMN(Z266), FALSE)</f>
        <v>IN-2013-NL1831027-41586</v>
      </c>
      <c r="AA267">
        <f>VLOOKUP($A267,Table1[#This Row],COLUMN(AA266), FALSE)</f>
        <v>0</v>
      </c>
      <c r="AB267">
        <f>VLOOKUP($A267,Table1[#This Row],COLUMN(AB266), FALSE)</f>
        <v>0</v>
      </c>
      <c r="AC267">
        <f>VLOOKUP($A267,Table1[#This Row],COLUMN(AC266), FALSE)</f>
        <v>0</v>
      </c>
      <c r="AD267">
        <f>VLOOKUP($A267,Table1[#This Row],COLUMN(AD266), FALSE)</f>
        <v>0</v>
      </c>
    </row>
    <row r="268" spans="1:30" ht="15.75">
      <c r="A268" s="53" t="s">
        <v>1498</v>
      </c>
      <c r="B268" s="52">
        <f>VLOOKUP($A268,Table1[#This Row],COLUMN(B267), FALSE)</f>
        <v>41338</v>
      </c>
      <c r="C268" s="52">
        <f>VLOOKUP($A268,Table1[#This Row],COLUMN(C267), FALSE)</f>
        <v>41340</v>
      </c>
      <c r="D268" t="str">
        <f>VLOOKUP($A268,Table1[#This Row],COLUMN(D267), FALSE)</f>
        <v>Alan Haines</v>
      </c>
      <c r="E268" t="str">
        <f>VLOOKUP($A268,Table1[#This Row],COLUMN(E267), FALSE)</f>
        <v>United States</v>
      </c>
      <c r="F268" t="str">
        <f>VLOOKUP($A268,Table1[#This Row],COLUMN(F267), FALSE)</f>
        <v>Eastern US</v>
      </c>
      <c r="G268" t="str">
        <f>VLOOKUP($A268,Table1[#This Row],COLUMN(G267), FALSE)</f>
        <v>Furniture</v>
      </c>
      <c r="H268" t="str">
        <f>VLOOKUP($A268,Table1[#This Row],COLUMN(H267), FALSE)</f>
        <v>Phones</v>
      </c>
      <c r="I268">
        <f>VLOOKUP($A268,Table1[#This Row],COLUMN(I267), FALSE)</f>
        <v>33.567999999999998</v>
      </c>
      <c r="J268">
        <f>VLOOKUP($A268,Table1[#This Row],COLUMN(J267), FALSE)</f>
        <v>2</v>
      </c>
      <c r="K268">
        <f>VLOOKUP($A268,Table1[#This Row],COLUMN(K267), FALSE)</f>
        <v>0.2</v>
      </c>
      <c r="L268">
        <f>VLOOKUP($A268,Table1[#This Row],COLUMN(L267), FALSE)</f>
        <v>-5.4547999999999996</v>
      </c>
      <c r="M268" t="str">
        <f>VLOOKUP($A268,Table1[#This Row],COLUMN(M267), FALSE)</f>
        <v>High</v>
      </c>
      <c r="N268" t="str">
        <f>VLOOKUP($A268,Table1[#This Row],COLUMN(N267), FALSE)</f>
        <v>Normal Order</v>
      </c>
      <c r="O268" t="str">
        <f>VLOOKUP($A268,Table1[#This Row],COLUMN(O267), FALSE)</f>
        <v>Alan Haines</v>
      </c>
      <c r="P268" t="str">
        <f>VLOOKUP($A268,Table1[#This Row],COLUMN(P267), FALSE)</f>
        <v>CA</v>
      </c>
      <c r="Q268" t="str">
        <f>VLOOKUP($A268,Table1[#This Row],COLUMN(Q267), FALSE)</f>
        <v>2013</v>
      </c>
      <c r="R268" t="str">
        <f>VLOOKUP($A268,Table1[#This Row],COLUMN(R267), FALSE)</f>
        <v>HIGH</v>
      </c>
      <c r="S268" t="str">
        <f>VLOOKUP($A268,Table1[#This Row],COLUMN(S267), FALSE)</f>
        <v>furniture</v>
      </c>
      <c r="T268" t="str">
        <f>VLOOKUP($A268,Table1[#This Row],COLUMN(T267), FALSE)</f>
        <v>41338</v>
      </c>
      <c r="U268" t="str">
        <f>VLOOKUP($A268,Table1[#This Row],COLUMN(U267), FALSE)</f>
        <v>AH10195140</v>
      </c>
      <c r="V268" t="str">
        <f>VLOOKUP($A268,Table1[#This Row],COLUMN(V267), FALSE)</f>
        <v>CA</v>
      </c>
      <c r="W268">
        <f>VLOOKUP($A268,Table1[#This Row],COLUMN(W267), FALSE)</f>
        <v>2013</v>
      </c>
      <c r="X268" t="str">
        <f>VLOOKUP($A268,Table1[#This Row],COLUMN(X267), FALSE)</f>
        <v>AH10195140</v>
      </c>
      <c r="Y268">
        <f>VLOOKUP($A268,Table1[#This Row],COLUMN(Y267), FALSE)</f>
        <v>41338</v>
      </c>
      <c r="Z268" t="str">
        <f>VLOOKUP($A268,Table1[#This Row],COLUMN(Z267), FALSE)</f>
        <v>CA-2013-AH10195140-41338</v>
      </c>
      <c r="AA268">
        <f>VLOOKUP($A268,Table1[#This Row],COLUMN(AA267), FALSE)</f>
        <v>2013</v>
      </c>
      <c r="AB268">
        <f>VLOOKUP($A268,Table1[#This Row],COLUMN(AB267), FALSE)</f>
        <v>3</v>
      </c>
      <c r="AC268">
        <f>VLOOKUP($A268,Table1[#This Row],COLUMN(AC267), FALSE)</f>
        <v>3</v>
      </c>
      <c r="AD268">
        <f>VLOOKUP($A268,Table1[#This Row],COLUMN(AD267), FALSE)</f>
        <v>2</v>
      </c>
    </row>
    <row r="269" spans="1:30" ht="15.75">
      <c r="A269" s="54" t="s">
        <v>1511</v>
      </c>
      <c r="B269" s="52">
        <f>VLOOKUP($A269,Table1[#This Row],COLUMN(B268), FALSE)</f>
        <v>42314</v>
      </c>
      <c r="C269" s="52">
        <f>VLOOKUP($A269,Table1[#This Row],COLUMN(C268), FALSE)</f>
        <v>42316</v>
      </c>
      <c r="D269" t="str">
        <f>VLOOKUP($A269,Table1[#This Row],COLUMN(D268), FALSE)</f>
        <v>Alan Haines</v>
      </c>
      <c r="E269" t="str">
        <f>VLOOKUP($A269,Table1[#This Row],COLUMN(E268), FALSE)</f>
        <v>United States</v>
      </c>
      <c r="F269" t="str">
        <f>VLOOKUP($A269,Table1[#This Row],COLUMN(F268), FALSE)</f>
        <v>Central US</v>
      </c>
      <c r="G269" t="str">
        <f>VLOOKUP($A269,Table1[#This Row],COLUMN(G268), FALSE)</f>
        <v>Office Supplies</v>
      </c>
      <c r="H269" t="str">
        <f>VLOOKUP($A269,Table1[#This Row],COLUMN(H268), FALSE)</f>
        <v>Bookcases</v>
      </c>
      <c r="I269">
        <f>VLOOKUP($A269,Table1[#This Row],COLUMN(I268), FALSE)</f>
        <v>16.029999999999902</v>
      </c>
      <c r="J269">
        <f>VLOOKUP($A269,Table1[#This Row],COLUMN(J268), FALSE)</f>
        <v>5</v>
      </c>
      <c r="K269">
        <f>VLOOKUP($A269,Table1[#This Row],COLUMN(K268), FALSE)</f>
        <v>0.8</v>
      </c>
      <c r="L269">
        <f>VLOOKUP($A269,Table1[#This Row],COLUMN(L268), FALSE)</f>
        <v>-25.648</v>
      </c>
      <c r="M269" t="str">
        <f>VLOOKUP($A269,Table1[#This Row],COLUMN(M268), FALSE)</f>
        <v>Critical</v>
      </c>
      <c r="N269" t="str">
        <f>VLOOKUP($A269,Table1[#This Row],COLUMN(N268), FALSE)</f>
        <v>Normal Order</v>
      </c>
      <c r="O269" t="str">
        <f>VLOOKUP($A269,Table1[#This Row],COLUMN(O268), FALSE)</f>
        <v>Alan Haines</v>
      </c>
      <c r="P269" t="str">
        <f>VLOOKUP($A269,Table1[#This Row],COLUMN(P268), FALSE)</f>
        <v>CA</v>
      </c>
      <c r="Q269" t="str">
        <f>VLOOKUP($A269,Table1[#This Row],COLUMN(Q268), FALSE)</f>
        <v>2015</v>
      </c>
      <c r="R269" t="str">
        <f>VLOOKUP($A269,Table1[#This Row],COLUMN(R268), FALSE)</f>
        <v>CRITICAL</v>
      </c>
      <c r="S269" t="str">
        <f>VLOOKUP($A269,Table1[#This Row],COLUMN(S268), FALSE)</f>
        <v>office supplies</v>
      </c>
      <c r="T269" t="str">
        <f>VLOOKUP($A269,Table1[#This Row],COLUMN(T268), FALSE)</f>
        <v>42314</v>
      </c>
      <c r="U269" t="str">
        <f>VLOOKUP($A269,Table1[#This Row],COLUMN(U268), FALSE)</f>
        <v>AH10195140</v>
      </c>
      <c r="V269" t="str">
        <f>VLOOKUP($A269,Table1[#This Row],COLUMN(V268), FALSE)</f>
        <v>CA</v>
      </c>
      <c r="W269">
        <f>VLOOKUP($A269,Table1[#This Row],COLUMN(W268), FALSE)</f>
        <v>2015</v>
      </c>
      <c r="X269" t="str">
        <f>VLOOKUP($A269,Table1[#This Row],COLUMN(X268), FALSE)</f>
        <v>AH10195140</v>
      </c>
      <c r="Y269">
        <f>VLOOKUP($A269,Table1[#This Row],COLUMN(Y268), FALSE)</f>
        <v>42314</v>
      </c>
      <c r="Z269" t="str">
        <f>VLOOKUP($A269,Table1[#This Row],COLUMN(Z268), FALSE)</f>
        <v>CA-2015-AH10195140-42314</v>
      </c>
      <c r="AA269">
        <f>VLOOKUP($A269,Table1[#This Row],COLUMN(AA268), FALSE)</f>
        <v>2015</v>
      </c>
      <c r="AB269">
        <f>VLOOKUP($A269,Table1[#This Row],COLUMN(AB268), FALSE)</f>
        <v>11</v>
      </c>
      <c r="AC269">
        <f>VLOOKUP($A269,Table1[#This Row],COLUMN(AC268), FALSE)</f>
        <v>6</v>
      </c>
      <c r="AD269">
        <f>VLOOKUP($A269,Table1[#This Row],COLUMN(AD268), FALSE)</f>
        <v>2</v>
      </c>
    </row>
    <row r="270" spans="1:30" ht="15.75">
      <c r="A270" s="53" t="s">
        <v>1515</v>
      </c>
      <c r="B270" s="52">
        <f>VLOOKUP($A270,Table1[#This Row],COLUMN(B269), FALSE)</f>
        <v>42251</v>
      </c>
      <c r="C270" s="52">
        <f>VLOOKUP($A270,Table1[#This Row],COLUMN(C269), FALSE)</f>
        <v>42107</v>
      </c>
      <c r="D270" t="str">
        <f>VLOOKUP($A270,Table1[#This Row],COLUMN(D269), FALSE)</f>
        <v>Brian Dahlen</v>
      </c>
      <c r="E270" t="str">
        <f>VLOOKUP($A270,Table1[#This Row],COLUMN(E269), FALSE)</f>
        <v>Australia</v>
      </c>
      <c r="F270" t="str">
        <f>VLOOKUP($A270,Table1[#This Row],COLUMN(F269), FALSE)</f>
        <v>Oceania</v>
      </c>
      <c r="G270" t="str">
        <f>VLOOKUP($A270,Table1[#This Row],COLUMN(G269), FALSE)</f>
        <v>Furniture</v>
      </c>
      <c r="H270" t="str">
        <f>VLOOKUP($A270,Table1[#This Row],COLUMN(H269), FALSE)</f>
        <v>Chairs</v>
      </c>
      <c r="I270">
        <f>VLOOKUP($A270,Table1[#This Row],COLUMN(I269), FALSE)</f>
        <v>1656.71999999999</v>
      </c>
      <c r="J270">
        <f>VLOOKUP($A270,Table1[#This Row],COLUMN(J269), FALSE)</f>
        <v>4</v>
      </c>
      <c r="K270">
        <f>VLOOKUP($A270,Table1[#This Row],COLUMN(K269), FALSE)</f>
        <v>0.1</v>
      </c>
      <c r="L270">
        <f>VLOOKUP($A270,Table1[#This Row],COLUMN(L269), FALSE)</f>
        <v>-110.519999999999</v>
      </c>
      <c r="M270" t="str">
        <f>VLOOKUP($A270,Table1[#This Row],COLUMN(M269), FALSE)</f>
        <v>High</v>
      </c>
      <c r="N270" t="str">
        <f>VLOOKUP($A270,Table1[#This Row],COLUMN(N269), FALSE)</f>
        <v>Normal Order</v>
      </c>
      <c r="O270" t="str">
        <f>VLOOKUP($A270,Table1[#This Row],COLUMN(O269), FALSE)</f>
        <v>Brian Dahlen</v>
      </c>
      <c r="P270" t="str">
        <f>VLOOKUP($A270,Table1[#This Row],COLUMN(P269), FALSE)</f>
        <v>ID</v>
      </c>
      <c r="Q270" t="str">
        <f>VLOOKUP($A270,Table1[#This Row],COLUMN(Q269), FALSE)</f>
        <v>2015</v>
      </c>
      <c r="R270" t="str">
        <f>VLOOKUP($A270,Table1[#This Row],COLUMN(R269), FALSE)</f>
        <v>HIGH</v>
      </c>
      <c r="S270" t="str">
        <f>VLOOKUP($A270,Table1[#This Row],COLUMN(S269), FALSE)</f>
        <v>furniture</v>
      </c>
      <c r="T270" t="str">
        <f>VLOOKUP($A270,Table1[#This Row],COLUMN(T269), FALSE)</f>
        <v>42103</v>
      </c>
      <c r="U270" t="str">
        <f>VLOOKUP($A270,Table1[#This Row],COLUMN(U269), FALSE)</f>
        <v>BD116057</v>
      </c>
      <c r="V270" t="str">
        <f>VLOOKUP($A270,Table1[#This Row],COLUMN(V269), FALSE)</f>
        <v>ID</v>
      </c>
      <c r="W270">
        <f>VLOOKUP($A270,Table1[#This Row],COLUMN(W269), FALSE)</f>
        <v>2015</v>
      </c>
      <c r="X270" t="str">
        <f>VLOOKUP($A270,Table1[#This Row],COLUMN(X269), FALSE)</f>
        <v>BD116057</v>
      </c>
      <c r="Y270">
        <f>VLOOKUP($A270,Table1[#This Row],COLUMN(Y269), FALSE)</f>
        <v>42103</v>
      </c>
      <c r="Z270" t="str">
        <f>VLOOKUP($A270,Table1[#This Row],COLUMN(Z269), FALSE)</f>
        <v>ID-2015-BD116057-42103</v>
      </c>
      <c r="AA270">
        <f>VLOOKUP($A270,Table1[#This Row],COLUMN(AA269), FALSE)</f>
        <v>2015</v>
      </c>
      <c r="AB270">
        <f>VLOOKUP($A270,Table1[#This Row],COLUMN(AB269), FALSE)</f>
        <v>9</v>
      </c>
      <c r="AC270">
        <f>VLOOKUP($A270,Table1[#This Row],COLUMN(AC269), FALSE)</f>
        <v>6</v>
      </c>
      <c r="AD270">
        <f>VLOOKUP($A270,Table1[#This Row],COLUMN(AD269), FALSE)</f>
        <v>-144</v>
      </c>
    </row>
    <row r="271" spans="1:30" ht="15.75">
      <c r="A271" s="54" t="s">
        <v>1524</v>
      </c>
      <c r="B271" s="52">
        <f>VLOOKUP($A271,Table1[#This Row],COLUMN(B270), FALSE)</f>
        <v>42342</v>
      </c>
      <c r="C271" s="52">
        <f>VLOOKUP($A271,Table1[#This Row],COLUMN(C270), FALSE)</f>
        <v>42345</v>
      </c>
      <c r="D271" t="str">
        <f>VLOOKUP($A271,Table1[#This Row],COLUMN(D270), FALSE)</f>
        <v>Sonia Cooley</v>
      </c>
      <c r="E271" t="str">
        <f>VLOOKUP($A271,Table1[#This Row],COLUMN(E270), FALSE)</f>
        <v>Mexico</v>
      </c>
      <c r="F271" t="str">
        <f>VLOOKUP($A271,Table1[#This Row],COLUMN(F270), FALSE)</f>
        <v>Central America</v>
      </c>
      <c r="G271" t="str">
        <f>VLOOKUP($A271,Table1[#This Row],COLUMN(G270), FALSE)</f>
        <v>Furniture</v>
      </c>
      <c r="H271" t="str">
        <f>VLOOKUP($A271,Table1[#This Row],COLUMN(H270), FALSE)</f>
        <v>Machines</v>
      </c>
      <c r="I271">
        <f>VLOOKUP($A271,Table1[#This Row],COLUMN(I270), FALSE)</f>
        <v>1410.3999999999901</v>
      </c>
      <c r="J271">
        <f>VLOOKUP($A271,Table1[#This Row],COLUMN(J270), FALSE)</f>
        <v>5</v>
      </c>
      <c r="K271">
        <f>VLOOKUP($A271,Table1[#This Row],COLUMN(K270), FALSE)</f>
        <v>0.2</v>
      </c>
      <c r="L271">
        <f>VLOOKUP($A271,Table1[#This Row],COLUMN(L270), FALSE)</f>
        <v>-88.199999999999903</v>
      </c>
      <c r="M271" t="str">
        <f>VLOOKUP($A271,Table1[#This Row],COLUMN(M270), FALSE)</f>
        <v>Critical</v>
      </c>
      <c r="N271" t="str">
        <f>VLOOKUP($A271,Table1[#This Row],COLUMN(N270), FALSE)</f>
        <v>Normal Order</v>
      </c>
      <c r="O271" t="str">
        <f>VLOOKUP($A271,Table1[#This Row],COLUMN(O270), FALSE)</f>
        <v>Sonia Cooley</v>
      </c>
      <c r="P271" t="str">
        <f>VLOOKUP($A271,Table1[#This Row],COLUMN(P270), FALSE)</f>
        <v>US</v>
      </c>
      <c r="Q271" t="str">
        <f>VLOOKUP($A271,Table1[#This Row],COLUMN(Q270), FALSE)</f>
        <v>2015</v>
      </c>
      <c r="R271" t="str">
        <f>VLOOKUP($A271,Table1[#This Row],COLUMN(R270), FALSE)</f>
        <v>CRITICAL</v>
      </c>
      <c r="S271" t="str">
        <f>VLOOKUP($A271,Table1[#This Row],COLUMN(S270), FALSE)</f>
        <v>furniture</v>
      </c>
      <c r="T271" t="str">
        <f>VLOOKUP($A271,Table1[#This Row],COLUMN(T270), FALSE)</f>
        <v>42342</v>
      </c>
      <c r="U271" t="str">
        <f>VLOOKUP($A271,Table1[#This Row],COLUMN(U270), FALSE)</f>
        <v>SC2057582</v>
      </c>
      <c r="V271" t="str">
        <f>VLOOKUP($A271,Table1[#This Row],COLUMN(V270), FALSE)</f>
        <v>US</v>
      </c>
      <c r="W271">
        <f>VLOOKUP($A271,Table1[#This Row],COLUMN(W270), FALSE)</f>
        <v>2015</v>
      </c>
      <c r="X271" t="str">
        <f>VLOOKUP($A271,Table1[#This Row],COLUMN(X270), FALSE)</f>
        <v>SC2057582</v>
      </c>
      <c r="Y271">
        <f>VLOOKUP($A271,Table1[#This Row],COLUMN(Y270), FALSE)</f>
        <v>42342</v>
      </c>
      <c r="Z271" t="str">
        <f>VLOOKUP($A271,Table1[#This Row],COLUMN(Z270), FALSE)</f>
        <v>US-2015-SC2057582-42342</v>
      </c>
      <c r="AA271">
        <f>VLOOKUP($A271,Table1[#This Row],COLUMN(AA270), FALSE)</f>
        <v>2015</v>
      </c>
      <c r="AB271">
        <f>VLOOKUP($A271,Table1[#This Row],COLUMN(AB270), FALSE)</f>
        <v>12</v>
      </c>
      <c r="AC271">
        <f>VLOOKUP($A271,Table1[#This Row],COLUMN(AC270), FALSE)</f>
        <v>6</v>
      </c>
      <c r="AD271">
        <f>VLOOKUP($A271,Table1[#This Row],COLUMN(AD270), FALSE)</f>
        <v>3</v>
      </c>
    </row>
    <row r="272" spans="1:30" ht="15.75">
      <c r="A272" s="53" t="s">
        <v>1539</v>
      </c>
      <c r="B272" s="52">
        <f>VLOOKUP($A272,Table1[#This Row],COLUMN(B271), FALSE)</f>
        <v>42250</v>
      </c>
      <c r="C272" s="52">
        <f>VLOOKUP($A272,Table1[#This Row],COLUMN(C271), FALSE)</f>
        <v>42254</v>
      </c>
      <c r="D272" t="str">
        <f>VLOOKUP($A272,Table1[#This Row],COLUMN(D271), FALSE)</f>
        <v>Alan Hwang</v>
      </c>
      <c r="E272" t="str">
        <f>VLOOKUP($A272,Table1[#This Row],COLUMN(E271), FALSE)</f>
        <v>United States</v>
      </c>
      <c r="F272" t="str">
        <f>VLOOKUP($A272,Table1[#This Row],COLUMN(F271), FALSE)</f>
        <v>Southern US</v>
      </c>
      <c r="G272" t="str">
        <f>VLOOKUP($A272,Table1[#This Row],COLUMN(G271), FALSE)</f>
        <v>Office Supplies</v>
      </c>
      <c r="H272" t="str">
        <f>VLOOKUP($A272,Table1[#This Row],COLUMN(H271), FALSE)</f>
        <v>Bookcases</v>
      </c>
      <c r="I272">
        <f>VLOOKUP($A272,Table1[#This Row],COLUMN(I271), FALSE)</f>
        <v>1577.94</v>
      </c>
      <c r="J272">
        <f>VLOOKUP($A272,Table1[#This Row],COLUMN(J271), FALSE)</f>
        <v>3</v>
      </c>
      <c r="K272">
        <f>VLOOKUP($A272,Table1[#This Row],COLUMN(K271), FALSE)</f>
        <v>0</v>
      </c>
      <c r="L272">
        <f>VLOOKUP($A272,Table1[#This Row],COLUMN(L271), FALSE)</f>
        <v>757.41120000000001</v>
      </c>
      <c r="M272" t="str">
        <f>VLOOKUP($A272,Table1[#This Row],COLUMN(M271), FALSE)</f>
        <v>Medium</v>
      </c>
      <c r="N272" t="str">
        <f>VLOOKUP($A272,Table1[#This Row],COLUMN(N271), FALSE)</f>
        <v>Normal Order</v>
      </c>
      <c r="O272" t="str">
        <f>VLOOKUP($A272,Table1[#This Row],COLUMN(O271), FALSE)</f>
        <v>Alan Hwang</v>
      </c>
      <c r="P272" t="str">
        <f>VLOOKUP($A272,Table1[#This Row],COLUMN(P271), FALSE)</f>
        <v>CA</v>
      </c>
      <c r="Q272" t="str">
        <f>VLOOKUP($A272,Table1[#This Row],COLUMN(Q271), FALSE)</f>
        <v>2015</v>
      </c>
      <c r="R272" t="str">
        <f>VLOOKUP($A272,Table1[#This Row],COLUMN(R271), FALSE)</f>
        <v>MEDIUM</v>
      </c>
      <c r="S272" t="str">
        <f>VLOOKUP($A272,Table1[#This Row],COLUMN(S271), FALSE)</f>
        <v>office supplies</v>
      </c>
      <c r="T272" t="str">
        <f>VLOOKUP($A272,Table1[#This Row],COLUMN(T271), FALSE)</f>
        <v>42250</v>
      </c>
      <c r="U272" t="str">
        <f>VLOOKUP($A272,Table1[#This Row],COLUMN(U271), FALSE)</f>
        <v>AH10210140</v>
      </c>
      <c r="V272" t="str">
        <f>VLOOKUP($A272,Table1[#This Row],COLUMN(V271), FALSE)</f>
        <v>CA</v>
      </c>
      <c r="W272">
        <f>VLOOKUP($A272,Table1[#This Row],COLUMN(W271), FALSE)</f>
        <v>2015</v>
      </c>
      <c r="X272" t="str">
        <f>VLOOKUP($A272,Table1[#This Row],COLUMN(X271), FALSE)</f>
        <v>AH10210140</v>
      </c>
      <c r="Y272">
        <f>VLOOKUP($A272,Table1[#This Row],COLUMN(Y271), FALSE)</f>
        <v>42250</v>
      </c>
      <c r="Z272" t="str">
        <f>VLOOKUP($A272,Table1[#This Row],COLUMN(Z271), FALSE)</f>
        <v>CA-2015-AH10210140-42250</v>
      </c>
      <c r="AA272">
        <f>VLOOKUP($A272,Table1[#This Row],COLUMN(AA271), FALSE)</f>
        <v>2015</v>
      </c>
      <c r="AB272">
        <f>VLOOKUP($A272,Table1[#This Row],COLUMN(AB271), FALSE)</f>
        <v>9</v>
      </c>
      <c r="AC272">
        <f>VLOOKUP($A272,Table1[#This Row],COLUMN(AC271), FALSE)</f>
        <v>5</v>
      </c>
      <c r="AD272">
        <f>VLOOKUP($A272,Table1[#This Row],COLUMN(AD271), FALSE)</f>
        <v>4</v>
      </c>
    </row>
    <row r="273" spans="1:30" ht="15.75">
      <c r="A273" s="54" t="s">
        <v>1542</v>
      </c>
      <c r="B273" s="52">
        <f>VLOOKUP($A273,Table1[#This Row],COLUMN(B272), FALSE)</f>
        <v>42199</v>
      </c>
      <c r="C273" s="52">
        <f>VLOOKUP($A273,Table1[#This Row],COLUMN(C272), FALSE)</f>
        <v>42201</v>
      </c>
      <c r="D273" t="str">
        <f>VLOOKUP($A273,Table1[#This Row],COLUMN(D272), FALSE)</f>
        <v>Bill Shonely</v>
      </c>
      <c r="E273" t="str">
        <f>VLOOKUP($A273,Table1[#This Row],COLUMN(E272), FALSE)</f>
        <v>Brazil</v>
      </c>
      <c r="F273" t="str">
        <f>VLOOKUP($A273,Table1[#This Row],COLUMN(F272), FALSE)</f>
        <v>South America</v>
      </c>
      <c r="G273" t="str">
        <f>VLOOKUP($A273,Table1[#This Row],COLUMN(G272), FALSE)</f>
        <v>Technology</v>
      </c>
      <c r="H273" t="str">
        <f>VLOOKUP($A273,Table1[#This Row],COLUMN(H272), FALSE)</f>
        <v>Appliances</v>
      </c>
      <c r="I273">
        <f>VLOOKUP($A273,Table1[#This Row],COLUMN(I272), FALSE)</f>
        <v>997.80039999999894</v>
      </c>
      <c r="J273">
        <f>VLOOKUP($A273,Table1[#This Row],COLUMN(J272), FALSE)</f>
        <v>5</v>
      </c>
      <c r="K273">
        <f>VLOOKUP($A273,Table1[#This Row],COLUMN(K272), FALSE)</f>
        <v>2E-3</v>
      </c>
      <c r="L273">
        <f>VLOOKUP($A273,Table1[#This Row],COLUMN(L272), FALSE)</f>
        <v>327.90039999999999</v>
      </c>
      <c r="M273" t="str">
        <f>VLOOKUP($A273,Table1[#This Row],COLUMN(M272), FALSE)</f>
        <v>High</v>
      </c>
      <c r="N273" t="str">
        <f>VLOOKUP($A273,Table1[#This Row],COLUMN(N272), FALSE)</f>
        <v>Normal Order</v>
      </c>
      <c r="O273" t="str">
        <f>VLOOKUP($A273,Table1[#This Row],COLUMN(O272), FALSE)</f>
        <v>Bill Shonely</v>
      </c>
      <c r="P273" t="str">
        <f>VLOOKUP($A273,Table1[#This Row],COLUMN(P272), FALSE)</f>
        <v>MX</v>
      </c>
      <c r="Q273" t="str">
        <f>VLOOKUP($A273,Table1[#This Row],COLUMN(Q272), FALSE)</f>
        <v>2015</v>
      </c>
      <c r="R273" t="str">
        <f>VLOOKUP($A273,Table1[#This Row],COLUMN(R272), FALSE)</f>
        <v>HIGH</v>
      </c>
      <c r="S273" t="str">
        <f>VLOOKUP($A273,Table1[#This Row],COLUMN(S272), FALSE)</f>
        <v>technology</v>
      </c>
      <c r="T273" t="str">
        <f>VLOOKUP($A273,Table1[#This Row],COLUMN(T272), FALSE)</f>
        <v>42199</v>
      </c>
      <c r="U273" t="str">
        <f>VLOOKUP($A273,Table1[#This Row],COLUMN(U272), FALSE)</f>
        <v>BS1136518</v>
      </c>
      <c r="V273" t="str">
        <f>VLOOKUP($A273,Table1[#This Row],COLUMN(V272), FALSE)</f>
        <v>MX</v>
      </c>
      <c r="W273">
        <f>VLOOKUP($A273,Table1[#This Row],COLUMN(W272), FALSE)</f>
        <v>2015</v>
      </c>
      <c r="X273" t="str">
        <f>VLOOKUP($A273,Table1[#This Row],COLUMN(X272), FALSE)</f>
        <v>BS1136518</v>
      </c>
      <c r="Y273">
        <f>VLOOKUP($A273,Table1[#This Row],COLUMN(Y272), FALSE)</f>
        <v>42199</v>
      </c>
      <c r="Z273" t="str">
        <f>VLOOKUP($A273,Table1[#This Row],COLUMN(Z272), FALSE)</f>
        <v>MX-2015-BS1136518-42199</v>
      </c>
      <c r="AA273">
        <f>VLOOKUP($A273,Table1[#This Row],COLUMN(AA272), FALSE)</f>
        <v>2015</v>
      </c>
      <c r="AB273">
        <f>VLOOKUP($A273,Table1[#This Row],COLUMN(AB272), FALSE)</f>
        <v>7</v>
      </c>
      <c r="AC273">
        <f>VLOOKUP($A273,Table1[#This Row],COLUMN(AC272), FALSE)</f>
        <v>3</v>
      </c>
      <c r="AD273">
        <f>VLOOKUP($A273,Table1[#This Row],COLUMN(AD272), FALSE)</f>
        <v>2</v>
      </c>
    </row>
    <row r="274" spans="1:30" ht="15.75">
      <c r="A274" s="53" t="s">
        <v>1544</v>
      </c>
      <c r="B274" s="52">
        <f>VLOOKUP($A274,Table1[#This Row],COLUMN(B273), FALSE)</f>
        <v>41389</v>
      </c>
      <c r="C274" s="52">
        <f>VLOOKUP($A274,Table1[#This Row],COLUMN(C273), FALSE)</f>
        <v>41389</v>
      </c>
      <c r="D274" t="str">
        <f>VLOOKUP($A274,Table1[#This Row],COLUMN(D273), FALSE)</f>
        <v>Kunst Miller</v>
      </c>
      <c r="E274" t="str">
        <f>VLOOKUP($A274,Table1[#This Row],COLUMN(E273), FALSE)</f>
        <v>Iran</v>
      </c>
      <c r="F274" t="str">
        <f>VLOOKUP($A274,Table1[#This Row],COLUMN(F273), FALSE)</f>
        <v>Southern Asia</v>
      </c>
      <c r="G274" t="str">
        <f>VLOOKUP($A274,Table1[#This Row],COLUMN(G273), FALSE)</f>
        <v>Furniture</v>
      </c>
      <c r="H274" t="str">
        <f>VLOOKUP($A274,Table1[#This Row],COLUMN(H273), FALSE)</f>
        <v>Copiers</v>
      </c>
      <c r="I274">
        <f>VLOOKUP($A274,Table1[#This Row],COLUMN(I273), FALSE)</f>
        <v>1647</v>
      </c>
      <c r="J274">
        <f>VLOOKUP($A274,Table1[#This Row],COLUMN(J273), FALSE)</f>
        <v>4</v>
      </c>
      <c r="K274">
        <f>VLOOKUP($A274,Table1[#This Row],COLUMN(K273), FALSE)</f>
        <v>0</v>
      </c>
      <c r="L274">
        <f>VLOOKUP($A274,Table1[#This Row],COLUMN(L273), FALSE)</f>
        <v>625.79999999999995</v>
      </c>
      <c r="M274" t="str">
        <f>VLOOKUP($A274,Table1[#This Row],COLUMN(M273), FALSE)</f>
        <v>High</v>
      </c>
      <c r="N274" t="str">
        <f>VLOOKUP($A274,Table1[#This Row],COLUMN(N273), FALSE)</f>
        <v>Normal Order</v>
      </c>
      <c r="O274" t="str">
        <f>VLOOKUP($A274,Table1[#This Row],COLUMN(O273), FALSE)</f>
        <v>Kunst Miller</v>
      </c>
      <c r="P274" t="str">
        <f>VLOOKUP($A274,Table1[#This Row],COLUMN(P273), FALSE)</f>
        <v>IR</v>
      </c>
      <c r="Q274" t="str">
        <f>VLOOKUP($A274,Table1[#This Row],COLUMN(Q273), FALSE)</f>
        <v>2013</v>
      </c>
      <c r="R274" t="str">
        <f>VLOOKUP($A274,Table1[#This Row],COLUMN(R273), FALSE)</f>
        <v>HIGH</v>
      </c>
      <c r="S274" t="str">
        <f>VLOOKUP($A274,Table1[#This Row],COLUMN(S273), FALSE)</f>
        <v>furniture</v>
      </c>
      <c r="T274" t="str">
        <f>VLOOKUP($A274,Table1[#This Row],COLUMN(T273), FALSE)</f>
        <v>41389</v>
      </c>
      <c r="U274" t="str">
        <f>VLOOKUP($A274,Table1[#This Row],COLUMN(U273), FALSE)</f>
        <v>KM672060</v>
      </c>
      <c r="V274" t="str">
        <f>VLOOKUP($A274,Table1[#This Row],COLUMN(V273), FALSE)</f>
        <v>IR</v>
      </c>
      <c r="W274">
        <f>VLOOKUP($A274,Table1[#This Row],COLUMN(W273), FALSE)</f>
        <v>2013</v>
      </c>
      <c r="X274" t="str">
        <f>VLOOKUP($A274,Table1[#This Row],COLUMN(X273), FALSE)</f>
        <v>KM672060</v>
      </c>
      <c r="Y274">
        <f>VLOOKUP($A274,Table1[#This Row],COLUMN(Y273), FALSE)</f>
        <v>41389</v>
      </c>
      <c r="Z274" t="str">
        <f>VLOOKUP($A274,Table1[#This Row],COLUMN(Z273), FALSE)</f>
        <v>IR-2013-KM672060-41389</v>
      </c>
      <c r="AA274">
        <f>VLOOKUP($A274,Table1[#This Row],COLUMN(AA273), FALSE)</f>
        <v>2013</v>
      </c>
      <c r="AB274">
        <f>VLOOKUP($A274,Table1[#This Row],COLUMN(AB273), FALSE)</f>
        <v>4</v>
      </c>
      <c r="AC274">
        <f>VLOOKUP($A274,Table1[#This Row],COLUMN(AC273), FALSE)</f>
        <v>5</v>
      </c>
      <c r="AD274">
        <f>VLOOKUP($A274,Table1[#This Row],COLUMN(AD273), FALSE)</f>
        <v>0</v>
      </c>
    </row>
    <row r="275" spans="1:30" ht="15.75">
      <c r="A275" s="54" t="s">
        <v>1547</v>
      </c>
      <c r="B275" s="52">
        <f>VLOOKUP($A275,Table1[#This Row],COLUMN(B274), FALSE)</f>
        <v>41128</v>
      </c>
      <c r="C275" s="52">
        <f>VLOOKUP($A275,Table1[#This Row],COLUMN(C274), FALSE)</f>
        <v>41128</v>
      </c>
      <c r="D275" t="str">
        <f>VLOOKUP($A275,Table1[#This Row],COLUMN(D274), FALSE)</f>
        <v>Barbara Fisher</v>
      </c>
      <c r="E275" t="str">
        <f>VLOOKUP($A275,Table1[#This Row],COLUMN(E274), FALSE)</f>
        <v>China</v>
      </c>
      <c r="F275" t="str">
        <f>VLOOKUP($A275,Table1[#This Row],COLUMN(F274), FALSE)</f>
        <v>Eastern Asia</v>
      </c>
      <c r="G275" t="str">
        <f>VLOOKUP($A275,Table1[#This Row],COLUMN(G274), FALSE)</f>
        <v>Technology</v>
      </c>
      <c r="H275" t="str">
        <f>VLOOKUP($A275,Table1[#This Row],COLUMN(H274), FALSE)</f>
        <v>Copiers</v>
      </c>
      <c r="I275">
        <f>VLOOKUP($A275,Table1[#This Row],COLUMN(I274), FALSE)</f>
        <v>1273.56</v>
      </c>
      <c r="J275">
        <f>VLOOKUP($A275,Table1[#This Row],COLUMN(J274), FALSE)</f>
        <v>4</v>
      </c>
      <c r="K275">
        <f>VLOOKUP($A275,Table1[#This Row],COLUMN(K274), FALSE)</f>
        <v>0</v>
      </c>
      <c r="L275">
        <f>VLOOKUP($A275,Table1[#This Row],COLUMN(L274), FALSE)</f>
        <v>573</v>
      </c>
      <c r="M275" t="str">
        <f>VLOOKUP($A275,Table1[#This Row],COLUMN(M274), FALSE)</f>
        <v>Medium</v>
      </c>
      <c r="N275" t="str">
        <f>VLOOKUP($A275,Table1[#This Row],COLUMN(N274), FALSE)</f>
        <v>Normal Order</v>
      </c>
      <c r="O275" t="str">
        <f>VLOOKUP($A275,Table1[#This Row],COLUMN(O274), FALSE)</f>
        <v>Barbara Fisher</v>
      </c>
      <c r="P275" t="str">
        <f>VLOOKUP($A275,Table1[#This Row],COLUMN(P274), FALSE)</f>
        <v>IN</v>
      </c>
      <c r="Q275" t="str">
        <f>VLOOKUP($A275,Table1[#This Row],COLUMN(Q274), FALSE)</f>
        <v>2012</v>
      </c>
      <c r="R275" t="str">
        <f>VLOOKUP($A275,Table1[#This Row],COLUMN(R274), FALSE)</f>
        <v>MEDIUM</v>
      </c>
      <c r="S275" t="str">
        <f>VLOOKUP($A275,Table1[#This Row],COLUMN(S274), FALSE)</f>
        <v>technology</v>
      </c>
      <c r="T275" t="str">
        <f>VLOOKUP($A275,Table1[#This Row],COLUMN(T274), FALSE)</f>
        <v>41128</v>
      </c>
      <c r="U275" t="str">
        <f>VLOOKUP($A275,Table1[#This Row],COLUMN(U274), FALSE)</f>
        <v>BF1097527</v>
      </c>
      <c r="V275" t="str">
        <f>VLOOKUP($A275,Table1[#This Row],COLUMN(V274), FALSE)</f>
        <v>IN</v>
      </c>
      <c r="W275">
        <f>VLOOKUP($A275,Table1[#This Row],COLUMN(W274), FALSE)</f>
        <v>2012</v>
      </c>
      <c r="X275" t="str">
        <f>VLOOKUP($A275,Table1[#This Row],COLUMN(X274), FALSE)</f>
        <v>BF1097527</v>
      </c>
      <c r="Y275">
        <f>VLOOKUP($A275,Table1[#This Row],COLUMN(Y274), FALSE)</f>
        <v>41128</v>
      </c>
      <c r="Z275" t="str">
        <f>VLOOKUP($A275,Table1[#This Row],COLUMN(Z274), FALSE)</f>
        <v>IN-2012-BF1097527-41128</v>
      </c>
      <c r="AA275">
        <f>VLOOKUP($A275,Table1[#This Row],COLUMN(AA274), FALSE)</f>
        <v>2012</v>
      </c>
      <c r="AB275">
        <f>VLOOKUP($A275,Table1[#This Row],COLUMN(AB274), FALSE)</f>
        <v>8</v>
      </c>
      <c r="AC275">
        <f>VLOOKUP($A275,Table1[#This Row],COLUMN(AC274), FALSE)</f>
        <v>3</v>
      </c>
      <c r="AD275">
        <f>VLOOKUP($A275,Table1[#This Row],COLUMN(AD274), FALSE)</f>
        <v>0</v>
      </c>
    </row>
    <row r="276" spans="1:30" ht="15.75">
      <c r="A276" s="53" t="s">
        <v>1548</v>
      </c>
      <c r="B276" s="52">
        <f>VLOOKUP($A276,Table1[#This Row],COLUMN(B275), FALSE)</f>
        <v>41259</v>
      </c>
      <c r="C276" s="52">
        <f>VLOOKUP($A276,Table1[#This Row],COLUMN(C275), FALSE)</f>
        <v>41263</v>
      </c>
      <c r="D276" t="str">
        <f>VLOOKUP($A276,Table1[#This Row],COLUMN(D275), FALSE)</f>
        <v>Michelle Moray</v>
      </c>
      <c r="E276" t="str">
        <f>VLOOKUP($A276,Table1[#This Row],COLUMN(E275), FALSE)</f>
        <v>Germany</v>
      </c>
      <c r="F276" t="str">
        <f>VLOOKUP($A276,Table1[#This Row],COLUMN(F275), FALSE)</f>
        <v>Western Europe</v>
      </c>
      <c r="G276" t="str">
        <f>VLOOKUP($A276,Table1[#This Row],COLUMN(G275), FALSE)</f>
        <v>Technology</v>
      </c>
      <c r="H276" t="str">
        <f>VLOOKUP($A276,Table1[#This Row],COLUMN(H275), FALSE)</f>
        <v>Bookcases</v>
      </c>
      <c r="I276">
        <f>VLOOKUP($A276,Table1[#This Row],COLUMN(I275), FALSE)</f>
        <v>1908.18</v>
      </c>
      <c r="J276">
        <f>VLOOKUP($A276,Table1[#This Row],COLUMN(J275), FALSE)</f>
        <v>3</v>
      </c>
      <c r="K276">
        <f>VLOOKUP($A276,Table1[#This Row],COLUMN(K275), FALSE)</f>
        <v>0</v>
      </c>
      <c r="L276">
        <f>VLOOKUP($A276,Table1[#This Row],COLUMN(L275), FALSE)</f>
        <v>820.44</v>
      </c>
      <c r="M276" t="str">
        <f>VLOOKUP($A276,Table1[#This Row],COLUMN(M275), FALSE)</f>
        <v>Medium</v>
      </c>
      <c r="N276" t="str">
        <f>VLOOKUP($A276,Table1[#This Row],COLUMN(N275), FALSE)</f>
        <v>Normal Order</v>
      </c>
      <c r="O276" t="str">
        <f>VLOOKUP($A276,Table1[#This Row],COLUMN(O275), FALSE)</f>
        <v>Michelle Moray</v>
      </c>
      <c r="P276" t="str">
        <f>VLOOKUP($A276,Table1[#This Row],COLUMN(P275), FALSE)</f>
        <v>ES</v>
      </c>
      <c r="Q276" t="str">
        <f>VLOOKUP($A276,Table1[#This Row],COLUMN(Q275), FALSE)</f>
        <v>2012</v>
      </c>
      <c r="R276" t="str">
        <f>VLOOKUP($A276,Table1[#This Row],COLUMN(R275), FALSE)</f>
        <v>MEDIUM</v>
      </c>
      <c r="S276" t="str">
        <f>VLOOKUP($A276,Table1[#This Row],COLUMN(S275), FALSE)</f>
        <v>technology</v>
      </c>
      <c r="T276" t="str">
        <f>VLOOKUP($A276,Table1[#This Row],COLUMN(T275), FALSE)</f>
        <v>41259</v>
      </c>
      <c r="U276" t="str">
        <f>VLOOKUP($A276,Table1[#This Row],COLUMN(U275), FALSE)</f>
        <v>MM1805548</v>
      </c>
      <c r="V276" t="str">
        <f>VLOOKUP($A276,Table1[#This Row],COLUMN(V275), FALSE)</f>
        <v>ES</v>
      </c>
      <c r="W276">
        <f>VLOOKUP($A276,Table1[#This Row],COLUMN(W275), FALSE)</f>
        <v>2012</v>
      </c>
      <c r="X276" t="str">
        <f>VLOOKUP($A276,Table1[#This Row],COLUMN(X275), FALSE)</f>
        <v>MM1805548</v>
      </c>
      <c r="Y276">
        <f>VLOOKUP($A276,Table1[#This Row],COLUMN(Y275), FALSE)</f>
        <v>41259</v>
      </c>
      <c r="Z276" t="str">
        <f>VLOOKUP($A276,Table1[#This Row],COLUMN(Z275), FALSE)</f>
        <v>ES-2012-MM1805548-41259</v>
      </c>
      <c r="AA276">
        <f>VLOOKUP($A276,Table1[#This Row],COLUMN(AA275), FALSE)</f>
        <v>2012</v>
      </c>
      <c r="AB276">
        <f>VLOOKUP($A276,Table1[#This Row],COLUMN(AB275), FALSE)</f>
        <v>12</v>
      </c>
      <c r="AC276">
        <f>VLOOKUP($A276,Table1[#This Row],COLUMN(AC275), FALSE)</f>
        <v>1</v>
      </c>
      <c r="AD276">
        <f>VLOOKUP($A276,Table1[#This Row],COLUMN(AD275), FALSE)</f>
        <v>4</v>
      </c>
    </row>
    <row r="277" spans="1:30" ht="15.75">
      <c r="A277" s="54" t="s">
        <v>1553</v>
      </c>
      <c r="B277" s="52">
        <f>VLOOKUP($A277,Table1[#This Row],COLUMN(B276), FALSE)</f>
        <v>41583</v>
      </c>
      <c r="C277" s="52">
        <f>VLOOKUP($A277,Table1[#This Row],COLUMN(C276), FALSE)</f>
        <v>41586</v>
      </c>
      <c r="D277" t="str">
        <f>VLOOKUP($A277,Table1[#This Row],COLUMN(D276), FALSE)</f>
        <v>Nathan Cano</v>
      </c>
      <c r="E277" t="str">
        <f>VLOOKUP($A277,Table1[#This Row],COLUMN(E276), FALSE)</f>
        <v>Ukraine</v>
      </c>
      <c r="F277" t="str">
        <f>VLOOKUP($A277,Table1[#This Row],COLUMN(F276), FALSE)</f>
        <v>Eastern Europe</v>
      </c>
      <c r="G277" t="str">
        <f>VLOOKUP($A277,Table1[#This Row],COLUMN(G276), FALSE)</f>
        <v xml:space="preserve"> Technology </v>
      </c>
      <c r="H277" t="str">
        <f>VLOOKUP($A277,Table1[#This Row],COLUMN(H276), FALSE)</f>
        <v>Tables</v>
      </c>
      <c r="I277">
        <f>VLOOKUP($A277,Table1[#This Row],COLUMN(I276), FALSE)</f>
        <v>680.28</v>
      </c>
      <c r="J277">
        <f>VLOOKUP($A277,Table1[#This Row],COLUMN(J276), FALSE)</f>
        <v>4</v>
      </c>
      <c r="K277">
        <f>VLOOKUP($A277,Table1[#This Row],COLUMN(K276), FALSE)</f>
        <v>0</v>
      </c>
      <c r="L277">
        <f>VLOOKUP($A277,Table1[#This Row],COLUMN(L276), FALSE)</f>
        <v>231.24</v>
      </c>
      <c r="M277" t="str">
        <f>VLOOKUP($A277,Table1[#This Row],COLUMN(M276), FALSE)</f>
        <v>Critical</v>
      </c>
      <c r="N277" t="str">
        <f>VLOOKUP($A277,Table1[#This Row],COLUMN(N276), FALSE)</f>
        <v>Normal Order</v>
      </c>
      <c r="O277" t="str">
        <f>VLOOKUP($A277,Table1[#This Row],COLUMN(O276), FALSE)</f>
        <v>Nathan Cano</v>
      </c>
      <c r="P277" t="str">
        <f>VLOOKUP($A277,Table1[#This Row],COLUMN(P276), FALSE)</f>
        <v>UP</v>
      </c>
      <c r="Q277" t="str">
        <f>VLOOKUP($A277,Table1[#This Row],COLUMN(Q276), FALSE)</f>
        <v>2013</v>
      </c>
      <c r="R277" t="str">
        <f>VLOOKUP($A277,Table1[#This Row],COLUMN(R276), FALSE)</f>
        <v>CRITICAL</v>
      </c>
      <c r="S277" t="str">
        <f>VLOOKUP($A277,Table1[#This Row],COLUMN(S276), FALSE)</f>
        <v xml:space="preserve"> technology </v>
      </c>
      <c r="T277" t="str">
        <f>VLOOKUP($A277,Table1[#This Row],COLUMN(T276), FALSE)</f>
        <v>41583</v>
      </c>
      <c r="U277" t="str">
        <f>VLOOKUP($A277,Table1[#This Row],COLUMN(U276), FALSE)</f>
        <v>NC8415137</v>
      </c>
      <c r="V277" t="str">
        <f>VLOOKUP($A277,Table1[#This Row],COLUMN(V276), FALSE)</f>
        <v>UP</v>
      </c>
      <c r="W277">
        <f>VLOOKUP($A277,Table1[#This Row],COLUMN(W276), FALSE)</f>
        <v>2013</v>
      </c>
      <c r="X277" t="str">
        <f>VLOOKUP($A277,Table1[#This Row],COLUMN(X276), FALSE)</f>
        <v>NC8415137</v>
      </c>
      <c r="Y277">
        <f>VLOOKUP($A277,Table1[#This Row],COLUMN(Y276), FALSE)</f>
        <v>41583</v>
      </c>
      <c r="Z277" t="str">
        <f>VLOOKUP($A277,Table1[#This Row],COLUMN(Z276), FALSE)</f>
        <v>UP-2013-NC8415137-41583</v>
      </c>
      <c r="AA277">
        <f>VLOOKUP($A277,Table1[#This Row],COLUMN(AA276), FALSE)</f>
        <v>2013</v>
      </c>
      <c r="AB277">
        <f>VLOOKUP($A277,Table1[#This Row],COLUMN(AB276), FALSE)</f>
        <v>11</v>
      </c>
      <c r="AC277">
        <f>VLOOKUP($A277,Table1[#This Row],COLUMN(AC276), FALSE)</f>
        <v>3</v>
      </c>
      <c r="AD277">
        <f>VLOOKUP($A277,Table1[#This Row],COLUMN(AD276), FALSE)</f>
        <v>3</v>
      </c>
    </row>
    <row r="278" spans="1:30" ht="15.75">
      <c r="A278" s="53" t="s">
        <v>1555</v>
      </c>
      <c r="B278" s="52">
        <f>VLOOKUP($A278,Table1[#This Row],COLUMN(B277), FALSE)</f>
        <v>41280</v>
      </c>
      <c r="C278" s="52">
        <f>VLOOKUP($A278,Table1[#This Row],COLUMN(C277), FALSE)</f>
        <v>41283</v>
      </c>
      <c r="D278" t="str">
        <f>VLOOKUP($A278,Table1[#This Row],COLUMN(D277), FALSE)</f>
        <v>Georgia Rosenberg</v>
      </c>
      <c r="E278" t="str">
        <f>VLOOKUP($A278,Table1[#This Row],COLUMN(E277), FALSE)</f>
        <v>Norway</v>
      </c>
      <c r="F278" t="str">
        <f>VLOOKUP($A278,Table1[#This Row],COLUMN(F277), FALSE)</f>
        <v>Northern Europe</v>
      </c>
      <c r="G278" t="str">
        <f>VLOOKUP($A278,Table1[#This Row],COLUMN(G277), FALSE)</f>
        <v>Technology</v>
      </c>
      <c r="H278" t="str">
        <f>VLOOKUP($A278,Table1[#This Row],COLUMN(H277), FALSE)</f>
        <v>Bookcases</v>
      </c>
      <c r="I278">
        <f>VLOOKUP($A278,Table1[#This Row],COLUMN(I277), FALSE)</f>
        <v>964.07999999999902</v>
      </c>
      <c r="J278">
        <f>VLOOKUP($A278,Table1[#This Row],COLUMN(J277), FALSE)</f>
        <v>3</v>
      </c>
      <c r="K278">
        <f>VLOOKUP($A278,Table1[#This Row],COLUMN(K277), FALSE)</f>
        <v>0</v>
      </c>
      <c r="L278">
        <f>VLOOKUP($A278,Table1[#This Row],COLUMN(L277), FALSE)</f>
        <v>337.409999999999</v>
      </c>
      <c r="M278" t="str">
        <f>VLOOKUP($A278,Table1[#This Row],COLUMN(M277), FALSE)</f>
        <v>Medium</v>
      </c>
      <c r="N278" t="str">
        <f>VLOOKUP($A278,Table1[#This Row],COLUMN(N277), FALSE)</f>
        <v>Normal Order</v>
      </c>
      <c r="O278" t="str">
        <f>VLOOKUP($A278,Table1[#This Row],COLUMN(O277), FALSE)</f>
        <v>Georgia Rosenberg</v>
      </c>
      <c r="P278" t="str">
        <f>VLOOKUP($A278,Table1[#This Row],COLUMN(P277), FALSE)</f>
        <v>ES</v>
      </c>
      <c r="Q278" t="str">
        <f>VLOOKUP($A278,Table1[#This Row],COLUMN(Q277), FALSE)</f>
        <v>2013</v>
      </c>
      <c r="R278" t="str">
        <f>VLOOKUP($A278,Table1[#This Row],COLUMN(R277), FALSE)</f>
        <v>MEDIUM</v>
      </c>
      <c r="S278" t="str">
        <f>VLOOKUP($A278,Table1[#This Row],COLUMN(S277), FALSE)</f>
        <v>technology</v>
      </c>
      <c r="T278" t="str">
        <f>VLOOKUP($A278,Table1[#This Row],COLUMN(T277), FALSE)</f>
        <v>41280</v>
      </c>
      <c r="U278" t="str">
        <f>VLOOKUP($A278,Table1[#This Row],COLUMN(U277), FALSE)</f>
        <v>GR1456096</v>
      </c>
      <c r="V278" t="str">
        <f>VLOOKUP($A278,Table1[#This Row],COLUMN(V277), FALSE)</f>
        <v>ES</v>
      </c>
      <c r="W278">
        <f>VLOOKUP($A278,Table1[#This Row],COLUMN(W277), FALSE)</f>
        <v>2013</v>
      </c>
      <c r="X278" t="str">
        <f>VLOOKUP($A278,Table1[#This Row],COLUMN(X277), FALSE)</f>
        <v>GR1456096</v>
      </c>
      <c r="Y278">
        <f>VLOOKUP($A278,Table1[#This Row],COLUMN(Y277), FALSE)</f>
        <v>41280</v>
      </c>
      <c r="Z278" t="str">
        <f>VLOOKUP($A278,Table1[#This Row],COLUMN(Z277), FALSE)</f>
        <v>ES-2013-GR1456096-41280</v>
      </c>
      <c r="AA278">
        <f>VLOOKUP($A278,Table1[#This Row],COLUMN(AA277), FALSE)</f>
        <v>2013</v>
      </c>
      <c r="AB278">
        <f>VLOOKUP($A278,Table1[#This Row],COLUMN(AB277), FALSE)</f>
        <v>1</v>
      </c>
      <c r="AC278">
        <f>VLOOKUP($A278,Table1[#This Row],COLUMN(AC277), FALSE)</f>
        <v>1</v>
      </c>
      <c r="AD278">
        <f>VLOOKUP($A278,Table1[#This Row],COLUMN(AD277), FALSE)</f>
        <v>3</v>
      </c>
    </row>
    <row r="279" spans="1:30" ht="15.75">
      <c r="A279" s="54" t="s">
        <v>1561</v>
      </c>
      <c r="B279" s="52">
        <f>VLOOKUP($A279,Table1[#This Row],COLUMN(B278), FALSE)</f>
        <v>42072</v>
      </c>
      <c r="C279" s="52">
        <f>VLOOKUP($A279,Table1[#This Row],COLUMN(C278), FALSE)</f>
        <v>42079</v>
      </c>
      <c r="D279" t="str">
        <f>VLOOKUP($A279,Table1[#This Row],COLUMN(D278), FALSE)</f>
        <v>Alan Hwang</v>
      </c>
      <c r="E279" t="str">
        <f>VLOOKUP($A279,Table1[#This Row],COLUMN(E278), FALSE)</f>
        <v>United States</v>
      </c>
      <c r="F279" t="str">
        <f>VLOOKUP($A279,Table1[#This Row],COLUMN(F278), FALSE)</f>
        <v>Western US</v>
      </c>
      <c r="G279" t="str">
        <f>VLOOKUP($A279,Table1[#This Row],COLUMN(G278), FALSE)</f>
        <v>Office Supplies</v>
      </c>
      <c r="H279" t="str">
        <f>VLOOKUP($A279,Table1[#This Row],COLUMN(H278), FALSE)</f>
        <v>Copiers</v>
      </c>
      <c r="I279">
        <f>VLOOKUP($A279,Table1[#This Row],COLUMN(I278), FALSE)</f>
        <v>171.2</v>
      </c>
      <c r="J279">
        <f>VLOOKUP($A279,Table1[#This Row],COLUMN(J278), FALSE)</f>
        <v>5</v>
      </c>
      <c r="K279">
        <f>VLOOKUP($A279,Table1[#This Row],COLUMN(K278), FALSE)</f>
        <v>0.2</v>
      </c>
      <c r="L279">
        <f>VLOOKUP($A279,Table1[#This Row],COLUMN(L278), FALSE)</f>
        <v>64.199999999999903</v>
      </c>
      <c r="M279" t="str">
        <f>VLOOKUP($A279,Table1[#This Row],COLUMN(M278), FALSE)</f>
        <v>Medium</v>
      </c>
      <c r="N279" t="str">
        <f>VLOOKUP($A279,Table1[#This Row],COLUMN(N278), FALSE)</f>
        <v>Normal Order</v>
      </c>
      <c r="O279" t="str">
        <f>VLOOKUP($A279,Table1[#This Row],COLUMN(O278), FALSE)</f>
        <v>Alan Hwang</v>
      </c>
      <c r="P279" t="str">
        <f>VLOOKUP($A279,Table1[#This Row],COLUMN(P278), FALSE)</f>
        <v>CA</v>
      </c>
      <c r="Q279" t="str">
        <f>VLOOKUP($A279,Table1[#This Row],COLUMN(Q278), FALSE)</f>
        <v>2015</v>
      </c>
      <c r="R279" t="str">
        <f>VLOOKUP($A279,Table1[#This Row],COLUMN(R278), FALSE)</f>
        <v>MEDIUM</v>
      </c>
      <c r="S279" t="str">
        <f>VLOOKUP($A279,Table1[#This Row],COLUMN(S278), FALSE)</f>
        <v>office supplies</v>
      </c>
      <c r="T279" t="str">
        <f>VLOOKUP($A279,Table1[#This Row],COLUMN(T278), FALSE)</f>
        <v>42072</v>
      </c>
      <c r="U279" t="str">
        <f>VLOOKUP($A279,Table1[#This Row],COLUMN(U278), FALSE)</f>
        <v>AH10210140</v>
      </c>
      <c r="V279" t="str">
        <f>VLOOKUP($A279,Table1[#This Row],COLUMN(V278), FALSE)</f>
        <v>CA</v>
      </c>
      <c r="W279">
        <f>VLOOKUP($A279,Table1[#This Row],COLUMN(W278), FALSE)</f>
        <v>2015</v>
      </c>
      <c r="X279" t="str">
        <f>VLOOKUP($A279,Table1[#This Row],COLUMN(X278), FALSE)</f>
        <v>AH10210140</v>
      </c>
      <c r="Y279">
        <f>VLOOKUP($A279,Table1[#This Row],COLUMN(Y278), FALSE)</f>
        <v>42072</v>
      </c>
      <c r="Z279" t="str">
        <f>VLOOKUP($A279,Table1[#This Row],COLUMN(Z278), FALSE)</f>
        <v>CA-2015-AH10210140-42072</v>
      </c>
      <c r="AA279">
        <f>VLOOKUP($A279,Table1[#This Row],COLUMN(AA278), FALSE)</f>
        <v>2015</v>
      </c>
      <c r="AB279">
        <f>VLOOKUP($A279,Table1[#This Row],COLUMN(AB278), FALSE)</f>
        <v>3</v>
      </c>
      <c r="AC279">
        <f>VLOOKUP($A279,Table1[#This Row],COLUMN(AC278), FALSE)</f>
        <v>2</v>
      </c>
      <c r="AD279">
        <f>VLOOKUP($A279,Table1[#This Row],COLUMN(AD278), FALSE)</f>
        <v>7</v>
      </c>
    </row>
    <row r="280" spans="1:30" ht="15.75">
      <c r="A280" s="53" t="s">
        <v>1562</v>
      </c>
      <c r="B280" s="52">
        <f>VLOOKUP($A280,Table1[#This Row],COLUMN(B279), FALSE)</f>
        <v>41588</v>
      </c>
      <c r="C280" s="52">
        <f>VLOOKUP($A280,Table1[#This Row],COLUMN(C279), FALSE)</f>
        <v>41593</v>
      </c>
      <c r="D280" t="str">
        <f>VLOOKUP($A280,Table1[#This Row],COLUMN(D279), FALSE)</f>
        <v>Alan Hwang</v>
      </c>
      <c r="E280" t="str">
        <f>VLOOKUP($A280,Table1[#This Row],COLUMN(E279), FALSE)</f>
        <v>United States</v>
      </c>
      <c r="F280" t="str">
        <f>VLOOKUP($A280,Table1[#This Row],COLUMN(F279), FALSE)</f>
        <v>Western US</v>
      </c>
      <c r="G280" t="str">
        <f>VLOOKUP($A280,Table1[#This Row],COLUMN(G279), FALSE)</f>
        <v>Technology</v>
      </c>
      <c r="H280" t="str">
        <f>VLOOKUP($A280,Table1[#This Row],COLUMN(H279), FALSE)</f>
        <v>Tables</v>
      </c>
      <c r="I280">
        <f>VLOOKUP($A280,Table1[#This Row],COLUMN(I279), FALSE)</f>
        <v>79.900000000000006</v>
      </c>
      <c r="J280">
        <f>VLOOKUP($A280,Table1[#This Row],COLUMN(J279), FALSE)</f>
        <v>2</v>
      </c>
      <c r="K280">
        <f>VLOOKUP($A280,Table1[#This Row],COLUMN(K279), FALSE)</f>
        <v>0</v>
      </c>
      <c r="L280">
        <f>VLOOKUP($A280,Table1[#This Row],COLUMN(L279), FALSE)</f>
        <v>35.155999999999999</v>
      </c>
      <c r="M280" t="str">
        <f>VLOOKUP($A280,Table1[#This Row],COLUMN(M279), FALSE)</f>
        <v>Medium</v>
      </c>
      <c r="N280" t="str">
        <f>VLOOKUP($A280,Table1[#This Row],COLUMN(N279), FALSE)</f>
        <v>Normal Order</v>
      </c>
      <c r="O280" t="str">
        <f>VLOOKUP($A280,Table1[#This Row],COLUMN(O279), FALSE)</f>
        <v>Alan Hwang</v>
      </c>
      <c r="P280" t="str">
        <f>VLOOKUP($A280,Table1[#This Row],COLUMN(P279), FALSE)</f>
        <v>CA</v>
      </c>
      <c r="Q280" t="str">
        <f>VLOOKUP($A280,Table1[#This Row],COLUMN(Q279), FALSE)</f>
        <v>2013</v>
      </c>
      <c r="R280" t="str">
        <f>VLOOKUP($A280,Table1[#This Row],COLUMN(R279), FALSE)</f>
        <v>MEDIUM</v>
      </c>
      <c r="S280" t="str">
        <f>VLOOKUP($A280,Table1[#This Row],COLUMN(S279), FALSE)</f>
        <v>technology</v>
      </c>
      <c r="T280" t="str">
        <f>VLOOKUP($A280,Table1[#This Row],COLUMN(T279), FALSE)</f>
        <v>41588</v>
      </c>
      <c r="U280" t="str">
        <f>VLOOKUP($A280,Table1[#This Row],COLUMN(U279), FALSE)</f>
        <v>AH10210140</v>
      </c>
      <c r="V280" t="str">
        <f>VLOOKUP($A280,Table1[#This Row],COLUMN(V279), FALSE)</f>
        <v>CA</v>
      </c>
      <c r="W280">
        <f>VLOOKUP($A280,Table1[#This Row],COLUMN(W279), FALSE)</f>
        <v>2013</v>
      </c>
      <c r="X280" t="str">
        <f>VLOOKUP($A280,Table1[#This Row],COLUMN(X279), FALSE)</f>
        <v>AH10210140</v>
      </c>
      <c r="Y280">
        <f>VLOOKUP($A280,Table1[#This Row],COLUMN(Y279), FALSE)</f>
        <v>41588</v>
      </c>
      <c r="Z280" t="str">
        <f>VLOOKUP($A280,Table1[#This Row],COLUMN(Z279), FALSE)</f>
        <v>CA-2013-AH10210140-41588</v>
      </c>
      <c r="AA280">
        <f>VLOOKUP($A280,Table1[#This Row],COLUMN(AA279), FALSE)</f>
        <v>2013</v>
      </c>
      <c r="AB280">
        <f>VLOOKUP($A280,Table1[#This Row],COLUMN(AB279), FALSE)</f>
        <v>11</v>
      </c>
      <c r="AC280">
        <f>VLOOKUP($A280,Table1[#This Row],COLUMN(AC279), FALSE)</f>
        <v>1</v>
      </c>
      <c r="AD280">
        <f>VLOOKUP($A280,Table1[#This Row],COLUMN(AD279), FALSE)</f>
        <v>5</v>
      </c>
    </row>
    <row r="281" spans="1:30" ht="15.75">
      <c r="A281" s="54" t="s">
        <v>1565</v>
      </c>
      <c r="B281" s="52">
        <f>VLOOKUP($A281,Table1[#This Row],COLUMN(B280), FALSE)</f>
        <v>41430</v>
      </c>
      <c r="C281" s="52">
        <f>VLOOKUP($A281,Table1[#This Row],COLUMN(C280), FALSE)</f>
        <v>41436</v>
      </c>
      <c r="D281" t="str">
        <f>VLOOKUP($A281,Table1[#This Row],COLUMN(D280), FALSE)</f>
        <v>Andy Yotov</v>
      </c>
      <c r="E281" t="str">
        <f>VLOOKUP($A281,Table1[#This Row],COLUMN(E280), FALSE)</f>
        <v>United Kingdom</v>
      </c>
      <c r="F281" t="str">
        <f>VLOOKUP($A281,Table1[#This Row],COLUMN(F280), FALSE)</f>
        <v>Northern Europe</v>
      </c>
      <c r="G281" t="str">
        <f>VLOOKUP($A281,Table1[#This Row],COLUMN(G280), FALSE)</f>
        <v>Technology</v>
      </c>
      <c r="H281" t="str">
        <f>VLOOKUP($A281,Table1[#This Row],COLUMN(H280), FALSE)</f>
        <v>Copiers</v>
      </c>
      <c r="I281">
        <f>VLOOKUP($A281,Table1[#This Row],COLUMN(I280), FALSE)</f>
        <v>1891.5</v>
      </c>
      <c r="J281">
        <f>VLOOKUP($A281,Table1[#This Row],COLUMN(J280), FALSE)</f>
        <v>5</v>
      </c>
      <c r="K281">
        <f>VLOOKUP($A281,Table1[#This Row],COLUMN(K280), FALSE)</f>
        <v>0</v>
      </c>
      <c r="L281">
        <f>VLOOKUP($A281,Table1[#This Row],COLUMN(L280), FALSE)</f>
        <v>832.2</v>
      </c>
      <c r="M281" t="str">
        <f>VLOOKUP($A281,Table1[#This Row],COLUMN(M280), FALSE)</f>
        <v>Medium</v>
      </c>
      <c r="N281" t="str">
        <f>VLOOKUP($A281,Table1[#This Row],COLUMN(N280), FALSE)</f>
        <v>Normal Order</v>
      </c>
      <c r="O281" t="str">
        <f>VLOOKUP($A281,Table1[#This Row],COLUMN(O280), FALSE)</f>
        <v>Andy Yotov</v>
      </c>
      <c r="P281" t="str">
        <f>VLOOKUP($A281,Table1[#This Row],COLUMN(P280), FALSE)</f>
        <v>ES</v>
      </c>
      <c r="Q281" t="str">
        <f>VLOOKUP($A281,Table1[#This Row],COLUMN(Q280), FALSE)</f>
        <v>2013</v>
      </c>
      <c r="R281" t="str">
        <f>VLOOKUP($A281,Table1[#This Row],COLUMN(R280), FALSE)</f>
        <v>MEDIUM</v>
      </c>
      <c r="S281" t="str">
        <f>VLOOKUP($A281,Table1[#This Row],COLUMN(S280), FALSE)</f>
        <v>technology</v>
      </c>
      <c r="T281" t="str">
        <f>VLOOKUP($A281,Table1[#This Row],COLUMN(T280), FALSE)</f>
        <v>41430</v>
      </c>
      <c r="U281" t="str">
        <f>VLOOKUP($A281,Table1[#This Row],COLUMN(U280), FALSE)</f>
        <v>AY10555139</v>
      </c>
      <c r="V281" t="str">
        <f>VLOOKUP($A281,Table1[#This Row],COLUMN(V280), FALSE)</f>
        <v>ES</v>
      </c>
      <c r="W281">
        <f>VLOOKUP($A281,Table1[#This Row],COLUMN(W280), FALSE)</f>
        <v>2013</v>
      </c>
      <c r="X281" t="str">
        <f>VLOOKUP($A281,Table1[#This Row],COLUMN(X280), FALSE)</f>
        <v>AY10555139</v>
      </c>
      <c r="Y281">
        <f>VLOOKUP($A281,Table1[#This Row],COLUMN(Y280), FALSE)</f>
        <v>41430</v>
      </c>
      <c r="Z281" t="str">
        <f>VLOOKUP($A281,Table1[#This Row],COLUMN(Z280), FALSE)</f>
        <v>ES-2013-AY10555139-41430</v>
      </c>
      <c r="AA281">
        <f>VLOOKUP($A281,Table1[#This Row],COLUMN(AA280), FALSE)</f>
        <v>2013</v>
      </c>
      <c r="AB281">
        <f>VLOOKUP($A281,Table1[#This Row],COLUMN(AB280), FALSE)</f>
        <v>6</v>
      </c>
      <c r="AC281">
        <f>VLOOKUP($A281,Table1[#This Row],COLUMN(AC280), FALSE)</f>
        <v>4</v>
      </c>
      <c r="AD281">
        <f>VLOOKUP($A281,Table1[#This Row],COLUMN(AD280), FALSE)</f>
        <v>6</v>
      </c>
    </row>
    <row r="282" spans="1:30" ht="15.75">
      <c r="A282" s="53" t="s">
        <v>1567</v>
      </c>
      <c r="B282" s="52">
        <f>VLOOKUP($A282,Table1[#This Row],COLUMN(B281), FALSE)</f>
        <v>41762</v>
      </c>
      <c r="C282" s="52">
        <f>VLOOKUP($A282,Table1[#This Row],COLUMN(C281), FALSE)</f>
        <v>41763</v>
      </c>
      <c r="D282" t="str">
        <f>VLOOKUP($A282,Table1[#This Row],COLUMN(D281), FALSE)</f>
        <v>Christine Phan</v>
      </c>
      <c r="E282" t="str">
        <f>VLOOKUP($A282,Table1[#This Row],COLUMN(E281), FALSE)</f>
        <v>Dominican Republic</v>
      </c>
      <c r="F282" t="str">
        <f>VLOOKUP($A282,Table1[#This Row],COLUMN(F281), FALSE)</f>
        <v>Caribbean</v>
      </c>
      <c r="G282" t="str">
        <f>VLOOKUP($A282,Table1[#This Row],COLUMN(G281), FALSE)</f>
        <v>Office Supplies</v>
      </c>
      <c r="H282" t="str">
        <f>VLOOKUP($A282,Table1[#This Row],COLUMN(H281), FALSE)</f>
        <v>Copiers</v>
      </c>
      <c r="I282">
        <f>VLOOKUP($A282,Table1[#This Row],COLUMN(I281), FALSE)</f>
        <v>912.24</v>
      </c>
      <c r="J282">
        <f>VLOOKUP($A282,Table1[#This Row],COLUMN(J281), FALSE)</f>
        <v>3</v>
      </c>
      <c r="K282">
        <f>VLOOKUP($A282,Table1[#This Row],COLUMN(K281), FALSE)</f>
        <v>0.2</v>
      </c>
      <c r="L282">
        <f>VLOOKUP($A282,Table1[#This Row],COLUMN(L281), FALSE)</f>
        <v>68.400000000000006</v>
      </c>
      <c r="M282" t="str">
        <f>VLOOKUP($A282,Table1[#This Row],COLUMN(M281), FALSE)</f>
        <v>High</v>
      </c>
      <c r="N282" t="str">
        <f>VLOOKUP($A282,Table1[#This Row],COLUMN(N281), FALSE)</f>
        <v>Normal Order</v>
      </c>
      <c r="O282" t="str">
        <f>VLOOKUP($A282,Table1[#This Row],COLUMN(O281), FALSE)</f>
        <v>Christine Phan</v>
      </c>
      <c r="P282" t="str">
        <f>VLOOKUP($A282,Table1[#This Row],COLUMN(P281), FALSE)</f>
        <v>MX</v>
      </c>
      <c r="Q282" t="str">
        <f>VLOOKUP($A282,Table1[#This Row],COLUMN(Q281), FALSE)</f>
        <v>2014</v>
      </c>
      <c r="R282" t="str">
        <f>VLOOKUP($A282,Table1[#This Row],COLUMN(R281), FALSE)</f>
        <v>HIGH</v>
      </c>
      <c r="S282" t="str">
        <f>VLOOKUP($A282,Table1[#This Row],COLUMN(S281), FALSE)</f>
        <v>office supplies</v>
      </c>
      <c r="T282" t="str">
        <f>VLOOKUP($A282,Table1[#This Row],COLUMN(T281), FALSE)</f>
        <v>41762</v>
      </c>
      <c r="U282" t="str">
        <f>VLOOKUP($A282,Table1[#This Row],COLUMN(U281), FALSE)</f>
        <v>CP1234036</v>
      </c>
      <c r="V282" t="str">
        <f>VLOOKUP($A282,Table1[#This Row],COLUMN(V281), FALSE)</f>
        <v>MX</v>
      </c>
      <c r="W282">
        <f>VLOOKUP($A282,Table1[#This Row],COLUMN(W281), FALSE)</f>
        <v>2014</v>
      </c>
      <c r="X282" t="str">
        <f>VLOOKUP($A282,Table1[#This Row],COLUMN(X281), FALSE)</f>
        <v>CP1234036</v>
      </c>
      <c r="Y282">
        <f>VLOOKUP($A282,Table1[#This Row],COLUMN(Y281), FALSE)</f>
        <v>41762</v>
      </c>
      <c r="Z282" t="str">
        <f>VLOOKUP($A282,Table1[#This Row],COLUMN(Z281), FALSE)</f>
        <v>MX-2014-CP1234036-41762</v>
      </c>
      <c r="AA282">
        <f>VLOOKUP($A282,Table1[#This Row],COLUMN(AA281), FALSE)</f>
        <v>2014</v>
      </c>
      <c r="AB282">
        <f>VLOOKUP($A282,Table1[#This Row],COLUMN(AB281), FALSE)</f>
        <v>5</v>
      </c>
      <c r="AC282">
        <f>VLOOKUP($A282,Table1[#This Row],COLUMN(AC281), FALSE)</f>
        <v>7</v>
      </c>
      <c r="AD282">
        <f>VLOOKUP($A282,Table1[#This Row],COLUMN(AD281), FALSE)</f>
        <v>1</v>
      </c>
    </row>
    <row r="283" spans="1:30" ht="15.75">
      <c r="A283" s="54" t="s">
        <v>1568</v>
      </c>
      <c r="B283" s="52">
        <f>VLOOKUP($A283,Table1[#This Row],COLUMN(B282), FALSE)</f>
        <v>41914</v>
      </c>
      <c r="C283" s="52">
        <f>VLOOKUP($A283,Table1[#This Row],COLUMN(C282), FALSE)</f>
        <v>41917</v>
      </c>
      <c r="D283" t="str">
        <f>VLOOKUP($A283,Table1[#This Row],COLUMN(D282), FALSE)</f>
        <v>Mark Packer</v>
      </c>
      <c r="E283" t="str">
        <f>VLOOKUP($A283,Table1[#This Row],COLUMN(E282), FALSE)</f>
        <v>Nicaragua</v>
      </c>
      <c r="F283" t="str">
        <f>VLOOKUP($A283,Table1[#This Row],COLUMN(F282), FALSE)</f>
        <v>Central America</v>
      </c>
      <c r="G283" t="str">
        <f>VLOOKUP($A283,Table1[#This Row],COLUMN(G282), FALSE)</f>
        <v>Technology</v>
      </c>
      <c r="H283" t="str">
        <f>VLOOKUP($A283,Table1[#This Row],COLUMN(H282), FALSE)</f>
        <v>Copiers</v>
      </c>
      <c r="I283">
        <f>VLOOKUP($A283,Table1[#This Row],COLUMN(I282), FALSE)</f>
        <v>947.22176000000002</v>
      </c>
      <c r="J283">
        <f>VLOOKUP($A283,Table1[#This Row],COLUMN(J282), FALSE)</f>
        <v>4</v>
      </c>
      <c r="K283">
        <f>VLOOKUP($A283,Table1[#This Row],COLUMN(K282), FALSE)</f>
        <v>2E-3</v>
      </c>
      <c r="L283">
        <f>VLOOKUP($A283,Table1[#This Row],COLUMN(L282), FALSE)</f>
        <v>377.70175999999998</v>
      </c>
      <c r="M283" t="str">
        <f>VLOOKUP($A283,Table1[#This Row],COLUMN(M282), FALSE)</f>
        <v>High</v>
      </c>
      <c r="N283" t="str">
        <f>VLOOKUP($A283,Table1[#This Row],COLUMN(N282), FALSE)</f>
        <v>Normal Order</v>
      </c>
      <c r="O283" t="str">
        <f>VLOOKUP($A283,Table1[#This Row],COLUMN(O282), FALSE)</f>
        <v>Mark Packer</v>
      </c>
      <c r="P283" t="str">
        <f>VLOOKUP($A283,Table1[#This Row],COLUMN(P282), FALSE)</f>
        <v>MX</v>
      </c>
      <c r="Q283" t="str">
        <f>VLOOKUP($A283,Table1[#This Row],COLUMN(Q282), FALSE)</f>
        <v>2014</v>
      </c>
      <c r="R283" t="str">
        <f>VLOOKUP($A283,Table1[#This Row],COLUMN(R282), FALSE)</f>
        <v>HIGH</v>
      </c>
      <c r="S283" t="str">
        <f>VLOOKUP($A283,Table1[#This Row],COLUMN(S282), FALSE)</f>
        <v>technology</v>
      </c>
      <c r="T283" t="str">
        <f>VLOOKUP($A283,Table1[#This Row],COLUMN(T282), FALSE)</f>
        <v>41914</v>
      </c>
      <c r="U283" t="str">
        <f>VLOOKUP($A283,Table1[#This Row],COLUMN(U282), FALSE)</f>
        <v>MP1747093</v>
      </c>
      <c r="V283" t="str">
        <f>VLOOKUP($A283,Table1[#This Row],COLUMN(V282), FALSE)</f>
        <v>MX</v>
      </c>
      <c r="W283">
        <f>VLOOKUP($A283,Table1[#This Row],COLUMN(W282), FALSE)</f>
        <v>2014</v>
      </c>
      <c r="X283" t="str">
        <f>VLOOKUP($A283,Table1[#This Row],COLUMN(X282), FALSE)</f>
        <v>MP1747093</v>
      </c>
      <c r="Y283">
        <f>VLOOKUP($A283,Table1[#This Row],COLUMN(Y282), FALSE)</f>
        <v>41914</v>
      </c>
      <c r="Z283" t="str">
        <f>VLOOKUP($A283,Table1[#This Row],COLUMN(Z282), FALSE)</f>
        <v>MX-2014-MP1747093-41914</v>
      </c>
      <c r="AA283">
        <f>VLOOKUP($A283,Table1[#This Row],COLUMN(AA282), FALSE)</f>
        <v>2014</v>
      </c>
      <c r="AB283">
        <f>VLOOKUP($A283,Table1[#This Row],COLUMN(AB282), FALSE)</f>
        <v>10</v>
      </c>
      <c r="AC283">
        <f>VLOOKUP($A283,Table1[#This Row],COLUMN(AC282), FALSE)</f>
        <v>5</v>
      </c>
      <c r="AD283">
        <f>VLOOKUP($A283,Table1[#This Row],COLUMN(AD282), FALSE)</f>
        <v>3</v>
      </c>
    </row>
    <row r="284" spans="1:30" ht="15.75">
      <c r="A284" s="53" t="s">
        <v>1570</v>
      </c>
      <c r="B284" s="52" t="str">
        <f>VLOOKUP($A284,Table1[#This Row],COLUMN(B283), FALSE)</f>
        <v>32/13/2020</v>
      </c>
      <c r="C284" s="52">
        <f>VLOOKUP($A284,Table1[#This Row],COLUMN(C283), FALSE)</f>
        <v>41261</v>
      </c>
      <c r="D284" t="str">
        <f>VLOOKUP($A284,Table1[#This Row],COLUMN(D283), FALSE)</f>
        <v>Pauline Johnson</v>
      </c>
      <c r="E284" t="str">
        <f>VLOOKUP($A284,Table1[#This Row],COLUMN(E283), FALSE)</f>
        <v>United Kingdom</v>
      </c>
      <c r="F284" t="str">
        <f>VLOOKUP($A284,Table1[#This Row],COLUMN(F283), FALSE)</f>
        <v>Northern Europe</v>
      </c>
      <c r="G284" t="str">
        <f>VLOOKUP($A284,Table1[#This Row],COLUMN(G283), FALSE)</f>
        <v>Furniture</v>
      </c>
      <c r="H284" t="str">
        <f>VLOOKUP($A284,Table1[#This Row],COLUMN(H283), FALSE)</f>
        <v>Appliances</v>
      </c>
      <c r="I284">
        <f>VLOOKUP($A284,Table1[#This Row],COLUMN(I283), FALSE)</f>
        <v>1983.0149999999901</v>
      </c>
      <c r="J284">
        <f>VLOOKUP($A284,Table1[#This Row],COLUMN(J283), FALSE)</f>
        <v>5</v>
      </c>
      <c r="K284">
        <f>VLOOKUP($A284,Table1[#This Row],COLUMN(K283), FALSE)</f>
        <v>0.1</v>
      </c>
      <c r="L284">
        <f>VLOOKUP($A284,Table1[#This Row],COLUMN(L283), FALSE)</f>
        <v>616.81500000000005</v>
      </c>
      <c r="M284" t="str">
        <f>VLOOKUP($A284,Table1[#This Row],COLUMN(M283), FALSE)</f>
        <v>High</v>
      </c>
      <c r="N284" t="str">
        <f>VLOOKUP($A284,Table1[#This Row],COLUMN(N283), FALSE)</f>
        <v>Normal Order</v>
      </c>
      <c r="O284" t="str">
        <f>VLOOKUP($A284,Table1[#This Row],COLUMN(O283), FALSE)</f>
        <v>Pauline Johnson</v>
      </c>
      <c r="P284" t="str">
        <f>VLOOKUP($A284,Table1[#This Row],COLUMN(P283), FALSE)</f>
        <v>ES</v>
      </c>
      <c r="Q284" t="str">
        <f>VLOOKUP($A284,Table1[#This Row],COLUMN(Q283), FALSE)</f>
        <v>2012</v>
      </c>
      <c r="R284" t="str">
        <f>VLOOKUP($A284,Table1[#This Row],COLUMN(R283), FALSE)</f>
        <v>HIGH</v>
      </c>
      <c r="S284" t="str">
        <f>VLOOKUP($A284,Table1[#This Row],COLUMN(S283), FALSE)</f>
        <v>furniture</v>
      </c>
      <c r="T284" t="str">
        <f>VLOOKUP($A284,Table1[#This Row],COLUMN(T283), FALSE)</f>
        <v>41257</v>
      </c>
      <c r="U284" t="str">
        <f>VLOOKUP($A284,Table1[#This Row],COLUMN(U283), FALSE)</f>
        <v>PJ19015139</v>
      </c>
      <c r="V284" t="str">
        <f>VLOOKUP($A284,Table1[#This Row],COLUMN(V283), FALSE)</f>
        <v>ES</v>
      </c>
      <c r="W284">
        <f>VLOOKUP($A284,Table1[#This Row],COLUMN(W283), FALSE)</f>
        <v>2012</v>
      </c>
      <c r="X284" t="str">
        <f>VLOOKUP($A284,Table1[#This Row],COLUMN(X283), FALSE)</f>
        <v>PJ19015139</v>
      </c>
      <c r="Y284">
        <f>VLOOKUP($A284,Table1[#This Row],COLUMN(Y283), FALSE)</f>
        <v>41257</v>
      </c>
      <c r="Z284" t="str">
        <f>VLOOKUP($A284,Table1[#This Row],COLUMN(Z283), FALSE)</f>
        <v>ES-2012-PJ19015139-41257</v>
      </c>
      <c r="AA284">
        <f>VLOOKUP($A284,Table1[#This Row],COLUMN(AA283), FALSE)</f>
        <v>0</v>
      </c>
      <c r="AB284">
        <f>VLOOKUP($A284,Table1[#This Row],COLUMN(AB283), FALSE)</f>
        <v>0</v>
      </c>
      <c r="AC284">
        <f>VLOOKUP($A284,Table1[#This Row],COLUMN(AC283), FALSE)</f>
        <v>0</v>
      </c>
      <c r="AD284">
        <f>VLOOKUP($A284,Table1[#This Row],COLUMN(AD283), FALSE)</f>
        <v>0</v>
      </c>
    </row>
    <row r="285" spans="1:30" ht="15.75">
      <c r="A285" s="54" t="s">
        <v>1572</v>
      </c>
      <c r="B285" s="52">
        <f>VLOOKUP($A285,Table1[#This Row],COLUMN(B284), FALSE)</f>
        <v>41572</v>
      </c>
      <c r="C285" s="52">
        <f>VLOOKUP($A285,Table1[#This Row],COLUMN(C284), FALSE)</f>
        <v>41576</v>
      </c>
      <c r="D285" t="str">
        <f>VLOOKUP($A285,Table1[#This Row],COLUMN(D284), FALSE)</f>
        <v>Nathan Cano</v>
      </c>
      <c r="E285" t="str">
        <f>VLOOKUP($A285,Table1[#This Row],COLUMN(E284), FALSE)</f>
        <v>Nicaragua</v>
      </c>
      <c r="F285" t="str">
        <f>VLOOKUP($A285,Table1[#This Row],COLUMN(F284), FALSE)</f>
        <v>Central America</v>
      </c>
      <c r="G285" t="str">
        <f>VLOOKUP($A285,Table1[#This Row],COLUMN(G284), FALSE)</f>
        <v>Technology</v>
      </c>
      <c r="H285" t="str">
        <f>VLOOKUP($A285,Table1[#This Row],COLUMN(H284), FALSE)</f>
        <v>Copiers</v>
      </c>
      <c r="I285">
        <f>VLOOKUP($A285,Table1[#This Row],COLUMN(I284), FALSE)</f>
        <v>2146.6</v>
      </c>
      <c r="J285">
        <f>VLOOKUP($A285,Table1[#This Row],COLUMN(J284), FALSE)</f>
        <v>5</v>
      </c>
      <c r="K285">
        <f>VLOOKUP($A285,Table1[#This Row],COLUMN(K284), FALSE)</f>
        <v>0</v>
      </c>
      <c r="L285">
        <f>VLOOKUP($A285,Table1[#This Row],COLUMN(L284), FALSE)</f>
        <v>429.3</v>
      </c>
      <c r="M285" t="str">
        <f>VLOOKUP($A285,Table1[#This Row],COLUMN(M284), FALSE)</f>
        <v>Medium</v>
      </c>
      <c r="N285" t="str">
        <f>VLOOKUP($A285,Table1[#This Row],COLUMN(N284), FALSE)</f>
        <v>Normal Order</v>
      </c>
      <c r="O285" t="str">
        <f>VLOOKUP($A285,Table1[#This Row],COLUMN(O284), FALSE)</f>
        <v>Nathan Cano</v>
      </c>
      <c r="P285" t="str">
        <f>VLOOKUP($A285,Table1[#This Row],COLUMN(P284), FALSE)</f>
        <v>MX</v>
      </c>
      <c r="Q285" t="str">
        <f>VLOOKUP($A285,Table1[#This Row],COLUMN(Q284), FALSE)</f>
        <v>2013</v>
      </c>
      <c r="R285" t="str">
        <f>VLOOKUP($A285,Table1[#This Row],COLUMN(R284), FALSE)</f>
        <v>MEDIUM</v>
      </c>
      <c r="S285" t="str">
        <f>VLOOKUP($A285,Table1[#This Row],COLUMN(S284), FALSE)</f>
        <v>technology</v>
      </c>
      <c r="T285" t="str">
        <f>VLOOKUP($A285,Table1[#This Row],COLUMN(T284), FALSE)</f>
        <v>41572</v>
      </c>
      <c r="U285" t="str">
        <f>VLOOKUP($A285,Table1[#This Row],COLUMN(U284), FALSE)</f>
        <v>NC1841593</v>
      </c>
      <c r="V285" t="str">
        <f>VLOOKUP($A285,Table1[#This Row],COLUMN(V284), FALSE)</f>
        <v>MX</v>
      </c>
      <c r="W285">
        <f>VLOOKUP($A285,Table1[#This Row],COLUMN(W284), FALSE)</f>
        <v>2013</v>
      </c>
      <c r="X285" t="str">
        <f>VLOOKUP($A285,Table1[#This Row],COLUMN(X284), FALSE)</f>
        <v>NC1841593</v>
      </c>
      <c r="Y285">
        <f>VLOOKUP($A285,Table1[#This Row],COLUMN(Y284), FALSE)</f>
        <v>41572</v>
      </c>
      <c r="Z285" t="str">
        <f>VLOOKUP($A285,Table1[#This Row],COLUMN(Z284), FALSE)</f>
        <v>MX-2013-NC1841593-41572</v>
      </c>
      <c r="AA285">
        <f>VLOOKUP($A285,Table1[#This Row],COLUMN(AA284), FALSE)</f>
        <v>2013</v>
      </c>
      <c r="AB285">
        <f>VLOOKUP($A285,Table1[#This Row],COLUMN(AB284), FALSE)</f>
        <v>10</v>
      </c>
      <c r="AC285">
        <f>VLOOKUP($A285,Table1[#This Row],COLUMN(AC284), FALSE)</f>
        <v>6</v>
      </c>
      <c r="AD285">
        <f>VLOOKUP($A285,Table1[#This Row],COLUMN(AD284), FALSE)</f>
        <v>4</v>
      </c>
    </row>
    <row r="286" spans="1:30" ht="15.75">
      <c r="A286" s="53" t="s">
        <v>1575</v>
      </c>
      <c r="B286" s="52">
        <f>VLOOKUP($A286,Table1[#This Row],COLUMN(B285), FALSE)</f>
        <v>42258</v>
      </c>
      <c r="C286" s="52">
        <f>VLOOKUP($A286,Table1[#This Row],COLUMN(C285), FALSE)</f>
        <v>42259</v>
      </c>
      <c r="D286" t="str">
        <f>VLOOKUP($A286,Table1[#This Row],COLUMN(D285), FALSE)</f>
        <v>Laurel Workman</v>
      </c>
      <c r="E286" t="str">
        <f>VLOOKUP($A286,Table1[#This Row],COLUMN(E285), FALSE)</f>
        <v>France</v>
      </c>
      <c r="F286" t="str">
        <f>VLOOKUP($A286,Table1[#This Row],COLUMN(F285), FALSE)</f>
        <v>Western Europe</v>
      </c>
      <c r="G286" t="str">
        <f>VLOOKUP($A286,Table1[#This Row],COLUMN(G285), FALSE)</f>
        <v>Furniture</v>
      </c>
      <c r="H286" t="str">
        <f>VLOOKUP($A286,Table1[#This Row],COLUMN(H285), FALSE)</f>
        <v>Phones</v>
      </c>
      <c r="I286">
        <f>VLOOKUP($A286,Table1[#This Row],COLUMN(I285), FALSE)</f>
        <v>1622.01</v>
      </c>
      <c r="J286">
        <f>VLOOKUP($A286,Table1[#This Row],COLUMN(J285), FALSE)</f>
        <v>5</v>
      </c>
      <c r="K286">
        <f>VLOOKUP($A286,Table1[#This Row],COLUMN(K285), FALSE)</f>
        <v>0.35</v>
      </c>
      <c r="L286">
        <f>VLOOKUP($A286,Table1[#This Row],COLUMN(L285), FALSE)</f>
        <v>-623.94000000000005</v>
      </c>
      <c r="M286" t="str">
        <f>VLOOKUP($A286,Table1[#This Row],COLUMN(M285), FALSE)</f>
        <v>High</v>
      </c>
      <c r="N286" t="str">
        <f>VLOOKUP($A286,Table1[#This Row],COLUMN(N285), FALSE)</f>
        <v>Normal Order</v>
      </c>
      <c r="O286" t="str">
        <f>VLOOKUP($A286,Table1[#This Row],COLUMN(O285), FALSE)</f>
        <v>Laurel Workman</v>
      </c>
      <c r="P286" t="str">
        <f>VLOOKUP($A286,Table1[#This Row],COLUMN(P285), FALSE)</f>
        <v>ES</v>
      </c>
      <c r="Q286" t="str">
        <f>VLOOKUP($A286,Table1[#This Row],COLUMN(Q285), FALSE)</f>
        <v>2015</v>
      </c>
      <c r="R286" t="str">
        <f>VLOOKUP($A286,Table1[#This Row],COLUMN(R285), FALSE)</f>
        <v>HIGH</v>
      </c>
      <c r="S286" t="str">
        <f>VLOOKUP($A286,Table1[#This Row],COLUMN(S285), FALSE)</f>
        <v>furniture</v>
      </c>
      <c r="T286" t="str">
        <f>VLOOKUP($A286,Table1[#This Row],COLUMN(T285), FALSE)</f>
        <v>42258</v>
      </c>
      <c r="U286" t="str">
        <f>VLOOKUP($A286,Table1[#This Row],COLUMN(U285), FALSE)</f>
        <v>LW1682545</v>
      </c>
      <c r="V286" t="str">
        <f>VLOOKUP($A286,Table1[#This Row],COLUMN(V285), FALSE)</f>
        <v>ES</v>
      </c>
      <c r="W286">
        <f>VLOOKUP($A286,Table1[#This Row],COLUMN(W285), FALSE)</f>
        <v>2015</v>
      </c>
      <c r="X286" t="str">
        <f>VLOOKUP($A286,Table1[#This Row],COLUMN(X285), FALSE)</f>
        <v>LW1682545</v>
      </c>
      <c r="Y286">
        <f>VLOOKUP($A286,Table1[#This Row],COLUMN(Y285), FALSE)</f>
        <v>42258</v>
      </c>
      <c r="Z286" t="str">
        <f>VLOOKUP($A286,Table1[#This Row],COLUMN(Z285), FALSE)</f>
        <v>ES-2015-LW1682545-42258</v>
      </c>
      <c r="AA286">
        <f>VLOOKUP($A286,Table1[#This Row],COLUMN(AA285), FALSE)</f>
        <v>2015</v>
      </c>
      <c r="AB286">
        <f>VLOOKUP($A286,Table1[#This Row],COLUMN(AB285), FALSE)</f>
        <v>9</v>
      </c>
      <c r="AC286">
        <f>VLOOKUP($A286,Table1[#This Row],COLUMN(AC285), FALSE)</f>
        <v>6</v>
      </c>
      <c r="AD286">
        <f>VLOOKUP($A286,Table1[#This Row],COLUMN(AD285), FALSE)</f>
        <v>1</v>
      </c>
    </row>
    <row r="287" spans="1:30" ht="15.75">
      <c r="A287" s="54" t="s">
        <v>1529</v>
      </c>
      <c r="B287" s="52">
        <f>VLOOKUP($A287,Table1[#This Row],COLUMN(B286), FALSE)</f>
        <v>41615</v>
      </c>
      <c r="C287" s="52">
        <f>VLOOKUP($A287,Table1[#This Row],COLUMN(C286), FALSE)</f>
        <v>41617</v>
      </c>
      <c r="D287" t="str">
        <f>VLOOKUP($A287,Table1[#This Row],COLUMN(D286), FALSE)</f>
        <v>Alan Hwang</v>
      </c>
      <c r="E287" t="str">
        <f>VLOOKUP($A287,Table1[#This Row],COLUMN(E286), FALSE)</f>
        <v>United States</v>
      </c>
      <c r="F287" t="str">
        <f>VLOOKUP($A287,Table1[#This Row],COLUMN(F286), FALSE)</f>
        <v>Eastern US</v>
      </c>
      <c r="G287" t="str">
        <f>VLOOKUP($A287,Table1[#This Row],COLUMN(G286), FALSE)</f>
        <v>Office Supplies</v>
      </c>
      <c r="H287" t="str">
        <f>VLOOKUP($A287,Table1[#This Row],COLUMN(H286), FALSE)</f>
        <v>Tables</v>
      </c>
      <c r="I287">
        <f>VLOOKUP($A287,Table1[#This Row],COLUMN(I286), FALSE)</f>
        <v>21.36</v>
      </c>
      <c r="J287">
        <f>VLOOKUP($A287,Table1[#This Row],COLUMN(J286), FALSE)</f>
        <v>5</v>
      </c>
      <c r="K287">
        <f>VLOOKUP($A287,Table1[#This Row],COLUMN(K286), FALSE)</f>
        <v>0.2</v>
      </c>
      <c r="L287">
        <f>VLOOKUP($A287,Table1[#This Row],COLUMN(L286), FALSE)</f>
        <v>7.2089999999999996</v>
      </c>
      <c r="M287" t="str">
        <f>VLOOKUP($A287,Table1[#This Row],COLUMN(M286), FALSE)</f>
        <v>Medium</v>
      </c>
      <c r="N287" t="str">
        <f>VLOOKUP($A287,Table1[#This Row],COLUMN(N286), FALSE)</f>
        <v>Normal Order</v>
      </c>
      <c r="O287" t="str">
        <f>VLOOKUP($A287,Table1[#This Row],COLUMN(O286), FALSE)</f>
        <v>Alan Hwang</v>
      </c>
      <c r="P287" t="str">
        <f>VLOOKUP($A287,Table1[#This Row],COLUMN(P286), FALSE)</f>
        <v>CA</v>
      </c>
      <c r="Q287" t="str">
        <f>VLOOKUP($A287,Table1[#This Row],COLUMN(Q286), FALSE)</f>
        <v>2013</v>
      </c>
      <c r="R287" t="str">
        <f>VLOOKUP($A287,Table1[#This Row],COLUMN(R286), FALSE)</f>
        <v>MEDIUM</v>
      </c>
      <c r="S287" t="str">
        <f>VLOOKUP($A287,Table1[#This Row],COLUMN(S286), FALSE)</f>
        <v>office supplies</v>
      </c>
      <c r="T287" t="str">
        <f>VLOOKUP($A287,Table1[#This Row],COLUMN(T286), FALSE)</f>
        <v>41615</v>
      </c>
      <c r="U287" t="str">
        <f>VLOOKUP($A287,Table1[#This Row],COLUMN(U286), FALSE)</f>
        <v>AH10210140</v>
      </c>
      <c r="V287" t="str">
        <f>VLOOKUP($A287,Table1[#This Row],COLUMN(V286), FALSE)</f>
        <v>CA</v>
      </c>
      <c r="W287">
        <f>VLOOKUP($A287,Table1[#This Row],COLUMN(W286), FALSE)</f>
        <v>2013</v>
      </c>
      <c r="X287" t="str">
        <f>VLOOKUP($A287,Table1[#This Row],COLUMN(X286), FALSE)</f>
        <v>AH10210140</v>
      </c>
      <c r="Y287">
        <f>VLOOKUP($A287,Table1[#This Row],COLUMN(Y286), FALSE)</f>
        <v>41615</v>
      </c>
      <c r="Z287" t="str">
        <f>VLOOKUP($A287,Table1[#This Row],COLUMN(Z286), FALSE)</f>
        <v>CA-2013-AH10210140-41615</v>
      </c>
      <c r="AA287">
        <f>VLOOKUP($A287,Table1[#This Row],COLUMN(AA286), FALSE)</f>
        <v>2013</v>
      </c>
      <c r="AB287">
        <f>VLOOKUP($A287,Table1[#This Row],COLUMN(AB286), FALSE)</f>
        <v>12</v>
      </c>
      <c r="AC287">
        <f>VLOOKUP($A287,Table1[#This Row],COLUMN(AC286), FALSE)</f>
        <v>7</v>
      </c>
      <c r="AD287">
        <f>VLOOKUP($A287,Table1[#This Row],COLUMN(AD286), FALSE)</f>
        <v>2</v>
      </c>
    </row>
    <row r="288" spans="1:30" ht="15.75">
      <c r="A288" s="53" t="s">
        <v>1579</v>
      </c>
      <c r="B288" s="52">
        <f>VLOOKUP($A288,Table1[#This Row],COLUMN(B287), FALSE)</f>
        <v>41216</v>
      </c>
      <c r="C288" s="52">
        <f>VLOOKUP($A288,Table1[#This Row],COLUMN(C287), FALSE)</f>
        <v>41218</v>
      </c>
      <c r="D288" t="str">
        <f>VLOOKUP($A288,Table1[#This Row],COLUMN(D287), FALSE)</f>
        <v>Cari Sayre</v>
      </c>
      <c r="E288" t="str">
        <f>VLOOKUP($A288,Table1[#This Row],COLUMN(E287), FALSE)</f>
        <v>Bolivia</v>
      </c>
      <c r="F288" t="str">
        <f>VLOOKUP($A288,Table1[#This Row],COLUMN(F287), FALSE)</f>
        <v>South America</v>
      </c>
      <c r="G288" t="str">
        <f>VLOOKUP($A288,Table1[#This Row],COLUMN(G287), FALSE)</f>
        <v>Office Supplies</v>
      </c>
      <c r="H288" t="str">
        <f>VLOOKUP($A288,Table1[#This Row],COLUMN(H287), FALSE)</f>
        <v>Tables</v>
      </c>
      <c r="I288">
        <f>VLOOKUP($A288,Table1[#This Row],COLUMN(I287), FALSE)</f>
        <v>1401.84</v>
      </c>
      <c r="J288">
        <f>VLOOKUP($A288,Table1[#This Row],COLUMN(J287), FALSE)</f>
        <v>4</v>
      </c>
      <c r="K288">
        <f>VLOOKUP($A288,Table1[#This Row],COLUMN(K287), FALSE)</f>
        <v>0</v>
      </c>
      <c r="L288">
        <f>VLOOKUP($A288,Table1[#This Row],COLUMN(L287), FALSE)</f>
        <v>126.16</v>
      </c>
      <c r="M288" t="str">
        <f>VLOOKUP($A288,Table1[#This Row],COLUMN(M287), FALSE)</f>
        <v>High</v>
      </c>
      <c r="N288" t="str">
        <f>VLOOKUP($A288,Table1[#This Row],COLUMN(N287), FALSE)</f>
        <v>Normal Order</v>
      </c>
      <c r="O288" t="str">
        <f>VLOOKUP($A288,Table1[#This Row],COLUMN(O287), FALSE)</f>
        <v>Cari Sayre</v>
      </c>
      <c r="P288" t="str">
        <f>VLOOKUP($A288,Table1[#This Row],COLUMN(P287), FALSE)</f>
        <v>MX</v>
      </c>
      <c r="Q288" t="str">
        <f>VLOOKUP($A288,Table1[#This Row],COLUMN(Q287), FALSE)</f>
        <v>2012</v>
      </c>
      <c r="R288" t="str">
        <f>VLOOKUP($A288,Table1[#This Row],COLUMN(R287), FALSE)</f>
        <v>HIGH</v>
      </c>
      <c r="S288" t="str">
        <f>VLOOKUP($A288,Table1[#This Row],COLUMN(S287), FALSE)</f>
        <v>office supplies</v>
      </c>
      <c r="T288" t="str">
        <f>VLOOKUP($A288,Table1[#This Row],COLUMN(T287), FALSE)</f>
        <v>41216</v>
      </c>
      <c r="U288" t="str">
        <f>VLOOKUP($A288,Table1[#This Row],COLUMN(U287), FALSE)</f>
        <v>CS1184516</v>
      </c>
      <c r="V288" t="str">
        <f>VLOOKUP($A288,Table1[#This Row],COLUMN(V287), FALSE)</f>
        <v>MX</v>
      </c>
      <c r="W288">
        <f>VLOOKUP($A288,Table1[#This Row],COLUMN(W287), FALSE)</f>
        <v>2012</v>
      </c>
      <c r="X288" t="str">
        <f>VLOOKUP($A288,Table1[#This Row],COLUMN(X287), FALSE)</f>
        <v>CS1184516</v>
      </c>
      <c r="Y288">
        <f>VLOOKUP($A288,Table1[#This Row],COLUMN(Y287), FALSE)</f>
        <v>41216</v>
      </c>
      <c r="Z288" t="str">
        <f>VLOOKUP($A288,Table1[#This Row],COLUMN(Z287), FALSE)</f>
        <v>MX-2012-CS1184516-41216</v>
      </c>
      <c r="AA288">
        <f>VLOOKUP($A288,Table1[#This Row],COLUMN(AA287), FALSE)</f>
        <v>2012</v>
      </c>
      <c r="AB288">
        <f>VLOOKUP($A288,Table1[#This Row],COLUMN(AB287), FALSE)</f>
        <v>11</v>
      </c>
      <c r="AC288">
        <f>VLOOKUP($A288,Table1[#This Row],COLUMN(AC287), FALSE)</f>
        <v>7</v>
      </c>
      <c r="AD288">
        <f>VLOOKUP($A288,Table1[#This Row],COLUMN(AD287), FALSE)</f>
        <v>2</v>
      </c>
    </row>
    <row r="289" spans="1:30" ht="15.75">
      <c r="A289" s="54" t="s">
        <v>189</v>
      </c>
      <c r="B289" s="52">
        <f>VLOOKUP($A289,Table1[#This Row],COLUMN(B288), FALSE)</f>
        <v>41882</v>
      </c>
      <c r="C289" s="52">
        <f>VLOOKUP($A289,Table1[#This Row],COLUMN(C288), FALSE)</f>
        <v>41885</v>
      </c>
      <c r="D289" t="str">
        <f>VLOOKUP($A289,Table1[#This Row],COLUMN(D288), FALSE)</f>
        <v>Kimberly Carter</v>
      </c>
      <c r="E289" t="str">
        <f>VLOOKUP($A289,Table1[#This Row],COLUMN(E288), FALSE)</f>
        <v>Germany</v>
      </c>
      <c r="F289" t="str">
        <f>VLOOKUP($A289,Table1[#This Row],COLUMN(F288), FALSE)</f>
        <v>Western Europe</v>
      </c>
      <c r="G289" t="str">
        <f>VLOOKUP($A289,Table1[#This Row],COLUMN(G288), FALSE)</f>
        <v>Technology</v>
      </c>
      <c r="H289" t="str">
        <f>VLOOKUP($A289,Table1[#This Row],COLUMN(H288), FALSE)</f>
        <v>Storage</v>
      </c>
      <c r="I289">
        <f>VLOOKUP($A289,Table1[#This Row],COLUMN(I288), FALSE)</f>
        <v>794.7</v>
      </c>
      <c r="J289">
        <f>VLOOKUP($A289,Table1[#This Row],COLUMN(J288), FALSE)</f>
        <v>3</v>
      </c>
      <c r="K289">
        <f>VLOOKUP($A289,Table1[#This Row],COLUMN(K288), FALSE)</f>
        <v>0</v>
      </c>
      <c r="L289">
        <f>VLOOKUP($A289,Table1[#This Row],COLUMN(L288), FALSE)</f>
        <v>174.78</v>
      </c>
      <c r="M289" t="str">
        <f>VLOOKUP($A289,Table1[#This Row],COLUMN(M288), FALSE)</f>
        <v>Critical</v>
      </c>
      <c r="N289" t="str">
        <f>VLOOKUP($A289,Table1[#This Row],COLUMN(N288), FALSE)</f>
        <v>Normal Order</v>
      </c>
      <c r="O289" t="str">
        <f>VLOOKUP($A289,Table1[#This Row],COLUMN(O288), FALSE)</f>
        <v>Kimberly Carter</v>
      </c>
      <c r="P289" t="str">
        <f>VLOOKUP($A289,Table1[#This Row],COLUMN(P288), FALSE)</f>
        <v>IT</v>
      </c>
      <c r="Q289" t="str">
        <f>VLOOKUP($A289,Table1[#This Row],COLUMN(Q288), FALSE)</f>
        <v>2014</v>
      </c>
      <c r="R289" t="str">
        <f>VLOOKUP($A289,Table1[#This Row],COLUMN(R288), FALSE)</f>
        <v>CRITICAL</v>
      </c>
      <c r="S289" t="str">
        <f>VLOOKUP($A289,Table1[#This Row],COLUMN(S288), FALSE)</f>
        <v>technology</v>
      </c>
      <c r="T289" t="str">
        <f>VLOOKUP($A289,Table1[#This Row],COLUMN(T288), FALSE)</f>
        <v>41882</v>
      </c>
      <c r="U289" t="str">
        <f>VLOOKUP($A289,Table1[#This Row],COLUMN(U288), FALSE)</f>
        <v>KC1667548</v>
      </c>
      <c r="V289" t="str">
        <f>VLOOKUP($A289,Table1[#This Row],COLUMN(V288), FALSE)</f>
        <v>IT</v>
      </c>
      <c r="W289">
        <f>VLOOKUP($A289,Table1[#This Row],COLUMN(W288), FALSE)</f>
        <v>2014</v>
      </c>
      <c r="X289" t="str">
        <f>VLOOKUP($A289,Table1[#This Row],COLUMN(X288), FALSE)</f>
        <v>KC1667548</v>
      </c>
      <c r="Y289">
        <f>VLOOKUP($A289,Table1[#This Row],COLUMN(Y288), FALSE)</f>
        <v>41882</v>
      </c>
      <c r="Z289" t="str">
        <f>VLOOKUP($A289,Table1[#This Row],COLUMN(Z288), FALSE)</f>
        <v>IT-2014-KC1667548-41882</v>
      </c>
      <c r="AA289">
        <f>VLOOKUP($A289,Table1[#This Row],COLUMN(AA288), FALSE)</f>
        <v>2014</v>
      </c>
      <c r="AB289">
        <f>VLOOKUP($A289,Table1[#This Row],COLUMN(AB288), FALSE)</f>
        <v>8</v>
      </c>
      <c r="AC289">
        <f>VLOOKUP($A289,Table1[#This Row],COLUMN(AC288), FALSE)</f>
        <v>1</v>
      </c>
      <c r="AD289">
        <f>VLOOKUP($A289,Table1[#This Row],COLUMN(AD288), FALSE)</f>
        <v>3</v>
      </c>
    </row>
    <row r="290" spans="1:30" ht="15.75">
      <c r="A290" s="53" t="s">
        <v>1556</v>
      </c>
      <c r="B290" s="52">
        <f>VLOOKUP($A290,Table1[#This Row],COLUMN(B289), FALSE)</f>
        <v>41241</v>
      </c>
      <c r="C290" s="52">
        <f>VLOOKUP($A290,Table1[#This Row],COLUMN(C289), FALSE)</f>
        <v>41248</v>
      </c>
      <c r="D290" t="str">
        <f>VLOOKUP($A290,Table1[#This Row],COLUMN(D289), FALSE)</f>
        <v>Alan Hwang</v>
      </c>
      <c r="E290" t="str">
        <f>VLOOKUP($A290,Table1[#This Row],COLUMN(E289), FALSE)</f>
        <v>United States</v>
      </c>
      <c r="F290" t="str">
        <f>VLOOKUP($A290,Table1[#This Row],COLUMN(F289), FALSE)</f>
        <v>Western US</v>
      </c>
      <c r="G290" t="str">
        <f>VLOOKUP($A290,Table1[#This Row],COLUMN(G289), FALSE)</f>
        <v>Office Supplies</v>
      </c>
      <c r="H290" t="str">
        <f>VLOOKUP($A290,Table1[#This Row],COLUMN(H289), FALSE)</f>
        <v>Bookcases</v>
      </c>
      <c r="I290">
        <f>VLOOKUP($A290,Table1[#This Row],COLUMN(I289), FALSE)</f>
        <v>30.4</v>
      </c>
      <c r="J290">
        <f>VLOOKUP($A290,Table1[#This Row],COLUMN(J289), FALSE)</f>
        <v>5</v>
      </c>
      <c r="K290">
        <f>VLOOKUP($A290,Table1[#This Row],COLUMN(K289), FALSE)</f>
        <v>0</v>
      </c>
      <c r="L290">
        <f>VLOOKUP($A290,Table1[#This Row],COLUMN(L289), FALSE)</f>
        <v>15.2</v>
      </c>
      <c r="M290" t="str">
        <f>VLOOKUP($A290,Table1[#This Row],COLUMN(M289), FALSE)</f>
        <v>Medium</v>
      </c>
      <c r="N290" t="str">
        <f>VLOOKUP($A290,Table1[#This Row],COLUMN(N289), FALSE)</f>
        <v>Normal Order</v>
      </c>
      <c r="O290" t="str">
        <f>VLOOKUP($A290,Table1[#This Row],COLUMN(O289), FALSE)</f>
        <v>Alan Hwang</v>
      </c>
      <c r="P290" t="str">
        <f>VLOOKUP($A290,Table1[#This Row],COLUMN(P289), FALSE)</f>
        <v>CA</v>
      </c>
      <c r="Q290" t="str">
        <f>VLOOKUP($A290,Table1[#This Row],COLUMN(Q289), FALSE)</f>
        <v>2012</v>
      </c>
      <c r="R290" t="str">
        <f>VLOOKUP($A290,Table1[#This Row],COLUMN(R289), FALSE)</f>
        <v>MEDIUM</v>
      </c>
      <c r="S290" t="str">
        <f>VLOOKUP($A290,Table1[#This Row],COLUMN(S289), FALSE)</f>
        <v>office supplies</v>
      </c>
      <c r="T290" t="str">
        <f>VLOOKUP($A290,Table1[#This Row],COLUMN(T289), FALSE)</f>
        <v>41241</v>
      </c>
      <c r="U290" t="str">
        <f>VLOOKUP($A290,Table1[#This Row],COLUMN(U289), FALSE)</f>
        <v>AH10210140</v>
      </c>
      <c r="V290" t="str">
        <f>VLOOKUP($A290,Table1[#This Row],COLUMN(V289), FALSE)</f>
        <v>CA</v>
      </c>
      <c r="W290">
        <f>VLOOKUP($A290,Table1[#This Row],COLUMN(W289), FALSE)</f>
        <v>2012</v>
      </c>
      <c r="X290" t="str">
        <f>VLOOKUP($A290,Table1[#This Row],COLUMN(X289), FALSE)</f>
        <v>AH10210140</v>
      </c>
      <c r="Y290">
        <f>VLOOKUP($A290,Table1[#This Row],COLUMN(Y289), FALSE)</f>
        <v>41241</v>
      </c>
      <c r="Z290" t="str">
        <f>VLOOKUP($A290,Table1[#This Row],COLUMN(Z289), FALSE)</f>
        <v>CA-2012-AH10210140-41241</v>
      </c>
      <c r="AA290">
        <f>VLOOKUP($A290,Table1[#This Row],COLUMN(AA289), FALSE)</f>
        <v>2012</v>
      </c>
      <c r="AB290">
        <f>VLOOKUP($A290,Table1[#This Row],COLUMN(AB289), FALSE)</f>
        <v>11</v>
      </c>
      <c r="AC290">
        <f>VLOOKUP($A290,Table1[#This Row],COLUMN(AC289), FALSE)</f>
        <v>4</v>
      </c>
      <c r="AD290">
        <f>VLOOKUP($A290,Table1[#This Row],COLUMN(AD289), FALSE)</f>
        <v>7</v>
      </c>
    </row>
    <row r="291" spans="1:30" ht="15.75">
      <c r="A291" s="54" t="s">
        <v>1590</v>
      </c>
      <c r="B291" s="52">
        <f>VLOOKUP($A291,Table1[#This Row],COLUMN(B290), FALSE)</f>
        <v>41527</v>
      </c>
      <c r="C291" s="52">
        <f>VLOOKUP($A291,Table1[#This Row],COLUMN(C290), FALSE)</f>
        <v>41529</v>
      </c>
      <c r="D291" t="str">
        <f>VLOOKUP($A291,Table1[#This Row],COLUMN(D290), FALSE)</f>
        <v>Parhena Norris</v>
      </c>
      <c r="E291" t="str">
        <f>VLOOKUP($A291,Table1[#This Row],COLUMN(E290), FALSE)</f>
        <v>China</v>
      </c>
      <c r="F291" t="str">
        <f>VLOOKUP($A291,Table1[#This Row],COLUMN(F290), FALSE)</f>
        <v>Eastern Asia</v>
      </c>
      <c r="G291" t="str">
        <f>VLOOKUP($A291,Table1[#This Row],COLUMN(G290), FALSE)</f>
        <v>Furniture</v>
      </c>
      <c r="H291" t="str">
        <f>VLOOKUP($A291,Table1[#This Row],COLUMN(H290), FALSE)</f>
        <v>Binders</v>
      </c>
      <c r="I291">
        <f>VLOOKUP($A291,Table1[#This Row],COLUMN(I290), FALSE)</f>
        <v>1859.99999999999</v>
      </c>
      <c r="J291">
        <f>VLOOKUP($A291,Table1[#This Row],COLUMN(J290), FALSE)</f>
        <v>4</v>
      </c>
      <c r="K291">
        <f>VLOOKUP($A291,Table1[#This Row],COLUMN(K290), FALSE)</f>
        <v>0</v>
      </c>
      <c r="L291">
        <f>VLOOKUP($A291,Table1[#This Row],COLUMN(L290), FALSE)</f>
        <v>316.2</v>
      </c>
      <c r="M291" t="str">
        <f>VLOOKUP($A291,Table1[#This Row],COLUMN(M290), FALSE)</f>
        <v>High</v>
      </c>
      <c r="N291" t="str">
        <f>VLOOKUP($A291,Table1[#This Row],COLUMN(N290), FALSE)</f>
        <v>Normal Order</v>
      </c>
      <c r="O291" t="str">
        <f>VLOOKUP($A291,Table1[#This Row],COLUMN(O290), FALSE)</f>
        <v>Parhena Norris</v>
      </c>
      <c r="P291" t="str">
        <f>VLOOKUP($A291,Table1[#This Row],COLUMN(P290), FALSE)</f>
        <v>IN</v>
      </c>
      <c r="Q291" t="str">
        <f>VLOOKUP($A291,Table1[#This Row],COLUMN(Q290), FALSE)</f>
        <v>2013</v>
      </c>
      <c r="R291" t="str">
        <f>VLOOKUP($A291,Table1[#This Row],COLUMN(R290), FALSE)</f>
        <v>HIGH</v>
      </c>
      <c r="S291" t="str">
        <f>VLOOKUP($A291,Table1[#This Row],COLUMN(S290), FALSE)</f>
        <v>furniture</v>
      </c>
      <c r="T291" t="str">
        <f>VLOOKUP($A291,Table1[#This Row],COLUMN(T290), FALSE)</f>
        <v>41527</v>
      </c>
      <c r="U291" t="str">
        <f>VLOOKUP($A291,Table1[#This Row],COLUMN(U290), FALSE)</f>
        <v>PN1877527</v>
      </c>
      <c r="V291" t="str">
        <f>VLOOKUP($A291,Table1[#This Row],COLUMN(V290), FALSE)</f>
        <v>IN</v>
      </c>
      <c r="W291">
        <f>VLOOKUP($A291,Table1[#This Row],COLUMN(W290), FALSE)</f>
        <v>2013</v>
      </c>
      <c r="X291" t="str">
        <f>VLOOKUP($A291,Table1[#This Row],COLUMN(X290), FALSE)</f>
        <v>PN1877527</v>
      </c>
      <c r="Y291">
        <f>VLOOKUP($A291,Table1[#This Row],COLUMN(Y290), FALSE)</f>
        <v>41527</v>
      </c>
      <c r="Z291" t="str">
        <f>VLOOKUP($A291,Table1[#This Row],COLUMN(Z290), FALSE)</f>
        <v>IN-2013-PN1877527-41527</v>
      </c>
      <c r="AA291">
        <f>VLOOKUP($A291,Table1[#This Row],COLUMN(AA290), FALSE)</f>
        <v>2013</v>
      </c>
      <c r="AB291">
        <f>VLOOKUP($A291,Table1[#This Row],COLUMN(AB290), FALSE)</f>
        <v>9</v>
      </c>
      <c r="AC291">
        <f>VLOOKUP($A291,Table1[#This Row],COLUMN(AC290), FALSE)</f>
        <v>3</v>
      </c>
      <c r="AD291">
        <f>VLOOKUP($A291,Table1[#This Row],COLUMN(AD290), FALSE)</f>
        <v>2</v>
      </c>
    </row>
    <row r="292" spans="1:30" ht="15.75">
      <c r="A292" s="53" t="s">
        <v>1593</v>
      </c>
      <c r="B292" s="52">
        <f>VLOOKUP($A292,Table1[#This Row],COLUMN(B291), FALSE)</f>
        <v>41936</v>
      </c>
      <c r="C292" s="52">
        <f>VLOOKUP($A292,Table1[#This Row],COLUMN(C291), FALSE)</f>
        <v>41936</v>
      </c>
      <c r="D292" t="str">
        <f>VLOOKUP($A292,Table1[#This Row],COLUMN(D291), FALSE)</f>
        <v>Eugene Hildebrand</v>
      </c>
      <c r="E292" t="str">
        <f>VLOOKUP($A292,Table1[#This Row],COLUMN(E291), FALSE)</f>
        <v>Malaysia</v>
      </c>
      <c r="F292" t="str">
        <f>VLOOKUP($A292,Table1[#This Row],COLUMN(F291), FALSE)</f>
        <v>Southeastern Asia</v>
      </c>
      <c r="G292" t="str">
        <f>VLOOKUP($A292,Table1[#This Row],COLUMN(G291), FALSE)</f>
        <v>Technology</v>
      </c>
      <c r="H292" t="str">
        <f>VLOOKUP($A292,Table1[#This Row],COLUMN(H291), FALSE)</f>
        <v>Chairs</v>
      </c>
      <c r="I292">
        <f>VLOOKUP($A292,Table1[#This Row],COLUMN(I291), FALSE)</f>
        <v>881.1</v>
      </c>
      <c r="J292">
        <f>VLOOKUP($A292,Table1[#This Row],COLUMN(J291), FALSE)</f>
        <v>5</v>
      </c>
      <c r="K292">
        <f>VLOOKUP($A292,Table1[#This Row],COLUMN(K291), FALSE)</f>
        <v>0</v>
      </c>
      <c r="L292">
        <f>VLOOKUP($A292,Table1[#This Row],COLUMN(L291), FALSE)</f>
        <v>184.95</v>
      </c>
      <c r="M292" t="str">
        <f>VLOOKUP($A292,Table1[#This Row],COLUMN(M291), FALSE)</f>
        <v>High</v>
      </c>
      <c r="N292" t="str">
        <f>VLOOKUP($A292,Table1[#This Row],COLUMN(N291), FALSE)</f>
        <v>Normal Order</v>
      </c>
      <c r="O292" t="str">
        <f>VLOOKUP($A292,Table1[#This Row],COLUMN(O291), FALSE)</f>
        <v>Eugene Hildebrand</v>
      </c>
      <c r="P292" t="str">
        <f>VLOOKUP($A292,Table1[#This Row],COLUMN(P291), FALSE)</f>
        <v>IN</v>
      </c>
      <c r="Q292" t="str">
        <f>VLOOKUP($A292,Table1[#This Row],COLUMN(Q291), FALSE)</f>
        <v>2014</v>
      </c>
      <c r="R292" t="str">
        <f>VLOOKUP($A292,Table1[#This Row],COLUMN(R291), FALSE)</f>
        <v>HIGH</v>
      </c>
      <c r="S292" t="str">
        <f>VLOOKUP($A292,Table1[#This Row],COLUMN(S291), FALSE)</f>
        <v>technology</v>
      </c>
      <c r="T292" t="str">
        <f>VLOOKUP($A292,Table1[#This Row],COLUMN(T291), FALSE)</f>
        <v>41936</v>
      </c>
      <c r="U292" t="str">
        <f>VLOOKUP($A292,Table1[#This Row],COLUMN(U291), FALSE)</f>
        <v>EH1412578</v>
      </c>
      <c r="V292" t="str">
        <f>VLOOKUP($A292,Table1[#This Row],COLUMN(V291), FALSE)</f>
        <v>IN</v>
      </c>
      <c r="W292">
        <f>VLOOKUP($A292,Table1[#This Row],COLUMN(W291), FALSE)</f>
        <v>2014</v>
      </c>
      <c r="X292" t="str">
        <f>VLOOKUP($A292,Table1[#This Row],COLUMN(X291), FALSE)</f>
        <v>EH1412578</v>
      </c>
      <c r="Y292">
        <f>VLOOKUP($A292,Table1[#This Row],COLUMN(Y291), FALSE)</f>
        <v>41936</v>
      </c>
      <c r="Z292" t="str">
        <f>VLOOKUP($A292,Table1[#This Row],COLUMN(Z291), FALSE)</f>
        <v>IN-2014-EH1412578-41936</v>
      </c>
      <c r="AA292">
        <f>VLOOKUP($A292,Table1[#This Row],COLUMN(AA291), FALSE)</f>
        <v>2014</v>
      </c>
      <c r="AB292">
        <f>VLOOKUP($A292,Table1[#This Row],COLUMN(AB291), FALSE)</f>
        <v>10</v>
      </c>
      <c r="AC292">
        <f>VLOOKUP($A292,Table1[#This Row],COLUMN(AC291), FALSE)</f>
        <v>6</v>
      </c>
      <c r="AD292">
        <f>VLOOKUP($A292,Table1[#This Row],COLUMN(AD291), FALSE)</f>
        <v>0</v>
      </c>
    </row>
    <row r="293" spans="1:30" ht="15.75">
      <c r="A293" s="54" t="s">
        <v>1594</v>
      </c>
      <c r="B293" s="52">
        <f>VLOOKUP($A293,Table1[#This Row],COLUMN(B292), FALSE)</f>
        <v>41801</v>
      </c>
      <c r="C293" s="52">
        <f>VLOOKUP($A293,Table1[#This Row],COLUMN(C292), FALSE)</f>
        <v>41805</v>
      </c>
      <c r="D293" t="str">
        <f>VLOOKUP($A293,Table1[#This Row],COLUMN(D292), FALSE)</f>
        <v>Arthur Gainer</v>
      </c>
      <c r="E293" t="str">
        <f>VLOOKUP($A293,Table1[#This Row],COLUMN(E292), FALSE)</f>
        <v>France</v>
      </c>
      <c r="F293" t="str">
        <f>VLOOKUP($A293,Table1[#This Row],COLUMN(F292), FALSE)</f>
        <v>WESTERN EUROPE</v>
      </c>
      <c r="G293" t="str">
        <f>VLOOKUP($A293,Table1[#This Row],COLUMN(G292), FALSE)</f>
        <v>Technology</v>
      </c>
      <c r="H293" t="str">
        <f>VLOOKUP($A293,Table1[#This Row],COLUMN(H292), FALSE)</f>
        <v>Phones</v>
      </c>
      <c r="I293">
        <f>VLOOKUP($A293,Table1[#This Row],COLUMN(I292), FALSE)</f>
        <v>1622.1824999999999</v>
      </c>
      <c r="J293">
        <f>VLOOKUP($A293,Table1[#This Row],COLUMN(J292), FALSE)</f>
        <v>3</v>
      </c>
      <c r="K293">
        <f>VLOOKUP($A293,Table1[#This Row],COLUMN(K292), FALSE)</f>
        <v>0.15</v>
      </c>
      <c r="L293">
        <f>VLOOKUP($A293,Table1[#This Row],COLUMN(L292), FALSE)</f>
        <v>324.38249999999903</v>
      </c>
      <c r="M293" t="str">
        <f>VLOOKUP($A293,Table1[#This Row],COLUMN(M292), FALSE)</f>
        <v>High</v>
      </c>
      <c r="N293" t="str">
        <f>VLOOKUP($A293,Table1[#This Row],COLUMN(N292), FALSE)</f>
        <v>Normal Order</v>
      </c>
      <c r="O293" t="str">
        <f>VLOOKUP($A293,Table1[#This Row],COLUMN(O292), FALSE)</f>
        <v>Arthur Gainer</v>
      </c>
      <c r="P293" t="str">
        <f>VLOOKUP($A293,Table1[#This Row],COLUMN(P292), FALSE)</f>
        <v xml:space="preserve"> E</v>
      </c>
      <c r="Q293" t="str">
        <f>VLOOKUP($A293,Table1[#This Row],COLUMN(Q292), FALSE)</f>
        <v>-201</v>
      </c>
      <c r="R293" t="str">
        <f>VLOOKUP($A293,Table1[#This Row],COLUMN(R292), FALSE)</f>
        <v>HIGH</v>
      </c>
      <c r="S293" t="str">
        <f>VLOOKUP($A293,Table1[#This Row],COLUMN(S292), FALSE)</f>
        <v>technology</v>
      </c>
      <c r="T293" t="str">
        <f>VLOOKUP($A293,Table1[#This Row],COLUMN(T292), FALSE)</f>
        <v xml:space="preserve">1801 </v>
      </c>
      <c r="U293" t="str">
        <f>VLOOKUP($A293,Table1[#This Row],COLUMN(U292), FALSE)</f>
        <v>AG1090045</v>
      </c>
      <c r="V293" t="str">
        <f>VLOOKUP($A293,Table1[#This Row],COLUMN(V292), FALSE)</f>
        <v xml:space="preserve"> ES</v>
      </c>
      <c r="W293">
        <f>VLOOKUP($A293,Table1[#This Row],COLUMN(W292), FALSE)</f>
        <v>2014</v>
      </c>
      <c r="X293" t="str">
        <f>VLOOKUP($A293,Table1[#This Row],COLUMN(X292), FALSE)</f>
        <v>AG1090045</v>
      </c>
      <c r="Y293">
        <f>VLOOKUP($A293,Table1[#This Row],COLUMN(Y292), FALSE)</f>
        <v>41801</v>
      </c>
      <c r="Z293" t="str">
        <f>VLOOKUP($A293,Table1[#This Row],COLUMN(Z292), FALSE)</f>
        <v>ES-2014-AG1090045-41801</v>
      </c>
      <c r="AA293">
        <f>VLOOKUP($A293,Table1[#This Row],COLUMN(AA292), FALSE)</f>
        <v>2014</v>
      </c>
      <c r="AB293">
        <f>VLOOKUP($A293,Table1[#This Row],COLUMN(AB292), FALSE)</f>
        <v>6</v>
      </c>
      <c r="AC293">
        <f>VLOOKUP($A293,Table1[#This Row],COLUMN(AC292), FALSE)</f>
        <v>4</v>
      </c>
      <c r="AD293">
        <f>VLOOKUP($A293,Table1[#This Row],COLUMN(AD292), FALSE)</f>
        <v>4</v>
      </c>
    </row>
    <row r="294" spans="1:30" ht="15.75">
      <c r="A294" s="53" t="s">
        <v>1598</v>
      </c>
      <c r="B294" s="52">
        <f>VLOOKUP($A294,Table1[#This Row],COLUMN(B293), FALSE)</f>
        <v>41690</v>
      </c>
      <c r="C294" s="52">
        <f>VLOOKUP($A294,Table1[#This Row],COLUMN(C293), FALSE)</f>
        <v>41697</v>
      </c>
      <c r="D294" t="str">
        <f>VLOOKUP($A294,Table1[#This Row],COLUMN(D293), FALSE)</f>
        <v>Alan Hwang</v>
      </c>
      <c r="E294" t="str">
        <f>VLOOKUP($A294,Table1[#This Row],COLUMN(E293), FALSE)</f>
        <v>United States</v>
      </c>
      <c r="F294" t="str">
        <f>VLOOKUP($A294,Table1[#This Row],COLUMN(F293), FALSE)</f>
        <v>Southern US</v>
      </c>
      <c r="G294" t="str">
        <f>VLOOKUP($A294,Table1[#This Row],COLUMN(G293), FALSE)</f>
        <v>Office Supplies</v>
      </c>
      <c r="H294" t="str">
        <f>VLOOKUP($A294,Table1[#This Row],COLUMN(H293), FALSE)</f>
        <v>Machines</v>
      </c>
      <c r="I294">
        <f>VLOOKUP($A294,Table1[#This Row],COLUMN(I293), FALSE)</f>
        <v>16.495999999999999</v>
      </c>
      <c r="J294">
        <f>VLOOKUP($A294,Table1[#This Row],COLUMN(J293), FALSE)</f>
        <v>2</v>
      </c>
      <c r="K294">
        <f>VLOOKUP($A294,Table1[#This Row],COLUMN(K293), FALSE)</f>
        <v>0.2</v>
      </c>
      <c r="L294">
        <f>VLOOKUP($A294,Table1[#This Row],COLUMN(L293), FALSE)</f>
        <v>5.5673999999999904</v>
      </c>
      <c r="M294" t="str">
        <f>VLOOKUP($A294,Table1[#This Row],COLUMN(M293), FALSE)</f>
        <v>Medium</v>
      </c>
      <c r="N294" t="str">
        <f>VLOOKUP($A294,Table1[#This Row],COLUMN(N293), FALSE)</f>
        <v>Normal Order</v>
      </c>
      <c r="O294" t="str">
        <f>VLOOKUP($A294,Table1[#This Row],COLUMN(O293), FALSE)</f>
        <v>Alan Hwang</v>
      </c>
      <c r="P294" t="str">
        <f>VLOOKUP($A294,Table1[#This Row],COLUMN(P293), FALSE)</f>
        <v>CA</v>
      </c>
      <c r="Q294" t="str">
        <f>VLOOKUP($A294,Table1[#This Row],COLUMN(Q293), FALSE)</f>
        <v>2014</v>
      </c>
      <c r="R294" t="str">
        <f>VLOOKUP($A294,Table1[#This Row],COLUMN(R293), FALSE)</f>
        <v>MEDIUM</v>
      </c>
      <c r="S294" t="str">
        <f>VLOOKUP($A294,Table1[#This Row],COLUMN(S293), FALSE)</f>
        <v>office supplies</v>
      </c>
      <c r="T294" t="str">
        <f>VLOOKUP($A294,Table1[#This Row],COLUMN(T293), FALSE)</f>
        <v>41690</v>
      </c>
      <c r="U294" t="str">
        <f>VLOOKUP($A294,Table1[#This Row],COLUMN(U293), FALSE)</f>
        <v>AH10210140</v>
      </c>
      <c r="V294" t="str">
        <f>VLOOKUP($A294,Table1[#This Row],COLUMN(V293), FALSE)</f>
        <v>CA</v>
      </c>
      <c r="W294">
        <f>VLOOKUP($A294,Table1[#This Row],COLUMN(W293), FALSE)</f>
        <v>2014</v>
      </c>
      <c r="X294" t="str">
        <f>VLOOKUP($A294,Table1[#This Row],COLUMN(X293), FALSE)</f>
        <v>AH10210140</v>
      </c>
      <c r="Y294">
        <f>VLOOKUP($A294,Table1[#This Row],COLUMN(Y293), FALSE)</f>
        <v>41690</v>
      </c>
      <c r="Z294" t="str">
        <f>VLOOKUP($A294,Table1[#This Row],COLUMN(Z293), FALSE)</f>
        <v>CA-2014-AH10210140-41690</v>
      </c>
      <c r="AA294">
        <f>VLOOKUP($A294,Table1[#This Row],COLUMN(AA293), FALSE)</f>
        <v>2014</v>
      </c>
      <c r="AB294">
        <f>VLOOKUP($A294,Table1[#This Row],COLUMN(AB293), FALSE)</f>
        <v>2</v>
      </c>
      <c r="AC294">
        <f>VLOOKUP($A294,Table1[#This Row],COLUMN(AC293), FALSE)</f>
        <v>5</v>
      </c>
      <c r="AD294">
        <f>VLOOKUP($A294,Table1[#This Row],COLUMN(AD293), FALSE)</f>
        <v>7</v>
      </c>
    </row>
    <row r="295" spans="1:30" ht="15.75">
      <c r="A295" s="54" t="s">
        <v>1600</v>
      </c>
      <c r="B295" s="52">
        <f>VLOOKUP($A295,Table1[#This Row],COLUMN(B294), FALSE)</f>
        <v>41930</v>
      </c>
      <c r="C295" s="52">
        <f>VLOOKUP($A295,Table1[#This Row],COLUMN(C294), FALSE)</f>
        <v>41934</v>
      </c>
      <c r="D295" t="str">
        <f>VLOOKUP($A295,Table1[#This Row],COLUMN(D294), FALSE)</f>
        <v>Brosina Hoffman</v>
      </c>
      <c r="E295" t="str">
        <f>VLOOKUP($A295,Table1[#This Row],COLUMN(E294), FALSE)</f>
        <v>El Salvador</v>
      </c>
      <c r="F295" t="str">
        <f>VLOOKUP($A295,Table1[#This Row],COLUMN(F294), FALSE)</f>
        <v>Central America</v>
      </c>
      <c r="G295" t="str">
        <f>VLOOKUP($A295,Table1[#This Row],COLUMN(G294), FALSE)</f>
        <v>Technology</v>
      </c>
      <c r="H295" t="str">
        <f>VLOOKUP($A295,Table1[#This Row],COLUMN(H294), FALSE)</f>
        <v>Machines</v>
      </c>
      <c r="I295">
        <f>VLOOKUP($A295,Table1[#This Row],COLUMN(I294), FALSE)</f>
        <v>2120.8000000000002</v>
      </c>
      <c r="J295">
        <f>VLOOKUP($A295,Table1[#This Row],COLUMN(J294), FALSE)</f>
        <v>5</v>
      </c>
      <c r="K295">
        <f>VLOOKUP($A295,Table1[#This Row],COLUMN(K294), FALSE)</f>
        <v>0</v>
      </c>
      <c r="L295">
        <f>VLOOKUP($A295,Table1[#This Row],COLUMN(L294), FALSE)</f>
        <v>275.7</v>
      </c>
      <c r="M295" t="str">
        <f>VLOOKUP($A295,Table1[#This Row],COLUMN(M294), FALSE)</f>
        <v>High</v>
      </c>
      <c r="N295" t="str">
        <f>VLOOKUP($A295,Table1[#This Row],COLUMN(N294), FALSE)</f>
        <v>Normal Order</v>
      </c>
      <c r="O295" t="str">
        <f>VLOOKUP($A295,Table1[#This Row],COLUMN(O294), FALSE)</f>
        <v>Brosina Hoffman</v>
      </c>
      <c r="P295" t="str">
        <f>VLOOKUP($A295,Table1[#This Row],COLUMN(P294), FALSE)</f>
        <v>MX</v>
      </c>
      <c r="Q295" t="str">
        <f>VLOOKUP($A295,Table1[#This Row],COLUMN(Q294), FALSE)</f>
        <v>2014</v>
      </c>
      <c r="R295" t="str">
        <f>VLOOKUP($A295,Table1[#This Row],COLUMN(R294), FALSE)</f>
        <v>HIGH</v>
      </c>
      <c r="S295" t="str">
        <f>VLOOKUP($A295,Table1[#This Row],COLUMN(S294), FALSE)</f>
        <v>technology</v>
      </c>
      <c r="T295" t="str">
        <f>VLOOKUP($A295,Table1[#This Row],COLUMN(T294), FALSE)</f>
        <v>41930</v>
      </c>
      <c r="U295" t="str">
        <f>VLOOKUP($A295,Table1[#This Row],COLUMN(U294), FALSE)</f>
        <v>BH1171039</v>
      </c>
      <c r="V295" t="str">
        <f>VLOOKUP($A295,Table1[#This Row],COLUMN(V294), FALSE)</f>
        <v>MX</v>
      </c>
      <c r="W295">
        <f>VLOOKUP($A295,Table1[#This Row],COLUMN(W294), FALSE)</f>
        <v>2014</v>
      </c>
      <c r="X295" t="str">
        <f>VLOOKUP($A295,Table1[#This Row],COLUMN(X294), FALSE)</f>
        <v>BH1171039</v>
      </c>
      <c r="Y295">
        <f>VLOOKUP($A295,Table1[#This Row],COLUMN(Y294), FALSE)</f>
        <v>41930</v>
      </c>
      <c r="Z295" t="str">
        <f>VLOOKUP($A295,Table1[#This Row],COLUMN(Z294), FALSE)</f>
        <v>MX-2014-BH1171039-41930</v>
      </c>
      <c r="AA295">
        <f>VLOOKUP($A295,Table1[#This Row],COLUMN(AA294), FALSE)</f>
        <v>2014</v>
      </c>
      <c r="AB295">
        <f>VLOOKUP($A295,Table1[#This Row],COLUMN(AB294), FALSE)</f>
        <v>10</v>
      </c>
      <c r="AC295">
        <f>VLOOKUP($A295,Table1[#This Row],COLUMN(AC294), FALSE)</f>
        <v>7</v>
      </c>
      <c r="AD295">
        <f>VLOOKUP($A295,Table1[#This Row],COLUMN(AD294), FALSE)</f>
        <v>4</v>
      </c>
    </row>
    <row r="296" spans="1:30" ht="15.75">
      <c r="A296" s="53" t="s">
        <v>1604</v>
      </c>
      <c r="B296" s="52">
        <f>VLOOKUP($A296,Table1[#This Row],COLUMN(B295), FALSE)</f>
        <v>41310</v>
      </c>
      <c r="C296" s="52">
        <f>VLOOKUP($A296,Table1[#This Row],COLUMN(C295), FALSE)</f>
        <v>41315</v>
      </c>
      <c r="D296" t="str">
        <f>VLOOKUP($A296,Table1[#This Row],COLUMN(D295), FALSE)</f>
        <v>Stuart Calhoun</v>
      </c>
      <c r="E296" t="str">
        <f>VLOOKUP($A296,Table1[#This Row],COLUMN(E295), FALSE)</f>
        <v>India</v>
      </c>
      <c r="F296" t="str">
        <f>VLOOKUP($A296,Table1[#This Row],COLUMN(F295), FALSE)</f>
        <v>Southern Asia</v>
      </c>
      <c r="G296" t="str">
        <f>VLOOKUP($A296,Table1[#This Row],COLUMN(G295), FALSE)</f>
        <v>Furniture</v>
      </c>
      <c r="H296" t="str">
        <f>VLOOKUP($A296,Table1[#This Row],COLUMN(H295), FALSE)</f>
        <v>Phones</v>
      </c>
      <c r="I296">
        <f>VLOOKUP($A296,Table1[#This Row],COLUMN(I295), FALSE)</f>
        <v>1236.33</v>
      </c>
      <c r="J296">
        <f>VLOOKUP($A296,Table1[#This Row],COLUMN(J295), FALSE)</f>
        <v>3</v>
      </c>
      <c r="K296">
        <f>VLOOKUP($A296,Table1[#This Row],COLUMN(K295), FALSE)</f>
        <v>0</v>
      </c>
      <c r="L296">
        <f>VLOOKUP($A296,Table1[#This Row],COLUMN(L295), FALSE)</f>
        <v>519.21</v>
      </c>
      <c r="M296" t="str">
        <f>VLOOKUP($A296,Table1[#This Row],COLUMN(M295), FALSE)</f>
        <v>High</v>
      </c>
      <c r="N296" t="str">
        <f>VLOOKUP($A296,Table1[#This Row],COLUMN(N295), FALSE)</f>
        <v>Normal Order</v>
      </c>
      <c r="O296" t="str">
        <f>VLOOKUP($A296,Table1[#This Row],COLUMN(O295), FALSE)</f>
        <v>Stuart Calhoun</v>
      </c>
      <c r="P296" t="str">
        <f>VLOOKUP($A296,Table1[#This Row],COLUMN(P295), FALSE)</f>
        <v>IN</v>
      </c>
      <c r="Q296" t="str">
        <f>VLOOKUP($A296,Table1[#This Row],COLUMN(Q295), FALSE)</f>
        <v>2013</v>
      </c>
      <c r="R296" t="str">
        <f>VLOOKUP($A296,Table1[#This Row],COLUMN(R295), FALSE)</f>
        <v>HIGH</v>
      </c>
      <c r="S296" t="str">
        <f>VLOOKUP($A296,Table1[#This Row],COLUMN(S295), FALSE)</f>
        <v>furniture</v>
      </c>
      <c r="T296" t="str">
        <f>VLOOKUP($A296,Table1[#This Row],COLUMN(T295), FALSE)</f>
        <v>41310</v>
      </c>
      <c r="U296" t="str">
        <f>VLOOKUP($A296,Table1[#This Row],COLUMN(U295), FALSE)</f>
        <v>SC2080058</v>
      </c>
      <c r="V296" t="str">
        <f>VLOOKUP($A296,Table1[#This Row],COLUMN(V295), FALSE)</f>
        <v>IN</v>
      </c>
      <c r="W296">
        <f>VLOOKUP($A296,Table1[#This Row],COLUMN(W295), FALSE)</f>
        <v>2013</v>
      </c>
      <c r="X296" t="str">
        <f>VLOOKUP($A296,Table1[#This Row],COLUMN(X295), FALSE)</f>
        <v>SC2080058</v>
      </c>
      <c r="Y296">
        <f>VLOOKUP($A296,Table1[#This Row],COLUMN(Y295), FALSE)</f>
        <v>41310</v>
      </c>
      <c r="Z296" t="str">
        <f>VLOOKUP($A296,Table1[#This Row],COLUMN(Z295), FALSE)</f>
        <v>IN-2013-SC2080058-41310</v>
      </c>
      <c r="AA296">
        <f>VLOOKUP($A296,Table1[#This Row],COLUMN(AA295), FALSE)</f>
        <v>2013</v>
      </c>
      <c r="AB296">
        <f>VLOOKUP($A296,Table1[#This Row],COLUMN(AB295), FALSE)</f>
        <v>2</v>
      </c>
      <c r="AC296">
        <f>VLOOKUP($A296,Table1[#This Row],COLUMN(AC295), FALSE)</f>
        <v>3</v>
      </c>
      <c r="AD296">
        <f>VLOOKUP($A296,Table1[#This Row],COLUMN(AD295), FALSE)</f>
        <v>5</v>
      </c>
    </row>
    <row r="297" spans="1:30" ht="15.75">
      <c r="A297" s="54" t="s">
        <v>1529</v>
      </c>
      <c r="B297" s="52">
        <f>VLOOKUP($A297,Table1[#This Row],COLUMN(B296), FALSE)</f>
        <v>41615</v>
      </c>
      <c r="C297" s="52">
        <f>VLOOKUP($A297,Table1[#This Row],COLUMN(C296), FALSE)</f>
        <v>41617</v>
      </c>
      <c r="D297" t="str">
        <f>VLOOKUP($A297,Table1[#This Row],COLUMN(D296), FALSE)</f>
        <v>Alan Hwang</v>
      </c>
      <c r="E297" t="str">
        <f>VLOOKUP($A297,Table1[#This Row],COLUMN(E296), FALSE)</f>
        <v>United States</v>
      </c>
      <c r="F297" t="str">
        <f>VLOOKUP($A297,Table1[#This Row],COLUMN(F296), FALSE)</f>
        <v>Eastern US</v>
      </c>
      <c r="G297" t="str">
        <f>VLOOKUP($A297,Table1[#This Row],COLUMN(G296), FALSE)</f>
        <v>Office Supplies</v>
      </c>
      <c r="H297" t="str">
        <f>VLOOKUP($A297,Table1[#This Row],COLUMN(H296), FALSE)</f>
        <v>Copiers</v>
      </c>
      <c r="I297">
        <f>VLOOKUP($A297,Table1[#This Row],COLUMN(I296), FALSE)</f>
        <v>6.6879999999999997</v>
      </c>
      <c r="J297">
        <f>VLOOKUP($A297,Table1[#This Row],COLUMN(J296), FALSE)</f>
        <v>2</v>
      </c>
      <c r="K297">
        <f>VLOOKUP($A297,Table1[#This Row],COLUMN(K296), FALSE)</f>
        <v>0.2</v>
      </c>
      <c r="L297">
        <f>VLOOKUP($A297,Table1[#This Row],COLUMN(L296), FALSE)</f>
        <v>2.34079999999999</v>
      </c>
      <c r="M297" t="str">
        <f>VLOOKUP($A297,Table1[#This Row],COLUMN(M296), FALSE)</f>
        <v>Medium</v>
      </c>
      <c r="N297" t="str">
        <f>VLOOKUP($A297,Table1[#This Row],COLUMN(N296), FALSE)</f>
        <v>Normal Order</v>
      </c>
      <c r="O297" t="str">
        <f>VLOOKUP($A297,Table1[#This Row],COLUMN(O296), FALSE)</f>
        <v>Alan Hwang</v>
      </c>
      <c r="P297" t="str">
        <f>VLOOKUP($A297,Table1[#This Row],COLUMN(P296), FALSE)</f>
        <v>CA</v>
      </c>
      <c r="Q297" t="str">
        <f>VLOOKUP($A297,Table1[#This Row],COLUMN(Q296), FALSE)</f>
        <v>2013</v>
      </c>
      <c r="R297" t="str">
        <f>VLOOKUP($A297,Table1[#This Row],COLUMN(R296), FALSE)</f>
        <v>MEDIUM</v>
      </c>
      <c r="S297" t="str">
        <f>VLOOKUP($A297,Table1[#This Row],COLUMN(S296), FALSE)</f>
        <v>office supplies</v>
      </c>
      <c r="T297" t="str">
        <f>VLOOKUP($A297,Table1[#This Row],COLUMN(T296), FALSE)</f>
        <v>41615</v>
      </c>
      <c r="U297" t="str">
        <f>VLOOKUP($A297,Table1[#This Row],COLUMN(U296), FALSE)</f>
        <v>AH10210140</v>
      </c>
      <c r="V297" t="str">
        <f>VLOOKUP($A297,Table1[#This Row],COLUMN(V296), FALSE)</f>
        <v>CA</v>
      </c>
      <c r="W297">
        <f>VLOOKUP($A297,Table1[#This Row],COLUMN(W296), FALSE)</f>
        <v>2013</v>
      </c>
      <c r="X297" t="str">
        <f>VLOOKUP($A297,Table1[#This Row],COLUMN(X296), FALSE)</f>
        <v>AH10210140</v>
      </c>
      <c r="Y297">
        <f>VLOOKUP($A297,Table1[#This Row],COLUMN(Y296), FALSE)</f>
        <v>41615</v>
      </c>
      <c r="Z297" t="str">
        <f>VLOOKUP($A297,Table1[#This Row],COLUMN(Z296), FALSE)</f>
        <v>CA-2013-AH10210140-41615</v>
      </c>
      <c r="AA297">
        <f>VLOOKUP($A297,Table1[#This Row],COLUMN(AA296), FALSE)</f>
        <v>2013</v>
      </c>
      <c r="AB297">
        <f>VLOOKUP($A297,Table1[#This Row],COLUMN(AB296), FALSE)</f>
        <v>12</v>
      </c>
      <c r="AC297">
        <f>VLOOKUP($A297,Table1[#This Row],COLUMN(AC296), FALSE)</f>
        <v>7</v>
      </c>
      <c r="AD297">
        <f>VLOOKUP($A297,Table1[#This Row],COLUMN(AD296), FALSE)</f>
        <v>2</v>
      </c>
    </row>
    <row r="298" spans="1:30" ht="15.75">
      <c r="A298" s="53" t="s">
        <v>156</v>
      </c>
      <c r="B298" s="52">
        <f>VLOOKUP($A298,Table1[#This Row],COLUMN(B297), FALSE)</f>
        <v>42244</v>
      </c>
      <c r="C298" s="52">
        <f>VLOOKUP($A298,Table1[#This Row],COLUMN(C297), FALSE)</f>
        <v>42245</v>
      </c>
      <c r="D298" t="str">
        <f>VLOOKUP($A298,Table1[#This Row],COLUMN(D297), FALSE)</f>
        <v>Arthur Prichep</v>
      </c>
      <c r="E298" t="str">
        <f>VLOOKUP($A298,Table1[#This Row],COLUMN(E297), FALSE)</f>
        <v>China</v>
      </c>
      <c r="F298" t="str">
        <f>VLOOKUP($A298,Table1[#This Row],COLUMN(F297), FALSE)</f>
        <v>EASTERN ASIA</v>
      </c>
      <c r="G298" t="str">
        <f>VLOOKUP($A298,Table1[#This Row],COLUMN(G297), FALSE)</f>
        <v>Technology</v>
      </c>
      <c r="H298" t="str">
        <f>VLOOKUP($A298,Table1[#This Row],COLUMN(H297), FALSE)</f>
        <v>Bookcases</v>
      </c>
      <c r="I298">
        <f>VLOOKUP($A298,Table1[#This Row],COLUMN(I297), FALSE)</f>
        <v>759.66</v>
      </c>
      <c r="J298">
        <f>VLOOKUP($A298,Table1[#This Row],COLUMN(J297), FALSE)</f>
        <v>2</v>
      </c>
      <c r="K298">
        <f>VLOOKUP($A298,Table1[#This Row],COLUMN(K297), FALSE)</f>
        <v>0</v>
      </c>
      <c r="L298">
        <f>VLOOKUP($A298,Table1[#This Row],COLUMN(L297), FALSE)</f>
        <v>311.45999999999998</v>
      </c>
      <c r="M298" t="str">
        <f>VLOOKUP($A298,Table1[#This Row],COLUMN(M297), FALSE)</f>
        <v>High</v>
      </c>
      <c r="N298" t="str">
        <f>VLOOKUP($A298,Table1[#This Row],COLUMN(N297), FALSE)</f>
        <v>Normal Order</v>
      </c>
      <c r="O298" t="str">
        <f>VLOOKUP($A298,Table1[#This Row],COLUMN(O297), FALSE)</f>
        <v>Arthur Prichep</v>
      </c>
      <c r="P298" t="str">
        <f>VLOOKUP($A298,Table1[#This Row],COLUMN(P297), FALSE)</f>
        <v>IN</v>
      </c>
      <c r="Q298" t="str">
        <f>VLOOKUP($A298,Table1[#This Row],COLUMN(Q297), FALSE)</f>
        <v>2015</v>
      </c>
      <c r="R298" t="str">
        <f>VLOOKUP($A298,Table1[#This Row],COLUMN(R297), FALSE)</f>
        <v>HIGH</v>
      </c>
      <c r="S298" t="str">
        <f>VLOOKUP($A298,Table1[#This Row],COLUMN(S297), FALSE)</f>
        <v>technology</v>
      </c>
      <c r="T298" t="str">
        <f>VLOOKUP($A298,Table1[#This Row],COLUMN(T297), FALSE)</f>
        <v>42244</v>
      </c>
      <c r="U298" t="str">
        <f>VLOOKUP($A298,Table1[#This Row],COLUMN(U297), FALSE)</f>
        <v>AP1091527</v>
      </c>
      <c r="V298" t="str">
        <f>VLOOKUP($A298,Table1[#This Row],COLUMN(V297), FALSE)</f>
        <v>IN</v>
      </c>
      <c r="W298">
        <f>VLOOKUP($A298,Table1[#This Row],COLUMN(W297), FALSE)</f>
        <v>2015</v>
      </c>
      <c r="X298" t="str">
        <f>VLOOKUP($A298,Table1[#This Row],COLUMN(X297), FALSE)</f>
        <v>AP1091527</v>
      </c>
      <c r="Y298">
        <f>VLOOKUP($A298,Table1[#This Row],COLUMN(Y297), FALSE)</f>
        <v>42244</v>
      </c>
      <c r="Z298" t="str">
        <f>VLOOKUP($A298,Table1[#This Row],COLUMN(Z297), FALSE)</f>
        <v>IN-2015-AP1091527-42244</v>
      </c>
      <c r="AA298">
        <f>VLOOKUP($A298,Table1[#This Row],COLUMN(AA297), FALSE)</f>
        <v>2015</v>
      </c>
      <c r="AB298">
        <f>VLOOKUP($A298,Table1[#This Row],COLUMN(AB297), FALSE)</f>
        <v>8</v>
      </c>
      <c r="AC298">
        <f>VLOOKUP($A298,Table1[#This Row],COLUMN(AC297), FALSE)</f>
        <v>6</v>
      </c>
      <c r="AD298">
        <f>VLOOKUP($A298,Table1[#This Row],COLUMN(AD297), FALSE)</f>
        <v>1</v>
      </c>
    </row>
    <row r="299" spans="1:30" ht="15.75">
      <c r="A299" s="54" t="s">
        <v>1561</v>
      </c>
      <c r="B299" s="52">
        <f>VLOOKUP($A299,Table1[#This Row],COLUMN(B298), FALSE)</f>
        <v>42072</v>
      </c>
      <c r="C299" s="52">
        <f>VLOOKUP($A299,Table1[#This Row],COLUMN(C298), FALSE)</f>
        <v>42079</v>
      </c>
      <c r="D299" t="str">
        <f>VLOOKUP($A299,Table1[#This Row],COLUMN(D298), FALSE)</f>
        <v>Alan Hwang</v>
      </c>
      <c r="E299" t="str">
        <f>VLOOKUP($A299,Table1[#This Row],COLUMN(E298), FALSE)</f>
        <v>United States</v>
      </c>
      <c r="F299" t="str">
        <f>VLOOKUP($A299,Table1[#This Row],COLUMN(F298), FALSE)</f>
        <v>Western US</v>
      </c>
      <c r="G299" t="str">
        <f>VLOOKUP($A299,Table1[#This Row],COLUMN(G298), FALSE)</f>
        <v>Office Supplies</v>
      </c>
      <c r="H299" t="str">
        <f>VLOOKUP($A299,Table1[#This Row],COLUMN(H298), FALSE)</f>
        <v>Copiers</v>
      </c>
      <c r="I299">
        <f>VLOOKUP($A299,Table1[#This Row],COLUMN(I298), FALSE)</f>
        <v>3.36</v>
      </c>
      <c r="J299">
        <f>VLOOKUP($A299,Table1[#This Row],COLUMN(J298), FALSE)</f>
        <v>2</v>
      </c>
      <c r="K299">
        <f>VLOOKUP($A299,Table1[#This Row],COLUMN(K298), FALSE)</f>
        <v>0</v>
      </c>
      <c r="L299">
        <f>VLOOKUP($A299,Table1[#This Row],COLUMN(L298), FALSE)</f>
        <v>0.87360000000000004</v>
      </c>
      <c r="M299" t="str">
        <f>VLOOKUP($A299,Table1[#This Row],COLUMN(M298), FALSE)</f>
        <v>Medium</v>
      </c>
      <c r="N299" t="str">
        <f>VLOOKUP($A299,Table1[#This Row],COLUMN(N298), FALSE)</f>
        <v>Normal Order</v>
      </c>
      <c r="O299" t="str">
        <f>VLOOKUP($A299,Table1[#This Row],COLUMN(O298), FALSE)</f>
        <v>Alan Hwang</v>
      </c>
      <c r="P299" t="str">
        <f>VLOOKUP($A299,Table1[#This Row],COLUMN(P298), FALSE)</f>
        <v>CA</v>
      </c>
      <c r="Q299" t="str">
        <f>VLOOKUP($A299,Table1[#This Row],COLUMN(Q298), FALSE)</f>
        <v>2015</v>
      </c>
      <c r="R299" t="str">
        <f>VLOOKUP($A299,Table1[#This Row],COLUMN(R298), FALSE)</f>
        <v>MEDIUM</v>
      </c>
      <c r="S299" t="str">
        <f>VLOOKUP($A299,Table1[#This Row],COLUMN(S298), FALSE)</f>
        <v>office supplies</v>
      </c>
      <c r="T299" t="str">
        <f>VLOOKUP($A299,Table1[#This Row],COLUMN(T298), FALSE)</f>
        <v>42072</v>
      </c>
      <c r="U299" t="str">
        <f>VLOOKUP($A299,Table1[#This Row],COLUMN(U298), FALSE)</f>
        <v>AH10210140</v>
      </c>
      <c r="V299" t="str">
        <f>VLOOKUP($A299,Table1[#This Row],COLUMN(V298), FALSE)</f>
        <v>CA</v>
      </c>
      <c r="W299">
        <f>VLOOKUP($A299,Table1[#This Row],COLUMN(W298), FALSE)</f>
        <v>2015</v>
      </c>
      <c r="X299" t="str">
        <f>VLOOKUP($A299,Table1[#This Row],COLUMN(X298), FALSE)</f>
        <v>AH10210140</v>
      </c>
      <c r="Y299">
        <f>VLOOKUP($A299,Table1[#This Row],COLUMN(Y298), FALSE)</f>
        <v>42072</v>
      </c>
      <c r="Z299" t="str">
        <f>VLOOKUP($A299,Table1[#This Row],COLUMN(Z298), FALSE)</f>
        <v>CA-2015-AH10210140-42072</v>
      </c>
      <c r="AA299">
        <f>VLOOKUP($A299,Table1[#This Row],COLUMN(AA298), FALSE)</f>
        <v>2015</v>
      </c>
      <c r="AB299">
        <f>VLOOKUP($A299,Table1[#This Row],COLUMN(AB298), FALSE)</f>
        <v>3</v>
      </c>
      <c r="AC299">
        <f>VLOOKUP($A299,Table1[#This Row],COLUMN(AC298), FALSE)</f>
        <v>2</v>
      </c>
      <c r="AD299">
        <f>VLOOKUP($A299,Table1[#This Row],COLUMN(AD298), FALSE)</f>
        <v>7</v>
      </c>
    </row>
    <row r="300" spans="1:30" ht="15.75">
      <c r="A300" s="53" t="s">
        <v>1607</v>
      </c>
      <c r="B300" s="52">
        <f>VLOOKUP($A300,Table1[#This Row],COLUMN(B299), FALSE)</f>
        <v>41040</v>
      </c>
      <c r="C300" s="52">
        <f>VLOOKUP($A300,Table1[#This Row],COLUMN(C299), FALSE)</f>
        <v>41042</v>
      </c>
      <c r="D300" t="str">
        <f>VLOOKUP($A300,Table1[#This Row],COLUMN(D299), FALSE)</f>
        <v>Mike Pelletier</v>
      </c>
      <c r="E300" t="str">
        <f>VLOOKUP($A300,Table1[#This Row],COLUMN(E299), FALSE)</f>
        <v>France</v>
      </c>
      <c r="F300" t="str">
        <f>VLOOKUP($A300,Table1[#This Row],COLUMN(F299), FALSE)</f>
        <v>Western Europe</v>
      </c>
      <c r="G300" t="str">
        <f>VLOOKUP($A300,Table1[#This Row],COLUMN(G299), FALSE)</f>
        <v>Furniture</v>
      </c>
      <c r="H300" t="str">
        <f>VLOOKUP($A300,Table1[#This Row],COLUMN(H299), FALSE)</f>
        <v>Tables</v>
      </c>
      <c r="I300">
        <f>VLOOKUP($A300,Table1[#This Row],COLUMN(I299), FALSE)</f>
        <v>627.27599999999995</v>
      </c>
      <c r="J300">
        <f>VLOOKUP($A300,Table1[#This Row],COLUMN(J299), FALSE)</f>
        <v>2</v>
      </c>
      <c r="K300">
        <f>VLOOKUP($A300,Table1[#This Row],COLUMN(K299), FALSE)</f>
        <v>0.35</v>
      </c>
      <c r="L300">
        <f>VLOOKUP($A300,Table1[#This Row],COLUMN(L299), FALSE)</f>
        <v>-135.14399999999901</v>
      </c>
      <c r="M300" t="str">
        <f>VLOOKUP($A300,Table1[#This Row],COLUMN(M299), FALSE)</f>
        <v>Critical</v>
      </c>
      <c r="N300" t="str">
        <f>VLOOKUP($A300,Table1[#This Row],COLUMN(N299), FALSE)</f>
        <v>Normal Order</v>
      </c>
      <c r="O300" t="str">
        <f>VLOOKUP($A300,Table1[#This Row],COLUMN(O299), FALSE)</f>
        <v>Mike Pelletier</v>
      </c>
      <c r="P300" t="str">
        <f>VLOOKUP($A300,Table1[#This Row],COLUMN(P299), FALSE)</f>
        <v>IT</v>
      </c>
      <c r="Q300" t="str">
        <f>VLOOKUP($A300,Table1[#This Row],COLUMN(Q299), FALSE)</f>
        <v>2012</v>
      </c>
      <c r="R300" t="str">
        <f>VLOOKUP($A300,Table1[#This Row],COLUMN(R299), FALSE)</f>
        <v>CRITICAL</v>
      </c>
      <c r="S300" t="str">
        <f>VLOOKUP($A300,Table1[#This Row],COLUMN(S299), FALSE)</f>
        <v>furniture</v>
      </c>
      <c r="T300" t="str">
        <f>VLOOKUP($A300,Table1[#This Row],COLUMN(T299), FALSE)</f>
        <v>41040</v>
      </c>
      <c r="U300" t="str">
        <f>VLOOKUP($A300,Table1[#This Row],COLUMN(U299), FALSE)</f>
        <v>MP1817545</v>
      </c>
      <c r="V300" t="str">
        <f>VLOOKUP($A300,Table1[#This Row],COLUMN(V299), FALSE)</f>
        <v>IT</v>
      </c>
      <c r="W300">
        <f>VLOOKUP($A300,Table1[#This Row],COLUMN(W299), FALSE)</f>
        <v>2012</v>
      </c>
      <c r="X300" t="str">
        <f>VLOOKUP($A300,Table1[#This Row],COLUMN(X299), FALSE)</f>
        <v>MP1817545</v>
      </c>
      <c r="Y300">
        <f>VLOOKUP($A300,Table1[#This Row],COLUMN(Y299), FALSE)</f>
        <v>41040</v>
      </c>
      <c r="Z300" t="str">
        <f>VLOOKUP($A300,Table1[#This Row],COLUMN(Z299), FALSE)</f>
        <v>IT-2012-MP1817545-41040</v>
      </c>
      <c r="AA300">
        <f>VLOOKUP($A300,Table1[#This Row],COLUMN(AA299), FALSE)</f>
        <v>2012</v>
      </c>
      <c r="AB300">
        <f>VLOOKUP($A300,Table1[#This Row],COLUMN(AB299), FALSE)</f>
        <v>5</v>
      </c>
      <c r="AC300">
        <f>VLOOKUP($A300,Table1[#This Row],COLUMN(AC299), FALSE)</f>
        <v>6</v>
      </c>
      <c r="AD300">
        <f>VLOOKUP($A300,Table1[#This Row],COLUMN(AD299), FALSE)</f>
        <v>2</v>
      </c>
    </row>
    <row r="301" spans="1:30" ht="15.75">
      <c r="A301" s="54" t="s">
        <v>1610</v>
      </c>
      <c r="B301" s="52">
        <f>VLOOKUP($A301,Table1[#This Row],COLUMN(B300), FALSE)</f>
        <v>41863</v>
      </c>
      <c r="C301" s="52">
        <f>VLOOKUP($A301,Table1[#This Row],COLUMN(C300), FALSE)</f>
        <v>41865</v>
      </c>
      <c r="D301" t="str">
        <f>VLOOKUP($A301,Table1[#This Row],COLUMN(D300), FALSE)</f>
        <v>Tonja Turnell</v>
      </c>
      <c r="E301" t="str">
        <f>VLOOKUP($A301,Table1[#This Row],COLUMN(E300), FALSE)</f>
        <v>Albania</v>
      </c>
      <c r="F301" t="str">
        <f>VLOOKUP($A301,Table1[#This Row],COLUMN(F300), FALSE)</f>
        <v>Southern Europe</v>
      </c>
      <c r="G301" t="str">
        <f>VLOOKUP($A301,Table1[#This Row],COLUMN(G300), FALSE)</f>
        <v>Technology</v>
      </c>
      <c r="H301" t="str">
        <f>VLOOKUP($A301,Table1[#This Row],COLUMN(H300), FALSE)</f>
        <v>Tables</v>
      </c>
      <c r="I301">
        <f>VLOOKUP($A301,Table1[#This Row],COLUMN(I300), FALSE)</f>
        <v>553.91999999999996</v>
      </c>
      <c r="J301">
        <f>VLOOKUP($A301,Table1[#This Row],COLUMN(J300), FALSE)</f>
        <v>4</v>
      </c>
      <c r="K301">
        <f>VLOOKUP($A301,Table1[#This Row],COLUMN(K300), FALSE)</f>
        <v>0</v>
      </c>
      <c r="L301">
        <f>VLOOKUP($A301,Table1[#This Row],COLUMN(L300), FALSE)</f>
        <v>22.08</v>
      </c>
      <c r="M301" t="str">
        <f>VLOOKUP($A301,Table1[#This Row],COLUMN(M300), FALSE)</f>
        <v>Critical</v>
      </c>
      <c r="N301" t="str">
        <f>VLOOKUP($A301,Table1[#This Row],COLUMN(N300), FALSE)</f>
        <v>Normal Order</v>
      </c>
      <c r="O301" t="str">
        <f>VLOOKUP($A301,Table1[#This Row],COLUMN(O300), FALSE)</f>
        <v>Tonja Turnell</v>
      </c>
      <c r="P301" t="str">
        <f>VLOOKUP($A301,Table1[#This Row],COLUMN(P300), FALSE)</f>
        <v>AL</v>
      </c>
      <c r="Q301" t="str">
        <f>VLOOKUP($A301,Table1[#This Row],COLUMN(Q300), FALSE)</f>
        <v>2014</v>
      </c>
      <c r="R301" t="str">
        <f>VLOOKUP($A301,Table1[#This Row],COLUMN(R300), FALSE)</f>
        <v>CRITICAL</v>
      </c>
      <c r="S301" t="str">
        <f>VLOOKUP($A301,Table1[#This Row],COLUMN(S300), FALSE)</f>
        <v>technology</v>
      </c>
      <c r="T301" t="str">
        <f>VLOOKUP($A301,Table1[#This Row],COLUMN(T300), FALSE)</f>
        <v>41863</v>
      </c>
      <c r="U301" t="str">
        <f>VLOOKUP($A301,Table1[#This Row],COLUMN(U300), FALSE)</f>
        <v>TT114602</v>
      </c>
      <c r="V301" t="str">
        <f>VLOOKUP($A301,Table1[#This Row],COLUMN(V300), FALSE)</f>
        <v>AL</v>
      </c>
      <c r="W301">
        <f>VLOOKUP($A301,Table1[#This Row],COLUMN(W300), FALSE)</f>
        <v>2014</v>
      </c>
      <c r="X301" t="str">
        <f>VLOOKUP($A301,Table1[#This Row],COLUMN(X300), FALSE)</f>
        <v>TT114602</v>
      </c>
      <c r="Y301">
        <f>VLOOKUP($A301,Table1[#This Row],COLUMN(Y300), FALSE)</f>
        <v>41863</v>
      </c>
      <c r="Z301" t="str">
        <f>VLOOKUP($A301,Table1[#This Row],COLUMN(Z300), FALSE)</f>
        <v>AL-2014-TT114602-41863</v>
      </c>
      <c r="AA301">
        <f>VLOOKUP($A301,Table1[#This Row],COLUMN(AA300), FALSE)</f>
        <v>2014</v>
      </c>
      <c r="AB301">
        <f>VLOOKUP($A301,Table1[#This Row],COLUMN(AB300), FALSE)</f>
        <v>8</v>
      </c>
      <c r="AC301">
        <f>VLOOKUP($A301,Table1[#This Row],COLUMN(AC300), FALSE)</f>
        <v>3</v>
      </c>
      <c r="AD301">
        <f>VLOOKUP($A301,Table1[#This Row],COLUMN(AD300), FALSE)</f>
        <v>2</v>
      </c>
    </row>
    <row r="302" spans="1:30" ht="15.75">
      <c r="A302" s="53" t="s">
        <v>1614</v>
      </c>
      <c r="B302" s="52">
        <f>VLOOKUP($A302,Table1[#This Row],COLUMN(B301), FALSE)</f>
        <v>42035</v>
      </c>
      <c r="C302" s="52">
        <f>VLOOKUP($A302,Table1[#This Row],COLUMN(C301), FALSE)</f>
        <v>42036</v>
      </c>
      <c r="D302" t="str">
        <f>VLOOKUP($A302,Table1[#This Row],COLUMN(D301), FALSE)</f>
        <v>Rick Reed</v>
      </c>
      <c r="E302" t="str">
        <f>VLOOKUP($A302,Table1[#This Row],COLUMN(E301), FALSE)</f>
        <v>China</v>
      </c>
      <c r="F302" t="str">
        <f>VLOOKUP($A302,Table1[#This Row],COLUMN(F301), FALSE)</f>
        <v>Eastern Asia</v>
      </c>
      <c r="G302" t="str">
        <f>VLOOKUP($A302,Table1[#This Row],COLUMN(G301), FALSE)</f>
        <v>Technology</v>
      </c>
      <c r="H302" t="str">
        <f>VLOOKUP($A302,Table1[#This Row],COLUMN(H301), FALSE)</f>
        <v>Phones</v>
      </c>
      <c r="I302">
        <f>VLOOKUP($A302,Table1[#This Row],COLUMN(I301), FALSE)</f>
        <v>791.19</v>
      </c>
      <c r="J302">
        <f>VLOOKUP($A302,Table1[#This Row],COLUMN(J301), FALSE)</f>
        <v>3</v>
      </c>
      <c r="K302">
        <f>VLOOKUP($A302,Table1[#This Row],COLUMN(K301), FALSE)</f>
        <v>0</v>
      </c>
      <c r="L302">
        <f>VLOOKUP($A302,Table1[#This Row],COLUMN(L301), FALSE)</f>
        <v>126.539999999999</v>
      </c>
      <c r="M302" t="str">
        <f>VLOOKUP($A302,Table1[#This Row],COLUMN(M301), FALSE)</f>
        <v>Critical</v>
      </c>
      <c r="N302" t="str">
        <f>VLOOKUP($A302,Table1[#This Row],COLUMN(N301), FALSE)</f>
        <v>Normal Order</v>
      </c>
      <c r="O302" t="str">
        <f>VLOOKUP($A302,Table1[#This Row],COLUMN(O301), FALSE)</f>
        <v>Rick Reed</v>
      </c>
      <c r="P302" t="str">
        <f>VLOOKUP($A302,Table1[#This Row],COLUMN(P301), FALSE)</f>
        <v>IN</v>
      </c>
      <c r="Q302" t="str">
        <f>VLOOKUP($A302,Table1[#This Row],COLUMN(Q301), FALSE)</f>
        <v>2015</v>
      </c>
      <c r="R302" t="str">
        <f>VLOOKUP($A302,Table1[#This Row],COLUMN(R301), FALSE)</f>
        <v>CRITICAL</v>
      </c>
      <c r="S302" t="str">
        <f>VLOOKUP($A302,Table1[#This Row],COLUMN(S301), FALSE)</f>
        <v>technology</v>
      </c>
      <c r="T302" t="str">
        <f>VLOOKUP($A302,Table1[#This Row],COLUMN(T301), FALSE)</f>
        <v>42035</v>
      </c>
      <c r="U302" t="str">
        <f>VLOOKUP($A302,Table1[#This Row],COLUMN(U301), FALSE)</f>
        <v>RR1952527</v>
      </c>
      <c r="V302" t="str">
        <f>VLOOKUP($A302,Table1[#This Row],COLUMN(V301), FALSE)</f>
        <v>IN</v>
      </c>
      <c r="W302">
        <f>VLOOKUP($A302,Table1[#This Row],COLUMN(W301), FALSE)</f>
        <v>2015</v>
      </c>
      <c r="X302" t="str">
        <f>VLOOKUP($A302,Table1[#This Row],COLUMN(X301), FALSE)</f>
        <v>RR1952527</v>
      </c>
      <c r="Y302">
        <f>VLOOKUP($A302,Table1[#This Row],COLUMN(Y301), FALSE)</f>
        <v>42035</v>
      </c>
      <c r="Z302" t="str">
        <f>VLOOKUP($A302,Table1[#This Row],COLUMN(Z301), FALSE)</f>
        <v>IN-2015-RR1952527-42035</v>
      </c>
      <c r="AA302">
        <f>VLOOKUP($A302,Table1[#This Row],COLUMN(AA301), FALSE)</f>
        <v>2015</v>
      </c>
      <c r="AB302">
        <f>VLOOKUP($A302,Table1[#This Row],COLUMN(AB301), FALSE)</f>
        <v>1</v>
      </c>
      <c r="AC302">
        <f>VLOOKUP($A302,Table1[#This Row],COLUMN(AC301), FALSE)</f>
        <v>7</v>
      </c>
      <c r="AD302">
        <f>VLOOKUP($A302,Table1[#This Row],COLUMN(AD301), FALSE)</f>
        <v>1</v>
      </c>
    </row>
    <row r="303" spans="1:30" ht="15.75">
      <c r="A303" s="54" t="s">
        <v>1623</v>
      </c>
      <c r="B303" s="52">
        <f>VLOOKUP($A303,Table1[#This Row],COLUMN(B302), FALSE)</f>
        <v>41031</v>
      </c>
      <c r="C303" s="52">
        <f>VLOOKUP($A303,Table1[#This Row],COLUMN(C302), FALSE)</f>
        <v>41033</v>
      </c>
      <c r="D303" t="str">
        <f>VLOOKUP($A303,Table1[#This Row],COLUMN(D302), FALSE)</f>
        <v>Toby Ritter</v>
      </c>
      <c r="E303" t="str">
        <f>VLOOKUP($A303,Table1[#This Row],COLUMN(E302), FALSE)</f>
        <v>Tanzania</v>
      </c>
      <c r="F303" t="str">
        <f>VLOOKUP($A303,Table1[#This Row],COLUMN(F302), FALSE)</f>
        <v>Eastern Africa</v>
      </c>
      <c r="G303" t="str">
        <f>VLOOKUP($A303,Table1[#This Row],COLUMN(G302), FALSE)</f>
        <v>Technology</v>
      </c>
      <c r="H303" t="str">
        <f>VLOOKUP($A303,Table1[#This Row],COLUMN(H302), FALSE)</f>
        <v>Appliances</v>
      </c>
      <c r="I303">
        <f>VLOOKUP($A303,Table1[#This Row],COLUMN(I302), FALSE)</f>
        <v>642.719999999999</v>
      </c>
      <c r="J303">
        <f>VLOOKUP($A303,Table1[#This Row],COLUMN(J302), FALSE)</f>
        <v>2</v>
      </c>
      <c r="K303">
        <f>VLOOKUP($A303,Table1[#This Row],COLUMN(K302), FALSE)</f>
        <v>0</v>
      </c>
      <c r="L303">
        <f>VLOOKUP($A303,Table1[#This Row],COLUMN(L302), FALSE)</f>
        <v>224.94</v>
      </c>
      <c r="M303" t="str">
        <f>VLOOKUP($A303,Table1[#This Row],COLUMN(M302), FALSE)</f>
        <v>Critical</v>
      </c>
      <c r="N303" t="str">
        <f>VLOOKUP($A303,Table1[#This Row],COLUMN(N302), FALSE)</f>
        <v>Normal Order</v>
      </c>
      <c r="O303" t="str">
        <f>VLOOKUP($A303,Table1[#This Row],COLUMN(O302), FALSE)</f>
        <v>Toby Ritter</v>
      </c>
      <c r="P303" t="str">
        <f>VLOOKUP($A303,Table1[#This Row],COLUMN(P302), FALSE)</f>
        <v>TZ</v>
      </c>
      <c r="Q303" t="str">
        <f>VLOOKUP($A303,Table1[#This Row],COLUMN(Q302), FALSE)</f>
        <v>2012</v>
      </c>
      <c r="R303" t="str">
        <f>VLOOKUP($A303,Table1[#This Row],COLUMN(R302), FALSE)</f>
        <v>CRITICAL</v>
      </c>
      <c r="S303" t="str">
        <f>VLOOKUP($A303,Table1[#This Row],COLUMN(S302), FALSE)</f>
        <v>technology</v>
      </c>
      <c r="T303" t="str">
        <f>VLOOKUP($A303,Table1[#This Row],COLUMN(T302), FALSE)</f>
        <v>41031</v>
      </c>
      <c r="U303" t="str">
        <f>VLOOKUP($A303,Table1[#This Row],COLUMN(U302), FALSE)</f>
        <v>TR11325129</v>
      </c>
      <c r="V303" t="str">
        <f>VLOOKUP($A303,Table1[#This Row],COLUMN(V302), FALSE)</f>
        <v>TZ</v>
      </c>
      <c r="W303">
        <f>VLOOKUP($A303,Table1[#This Row],COLUMN(W302), FALSE)</f>
        <v>2012</v>
      </c>
      <c r="X303" t="str">
        <f>VLOOKUP($A303,Table1[#This Row],COLUMN(X302), FALSE)</f>
        <v>TR11325129</v>
      </c>
      <c r="Y303">
        <f>VLOOKUP($A303,Table1[#This Row],COLUMN(Y302), FALSE)</f>
        <v>41031</v>
      </c>
      <c r="Z303" t="str">
        <f>VLOOKUP($A303,Table1[#This Row],COLUMN(Z302), FALSE)</f>
        <v>TZ-2012-TR11325129-41031</v>
      </c>
      <c r="AA303">
        <f>VLOOKUP($A303,Table1[#This Row],COLUMN(AA302), FALSE)</f>
        <v>2012</v>
      </c>
      <c r="AB303">
        <f>VLOOKUP($A303,Table1[#This Row],COLUMN(AB302), FALSE)</f>
        <v>5</v>
      </c>
      <c r="AC303">
        <f>VLOOKUP($A303,Table1[#This Row],COLUMN(AC302), FALSE)</f>
        <v>4</v>
      </c>
      <c r="AD303">
        <f>VLOOKUP($A303,Table1[#This Row],COLUMN(AD302), FALSE)</f>
        <v>2</v>
      </c>
    </row>
    <row r="304" spans="1:30" ht="15.75">
      <c r="A304" s="53" t="s">
        <v>1625</v>
      </c>
      <c r="B304" s="52">
        <f>VLOOKUP($A304,Table1[#This Row],COLUMN(B303), FALSE)</f>
        <v>41877</v>
      </c>
      <c r="C304" s="52">
        <f>VLOOKUP($A304,Table1[#This Row],COLUMN(C303), FALSE)</f>
        <v>41878</v>
      </c>
      <c r="D304" t="str">
        <f>VLOOKUP($A304,Table1[#This Row],COLUMN(D303), FALSE)</f>
        <v>Shaun Chance</v>
      </c>
      <c r="E304" t="str">
        <f>VLOOKUP($A304,Table1[#This Row],COLUMN(E303), FALSE)</f>
        <v>Mexico</v>
      </c>
      <c r="F304" t="str">
        <f>VLOOKUP($A304,Table1[#This Row],COLUMN(F303), FALSE)</f>
        <v>Central America</v>
      </c>
      <c r="G304" t="str">
        <f>VLOOKUP($A304,Table1[#This Row],COLUMN(G303), FALSE)</f>
        <v>Technology</v>
      </c>
      <c r="H304" t="str">
        <f>VLOOKUP($A304,Table1[#This Row],COLUMN(H303), FALSE)</f>
        <v>Copiers</v>
      </c>
      <c r="I304">
        <f>VLOOKUP($A304,Table1[#This Row],COLUMN(I303), FALSE)</f>
        <v>1308.48</v>
      </c>
      <c r="J304">
        <f>VLOOKUP($A304,Table1[#This Row],COLUMN(J303), FALSE)</f>
        <v>3</v>
      </c>
      <c r="K304">
        <f>VLOOKUP($A304,Table1[#This Row],COLUMN(K303), FALSE)</f>
        <v>0</v>
      </c>
      <c r="L304">
        <f>VLOOKUP($A304,Table1[#This Row],COLUMN(L303), FALSE)</f>
        <v>13.08</v>
      </c>
      <c r="M304" t="str">
        <f>VLOOKUP($A304,Table1[#This Row],COLUMN(M303), FALSE)</f>
        <v xml:space="preserve"> High </v>
      </c>
      <c r="N304" t="str">
        <f>VLOOKUP($A304,Table1[#This Row],COLUMN(N303), FALSE)</f>
        <v>Normal Order</v>
      </c>
      <c r="O304" t="str">
        <f>VLOOKUP($A304,Table1[#This Row],COLUMN(O303), FALSE)</f>
        <v>Shaun Chance</v>
      </c>
      <c r="P304" t="str">
        <f>VLOOKUP($A304,Table1[#This Row],COLUMN(P303), FALSE)</f>
        <v>MX</v>
      </c>
      <c r="Q304" t="str">
        <f>VLOOKUP($A304,Table1[#This Row],COLUMN(Q303), FALSE)</f>
        <v>2014</v>
      </c>
      <c r="R304" t="str">
        <f>VLOOKUP($A304,Table1[#This Row],COLUMN(R303), FALSE)</f>
        <v xml:space="preserve"> HIGH </v>
      </c>
      <c r="S304" t="str">
        <f>VLOOKUP($A304,Table1[#This Row],COLUMN(S303), FALSE)</f>
        <v>technology</v>
      </c>
      <c r="T304" t="str">
        <f>VLOOKUP($A304,Table1[#This Row],COLUMN(T303), FALSE)</f>
        <v>41877</v>
      </c>
      <c r="U304" t="str">
        <f>VLOOKUP($A304,Table1[#This Row],COLUMN(U303), FALSE)</f>
        <v>SC2044082</v>
      </c>
      <c r="V304" t="str">
        <f>VLOOKUP($A304,Table1[#This Row],COLUMN(V303), FALSE)</f>
        <v>MX</v>
      </c>
      <c r="W304">
        <f>VLOOKUP($A304,Table1[#This Row],COLUMN(W303), FALSE)</f>
        <v>2014</v>
      </c>
      <c r="X304" t="str">
        <f>VLOOKUP($A304,Table1[#This Row],COLUMN(X303), FALSE)</f>
        <v>SC2044082</v>
      </c>
      <c r="Y304">
        <f>VLOOKUP($A304,Table1[#This Row],COLUMN(Y303), FALSE)</f>
        <v>41877</v>
      </c>
      <c r="Z304" t="str">
        <f>VLOOKUP($A304,Table1[#This Row],COLUMN(Z303), FALSE)</f>
        <v>MX-2014-SC2044082-41877</v>
      </c>
      <c r="AA304">
        <f>VLOOKUP($A304,Table1[#This Row],COLUMN(AA303), FALSE)</f>
        <v>2014</v>
      </c>
      <c r="AB304">
        <f>VLOOKUP($A304,Table1[#This Row],COLUMN(AB303), FALSE)</f>
        <v>8</v>
      </c>
      <c r="AC304">
        <f>VLOOKUP($A304,Table1[#This Row],COLUMN(AC303), FALSE)</f>
        <v>3</v>
      </c>
      <c r="AD304">
        <f>VLOOKUP($A304,Table1[#This Row],COLUMN(AD303), FALSE)</f>
        <v>1</v>
      </c>
    </row>
    <row r="305" spans="1:30" ht="15.75">
      <c r="A305" s="54" t="s">
        <v>1640</v>
      </c>
      <c r="B305" s="52">
        <f>VLOOKUP($A305,Table1[#This Row],COLUMN(B304), FALSE)</f>
        <v>41340</v>
      </c>
      <c r="C305" s="52">
        <f>VLOOKUP($A305,Table1[#This Row],COLUMN(C304), FALSE)</f>
        <v>41345</v>
      </c>
      <c r="D305" t="str">
        <f>VLOOKUP($A305,Table1[#This Row],COLUMN(D304), FALSE)</f>
        <v>Bill Eplett</v>
      </c>
      <c r="E305" t="str">
        <f>VLOOKUP($A305,Table1[#This Row],COLUMN(E304), FALSE)</f>
        <v>United Kingdom</v>
      </c>
      <c r="F305" t="str">
        <f>VLOOKUP($A305,Table1[#This Row],COLUMN(F304), FALSE)</f>
        <v>Northern Europe</v>
      </c>
      <c r="G305" t="str">
        <f>VLOOKUP($A305,Table1[#This Row],COLUMN(G304), FALSE)</f>
        <v>Technology</v>
      </c>
      <c r="H305" t="str">
        <f>VLOOKUP($A305,Table1[#This Row],COLUMN(H304), FALSE)</f>
        <v>Appliances</v>
      </c>
      <c r="I305">
        <f>VLOOKUP($A305,Table1[#This Row],COLUMN(I304), FALSE)</f>
        <v>1893.3</v>
      </c>
      <c r="J305">
        <f>VLOOKUP($A305,Table1[#This Row],COLUMN(J304), FALSE)</f>
        <v>5</v>
      </c>
      <c r="K305">
        <f>VLOOKUP($A305,Table1[#This Row],COLUMN(K304), FALSE)</f>
        <v>0</v>
      </c>
      <c r="L305">
        <f>VLOOKUP($A305,Table1[#This Row],COLUMN(L304), FALSE)</f>
        <v>927.6</v>
      </c>
      <c r="M305" t="str">
        <f>VLOOKUP($A305,Table1[#This Row],COLUMN(M304), FALSE)</f>
        <v>Medium</v>
      </c>
      <c r="N305" t="str">
        <f>VLOOKUP($A305,Table1[#This Row],COLUMN(N304), FALSE)</f>
        <v>Normal Order</v>
      </c>
      <c r="O305" t="str">
        <f>VLOOKUP($A305,Table1[#This Row],COLUMN(O304), FALSE)</f>
        <v>Bill Eplett</v>
      </c>
      <c r="P305" t="str">
        <f>VLOOKUP($A305,Table1[#This Row],COLUMN(P304), FALSE)</f>
        <v>ES</v>
      </c>
      <c r="Q305" t="str">
        <f>VLOOKUP($A305,Table1[#This Row],COLUMN(Q304), FALSE)</f>
        <v>2013</v>
      </c>
      <c r="R305" t="str">
        <f>VLOOKUP($A305,Table1[#This Row],COLUMN(R304), FALSE)</f>
        <v>MEDIUM</v>
      </c>
      <c r="S305" t="str">
        <f>VLOOKUP($A305,Table1[#This Row],COLUMN(S304), FALSE)</f>
        <v>technology</v>
      </c>
      <c r="T305" t="str">
        <f>VLOOKUP($A305,Table1[#This Row],COLUMN(T304), FALSE)</f>
        <v>41340</v>
      </c>
      <c r="U305" t="str">
        <f>VLOOKUP($A305,Table1[#This Row],COLUMN(U304), FALSE)</f>
        <v>BE11335139</v>
      </c>
      <c r="V305" t="str">
        <f>VLOOKUP($A305,Table1[#This Row],COLUMN(V304), FALSE)</f>
        <v>ES</v>
      </c>
      <c r="W305">
        <f>VLOOKUP($A305,Table1[#This Row],COLUMN(W304), FALSE)</f>
        <v>2013</v>
      </c>
      <c r="X305" t="str">
        <f>VLOOKUP($A305,Table1[#This Row],COLUMN(X304), FALSE)</f>
        <v>BE11335139</v>
      </c>
      <c r="Y305">
        <f>VLOOKUP($A305,Table1[#This Row],COLUMN(Y304), FALSE)</f>
        <v>41340</v>
      </c>
      <c r="Z305" t="str">
        <f>VLOOKUP($A305,Table1[#This Row],COLUMN(Z304), FALSE)</f>
        <v>ES-2013-BE11335139-41340</v>
      </c>
      <c r="AA305">
        <f>VLOOKUP($A305,Table1[#This Row],COLUMN(AA304), FALSE)</f>
        <v>2013</v>
      </c>
      <c r="AB305">
        <f>VLOOKUP($A305,Table1[#This Row],COLUMN(AB304), FALSE)</f>
        <v>3</v>
      </c>
      <c r="AC305">
        <f>VLOOKUP($A305,Table1[#This Row],COLUMN(AC304), FALSE)</f>
        <v>5</v>
      </c>
      <c r="AD305">
        <f>VLOOKUP($A305,Table1[#This Row],COLUMN(AD304), FALSE)</f>
        <v>5</v>
      </c>
    </row>
    <row r="306" spans="1:30" ht="15.75">
      <c r="A306" s="53" t="s">
        <v>1643</v>
      </c>
      <c r="B306" s="52">
        <f>VLOOKUP($A306,Table1[#This Row],COLUMN(B305), FALSE)</f>
        <v>41789</v>
      </c>
      <c r="C306" s="52">
        <f>VLOOKUP($A306,Table1[#This Row],COLUMN(C305), FALSE)</f>
        <v>41794</v>
      </c>
      <c r="D306" t="str">
        <f>VLOOKUP($A306,Table1[#This Row],COLUMN(D305), FALSE)</f>
        <v>Joni Blumstein</v>
      </c>
      <c r="E306" t="str">
        <f>VLOOKUP($A306,Table1[#This Row],COLUMN(E305), FALSE)</f>
        <v>Germany</v>
      </c>
      <c r="F306" t="str">
        <f>VLOOKUP($A306,Table1[#This Row],COLUMN(F305), FALSE)</f>
        <v>Western Europe</v>
      </c>
      <c r="G306" t="str">
        <f>VLOOKUP($A306,Table1[#This Row],COLUMN(G305), FALSE)</f>
        <v>Technology</v>
      </c>
      <c r="H306" t="str">
        <f>VLOOKUP($A306,Table1[#This Row],COLUMN(H305), FALSE)</f>
        <v>Storage</v>
      </c>
      <c r="I306">
        <f>VLOOKUP($A306,Table1[#This Row],COLUMN(I305), FALSE)</f>
        <v>2570.7599999999902</v>
      </c>
      <c r="J306">
        <f>VLOOKUP($A306,Table1[#This Row],COLUMN(J305), FALSE)</f>
        <v>4</v>
      </c>
      <c r="K306">
        <f>VLOOKUP($A306,Table1[#This Row],COLUMN(K305), FALSE)</f>
        <v>0</v>
      </c>
      <c r="L306">
        <f>VLOOKUP($A306,Table1[#This Row],COLUMN(L305), FALSE)</f>
        <v>976.8</v>
      </c>
      <c r="M306" t="str">
        <f>VLOOKUP($A306,Table1[#This Row],COLUMN(M305), FALSE)</f>
        <v>Medium</v>
      </c>
      <c r="N306" t="str">
        <f>VLOOKUP($A306,Table1[#This Row],COLUMN(N305), FALSE)</f>
        <v>Normal Order</v>
      </c>
      <c r="O306" t="str">
        <f>VLOOKUP($A306,Table1[#This Row],COLUMN(O305), FALSE)</f>
        <v>Joni Blumstein</v>
      </c>
      <c r="P306" t="str">
        <f>VLOOKUP($A306,Table1[#This Row],COLUMN(P305), FALSE)</f>
        <v>IT</v>
      </c>
      <c r="Q306" t="str">
        <f>VLOOKUP($A306,Table1[#This Row],COLUMN(Q305), FALSE)</f>
        <v>2014</v>
      </c>
      <c r="R306" t="str">
        <f>VLOOKUP($A306,Table1[#This Row],COLUMN(R305), FALSE)</f>
        <v>MEDIUM</v>
      </c>
      <c r="S306" t="str">
        <f>VLOOKUP($A306,Table1[#This Row],COLUMN(S305), FALSE)</f>
        <v>technology</v>
      </c>
      <c r="T306" t="str">
        <f>VLOOKUP($A306,Table1[#This Row],COLUMN(T305), FALSE)</f>
        <v>-1789</v>
      </c>
      <c r="U306" t="str">
        <f>VLOOKUP($A306,Table1[#This Row],COLUMN(U305), FALSE)</f>
        <v>JB15925484</v>
      </c>
      <c r="V306" t="str">
        <f>VLOOKUP($A306,Table1[#This Row],COLUMN(V305), FALSE)</f>
        <v>IT</v>
      </c>
      <c r="W306">
        <f>VLOOKUP($A306,Table1[#This Row],COLUMN(W305), FALSE)</f>
        <v>2014</v>
      </c>
      <c r="X306" t="str">
        <f>VLOOKUP($A306,Table1[#This Row],COLUMN(X305), FALSE)</f>
        <v>JB15925484</v>
      </c>
      <c r="Y306">
        <f>VLOOKUP($A306,Table1[#This Row],COLUMN(Y305), FALSE)</f>
        <v>1789</v>
      </c>
      <c r="Z306" t="str">
        <f>VLOOKUP($A306,Table1[#This Row],COLUMN(Z305), FALSE)</f>
        <v>IT-2014-JB15925484-1789</v>
      </c>
      <c r="AA306">
        <f>VLOOKUP($A306,Table1[#This Row],COLUMN(AA305), FALSE)</f>
        <v>2014</v>
      </c>
      <c r="AB306">
        <f>VLOOKUP($A306,Table1[#This Row],COLUMN(AB305), FALSE)</f>
        <v>5</v>
      </c>
      <c r="AC306">
        <f>VLOOKUP($A306,Table1[#This Row],COLUMN(AC305), FALSE)</f>
        <v>6</v>
      </c>
      <c r="AD306">
        <f>VLOOKUP($A306,Table1[#This Row],COLUMN(AD305), FALSE)</f>
        <v>5</v>
      </c>
    </row>
    <row r="307" spans="1:30" ht="15.75">
      <c r="A307" s="54" t="s">
        <v>1645</v>
      </c>
      <c r="B307" s="52">
        <f>VLOOKUP($A307,Table1[#This Row],COLUMN(B306), FALSE)</f>
        <v>41807</v>
      </c>
      <c r="C307" s="52">
        <f>VLOOKUP($A307,Table1[#This Row],COLUMN(C306), FALSE)</f>
        <v>41810</v>
      </c>
      <c r="D307" t="str">
        <f>VLOOKUP($A307,Table1[#This Row],COLUMN(D306), FALSE)</f>
        <v>Tamara Willingham</v>
      </c>
      <c r="E307" t="str">
        <f>VLOOKUP($A307,Table1[#This Row],COLUMN(E306), FALSE)</f>
        <v>United Kingdom</v>
      </c>
      <c r="F307" t="str">
        <f>VLOOKUP($A307,Table1[#This Row],COLUMN(F306), FALSE)</f>
        <v>Northern Europe</v>
      </c>
      <c r="G307" t="str">
        <f>VLOOKUP($A307,Table1[#This Row],COLUMN(G306), FALSE)</f>
        <v>Technology</v>
      </c>
      <c r="H307" t="str">
        <f>VLOOKUP($A307,Table1[#This Row],COLUMN(H306), FALSE)</f>
        <v>Phones</v>
      </c>
      <c r="I307">
        <f>VLOOKUP($A307,Table1[#This Row],COLUMN(I306), FALSE)</f>
        <v>1199.76</v>
      </c>
      <c r="J307">
        <f>VLOOKUP($A307,Table1[#This Row],COLUMN(J306), FALSE)</f>
        <v>4</v>
      </c>
      <c r="K307">
        <f>VLOOKUP($A307,Table1[#This Row],COLUMN(K306), FALSE)</f>
        <v>0</v>
      </c>
      <c r="L307">
        <f>VLOOKUP($A307,Table1[#This Row],COLUMN(L306), FALSE)</f>
        <v>479.88</v>
      </c>
      <c r="M307" t="str">
        <f>VLOOKUP($A307,Table1[#This Row],COLUMN(M306), FALSE)</f>
        <v>Medium</v>
      </c>
      <c r="N307" t="str">
        <f>VLOOKUP($A307,Table1[#This Row],COLUMN(N306), FALSE)</f>
        <v>Normal Order</v>
      </c>
      <c r="O307" t="str">
        <f>VLOOKUP($A307,Table1[#This Row],COLUMN(O306), FALSE)</f>
        <v>Tamara Willingham</v>
      </c>
      <c r="P307" t="str">
        <f>VLOOKUP($A307,Table1[#This Row],COLUMN(P306), FALSE)</f>
        <v>ES</v>
      </c>
      <c r="Q307" t="str">
        <f>VLOOKUP($A307,Table1[#This Row],COLUMN(Q306), FALSE)</f>
        <v>2014</v>
      </c>
      <c r="R307" t="str">
        <f>VLOOKUP($A307,Table1[#This Row],COLUMN(R306), FALSE)</f>
        <v>MEDIUM</v>
      </c>
      <c r="S307" t="str">
        <f>VLOOKUP($A307,Table1[#This Row],COLUMN(S306), FALSE)</f>
        <v>technology</v>
      </c>
      <c r="T307" t="str">
        <f>VLOOKUP($A307,Table1[#This Row],COLUMN(T306), FALSE)</f>
        <v>41807</v>
      </c>
      <c r="U307" t="str">
        <f>VLOOKUP($A307,Table1[#This Row],COLUMN(U306), FALSE)</f>
        <v>TW21025139</v>
      </c>
      <c r="V307" t="str">
        <f>VLOOKUP($A307,Table1[#This Row],COLUMN(V306), FALSE)</f>
        <v>ES</v>
      </c>
      <c r="W307">
        <f>VLOOKUP($A307,Table1[#This Row],COLUMN(W306), FALSE)</f>
        <v>2014</v>
      </c>
      <c r="X307" t="str">
        <f>VLOOKUP($A307,Table1[#This Row],COLUMN(X306), FALSE)</f>
        <v>TW21025139</v>
      </c>
      <c r="Y307">
        <f>VLOOKUP($A307,Table1[#This Row],COLUMN(Y306), FALSE)</f>
        <v>41807</v>
      </c>
      <c r="Z307" t="str">
        <f>VLOOKUP($A307,Table1[#This Row],COLUMN(Z306), FALSE)</f>
        <v>ES-2014-TW21025139-41807</v>
      </c>
      <c r="AA307">
        <f>VLOOKUP($A307,Table1[#This Row],COLUMN(AA306), FALSE)</f>
        <v>2014</v>
      </c>
      <c r="AB307">
        <f>VLOOKUP($A307,Table1[#This Row],COLUMN(AB306), FALSE)</f>
        <v>6</v>
      </c>
      <c r="AC307">
        <f>VLOOKUP($A307,Table1[#This Row],COLUMN(AC306), FALSE)</f>
        <v>3</v>
      </c>
      <c r="AD307">
        <f>VLOOKUP($A307,Table1[#This Row],COLUMN(AD306), FALSE)</f>
        <v>3</v>
      </c>
    </row>
    <row r="308" spans="1:30" ht="15.75">
      <c r="A308" s="53" t="s">
        <v>1648</v>
      </c>
      <c r="B308" s="52">
        <f>VLOOKUP($A308,Table1[#This Row],COLUMN(B307), FALSE)</f>
        <v>41537</v>
      </c>
      <c r="C308" s="52">
        <f>VLOOKUP($A308,Table1[#This Row],COLUMN(C307), FALSE)</f>
        <v>41542</v>
      </c>
      <c r="D308" t="str">
        <f>VLOOKUP($A308,Table1[#This Row],COLUMN(D307), FALSE)</f>
        <v>Lena Radford</v>
      </c>
      <c r="E308" t="str">
        <f>VLOOKUP($A308,Table1[#This Row],COLUMN(E307), FALSE)</f>
        <v>Finland</v>
      </c>
      <c r="F308" t="str">
        <f>VLOOKUP($A308,Table1[#This Row],COLUMN(F307), FALSE)</f>
        <v xml:space="preserve"> Northern Europe </v>
      </c>
      <c r="G308" t="str">
        <f>VLOOKUP($A308,Table1[#This Row],COLUMN(G307), FALSE)</f>
        <v>Office Supplies</v>
      </c>
      <c r="H308" t="str">
        <f>VLOOKUP($A308,Table1[#This Row],COLUMN(H307), FALSE)</f>
        <v>Copiers</v>
      </c>
      <c r="I308">
        <f>VLOOKUP($A308,Table1[#This Row],COLUMN(I307), FALSE)</f>
        <v>2145.7199999999998</v>
      </c>
      <c r="J308">
        <f>VLOOKUP($A308,Table1[#This Row],COLUMN(J307), FALSE)</f>
        <v>4</v>
      </c>
      <c r="K308">
        <f>VLOOKUP($A308,Table1[#This Row],COLUMN(K307), FALSE)</f>
        <v>0</v>
      </c>
      <c r="L308">
        <f>VLOOKUP($A308,Table1[#This Row],COLUMN(L307), FALSE)</f>
        <v>364.68</v>
      </c>
      <c r="M308" t="str">
        <f>VLOOKUP($A308,Table1[#This Row],COLUMN(M307), FALSE)</f>
        <v>Medium</v>
      </c>
      <c r="N308" t="str">
        <f>VLOOKUP($A308,Table1[#This Row],COLUMN(N307), FALSE)</f>
        <v>Normal Order</v>
      </c>
      <c r="O308" t="str">
        <f>VLOOKUP($A308,Table1[#This Row],COLUMN(O307), FALSE)</f>
        <v>Lena Radford</v>
      </c>
      <c r="P308" t="str">
        <f>VLOOKUP($A308,Table1[#This Row],COLUMN(P307), FALSE)</f>
        <v>ES</v>
      </c>
      <c r="Q308" t="str">
        <f>VLOOKUP($A308,Table1[#This Row],COLUMN(Q307), FALSE)</f>
        <v>2013</v>
      </c>
      <c r="R308" t="str">
        <f>VLOOKUP($A308,Table1[#This Row],COLUMN(R307), FALSE)</f>
        <v>MEDIUM</v>
      </c>
      <c r="S308" t="str">
        <f>VLOOKUP($A308,Table1[#This Row],COLUMN(S307), FALSE)</f>
        <v>office supplies</v>
      </c>
      <c r="T308" t="str">
        <f>VLOOKUP($A308,Table1[#This Row],COLUMN(T307), FALSE)</f>
        <v>41537</v>
      </c>
      <c r="U308" t="str">
        <f>VLOOKUP($A308,Table1[#This Row],COLUMN(U307), FALSE)</f>
        <v>LR1691544</v>
      </c>
      <c r="V308" t="str">
        <f>VLOOKUP($A308,Table1[#This Row],COLUMN(V307), FALSE)</f>
        <v>ES</v>
      </c>
      <c r="W308">
        <f>VLOOKUP($A308,Table1[#This Row],COLUMN(W307), FALSE)</f>
        <v>2013</v>
      </c>
      <c r="X308" t="str">
        <f>VLOOKUP($A308,Table1[#This Row],COLUMN(X307), FALSE)</f>
        <v>LR1691544</v>
      </c>
      <c r="Y308">
        <f>VLOOKUP($A308,Table1[#This Row],COLUMN(Y307), FALSE)</f>
        <v>41537</v>
      </c>
      <c r="Z308" t="str">
        <f>VLOOKUP($A308,Table1[#This Row],COLUMN(Z307), FALSE)</f>
        <v>ES-2013-LR1691544-41537</v>
      </c>
      <c r="AA308">
        <f>VLOOKUP($A308,Table1[#This Row],COLUMN(AA307), FALSE)</f>
        <v>2013</v>
      </c>
      <c r="AB308">
        <f>VLOOKUP($A308,Table1[#This Row],COLUMN(AB307), FALSE)</f>
        <v>9</v>
      </c>
      <c r="AC308">
        <f>VLOOKUP($A308,Table1[#This Row],COLUMN(AC307), FALSE)</f>
        <v>6</v>
      </c>
      <c r="AD308">
        <f>VLOOKUP($A308,Table1[#This Row],COLUMN(AD307), FALSE)</f>
        <v>5</v>
      </c>
    </row>
    <row r="309" spans="1:30" ht="15.75">
      <c r="A309" s="54" t="s">
        <v>1630</v>
      </c>
      <c r="B309" s="52">
        <f>VLOOKUP($A309,Table1[#This Row],COLUMN(B308), FALSE)</f>
        <v>42265</v>
      </c>
      <c r="C309" s="52">
        <f>VLOOKUP($A309,Table1[#This Row],COLUMN(C308), FALSE)</f>
        <v>42269</v>
      </c>
      <c r="D309" t="str">
        <f>VLOOKUP($A309,Table1[#This Row],COLUMN(D308), FALSE)</f>
        <v>Alan Schoenberger</v>
      </c>
      <c r="E309" t="str">
        <f>VLOOKUP($A309,Table1[#This Row],COLUMN(E308), FALSE)</f>
        <v>United States</v>
      </c>
      <c r="F309" t="str">
        <f>VLOOKUP($A309,Table1[#This Row],COLUMN(F308), FALSE)</f>
        <v>Western US</v>
      </c>
      <c r="G309" t="str">
        <f>VLOOKUP($A309,Table1[#This Row],COLUMN(G308), FALSE)</f>
        <v>Office Supplies</v>
      </c>
      <c r="H309" t="str">
        <f>VLOOKUP($A309,Table1[#This Row],COLUMN(H308), FALSE)</f>
        <v>Binders</v>
      </c>
      <c r="I309">
        <f>VLOOKUP($A309,Table1[#This Row],COLUMN(I308), FALSE)</f>
        <v>164.88</v>
      </c>
      <c r="J309">
        <f>VLOOKUP($A309,Table1[#This Row],COLUMN(J308), FALSE)</f>
        <v>3</v>
      </c>
      <c r="K309">
        <f>VLOOKUP($A309,Table1[#This Row],COLUMN(K308), FALSE)</f>
        <v>0</v>
      </c>
      <c r="L309">
        <f>VLOOKUP($A309,Table1[#This Row],COLUMN(L308), FALSE)</f>
        <v>446.49793718379902</v>
      </c>
      <c r="M309" t="str">
        <f>VLOOKUP($A309,Table1[#This Row],COLUMN(M308), FALSE)</f>
        <v>Medium</v>
      </c>
      <c r="N309" t="str">
        <f>VLOOKUP($A309,Table1[#This Row],COLUMN(N308), FALSE)</f>
        <v>Normal Order</v>
      </c>
      <c r="O309" t="str">
        <f>VLOOKUP($A309,Table1[#This Row],COLUMN(O308), FALSE)</f>
        <v>Alan Schoenberger</v>
      </c>
      <c r="P309" t="str">
        <f>VLOOKUP($A309,Table1[#This Row],COLUMN(P308), FALSE)</f>
        <v>CA</v>
      </c>
      <c r="Q309" t="str">
        <f>VLOOKUP($A309,Table1[#This Row],COLUMN(Q308), FALSE)</f>
        <v>2015</v>
      </c>
      <c r="R309" t="str">
        <f>VLOOKUP($A309,Table1[#This Row],COLUMN(R308), FALSE)</f>
        <v>MEDIUM</v>
      </c>
      <c r="S309" t="str">
        <f>VLOOKUP($A309,Table1[#This Row],COLUMN(S308), FALSE)</f>
        <v>office supplies</v>
      </c>
      <c r="T309" t="str">
        <f>VLOOKUP($A309,Table1[#This Row],COLUMN(T308), FALSE)</f>
        <v>42265</v>
      </c>
      <c r="U309" t="str">
        <f>VLOOKUP($A309,Table1[#This Row],COLUMN(U308), FALSE)</f>
        <v>AS10225140</v>
      </c>
      <c r="V309" t="str">
        <f>VLOOKUP($A309,Table1[#This Row],COLUMN(V308), FALSE)</f>
        <v>CA</v>
      </c>
      <c r="W309">
        <f>VLOOKUP($A309,Table1[#This Row],COLUMN(W308), FALSE)</f>
        <v>2015</v>
      </c>
      <c r="X309" t="str">
        <f>VLOOKUP($A309,Table1[#This Row],COLUMN(X308), FALSE)</f>
        <v>AS10225140</v>
      </c>
      <c r="Y309">
        <f>VLOOKUP($A309,Table1[#This Row],COLUMN(Y308), FALSE)</f>
        <v>42265</v>
      </c>
      <c r="Z309" t="str">
        <f>VLOOKUP($A309,Table1[#This Row],COLUMN(Z308), FALSE)</f>
        <v>CA-2015-AS10225140-42265</v>
      </c>
      <c r="AA309">
        <f>VLOOKUP($A309,Table1[#This Row],COLUMN(AA308), FALSE)</f>
        <v>2015</v>
      </c>
      <c r="AB309">
        <f>VLOOKUP($A309,Table1[#This Row],COLUMN(AB308), FALSE)</f>
        <v>9</v>
      </c>
      <c r="AC309">
        <f>VLOOKUP($A309,Table1[#This Row],COLUMN(AC308), FALSE)</f>
        <v>6</v>
      </c>
      <c r="AD309">
        <f>VLOOKUP($A309,Table1[#This Row],COLUMN(AD308), FALSE)</f>
        <v>4</v>
      </c>
    </row>
    <row r="310" spans="1:30" ht="15.75">
      <c r="A310" s="53" t="s">
        <v>1650</v>
      </c>
      <c r="B310" s="52">
        <f>VLOOKUP($A310,Table1[#This Row],COLUMN(B309), FALSE)</f>
        <v>41141</v>
      </c>
      <c r="C310" s="52">
        <f>VLOOKUP($A310,Table1[#This Row],COLUMN(C309), FALSE)</f>
        <v>41141</v>
      </c>
      <c r="D310" t="str">
        <f>VLOOKUP($A310,Table1[#This Row],COLUMN(D309), FALSE)</f>
        <v>Frank Olsen</v>
      </c>
      <c r="E310" t="str">
        <f>VLOOKUP($A310,Table1[#This Row],COLUMN(E309), FALSE)</f>
        <v>France</v>
      </c>
      <c r="F310" t="str">
        <f>VLOOKUP($A310,Table1[#This Row],COLUMN(F309), FALSE)</f>
        <v>Western Europe</v>
      </c>
      <c r="G310" t="str">
        <f>VLOOKUP($A310,Table1[#This Row],COLUMN(G309), FALSE)</f>
        <v>Office Supplies</v>
      </c>
      <c r="H310" t="str">
        <f>VLOOKUP($A310,Table1[#This Row],COLUMN(H309), FALSE)</f>
        <v>Chairs</v>
      </c>
      <c r="I310">
        <f>VLOOKUP($A310,Table1[#This Row],COLUMN(I309), FALSE)</f>
        <v>895.05</v>
      </c>
      <c r="J310">
        <f>VLOOKUP($A310,Table1[#This Row],COLUMN(J309), FALSE)</f>
        <v>5</v>
      </c>
      <c r="K310">
        <f>VLOOKUP($A310,Table1[#This Row],COLUMN(K309), FALSE)</f>
        <v>0.1</v>
      </c>
      <c r="L310">
        <f>VLOOKUP($A310,Table1[#This Row],COLUMN(L309), FALSE)</f>
        <v>178.95</v>
      </c>
      <c r="M310" t="str">
        <f>VLOOKUP($A310,Table1[#This Row],COLUMN(M309), FALSE)</f>
        <v>High</v>
      </c>
      <c r="N310" t="str">
        <f>VLOOKUP($A310,Table1[#This Row],COLUMN(N309), FALSE)</f>
        <v>Normal Order</v>
      </c>
      <c r="O310" t="str">
        <f>VLOOKUP($A310,Table1[#This Row],COLUMN(O309), FALSE)</f>
        <v>Frank Olsen</v>
      </c>
      <c r="P310" t="str">
        <f>VLOOKUP($A310,Table1[#This Row],COLUMN(P309), FALSE)</f>
        <v>ES</v>
      </c>
      <c r="Q310" t="str">
        <f>VLOOKUP($A310,Table1[#This Row],COLUMN(Q309), FALSE)</f>
        <v>2012</v>
      </c>
      <c r="R310" t="str">
        <f>VLOOKUP($A310,Table1[#This Row],COLUMN(R309), FALSE)</f>
        <v>HIGH</v>
      </c>
      <c r="S310" t="str">
        <f>VLOOKUP($A310,Table1[#This Row],COLUMN(S309), FALSE)</f>
        <v>office supplies</v>
      </c>
      <c r="T310" t="str">
        <f>VLOOKUP($A310,Table1[#This Row],COLUMN(T309), FALSE)</f>
        <v>41141</v>
      </c>
      <c r="U310" t="str">
        <f>VLOOKUP($A310,Table1[#This Row],COLUMN(U309), FALSE)</f>
        <v>FO1430545</v>
      </c>
      <c r="V310" t="str">
        <f>VLOOKUP($A310,Table1[#This Row],COLUMN(V309), FALSE)</f>
        <v>ES</v>
      </c>
      <c r="W310">
        <f>VLOOKUP($A310,Table1[#This Row],COLUMN(W309), FALSE)</f>
        <v>2012</v>
      </c>
      <c r="X310" t="str">
        <f>VLOOKUP($A310,Table1[#This Row],COLUMN(X309), FALSE)</f>
        <v>FO1430545</v>
      </c>
      <c r="Y310">
        <f>VLOOKUP($A310,Table1[#This Row],COLUMN(Y309), FALSE)</f>
        <v>41141</v>
      </c>
      <c r="Z310" t="str">
        <f>VLOOKUP($A310,Table1[#This Row],COLUMN(Z309), FALSE)</f>
        <v>ES-2012-FO1430545-41141</v>
      </c>
      <c r="AA310">
        <f>VLOOKUP($A310,Table1[#This Row],COLUMN(AA309), FALSE)</f>
        <v>2012</v>
      </c>
      <c r="AB310">
        <f>VLOOKUP($A310,Table1[#This Row],COLUMN(AB309), FALSE)</f>
        <v>8</v>
      </c>
      <c r="AC310">
        <f>VLOOKUP($A310,Table1[#This Row],COLUMN(AC309), FALSE)</f>
        <v>2</v>
      </c>
      <c r="AD310">
        <f>VLOOKUP($A310,Table1[#This Row],COLUMN(AD309), FALSE)</f>
        <v>0</v>
      </c>
    </row>
    <row r="311" spans="1:30" ht="15.75">
      <c r="A311" s="54" t="s">
        <v>1130</v>
      </c>
      <c r="B311" s="52">
        <f>VLOOKUP($A311,Table1[#This Row],COLUMN(B310), FALSE)</f>
        <v>41929</v>
      </c>
      <c r="C311" s="52">
        <f>VLOOKUP($A311,Table1[#This Row],COLUMN(C310), FALSE)</f>
        <v>41931</v>
      </c>
      <c r="D311" t="str">
        <f>VLOOKUP($A311,Table1[#This Row],COLUMN(D310), FALSE)</f>
        <v>Clytie Kelty</v>
      </c>
      <c r="E311" t="str">
        <f>VLOOKUP($A311,Table1[#This Row],COLUMN(E310), FALSE)</f>
        <v>New Zealand</v>
      </c>
      <c r="F311" t="str">
        <f>VLOOKUP($A311,Table1[#This Row],COLUMN(F310), FALSE)</f>
        <v>Oceania</v>
      </c>
      <c r="G311" t="str">
        <f>VLOOKUP($A311,Table1[#This Row],COLUMN(G310), FALSE)</f>
        <v>Technology</v>
      </c>
      <c r="H311" t="str">
        <f>VLOOKUP($A311,Table1[#This Row],COLUMN(H310), FALSE)</f>
        <v>Tables</v>
      </c>
      <c r="I311">
        <f>VLOOKUP($A311,Table1[#This Row],COLUMN(I310), FALSE)</f>
        <v>636.78</v>
      </c>
      <c r="J311">
        <f>VLOOKUP($A311,Table1[#This Row],COLUMN(J310), FALSE)</f>
        <v>2</v>
      </c>
      <c r="K311">
        <f>VLOOKUP($A311,Table1[#This Row],COLUMN(K310), FALSE)</f>
        <v>0</v>
      </c>
      <c r="L311">
        <f>VLOOKUP($A311,Table1[#This Row],COLUMN(L310), FALSE)</f>
        <v>286.5</v>
      </c>
      <c r="M311" t="str">
        <f>VLOOKUP($A311,Table1[#This Row],COLUMN(M310), FALSE)</f>
        <v>Critical</v>
      </c>
      <c r="N311" t="str">
        <f>VLOOKUP($A311,Table1[#This Row],COLUMN(N310), FALSE)</f>
        <v>Normal Order</v>
      </c>
      <c r="O311" t="str">
        <f>VLOOKUP($A311,Table1[#This Row],COLUMN(O310), FALSE)</f>
        <v>Clytie Kelty</v>
      </c>
      <c r="P311" t="str">
        <f>VLOOKUP($A311,Table1[#This Row],COLUMN(P310), FALSE)</f>
        <v>IN</v>
      </c>
      <c r="Q311" t="str">
        <f>VLOOKUP($A311,Table1[#This Row],COLUMN(Q310), FALSE)</f>
        <v>2014</v>
      </c>
      <c r="R311" t="str">
        <f>VLOOKUP($A311,Table1[#This Row],COLUMN(R310), FALSE)</f>
        <v>CRITICAL</v>
      </c>
      <c r="S311" t="str">
        <f>VLOOKUP($A311,Table1[#This Row],COLUMN(S310), FALSE)</f>
        <v>technology</v>
      </c>
      <c r="T311" t="str">
        <f>VLOOKUP($A311,Table1[#This Row],COLUMN(T310), FALSE)</f>
        <v>41929</v>
      </c>
      <c r="U311" t="str">
        <f>VLOOKUP($A311,Table1[#This Row],COLUMN(U310), FALSE)</f>
        <v>CK1259592</v>
      </c>
      <c r="V311" t="str">
        <f>VLOOKUP($A311,Table1[#This Row],COLUMN(V310), FALSE)</f>
        <v>IN</v>
      </c>
      <c r="W311">
        <f>VLOOKUP($A311,Table1[#This Row],COLUMN(W310), FALSE)</f>
        <v>2014</v>
      </c>
      <c r="X311" t="str">
        <f>VLOOKUP($A311,Table1[#This Row],COLUMN(X310), FALSE)</f>
        <v>CK1259592</v>
      </c>
      <c r="Y311">
        <f>VLOOKUP($A311,Table1[#This Row],COLUMN(Y310), FALSE)</f>
        <v>41929</v>
      </c>
      <c r="Z311" t="str">
        <f>VLOOKUP($A311,Table1[#This Row],COLUMN(Z310), FALSE)</f>
        <v>IN-2014-CK1259592-41929</v>
      </c>
      <c r="AA311">
        <f>VLOOKUP($A311,Table1[#This Row],COLUMN(AA310), FALSE)</f>
        <v>2014</v>
      </c>
      <c r="AB311">
        <f>VLOOKUP($A311,Table1[#This Row],COLUMN(AB310), FALSE)</f>
        <v>10</v>
      </c>
      <c r="AC311">
        <f>VLOOKUP($A311,Table1[#This Row],COLUMN(AC310), FALSE)</f>
        <v>6</v>
      </c>
      <c r="AD311">
        <f>VLOOKUP($A311,Table1[#This Row],COLUMN(AD310), FALSE)</f>
        <v>2</v>
      </c>
    </row>
    <row r="312" spans="1:30" ht="15.75">
      <c r="A312" s="53" t="s">
        <v>1661</v>
      </c>
      <c r="B312" s="52">
        <f>VLOOKUP($A312,Table1[#This Row],COLUMN(B311), FALSE)</f>
        <v>42348</v>
      </c>
      <c r="C312" s="52">
        <f>VLOOKUP($A312,Table1[#This Row],COLUMN(C311), FALSE)</f>
        <v>42352</v>
      </c>
      <c r="D312" t="str">
        <f>VLOOKUP($A312,Table1[#This Row],COLUMN(D311), FALSE)</f>
        <v>Roy Phan</v>
      </c>
      <c r="E312" t="str">
        <f>VLOOKUP($A312,Table1[#This Row],COLUMN(E311), FALSE)</f>
        <v>Thailand</v>
      </c>
      <c r="F312" t="str">
        <f>VLOOKUP($A312,Table1[#This Row],COLUMN(F311), FALSE)</f>
        <v>Southeastern Asia</v>
      </c>
      <c r="G312" t="str">
        <f>VLOOKUP($A312,Table1[#This Row],COLUMN(G311), FALSE)</f>
        <v>Technology</v>
      </c>
      <c r="H312" t="str">
        <f>VLOOKUP($A312,Table1[#This Row],COLUMN(H311), FALSE)</f>
        <v>Copiers</v>
      </c>
      <c r="I312">
        <f>VLOOKUP($A312,Table1[#This Row],COLUMN(I311), FALSE)</f>
        <v>1587.0014999999901</v>
      </c>
      <c r="J312">
        <f>VLOOKUP($A312,Table1[#This Row],COLUMN(J311), FALSE)</f>
        <v>3</v>
      </c>
      <c r="K312">
        <f>VLOOKUP($A312,Table1[#This Row],COLUMN(K311), FALSE)</f>
        <v>0.17</v>
      </c>
      <c r="L312">
        <f>VLOOKUP($A312,Table1[#This Row],COLUMN(L311), FALSE)</f>
        <v>-76.558499999999896</v>
      </c>
      <c r="M312" t="str">
        <f>VLOOKUP($A312,Table1[#This Row],COLUMN(M311), FALSE)</f>
        <v>Medium</v>
      </c>
      <c r="N312" t="str">
        <f>VLOOKUP($A312,Table1[#This Row],COLUMN(N311), FALSE)</f>
        <v>Normal Order</v>
      </c>
      <c r="O312" t="str">
        <f>VLOOKUP($A312,Table1[#This Row],COLUMN(O311), FALSE)</f>
        <v>Roy Phan</v>
      </c>
      <c r="P312" t="str">
        <f>VLOOKUP($A312,Table1[#This Row],COLUMN(P311), FALSE)</f>
        <v>ID</v>
      </c>
      <c r="Q312" t="str">
        <f>VLOOKUP($A312,Table1[#This Row],COLUMN(Q311), FALSE)</f>
        <v>2015</v>
      </c>
      <c r="R312" t="str">
        <f>VLOOKUP($A312,Table1[#This Row],COLUMN(R311), FALSE)</f>
        <v>MEDIUM</v>
      </c>
      <c r="S312" t="str">
        <f>VLOOKUP($A312,Table1[#This Row],COLUMN(S311), FALSE)</f>
        <v>technology</v>
      </c>
      <c r="T312" t="str">
        <f>VLOOKUP($A312,Table1[#This Row],COLUMN(T311), FALSE)</f>
        <v>42348</v>
      </c>
      <c r="U312" t="str">
        <f>VLOOKUP($A312,Table1[#This Row],COLUMN(U311), FALSE)</f>
        <v>RP19855130</v>
      </c>
      <c r="V312" t="str">
        <f>VLOOKUP($A312,Table1[#This Row],COLUMN(V311), FALSE)</f>
        <v>ID</v>
      </c>
      <c r="W312">
        <f>VLOOKUP($A312,Table1[#This Row],COLUMN(W311), FALSE)</f>
        <v>2015</v>
      </c>
      <c r="X312" t="str">
        <f>VLOOKUP($A312,Table1[#This Row],COLUMN(X311), FALSE)</f>
        <v>RP19855130</v>
      </c>
      <c r="Y312">
        <f>VLOOKUP($A312,Table1[#This Row],COLUMN(Y311), FALSE)</f>
        <v>42348</v>
      </c>
      <c r="Z312" t="str">
        <f>VLOOKUP($A312,Table1[#This Row],COLUMN(Z311), FALSE)</f>
        <v>ID-2015-RP19855130-42348</v>
      </c>
      <c r="AA312">
        <f>VLOOKUP($A312,Table1[#This Row],COLUMN(AA311), FALSE)</f>
        <v>2015</v>
      </c>
      <c r="AB312">
        <f>VLOOKUP($A312,Table1[#This Row],COLUMN(AB311), FALSE)</f>
        <v>12</v>
      </c>
      <c r="AC312">
        <f>VLOOKUP($A312,Table1[#This Row],COLUMN(AC311), FALSE)</f>
        <v>5</v>
      </c>
      <c r="AD312">
        <f>VLOOKUP($A312,Table1[#This Row],COLUMN(AD311), FALSE)</f>
        <v>4</v>
      </c>
    </row>
    <row r="313" spans="1:30" ht="15.75">
      <c r="A313" s="54" t="s">
        <v>13</v>
      </c>
      <c r="B313" s="52">
        <f>VLOOKUP($A313,Table1[#This Row],COLUMN(B312), FALSE)</f>
        <v>41929</v>
      </c>
      <c r="C313" s="52">
        <f>VLOOKUP($A313,Table1[#This Row],COLUMN(C312), FALSE)</f>
        <v>41930</v>
      </c>
      <c r="D313" t="str">
        <f>VLOOKUP($A313,Table1[#This Row],COLUMN(D312), FALSE)</f>
        <v>Craig Reiter</v>
      </c>
      <c r="E313" t="str">
        <f>VLOOKUP($A313,Table1[#This Row],COLUMN(E312), FALSE)</f>
        <v>Australia</v>
      </c>
      <c r="F313" t="str">
        <f>VLOOKUP($A313,Table1[#This Row],COLUMN(F312), FALSE)</f>
        <v>Oceania</v>
      </c>
      <c r="G313" t="str">
        <f>VLOOKUP($A313,Table1[#This Row],COLUMN(G312), FALSE)</f>
        <v>Technology</v>
      </c>
      <c r="H313" t="str">
        <f>VLOOKUP($A313,Table1[#This Row],COLUMN(H312), FALSE)</f>
        <v>Accessories</v>
      </c>
      <c r="I313">
        <f>VLOOKUP($A313,Table1[#This Row],COLUMN(I312), FALSE)</f>
        <v>5175.1710000000003</v>
      </c>
      <c r="J313">
        <f>VLOOKUP($A313,Table1[#This Row],COLUMN(J312), FALSE)</f>
        <v>9</v>
      </c>
      <c r="K313">
        <f>VLOOKUP($A313,Table1[#This Row],COLUMN(K312), FALSE)</f>
        <v>0.1</v>
      </c>
      <c r="L313">
        <f>VLOOKUP($A313,Table1[#This Row],COLUMN(L312), FALSE)</f>
        <v>919.97099999999898</v>
      </c>
      <c r="M313" t="str">
        <f>VLOOKUP($A313,Table1[#This Row],COLUMN(M312), FALSE)</f>
        <v>Medium</v>
      </c>
      <c r="N313" t="e" vm="2">
        <f ca="1">VLOOKUP($A313,Table1[#This Row],COLUMN(N312), FALSE)</f>
        <v>#VALUE!</v>
      </c>
      <c r="O313" t="str">
        <f>VLOOKUP($A313,Table1[#This Row],COLUMN(O312), FALSE)</f>
        <v>Craig Reiter</v>
      </c>
      <c r="P313" t="str">
        <f>VLOOKUP($A313,Table1[#This Row],COLUMN(P312), FALSE)</f>
        <v>IN</v>
      </c>
      <c r="Q313" t="str">
        <f>VLOOKUP($A313,Table1[#This Row],COLUMN(Q312), FALSE)</f>
        <v>2014</v>
      </c>
      <c r="R313" t="str">
        <f>VLOOKUP($A313,Table1[#This Row],COLUMN(R312), FALSE)</f>
        <v>MEDIUM</v>
      </c>
      <c r="S313" t="str">
        <f>VLOOKUP($A313,Table1[#This Row],COLUMN(S312), FALSE)</f>
        <v>technology</v>
      </c>
      <c r="T313" t="str">
        <f>VLOOKUP($A313,Table1[#This Row],COLUMN(T312), FALSE)</f>
        <v>41929</v>
      </c>
      <c r="U313" t="str">
        <f>VLOOKUP($A313,Table1[#This Row],COLUMN(U312), FALSE)</f>
        <v>CR127307</v>
      </c>
      <c r="V313" t="str">
        <f>VLOOKUP($A313,Table1[#This Row],COLUMN(V312), FALSE)</f>
        <v>IN</v>
      </c>
      <c r="W313">
        <f>VLOOKUP($A313,Table1[#This Row],COLUMN(W312), FALSE)</f>
        <v>2014</v>
      </c>
      <c r="X313" t="str">
        <f>VLOOKUP($A313,Table1[#This Row],COLUMN(X312), FALSE)</f>
        <v>CR127307</v>
      </c>
      <c r="Y313">
        <f>VLOOKUP($A313,Table1[#This Row],COLUMN(Y312), FALSE)</f>
        <v>41929</v>
      </c>
      <c r="Z313" t="str">
        <f>VLOOKUP($A313,Table1[#This Row],COLUMN(Z312), FALSE)</f>
        <v>IN-2014-CR127307-41929</v>
      </c>
      <c r="AA313">
        <f>VLOOKUP($A313,Table1[#This Row],COLUMN(AA312), FALSE)</f>
        <v>2014</v>
      </c>
      <c r="AB313">
        <f>VLOOKUP($A313,Table1[#This Row],COLUMN(AB312), FALSE)</f>
        <v>10</v>
      </c>
      <c r="AC313">
        <f>VLOOKUP($A313,Table1[#This Row],COLUMN(AC312), FALSE)</f>
        <v>6</v>
      </c>
      <c r="AD313">
        <f>VLOOKUP($A313,Table1[#This Row],COLUMN(AD312), FALSE)</f>
        <v>1</v>
      </c>
    </row>
    <row r="314" spans="1:30" ht="15.75">
      <c r="A314" s="53" t="s">
        <v>64</v>
      </c>
      <c r="B314" s="52">
        <f>VLOOKUP($A314,Table1[#This Row],COLUMN(B313), FALSE)</f>
        <v>41796</v>
      </c>
      <c r="C314" s="52">
        <f>VLOOKUP($A314,Table1[#This Row],COLUMN(C313), FALSE)</f>
        <v>41798</v>
      </c>
      <c r="D314" t="str">
        <f>VLOOKUP($A314,Table1[#This Row],COLUMN(D313), FALSE)</f>
        <v>Peter Fuller</v>
      </c>
      <c r="E314" t="str">
        <f>VLOOKUP($A314,Table1[#This Row],COLUMN(E313), FALSE)</f>
        <v>China</v>
      </c>
      <c r="F314" t="str">
        <f>VLOOKUP($A314,Table1[#This Row],COLUMN(F313), FALSE)</f>
        <v>EASTERN ASIA</v>
      </c>
      <c r="G314" t="str">
        <f>VLOOKUP($A314,Table1[#This Row],COLUMN(G313), FALSE)</f>
        <v>Office Supplies</v>
      </c>
      <c r="H314" t="str">
        <f>VLOOKUP($A314,Table1[#This Row],COLUMN(H313), FALSE)</f>
        <v>Phones</v>
      </c>
      <c r="I314">
        <f>VLOOKUP($A314,Table1[#This Row],COLUMN(I313), FALSE)</f>
        <v>3701.51999999999</v>
      </c>
      <c r="J314">
        <f>VLOOKUP($A314,Table1[#This Row],COLUMN(J313), FALSE)</f>
        <v>12</v>
      </c>
      <c r="K314">
        <f>VLOOKUP($A314,Table1[#This Row],COLUMN(K313), FALSE)</f>
        <v>0</v>
      </c>
      <c r="L314">
        <f>VLOOKUP($A314,Table1[#This Row],COLUMN(L313), FALSE)</f>
        <v>1036.08</v>
      </c>
      <c r="M314" t="str">
        <f>VLOOKUP($A314,Table1[#This Row],COLUMN(M313), FALSE)</f>
        <v>Critical</v>
      </c>
      <c r="N314">
        <f>VLOOKUP($A314,Table1[#This Row],COLUMN(N313), FALSE)</f>
        <v>0</v>
      </c>
      <c r="O314" t="str">
        <f>VLOOKUP($A314,Table1[#This Row],COLUMN(O313), FALSE)</f>
        <v>Peter Fuller</v>
      </c>
      <c r="P314" t="str">
        <f>VLOOKUP($A314,Table1[#This Row],COLUMN(P313), FALSE)</f>
        <v>IN</v>
      </c>
      <c r="Q314" t="str">
        <f>VLOOKUP($A314,Table1[#This Row],COLUMN(Q313), FALSE)</f>
        <v>2014</v>
      </c>
      <c r="R314" t="str">
        <f>VLOOKUP($A314,Table1[#This Row],COLUMN(R313), FALSE)</f>
        <v>CRITICAL</v>
      </c>
      <c r="S314" t="str">
        <f>VLOOKUP($A314,Table1[#This Row],COLUMN(S313), FALSE)</f>
        <v>office supplies</v>
      </c>
      <c r="T314" t="str">
        <f>VLOOKUP($A314,Table1[#This Row],COLUMN(T313), FALSE)</f>
        <v>41796</v>
      </c>
      <c r="U314" t="str">
        <f>VLOOKUP($A314,Table1[#This Row],COLUMN(U313), FALSE)</f>
        <v>PF1912027</v>
      </c>
      <c r="V314" t="str">
        <f>VLOOKUP($A314,Table1[#This Row],COLUMN(V313), FALSE)</f>
        <v>IN</v>
      </c>
      <c r="W314">
        <f>VLOOKUP($A314,Table1[#This Row],COLUMN(W313), FALSE)</f>
        <v>2014</v>
      </c>
      <c r="X314" t="str">
        <f>VLOOKUP($A314,Table1[#This Row],COLUMN(X313), FALSE)</f>
        <v>PF1912027</v>
      </c>
      <c r="Y314">
        <f>VLOOKUP($A314,Table1[#This Row],COLUMN(Y313), FALSE)</f>
        <v>41796</v>
      </c>
      <c r="Z314" t="str">
        <f>VLOOKUP($A314,Table1[#This Row],COLUMN(Z313), FALSE)</f>
        <v>IN-2014-PF1912027-41796</v>
      </c>
      <c r="AA314">
        <f>VLOOKUP($A314,Table1[#This Row],COLUMN(AA313), FALSE)</f>
        <v>2014</v>
      </c>
      <c r="AB314">
        <f>VLOOKUP($A314,Table1[#This Row],COLUMN(AB313), FALSE)</f>
        <v>6</v>
      </c>
      <c r="AC314">
        <f>VLOOKUP($A314,Table1[#This Row],COLUMN(AC313), FALSE)</f>
        <v>6</v>
      </c>
      <c r="AD314">
        <f>VLOOKUP($A314,Table1[#This Row],COLUMN(AD313), FALSE)</f>
        <v>2</v>
      </c>
    </row>
    <row r="315" spans="1:30" ht="15.75">
      <c r="A315" s="54" t="s">
        <v>81</v>
      </c>
      <c r="B315" s="52">
        <f>VLOOKUP($A315,Table1[#This Row],COLUMN(B314), FALSE)</f>
        <v>42343</v>
      </c>
      <c r="C315" s="52">
        <f>VLOOKUP($A315,Table1[#This Row],COLUMN(C314), FALSE)</f>
        <v>42345</v>
      </c>
      <c r="D315" t="str">
        <f>VLOOKUP($A315,Table1[#This Row],COLUMN(D314), FALSE)</f>
        <v>Ritsa Hightower</v>
      </c>
      <c r="E315" t="str">
        <f>VLOOKUP($A315,Table1[#This Row],COLUMN(E314), FALSE)</f>
        <v>Tanzania</v>
      </c>
      <c r="F315" t="str">
        <f>VLOOKUP($A315,Table1[#This Row],COLUMN(F314), FALSE)</f>
        <v>Eastern Africa</v>
      </c>
      <c r="G315" t="str">
        <f>VLOOKUP($A315,Table1[#This Row],COLUMN(G314), FALSE)</f>
        <v>Office Supplies</v>
      </c>
      <c r="H315" t="str">
        <f>VLOOKUP($A315,Table1[#This Row],COLUMN(H314), FALSE)</f>
        <v>Appliances</v>
      </c>
      <c r="I315">
        <f>VLOOKUP($A315,Table1[#This Row],COLUMN(I314), FALSE)</f>
        <v>3409.74</v>
      </c>
      <c r="J315">
        <f>VLOOKUP($A315,Table1[#This Row],COLUMN(J314), FALSE)</f>
        <v>6</v>
      </c>
      <c r="K315">
        <f>VLOOKUP($A315,Table1[#This Row],COLUMN(K314), FALSE)</f>
        <v>0</v>
      </c>
      <c r="L315">
        <f>VLOOKUP($A315,Table1[#This Row],COLUMN(L314), FALSE)</f>
        <v>818.28</v>
      </c>
      <c r="M315" t="str">
        <f>VLOOKUP($A315,Table1[#This Row],COLUMN(M314), FALSE)</f>
        <v>High</v>
      </c>
      <c r="N315">
        <f>VLOOKUP($A315,Table1[#This Row],COLUMN(N314), FALSE)</f>
        <v>0</v>
      </c>
      <c r="O315" t="str">
        <f>VLOOKUP($A315,Table1[#This Row],COLUMN(O314), FALSE)</f>
        <v>Ritsa Hightower</v>
      </c>
      <c r="P315" t="str">
        <f>VLOOKUP($A315,Table1[#This Row],COLUMN(P314), FALSE)</f>
        <v>TZ</v>
      </c>
      <c r="Q315" t="str">
        <f>VLOOKUP($A315,Table1[#This Row],COLUMN(Q314), FALSE)</f>
        <v>2015</v>
      </c>
      <c r="R315" t="str">
        <f>VLOOKUP($A315,Table1[#This Row],COLUMN(R314), FALSE)</f>
        <v>HIGH</v>
      </c>
      <c r="S315" t="str">
        <f>VLOOKUP($A315,Table1[#This Row],COLUMN(S314), FALSE)</f>
        <v>office supplies</v>
      </c>
      <c r="T315" t="str">
        <f>VLOOKUP($A315,Table1[#This Row],COLUMN(T314), FALSE)</f>
        <v>42343</v>
      </c>
      <c r="U315" t="str">
        <f>VLOOKUP($A315,Table1[#This Row],COLUMN(U314), FALSE)</f>
        <v>RH9555129</v>
      </c>
      <c r="V315" t="str">
        <f>VLOOKUP($A315,Table1[#This Row],COLUMN(V314), FALSE)</f>
        <v>TZ</v>
      </c>
      <c r="W315">
        <f>VLOOKUP($A315,Table1[#This Row],COLUMN(W314), FALSE)</f>
        <v>2015</v>
      </c>
      <c r="X315" t="str">
        <f>VLOOKUP($A315,Table1[#This Row],COLUMN(X314), FALSE)</f>
        <v>RH9555129</v>
      </c>
      <c r="Y315">
        <f>VLOOKUP($A315,Table1[#This Row],COLUMN(Y314), FALSE)</f>
        <v>42343</v>
      </c>
      <c r="Z315" t="str">
        <f>VLOOKUP($A315,Table1[#This Row],COLUMN(Z314), FALSE)</f>
        <v>TZ-2015-RH9555129-42343</v>
      </c>
      <c r="AA315">
        <f>VLOOKUP($A315,Table1[#This Row],COLUMN(AA314), FALSE)</f>
        <v>2015</v>
      </c>
      <c r="AB315">
        <f>VLOOKUP($A315,Table1[#This Row],COLUMN(AB314), FALSE)</f>
        <v>12</v>
      </c>
      <c r="AC315">
        <f>VLOOKUP($A315,Table1[#This Row],COLUMN(AC314), FALSE)</f>
        <v>7</v>
      </c>
      <c r="AD315">
        <f>VLOOKUP($A315,Table1[#This Row],COLUMN(AD314), FALSE)</f>
        <v>2</v>
      </c>
    </row>
    <row r="316" spans="1:30" ht="15.75">
      <c r="A316" s="53" t="s">
        <v>88</v>
      </c>
      <c r="B316" s="52">
        <f>VLOOKUP($A316,Table1[#This Row],COLUMN(B315), FALSE)</f>
        <v>41030</v>
      </c>
      <c r="C316" s="52">
        <f>VLOOKUP($A316,Table1[#This Row],COLUMN(C315), FALSE)</f>
        <v>41031</v>
      </c>
      <c r="D316" t="str">
        <f>VLOOKUP($A316,Table1[#This Row],COLUMN(D315), FALSE)</f>
        <v>Jason Klamczynski</v>
      </c>
      <c r="E316" t="str">
        <f>VLOOKUP($A316,Table1[#This Row],COLUMN(E315), FALSE)</f>
        <v>China</v>
      </c>
      <c r="F316" t="str">
        <f>VLOOKUP($A316,Table1[#This Row],COLUMN(F315), FALSE)</f>
        <v>Eastern Asia</v>
      </c>
      <c r="G316" t="str">
        <f>VLOOKUP($A316,Table1[#This Row],COLUMN(G315), FALSE)</f>
        <v>Furniture</v>
      </c>
      <c r="H316" t="str">
        <f>VLOOKUP($A316,Table1[#This Row],COLUMN(H315), FALSE)</f>
        <v>Tables</v>
      </c>
      <c r="I316">
        <f>VLOOKUP($A316,Table1[#This Row],COLUMN(I315), FALSE)</f>
        <v>2753.99999999999</v>
      </c>
      <c r="J316">
        <f>VLOOKUP($A316,Table1[#This Row],COLUMN(J315), FALSE)</f>
        <v>6</v>
      </c>
      <c r="K316">
        <f>VLOOKUP($A316,Table1[#This Row],COLUMN(K315), FALSE)</f>
        <v>0</v>
      </c>
      <c r="L316">
        <f>VLOOKUP($A316,Table1[#This Row],COLUMN(L315), FALSE)</f>
        <v>358.02</v>
      </c>
      <c r="M316" t="str">
        <f>VLOOKUP($A316,Table1[#This Row],COLUMN(M315), FALSE)</f>
        <v>Critical</v>
      </c>
      <c r="N316">
        <f>VLOOKUP($A316,Table1[#This Row],COLUMN(N315), FALSE)</f>
        <v>0</v>
      </c>
      <c r="O316" t="str">
        <f>VLOOKUP($A316,Table1[#This Row],COLUMN(O315), FALSE)</f>
        <v>Jason Klamczynski</v>
      </c>
      <c r="P316" t="str">
        <f>VLOOKUP($A316,Table1[#This Row],COLUMN(P315), FALSE)</f>
        <v>IN</v>
      </c>
      <c r="Q316" t="str">
        <f>VLOOKUP($A316,Table1[#This Row],COLUMN(Q315), FALSE)</f>
        <v>2012</v>
      </c>
      <c r="R316" t="str">
        <f>VLOOKUP($A316,Table1[#This Row],COLUMN(R315), FALSE)</f>
        <v>CRITICAL</v>
      </c>
      <c r="S316" t="str">
        <f>VLOOKUP($A316,Table1[#This Row],COLUMN(S315), FALSE)</f>
        <v>furniture</v>
      </c>
      <c r="T316" t="str">
        <f>VLOOKUP($A316,Table1[#This Row],COLUMN(T315), FALSE)</f>
        <v>41030</v>
      </c>
      <c r="U316" t="str">
        <f>VLOOKUP($A316,Table1[#This Row],COLUMN(U315), FALSE)</f>
        <v>JK1532527</v>
      </c>
      <c r="V316" t="str">
        <f>VLOOKUP($A316,Table1[#This Row],COLUMN(V315), FALSE)</f>
        <v>IN</v>
      </c>
      <c r="W316">
        <f>VLOOKUP($A316,Table1[#This Row],COLUMN(W315), FALSE)</f>
        <v>2012</v>
      </c>
      <c r="X316" t="str">
        <f>VLOOKUP($A316,Table1[#This Row],COLUMN(X315), FALSE)</f>
        <v>JK1532527</v>
      </c>
      <c r="Y316">
        <f>VLOOKUP($A316,Table1[#This Row],COLUMN(Y315), FALSE)</f>
        <v>41030</v>
      </c>
      <c r="Z316" t="str">
        <f>VLOOKUP($A316,Table1[#This Row],COLUMN(Z315), FALSE)</f>
        <v>IN-2012-JK1532527-41030</v>
      </c>
      <c r="AA316">
        <f>VLOOKUP($A316,Table1[#This Row],COLUMN(AA315), FALSE)</f>
        <v>2012</v>
      </c>
      <c r="AB316">
        <f>VLOOKUP($A316,Table1[#This Row],COLUMN(AB315), FALSE)</f>
        <v>5</v>
      </c>
      <c r="AC316">
        <f>VLOOKUP($A316,Table1[#This Row],COLUMN(AC315), FALSE)</f>
        <v>3</v>
      </c>
      <c r="AD316">
        <f>VLOOKUP($A316,Table1[#This Row],COLUMN(AD315), FALSE)</f>
        <v>1</v>
      </c>
    </row>
    <row r="317" spans="1:30" ht="15.75">
      <c r="A317" s="54" t="s">
        <v>99</v>
      </c>
      <c r="B317" s="52">
        <f>VLOOKUP($A317,Table1[#This Row],COLUMN(B316), FALSE)</f>
        <v>42252</v>
      </c>
      <c r="C317" s="52">
        <f>VLOOKUP($A317,Table1[#This Row],COLUMN(C316), FALSE)</f>
        <v>42255</v>
      </c>
      <c r="D317" t="str">
        <f>VLOOKUP($A317,Table1[#This Row],COLUMN(D316), FALSE)</f>
        <v>Valerie Dominguez</v>
      </c>
      <c r="E317" t="str">
        <f>VLOOKUP($A317,Table1[#This Row],COLUMN(E316), FALSE)</f>
        <v>El Salvador</v>
      </c>
      <c r="F317" t="str">
        <f>VLOOKUP($A317,Table1[#This Row],COLUMN(F316), FALSE)</f>
        <v>Central America</v>
      </c>
      <c r="G317" t="str">
        <f>VLOOKUP($A317,Table1[#This Row],COLUMN(G316), FALSE)</f>
        <v>Furniture</v>
      </c>
      <c r="H317" t="str">
        <f>VLOOKUP($A317,Table1[#This Row],COLUMN(H316), FALSE)</f>
        <v>Appliances</v>
      </c>
      <c r="I317">
        <f>VLOOKUP($A317,Table1[#This Row],COLUMN(I316), FALSE)</f>
        <v>2106.4960000000001</v>
      </c>
      <c r="J317">
        <f>VLOOKUP($A317,Table1[#This Row],COLUMN(J316), FALSE)</f>
        <v>8</v>
      </c>
      <c r="K317">
        <f>VLOOKUP($A317,Table1[#This Row],COLUMN(K316), FALSE)</f>
        <v>0.2</v>
      </c>
      <c r="L317">
        <f>VLOOKUP($A317,Table1[#This Row],COLUMN(L316), FALSE)</f>
        <v>526.49599999999998</v>
      </c>
      <c r="M317" t="str">
        <f>VLOOKUP($A317,Table1[#This Row],COLUMN(M316), FALSE)</f>
        <v>Critical</v>
      </c>
      <c r="N317">
        <f>VLOOKUP($A317,Table1[#This Row],COLUMN(N316), FALSE)</f>
        <v>0</v>
      </c>
      <c r="O317" t="str">
        <f>VLOOKUP($A317,Table1[#This Row],COLUMN(O316), FALSE)</f>
        <v>Valerie Dominguez</v>
      </c>
      <c r="P317" t="str">
        <f>VLOOKUP($A317,Table1[#This Row],COLUMN(P316), FALSE)</f>
        <v>MX</v>
      </c>
      <c r="Q317" t="str">
        <f>VLOOKUP($A317,Table1[#This Row],COLUMN(Q316), FALSE)</f>
        <v>2015</v>
      </c>
      <c r="R317" t="str">
        <f>VLOOKUP($A317,Table1[#This Row],COLUMN(R316), FALSE)</f>
        <v>CRITICAL</v>
      </c>
      <c r="S317" t="str">
        <f>VLOOKUP($A317,Table1[#This Row],COLUMN(S316), FALSE)</f>
        <v>furniture</v>
      </c>
      <c r="T317" t="str">
        <f>VLOOKUP($A317,Table1[#This Row],COLUMN(T316), FALSE)</f>
        <v>42252</v>
      </c>
      <c r="U317" t="str">
        <f>VLOOKUP($A317,Table1[#This Row],COLUMN(U316), FALSE)</f>
        <v>VD2167039</v>
      </c>
      <c r="V317" t="str">
        <f>VLOOKUP($A317,Table1[#This Row],COLUMN(V316), FALSE)</f>
        <v>MX</v>
      </c>
      <c r="W317">
        <f>VLOOKUP($A317,Table1[#This Row],COLUMN(W316), FALSE)</f>
        <v>2015</v>
      </c>
      <c r="X317" t="str">
        <f>VLOOKUP($A317,Table1[#This Row],COLUMN(X316), FALSE)</f>
        <v>VD2167039</v>
      </c>
      <c r="Y317">
        <f>VLOOKUP($A317,Table1[#This Row],COLUMN(Y316), FALSE)</f>
        <v>42252</v>
      </c>
      <c r="Z317" t="str">
        <f>VLOOKUP($A317,Table1[#This Row],COLUMN(Z316), FALSE)</f>
        <v>MX-2015-VD2167039-42252</v>
      </c>
      <c r="AA317">
        <f>VLOOKUP($A317,Table1[#This Row],COLUMN(AA316), FALSE)</f>
        <v>2015</v>
      </c>
      <c r="AB317">
        <f>VLOOKUP($A317,Table1[#This Row],COLUMN(AB316), FALSE)</f>
        <v>9</v>
      </c>
      <c r="AC317">
        <f>VLOOKUP($A317,Table1[#This Row],COLUMN(AC316), FALSE)</f>
        <v>7</v>
      </c>
      <c r="AD317">
        <f>VLOOKUP($A317,Table1[#This Row],COLUMN(AD316), FALSE)</f>
        <v>3</v>
      </c>
    </row>
    <row r="318" spans="1:30" ht="15.75">
      <c r="A318" s="53" t="s">
        <v>109</v>
      </c>
      <c r="B318" s="52">
        <f>VLOOKUP($A318,Table1[#This Row],COLUMN(B317), FALSE)</f>
        <v>41020</v>
      </c>
      <c r="C318" s="52">
        <f>VLOOKUP($A318,Table1[#This Row],COLUMN(C317), FALSE)</f>
        <v>41022</v>
      </c>
      <c r="D318" t="str">
        <f>VLOOKUP($A318,Table1[#This Row],COLUMN(D317), FALSE)</f>
        <v>Aaron Hawkins</v>
      </c>
      <c r="E318" t="str">
        <f>VLOOKUP($A318,Table1[#This Row],COLUMN(E317), FALSE)</f>
        <v>United States</v>
      </c>
      <c r="F318" t="str">
        <f>VLOOKUP($A318,Table1[#This Row],COLUMN(F317), FALSE)</f>
        <v>Eastern US</v>
      </c>
      <c r="G318" t="str">
        <f>VLOOKUP($A318,Table1[#This Row],COLUMN(G317), FALSE)</f>
        <v>Office Supplies</v>
      </c>
      <c r="H318" t="str">
        <f>VLOOKUP($A318,Table1[#This Row],COLUMN(H317), FALSE)</f>
        <v>Tables</v>
      </c>
      <c r="I318">
        <f>VLOOKUP($A318,Table1[#This Row],COLUMN(I317), FALSE)</f>
        <v>247.84</v>
      </c>
      <c r="J318">
        <f>VLOOKUP($A318,Table1[#This Row],COLUMN(J317), FALSE)</f>
        <v>8</v>
      </c>
      <c r="K318">
        <f>VLOOKUP($A318,Table1[#This Row],COLUMN(K317), FALSE)</f>
        <v>0</v>
      </c>
      <c r="L318">
        <f>VLOOKUP($A318,Table1[#This Row],COLUMN(L317), FALSE)</f>
        <v>121.44159999999999</v>
      </c>
      <c r="M318" t="str">
        <f>VLOOKUP($A318,Table1[#This Row],COLUMN(M317), FALSE)</f>
        <v>Critical</v>
      </c>
      <c r="N318">
        <f>VLOOKUP($A318,Table1[#This Row],COLUMN(N317), FALSE)</f>
        <v>0</v>
      </c>
      <c r="O318" t="str">
        <f>VLOOKUP($A318,Table1[#This Row],COLUMN(O317), FALSE)</f>
        <v>Aaron Hawkins</v>
      </c>
      <c r="P318" t="str">
        <f>VLOOKUP($A318,Table1[#This Row],COLUMN(P317), FALSE)</f>
        <v>CA</v>
      </c>
      <c r="Q318" t="str">
        <f>VLOOKUP($A318,Table1[#This Row],COLUMN(Q317), FALSE)</f>
        <v>2012</v>
      </c>
      <c r="R318" t="str">
        <f>VLOOKUP($A318,Table1[#This Row],COLUMN(R317), FALSE)</f>
        <v>CRITICAL</v>
      </c>
      <c r="S318" t="str">
        <f>VLOOKUP($A318,Table1[#This Row],COLUMN(S317), FALSE)</f>
        <v>office supplies</v>
      </c>
      <c r="T318" t="str">
        <f>VLOOKUP($A318,Table1[#This Row],COLUMN(T317), FALSE)</f>
        <v>41020</v>
      </c>
      <c r="U318" t="str">
        <f>VLOOKUP($A318,Table1[#This Row],COLUMN(U317), FALSE)</f>
        <v>AH10030140</v>
      </c>
      <c r="V318" t="str">
        <f>VLOOKUP($A318,Table1[#This Row],COLUMN(V317), FALSE)</f>
        <v>CA</v>
      </c>
      <c r="W318">
        <f>VLOOKUP($A318,Table1[#This Row],COLUMN(W317), FALSE)</f>
        <v>2012</v>
      </c>
      <c r="X318" t="str">
        <f>VLOOKUP($A318,Table1[#This Row],COLUMN(X317), FALSE)</f>
        <v>AH10030140</v>
      </c>
      <c r="Y318">
        <f>VLOOKUP($A318,Table1[#This Row],COLUMN(Y317), FALSE)</f>
        <v>41020</v>
      </c>
      <c r="Z318" t="str">
        <f>VLOOKUP($A318,Table1[#This Row],COLUMN(Z317), FALSE)</f>
        <v>CA-2012-AH10030140-41020</v>
      </c>
      <c r="AA318">
        <f>VLOOKUP($A318,Table1[#This Row],COLUMN(AA317), FALSE)</f>
        <v>2012</v>
      </c>
      <c r="AB318">
        <f>VLOOKUP($A318,Table1[#This Row],COLUMN(AB317), FALSE)</f>
        <v>4</v>
      </c>
      <c r="AC318">
        <f>VLOOKUP($A318,Table1[#This Row],COLUMN(AC317), FALSE)</f>
        <v>7</v>
      </c>
      <c r="AD318">
        <f>VLOOKUP($A318,Table1[#This Row],COLUMN(AD317), FALSE)</f>
        <v>2</v>
      </c>
    </row>
    <row r="319" spans="1:30" ht="15.75">
      <c r="A319" s="54" t="s">
        <v>121</v>
      </c>
      <c r="B319" s="52">
        <f>VLOOKUP($A319,Table1[#This Row],COLUMN(B318), FALSE)</f>
        <v>41472</v>
      </c>
      <c r="C319" s="52">
        <f>VLOOKUP($A319,Table1[#This Row],COLUMN(C318), FALSE)</f>
        <v>41474</v>
      </c>
      <c r="D319" t="str">
        <f>VLOOKUP($A319,Table1[#This Row],COLUMN(D318), FALSE)</f>
        <v>Bill Shonely</v>
      </c>
      <c r="E319" t="str">
        <f>VLOOKUP($A319,Table1[#This Row],COLUMN(E318), FALSE)</f>
        <v>France</v>
      </c>
      <c r="F319" t="str">
        <f>VLOOKUP($A319,Table1[#This Row],COLUMN(F318), FALSE)</f>
        <v>Western Europe</v>
      </c>
      <c r="G319" t="str">
        <f>VLOOKUP($A319,Table1[#This Row],COLUMN(G318), FALSE)</f>
        <v>Technology</v>
      </c>
      <c r="H319" t="str">
        <f>VLOOKUP($A319,Table1[#This Row],COLUMN(H318), FALSE)</f>
        <v>Chairs</v>
      </c>
      <c r="I319">
        <f>VLOOKUP($A319,Table1[#This Row],COLUMN(I318), FALSE)</f>
        <v>2402.8649999999998</v>
      </c>
      <c r="J319">
        <f>VLOOKUP($A319,Table1[#This Row],COLUMN(J318), FALSE)</f>
        <v>9</v>
      </c>
      <c r="K319">
        <f>VLOOKUP($A319,Table1[#This Row],COLUMN(K318), FALSE)</f>
        <v>0.15</v>
      </c>
      <c r="L319">
        <f>VLOOKUP($A319,Table1[#This Row],COLUMN(L318), FALSE)</f>
        <v>763.15499999999997</v>
      </c>
      <c r="M319" t="str">
        <f>VLOOKUP($A319,Table1[#This Row],COLUMN(M318), FALSE)</f>
        <v>Critical</v>
      </c>
      <c r="N319">
        <f>VLOOKUP($A319,Table1[#This Row],COLUMN(N318), FALSE)</f>
        <v>0</v>
      </c>
      <c r="O319" t="str">
        <f>VLOOKUP($A319,Table1[#This Row],COLUMN(O318), FALSE)</f>
        <v>Bill Shonely</v>
      </c>
      <c r="P319" t="str">
        <f>VLOOKUP($A319,Table1[#This Row],COLUMN(P318), FALSE)</f>
        <v>ES</v>
      </c>
      <c r="Q319" t="str">
        <f>VLOOKUP($A319,Table1[#This Row],COLUMN(Q318), FALSE)</f>
        <v>2013</v>
      </c>
      <c r="R319" t="str">
        <f>VLOOKUP($A319,Table1[#This Row],COLUMN(R318), FALSE)</f>
        <v>CRITICAL</v>
      </c>
      <c r="S319" t="str">
        <f>VLOOKUP($A319,Table1[#This Row],COLUMN(S318), FALSE)</f>
        <v>technology</v>
      </c>
      <c r="T319" t="str">
        <f>VLOOKUP($A319,Table1[#This Row],COLUMN(T318), FALSE)</f>
        <v>41472</v>
      </c>
      <c r="U319" t="str">
        <f>VLOOKUP($A319,Table1[#This Row],COLUMN(U318), FALSE)</f>
        <v>BS1136545</v>
      </c>
      <c r="V319" t="str">
        <f>VLOOKUP($A319,Table1[#This Row],COLUMN(V318), FALSE)</f>
        <v>ES</v>
      </c>
      <c r="W319">
        <f>VLOOKUP($A319,Table1[#This Row],COLUMN(W318), FALSE)</f>
        <v>2013</v>
      </c>
      <c r="X319" t="str">
        <f>VLOOKUP($A319,Table1[#This Row],COLUMN(X318), FALSE)</f>
        <v>BS1136545</v>
      </c>
      <c r="Y319">
        <f>VLOOKUP($A319,Table1[#This Row],COLUMN(Y318), FALSE)</f>
        <v>41472</v>
      </c>
      <c r="Z319" t="str">
        <f>VLOOKUP($A319,Table1[#This Row],COLUMN(Z318), FALSE)</f>
        <v>ES-2013-BS1136545-41472</v>
      </c>
      <c r="AA319">
        <f>VLOOKUP($A319,Table1[#This Row],COLUMN(AA318), FALSE)</f>
        <v>2013</v>
      </c>
      <c r="AB319">
        <f>VLOOKUP($A319,Table1[#This Row],COLUMN(AB318), FALSE)</f>
        <v>7</v>
      </c>
      <c r="AC319">
        <f>VLOOKUP($A319,Table1[#This Row],COLUMN(AC318), FALSE)</f>
        <v>4</v>
      </c>
      <c r="AD319">
        <f>VLOOKUP($A319,Table1[#This Row],COLUMN(AD318), FALSE)</f>
        <v>2</v>
      </c>
    </row>
    <row r="320" spans="1:30" ht="15.75">
      <c r="A320" s="53" t="s">
        <v>123</v>
      </c>
      <c r="B320" s="52">
        <f>VLOOKUP($A320,Table1[#This Row],COLUMN(B319), FALSE)</f>
        <v>41635</v>
      </c>
      <c r="C320" s="52">
        <f>VLOOKUP($A320,Table1[#This Row],COLUMN(C319), FALSE)</f>
        <v>41639</v>
      </c>
      <c r="D320" t="str">
        <f>VLOOKUP($A320,Table1[#This Row],COLUMN(D319), FALSE)</f>
        <v>Aaron Hawkins</v>
      </c>
      <c r="E320" t="str">
        <f>VLOOKUP($A320,Table1[#This Row],COLUMN(E319), FALSE)</f>
        <v>United States</v>
      </c>
      <c r="F320" t="str">
        <f>VLOOKUP($A320,Table1[#This Row],COLUMN(F319), FALSE)</f>
        <v>Western US</v>
      </c>
      <c r="G320" t="str">
        <f>VLOOKUP($A320,Table1[#This Row],COLUMN(G319), FALSE)</f>
        <v>Technology</v>
      </c>
      <c r="H320" t="str">
        <f>VLOOKUP($A320,Table1[#This Row],COLUMN(H319), FALSE)</f>
        <v>Phones</v>
      </c>
      <c r="I320">
        <f>VLOOKUP($A320,Table1[#This Row],COLUMN(I319), FALSE)</f>
        <v>668.16</v>
      </c>
      <c r="J320">
        <f>VLOOKUP($A320,Table1[#This Row],COLUMN(J319), FALSE)</f>
        <v>9</v>
      </c>
      <c r="K320">
        <f>VLOOKUP($A320,Table1[#This Row],COLUMN(K319), FALSE)</f>
        <v>0.2</v>
      </c>
      <c r="L320">
        <f>VLOOKUP($A320,Table1[#This Row],COLUMN(L319), FALSE)</f>
        <v>75.167999999999907</v>
      </c>
      <c r="M320" t="str">
        <f>VLOOKUP($A320,Table1[#This Row],COLUMN(M319), FALSE)</f>
        <v>Medium</v>
      </c>
      <c r="N320">
        <f>VLOOKUP($A320,Table1[#This Row],COLUMN(N319), FALSE)</f>
        <v>0</v>
      </c>
      <c r="O320" t="str">
        <f>VLOOKUP($A320,Table1[#This Row],COLUMN(O319), FALSE)</f>
        <v>Aaron Hawkins</v>
      </c>
      <c r="P320" t="str">
        <f>VLOOKUP($A320,Table1[#This Row],COLUMN(P319), FALSE)</f>
        <v>CA</v>
      </c>
      <c r="Q320" t="str">
        <f>VLOOKUP($A320,Table1[#This Row],COLUMN(Q319), FALSE)</f>
        <v>2013</v>
      </c>
      <c r="R320" t="str">
        <f>VLOOKUP($A320,Table1[#This Row],COLUMN(R319), FALSE)</f>
        <v>MEDIUM</v>
      </c>
      <c r="S320" t="str">
        <f>VLOOKUP($A320,Table1[#This Row],COLUMN(S319), FALSE)</f>
        <v>technology</v>
      </c>
      <c r="T320" t="str">
        <f>VLOOKUP($A320,Table1[#This Row],COLUMN(T319), FALSE)</f>
        <v>41635</v>
      </c>
      <c r="U320" t="str">
        <f>VLOOKUP($A320,Table1[#This Row],COLUMN(U319), FALSE)</f>
        <v>AH1003014</v>
      </c>
      <c r="V320" t="str">
        <f>VLOOKUP($A320,Table1[#This Row],COLUMN(V319), FALSE)</f>
        <v>CA</v>
      </c>
      <c r="W320">
        <f>VLOOKUP($A320,Table1[#This Row],COLUMN(W319), FALSE)</f>
        <v>2013</v>
      </c>
      <c r="X320" t="str">
        <f>VLOOKUP($A320,Table1[#This Row],COLUMN(X319), FALSE)</f>
        <v>AH1003014</v>
      </c>
      <c r="Y320">
        <f>VLOOKUP($A320,Table1[#This Row],COLUMN(Y319), FALSE)</f>
        <v>41635</v>
      </c>
      <c r="Z320" t="str">
        <f>VLOOKUP($A320,Table1[#This Row],COLUMN(Z319), FALSE)</f>
        <v>CA-2013-AH1003014-041635</v>
      </c>
      <c r="AA320">
        <f>VLOOKUP($A320,Table1[#This Row],COLUMN(AA319), FALSE)</f>
        <v>2013</v>
      </c>
      <c r="AB320">
        <f>VLOOKUP($A320,Table1[#This Row],COLUMN(AB319), FALSE)</f>
        <v>12</v>
      </c>
      <c r="AC320">
        <f>VLOOKUP($A320,Table1[#This Row],COLUMN(AC319), FALSE)</f>
        <v>6</v>
      </c>
      <c r="AD320">
        <f>VLOOKUP($A320,Table1[#This Row],COLUMN(AD319), FALSE)</f>
        <v>4</v>
      </c>
    </row>
    <row r="321" spans="1:30" ht="15.75">
      <c r="A321" s="54" t="s">
        <v>129</v>
      </c>
      <c r="B321" s="52">
        <f>VLOOKUP($A321,Table1[#This Row],COLUMN(B320), FALSE)</f>
        <v>41165</v>
      </c>
      <c r="C321" s="52">
        <f>VLOOKUP($A321,Table1[#This Row],COLUMN(C320), FALSE)</f>
        <v>41166</v>
      </c>
      <c r="D321" t="str">
        <f>VLOOKUP($A321,Table1[#This Row],COLUMN(D320), FALSE)</f>
        <v>Aaron Hawkins</v>
      </c>
      <c r="E321" t="str">
        <f>VLOOKUP($A321,Table1[#This Row],COLUMN(E320), FALSE)</f>
        <v>Democratic Republic of the Congo</v>
      </c>
      <c r="F321" t="str">
        <f>VLOOKUP($A321,Table1[#This Row],COLUMN(F320), FALSE)</f>
        <v>Central Africa</v>
      </c>
      <c r="G321" t="str">
        <f>VLOOKUP($A321,Table1[#This Row],COLUMN(G320), FALSE)</f>
        <v>Technoolgy</v>
      </c>
      <c r="H321" t="str">
        <f>VLOOKUP($A321,Table1[#This Row],COLUMN(H320), FALSE)</f>
        <v>Appliances</v>
      </c>
      <c r="I321">
        <f>VLOOKUP($A321,Table1[#This Row],COLUMN(I320), FALSE)</f>
        <v>3817.26</v>
      </c>
      <c r="J321">
        <f>VLOOKUP($A321,Table1[#This Row],COLUMN(J320), FALSE)</f>
        <v>6</v>
      </c>
      <c r="K321">
        <f>VLOOKUP($A321,Table1[#This Row],COLUMN(K320), FALSE)</f>
        <v>0</v>
      </c>
      <c r="L321">
        <f>VLOOKUP($A321,Table1[#This Row],COLUMN(L320), FALSE)</f>
        <v>1068.6599999999901</v>
      </c>
      <c r="M321" t="str">
        <f>VLOOKUP($A321,Table1[#This Row],COLUMN(M320), FALSE)</f>
        <v>High</v>
      </c>
      <c r="N321">
        <f>VLOOKUP($A321,Table1[#This Row],COLUMN(N320), FALSE)</f>
        <v>0</v>
      </c>
      <c r="O321" t="str">
        <f>VLOOKUP($A321,Table1[#This Row],COLUMN(O320), FALSE)</f>
        <v>Aaron Hawkins</v>
      </c>
      <c r="P321" t="str">
        <f>VLOOKUP($A321,Table1[#This Row],COLUMN(P320), FALSE)</f>
        <v>CG</v>
      </c>
      <c r="Q321" t="str">
        <f>VLOOKUP($A321,Table1[#This Row],COLUMN(Q320), FALSE)</f>
        <v>2012</v>
      </c>
      <c r="R321" t="str">
        <f>VLOOKUP($A321,Table1[#This Row],COLUMN(R320), FALSE)</f>
        <v>HIGH</v>
      </c>
      <c r="S321" t="str">
        <f>VLOOKUP($A321,Table1[#This Row],COLUMN(S320), FALSE)</f>
        <v>technoolgy</v>
      </c>
      <c r="T321" t="str">
        <f>VLOOKUP($A321,Table1[#This Row],COLUMN(T320), FALSE)</f>
        <v>41165</v>
      </c>
      <c r="U321" t="str">
        <f>VLOOKUP($A321,Table1[#This Row],COLUMN(U320), FALSE)</f>
        <v>AH1003033</v>
      </c>
      <c r="V321" t="str">
        <f>VLOOKUP($A321,Table1[#This Row],COLUMN(V320), FALSE)</f>
        <v>CG</v>
      </c>
      <c r="W321">
        <f>VLOOKUP($A321,Table1[#This Row],COLUMN(W320), FALSE)</f>
        <v>2012</v>
      </c>
      <c r="X321" t="str">
        <f>VLOOKUP($A321,Table1[#This Row],COLUMN(X320), FALSE)</f>
        <v>AH1003033</v>
      </c>
      <c r="Y321">
        <f>VLOOKUP($A321,Table1[#This Row],COLUMN(Y320), FALSE)</f>
        <v>41165</v>
      </c>
      <c r="Z321" t="str">
        <f>VLOOKUP($A321,Table1[#This Row],COLUMN(Z320), FALSE)</f>
        <v>CG-2012-AH1003033-41165</v>
      </c>
      <c r="AA321">
        <f>VLOOKUP($A321,Table1[#This Row],COLUMN(AA320), FALSE)</f>
        <v>2012</v>
      </c>
      <c r="AB321">
        <f>VLOOKUP($A321,Table1[#This Row],COLUMN(AB320), FALSE)</f>
        <v>9</v>
      </c>
      <c r="AC321">
        <f>VLOOKUP($A321,Table1[#This Row],COLUMN(AC320), FALSE)</f>
        <v>5</v>
      </c>
      <c r="AD321">
        <f>VLOOKUP($A321,Table1[#This Row],COLUMN(AD320), FALSE)</f>
        <v>1</v>
      </c>
    </row>
    <row r="322" spans="1:30" ht="15.75">
      <c r="A322" s="53" t="s">
        <v>133</v>
      </c>
      <c r="B322" s="52">
        <f>VLOOKUP($A322,Table1[#This Row],COLUMN(B321), FALSE)</f>
        <v>41041</v>
      </c>
      <c r="C322" s="52" t="str">
        <f>VLOOKUP($A322,Table1[#This Row],COLUMN(C321), FALSE)</f>
        <v xml:space="preserve"> 2012-05-18 </v>
      </c>
      <c r="D322" t="str">
        <f>VLOOKUP($A322,Table1[#This Row],COLUMN(D321), FALSE)</f>
        <v>Aaron Hawkins</v>
      </c>
      <c r="E322" t="str">
        <f>VLOOKUP($A322,Table1[#This Row],COLUMN(E321), FALSE)</f>
        <v>United States</v>
      </c>
      <c r="F322" t="str">
        <f>VLOOKUP($A322,Table1[#This Row],COLUMN(F321), FALSE)</f>
        <v>Western US</v>
      </c>
      <c r="G322" t="str">
        <f>VLOOKUP($A322,Table1[#This Row],COLUMN(G321), FALSE)</f>
        <v>Furniture</v>
      </c>
      <c r="H322" t="str">
        <f>VLOOKUP($A322,Table1[#This Row],COLUMN(H321), FALSE)</f>
        <v>Tables</v>
      </c>
      <c r="I322">
        <f>VLOOKUP($A322,Table1[#This Row],COLUMN(I321), FALSE)</f>
        <v>279.45600000000002</v>
      </c>
      <c r="J322">
        <f>VLOOKUP($A322,Table1[#This Row],COLUMN(J321), FALSE)</f>
        <v>6</v>
      </c>
      <c r="K322">
        <f>VLOOKUP($A322,Table1[#This Row],COLUMN(K321), FALSE)</f>
        <v>0.2</v>
      </c>
      <c r="L322">
        <f>VLOOKUP($A322,Table1[#This Row],COLUMN(L321), FALSE)</f>
        <v>20.9591999999999</v>
      </c>
      <c r="M322" t="str">
        <f>VLOOKUP($A322,Table1[#This Row],COLUMN(M321), FALSE)</f>
        <v>Medium</v>
      </c>
      <c r="N322">
        <f>VLOOKUP($A322,Table1[#This Row],COLUMN(N321), FALSE)</f>
        <v>0</v>
      </c>
      <c r="O322" t="str">
        <f>VLOOKUP($A322,Table1[#This Row],COLUMN(O321), FALSE)</f>
        <v>Aaron Hawkins</v>
      </c>
      <c r="P322" t="str">
        <f>VLOOKUP($A322,Table1[#This Row],COLUMN(P321), FALSE)</f>
        <v>CA</v>
      </c>
      <c r="Q322" t="str">
        <f>VLOOKUP($A322,Table1[#This Row],COLUMN(Q321), FALSE)</f>
        <v>2012</v>
      </c>
      <c r="R322" t="str">
        <f>VLOOKUP($A322,Table1[#This Row],COLUMN(R321), FALSE)</f>
        <v>MEDIUM</v>
      </c>
      <c r="S322" t="str">
        <f>VLOOKUP($A322,Table1[#This Row],COLUMN(S321), FALSE)</f>
        <v>furniture</v>
      </c>
      <c r="T322" t="str">
        <f>VLOOKUP($A322,Table1[#This Row],COLUMN(T321), FALSE)</f>
        <v>41041</v>
      </c>
      <c r="U322" t="str">
        <f>VLOOKUP($A322,Table1[#This Row],COLUMN(U321), FALSE)</f>
        <v>AH10030140</v>
      </c>
      <c r="V322" t="str">
        <f>VLOOKUP($A322,Table1[#This Row],COLUMN(V321), FALSE)</f>
        <v>CA</v>
      </c>
      <c r="W322">
        <f>VLOOKUP($A322,Table1[#This Row],COLUMN(W321), FALSE)</f>
        <v>2012</v>
      </c>
      <c r="X322" t="str">
        <f>VLOOKUP($A322,Table1[#This Row],COLUMN(X321), FALSE)</f>
        <v>AH10030140</v>
      </c>
      <c r="Y322">
        <f>VLOOKUP($A322,Table1[#This Row],COLUMN(Y321), FALSE)</f>
        <v>41041</v>
      </c>
      <c r="Z322" t="str">
        <f>VLOOKUP($A322,Table1[#This Row],COLUMN(Z321), FALSE)</f>
        <v>CA-2012-AH10030140-41041</v>
      </c>
      <c r="AA322">
        <f>VLOOKUP($A322,Table1[#This Row],COLUMN(AA321), FALSE)</f>
        <v>2012</v>
      </c>
      <c r="AB322">
        <f>VLOOKUP($A322,Table1[#This Row],COLUMN(AB321), FALSE)</f>
        <v>5</v>
      </c>
      <c r="AC322">
        <f>VLOOKUP($A322,Table1[#This Row],COLUMN(AC321), FALSE)</f>
        <v>7</v>
      </c>
      <c r="AD322">
        <f>VLOOKUP($A322,Table1[#This Row],COLUMN(AD321), FALSE)</f>
        <v>0</v>
      </c>
    </row>
    <row r="323" spans="1:30" ht="15.75">
      <c r="A323" s="54" t="s">
        <v>139</v>
      </c>
      <c r="B323" s="52">
        <f>VLOOKUP($A323,Table1[#This Row],COLUMN(B322), FALSE)</f>
        <v>41873</v>
      </c>
      <c r="C323" s="52">
        <f>VLOOKUP($A323,Table1[#This Row],COLUMN(C322), FALSE)</f>
        <v>41877</v>
      </c>
      <c r="D323" t="str">
        <f>VLOOKUP($A323,Table1[#This Row],COLUMN(D322), FALSE)</f>
        <v>Joy Bell-</v>
      </c>
      <c r="E323" t="str">
        <f>VLOOKUP($A323,Table1[#This Row],COLUMN(E322), FALSE)</f>
        <v>Indonesia</v>
      </c>
      <c r="F323" t="str">
        <f>VLOOKUP($A323,Table1[#This Row],COLUMN(F322), FALSE)</f>
        <v>Southeastern Asia</v>
      </c>
      <c r="G323" t="str">
        <f>VLOOKUP($A323,Table1[#This Row],COLUMN(G322), FALSE)</f>
        <v>Technology</v>
      </c>
      <c r="H323" t="str">
        <f>VLOOKUP($A323,Table1[#This Row],COLUMN(H322), FALSE)</f>
        <v>Copiers</v>
      </c>
      <c r="I323">
        <f>VLOOKUP($A323,Table1[#This Row],COLUMN(I322), FALSE)</f>
        <v>3200.5962</v>
      </c>
      <c r="J323">
        <f>VLOOKUP($A323,Table1[#This Row],COLUMN(J322), FALSE)</f>
        <v>6</v>
      </c>
      <c r="K323">
        <f>VLOOKUP($A323,Table1[#This Row],COLUMN(K322), FALSE)</f>
        <v>0.17</v>
      </c>
      <c r="L323">
        <f>VLOOKUP($A323,Table1[#This Row],COLUMN(L322), FALSE)</f>
        <v>-77.203799999999802</v>
      </c>
      <c r="M323" t="str">
        <f>VLOOKUP($A323,Table1[#This Row],COLUMN(M322), FALSE)</f>
        <v>High</v>
      </c>
      <c r="N323">
        <f>VLOOKUP($A323,Table1[#This Row],COLUMN(N322), FALSE)</f>
        <v>0</v>
      </c>
      <c r="O323" t="str">
        <f>VLOOKUP($A323,Table1[#This Row],COLUMN(O322), FALSE)</f>
        <v>Joy Bell-</v>
      </c>
      <c r="P323" t="str">
        <f>VLOOKUP($A323,Table1[#This Row],COLUMN(P322), FALSE)</f>
        <v>ID</v>
      </c>
      <c r="Q323" t="str">
        <f>VLOOKUP($A323,Table1[#This Row],COLUMN(Q322), FALSE)</f>
        <v>2014</v>
      </c>
      <c r="R323" t="str">
        <f>VLOOKUP($A323,Table1[#This Row],COLUMN(R322), FALSE)</f>
        <v>HIGH</v>
      </c>
      <c r="S323" t="str">
        <f>VLOOKUP($A323,Table1[#This Row],COLUMN(S322), FALSE)</f>
        <v>technology</v>
      </c>
      <c r="T323" t="str">
        <f>VLOOKUP($A323,Table1[#This Row],COLUMN(T322), FALSE)</f>
        <v>41873</v>
      </c>
      <c r="U323" t="str">
        <f>VLOOKUP($A323,Table1[#This Row],COLUMN(U322), FALSE)</f>
        <v>JB1600059</v>
      </c>
      <c r="V323" t="str">
        <f>VLOOKUP($A323,Table1[#This Row],COLUMN(V322), FALSE)</f>
        <v>ID</v>
      </c>
      <c r="W323">
        <f>VLOOKUP($A323,Table1[#This Row],COLUMN(W322), FALSE)</f>
        <v>2014</v>
      </c>
      <c r="X323" t="str">
        <f>VLOOKUP($A323,Table1[#This Row],COLUMN(X322), FALSE)</f>
        <v>JB1600059</v>
      </c>
      <c r="Y323">
        <f>VLOOKUP($A323,Table1[#This Row],COLUMN(Y322), FALSE)</f>
        <v>41873</v>
      </c>
      <c r="Z323" t="str">
        <f>VLOOKUP($A323,Table1[#This Row],COLUMN(Z322), FALSE)</f>
        <v>ID-2014-JB1600059-41873</v>
      </c>
      <c r="AA323">
        <f>VLOOKUP($A323,Table1[#This Row],COLUMN(AA322), FALSE)</f>
        <v>2014</v>
      </c>
      <c r="AB323">
        <f>VLOOKUP($A323,Table1[#This Row],COLUMN(AB322), FALSE)</f>
        <v>8</v>
      </c>
      <c r="AC323">
        <f>VLOOKUP($A323,Table1[#This Row],COLUMN(AC322), FALSE)</f>
        <v>6</v>
      </c>
      <c r="AD323">
        <f>VLOOKUP($A323,Table1[#This Row],COLUMN(AD322), FALSE)</f>
        <v>4</v>
      </c>
    </row>
    <row r="324" spans="1:30" ht="15.75">
      <c r="A324" s="53" t="s">
        <v>143</v>
      </c>
      <c r="B324" s="52">
        <f>VLOOKUP($A324,Table1[#This Row],COLUMN(B323), FALSE)</f>
        <v>42319</v>
      </c>
      <c r="C324" s="52">
        <f>VLOOKUP($A324,Table1[#This Row],COLUMN(C323), FALSE)</f>
        <v>42323</v>
      </c>
      <c r="D324" t="str">
        <f>VLOOKUP($A324,Table1[#This Row],COLUMN(D323), FALSE)</f>
        <v>Barry Franz</v>
      </c>
      <c r="E324" t="str">
        <f>VLOOKUP($A324,Table1[#This Row],COLUMN(E323), FALSE)</f>
        <v>India</v>
      </c>
      <c r="F324" t="str">
        <f>VLOOKUP($A324,Table1[#This Row],COLUMN(F323), FALSE)</f>
        <v>Southern Asia</v>
      </c>
      <c r="G324" t="str">
        <f>VLOOKUP($A324,Table1[#This Row],COLUMN(G323), FALSE)</f>
        <v>Technology</v>
      </c>
      <c r="H324" t="str">
        <f>VLOOKUP($A324,Table1[#This Row],COLUMN(H323), FALSE)</f>
        <v>Phones</v>
      </c>
      <c r="I324">
        <f>VLOOKUP($A324,Table1[#This Row],COLUMN(I323), FALSE)</f>
        <v>4518.78</v>
      </c>
      <c r="J324">
        <f>VLOOKUP($A324,Table1[#This Row],COLUMN(J323), FALSE)</f>
        <v>7</v>
      </c>
      <c r="K324">
        <f>VLOOKUP($A324,Table1[#This Row],COLUMN(K323), FALSE)</f>
        <v>0</v>
      </c>
      <c r="L324">
        <f>VLOOKUP($A324,Table1[#This Row],COLUMN(L323), FALSE)</f>
        <v>632.52</v>
      </c>
      <c r="M324" t="str">
        <f>VLOOKUP($A324,Table1[#This Row],COLUMN(M323), FALSE)</f>
        <v>High</v>
      </c>
      <c r="N324">
        <f>VLOOKUP($A324,Table1[#This Row],COLUMN(N323), FALSE)</f>
        <v>0</v>
      </c>
      <c r="O324" t="str">
        <f>VLOOKUP($A324,Table1[#This Row],COLUMN(O323), FALSE)</f>
        <v>Barry Franz</v>
      </c>
      <c r="P324" t="str">
        <f>VLOOKUP($A324,Table1[#This Row],COLUMN(P323), FALSE)</f>
        <v>IN</v>
      </c>
      <c r="Q324" t="str">
        <f>VLOOKUP($A324,Table1[#This Row],COLUMN(Q323), FALSE)</f>
        <v>2015</v>
      </c>
      <c r="R324" t="str">
        <f>VLOOKUP($A324,Table1[#This Row],COLUMN(R323), FALSE)</f>
        <v>HIGH</v>
      </c>
      <c r="S324" t="str">
        <f>VLOOKUP($A324,Table1[#This Row],COLUMN(S323), FALSE)</f>
        <v>technology</v>
      </c>
      <c r="T324" t="str">
        <f>VLOOKUP($A324,Table1[#This Row],COLUMN(T323), FALSE)</f>
        <v>42319</v>
      </c>
      <c r="U324" t="str">
        <f>VLOOKUP($A324,Table1[#This Row],COLUMN(U323), FALSE)</f>
        <v>BF1100558</v>
      </c>
      <c r="V324" t="str">
        <f>VLOOKUP($A324,Table1[#This Row],COLUMN(V323), FALSE)</f>
        <v>IN</v>
      </c>
      <c r="W324">
        <f>VLOOKUP($A324,Table1[#This Row],COLUMN(W323), FALSE)</f>
        <v>2015</v>
      </c>
      <c r="X324" t="str">
        <f>VLOOKUP($A324,Table1[#This Row],COLUMN(X323), FALSE)</f>
        <v>BF1100558</v>
      </c>
      <c r="Y324">
        <f>VLOOKUP($A324,Table1[#This Row],COLUMN(Y323), FALSE)</f>
        <v>42319</v>
      </c>
      <c r="Z324" t="str">
        <f>VLOOKUP($A324,Table1[#This Row],COLUMN(Z323), FALSE)</f>
        <v>IN-2015-BF1100558-42319</v>
      </c>
      <c r="AA324">
        <f>VLOOKUP($A324,Table1[#This Row],COLUMN(AA323), FALSE)</f>
        <v>2015</v>
      </c>
      <c r="AB324">
        <f>VLOOKUP($A324,Table1[#This Row],COLUMN(AB323), FALSE)</f>
        <v>11</v>
      </c>
      <c r="AC324">
        <f>VLOOKUP($A324,Table1[#This Row],COLUMN(AC323), FALSE)</f>
        <v>4</v>
      </c>
      <c r="AD324">
        <f>VLOOKUP($A324,Table1[#This Row],COLUMN(AD323), FALSE)</f>
        <v>4</v>
      </c>
    </row>
    <row r="325" spans="1:30" ht="15.75">
      <c r="A325" s="54" t="s">
        <v>145</v>
      </c>
      <c r="B325" s="52">
        <f>VLOOKUP($A325,Table1[#This Row],COLUMN(B324), FALSE)</f>
        <v>42273</v>
      </c>
      <c r="C325" s="52">
        <f>VLOOKUP($A325,Table1[#This Row],COLUMN(C324), FALSE)</f>
        <v>42275</v>
      </c>
      <c r="D325" t="str">
        <f>VLOOKUP($A325,Table1[#This Row],COLUMN(D324), FALSE)</f>
        <v>Vivek Grady</v>
      </c>
      <c r="E325" t="str">
        <f>VLOOKUP($A325,Table1[#This Row],COLUMN(E324), FALSE)</f>
        <v>India</v>
      </c>
      <c r="F325" t="str">
        <f>VLOOKUP($A325,Table1[#This Row],COLUMN(F324), FALSE)</f>
        <v>Southern Asia</v>
      </c>
      <c r="G325" t="str">
        <f>VLOOKUP($A325,Table1[#This Row],COLUMN(G324), FALSE)</f>
        <v>Furniture</v>
      </c>
      <c r="H325" t="str">
        <f>VLOOKUP($A325,Table1[#This Row],COLUMN(H324), FALSE)</f>
        <v>Phones</v>
      </c>
      <c r="I325">
        <f>VLOOKUP($A325,Table1[#This Row],COLUMN(I324), FALSE)</f>
        <v>5667.87</v>
      </c>
      <c r="J325">
        <f>VLOOKUP($A325,Table1[#This Row],COLUMN(J324), FALSE)</f>
        <v>13</v>
      </c>
      <c r="K325">
        <f>VLOOKUP($A325,Table1[#This Row],COLUMN(K324), FALSE)</f>
        <v>0</v>
      </c>
      <c r="L325">
        <f>VLOOKUP($A325,Table1[#This Row],COLUMN(L324), FALSE)</f>
        <v>2097.0300000000002</v>
      </c>
      <c r="M325" t="str">
        <f>VLOOKUP($A325,Table1[#This Row],COLUMN(M324), FALSE)</f>
        <v>Medium</v>
      </c>
      <c r="N325">
        <f>VLOOKUP($A325,Table1[#This Row],COLUMN(N324), FALSE)</f>
        <v>0</v>
      </c>
      <c r="O325" t="str">
        <f>VLOOKUP($A325,Table1[#This Row],COLUMN(O324), FALSE)</f>
        <v>Vivek Grady</v>
      </c>
      <c r="P325" t="str">
        <f>VLOOKUP($A325,Table1[#This Row],COLUMN(P324), FALSE)</f>
        <v>IN</v>
      </c>
      <c r="Q325" t="str">
        <f>VLOOKUP($A325,Table1[#This Row],COLUMN(Q324), FALSE)</f>
        <v>2015</v>
      </c>
      <c r="R325" t="str">
        <f>VLOOKUP($A325,Table1[#This Row],COLUMN(R324), FALSE)</f>
        <v>MEDIUM</v>
      </c>
      <c r="S325" t="str">
        <f>VLOOKUP($A325,Table1[#This Row],COLUMN(S324), FALSE)</f>
        <v>furniture</v>
      </c>
      <c r="T325" t="str">
        <f>VLOOKUP($A325,Table1[#This Row],COLUMN(T324), FALSE)</f>
        <v>42273</v>
      </c>
      <c r="U325" t="str">
        <f>VLOOKUP($A325,Table1[#This Row],COLUMN(U324), FALSE)</f>
        <v>VG2180558</v>
      </c>
      <c r="V325" t="str">
        <f>VLOOKUP($A325,Table1[#This Row],COLUMN(V324), FALSE)</f>
        <v>IN</v>
      </c>
      <c r="W325">
        <f>VLOOKUP($A325,Table1[#This Row],COLUMN(W324), FALSE)</f>
        <v>2015</v>
      </c>
      <c r="X325" t="str">
        <f>VLOOKUP($A325,Table1[#This Row],COLUMN(X324), FALSE)</f>
        <v>VG2180558</v>
      </c>
      <c r="Y325">
        <f>VLOOKUP($A325,Table1[#This Row],COLUMN(Y324), FALSE)</f>
        <v>42273</v>
      </c>
      <c r="Z325" t="str">
        <f>VLOOKUP($A325,Table1[#This Row],COLUMN(Z324), FALSE)</f>
        <v>IN-2015-VG2180558-42273</v>
      </c>
      <c r="AA325">
        <f>VLOOKUP($A325,Table1[#This Row],COLUMN(AA324), FALSE)</f>
        <v>2015</v>
      </c>
      <c r="AB325">
        <f>VLOOKUP($A325,Table1[#This Row],COLUMN(AB324), FALSE)</f>
        <v>9</v>
      </c>
      <c r="AC325">
        <f>VLOOKUP($A325,Table1[#This Row],COLUMN(AC324), FALSE)</f>
        <v>7</v>
      </c>
      <c r="AD325">
        <f>VLOOKUP($A325,Table1[#This Row],COLUMN(AD324), FALSE)</f>
        <v>2</v>
      </c>
    </row>
    <row r="326" spans="1:30" ht="15.75">
      <c r="A326" s="53" t="s">
        <v>147</v>
      </c>
      <c r="B326" s="52">
        <f>VLOOKUP($A326,Table1[#This Row],COLUMN(B325), FALSE)</f>
        <v>41621</v>
      </c>
      <c r="C326" s="52">
        <f>VLOOKUP($A326,Table1[#This Row],COLUMN(C325), FALSE)</f>
        <v>41625</v>
      </c>
      <c r="D326" t="str">
        <f>VLOOKUP($A326,Table1[#This Row],COLUMN(D325), FALSE)</f>
        <v>Greg Tran</v>
      </c>
      <c r="E326" t="str">
        <f>VLOOKUP($A326,Table1[#This Row],COLUMN(E325), FALSE)</f>
        <v>United Kingdom</v>
      </c>
      <c r="F326" t="str">
        <f>VLOOKUP($A326,Table1[#This Row],COLUMN(F325), FALSE)</f>
        <v>Northern Europe</v>
      </c>
      <c r="G326" t="str">
        <f>VLOOKUP($A326,Table1[#This Row],COLUMN(G325), FALSE)</f>
        <v>Technology</v>
      </c>
      <c r="H326" t="str">
        <f>VLOOKUP($A326,Table1[#This Row],COLUMN(H325), FALSE)</f>
        <v>Phones</v>
      </c>
      <c r="I326">
        <f>VLOOKUP($A326,Table1[#This Row],COLUMN(I325), FALSE)</f>
        <v>5785.0199999999904</v>
      </c>
      <c r="J326">
        <f>VLOOKUP($A326,Table1[#This Row],COLUMN(J325), FALSE)</f>
        <v>9</v>
      </c>
      <c r="K326">
        <f>VLOOKUP($A326,Table1[#This Row],COLUMN(K325), FALSE)</f>
        <v>0</v>
      </c>
      <c r="L326">
        <f>VLOOKUP($A326,Table1[#This Row],COLUMN(L325), FALSE)</f>
        <v>404.73</v>
      </c>
      <c r="M326" t="str">
        <f>VLOOKUP($A326,Table1[#This Row],COLUMN(M325), FALSE)</f>
        <v>High</v>
      </c>
      <c r="N326">
        <f>VLOOKUP($A326,Table1[#This Row],COLUMN(N325), FALSE)</f>
        <v>0</v>
      </c>
      <c r="O326" t="str">
        <f>VLOOKUP($A326,Table1[#This Row],COLUMN(O325), FALSE)</f>
        <v>Greg Tran</v>
      </c>
      <c r="P326" t="str">
        <f>VLOOKUP($A326,Table1[#This Row],COLUMN(P325), FALSE)</f>
        <v>ES</v>
      </c>
      <c r="Q326" t="str">
        <f>VLOOKUP($A326,Table1[#This Row],COLUMN(Q325), FALSE)</f>
        <v>2013</v>
      </c>
      <c r="R326" t="str">
        <f>VLOOKUP($A326,Table1[#This Row],COLUMN(R325), FALSE)</f>
        <v>HIGH</v>
      </c>
      <c r="S326" t="str">
        <f>VLOOKUP($A326,Table1[#This Row],COLUMN(S325), FALSE)</f>
        <v>technology</v>
      </c>
      <c r="T326" t="str">
        <f>VLOOKUP($A326,Table1[#This Row],COLUMN(T325), FALSE)</f>
        <v>41621</v>
      </c>
      <c r="U326" t="str">
        <f>VLOOKUP($A326,Table1[#This Row],COLUMN(U325), FALSE)</f>
        <v>GT14710139</v>
      </c>
      <c r="V326" t="str">
        <f>VLOOKUP($A326,Table1[#This Row],COLUMN(V325), FALSE)</f>
        <v>ES</v>
      </c>
      <c r="W326">
        <f>VLOOKUP($A326,Table1[#This Row],COLUMN(W325), FALSE)</f>
        <v>2013</v>
      </c>
      <c r="X326" t="str">
        <f>VLOOKUP($A326,Table1[#This Row],COLUMN(X325), FALSE)</f>
        <v>GT14710139</v>
      </c>
      <c r="Y326">
        <f>VLOOKUP($A326,Table1[#This Row],COLUMN(Y325), FALSE)</f>
        <v>41621</v>
      </c>
      <c r="Z326" t="str">
        <f>VLOOKUP($A326,Table1[#This Row],COLUMN(Z325), FALSE)</f>
        <v>ES-2013-GT14710139-41621</v>
      </c>
      <c r="AA326">
        <f>VLOOKUP($A326,Table1[#This Row],COLUMN(AA325), FALSE)</f>
        <v>2013</v>
      </c>
      <c r="AB326">
        <f>VLOOKUP($A326,Table1[#This Row],COLUMN(AB325), FALSE)</f>
        <v>12</v>
      </c>
      <c r="AC326">
        <f>VLOOKUP($A326,Table1[#This Row],COLUMN(AC325), FALSE)</f>
        <v>6</v>
      </c>
      <c r="AD326">
        <f>VLOOKUP($A326,Table1[#This Row],COLUMN(AD325), FALSE)</f>
        <v>4</v>
      </c>
    </row>
    <row r="327" spans="1:30" ht="15.75">
      <c r="A327" s="54" t="s">
        <v>149</v>
      </c>
      <c r="B327" s="52">
        <f>VLOOKUP($A327,Table1[#This Row],COLUMN(B326), FALSE)</f>
        <v>41174</v>
      </c>
      <c r="C327" s="52">
        <f>VLOOKUP($A327,Table1[#This Row],COLUMN(C326), FALSE)</f>
        <v>41176</v>
      </c>
      <c r="D327" t="str">
        <f>VLOOKUP($A327,Table1[#This Row],COLUMN(D326), FALSE)</f>
        <v>Zuschuss Carroll</v>
      </c>
      <c r="E327" t="str">
        <f>VLOOKUP($A327,Table1[#This Row],COLUMN(E326), FALSE)</f>
        <v>Germany</v>
      </c>
      <c r="F327" t="str">
        <f>VLOOKUP($A327,Table1[#This Row],COLUMN(F326), FALSE)</f>
        <v>Western Europe</v>
      </c>
      <c r="G327" t="str">
        <f>VLOOKUP($A327,Table1[#This Row],COLUMN(G326), FALSE)</f>
        <v>Office Supplies</v>
      </c>
      <c r="H327" t="str">
        <f>VLOOKUP($A327,Table1[#This Row],COLUMN(H326), FALSE)</f>
        <v>Bookcases</v>
      </c>
      <c r="I327">
        <f>VLOOKUP($A327,Table1[#This Row],COLUMN(I326), FALSE)</f>
        <v>3018.6239999999998</v>
      </c>
      <c r="J327">
        <f>VLOOKUP($A327,Table1[#This Row],COLUMN(J326), FALSE)</f>
        <v>7</v>
      </c>
      <c r="K327">
        <f>VLOOKUP($A327,Table1[#This Row],COLUMN(K326), FALSE)</f>
        <v>0.2</v>
      </c>
      <c r="L327">
        <f>VLOOKUP($A327,Table1[#This Row],COLUMN(L326), FALSE)</f>
        <v>377.24399999999901</v>
      </c>
      <c r="M327" t="str">
        <f>VLOOKUP($A327,Table1[#This Row],COLUMN(M326), FALSE)</f>
        <v>Critical</v>
      </c>
      <c r="N327">
        <f>VLOOKUP($A327,Table1[#This Row],COLUMN(N326), FALSE)</f>
        <v>0</v>
      </c>
      <c r="O327" t="str">
        <f>VLOOKUP($A327,Table1[#This Row],COLUMN(O326), FALSE)</f>
        <v>Zuschuss Carroll</v>
      </c>
      <c r="P327" t="str">
        <f>VLOOKUP($A327,Table1[#This Row],COLUMN(P326), FALSE)</f>
        <v>IT</v>
      </c>
      <c r="Q327" t="str">
        <f>VLOOKUP($A327,Table1[#This Row],COLUMN(Q326), FALSE)</f>
        <v>2012</v>
      </c>
      <c r="R327" t="str">
        <f>VLOOKUP($A327,Table1[#This Row],COLUMN(R326), FALSE)</f>
        <v>CRITICAL</v>
      </c>
      <c r="S327" t="str">
        <f>VLOOKUP($A327,Table1[#This Row],COLUMN(S326), FALSE)</f>
        <v>office supplies</v>
      </c>
      <c r="T327" t="str">
        <f>VLOOKUP($A327,Table1[#This Row],COLUMN(T326), FALSE)</f>
        <v>41174</v>
      </c>
      <c r="U327" t="str">
        <f>VLOOKUP($A327,Table1[#This Row],COLUMN(U326), FALSE)</f>
        <v>ZC2191048</v>
      </c>
      <c r="V327" t="str">
        <f>VLOOKUP($A327,Table1[#This Row],COLUMN(V326), FALSE)</f>
        <v>IT</v>
      </c>
      <c r="W327">
        <f>VLOOKUP($A327,Table1[#This Row],COLUMN(W326), FALSE)</f>
        <v>2012</v>
      </c>
      <c r="X327" t="str">
        <f>VLOOKUP($A327,Table1[#This Row],COLUMN(X326), FALSE)</f>
        <v>ZC2191048</v>
      </c>
      <c r="Y327">
        <f>VLOOKUP($A327,Table1[#This Row],COLUMN(Y326), FALSE)</f>
        <v>41174</v>
      </c>
      <c r="Z327" t="str">
        <f>VLOOKUP($A327,Table1[#This Row],COLUMN(Z326), FALSE)</f>
        <v>IT-2012-ZC2191048-41174</v>
      </c>
      <c r="AA327">
        <f>VLOOKUP($A327,Table1[#This Row],COLUMN(AA326), FALSE)</f>
        <v>2012</v>
      </c>
      <c r="AB327">
        <f>VLOOKUP($A327,Table1[#This Row],COLUMN(AB326), FALSE)</f>
        <v>9</v>
      </c>
      <c r="AC327">
        <f>VLOOKUP($A327,Table1[#This Row],COLUMN(AC326), FALSE)</f>
        <v>7</v>
      </c>
      <c r="AD327">
        <f>VLOOKUP($A327,Table1[#This Row],COLUMN(AD326), FALSE)</f>
        <v>2</v>
      </c>
    </row>
    <row r="328" spans="1:30" ht="15.75">
      <c r="A328" s="53" t="s">
        <v>156</v>
      </c>
      <c r="B328" s="52">
        <f>VLOOKUP($A328,Table1[#This Row],COLUMN(B327), FALSE)</f>
        <v>42244</v>
      </c>
      <c r="C328" s="52">
        <f>VLOOKUP($A328,Table1[#This Row],COLUMN(C327), FALSE)</f>
        <v>42245</v>
      </c>
      <c r="D328" t="str">
        <f>VLOOKUP($A328,Table1[#This Row],COLUMN(D327), FALSE)</f>
        <v>Arthur Prichep</v>
      </c>
      <c r="E328" t="str">
        <f>VLOOKUP($A328,Table1[#This Row],COLUMN(E327), FALSE)</f>
        <v>China</v>
      </c>
      <c r="F328" t="str">
        <f>VLOOKUP($A328,Table1[#This Row],COLUMN(F327), FALSE)</f>
        <v>Eastern Asia</v>
      </c>
      <c r="G328" t="str">
        <f>VLOOKUP($A328,Table1[#This Row],COLUMN(G327), FALSE)</f>
        <v>Furniture</v>
      </c>
      <c r="H328" t="str">
        <f>VLOOKUP($A328,Table1[#This Row],COLUMN(H327), FALSE)</f>
        <v>Binders</v>
      </c>
      <c r="I328">
        <f>VLOOKUP($A328,Table1[#This Row],COLUMN(I327), FALSE)</f>
        <v>2761.2</v>
      </c>
      <c r="J328">
        <f>VLOOKUP($A328,Table1[#This Row],COLUMN(J327), FALSE)</f>
        <v>6</v>
      </c>
      <c r="K328">
        <f>VLOOKUP($A328,Table1[#This Row],COLUMN(K327), FALSE)</f>
        <v>0</v>
      </c>
      <c r="L328">
        <f>VLOOKUP($A328,Table1[#This Row],COLUMN(L327), FALSE)</f>
        <v>110.34</v>
      </c>
      <c r="M328" t="str">
        <f>VLOOKUP($A328,Table1[#This Row],COLUMN(M327), FALSE)</f>
        <v>High</v>
      </c>
      <c r="N328">
        <f>VLOOKUP($A328,Table1[#This Row],COLUMN(N327), FALSE)</f>
        <v>0</v>
      </c>
      <c r="O328" t="str">
        <f>VLOOKUP($A328,Table1[#This Row],COLUMN(O327), FALSE)</f>
        <v>Arthur Prichep</v>
      </c>
      <c r="P328" t="str">
        <f>VLOOKUP($A328,Table1[#This Row],COLUMN(P327), FALSE)</f>
        <v>IN</v>
      </c>
      <c r="Q328" t="str">
        <f>VLOOKUP($A328,Table1[#This Row],COLUMN(Q327), FALSE)</f>
        <v>2015</v>
      </c>
      <c r="R328" t="str">
        <f>VLOOKUP($A328,Table1[#This Row],COLUMN(R327), FALSE)</f>
        <v>HIGH</v>
      </c>
      <c r="S328" t="str">
        <f>VLOOKUP($A328,Table1[#This Row],COLUMN(S327), FALSE)</f>
        <v>furniture</v>
      </c>
      <c r="T328" t="str">
        <f>VLOOKUP($A328,Table1[#This Row],COLUMN(T327), FALSE)</f>
        <v>42244</v>
      </c>
      <c r="U328" t="str">
        <f>VLOOKUP($A328,Table1[#This Row],COLUMN(U327), FALSE)</f>
        <v>AP1091527</v>
      </c>
      <c r="V328" t="str">
        <f>VLOOKUP($A328,Table1[#This Row],COLUMN(V327), FALSE)</f>
        <v>IN</v>
      </c>
      <c r="W328">
        <f>VLOOKUP($A328,Table1[#This Row],COLUMN(W327), FALSE)</f>
        <v>2015</v>
      </c>
      <c r="X328" t="str">
        <f>VLOOKUP($A328,Table1[#This Row],COLUMN(X327), FALSE)</f>
        <v>AP1091527</v>
      </c>
      <c r="Y328">
        <f>VLOOKUP($A328,Table1[#This Row],COLUMN(Y327), FALSE)</f>
        <v>42244</v>
      </c>
      <c r="Z328" t="str">
        <f>VLOOKUP($A328,Table1[#This Row],COLUMN(Z327), FALSE)</f>
        <v>IN-2015-AP1091527-42244</v>
      </c>
      <c r="AA328">
        <f>VLOOKUP($A328,Table1[#This Row],COLUMN(AA327), FALSE)</f>
        <v>2015</v>
      </c>
      <c r="AB328">
        <f>VLOOKUP($A328,Table1[#This Row],COLUMN(AB327), FALSE)</f>
        <v>8</v>
      </c>
      <c r="AC328">
        <f>VLOOKUP($A328,Table1[#This Row],COLUMN(AC327), FALSE)</f>
        <v>6</v>
      </c>
      <c r="AD328">
        <f>VLOOKUP($A328,Table1[#This Row],COLUMN(AD327), FALSE)</f>
        <v>1</v>
      </c>
    </row>
    <row r="329" spans="1:30" ht="15.75">
      <c r="A329" s="54" t="s">
        <v>160</v>
      </c>
      <c r="B329" s="52" t="str">
        <f>VLOOKUP($A329,Table1[#This Row],COLUMN(B328), FALSE)</f>
        <v>32/13/2020</v>
      </c>
      <c r="C329" s="52">
        <f>VLOOKUP($A329,Table1[#This Row],COLUMN(C328), FALSE)</f>
        <v>42358</v>
      </c>
      <c r="D329" t="str">
        <f>VLOOKUP($A329,Table1[#This Row],COLUMN(D328), FALSE)</f>
        <v>John Huston</v>
      </c>
      <c r="E329" t="str">
        <f>VLOOKUP($A329,Table1[#This Row],COLUMN(E328), FALSE)</f>
        <v>Uruguay</v>
      </c>
      <c r="F329" t="str">
        <f>VLOOKUP($A329,Table1[#This Row],COLUMN(F328), FALSE)</f>
        <v>South America</v>
      </c>
      <c r="G329" t="str">
        <f>VLOOKUP($A329,Table1[#This Row],COLUMN(G328), FALSE)</f>
        <v>Furniture</v>
      </c>
      <c r="H329" t="str">
        <f>VLOOKUP($A329,Table1[#This Row],COLUMN(H328), FALSE)</f>
        <v>Chairs</v>
      </c>
      <c r="I329" t="str">
        <f>VLOOKUP($A329,Table1[#This Row],COLUMN(I328), FALSE)</f>
        <v>missing</v>
      </c>
      <c r="J329">
        <f>VLOOKUP($A329,Table1[#This Row],COLUMN(J328), FALSE)</f>
        <v>11</v>
      </c>
      <c r="K329">
        <f>VLOOKUP($A329,Table1[#This Row],COLUMN(K328), FALSE)</f>
        <v>0</v>
      </c>
      <c r="L329">
        <f>VLOOKUP($A329,Table1[#This Row],COLUMN(L328), FALSE)</f>
        <v>868.12</v>
      </c>
      <c r="M329" t="str">
        <f>VLOOKUP($A329,Table1[#This Row],COLUMN(M328), FALSE)</f>
        <v>High</v>
      </c>
      <c r="N329">
        <f>VLOOKUP($A329,Table1[#This Row],COLUMN(N328), FALSE)</f>
        <v>0</v>
      </c>
      <c r="O329" t="str">
        <f>VLOOKUP($A329,Table1[#This Row],COLUMN(O328), FALSE)</f>
        <v>John Huston</v>
      </c>
      <c r="P329" t="str">
        <f>VLOOKUP($A329,Table1[#This Row],COLUMN(P328), FALSE)</f>
        <v>MX</v>
      </c>
      <c r="Q329" t="str">
        <f>VLOOKUP($A329,Table1[#This Row],COLUMN(Q328), FALSE)</f>
        <v>2015</v>
      </c>
      <c r="R329" t="str">
        <f>VLOOKUP($A329,Table1[#This Row],COLUMN(R328), FALSE)</f>
        <v>HIGH</v>
      </c>
      <c r="S329" t="str">
        <f>VLOOKUP($A329,Table1[#This Row],COLUMN(S328), FALSE)</f>
        <v>furniture</v>
      </c>
      <c r="T329" t="str">
        <f>VLOOKUP($A329,Table1[#This Row],COLUMN(T328), FALSE)</f>
        <v>42356</v>
      </c>
      <c r="U329" t="str">
        <f>VLOOKUP($A329,Table1[#This Row],COLUMN(U328), FALSE)</f>
        <v>JH15820141</v>
      </c>
      <c r="V329" t="str">
        <f>VLOOKUP($A329,Table1[#This Row],COLUMN(V328), FALSE)</f>
        <v>MX</v>
      </c>
      <c r="W329">
        <f>VLOOKUP($A329,Table1[#This Row],COLUMN(W328), FALSE)</f>
        <v>2015</v>
      </c>
      <c r="X329" t="str">
        <f>VLOOKUP($A329,Table1[#This Row],COLUMN(X328), FALSE)</f>
        <v>JH15820141</v>
      </c>
      <c r="Y329">
        <f>VLOOKUP($A329,Table1[#This Row],COLUMN(Y328), FALSE)</f>
        <v>42356</v>
      </c>
      <c r="Z329" t="str">
        <f>VLOOKUP($A329,Table1[#This Row],COLUMN(Z328), FALSE)</f>
        <v>MX-2015-JH15820141-42356</v>
      </c>
      <c r="AA329">
        <f>VLOOKUP($A329,Table1[#This Row],COLUMN(AA328), FALSE)</f>
        <v>0</v>
      </c>
      <c r="AB329">
        <f>VLOOKUP($A329,Table1[#This Row],COLUMN(AB328), FALSE)</f>
        <v>0</v>
      </c>
      <c r="AC329">
        <f>VLOOKUP($A329,Table1[#This Row],COLUMN(AC328), FALSE)</f>
        <v>0</v>
      </c>
      <c r="AD329">
        <f>VLOOKUP($A329,Table1[#This Row],COLUMN(AD328), FALSE)</f>
        <v>0</v>
      </c>
    </row>
    <row r="330" spans="1:30" ht="15.75">
      <c r="A330" s="53" t="s">
        <v>166</v>
      </c>
      <c r="B330" s="52">
        <f>VLOOKUP($A330,Table1[#This Row],COLUMN(B329), FALSE)</f>
        <v>42265</v>
      </c>
      <c r="C330" s="52">
        <f>VLOOKUP($A330,Table1[#This Row],COLUMN(C329), FALSE)</f>
        <v>42268</v>
      </c>
      <c r="D330" t="str">
        <f>VLOOKUP($A330,Table1[#This Row],COLUMN(D329), FALSE)</f>
        <v>Trudy Glocke</v>
      </c>
      <c r="E330" t="str">
        <f>VLOOKUP($A330,Table1[#This Row],COLUMN(E329), FALSE)</f>
        <v>Iran</v>
      </c>
      <c r="F330" t="str">
        <f>VLOOKUP($A330,Table1[#This Row],COLUMN(F329), FALSE)</f>
        <v>SOUTHERN ASIA</v>
      </c>
      <c r="G330" t="str">
        <f>VLOOKUP($A330,Table1[#This Row],COLUMN(G329), FALSE)</f>
        <v>Technology</v>
      </c>
      <c r="H330" t="str">
        <f>VLOOKUP($A330,Table1[#This Row],COLUMN(H329), FALSE)</f>
        <v>Chairs</v>
      </c>
      <c r="I330">
        <f>VLOOKUP($A330,Table1[#This Row],COLUMN(I329), FALSE)</f>
        <v>2108.64</v>
      </c>
      <c r="J330">
        <f>VLOOKUP($A330,Table1[#This Row],COLUMN(J329), FALSE)</f>
        <v>8</v>
      </c>
      <c r="K330">
        <f>VLOOKUP($A330,Table1[#This Row],COLUMN(K329), FALSE)</f>
        <v>0</v>
      </c>
      <c r="L330">
        <f>VLOOKUP($A330,Table1[#This Row],COLUMN(L329), FALSE)</f>
        <v>527.04</v>
      </c>
      <c r="M330" t="str">
        <f>VLOOKUP($A330,Table1[#This Row],COLUMN(M329), FALSE)</f>
        <v>Critical</v>
      </c>
      <c r="N330">
        <f>VLOOKUP($A330,Table1[#This Row],COLUMN(N329), FALSE)</f>
        <v>0</v>
      </c>
      <c r="O330" t="str">
        <f>VLOOKUP($A330,Table1[#This Row],COLUMN(O329), FALSE)</f>
        <v>Trudy Glocke</v>
      </c>
      <c r="P330" t="str">
        <f>VLOOKUP($A330,Table1[#This Row],COLUMN(P329), FALSE)</f>
        <v>IR</v>
      </c>
      <c r="Q330" t="str">
        <f>VLOOKUP($A330,Table1[#This Row],COLUMN(Q329), FALSE)</f>
        <v>2015</v>
      </c>
      <c r="R330" t="str">
        <f>VLOOKUP($A330,Table1[#This Row],COLUMN(R329), FALSE)</f>
        <v>CRITICAL</v>
      </c>
      <c r="S330" t="str">
        <f>VLOOKUP($A330,Table1[#This Row],COLUMN(S329), FALSE)</f>
        <v>technology</v>
      </c>
      <c r="T330" t="str">
        <f>VLOOKUP($A330,Table1[#This Row],COLUMN(T329), FALSE)</f>
        <v>42265</v>
      </c>
      <c r="U330" t="str">
        <f>VLOOKUP($A330,Table1[#This Row],COLUMN(U329), FALSE)</f>
        <v>TG1164060</v>
      </c>
      <c r="V330" t="str">
        <f>VLOOKUP($A330,Table1[#This Row],COLUMN(V329), FALSE)</f>
        <v>IR</v>
      </c>
      <c r="W330">
        <f>VLOOKUP($A330,Table1[#This Row],COLUMN(W329), FALSE)</f>
        <v>2015</v>
      </c>
      <c r="X330" t="str">
        <f>VLOOKUP($A330,Table1[#This Row],COLUMN(X329), FALSE)</f>
        <v>TG1164060</v>
      </c>
      <c r="Y330">
        <f>VLOOKUP($A330,Table1[#This Row],COLUMN(Y329), FALSE)</f>
        <v>42265</v>
      </c>
      <c r="Z330" t="str">
        <f>VLOOKUP($A330,Table1[#This Row],COLUMN(Z329), FALSE)</f>
        <v>IR-2015-TG1164060-42265</v>
      </c>
      <c r="AA330">
        <f>VLOOKUP($A330,Table1[#This Row],COLUMN(AA329), FALSE)</f>
        <v>2015</v>
      </c>
      <c r="AB330">
        <f>VLOOKUP($A330,Table1[#This Row],COLUMN(AB329), FALSE)</f>
        <v>9</v>
      </c>
      <c r="AC330">
        <f>VLOOKUP($A330,Table1[#This Row],COLUMN(AC329), FALSE)</f>
        <v>6</v>
      </c>
      <c r="AD330">
        <f>VLOOKUP($A330,Table1[#This Row],COLUMN(AD329), FALSE)</f>
        <v>3</v>
      </c>
    </row>
    <row r="331" spans="1:30" ht="15.75">
      <c r="A331" s="54" t="s">
        <v>180</v>
      </c>
      <c r="B331" s="52">
        <f>VLOOKUP($A331,Table1[#This Row],COLUMN(B330), FALSE)</f>
        <v>42221</v>
      </c>
      <c r="C331" s="52">
        <f>VLOOKUP($A331,Table1[#This Row],COLUMN(C330), FALSE)</f>
        <v>42222</v>
      </c>
      <c r="D331" t="str">
        <f>VLOOKUP($A331,Table1[#This Row],COLUMN(D330), FALSE)</f>
        <v>Mitch Webber</v>
      </c>
      <c r="E331" t="str">
        <f>VLOOKUP($A331,Table1[#This Row],COLUMN(E330), FALSE)</f>
        <v>Australia</v>
      </c>
      <c r="F331" t="str">
        <f>VLOOKUP($A331,Table1[#This Row],COLUMN(F330), FALSE)</f>
        <v>Oceania</v>
      </c>
      <c r="G331" t="str">
        <f>VLOOKUP($A331,Table1[#This Row],COLUMN(G330), FALSE)</f>
        <v>Office Supplies</v>
      </c>
      <c r="H331" t="str">
        <f>VLOOKUP($A331,Table1[#This Row],COLUMN(H330), FALSE)</f>
        <v>Copiers</v>
      </c>
      <c r="I331">
        <f>VLOOKUP($A331,Table1[#This Row],COLUMN(I330), FALSE)</f>
        <v>4191.5069999999996</v>
      </c>
      <c r="J331">
        <f>VLOOKUP($A331,Table1[#This Row],COLUMN(J330), FALSE)</f>
        <v>9</v>
      </c>
      <c r="K331">
        <f>VLOOKUP($A331,Table1[#This Row],COLUMN(K330), FALSE)</f>
        <v>0.1</v>
      </c>
      <c r="L331">
        <f>VLOOKUP($A331,Table1[#This Row],COLUMN(L330), FALSE)</f>
        <v>1164.26699999999</v>
      </c>
      <c r="M331" t="str">
        <f>VLOOKUP($A331,Table1[#This Row],COLUMN(M330), FALSE)</f>
        <v>High</v>
      </c>
      <c r="N331">
        <f>VLOOKUP($A331,Table1[#This Row],COLUMN(N330), FALSE)</f>
        <v>0</v>
      </c>
      <c r="O331" t="str">
        <f>VLOOKUP($A331,Table1[#This Row],COLUMN(O330), FALSE)</f>
        <v>Mitch Webber</v>
      </c>
      <c r="P331" t="str">
        <f>VLOOKUP($A331,Table1[#This Row],COLUMN(P330), FALSE)</f>
        <v>IN</v>
      </c>
      <c r="Q331" t="str">
        <f>VLOOKUP($A331,Table1[#This Row],COLUMN(Q330), FALSE)</f>
        <v>2015</v>
      </c>
      <c r="R331" t="str">
        <f>VLOOKUP($A331,Table1[#This Row],COLUMN(R330), FALSE)</f>
        <v>HIGH</v>
      </c>
      <c r="S331" t="str">
        <f>VLOOKUP($A331,Table1[#This Row],COLUMN(S330), FALSE)</f>
        <v>office supplies</v>
      </c>
      <c r="T331" t="str">
        <f>VLOOKUP($A331,Table1[#This Row],COLUMN(T330), FALSE)</f>
        <v>42221</v>
      </c>
      <c r="U331" t="str">
        <f>VLOOKUP($A331,Table1[#This Row],COLUMN(U330), FALSE)</f>
        <v>MW182207</v>
      </c>
      <c r="V331" t="str">
        <f>VLOOKUP($A331,Table1[#This Row],COLUMN(V330), FALSE)</f>
        <v>IN</v>
      </c>
      <c r="W331">
        <f>VLOOKUP($A331,Table1[#This Row],COLUMN(W330), FALSE)</f>
        <v>2015</v>
      </c>
      <c r="X331" t="str">
        <f>VLOOKUP($A331,Table1[#This Row],COLUMN(X330), FALSE)</f>
        <v>MW182207</v>
      </c>
      <c r="Y331">
        <f>VLOOKUP($A331,Table1[#This Row],COLUMN(Y330), FALSE)</f>
        <v>42221</v>
      </c>
      <c r="Z331" t="str">
        <f>VLOOKUP($A331,Table1[#This Row],COLUMN(Z330), FALSE)</f>
        <v>IN-2015-MW182207-42221</v>
      </c>
      <c r="AA331">
        <f>VLOOKUP($A331,Table1[#This Row],COLUMN(AA330), FALSE)</f>
        <v>2015</v>
      </c>
      <c r="AB331">
        <f>VLOOKUP($A331,Table1[#This Row],COLUMN(AB330), FALSE)</f>
        <v>8</v>
      </c>
      <c r="AC331">
        <f>VLOOKUP($A331,Table1[#This Row],COLUMN(AC330), FALSE)</f>
        <v>4</v>
      </c>
      <c r="AD331">
        <f>VLOOKUP($A331,Table1[#This Row],COLUMN(AD330), FALSE)</f>
        <v>1</v>
      </c>
    </row>
    <row r="332" spans="1:30" ht="15.75">
      <c r="A332" s="53" t="s">
        <v>186</v>
      </c>
      <c r="B332" s="52">
        <f>VLOOKUP($A332,Table1[#This Row],COLUMN(B331), FALSE)</f>
        <v>42357</v>
      </c>
      <c r="C332" s="52">
        <f>VLOOKUP($A332,Table1[#This Row],COLUMN(C331), FALSE)</f>
        <v>42361</v>
      </c>
      <c r="D332" t="str">
        <f>VLOOKUP($A332,Table1[#This Row],COLUMN(D331), FALSE)</f>
        <v>Aaron Hawkins</v>
      </c>
      <c r="E332" t="str">
        <f>VLOOKUP($A332,Table1[#This Row],COLUMN(E331), FALSE)</f>
        <v>United States</v>
      </c>
      <c r="F332" t="str">
        <f>VLOOKUP($A332,Table1[#This Row],COLUMN(F331), FALSE)</f>
        <v>Eastern US</v>
      </c>
      <c r="G332" t="str">
        <f>VLOOKUP($A332,Table1[#This Row],COLUMN(G331), FALSE)</f>
        <v>Office Supplies</v>
      </c>
      <c r="H332" t="str">
        <f>VLOOKUP($A332,Table1[#This Row],COLUMN(H331), FALSE)</f>
        <v>Phones</v>
      </c>
      <c r="I332">
        <f>VLOOKUP($A332,Table1[#This Row],COLUMN(I331), FALSE)</f>
        <v>18.704000000000001</v>
      </c>
      <c r="J332">
        <f>VLOOKUP($A332,Table1[#This Row],COLUMN(J331), FALSE)</f>
        <v>7</v>
      </c>
      <c r="K332">
        <f>VLOOKUP($A332,Table1[#This Row],COLUMN(K331), FALSE)</f>
        <v>0.2</v>
      </c>
      <c r="L332">
        <f>VLOOKUP($A332,Table1[#This Row],COLUMN(L331), FALSE)</f>
        <v>2.3379999999999899</v>
      </c>
      <c r="M332" t="str">
        <f>VLOOKUP($A332,Table1[#This Row],COLUMN(M331), FALSE)</f>
        <v>Medium</v>
      </c>
      <c r="N332">
        <f>VLOOKUP($A332,Table1[#This Row],COLUMN(N331), FALSE)</f>
        <v>0</v>
      </c>
      <c r="O332" t="str">
        <f>VLOOKUP($A332,Table1[#This Row],COLUMN(O331), FALSE)</f>
        <v>Aaron Hawkins</v>
      </c>
      <c r="P332" t="str">
        <f>VLOOKUP($A332,Table1[#This Row],COLUMN(P331), FALSE)</f>
        <v>CA</v>
      </c>
      <c r="Q332" t="str">
        <f>VLOOKUP($A332,Table1[#This Row],COLUMN(Q331), FALSE)</f>
        <v>2015</v>
      </c>
      <c r="R332" t="str">
        <f>VLOOKUP($A332,Table1[#This Row],COLUMN(R331), FALSE)</f>
        <v>MEDIUM</v>
      </c>
      <c r="S332" t="str">
        <f>VLOOKUP($A332,Table1[#This Row],COLUMN(S331), FALSE)</f>
        <v>office supplies</v>
      </c>
      <c r="T332" t="str">
        <f>VLOOKUP($A332,Table1[#This Row],COLUMN(T331), FALSE)</f>
        <v>42357</v>
      </c>
      <c r="U332" t="str">
        <f>VLOOKUP($A332,Table1[#This Row],COLUMN(U331), FALSE)</f>
        <v>AH10030140</v>
      </c>
      <c r="V332" t="str">
        <f>VLOOKUP($A332,Table1[#This Row],COLUMN(V331), FALSE)</f>
        <v>CA</v>
      </c>
      <c r="W332">
        <f>VLOOKUP($A332,Table1[#This Row],COLUMN(W331), FALSE)</f>
        <v>2015</v>
      </c>
      <c r="X332" t="str">
        <f>VLOOKUP($A332,Table1[#This Row],COLUMN(X331), FALSE)</f>
        <v>AH10030140</v>
      </c>
      <c r="Y332">
        <f>VLOOKUP($A332,Table1[#This Row],COLUMN(Y331), FALSE)</f>
        <v>42357</v>
      </c>
      <c r="Z332" t="str">
        <f>VLOOKUP($A332,Table1[#This Row],COLUMN(Z331), FALSE)</f>
        <v>CA-2015-AH10030140-42357</v>
      </c>
      <c r="AA332">
        <f>VLOOKUP($A332,Table1[#This Row],COLUMN(AA331), FALSE)</f>
        <v>2015</v>
      </c>
      <c r="AB332">
        <f>VLOOKUP($A332,Table1[#This Row],COLUMN(AB331), FALSE)</f>
        <v>12</v>
      </c>
      <c r="AC332">
        <f>VLOOKUP($A332,Table1[#This Row],COLUMN(AC331), FALSE)</f>
        <v>7</v>
      </c>
      <c r="AD332">
        <f>VLOOKUP($A332,Table1[#This Row],COLUMN(AD331), FALSE)</f>
        <v>4</v>
      </c>
    </row>
    <row r="333" spans="1:30" ht="15.75">
      <c r="A333" s="54" t="s">
        <v>187</v>
      </c>
      <c r="B333" s="52">
        <f>VLOOKUP($A333,Table1[#This Row],COLUMN(B332), FALSE)</f>
        <v>42227</v>
      </c>
      <c r="C333" s="52">
        <f>VLOOKUP($A333,Table1[#This Row],COLUMN(C332), FALSE)</f>
        <v>42232</v>
      </c>
      <c r="D333" t="str">
        <f>VLOOKUP($A333,Table1[#This Row],COLUMN(D332), FALSE)</f>
        <v>Michael Stewart</v>
      </c>
      <c r="E333" t="str">
        <f>VLOOKUP($A333,Table1[#This Row],COLUMN(E332), FALSE)</f>
        <v>Germany</v>
      </c>
      <c r="F333" t="str">
        <f>VLOOKUP($A333,Table1[#This Row],COLUMN(F332), FALSE)</f>
        <v>Western Europe</v>
      </c>
      <c r="G333" t="str">
        <f>VLOOKUP($A333,Table1[#This Row],COLUMN(G332), FALSE)</f>
        <v>Technology</v>
      </c>
      <c r="H333" t="str">
        <f>VLOOKUP($A333,Table1[#This Row],COLUMN(H332), FALSE)</f>
        <v>Bookcases</v>
      </c>
      <c r="I333">
        <f>VLOOKUP($A333,Table1[#This Row],COLUMN(I332), FALSE)</f>
        <v>4473</v>
      </c>
      <c r="J333">
        <f>VLOOKUP($A333,Table1[#This Row],COLUMN(J332), FALSE)</f>
        <v>7</v>
      </c>
      <c r="K333">
        <f>VLOOKUP($A333,Table1[#This Row],COLUMN(K332), FALSE)</f>
        <v>0</v>
      </c>
      <c r="L333">
        <f>VLOOKUP($A333,Table1[#This Row],COLUMN(L332), FALSE)</f>
        <v>313.11</v>
      </c>
      <c r="M333" t="str">
        <f>VLOOKUP($A333,Table1[#This Row],COLUMN(M332), FALSE)</f>
        <v>Medium</v>
      </c>
      <c r="N333">
        <f>VLOOKUP($A333,Table1[#This Row],COLUMN(N332), FALSE)</f>
        <v>0</v>
      </c>
      <c r="O333" t="str">
        <f>VLOOKUP($A333,Table1[#This Row],COLUMN(O332), FALSE)</f>
        <v>Michael Stewart</v>
      </c>
      <c r="P333" t="str">
        <f>VLOOKUP($A333,Table1[#This Row],COLUMN(P332), FALSE)</f>
        <v>ES</v>
      </c>
      <c r="Q333" t="str">
        <f>VLOOKUP($A333,Table1[#This Row],COLUMN(Q332), FALSE)</f>
        <v>2015</v>
      </c>
      <c r="R333" t="str">
        <f>VLOOKUP($A333,Table1[#This Row],COLUMN(R332), FALSE)</f>
        <v>MEDIUM</v>
      </c>
      <c r="S333" t="str">
        <f>VLOOKUP($A333,Table1[#This Row],COLUMN(S332), FALSE)</f>
        <v>technology</v>
      </c>
      <c r="T333" t="str">
        <f>VLOOKUP($A333,Table1[#This Row],COLUMN(T332), FALSE)</f>
        <v>42227</v>
      </c>
      <c r="U333" t="str">
        <f>VLOOKUP($A333,Table1[#This Row],COLUMN(U332), FALSE)</f>
        <v>MS1798048</v>
      </c>
      <c r="V333" t="str">
        <f>VLOOKUP($A333,Table1[#This Row],COLUMN(V332), FALSE)</f>
        <v>ES</v>
      </c>
      <c r="W333">
        <f>VLOOKUP($A333,Table1[#This Row],COLUMN(W332), FALSE)</f>
        <v>2015</v>
      </c>
      <c r="X333" t="str">
        <f>VLOOKUP($A333,Table1[#This Row],COLUMN(X332), FALSE)</f>
        <v>MS1798048</v>
      </c>
      <c r="Y333">
        <f>VLOOKUP($A333,Table1[#This Row],COLUMN(Y332), FALSE)</f>
        <v>42227</v>
      </c>
      <c r="Z333" t="str">
        <f>VLOOKUP($A333,Table1[#This Row],COLUMN(Z332), FALSE)</f>
        <v>ES-2015-MS1798048-42227</v>
      </c>
      <c r="AA333">
        <f>VLOOKUP($A333,Table1[#This Row],COLUMN(AA332), FALSE)</f>
        <v>2015</v>
      </c>
      <c r="AB333">
        <f>VLOOKUP($A333,Table1[#This Row],COLUMN(AB332), FALSE)</f>
        <v>8</v>
      </c>
      <c r="AC333">
        <f>VLOOKUP($A333,Table1[#This Row],COLUMN(AC332), FALSE)</f>
        <v>3</v>
      </c>
      <c r="AD333">
        <f>VLOOKUP($A333,Table1[#This Row],COLUMN(AD332), FALSE)</f>
        <v>5</v>
      </c>
    </row>
    <row r="334" spans="1:30" ht="15.75">
      <c r="A334" s="53" t="s">
        <v>189</v>
      </c>
      <c r="B334" s="52">
        <f>VLOOKUP($A334,Table1[#This Row],COLUMN(B333), FALSE)</f>
        <v>41882</v>
      </c>
      <c r="C334" s="52">
        <f>VLOOKUP($A334,Table1[#This Row],COLUMN(C333), FALSE)</f>
        <v>41885</v>
      </c>
      <c r="D334" t="str">
        <f>VLOOKUP($A334,Table1[#This Row],COLUMN(D333), FALSE)</f>
        <v>Kimberly Carter</v>
      </c>
      <c r="E334" t="str">
        <f>VLOOKUP($A334,Table1[#This Row],COLUMN(E333), FALSE)</f>
        <v>Germany</v>
      </c>
      <c r="F334" t="str">
        <f>VLOOKUP($A334,Table1[#This Row],COLUMN(F333), FALSE)</f>
        <v>Western Europe</v>
      </c>
      <c r="G334" t="str">
        <f>VLOOKUP($A334,Table1[#This Row],COLUMN(G333), FALSE)</f>
        <v>Technology</v>
      </c>
      <c r="H334" t="str">
        <f>VLOOKUP($A334,Table1[#This Row],COLUMN(H333), FALSE)</f>
        <v>Machines</v>
      </c>
      <c r="I334">
        <f>VLOOKUP($A334,Table1[#This Row],COLUMN(I333), FALSE)</f>
        <v>1502.01</v>
      </c>
      <c r="J334">
        <f>VLOOKUP($A334,Table1[#This Row],COLUMN(J333), FALSE)</f>
        <v>9</v>
      </c>
      <c r="K334">
        <f>VLOOKUP($A334,Table1[#This Row],COLUMN(K333), FALSE)</f>
        <v>0</v>
      </c>
      <c r="L334">
        <f>VLOOKUP($A334,Table1[#This Row],COLUMN(L333), FALSE)</f>
        <v>225.18</v>
      </c>
      <c r="M334" t="str">
        <f>VLOOKUP($A334,Table1[#This Row],COLUMN(M333), FALSE)</f>
        <v>Critical</v>
      </c>
      <c r="N334">
        <f>VLOOKUP($A334,Table1[#This Row],COLUMN(N333), FALSE)</f>
        <v>0</v>
      </c>
      <c r="O334" t="str">
        <f>VLOOKUP($A334,Table1[#This Row],COLUMN(O333), FALSE)</f>
        <v>Kimberly Carter</v>
      </c>
      <c r="P334" t="str">
        <f>VLOOKUP($A334,Table1[#This Row],COLUMN(P333), FALSE)</f>
        <v>IT</v>
      </c>
      <c r="Q334" t="str">
        <f>VLOOKUP($A334,Table1[#This Row],COLUMN(Q333), FALSE)</f>
        <v>2014</v>
      </c>
      <c r="R334" t="str">
        <f>VLOOKUP($A334,Table1[#This Row],COLUMN(R333), FALSE)</f>
        <v>CRITICAL</v>
      </c>
      <c r="S334" t="str">
        <f>VLOOKUP($A334,Table1[#This Row],COLUMN(S333), FALSE)</f>
        <v>technology</v>
      </c>
      <c r="T334" t="str">
        <f>VLOOKUP($A334,Table1[#This Row],COLUMN(T333), FALSE)</f>
        <v>41882</v>
      </c>
      <c r="U334" t="str">
        <f>VLOOKUP($A334,Table1[#This Row],COLUMN(U333), FALSE)</f>
        <v>KC1667548</v>
      </c>
      <c r="V334" t="str">
        <f>VLOOKUP($A334,Table1[#This Row],COLUMN(V333), FALSE)</f>
        <v>IT</v>
      </c>
      <c r="W334">
        <f>VLOOKUP($A334,Table1[#This Row],COLUMN(W333), FALSE)</f>
        <v>2014</v>
      </c>
      <c r="X334" t="str">
        <f>VLOOKUP($A334,Table1[#This Row],COLUMN(X333), FALSE)</f>
        <v>KC1667548</v>
      </c>
      <c r="Y334">
        <f>VLOOKUP($A334,Table1[#This Row],COLUMN(Y333), FALSE)</f>
        <v>41882</v>
      </c>
      <c r="Z334" t="str">
        <f>VLOOKUP($A334,Table1[#This Row],COLUMN(Z333), FALSE)</f>
        <v>IT-2014-KC1667548-41882</v>
      </c>
      <c r="AA334">
        <f>VLOOKUP($A334,Table1[#This Row],COLUMN(AA333), FALSE)</f>
        <v>2014</v>
      </c>
      <c r="AB334">
        <f>VLOOKUP($A334,Table1[#This Row],COLUMN(AB333), FALSE)</f>
        <v>8</v>
      </c>
      <c r="AC334">
        <f>VLOOKUP($A334,Table1[#This Row],COLUMN(AC333), FALSE)</f>
        <v>1</v>
      </c>
      <c r="AD334">
        <f>VLOOKUP($A334,Table1[#This Row],COLUMN(AD333), FALSE)</f>
        <v>3</v>
      </c>
    </row>
    <row r="335" spans="1:30" ht="15.75">
      <c r="A335" s="54" t="s">
        <v>191</v>
      </c>
      <c r="B335" s="52">
        <f>VLOOKUP($A335,Table1[#This Row],COLUMN(B334), FALSE)</f>
        <v>42022</v>
      </c>
      <c r="C335" s="52">
        <f>VLOOKUP($A335,Table1[#This Row],COLUMN(C334), FALSE)</f>
        <v>42027</v>
      </c>
      <c r="D335" t="str">
        <f>VLOOKUP($A335,Table1[#This Row],COLUMN(D334), FALSE)</f>
        <v>Denny Blanton</v>
      </c>
      <c r="E335" t="str">
        <f>VLOOKUP($A335,Table1[#This Row],COLUMN(E334), FALSE)</f>
        <v>China</v>
      </c>
      <c r="F335" t="str">
        <f>VLOOKUP($A335,Table1[#This Row],COLUMN(F334), FALSE)</f>
        <v>Eastern Asia</v>
      </c>
      <c r="G335" t="str">
        <f>VLOOKUP($A335,Table1[#This Row],COLUMN(G334), FALSE)</f>
        <v>Furniture</v>
      </c>
      <c r="H335" t="str">
        <f>VLOOKUP($A335,Table1[#This Row],COLUMN(H334), FALSE)</f>
        <v>Phones</v>
      </c>
      <c r="I335">
        <f>VLOOKUP($A335,Table1[#This Row],COLUMN(I334), FALSE)</f>
        <v>5048.99999999999</v>
      </c>
      <c r="J335">
        <f>VLOOKUP($A335,Table1[#This Row],COLUMN(J334), FALSE)</f>
        <v>11</v>
      </c>
      <c r="K335">
        <f>VLOOKUP($A335,Table1[#This Row],COLUMN(K334), FALSE)</f>
        <v>0</v>
      </c>
      <c r="L335">
        <f>VLOOKUP($A335,Table1[#This Row],COLUMN(L334), FALSE)</f>
        <v>3799.5593480469101</v>
      </c>
      <c r="M335" t="str">
        <f>VLOOKUP($A335,Table1[#This Row],COLUMN(M334), FALSE)</f>
        <v>High</v>
      </c>
      <c r="N335">
        <f>VLOOKUP($A335,Table1[#This Row],COLUMN(N334), FALSE)</f>
        <v>0</v>
      </c>
      <c r="O335" t="str">
        <f>VLOOKUP($A335,Table1[#This Row],COLUMN(O334), FALSE)</f>
        <v>Denny Blanton</v>
      </c>
      <c r="P335" t="str">
        <f>VLOOKUP($A335,Table1[#This Row],COLUMN(P334), FALSE)</f>
        <v>IN</v>
      </c>
      <c r="Q335" t="str">
        <f>VLOOKUP($A335,Table1[#This Row],COLUMN(Q334), FALSE)</f>
        <v>2015</v>
      </c>
      <c r="R335" t="str">
        <f>VLOOKUP($A335,Table1[#This Row],COLUMN(R334), FALSE)</f>
        <v>HIGH</v>
      </c>
      <c r="S335" t="str">
        <f>VLOOKUP($A335,Table1[#This Row],COLUMN(S334), FALSE)</f>
        <v>furniture</v>
      </c>
      <c r="T335" t="str">
        <f>VLOOKUP($A335,Table1[#This Row],COLUMN(T334), FALSE)</f>
        <v>42022</v>
      </c>
      <c r="U335" t="str">
        <f>VLOOKUP($A335,Table1[#This Row],COLUMN(U334), FALSE)</f>
        <v>DB1340527</v>
      </c>
      <c r="V335" t="str">
        <f>VLOOKUP($A335,Table1[#This Row],COLUMN(V334), FALSE)</f>
        <v>IN</v>
      </c>
      <c r="W335">
        <f>VLOOKUP($A335,Table1[#This Row],COLUMN(W334), FALSE)</f>
        <v>2015</v>
      </c>
      <c r="X335" t="str">
        <f>VLOOKUP($A335,Table1[#This Row],COLUMN(X334), FALSE)</f>
        <v>DB1340527</v>
      </c>
      <c r="Y335">
        <f>VLOOKUP($A335,Table1[#This Row],COLUMN(Y334), FALSE)</f>
        <v>42022</v>
      </c>
      <c r="Z335" t="str">
        <f>VLOOKUP($A335,Table1[#This Row],COLUMN(Z334), FALSE)</f>
        <v>IN-2015-DB1340527-42022</v>
      </c>
      <c r="AA335">
        <f>VLOOKUP($A335,Table1[#This Row],COLUMN(AA334), FALSE)</f>
        <v>2015</v>
      </c>
      <c r="AB335">
        <f>VLOOKUP($A335,Table1[#This Row],COLUMN(AB334), FALSE)</f>
        <v>1</v>
      </c>
      <c r="AC335">
        <f>VLOOKUP($A335,Table1[#This Row],COLUMN(AC334), FALSE)</f>
        <v>1</v>
      </c>
      <c r="AD335">
        <f>VLOOKUP($A335,Table1[#This Row],COLUMN(AD334), FALSE)</f>
        <v>5</v>
      </c>
    </row>
    <row r="336" spans="1:30" ht="15.75">
      <c r="A336" s="53" t="s">
        <v>206</v>
      </c>
      <c r="B336" s="52">
        <f>VLOOKUP($A336,Table1[#This Row],COLUMN(B335), FALSE)</f>
        <v>41826</v>
      </c>
      <c r="C336" s="52">
        <f>VLOOKUP($A336,Table1[#This Row],COLUMN(C335), FALSE)</f>
        <v>41799</v>
      </c>
      <c r="D336" t="str">
        <f>VLOOKUP($A336,Table1[#This Row],COLUMN(D335), FALSE)</f>
        <v>Alan Schoenberger</v>
      </c>
      <c r="E336" t="str">
        <f>VLOOKUP($A336,Table1[#This Row],COLUMN(E335), FALSE)</f>
        <v>China#</v>
      </c>
      <c r="F336" t="str">
        <f>VLOOKUP($A336,Table1[#This Row],COLUMN(F335), FALSE)</f>
        <v>Eastern Asia</v>
      </c>
      <c r="G336" t="str">
        <f>VLOOKUP($A336,Table1[#This Row],COLUMN(G335), FALSE)</f>
        <v>Furniture</v>
      </c>
      <c r="H336" t="str">
        <f>VLOOKUP($A336,Table1[#This Row],COLUMN(H335), FALSE)</f>
        <v>Phones</v>
      </c>
      <c r="I336">
        <f>VLOOKUP($A336,Table1[#This Row],COLUMN(I335), FALSE)</f>
        <v>3298.2599999999902</v>
      </c>
      <c r="J336">
        <f>VLOOKUP($A336,Table1[#This Row],COLUMN(J335), FALSE)</f>
        <v>7</v>
      </c>
      <c r="K336">
        <f>VLOOKUP($A336,Table1[#This Row],COLUMN(K335), FALSE)</f>
        <v>0</v>
      </c>
      <c r="L336">
        <f>VLOOKUP($A336,Table1[#This Row],COLUMN(L335), FALSE)</f>
        <v>1055.25</v>
      </c>
      <c r="M336" t="str">
        <f>VLOOKUP($A336,Table1[#This Row],COLUMN(M335), FALSE)</f>
        <v>High</v>
      </c>
      <c r="N336">
        <f>VLOOKUP($A336,Table1[#This Row],COLUMN(N335), FALSE)</f>
        <v>0</v>
      </c>
      <c r="O336" t="str">
        <f>VLOOKUP($A336,Table1[#This Row],COLUMN(O335), FALSE)</f>
        <v>Alan Schoenberger</v>
      </c>
      <c r="P336" t="str">
        <f>VLOOKUP($A336,Table1[#This Row],COLUMN(P335), FALSE)</f>
        <v>IN</v>
      </c>
      <c r="Q336" t="str">
        <f>VLOOKUP($A336,Table1[#This Row],COLUMN(Q335), FALSE)</f>
        <v>2014</v>
      </c>
      <c r="R336" t="str">
        <f>VLOOKUP($A336,Table1[#This Row],COLUMN(R335), FALSE)</f>
        <v>HIGH</v>
      </c>
      <c r="S336" t="str">
        <f>VLOOKUP($A336,Table1[#This Row],COLUMN(S335), FALSE)</f>
        <v>furniture</v>
      </c>
      <c r="T336" t="str">
        <f>VLOOKUP($A336,Table1[#This Row],COLUMN(T335), FALSE)</f>
        <v>47197</v>
      </c>
      <c r="U336" t="str">
        <f>VLOOKUP($A336,Table1[#This Row],COLUMN(U335), FALSE)</f>
        <v>AS1022527</v>
      </c>
      <c r="V336" t="str">
        <f>VLOOKUP($A336,Table1[#This Row],COLUMN(V335), FALSE)</f>
        <v>IN</v>
      </c>
      <c r="W336">
        <f>VLOOKUP($A336,Table1[#This Row],COLUMN(W335), FALSE)</f>
        <v>2014</v>
      </c>
      <c r="X336" t="str">
        <f>VLOOKUP($A336,Table1[#This Row],COLUMN(X335), FALSE)</f>
        <v>AS1022527</v>
      </c>
      <c r="Y336">
        <f>VLOOKUP($A336,Table1[#This Row],COLUMN(Y335), FALSE)</f>
        <v>47197</v>
      </c>
      <c r="Z336" t="str">
        <f>VLOOKUP($A336,Table1[#This Row],COLUMN(Z335), FALSE)</f>
        <v>IN-2014-AS1022527-47197</v>
      </c>
      <c r="AA336">
        <f>VLOOKUP($A336,Table1[#This Row],COLUMN(AA335), FALSE)</f>
        <v>2014</v>
      </c>
      <c r="AB336">
        <f>VLOOKUP($A336,Table1[#This Row],COLUMN(AB335), FALSE)</f>
        <v>7</v>
      </c>
      <c r="AC336">
        <f>VLOOKUP($A336,Table1[#This Row],COLUMN(AC335), FALSE)</f>
        <v>1</v>
      </c>
      <c r="AD336">
        <f>VLOOKUP($A336,Table1[#This Row],COLUMN(AD335), FALSE)</f>
        <v>-27</v>
      </c>
    </row>
    <row r="337" spans="1:30" ht="15.75">
      <c r="A337" s="54" t="s">
        <v>209</v>
      </c>
      <c r="B337" s="52">
        <f>VLOOKUP($A337,Table1[#This Row],COLUMN(B336), FALSE)</f>
        <v>41234</v>
      </c>
      <c r="C337" s="52">
        <f>VLOOKUP($A337,Table1[#This Row],COLUMN(C336), FALSE)</f>
        <v>41235</v>
      </c>
      <c r="D337" t="str">
        <f>VLOOKUP($A337,Table1[#This Row],COLUMN(D336), FALSE)</f>
        <v>Shui Tom</v>
      </c>
      <c r="E337" t="str">
        <f>VLOOKUP($A337,Table1[#This Row],COLUMN(E336), FALSE)</f>
        <v>Nicaragua</v>
      </c>
      <c r="F337" t="str">
        <f>VLOOKUP($A337,Table1[#This Row],COLUMN(F336), FALSE)</f>
        <v>Central America</v>
      </c>
      <c r="G337" t="str">
        <f>VLOOKUP($A337,Table1[#This Row],COLUMN(G336), FALSE)</f>
        <v>Office Supplies</v>
      </c>
      <c r="H337" t="str">
        <f>VLOOKUP($A337,Table1[#This Row],COLUMN(H336), FALSE)</f>
        <v>Tables</v>
      </c>
      <c r="I337">
        <f>VLOOKUP($A337,Table1[#This Row],COLUMN(I336), FALSE)</f>
        <v>2443.48</v>
      </c>
      <c r="J337">
        <f>VLOOKUP($A337,Table1[#This Row],COLUMN(J336), FALSE)</f>
        <v>13</v>
      </c>
      <c r="K337">
        <f>VLOOKUP($A337,Table1[#This Row],COLUMN(K336), FALSE)</f>
        <v>0</v>
      </c>
      <c r="L337">
        <f>VLOOKUP($A337,Table1[#This Row],COLUMN(L336), FALSE)</f>
        <v>121.94</v>
      </c>
      <c r="M337" t="str">
        <f>VLOOKUP($A337,Table1[#This Row],COLUMN(M336), FALSE)</f>
        <v>Medium</v>
      </c>
      <c r="N337">
        <f>VLOOKUP($A337,Table1[#This Row],COLUMN(N336), FALSE)</f>
        <v>0</v>
      </c>
      <c r="O337" t="str">
        <f>VLOOKUP($A337,Table1[#This Row],COLUMN(O336), FALSE)</f>
        <v>Shui Tom</v>
      </c>
      <c r="P337" t="str">
        <f>VLOOKUP($A337,Table1[#This Row],COLUMN(P336), FALSE)</f>
        <v>MX</v>
      </c>
      <c r="Q337" t="str">
        <f>VLOOKUP($A337,Table1[#This Row],COLUMN(Q336), FALSE)</f>
        <v>2012</v>
      </c>
      <c r="R337" t="str">
        <f>VLOOKUP($A337,Table1[#This Row],COLUMN(R336), FALSE)</f>
        <v>MEDIUM</v>
      </c>
      <c r="S337" t="str">
        <f>VLOOKUP($A337,Table1[#This Row],COLUMN(S336), FALSE)</f>
        <v>office supplies</v>
      </c>
      <c r="T337" t="str">
        <f>VLOOKUP($A337,Table1[#This Row],COLUMN(T336), FALSE)</f>
        <v>41234</v>
      </c>
      <c r="U337" t="str">
        <f>VLOOKUP($A337,Table1[#This Row],COLUMN(U336), FALSE)</f>
        <v>ST2053093</v>
      </c>
      <c r="V337" t="str">
        <f>VLOOKUP($A337,Table1[#This Row],COLUMN(V336), FALSE)</f>
        <v>MX</v>
      </c>
      <c r="W337">
        <f>VLOOKUP($A337,Table1[#This Row],COLUMN(W336), FALSE)</f>
        <v>2012</v>
      </c>
      <c r="X337" t="str">
        <f>VLOOKUP($A337,Table1[#This Row],COLUMN(X336), FALSE)</f>
        <v>ST2053093</v>
      </c>
      <c r="Y337">
        <f>VLOOKUP($A337,Table1[#This Row],COLUMN(Y336), FALSE)</f>
        <v>41234</v>
      </c>
      <c r="Z337" t="str">
        <f>VLOOKUP($A337,Table1[#This Row],COLUMN(Z336), FALSE)</f>
        <v>MX-2012-ST2053093-41234</v>
      </c>
      <c r="AA337">
        <f>VLOOKUP($A337,Table1[#This Row],COLUMN(AA336), FALSE)</f>
        <v>2012</v>
      </c>
      <c r="AB337">
        <f>VLOOKUP($A337,Table1[#This Row],COLUMN(AB336), FALSE)</f>
        <v>11</v>
      </c>
      <c r="AC337">
        <f>VLOOKUP($A337,Table1[#This Row],COLUMN(AC336), FALSE)</f>
        <v>4</v>
      </c>
      <c r="AD337">
        <f>VLOOKUP($A337,Table1[#This Row],COLUMN(AD336), FALSE)</f>
        <v>1</v>
      </c>
    </row>
    <row r="338" spans="1:30" ht="15.75">
      <c r="A338" s="53" t="s">
        <v>224</v>
      </c>
      <c r="B338" s="52">
        <f>VLOOKUP($A338,Table1[#This Row],COLUMN(B337), FALSE)</f>
        <v>41221</v>
      </c>
      <c r="C338" s="52">
        <f>VLOOKUP($A338,Table1[#This Row],COLUMN(C337), FALSE)</f>
        <v>41223</v>
      </c>
      <c r="D338" t="str">
        <f>VLOOKUP($A338,Table1[#This Row],COLUMN(D337), FALSE)</f>
        <v>Sam Zeldin</v>
      </c>
      <c r="E338" t="str">
        <f>VLOOKUP($A338,Table1[#This Row],COLUMN(E337), FALSE)</f>
        <v>China</v>
      </c>
      <c r="F338" t="str">
        <f>VLOOKUP($A338,Table1[#This Row],COLUMN(F337), FALSE)</f>
        <v>Eastern Asia</v>
      </c>
      <c r="G338" t="str">
        <f>VLOOKUP($A338,Table1[#This Row],COLUMN(G337), FALSE)</f>
        <v>Technology</v>
      </c>
      <c r="H338" t="str">
        <f>VLOOKUP($A338,Table1[#This Row],COLUMN(H337), FALSE)</f>
        <v>Binders</v>
      </c>
      <c r="I338">
        <f>VLOOKUP($A338,Table1[#This Row],COLUMN(I337), FALSE)</f>
        <v>3200.04</v>
      </c>
      <c r="J338">
        <f>VLOOKUP($A338,Table1[#This Row],COLUMN(J337), FALSE)</f>
        <v>9</v>
      </c>
      <c r="K338">
        <f>VLOOKUP($A338,Table1[#This Row],COLUMN(K337), FALSE)</f>
        <v>0</v>
      </c>
      <c r="L338">
        <f>VLOOKUP($A338,Table1[#This Row],COLUMN(L337), FALSE)</f>
        <v>1183.95</v>
      </c>
      <c r="M338" t="str">
        <f>VLOOKUP($A338,Table1[#This Row],COLUMN(M337), FALSE)</f>
        <v>Medium#</v>
      </c>
      <c r="N338">
        <f>VLOOKUP($A338,Table1[#This Row],COLUMN(N337), FALSE)</f>
        <v>0</v>
      </c>
      <c r="O338" t="str">
        <f>VLOOKUP($A338,Table1[#This Row],COLUMN(O337), FALSE)</f>
        <v>Sam Zeldin</v>
      </c>
      <c r="P338" t="str">
        <f>VLOOKUP($A338,Table1[#This Row],COLUMN(P337), FALSE)</f>
        <v>IN</v>
      </c>
      <c r="Q338" t="str">
        <f>VLOOKUP($A338,Table1[#This Row],COLUMN(Q337), FALSE)</f>
        <v>2012</v>
      </c>
      <c r="R338" t="str">
        <f>VLOOKUP($A338,Table1[#This Row],COLUMN(R337), FALSE)</f>
        <v>MEDIUM#</v>
      </c>
      <c r="S338" t="str">
        <f>VLOOKUP($A338,Table1[#This Row],COLUMN(S337), FALSE)</f>
        <v>technology</v>
      </c>
      <c r="T338" t="str">
        <f>VLOOKUP($A338,Table1[#This Row],COLUMN(T337), FALSE)</f>
        <v>41221</v>
      </c>
      <c r="U338" t="str">
        <f>VLOOKUP($A338,Table1[#This Row],COLUMN(U337), FALSE)</f>
        <v>SZ2003527</v>
      </c>
      <c r="V338" t="str">
        <f>VLOOKUP($A338,Table1[#This Row],COLUMN(V337), FALSE)</f>
        <v>IN</v>
      </c>
      <c r="W338">
        <f>VLOOKUP($A338,Table1[#This Row],COLUMN(W337), FALSE)</f>
        <v>2012</v>
      </c>
      <c r="X338" t="str">
        <f>VLOOKUP($A338,Table1[#This Row],COLUMN(X337), FALSE)</f>
        <v>SZ2003527</v>
      </c>
      <c r="Y338">
        <f>VLOOKUP($A338,Table1[#This Row],COLUMN(Y337), FALSE)</f>
        <v>41221</v>
      </c>
      <c r="Z338" t="str">
        <f>VLOOKUP($A338,Table1[#This Row],COLUMN(Z337), FALSE)</f>
        <v>IN-2012-SZ2003527-41221</v>
      </c>
      <c r="AA338">
        <f>VLOOKUP($A338,Table1[#This Row],COLUMN(AA337), FALSE)</f>
        <v>2012</v>
      </c>
      <c r="AB338">
        <f>VLOOKUP($A338,Table1[#This Row],COLUMN(AB337), FALSE)</f>
        <v>11</v>
      </c>
      <c r="AC338">
        <f>VLOOKUP($A338,Table1[#This Row],COLUMN(AC337), FALSE)</f>
        <v>5</v>
      </c>
      <c r="AD338">
        <f>VLOOKUP($A338,Table1[#This Row],COLUMN(AD337), FALSE)</f>
        <v>2</v>
      </c>
    </row>
    <row r="339" spans="1:30" ht="15.75">
      <c r="A339" s="54" t="s">
        <v>231</v>
      </c>
      <c r="B339" s="52">
        <f>VLOOKUP($A339,Table1[#This Row],COLUMN(B338), FALSE)</f>
        <v>42305</v>
      </c>
      <c r="C339" s="52">
        <f>VLOOKUP($A339,Table1[#This Row],COLUMN(C338), FALSE)</f>
        <v>42307</v>
      </c>
      <c r="D339" t="str">
        <f>VLOOKUP($A339,Table1[#This Row],COLUMN(D338), FALSE)</f>
        <v>Dave Poirier</v>
      </c>
      <c r="E339" t="str">
        <f>VLOOKUP($A339,Table1[#This Row],COLUMN(E338), FALSE)</f>
        <v>Morocco</v>
      </c>
      <c r="F339" t="str">
        <f>VLOOKUP($A339,Table1[#This Row],COLUMN(F338), FALSE)</f>
        <v>North Africa</v>
      </c>
      <c r="G339" t="str">
        <f>VLOOKUP($A339,Table1[#This Row],COLUMN(G338), FALSE)</f>
        <v>Technology</v>
      </c>
      <c r="H339" t="str">
        <f>VLOOKUP($A339,Table1[#This Row],COLUMN(H338), FALSE)</f>
        <v>Chairs</v>
      </c>
      <c r="I339">
        <f>VLOOKUP($A339,Table1[#This Row],COLUMN(I338), FALSE)</f>
        <v>5301.24</v>
      </c>
      <c r="J339">
        <f>VLOOKUP($A339,Table1[#This Row],COLUMN(J338), FALSE)</f>
        <v>14</v>
      </c>
      <c r="K339">
        <f>VLOOKUP($A339,Table1[#This Row],COLUMN(K338), FALSE)</f>
        <v>0</v>
      </c>
      <c r="L339">
        <f>VLOOKUP($A339,Table1[#This Row],COLUMN(L338), FALSE)</f>
        <v>2597.2800000000002</v>
      </c>
      <c r="M339" t="str">
        <f>VLOOKUP($A339,Table1[#This Row],COLUMN(M338), FALSE)</f>
        <v>Medium</v>
      </c>
      <c r="N339">
        <f>VLOOKUP($A339,Table1[#This Row],COLUMN(N338), FALSE)</f>
        <v>0</v>
      </c>
      <c r="O339" t="str">
        <f>VLOOKUP($A339,Table1[#This Row],COLUMN(O338), FALSE)</f>
        <v>Dave Poirier</v>
      </c>
      <c r="P339" t="str">
        <f>VLOOKUP($A339,Table1[#This Row],COLUMN(P338), FALSE)</f>
        <v>MO</v>
      </c>
      <c r="Q339" t="str">
        <f>VLOOKUP($A339,Table1[#This Row],COLUMN(Q338), FALSE)</f>
        <v>2015</v>
      </c>
      <c r="R339" t="str">
        <f>VLOOKUP($A339,Table1[#This Row],COLUMN(R338), FALSE)</f>
        <v>MEDIUM</v>
      </c>
      <c r="S339" t="str">
        <f>VLOOKUP($A339,Table1[#This Row],COLUMN(S338), FALSE)</f>
        <v>technology</v>
      </c>
      <c r="T339" t="str">
        <f>VLOOKUP($A339,Table1[#This Row],COLUMN(T338), FALSE)</f>
        <v>42305</v>
      </c>
      <c r="U339" t="str">
        <f>VLOOKUP($A339,Table1[#This Row],COLUMN(U338), FALSE)</f>
        <v>DP310586</v>
      </c>
      <c r="V339" t="str">
        <f>VLOOKUP($A339,Table1[#This Row],COLUMN(V338), FALSE)</f>
        <v>MO</v>
      </c>
      <c r="W339">
        <f>VLOOKUP($A339,Table1[#This Row],COLUMN(W338), FALSE)</f>
        <v>2015</v>
      </c>
      <c r="X339" t="str">
        <f>VLOOKUP($A339,Table1[#This Row],COLUMN(X338), FALSE)</f>
        <v>DP310586</v>
      </c>
      <c r="Y339">
        <f>VLOOKUP($A339,Table1[#This Row],COLUMN(Y338), FALSE)</f>
        <v>42305</v>
      </c>
      <c r="Z339" t="str">
        <f>VLOOKUP($A339,Table1[#This Row],COLUMN(Z338), FALSE)</f>
        <v>MO-2015-DP310586-42305</v>
      </c>
      <c r="AA339">
        <f>VLOOKUP($A339,Table1[#This Row],COLUMN(AA338), FALSE)</f>
        <v>2015</v>
      </c>
      <c r="AB339">
        <f>VLOOKUP($A339,Table1[#This Row],COLUMN(AB338), FALSE)</f>
        <v>10</v>
      </c>
      <c r="AC339">
        <f>VLOOKUP($A339,Table1[#This Row],COLUMN(AC338), FALSE)</f>
        <v>4</v>
      </c>
      <c r="AD339">
        <f>VLOOKUP($A339,Table1[#This Row],COLUMN(AD338), FALSE)</f>
        <v>2</v>
      </c>
    </row>
    <row r="340" spans="1:30" ht="15.75">
      <c r="A340" s="53" t="s">
        <v>234</v>
      </c>
      <c r="B340" s="52">
        <f>VLOOKUP($A340,Table1[#This Row],COLUMN(B339), FALSE)</f>
        <v>42252</v>
      </c>
      <c r="C340" s="52">
        <f>VLOOKUP($A340,Table1[#This Row],COLUMN(C339), FALSE)</f>
        <v>42253</v>
      </c>
      <c r="D340" t="str">
        <f>VLOOKUP($A340,Table1[#This Row],COLUMN(D339), FALSE)</f>
        <v xml:space="preserve"> Aaron Smayling </v>
      </c>
      <c r="E340" t="str">
        <f>VLOOKUP($A340,Table1[#This Row],COLUMN(E339), FALSE)</f>
        <v>United States</v>
      </c>
      <c r="F340" t="str">
        <f>VLOOKUP($A340,Table1[#This Row],COLUMN(F339), FALSE)</f>
        <v>Western US</v>
      </c>
      <c r="G340" t="str">
        <f>VLOOKUP($A340,Table1[#This Row],COLUMN(G339), FALSE)</f>
        <v>Office Supplies</v>
      </c>
      <c r="H340" t="str">
        <f>VLOOKUP($A340,Table1[#This Row],COLUMN(H339), FALSE)</f>
        <v>Copiers</v>
      </c>
      <c r="I340">
        <f>VLOOKUP($A340,Table1[#This Row],COLUMN(I339), FALSE)</f>
        <v>88.073999999999998</v>
      </c>
      <c r="J340">
        <f>VLOOKUP($A340,Table1[#This Row],COLUMN(J339), FALSE)</f>
        <v>7</v>
      </c>
      <c r="K340">
        <f>VLOOKUP($A340,Table1[#This Row],COLUMN(K339), FALSE)</f>
        <v>0.7</v>
      </c>
      <c r="L340">
        <f>VLOOKUP($A340,Table1[#This Row],COLUMN(L339), FALSE)</f>
        <v>-58.715999999999902</v>
      </c>
      <c r="M340" t="str">
        <f>VLOOKUP($A340,Table1[#This Row],COLUMN(M339), FALSE)</f>
        <v>High</v>
      </c>
      <c r="N340">
        <f>VLOOKUP($A340,Table1[#This Row],COLUMN(N339), FALSE)</f>
        <v>0</v>
      </c>
      <c r="O340" t="str">
        <f>VLOOKUP($A340,Table1[#This Row],COLUMN(O339), FALSE)</f>
        <v xml:space="preserve"> Aaron Smayling </v>
      </c>
      <c r="P340" t="str">
        <f>VLOOKUP($A340,Table1[#This Row],COLUMN(P339), FALSE)</f>
        <v>US</v>
      </c>
      <c r="Q340" t="str">
        <f>VLOOKUP($A340,Table1[#This Row],COLUMN(Q339), FALSE)</f>
        <v>2015</v>
      </c>
      <c r="R340" t="str">
        <f>VLOOKUP($A340,Table1[#This Row],COLUMN(R339), FALSE)</f>
        <v>HIGH</v>
      </c>
      <c r="S340" t="str">
        <f>VLOOKUP($A340,Table1[#This Row],COLUMN(S339), FALSE)</f>
        <v>office supplies</v>
      </c>
      <c r="T340" t="str">
        <f>VLOOKUP($A340,Table1[#This Row],COLUMN(T339), FALSE)</f>
        <v>42252</v>
      </c>
      <c r="U340" t="str">
        <f>VLOOKUP($A340,Table1[#This Row],COLUMN(U339), FALSE)</f>
        <v>AS10045140</v>
      </c>
      <c r="V340" t="str">
        <f>VLOOKUP($A340,Table1[#This Row],COLUMN(V339), FALSE)</f>
        <v>US</v>
      </c>
      <c r="W340">
        <f>VLOOKUP($A340,Table1[#This Row],COLUMN(W339), FALSE)</f>
        <v>2015</v>
      </c>
      <c r="X340" t="str">
        <f>VLOOKUP($A340,Table1[#This Row],COLUMN(X339), FALSE)</f>
        <v>AS10045140</v>
      </c>
      <c r="Y340">
        <f>VLOOKUP($A340,Table1[#This Row],COLUMN(Y339), FALSE)</f>
        <v>42252</v>
      </c>
      <c r="Z340" t="str">
        <f>VLOOKUP($A340,Table1[#This Row],COLUMN(Z339), FALSE)</f>
        <v>US-2015-AS10045140-42252</v>
      </c>
      <c r="AA340">
        <f>VLOOKUP($A340,Table1[#This Row],COLUMN(AA339), FALSE)</f>
        <v>2015</v>
      </c>
      <c r="AB340">
        <f>VLOOKUP($A340,Table1[#This Row],COLUMN(AB339), FALSE)</f>
        <v>9</v>
      </c>
      <c r="AC340">
        <f>VLOOKUP($A340,Table1[#This Row],COLUMN(AC339), FALSE)</f>
        <v>7</v>
      </c>
      <c r="AD340">
        <f>VLOOKUP($A340,Table1[#This Row],COLUMN(AD339), FALSE)</f>
        <v>1</v>
      </c>
    </row>
    <row r="341" spans="1:30" ht="15.75">
      <c r="A341" s="54" t="s">
        <v>241</v>
      </c>
      <c r="B341" s="52">
        <f>VLOOKUP($A341,Table1[#This Row],COLUMN(B340), FALSE)</f>
        <v>41940</v>
      </c>
      <c r="C341" s="52">
        <f>VLOOKUP($A341,Table1[#This Row],COLUMN(C340), FALSE)</f>
        <v>41943</v>
      </c>
      <c r="D341" t="str">
        <f>VLOOKUP($A341,Table1[#This Row],COLUMN(D340), FALSE)</f>
        <v>Berenike Kampe</v>
      </c>
      <c r="E341" t="str">
        <f>VLOOKUP($A341,Table1[#This Row],COLUMN(E340), FALSE)</f>
        <v>Bangladesh</v>
      </c>
      <c r="F341" t="str">
        <f>VLOOKUP($A341,Table1[#This Row],COLUMN(F340), FALSE)</f>
        <v>Southern Asia</v>
      </c>
      <c r="G341" t="str">
        <f>VLOOKUP($A341,Table1[#This Row],COLUMN(G340), FALSE)</f>
        <v>Furniture</v>
      </c>
      <c r="H341" t="str">
        <f>VLOOKUP($A341,Table1[#This Row],COLUMN(H340), FALSE)</f>
        <v>Appliances</v>
      </c>
      <c r="I341">
        <f>VLOOKUP($A341,Table1[#This Row],COLUMN(I340), FALSE)</f>
        <v>3728.4299999999898</v>
      </c>
      <c r="J341">
        <f>VLOOKUP($A341,Table1[#This Row],COLUMN(J340), FALSE)</f>
        <v>9</v>
      </c>
      <c r="K341">
        <f>VLOOKUP($A341,Table1[#This Row],COLUMN(K340), FALSE)</f>
        <v>0</v>
      </c>
      <c r="L341">
        <f>VLOOKUP($A341,Table1[#This Row],COLUMN(L340), FALSE)</f>
        <v>1192.8599999999999</v>
      </c>
      <c r="M341" t="str">
        <f>VLOOKUP($A341,Table1[#This Row],COLUMN(M340), FALSE)</f>
        <v>Medium</v>
      </c>
      <c r="N341">
        <f>VLOOKUP($A341,Table1[#This Row],COLUMN(N340), FALSE)</f>
        <v>0</v>
      </c>
      <c r="O341" t="str">
        <f>VLOOKUP($A341,Table1[#This Row],COLUMN(O340), FALSE)</f>
        <v>Berenike Kampe</v>
      </c>
      <c r="P341" t="str">
        <f>VLOOKUP($A341,Table1[#This Row],COLUMN(P340), FALSE)</f>
        <v>IN</v>
      </c>
      <c r="Q341" t="str">
        <f>VLOOKUP($A341,Table1[#This Row],COLUMN(Q340), FALSE)</f>
        <v>2014</v>
      </c>
      <c r="R341" t="str">
        <f>VLOOKUP($A341,Table1[#This Row],COLUMN(R340), FALSE)</f>
        <v>MEDIUM</v>
      </c>
      <c r="S341" t="str">
        <f>VLOOKUP($A341,Table1[#This Row],COLUMN(S340), FALSE)</f>
        <v>furniture</v>
      </c>
      <c r="T341" t="str">
        <f>VLOOKUP($A341,Table1[#This Row],COLUMN(T340), FALSE)</f>
        <v>41940</v>
      </c>
      <c r="U341" t="str">
        <f>VLOOKUP($A341,Table1[#This Row],COLUMN(U340), FALSE)</f>
        <v>BK1126011</v>
      </c>
      <c r="V341" t="str">
        <f>VLOOKUP($A341,Table1[#This Row],COLUMN(V340), FALSE)</f>
        <v>IN</v>
      </c>
      <c r="W341">
        <f>VLOOKUP($A341,Table1[#This Row],COLUMN(W340), FALSE)</f>
        <v>2014</v>
      </c>
      <c r="X341" t="str">
        <f>VLOOKUP($A341,Table1[#This Row],COLUMN(X340), FALSE)</f>
        <v>BK1126011</v>
      </c>
      <c r="Y341">
        <f>VLOOKUP($A341,Table1[#This Row],COLUMN(Y340), FALSE)</f>
        <v>41940</v>
      </c>
      <c r="Z341" t="str">
        <f>VLOOKUP($A341,Table1[#This Row],COLUMN(Z340), FALSE)</f>
        <v>IN-2014-BK1126011-41940</v>
      </c>
      <c r="AA341">
        <f>VLOOKUP($A341,Table1[#This Row],COLUMN(AA340), FALSE)</f>
        <v>2014</v>
      </c>
      <c r="AB341">
        <f>VLOOKUP($A341,Table1[#This Row],COLUMN(AB340), FALSE)</f>
        <v>10</v>
      </c>
      <c r="AC341">
        <f>VLOOKUP($A341,Table1[#This Row],COLUMN(AC340), FALSE)</f>
        <v>3</v>
      </c>
      <c r="AD341">
        <f>VLOOKUP($A341,Table1[#This Row],COLUMN(AD340), FALSE)</f>
        <v>3</v>
      </c>
    </row>
    <row r="342" spans="1:30" ht="15.75">
      <c r="A342" s="53" t="s">
        <v>248</v>
      </c>
      <c r="B342" s="52">
        <f>VLOOKUP($A342,Table1[#This Row],COLUMN(B341), FALSE)</f>
        <v>41667</v>
      </c>
      <c r="C342" s="52">
        <f>VLOOKUP($A342,Table1[#This Row],COLUMN(C341), FALSE)</f>
        <v>41669</v>
      </c>
      <c r="D342" t="str">
        <f>VLOOKUP($A342,Table1[#This Row],COLUMN(D341), FALSE)</f>
        <v>Steve Chapman</v>
      </c>
      <c r="E342" t="str">
        <f>VLOOKUP($A342,Table1[#This Row],COLUMN(E341), FALSE)</f>
        <v>Philippines</v>
      </c>
      <c r="F342" t="str">
        <f>VLOOKUP($A342,Table1[#This Row],COLUMN(F341), FALSE)</f>
        <v>Southeastern Asia</v>
      </c>
      <c r="G342" t="str">
        <f>VLOOKUP($A342,Table1[#This Row],COLUMN(G341), FALSE)</f>
        <v>Furniture</v>
      </c>
      <c r="H342" t="str">
        <f>VLOOKUP($A342,Table1[#This Row],COLUMN(H341), FALSE)</f>
        <v>Appliances</v>
      </c>
      <c r="I342" t="str">
        <f>VLOOKUP($A342,Table1[#This Row],COLUMN(I341), FALSE)</f>
        <v>missing</v>
      </c>
      <c r="J342">
        <f>VLOOKUP($A342,Table1[#This Row],COLUMN(J341), FALSE)</f>
        <v>7</v>
      </c>
      <c r="K342">
        <f>VLOOKUP($A342,Table1[#This Row],COLUMN(K341), FALSE)</f>
        <v>0.25</v>
      </c>
      <c r="L342">
        <f>VLOOKUP($A342,Table1[#This Row],COLUMN(L341), FALSE)</f>
        <v>197.19</v>
      </c>
      <c r="M342" t="str">
        <f>VLOOKUP($A342,Table1[#This Row],COLUMN(M341), FALSE)</f>
        <v>High</v>
      </c>
      <c r="N342">
        <f>VLOOKUP($A342,Table1[#This Row],COLUMN(N341), FALSE)</f>
        <v>0</v>
      </c>
      <c r="O342" t="str">
        <f>VLOOKUP($A342,Table1[#This Row],COLUMN(O341), FALSE)</f>
        <v>Steve Chapman</v>
      </c>
      <c r="P342" t="str">
        <f>VLOOKUP($A342,Table1[#This Row],COLUMN(P341), FALSE)</f>
        <v>ID</v>
      </c>
      <c r="Q342" t="str">
        <f>VLOOKUP($A342,Table1[#This Row],COLUMN(Q341), FALSE)</f>
        <v>2014</v>
      </c>
      <c r="R342" t="str">
        <f>VLOOKUP($A342,Table1[#This Row],COLUMN(R341), FALSE)</f>
        <v>HIGH</v>
      </c>
      <c r="S342" t="str">
        <f>VLOOKUP($A342,Table1[#This Row],COLUMN(S341), FALSE)</f>
        <v>furniture</v>
      </c>
      <c r="T342" t="str">
        <f>VLOOKUP($A342,Table1[#This Row],COLUMN(T341), FALSE)</f>
        <v>41667</v>
      </c>
      <c r="U342" t="str">
        <f>VLOOKUP($A342,Table1[#This Row],COLUMN(U341), FALSE)</f>
        <v>SC20695102</v>
      </c>
      <c r="V342" t="str">
        <f>VLOOKUP($A342,Table1[#This Row],COLUMN(V341), FALSE)</f>
        <v>ID</v>
      </c>
      <c r="W342">
        <f>VLOOKUP($A342,Table1[#This Row],COLUMN(W341), FALSE)</f>
        <v>2014</v>
      </c>
      <c r="X342" t="str">
        <f>VLOOKUP($A342,Table1[#This Row],COLUMN(X341), FALSE)</f>
        <v>SC20695102</v>
      </c>
      <c r="Y342">
        <f>VLOOKUP($A342,Table1[#This Row],COLUMN(Y341), FALSE)</f>
        <v>41667</v>
      </c>
      <c r="Z342" t="str">
        <f>VLOOKUP($A342,Table1[#This Row],COLUMN(Z341), FALSE)</f>
        <v>ID-2014-SC20695102-41667</v>
      </c>
      <c r="AA342">
        <f>VLOOKUP($A342,Table1[#This Row],COLUMN(AA341), FALSE)</f>
        <v>2014</v>
      </c>
      <c r="AB342">
        <f>VLOOKUP($A342,Table1[#This Row],COLUMN(AB341), FALSE)</f>
        <v>1</v>
      </c>
      <c r="AC342">
        <f>VLOOKUP($A342,Table1[#This Row],COLUMN(AC341), FALSE)</f>
        <v>3</v>
      </c>
      <c r="AD342">
        <f>VLOOKUP($A342,Table1[#This Row],COLUMN(AD341), FALSE)</f>
        <v>2</v>
      </c>
    </row>
    <row r="343" spans="1:30" ht="15.75">
      <c r="A343" s="54" t="s">
        <v>257</v>
      </c>
      <c r="B343" s="52">
        <f>VLOOKUP($A343,Table1[#This Row],COLUMN(B342), FALSE)</f>
        <v>41606</v>
      </c>
      <c r="C343" s="52">
        <f>VLOOKUP($A343,Table1[#This Row],COLUMN(C342), FALSE)</f>
        <v>41610</v>
      </c>
      <c r="D343" t="str">
        <f>VLOOKUP($A343,Table1[#This Row],COLUMN(D342), FALSE)</f>
        <v>Nick Zandusky</v>
      </c>
      <c r="E343" t="str">
        <f>VLOOKUP($A343,Table1[#This Row],COLUMN(E342), FALSE)</f>
        <v>Australia</v>
      </c>
      <c r="F343" t="str">
        <f>VLOOKUP($A343,Table1[#This Row],COLUMN(F342), FALSE)</f>
        <v>Oceania</v>
      </c>
      <c r="G343" t="str">
        <f>VLOOKUP($A343,Table1[#This Row],COLUMN(G342), FALSE)</f>
        <v>Furniture</v>
      </c>
      <c r="H343" t="str">
        <f>VLOOKUP($A343,Table1[#This Row],COLUMN(H342), FALSE)</f>
        <v>Tables</v>
      </c>
      <c r="I343">
        <f>VLOOKUP($A343,Table1[#This Row],COLUMN(I342), FALSE)</f>
        <v>2891.6999999999898</v>
      </c>
      <c r="J343">
        <f>VLOOKUP($A343,Table1[#This Row],COLUMN(J342), FALSE)</f>
        <v>7</v>
      </c>
      <c r="K343">
        <f>VLOOKUP($A343,Table1[#This Row],COLUMN(K342), FALSE)</f>
        <v>0.1</v>
      </c>
      <c r="L343">
        <f>VLOOKUP($A343,Table1[#This Row],COLUMN(L342), FALSE)</f>
        <v>96.39</v>
      </c>
      <c r="M343" t="str">
        <f>VLOOKUP($A343,Table1[#This Row],COLUMN(M342), FALSE)</f>
        <v>Medium</v>
      </c>
      <c r="N343">
        <f>VLOOKUP($A343,Table1[#This Row],COLUMN(N342), FALSE)</f>
        <v>0</v>
      </c>
      <c r="O343" t="str">
        <f>VLOOKUP($A343,Table1[#This Row],COLUMN(O342), FALSE)</f>
        <v>Nick Zandusky</v>
      </c>
      <c r="P343" t="str">
        <f>VLOOKUP($A343,Table1[#This Row],COLUMN(P342), FALSE)</f>
        <v>IN</v>
      </c>
      <c r="Q343" t="str">
        <f>VLOOKUP($A343,Table1[#This Row],COLUMN(Q342), FALSE)</f>
        <v>2013</v>
      </c>
      <c r="R343" t="str">
        <f>VLOOKUP($A343,Table1[#This Row],COLUMN(R342), FALSE)</f>
        <v>MEDIUM</v>
      </c>
      <c r="S343" t="str">
        <f>VLOOKUP($A343,Table1[#This Row],COLUMN(S342), FALSE)</f>
        <v>furniture</v>
      </c>
      <c r="T343" t="str">
        <f>VLOOKUP($A343,Table1[#This Row],COLUMN(T342), FALSE)</f>
        <v>41606</v>
      </c>
      <c r="U343" t="str">
        <f>VLOOKUP($A343,Table1[#This Row],COLUMN(U342), FALSE)</f>
        <v>NZ185657</v>
      </c>
      <c r="V343" t="str">
        <f>VLOOKUP($A343,Table1[#This Row],COLUMN(V342), FALSE)</f>
        <v>IN</v>
      </c>
      <c r="W343">
        <f>VLOOKUP($A343,Table1[#This Row],COLUMN(W342), FALSE)</f>
        <v>2013</v>
      </c>
      <c r="X343" t="str">
        <f>VLOOKUP($A343,Table1[#This Row],COLUMN(X342), FALSE)</f>
        <v>NZ185657</v>
      </c>
      <c r="Y343">
        <f>VLOOKUP($A343,Table1[#This Row],COLUMN(Y342), FALSE)</f>
        <v>41606</v>
      </c>
      <c r="Z343" t="str">
        <f>VLOOKUP($A343,Table1[#This Row],COLUMN(Z342), FALSE)</f>
        <v>IN-2013-NZ185657-41606</v>
      </c>
      <c r="AA343">
        <f>VLOOKUP($A343,Table1[#This Row],COLUMN(AA342), FALSE)</f>
        <v>2013</v>
      </c>
      <c r="AB343">
        <f>VLOOKUP($A343,Table1[#This Row],COLUMN(AB342), FALSE)</f>
        <v>11</v>
      </c>
      <c r="AC343">
        <f>VLOOKUP($A343,Table1[#This Row],COLUMN(AC342), FALSE)</f>
        <v>5</v>
      </c>
      <c r="AD343">
        <f>VLOOKUP($A343,Table1[#This Row],COLUMN(AD342), FALSE)</f>
        <v>4</v>
      </c>
    </row>
    <row r="344" spans="1:30" ht="15.75">
      <c r="A344" s="53" t="s">
        <v>258</v>
      </c>
      <c r="B344" s="52">
        <f>VLOOKUP($A344,Table1[#This Row],COLUMN(B343), FALSE)</f>
        <v>41546</v>
      </c>
      <c r="C344" s="52">
        <f>VLOOKUP($A344,Table1[#This Row],COLUMN(C343), FALSE)</f>
        <v>41546</v>
      </c>
      <c r="D344" t="str">
        <f>VLOOKUP($A344,Table1[#This Row],COLUMN(D343), FALSE)</f>
        <v>Paul MacIntyre</v>
      </c>
      <c r="E344" t="str">
        <f>VLOOKUP($A344,Table1[#This Row],COLUMN(E343), FALSE)</f>
        <v>France</v>
      </c>
      <c r="F344" t="str">
        <f>VLOOKUP($A344,Table1[#This Row],COLUMN(F343), FALSE)</f>
        <v>Western Europe</v>
      </c>
      <c r="G344" t="str">
        <f>VLOOKUP($A344,Table1[#This Row],COLUMN(G343), FALSE)</f>
        <v>Technology</v>
      </c>
      <c r="H344" t="str">
        <f>VLOOKUP($A344,Table1[#This Row],COLUMN(H343), FALSE)</f>
        <v>Bookcases</v>
      </c>
      <c r="I344">
        <f>VLOOKUP($A344,Table1[#This Row],COLUMN(I343), FALSE)</f>
        <v>2016.846</v>
      </c>
      <c r="J344">
        <f>VLOOKUP($A344,Table1[#This Row],COLUMN(J343), FALSE)</f>
        <v>9</v>
      </c>
      <c r="K344">
        <f>VLOOKUP($A344,Table1[#This Row],COLUMN(K343), FALSE)</f>
        <v>0.15</v>
      </c>
      <c r="L344">
        <f>VLOOKUP($A344,Table1[#This Row],COLUMN(L343), FALSE)</f>
        <v>-5.4000000000030399E-2</v>
      </c>
      <c r="M344" t="str">
        <f>VLOOKUP($A344,Table1[#This Row],COLUMN(M343), FALSE)</f>
        <v>Critical</v>
      </c>
      <c r="N344">
        <f>VLOOKUP($A344,Table1[#This Row],COLUMN(N343), FALSE)</f>
        <v>0</v>
      </c>
      <c r="O344" t="str">
        <f>VLOOKUP($A344,Table1[#This Row],COLUMN(O343), FALSE)</f>
        <v>Paul Macintyre</v>
      </c>
      <c r="P344" t="str">
        <f>VLOOKUP($A344,Table1[#This Row],COLUMN(P343), FALSE)</f>
        <v>IT</v>
      </c>
      <c r="Q344" t="str">
        <f>VLOOKUP($A344,Table1[#This Row],COLUMN(Q343), FALSE)</f>
        <v>2013</v>
      </c>
      <c r="R344" t="str">
        <f>VLOOKUP($A344,Table1[#This Row],COLUMN(R343), FALSE)</f>
        <v>CRITICAL</v>
      </c>
      <c r="S344" t="str">
        <f>VLOOKUP($A344,Table1[#This Row],COLUMN(S343), FALSE)</f>
        <v>technology</v>
      </c>
      <c r="T344" t="str">
        <f>VLOOKUP($A344,Table1[#This Row],COLUMN(T343), FALSE)</f>
        <v>41546</v>
      </c>
      <c r="U344" t="str">
        <f>VLOOKUP($A344,Table1[#This Row],COLUMN(U343), FALSE)</f>
        <v>PM1984045</v>
      </c>
      <c r="V344" t="str">
        <f>VLOOKUP($A344,Table1[#This Row],COLUMN(V343), FALSE)</f>
        <v>IT</v>
      </c>
      <c r="W344">
        <f>VLOOKUP($A344,Table1[#This Row],COLUMN(W343), FALSE)</f>
        <v>2013</v>
      </c>
      <c r="X344" t="str">
        <f>VLOOKUP($A344,Table1[#This Row],COLUMN(X343), FALSE)</f>
        <v>PM1984045</v>
      </c>
      <c r="Y344">
        <f>VLOOKUP($A344,Table1[#This Row],COLUMN(Y343), FALSE)</f>
        <v>41546</v>
      </c>
      <c r="Z344" t="str">
        <f>VLOOKUP($A344,Table1[#This Row],COLUMN(Z343), FALSE)</f>
        <v>IT-2013-PM1984045-41546</v>
      </c>
      <c r="AA344">
        <f>VLOOKUP($A344,Table1[#This Row],COLUMN(AA343), FALSE)</f>
        <v>2013</v>
      </c>
      <c r="AB344">
        <f>VLOOKUP($A344,Table1[#This Row],COLUMN(AB343), FALSE)</f>
        <v>9</v>
      </c>
      <c r="AC344">
        <f>VLOOKUP($A344,Table1[#This Row],COLUMN(AC343), FALSE)</f>
        <v>1</v>
      </c>
      <c r="AD344">
        <f>VLOOKUP($A344,Table1[#This Row],COLUMN(AD343), FALSE)</f>
        <v>0</v>
      </c>
    </row>
    <row r="345" spans="1:30" ht="15.75">
      <c r="A345" s="54" t="s">
        <v>260</v>
      </c>
      <c r="B345" s="52">
        <f>VLOOKUP($A345,Table1[#This Row],COLUMN(B344), FALSE)</f>
        <v>41707</v>
      </c>
      <c r="C345" s="52">
        <f>VLOOKUP($A345,Table1[#This Row],COLUMN(C344), FALSE)</f>
        <v>41887</v>
      </c>
      <c r="D345" t="str">
        <f>VLOOKUP($A345,Table1[#This Row],COLUMN(D344), FALSE)</f>
        <v>Maria Zettner</v>
      </c>
      <c r="E345" t="str">
        <f>VLOOKUP($A345,Table1[#This Row],COLUMN(E344), FALSE)</f>
        <v>France</v>
      </c>
      <c r="F345" t="str">
        <f>VLOOKUP($A345,Table1[#This Row],COLUMN(F344), FALSE)</f>
        <v>Western Europe</v>
      </c>
      <c r="G345" t="str">
        <f>VLOOKUP($A345,Table1[#This Row],COLUMN(G344), FALSE)</f>
        <v>Office Supplies</v>
      </c>
      <c r="H345" t="str">
        <f>VLOOKUP($A345,Table1[#This Row],COLUMN(H344), FALSE)</f>
        <v>Chairs</v>
      </c>
      <c r="I345">
        <f>VLOOKUP($A345,Table1[#This Row],COLUMN(I344), FALSE)</f>
        <v>3155.5439999999999</v>
      </c>
      <c r="J345">
        <f>VLOOKUP($A345,Table1[#This Row],COLUMN(J344), FALSE)</f>
        <v>7</v>
      </c>
      <c r="K345">
        <f>VLOOKUP($A345,Table1[#This Row],COLUMN(K344), FALSE)</f>
        <v>0.1</v>
      </c>
      <c r="L345">
        <f>VLOOKUP($A345,Table1[#This Row],COLUMN(L344), FALSE)</f>
        <v>34.944000000000003</v>
      </c>
      <c r="M345" t="str">
        <f>VLOOKUP($A345,Table1[#This Row],COLUMN(M344), FALSE)</f>
        <v>High</v>
      </c>
      <c r="N345">
        <f>VLOOKUP($A345,Table1[#This Row],COLUMN(N344), FALSE)</f>
        <v>0</v>
      </c>
      <c r="O345" t="str">
        <f>VLOOKUP($A345,Table1[#This Row],COLUMN(O344), FALSE)</f>
        <v>Maria Zettner</v>
      </c>
      <c r="P345" t="str">
        <f>VLOOKUP($A345,Table1[#This Row],COLUMN(P344), FALSE)</f>
        <v>ES</v>
      </c>
      <c r="Q345" t="str">
        <f>VLOOKUP($A345,Table1[#This Row],COLUMN(Q344), FALSE)</f>
        <v>2014</v>
      </c>
      <c r="R345" t="str">
        <f>VLOOKUP($A345,Table1[#This Row],COLUMN(R344), FALSE)</f>
        <v>HIGH</v>
      </c>
      <c r="S345" t="str">
        <f>VLOOKUP($A345,Table1[#This Row],COLUMN(S344), FALSE)</f>
        <v>office supplies</v>
      </c>
      <c r="T345" t="str">
        <f>VLOOKUP($A345,Table1[#This Row],COLUMN(T344), FALSE)</f>
        <v>41885</v>
      </c>
      <c r="U345" t="str">
        <f>VLOOKUP($A345,Table1[#This Row],COLUMN(U344), FALSE)</f>
        <v>MZ1733545</v>
      </c>
      <c r="V345" t="str">
        <f>VLOOKUP($A345,Table1[#This Row],COLUMN(V344), FALSE)</f>
        <v>ES</v>
      </c>
      <c r="W345">
        <f>VLOOKUP($A345,Table1[#This Row],COLUMN(W344), FALSE)</f>
        <v>2014</v>
      </c>
      <c r="X345" t="str">
        <f>VLOOKUP($A345,Table1[#This Row],COLUMN(X344), FALSE)</f>
        <v>MZ1733545</v>
      </c>
      <c r="Y345">
        <f>VLOOKUP($A345,Table1[#This Row],COLUMN(Y344), FALSE)</f>
        <v>41885</v>
      </c>
      <c r="Z345" t="str">
        <f>VLOOKUP($A345,Table1[#This Row],COLUMN(Z344), FALSE)</f>
        <v>ES-2014-MZ1733545-41885</v>
      </c>
      <c r="AA345">
        <f>VLOOKUP($A345,Table1[#This Row],COLUMN(AA344), FALSE)</f>
        <v>2014</v>
      </c>
      <c r="AB345">
        <f>VLOOKUP($A345,Table1[#This Row],COLUMN(AB344), FALSE)</f>
        <v>3</v>
      </c>
      <c r="AC345">
        <f>VLOOKUP($A345,Table1[#This Row],COLUMN(AC344), FALSE)</f>
        <v>1</v>
      </c>
      <c r="AD345">
        <f>VLOOKUP($A345,Table1[#This Row],COLUMN(AD344), FALSE)</f>
        <v>180</v>
      </c>
    </row>
    <row r="346" spans="1:30" ht="15.75">
      <c r="A346" s="53" t="s">
        <v>265</v>
      </c>
      <c r="B346" s="52">
        <f>VLOOKUP($A346,Table1[#This Row],COLUMN(B345), FALSE)</f>
        <v>42327</v>
      </c>
      <c r="C346" s="52">
        <f>VLOOKUP($A346,Table1[#This Row],COLUMN(C345), FALSE)</f>
        <v>42333</v>
      </c>
      <c r="D346" t="str">
        <f>VLOOKUP($A346,Table1[#This Row],COLUMN(D345), FALSE)</f>
        <v>Rick Wilson</v>
      </c>
      <c r="E346" t="str">
        <f>VLOOKUP($A346,Table1[#This Row],COLUMN(E345), FALSE)</f>
        <v>Australia</v>
      </c>
      <c r="F346" t="str">
        <f>VLOOKUP($A346,Table1[#This Row],COLUMN(F345), FALSE)</f>
        <v>Oceania</v>
      </c>
      <c r="G346" t="str">
        <f>VLOOKUP($A346,Table1[#This Row],COLUMN(G345), FALSE)</f>
        <v>Technology</v>
      </c>
      <c r="H346" t="str">
        <f>VLOOKUP($A346,Table1[#This Row],COLUMN(H345), FALSE)</f>
        <v>Appliances</v>
      </c>
      <c r="I346">
        <f>VLOOKUP($A346,Table1[#This Row],COLUMN(I345), FALSE)</f>
        <v>3524.4720000000002</v>
      </c>
      <c r="J346">
        <f>VLOOKUP($A346,Table1[#This Row],COLUMN(J345), FALSE)</f>
        <v>6</v>
      </c>
      <c r="K346">
        <f>VLOOKUP($A346,Table1[#This Row],COLUMN(K345), FALSE)</f>
        <v>0.1</v>
      </c>
      <c r="L346">
        <f>VLOOKUP($A346,Table1[#This Row],COLUMN(L345), FALSE)</f>
        <v>861.37199999999996</v>
      </c>
      <c r="M346" t="str">
        <f>VLOOKUP($A346,Table1[#This Row],COLUMN(M345), FALSE)</f>
        <v>Low</v>
      </c>
      <c r="N346">
        <f>VLOOKUP($A346,Table1[#This Row],COLUMN(N345), FALSE)</f>
        <v>0</v>
      </c>
      <c r="O346" t="str">
        <f>VLOOKUP($A346,Table1[#This Row],COLUMN(O345), FALSE)</f>
        <v>Rick Wilson</v>
      </c>
      <c r="P346" t="str">
        <f>VLOOKUP($A346,Table1[#This Row],COLUMN(P345), FALSE)</f>
        <v>IN</v>
      </c>
      <c r="Q346" t="str">
        <f>VLOOKUP($A346,Table1[#This Row],COLUMN(Q345), FALSE)</f>
        <v>2015</v>
      </c>
      <c r="R346" t="str">
        <f>VLOOKUP($A346,Table1[#This Row],COLUMN(R345), FALSE)</f>
        <v>LOW</v>
      </c>
      <c r="S346" t="str">
        <f>VLOOKUP($A346,Table1[#This Row],COLUMN(S345), FALSE)</f>
        <v>technology</v>
      </c>
      <c r="T346" t="str">
        <f>VLOOKUP($A346,Table1[#This Row],COLUMN(T345), FALSE)</f>
        <v>42327</v>
      </c>
      <c r="U346" t="str">
        <f>VLOOKUP($A346,Table1[#This Row],COLUMN(U345), FALSE)</f>
        <v>RW195407</v>
      </c>
      <c r="V346" t="str">
        <f>VLOOKUP($A346,Table1[#This Row],COLUMN(V345), FALSE)</f>
        <v>IN</v>
      </c>
      <c r="W346">
        <f>VLOOKUP($A346,Table1[#This Row],COLUMN(W345), FALSE)</f>
        <v>2015</v>
      </c>
      <c r="X346" t="str">
        <f>VLOOKUP($A346,Table1[#This Row],COLUMN(X345), FALSE)</f>
        <v>RW195407</v>
      </c>
      <c r="Y346">
        <f>VLOOKUP($A346,Table1[#This Row],COLUMN(Y345), FALSE)</f>
        <v>42327</v>
      </c>
      <c r="Z346" t="str">
        <f>VLOOKUP($A346,Table1[#This Row],COLUMN(Z345), FALSE)</f>
        <v>IN-2015-RW195407-42327</v>
      </c>
      <c r="AA346">
        <f>VLOOKUP($A346,Table1[#This Row],COLUMN(AA345), FALSE)</f>
        <v>2015</v>
      </c>
      <c r="AB346">
        <f>VLOOKUP($A346,Table1[#This Row],COLUMN(AB345), FALSE)</f>
        <v>11</v>
      </c>
      <c r="AC346">
        <f>VLOOKUP($A346,Table1[#This Row],COLUMN(AC345), FALSE)</f>
        <v>5</v>
      </c>
      <c r="AD346">
        <f>VLOOKUP($A346,Table1[#This Row],COLUMN(AD345), FALSE)</f>
        <v>6</v>
      </c>
    </row>
    <row r="347" spans="1:30" ht="15.75">
      <c r="A347" s="54" t="s">
        <v>273</v>
      </c>
      <c r="B347" s="52">
        <f>VLOOKUP($A347,Table1[#This Row],COLUMN(B346), FALSE)</f>
        <v>41116</v>
      </c>
      <c r="C347" s="52">
        <f>VLOOKUP($A347,Table1[#This Row],COLUMN(C346), FALSE)</f>
        <v>41122</v>
      </c>
      <c r="D347" t="str">
        <f>VLOOKUP($A347,Table1[#This Row],COLUMN(D346), FALSE)</f>
        <v>Aaron Smayling</v>
      </c>
      <c r="E347" t="str">
        <f>VLOOKUP($A347,Table1[#This Row],COLUMN(E346), FALSE)</f>
        <v>United States</v>
      </c>
      <c r="F347" t="str">
        <f>VLOOKUP($A347,Table1[#This Row],COLUMN(F346), FALSE)</f>
        <v>Eastern US</v>
      </c>
      <c r="G347" t="str">
        <f>VLOOKUP($A347,Table1[#This Row],COLUMN(G346), FALSE)</f>
        <v>Office Supplies</v>
      </c>
      <c r="H347" t="str">
        <f>VLOOKUP($A347,Table1[#This Row],COLUMN(H346), FALSE)</f>
        <v>Copiers</v>
      </c>
      <c r="I347">
        <f>VLOOKUP($A347,Table1[#This Row],COLUMN(I346), FALSE)</f>
        <v>65.78</v>
      </c>
      <c r="J347">
        <f>VLOOKUP($A347,Table1[#This Row],COLUMN(J346), FALSE)</f>
        <v>11</v>
      </c>
      <c r="K347">
        <f>VLOOKUP($A347,Table1[#This Row],COLUMN(K346), FALSE)</f>
        <v>0</v>
      </c>
      <c r="L347">
        <f>VLOOKUP($A347,Table1[#This Row],COLUMN(L346), FALSE)</f>
        <v>32.232199999999999</v>
      </c>
      <c r="M347" t="str">
        <f>VLOOKUP($A347,Table1[#This Row],COLUMN(M346), FALSE)</f>
        <v>Medium</v>
      </c>
      <c r="N347">
        <f>VLOOKUP($A347,Table1[#This Row],COLUMN(N346), FALSE)</f>
        <v>0</v>
      </c>
      <c r="O347" t="str">
        <f>VLOOKUP($A347,Table1[#This Row],COLUMN(O346), FALSE)</f>
        <v>Aaron Smayling</v>
      </c>
      <c r="P347" t="str">
        <f>VLOOKUP($A347,Table1[#This Row],COLUMN(P346), FALSE)</f>
        <v>US</v>
      </c>
      <c r="Q347" t="str">
        <f>VLOOKUP($A347,Table1[#This Row],COLUMN(Q346), FALSE)</f>
        <v>2012</v>
      </c>
      <c r="R347" t="str">
        <f>VLOOKUP($A347,Table1[#This Row],COLUMN(R346), FALSE)</f>
        <v>MEDIUM</v>
      </c>
      <c r="S347" t="str">
        <f>VLOOKUP($A347,Table1[#This Row],COLUMN(S346), FALSE)</f>
        <v>office supplies</v>
      </c>
      <c r="T347" t="str">
        <f>VLOOKUP($A347,Table1[#This Row],COLUMN(T346), FALSE)</f>
        <v>41116</v>
      </c>
      <c r="U347" t="str">
        <f>VLOOKUP($A347,Table1[#This Row],COLUMN(U346), FALSE)</f>
        <v>AS10045140</v>
      </c>
      <c r="V347" t="str">
        <f>VLOOKUP($A347,Table1[#This Row],COLUMN(V346), FALSE)</f>
        <v>US</v>
      </c>
      <c r="W347">
        <f>VLOOKUP($A347,Table1[#This Row],COLUMN(W346), FALSE)</f>
        <v>2012</v>
      </c>
      <c r="X347" t="str">
        <f>VLOOKUP($A347,Table1[#This Row],COLUMN(X346), FALSE)</f>
        <v>AS10045140</v>
      </c>
      <c r="Y347">
        <f>VLOOKUP($A347,Table1[#This Row],COLUMN(Y346), FALSE)</f>
        <v>41116</v>
      </c>
      <c r="Z347" t="str">
        <f>VLOOKUP($A347,Table1[#This Row],COLUMN(Z346), FALSE)</f>
        <v>US-2012-AS10045140-41116</v>
      </c>
      <c r="AA347">
        <f>VLOOKUP($A347,Table1[#This Row],COLUMN(AA346), FALSE)</f>
        <v>2012</v>
      </c>
      <c r="AB347">
        <f>VLOOKUP($A347,Table1[#This Row],COLUMN(AB346), FALSE)</f>
        <v>7</v>
      </c>
      <c r="AC347">
        <f>VLOOKUP($A347,Table1[#This Row],COLUMN(AC346), FALSE)</f>
        <v>5</v>
      </c>
      <c r="AD347">
        <f>VLOOKUP($A347,Table1[#This Row],COLUMN(AD346), FALSE)</f>
        <v>6</v>
      </c>
    </row>
    <row r="348" spans="1:30" ht="15.75">
      <c r="A348" s="53" t="s">
        <v>277</v>
      </c>
      <c r="B348" s="52">
        <f>VLOOKUP($A348,Table1[#This Row],COLUMN(B347), FALSE)</f>
        <v>41999</v>
      </c>
      <c r="C348" s="52">
        <f>VLOOKUP($A348,Table1[#This Row],COLUMN(C347), FALSE)</f>
        <v>41999</v>
      </c>
      <c r="D348" t="str">
        <f>VLOOKUP($A348,Table1[#This Row],COLUMN(D347), FALSE)</f>
        <v>Dave Brooks</v>
      </c>
      <c r="E348" t="str">
        <f>VLOOKUP($A348,Table1[#This Row],COLUMN(E347), FALSE)</f>
        <v>Australia</v>
      </c>
      <c r="F348" t="str">
        <f>VLOOKUP($A348,Table1[#This Row],COLUMN(F347), FALSE)</f>
        <v>Oceania</v>
      </c>
      <c r="G348" t="str">
        <f>VLOOKUP($A348,Table1[#This Row],COLUMN(G347), FALSE)</f>
        <v>Office Supplies</v>
      </c>
      <c r="H348" t="str">
        <f>VLOOKUP($A348,Table1[#This Row],COLUMN(H347), FALSE)</f>
        <v>Tables</v>
      </c>
      <c r="I348">
        <f>VLOOKUP($A348,Table1[#This Row],COLUMN(I347), FALSE)</f>
        <v>3739.1759999999899</v>
      </c>
      <c r="J348">
        <f>VLOOKUP($A348,Table1[#This Row],COLUMN(J347), FALSE)</f>
        <v>8</v>
      </c>
      <c r="K348">
        <f>VLOOKUP($A348,Table1[#This Row],COLUMN(K347), FALSE)</f>
        <v>0.1</v>
      </c>
      <c r="L348">
        <f>VLOOKUP($A348,Table1[#This Row],COLUMN(L347), FALSE)</f>
        <v>747.81600000000003</v>
      </c>
      <c r="M348" t="str">
        <f>VLOOKUP($A348,Table1[#This Row],COLUMN(M347), FALSE)</f>
        <v>High</v>
      </c>
      <c r="N348">
        <f>VLOOKUP($A348,Table1[#This Row],COLUMN(N347), FALSE)</f>
        <v>0</v>
      </c>
      <c r="O348" t="str">
        <f>VLOOKUP($A348,Table1[#This Row],COLUMN(O347), FALSE)</f>
        <v>Dave Brooks</v>
      </c>
      <c r="P348" t="str">
        <f>VLOOKUP($A348,Table1[#This Row],COLUMN(P347), FALSE)</f>
        <v>IN</v>
      </c>
      <c r="Q348" t="str">
        <f>VLOOKUP($A348,Table1[#This Row],COLUMN(Q347), FALSE)</f>
        <v>2014</v>
      </c>
      <c r="R348" t="str">
        <f>VLOOKUP($A348,Table1[#This Row],COLUMN(R347), FALSE)</f>
        <v>HIGH</v>
      </c>
      <c r="S348" t="str">
        <f>VLOOKUP($A348,Table1[#This Row],COLUMN(S347), FALSE)</f>
        <v>office supplies</v>
      </c>
      <c r="T348" t="str">
        <f>VLOOKUP($A348,Table1[#This Row],COLUMN(T347), FALSE)</f>
        <v>41999</v>
      </c>
      <c r="U348" t="str">
        <f>VLOOKUP($A348,Table1[#This Row],COLUMN(U347), FALSE)</f>
        <v>DB130607</v>
      </c>
      <c r="V348" t="str">
        <f>VLOOKUP($A348,Table1[#This Row],COLUMN(V347), FALSE)</f>
        <v>IN</v>
      </c>
      <c r="W348">
        <f>VLOOKUP($A348,Table1[#This Row],COLUMN(W347), FALSE)</f>
        <v>2014</v>
      </c>
      <c r="X348" t="str">
        <f>VLOOKUP($A348,Table1[#This Row],COLUMN(X347), FALSE)</f>
        <v>DB130607</v>
      </c>
      <c r="Y348">
        <f>VLOOKUP($A348,Table1[#This Row],COLUMN(Y347), FALSE)</f>
        <v>41999</v>
      </c>
      <c r="Z348" t="str">
        <f>VLOOKUP($A348,Table1[#This Row],COLUMN(Z347), FALSE)</f>
        <v>IN-2014-DB130607-41999</v>
      </c>
      <c r="AA348">
        <f>VLOOKUP($A348,Table1[#This Row],COLUMN(AA347), FALSE)</f>
        <v>2014</v>
      </c>
      <c r="AB348">
        <f>VLOOKUP($A348,Table1[#This Row],COLUMN(AB347), FALSE)</f>
        <v>12</v>
      </c>
      <c r="AC348">
        <f>VLOOKUP($A348,Table1[#This Row],COLUMN(AC347), FALSE)</f>
        <v>6</v>
      </c>
      <c r="AD348">
        <f>VLOOKUP($A348,Table1[#This Row],COLUMN(AD347), FALSE)</f>
        <v>0</v>
      </c>
    </row>
    <row r="349" spans="1:30" ht="15.75">
      <c r="A349" s="54" t="s">
        <v>279</v>
      </c>
      <c r="B349" s="52">
        <f>VLOOKUP($A349,Table1[#This Row],COLUMN(B348), FALSE)</f>
        <v>41711</v>
      </c>
      <c r="C349" s="52">
        <f>VLOOKUP($A349,Table1[#This Row],COLUMN(C348), FALSE)</f>
        <v>41711</v>
      </c>
      <c r="D349" t="str">
        <f>VLOOKUP($A349,Table1[#This Row],COLUMN(D348), FALSE)</f>
        <v>Valerie Mitchum</v>
      </c>
      <c r="E349" t="str">
        <f>VLOOKUP($A349,Table1[#This Row],COLUMN(E348), FALSE)</f>
        <v>Netherlands</v>
      </c>
      <c r="F349" t="str">
        <f>VLOOKUP($A349,Table1[#This Row],COLUMN(F348), FALSE)</f>
        <v>Western Europe</v>
      </c>
      <c r="G349" t="str">
        <f>VLOOKUP($A349,Table1[#This Row],COLUMN(G348), FALSE)</f>
        <v>Furniture</v>
      </c>
      <c r="H349" t="str">
        <f>VLOOKUP($A349,Table1[#This Row],COLUMN(H348), FALSE)</f>
        <v>Bookcases</v>
      </c>
      <c r="I349">
        <f>VLOOKUP($A349,Table1[#This Row],COLUMN(I348), FALSE)</f>
        <v>2570.8649999999998</v>
      </c>
      <c r="J349">
        <f>VLOOKUP($A349,Table1[#This Row],COLUMN(J348), FALSE)</f>
        <v>11</v>
      </c>
      <c r="K349">
        <f>VLOOKUP($A349,Table1[#This Row],COLUMN(K348), FALSE)</f>
        <v>0.5</v>
      </c>
      <c r="L349">
        <f>VLOOKUP($A349,Table1[#This Row],COLUMN(L348), FALSE)</f>
        <v>-2211.165</v>
      </c>
      <c r="M349" t="str">
        <f>VLOOKUP($A349,Table1[#This Row],COLUMN(M348), FALSE)</f>
        <v>High</v>
      </c>
      <c r="N349">
        <f>VLOOKUP($A349,Table1[#This Row],COLUMN(N348), FALSE)</f>
        <v>0</v>
      </c>
      <c r="O349" t="str">
        <f>VLOOKUP($A349,Table1[#This Row],COLUMN(O348), FALSE)</f>
        <v>Valerie Mitchum</v>
      </c>
      <c r="P349" t="str">
        <f>VLOOKUP($A349,Table1[#This Row],COLUMN(P348), FALSE)</f>
        <v>IT</v>
      </c>
      <c r="Q349" t="str">
        <f>VLOOKUP($A349,Table1[#This Row],COLUMN(Q348), FALSE)</f>
        <v>2014</v>
      </c>
      <c r="R349" t="str">
        <f>VLOOKUP($A349,Table1[#This Row],COLUMN(R348), FALSE)</f>
        <v>HIGH</v>
      </c>
      <c r="S349" t="str">
        <f>VLOOKUP($A349,Table1[#This Row],COLUMN(S348), FALSE)</f>
        <v>furniture</v>
      </c>
      <c r="T349" t="str">
        <f>VLOOKUP($A349,Table1[#This Row],COLUMN(T348), FALSE)</f>
        <v>41711</v>
      </c>
      <c r="U349" t="str">
        <f>VLOOKUP($A349,Table1[#This Row],COLUMN(U348), FALSE)</f>
        <v>VM2168591</v>
      </c>
      <c r="V349" t="str">
        <f>VLOOKUP($A349,Table1[#This Row],COLUMN(V348), FALSE)</f>
        <v>IT</v>
      </c>
      <c r="W349">
        <f>VLOOKUP($A349,Table1[#This Row],COLUMN(W348), FALSE)</f>
        <v>2014</v>
      </c>
      <c r="X349" t="str">
        <f>VLOOKUP($A349,Table1[#This Row],COLUMN(X348), FALSE)</f>
        <v>VM2168591</v>
      </c>
      <c r="Y349">
        <f>VLOOKUP($A349,Table1[#This Row],COLUMN(Y348), FALSE)</f>
        <v>41711</v>
      </c>
      <c r="Z349" t="str">
        <f>VLOOKUP($A349,Table1[#This Row],COLUMN(Z348), FALSE)</f>
        <v>IT-2014-VM2168591-41711</v>
      </c>
      <c r="AA349">
        <f>VLOOKUP($A349,Table1[#This Row],COLUMN(AA348), FALSE)</f>
        <v>2014</v>
      </c>
      <c r="AB349">
        <f>VLOOKUP($A349,Table1[#This Row],COLUMN(AB348), FALSE)</f>
        <v>3</v>
      </c>
      <c r="AC349">
        <f>VLOOKUP($A349,Table1[#This Row],COLUMN(AC348), FALSE)</f>
        <v>5</v>
      </c>
      <c r="AD349">
        <f>VLOOKUP($A349,Table1[#This Row],COLUMN(AD348), FALSE)</f>
        <v>0</v>
      </c>
    </row>
    <row r="350" spans="1:30" ht="15.75">
      <c r="A350" s="53" t="s">
        <v>283</v>
      </c>
      <c r="B350" s="52">
        <f>VLOOKUP($A350,Table1[#This Row],COLUMN(B349), FALSE)</f>
        <v>41369</v>
      </c>
      <c r="C350" s="52">
        <f>VLOOKUP($A350,Table1[#This Row],COLUMN(C349), FALSE)</f>
        <v>41369</v>
      </c>
      <c r="D350" t="str">
        <f>VLOOKUP($A350,Table1[#This Row],COLUMN(D349), FALSE)</f>
        <v>Don Miller</v>
      </c>
      <c r="E350" t="str">
        <f>VLOOKUP($A350,Table1[#This Row],COLUMN(E349), FALSE)</f>
        <v>Germany</v>
      </c>
      <c r="F350" t="str">
        <f>VLOOKUP($A350,Table1[#This Row],COLUMN(F349), FALSE)</f>
        <v>Western Europe</v>
      </c>
      <c r="G350" t="str">
        <f>VLOOKUP($A350,Table1[#This Row],COLUMN(G349), FALSE)</f>
        <v>Technology</v>
      </c>
      <c r="H350" t="str">
        <f>VLOOKUP($A350,Table1[#This Row],COLUMN(H349), FALSE)</f>
        <v>Chairs</v>
      </c>
      <c r="I350">
        <f>VLOOKUP($A350,Table1[#This Row],COLUMN(I349), FALSE)</f>
        <v>2875.77</v>
      </c>
      <c r="J350">
        <f>VLOOKUP($A350,Table1[#This Row],COLUMN(J349), FALSE)</f>
        <v>9</v>
      </c>
      <c r="K350">
        <f>VLOOKUP($A350,Table1[#This Row],COLUMN(K349), FALSE)</f>
        <v>0.5</v>
      </c>
      <c r="L350">
        <f>VLOOKUP($A350,Table1[#This Row],COLUMN(L349), FALSE)</f>
        <v>-1783.08</v>
      </c>
      <c r="M350" t="str">
        <f>VLOOKUP($A350,Table1[#This Row],COLUMN(M349), FALSE)</f>
        <v>High</v>
      </c>
      <c r="N350">
        <f>VLOOKUP($A350,Table1[#This Row],COLUMN(N349), FALSE)</f>
        <v>0</v>
      </c>
      <c r="O350" t="str">
        <f>VLOOKUP($A350,Table1[#This Row],COLUMN(O349), FALSE)</f>
        <v>Don Miller</v>
      </c>
      <c r="P350" t="str">
        <f>VLOOKUP($A350,Table1[#This Row],COLUMN(P349), FALSE)</f>
        <v>ES</v>
      </c>
      <c r="Q350" t="str">
        <f>VLOOKUP($A350,Table1[#This Row],COLUMN(Q349), FALSE)</f>
        <v>2013</v>
      </c>
      <c r="R350" t="str">
        <f>VLOOKUP($A350,Table1[#This Row],COLUMN(R349), FALSE)</f>
        <v>HIGH</v>
      </c>
      <c r="S350" t="str">
        <f>VLOOKUP($A350,Table1[#This Row],COLUMN(S349), FALSE)</f>
        <v>technology</v>
      </c>
      <c r="T350" t="str">
        <f>VLOOKUP($A350,Table1[#This Row],COLUMN(T349), FALSE)</f>
        <v>41369</v>
      </c>
      <c r="U350" t="str">
        <f>VLOOKUP($A350,Table1[#This Row],COLUMN(U349), FALSE)</f>
        <v>DM1352548</v>
      </c>
      <c r="V350" t="str">
        <f>VLOOKUP($A350,Table1[#This Row],COLUMN(V349), FALSE)</f>
        <v>ES</v>
      </c>
      <c r="W350">
        <f>VLOOKUP($A350,Table1[#This Row],COLUMN(W349), FALSE)</f>
        <v>2013</v>
      </c>
      <c r="X350" t="str">
        <f>VLOOKUP($A350,Table1[#This Row],COLUMN(X349), FALSE)</f>
        <v>DM1352548</v>
      </c>
      <c r="Y350">
        <f>VLOOKUP($A350,Table1[#This Row],COLUMN(Y349), FALSE)</f>
        <v>41369</v>
      </c>
      <c r="Z350" t="str">
        <f>VLOOKUP($A350,Table1[#This Row],COLUMN(Z349), FALSE)</f>
        <v>ES-2013-DM1352548-41369</v>
      </c>
      <c r="AA350">
        <f>VLOOKUP($A350,Table1[#This Row],COLUMN(AA349), FALSE)</f>
        <v>2013</v>
      </c>
      <c r="AB350">
        <f>VLOOKUP($A350,Table1[#This Row],COLUMN(AB349), FALSE)</f>
        <v>4</v>
      </c>
      <c r="AC350">
        <f>VLOOKUP($A350,Table1[#This Row],COLUMN(AC349), FALSE)</f>
        <v>6</v>
      </c>
      <c r="AD350">
        <f>VLOOKUP($A350,Table1[#This Row],COLUMN(AD349), FALSE)</f>
        <v>0</v>
      </c>
    </row>
    <row r="351" spans="1:30" ht="15.75">
      <c r="A351" s="54" t="s">
        <v>295</v>
      </c>
      <c r="B351" s="52">
        <f>VLOOKUP($A351,Table1[#This Row],COLUMN(B350), FALSE)</f>
        <v>40955</v>
      </c>
      <c r="C351" s="52">
        <f>VLOOKUP($A351,Table1[#This Row],COLUMN(C350), FALSE)</f>
        <v>40958</v>
      </c>
      <c r="D351" t="str">
        <f>VLOOKUP($A351,Table1[#This Row],COLUMN(D350), FALSE)</f>
        <v>Odella Nelson</v>
      </c>
      <c r="E351" t="str">
        <f>VLOOKUP($A351,Table1[#This Row],COLUMN(E350), FALSE)</f>
        <v>France</v>
      </c>
      <c r="F351" t="str">
        <f>VLOOKUP($A351,Table1[#This Row],COLUMN(F350), FALSE)</f>
        <v>Western Europe</v>
      </c>
      <c r="G351" t="str">
        <f>VLOOKUP($A351,Table1[#This Row],COLUMN(G350), FALSE)</f>
        <v>Furniture</v>
      </c>
      <c r="H351" t="str">
        <f>VLOOKUP($A351,Table1[#This Row],COLUMN(H350), FALSE)</f>
        <v>Copiers</v>
      </c>
      <c r="I351">
        <f>VLOOKUP($A351,Table1[#This Row],COLUMN(I350), FALSE)</f>
        <v>4544.0999999999904</v>
      </c>
      <c r="J351">
        <f>VLOOKUP($A351,Table1[#This Row],COLUMN(J350), FALSE)</f>
        <v>11</v>
      </c>
      <c r="K351">
        <f>VLOOKUP($A351,Table1[#This Row],COLUMN(K350), FALSE)</f>
        <v>0.1</v>
      </c>
      <c r="L351">
        <f>VLOOKUP($A351,Table1[#This Row],COLUMN(L350), FALSE)</f>
        <v>1868.1299999999901</v>
      </c>
      <c r="M351" t="str">
        <f>VLOOKUP($A351,Table1[#This Row],COLUMN(M350), FALSE)</f>
        <v>Medium</v>
      </c>
      <c r="N351">
        <f>VLOOKUP($A351,Table1[#This Row],COLUMN(N350), FALSE)</f>
        <v>0</v>
      </c>
      <c r="O351" t="str">
        <f>VLOOKUP($A351,Table1[#This Row],COLUMN(O350), FALSE)</f>
        <v>Odella Nelson</v>
      </c>
      <c r="P351" t="str">
        <f>VLOOKUP($A351,Table1[#This Row],COLUMN(P350), FALSE)</f>
        <v>IT</v>
      </c>
      <c r="Q351" t="str">
        <f>VLOOKUP($A351,Table1[#This Row],COLUMN(Q350), FALSE)</f>
        <v>2012</v>
      </c>
      <c r="R351" t="str">
        <f>VLOOKUP($A351,Table1[#This Row],COLUMN(R350), FALSE)</f>
        <v>MEDIUM</v>
      </c>
      <c r="S351" t="str">
        <f>VLOOKUP($A351,Table1[#This Row],COLUMN(S350), FALSE)</f>
        <v>furniture</v>
      </c>
      <c r="T351" t="str">
        <f>VLOOKUP($A351,Table1[#This Row],COLUMN(T350), FALSE)</f>
        <v>40955</v>
      </c>
      <c r="U351" t="str">
        <f>VLOOKUP($A351,Table1[#This Row],COLUMN(U350), FALSE)</f>
        <v>ON1871545</v>
      </c>
      <c r="V351" t="str">
        <f>VLOOKUP($A351,Table1[#This Row],COLUMN(V350), FALSE)</f>
        <v>IT</v>
      </c>
      <c r="W351">
        <f>VLOOKUP($A351,Table1[#This Row],COLUMN(W350), FALSE)</f>
        <v>2012</v>
      </c>
      <c r="X351" t="str">
        <f>VLOOKUP($A351,Table1[#This Row],COLUMN(X350), FALSE)</f>
        <v>ON1871545</v>
      </c>
      <c r="Y351">
        <f>VLOOKUP($A351,Table1[#This Row],COLUMN(Y350), FALSE)</f>
        <v>40955</v>
      </c>
      <c r="Z351" t="str">
        <f>VLOOKUP($A351,Table1[#This Row],COLUMN(Z350), FALSE)</f>
        <v>IT-2012-ON1871545-40955</v>
      </c>
      <c r="AA351">
        <f>VLOOKUP($A351,Table1[#This Row],COLUMN(AA350), FALSE)</f>
        <v>2012</v>
      </c>
      <c r="AB351">
        <f>VLOOKUP($A351,Table1[#This Row],COLUMN(AB350), FALSE)</f>
        <v>2</v>
      </c>
      <c r="AC351">
        <f>VLOOKUP($A351,Table1[#This Row],COLUMN(AC350), FALSE)</f>
        <v>5</v>
      </c>
      <c r="AD351">
        <f>VLOOKUP($A351,Table1[#This Row],COLUMN(AD350), FALSE)</f>
        <v>3</v>
      </c>
    </row>
    <row r="352" spans="1:30" ht="15.75">
      <c r="A352" s="53" t="s">
        <v>300</v>
      </c>
      <c r="B352" s="52">
        <f>VLOOKUP($A352,Table1[#This Row],COLUMN(B351), FALSE)</f>
        <v>41913</v>
      </c>
      <c r="C352" s="52">
        <f>VLOOKUP($A352,Table1[#This Row],COLUMN(C351), FALSE)</f>
        <v>41914</v>
      </c>
      <c r="D352" t="str">
        <f>VLOOKUP($A352,Table1[#This Row],COLUMN(D351), FALSE)</f>
        <v>Chad McGuire</v>
      </c>
      <c r="E352" t="str">
        <f>VLOOKUP($A352,Table1[#This Row],COLUMN(E351), FALSE)</f>
        <v>Australia</v>
      </c>
      <c r="F352" t="str">
        <f>VLOOKUP($A352,Table1[#This Row],COLUMN(F351), FALSE)</f>
        <v>Oceania</v>
      </c>
      <c r="G352" t="str">
        <f>VLOOKUP($A352,Table1[#This Row],COLUMN(G351), FALSE)</f>
        <v>Technology</v>
      </c>
      <c r="H352" t="str">
        <f>VLOOKUP($A352,Table1[#This Row],COLUMN(H351), FALSE)</f>
        <v>Chairs</v>
      </c>
      <c r="I352">
        <f>VLOOKUP($A352,Table1[#This Row],COLUMN(I351), FALSE)</f>
        <v>1943.19</v>
      </c>
      <c r="J352">
        <f>VLOOKUP($A352,Table1[#This Row],COLUMN(J351), FALSE)</f>
        <v>6</v>
      </c>
      <c r="K352">
        <f>VLOOKUP($A352,Table1[#This Row],COLUMN(K351), FALSE)</f>
        <v>0.1</v>
      </c>
      <c r="L352">
        <f>VLOOKUP($A352,Table1[#This Row],COLUMN(L351), FALSE)</f>
        <v>258.93</v>
      </c>
      <c r="M352" t="str">
        <f>VLOOKUP($A352,Table1[#This Row],COLUMN(M351), FALSE)</f>
        <v>High</v>
      </c>
      <c r="N352">
        <f>VLOOKUP($A352,Table1[#This Row],COLUMN(N351), FALSE)</f>
        <v>0</v>
      </c>
      <c r="O352" t="str">
        <f>VLOOKUP($A352,Table1[#This Row],COLUMN(O351), FALSE)</f>
        <v>Chad Mcguire</v>
      </c>
      <c r="P352" t="str">
        <f>VLOOKUP($A352,Table1[#This Row],COLUMN(P351), FALSE)</f>
        <v>IN</v>
      </c>
      <c r="Q352" t="str">
        <f>VLOOKUP($A352,Table1[#This Row],COLUMN(Q351), FALSE)</f>
        <v>2014</v>
      </c>
      <c r="R352" t="str">
        <f>VLOOKUP($A352,Table1[#This Row],COLUMN(R351), FALSE)</f>
        <v>HIGH</v>
      </c>
      <c r="S352" t="str">
        <f>VLOOKUP($A352,Table1[#This Row],COLUMN(S351), FALSE)</f>
        <v>technology</v>
      </c>
      <c r="T352" t="str">
        <f>VLOOKUP($A352,Table1[#This Row],COLUMN(T351), FALSE)</f>
        <v>41913</v>
      </c>
      <c r="U352" t="str">
        <f>VLOOKUP($A352,Table1[#This Row],COLUMN(U351), FALSE)</f>
        <v>CM121157</v>
      </c>
      <c r="V352" t="str">
        <f>VLOOKUP($A352,Table1[#This Row],COLUMN(V351), FALSE)</f>
        <v>IN</v>
      </c>
      <c r="W352">
        <f>VLOOKUP($A352,Table1[#This Row],COLUMN(W351), FALSE)</f>
        <v>2014</v>
      </c>
      <c r="X352" t="str">
        <f>VLOOKUP($A352,Table1[#This Row],COLUMN(X351), FALSE)</f>
        <v>CM121157</v>
      </c>
      <c r="Y352">
        <f>VLOOKUP($A352,Table1[#This Row],COLUMN(Y351), FALSE)</f>
        <v>41913</v>
      </c>
      <c r="Z352" t="str">
        <f>VLOOKUP($A352,Table1[#This Row],COLUMN(Z351), FALSE)</f>
        <v>IN-2014-CM121157-41913</v>
      </c>
      <c r="AA352">
        <f>VLOOKUP($A352,Table1[#This Row],COLUMN(AA351), FALSE)</f>
        <v>2014</v>
      </c>
      <c r="AB352">
        <f>VLOOKUP($A352,Table1[#This Row],COLUMN(AB351), FALSE)</f>
        <v>10</v>
      </c>
      <c r="AC352">
        <f>VLOOKUP($A352,Table1[#This Row],COLUMN(AC351), FALSE)</f>
        <v>4</v>
      </c>
      <c r="AD352">
        <f>VLOOKUP($A352,Table1[#This Row],COLUMN(AD351), FALSE)</f>
        <v>1</v>
      </c>
    </row>
    <row r="353" spans="1:30" ht="15.75">
      <c r="A353" s="54" t="s">
        <v>302</v>
      </c>
      <c r="B353" s="52">
        <f>VLOOKUP($A353,Table1[#This Row],COLUMN(B352), FALSE)</f>
        <v>42315</v>
      </c>
      <c r="C353" s="52">
        <f>VLOOKUP($A353,Table1[#This Row],COLUMN(C352), FALSE)</f>
        <v>42322</v>
      </c>
      <c r="D353" t="str">
        <f>VLOOKUP($A353,Table1[#This Row],COLUMN(D352), FALSE)</f>
        <v>Adam Bellavance</v>
      </c>
      <c r="E353" t="str">
        <f>VLOOKUP($A353,Table1[#This Row],COLUMN(E352), FALSE)</f>
        <v xml:space="preserve"> United States </v>
      </c>
      <c r="F353" t="str">
        <f>VLOOKUP($A353,Table1[#This Row],COLUMN(F352), FALSE)</f>
        <v>Western US</v>
      </c>
      <c r="G353" t="str">
        <f>VLOOKUP($A353,Table1[#This Row],COLUMN(G352), FALSE)</f>
        <v>Furniture</v>
      </c>
      <c r="H353" t="str">
        <f>VLOOKUP($A353,Table1[#This Row],COLUMN(H352), FALSE)</f>
        <v>Bookcases</v>
      </c>
      <c r="I353">
        <f>VLOOKUP($A353,Table1[#This Row],COLUMN(I352), FALSE)</f>
        <v>2036.86</v>
      </c>
      <c r="J353">
        <f>VLOOKUP($A353,Table1[#This Row],COLUMN(J352), FALSE)</f>
        <v>7</v>
      </c>
      <c r="K353">
        <f>VLOOKUP($A353,Table1[#This Row],COLUMN(K352), FALSE)</f>
        <v>0</v>
      </c>
      <c r="L353">
        <f>VLOOKUP($A353,Table1[#This Row],COLUMN(L352), FALSE)</f>
        <v>366.63479999999902</v>
      </c>
      <c r="M353" t="str">
        <f>VLOOKUP($A353,Table1[#This Row],COLUMN(M352), FALSE)</f>
        <v>Low</v>
      </c>
      <c r="N353">
        <f>VLOOKUP($A353,Table1[#This Row],COLUMN(N352), FALSE)</f>
        <v>0</v>
      </c>
      <c r="O353" t="str">
        <f>VLOOKUP($A353,Table1[#This Row],COLUMN(O352), FALSE)</f>
        <v>Adam Bellavance</v>
      </c>
      <c r="P353" t="str">
        <f>VLOOKUP($A353,Table1[#This Row],COLUMN(P352), FALSE)</f>
        <v>CA</v>
      </c>
      <c r="Q353" t="str">
        <f>VLOOKUP($A353,Table1[#This Row],COLUMN(Q352), FALSE)</f>
        <v>2015</v>
      </c>
      <c r="R353" t="str">
        <f>VLOOKUP($A353,Table1[#This Row],COLUMN(R352), FALSE)</f>
        <v>LOW</v>
      </c>
      <c r="S353" t="str">
        <f>VLOOKUP($A353,Table1[#This Row],COLUMN(S352), FALSE)</f>
        <v>furniture</v>
      </c>
      <c r="T353" t="str">
        <f>VLOOKUP($A353,Table1[#This Row],COLUMN(T352), FALSE)</f>
        <v>42315</v>
      </c>
      <c r="U353" t="str">
        <f>VLOOKUP($A353,Table1[#This Row],COLUMN(U352), FALSE)</f>
        <v>AB10060140</v>
      </c>
      <c r="V353" t="str">
        <f>VLOOKUP($A353,Table1[#This Row],COLUMN(V352), FALSE)</f>
        <v>CA</v>
      </c>
      <c r="W353">
        <f>VLOOKUP($A353,Table1[#This Row],COLUMN(W352), FALSE)</f>
        <v>2015</v>
      </c>
      <c r="X353" t="str">
        <f>VLOOKUP($A353,Table1[#This Row],COLUMN(X352), FALSE)</f>
        <v>AB10060140</v>
      </c>
      <c r="Y353">
        <f>VLOOKUP($A353,Table1[#This Row],COLUMN(Y352), FALSE)</f>
        <v>42315</v>
      </c>
      <c r="Z353" t="str">
        <f>VLOOKUP($A353,Table1[#This Row],COLUMN(Z352), FALSE)</f>
        <v>CA-2015-AB10060140-42315</v>
      </c>
      <c r="AA353">
        <f>VLOOKUP($A353,Table1[#This Row],COLUMN(AA352), FALSE)</f>
        <v>2015</v>
      </c>
      <c r="AB353">
        <f>VLOOKUP($A353,Table1[#This Row],COLUMN(AB352), FALSE)</f>
        <v>11</v>
      </c>
      <c r="AC353">
        <f>VLOOKUP($A353,Table1[#This Row],COLUMN(AC352), FALSE)</f>
        <v>7</v>
      </c>
      <c r="AD353">
        <f>VLOOKUP($A353,Table1[#This Row],COLUMN(AD352), FALSE)</f>
        <v>7</v>
      </c>
    </row>
    <row r="354" spans="1:30" ht="15.75">
      <c r="A354" s="53" t="s">
        <v>306</v>
      </c>
      <c r="B354" s="52">
        <f>VLOOKUP($A354,Table1[#This Row],COLUMN(B353), FALSE)</f>
        <v>42081</v>
      </c>
      <c r="C354" s="52" t="str">
        <f>VLOOKUP($A354,Table1[#This Row],COLUMN(C353), FALSE)</f>
        <v>2015-032-1</v>
      </c>
      <c r="D354" t="str">
        <f>VLOOKUP($A354,Table1[#This Row],COLUMN(D353), FALSE)</f>
        <v>Rachel Payne</v>
      </c>
      <c r="E354" t="str">
        <f>VLOOKUP($A354,Table1[#This Row],COLUMN(E353), FALSE)</f>
        <v>France</v>
      </c>
      <c r="F354" t="str">
        <f>VLOOKUP($A354,Table1[#This Row],COLUMN(F353), FALSE)</f>
        <v>Western Europe</v>
      </c>
      <c r="G354" t="str">
        <f>VLOOKUP($A354,Table1[#This Row],COLUMN(G353), FALSE)</f>
        <v>Technology</v>
      </c>
      <c r="H354" t="str">
        <f>VLOOKUP($A354,Table1[#This Row],COLUMN(H353), FALSE)</f>
        <v>Binders</v>
      </c>
      <c r="I354">
        <f>VLOOKUP($A354,Table1[#This Row],COLUMN(I353), FALSE)</f>
        <v>1505.97899999999</v>
      </c>
      <c r="J354">
        <f>VLOOKUP($A354,Table1[#This Row],COLUMN(J353), FALSE)</f>
        <v>6</v>
      </c>
      <c r="K354">
        <f>VLOOKUP($A354,Table1[#This Row],COLUMN(K353), FALSE)</f>
        <v>0.15</v>
      </c>
      <c r="L354">
        <f>VLOOKUP($A354,Table1[#This Row],COLUMN(L353), FALSE)</f>
        <v>-265.760999999999</v>
      </c>
      <c r="M354" t="str">
        <f>VLOOKUP($A354,Table1[#This Row],COLUMN(M353), FALSE)</f>
        <v>Critical</v>
      </c>
      <c r="N354">
        <f>VLOOKUP($A354,Table1[#This Row],COLUMN(N353), FALSE)</f>
        <v>0</v>
      </c>
      <c r="O354" t="str">
        <f>VLOOKUP($A354,Table1[#This Row],COLUMN(O353), FALSE)</f>
        <v>Rachel Payne</v>
      </c>
      <c r="P354" t="str">
        <f>VLOOKUP($A354,Table1[#This Row],COLUMN(P353), FALSE)</f>
        <v>IT</v>
      </c>
      <c r="Q354" t="str">
        <f>VLOOKUP($A354,Table1[#This Row],COLUMN(Q353), FALSE)</f>
        <v>2015</v>
      </c>
      <c r="R354" t="str">
        <f>VLOOKUP($A354,Table1[#This Row],COLUMN(R353), FALSE)</f>
        <v>CRITICAL</v>
      </c>
      <c r="S354" t="str">
        <f>VLOOKUP($A354,Table1[#This Row],COLUMN(S353), FALSE)</f>
        <v>technology</v>
      </c>
      <c r="T354" t="str">
        <f>VLOOKUP($A354,Table1[#This Row],COLUMN(T353), FALSE)</f>
        <v>42081</v>
      </c>
      <c r="U354" t="str">
        <f>VLOOKUP($A354,Table1[#This Row],COLUMN(U353), FALSE)</f>
        <v>RP1927045</v>
      </c>
      <c r="V354" t="str">
        <f>VLOOKUP($A354,Table1[#This Row],COLUMN(V353), FALSE)</f>
        <v>IT</v>
      </c>
      <c r="W354">
        <f>VLOOKUP($A354,Table1[#This Row],COLUMN(W353), FALSE)</f>
        <v>2015</v>
      </c>
      <c r="X354" t="str">
        <f>VLOOKUP($A354,Table1[#This Row],COLUMN(X353), FALSE)</f>
        <v>RP1927045</v>
      </c>
      <c r="Y354">
        <f>VLOOKUP($A354,Table1[#This Row],COLUMN(Y353), FALSE)</f>
        <v>42081</v>
      </c>
      <c r="Z354" t="str">
        <f>VLOOKUP($A354,Table1[#This Row],COLUMN(Z353), FALSE)</f>
        <v>IT-2015-RP1927045-42081</v>
      </c>
      <c r="AA354">
        <f>VLOOKUP($A354,Table1[#This Row],COLUMN(AA353), FALSE)</f>
        <v>2015</v>
      </c>
      <c r="AB354">
        <f>VLOOKUP($A354,Table1[#This Row],COLUMN(AB353), FALSE)</f>
        <v>3</v>
      </c>
      <c r="AC354">
        <f>VLOOKUP($A354,Table1[#This Row],COLUMN(AC353), FALSE)</f>
        <v>4</v>
      </c>
      <c r="AD354">
        <f>VLOOKUP($A354,Table1[#This Row],COLUMN(AD353), FALSE)</f>
        <v>0</v>
      </c>
    </row>
    <row r="355" spans="1:30" ht="15.75">
      <c r="A355" s="54" t="s">
        <v>313</v>
      </c>
      <c r="B355" s="52">
        <f>VLOOKUP($A355,Table1[#This Row],COLUMN(B354), FALSE)</f>
        <v>42265</v>
      </c>
      <c r="C355" s="52">
        <f>VLOOKUP($A355,Table1[#This Row],COLUMN(C354), FALSE)</f>
        <v>42265</v>
      </c>
      <c r="D355" t="str">
        <f>VLOOKUP($A355,Table1[#This Row],COLUMN(D354), FALSE)</f>
        <v>Gary McGarr</v>
      </c>
      <c r="E355" t="str">
        <f>VLOOKUP($A355,Table1[#This Row],COLUMN(E354), FALSE)</f>
        <v>Ecuador</v>
      </c>
      <c r="F355" t="str">
        <f>VLOOKUP($A355,Table1[#This Row],COLUMN(F354), FALSE)</f>
        <v>South America</v>
      </c>
      <c r="G355" t="str">
        <f>VLOOKUP($A355,Table1[#This Row],COLUMN(G354), FALSE)</f>
        <v>Technology</v>
      </c>
      <c r="H355" t="str">
        <f>VLOOKUP($A355,Table1[#This Row],COLUMN(H354), FALSE)</f>
        <v>Copiers</v>
      </c>
      <c r="I355">
        <f>VLOOKUP($A355,Table1[#This Row],COLUMN(I354), FALSE)</f>
        <v>1213.18876</v>
      </c>
      <c r="J355">
        <f>VLOOKUP($A355,Table1[#This Row],COLUMN(J354), FALSE)</f>
        <v>7</v>
      </c>
      <c r="K355">
        <f>VLOOKUP($A355,Table1[#This Row],COLUMN(K354), FALSE)</f>
        <v>2E-3</v>
      </c>
      <c r="L355">
        <f>VLOOKUP($A355,Table1[#This Row],COLUMN(L354), FALSE)</f>
        <v>508.00876</v>
      </c>
      <c r="M355" t="str">
        <f>VLOOKUP($A355,Table1[#This Row],COLUMN(M354), FALSE)</f>
        <v>Critical</v>
      </c>
      <c r="N355">
        <f>VLOOKUP($A355,Table1[#This Row],COLUMN(N354), FALSE)</f>
        <v>0</v>
      </c>
      <c r="O355" t="str">
        <f>VLOOKUP($A355,Table1[#This Row],COLUMN(O354), FALSE)</f>
        <v>Gary Mcgarr</v>
      </c>
      <c r="P355" t="str">
        <f>VLOOKUP($A355,Table1[#This Row],COLUMN(P354), FALSE)</f>
        <v>MX</v>
      </c>
      <c r="Q355" t="str">
        <f>VLOOKUP($A355,Table1[#This Row],COLUMN(Q354), FALSE)</f>
        <v>2015</v>
      </c>
      <c r="R355" t="str">
        <f>VLOOKUP($A355,Table1[#This Row],COLUMN(R354), FALSE)</f>
        <v>CRITICAL</v>
      </c>
      <c r="S355" t="str">
        <f>VLOOKUP($A355,Table1[#This Row],COLUMN(S354), FALSE)</f>
        <v>technology</v>
      </c>
      <c r="T355" t="str">
        <f>VLOOKUP($A355,Table1[#This Row],COLUMN(T354), FALSE)</f>
        <v>2265#</v>
      </c>
      <c r="U355" t="str">
        <f>VLOOKUP($A355,Table1[#This Row],COLUMN(U354), FALSE)</f>
        <v>GM1444037</v>
      </c>
      <c r="V355" t="str">
        <f>VLOOKUP($A355,Table1[#This Row],COLUMN(V354), FALSE)</f>
        <v>MX</v>
      </c>
      <c r="W355">
        <f>VLOOKUP($A355,Table1[#This Row],COLUMN(W354), FALSE)</f>
        <v>2015</v>
      </c>
      <c r="X355" t="str">
        <f>VLOOKUP($A355,Table1[#This Row],COLUMN(X354), FALSE)</f>
        <v>GM1444037</v>
      </c>
      <c r="Y355" t="str">
        <f>VLOOKUP($A355,Table1[#This Row],COLUMN(Y354), FALSE)</f>
        <v>42265#</v>
      </c>
      <c r="Z355" t="str">
        <f>VLOOKUP($A355,Table1[#This Row],COLUMN(Z354), FALSE)</f>
        <v>MX-2015-GM1444037-42265#</v>
      </c>
      <c r="AA355">
        <f>VLOOKUP($A355,Table1[#This Row],COLUMN(AA354), FALSE)</f>
        <v>2015</v>
      </c>
      <c r="AB355">
        <f>VLOOKUP($A355,Table1[#This Row],COLUMN(AB354), FALSE)</f>
        <v>9</v>
      </c>
      <c r="AC355">
        <f>VLOOKUP($A355,Table1[#This Row],COLUMN(AC354), FALSE)</f>
        <v>6</v>
      </c>
      <c r="AD355">
        <f>VLOOKUP($A355,Table1[#This Row],COLUMN(AD354), FALSE)</f>
        <v>0</v>
      </c>
    </row>
    <row r="356" spans="1:30" ht="15.75">
      <c r="A356" s="53" t="s">
        <v>319</v>
      </c>
      <c r="B356" s="52">
        <f>VLOOKUP($A356,Table1[#This Row],COLUMN(B355), FALSE)</f>
        <v>42204</v>
      </c>
      <c r="C356" s="52">
        <f>VLOOKUP($A356,Table1[#This Row],COLUMN(C355), FALSE)</f>
        <v>42208</v>
      </c>
      <c r="D356" t="str">
        <f>VLOOKUP($A356,Table1[#This Row],COLUMN(D355), FALSE)</f>
        <v>Julie Kriz</v>
      </c>
      <c r="E356" t="str">
        <f>VLOOKUP($A356,Table1[#This Row],COLUMN(E355), FALSE)</f>
        <v>Indonesia</v>
      </c>
      <c r="F356" t="str">
        <f>VLOOKUP($A356,Table1[#This Row],COLUMN(F355), FALSE)</f>
        <v>Southeastern Asia</v>
      </c>
      <c r="G356" t="str">
        <f>VLOOKUP($A356,Table1[#This Row],COLUMN(G355), FALSE)</f>
        <v>Furniture</v>
      </c>
      <c r="H356" t="str">
        <f>VLOOKUP($A356,Table1[#This Row],COLUMN(H355), FALSE)</f>
        <v>Copiers</v>
      </c>
      <c r="I356">
        <f>VLOOKUP($A356,Table1[#This Row],COLUMN(I355), FALSE)</f>
        <v>3278.5847999999901</v>
      </c>
      <c r="J356">
        <f>VLOOKUP($A356,Table1[#This Row],COLUMN(J355), FALSE)</f>
        <v>8</v>
      </c>
      <c r="K356">
        <f>VLOOKUP($A356,Table1[#This Row],COLUMN(K355), FALSE)</f>
        <v>7.0000000000000007E-2</v>
      </c>
      <c r="L356">
        <f>VLOOKUP($A356,Table1[#This Row],COLUMN(L355), FALSE)</f>
        <v>140.82479999999899</v>
      </c>
      <c r="M356" t="str">
        <f>VLOOKUP($A356,Table1[#This Row],COLUMN(M355), FALSE)</f>
        <v>High</v>
      </c>
      <c r="N356">
        <f>VLOOKUP($A356,Table1[#This Row],COLUMN(N355), FALSE)</f>
        <v>0</v>
      </c>
      <c r="O356" t="str">
        <f>VLOOKUP($A356,Table1[#This Row],COLUMN(O355), FALSE)</f>
        <v>Julie Kriz</v>
      </c>
      <c r="P356" t="str">
        <f>VLOOKUP($A356,Table1[#This Row],COLUMN(P355), FALSE)</f>
        <v>IN</v>
      </c>
      <c r="Q356" t="str">
        <f>VLOOKUP($A356,Table1[#This Row],COLUMN(Q355), FALSE)</f>
        <v>2015</v>
      </c>
      <c r="R356" t="str">
        <f>VLOOKUP($A356,Table1[#This Row],COLUMN(R355), FALSE)</f>
        <v>HIGH</v>
      </c>
      <c r="S356" t="str">
        <f>VLOOKUP($A356,Table1[#This Row],COLUMN(S355), FALSE)</f>
        <v>furniture</v>
      </c>
      <c r="T356" t="str">
        <f>VLOOKUP($A356,Table1[#This Row],COLUMN(T355), FALSE)</f>
        <v>42204</v>
      </c>
      <c r="U356" t="str">
        <f>VLOOKUP($A356,Table1[#This Row],COLUMN(U355), FALSE)</f>
        <v>JK1612059</v>
      </c>
      <c r="V356" t="str">
        <f>VLOOKUP($A356,Table1[#This Row],COLUMN(V355), FALSE)</f>
        <v>IN</v>
      </c>
      <c r="W356">
        <f>VLOOKUP($A356,Table1[#This Row],COLUMN(W355), FALSE)</f>
        <v>2015</v>
      </c>
      <c r="X356" t="str">
        <f>VLOOKUP($A356,Table1[#This Row],COLUMN(X355), FALSE)</f>
        <v>JK1612059</v>
      </c>
      <c r="Y356">
        <f>VLOOKUP($A356,Table1[#This Row],COLUMN(Y355), FALSE)</f>
        <v>42204</v>
      </c>
      <c r="Z356" t="str">
        <f>VLOOKUP($A356,Table1[#This Row],COLUMN(Z355), FALSE)</f>
        <v>IN-2015-JK1612059-42204</v>
      </c>
      <c r="AA356">
        <f>VLOOKUP($A356,Table1[#This Row],COLUMN(AA355), FALSE)</f>
        <v>2015</v>
      </c>
      <c r="AB356">
        <f>VLOOKUP($A356,Table1[#This Row],COLUMN(AB355), FALSE)</f>
        <v>7</v>
      </c>
      <c r="AC356">
        <f>VLOOKUP($A356,Table1[#This Row],COLUMN(AC355), FALSE)</f>
        <v>1</v>
      </c>
      <c r="AD356">
        <f>VLOOKUP($A356,Table1[#This Row],COLUMN(AD355), FALSE)</f>
        <v>4</v>
      </c>
    </row>
    <row r="357" spans="1:30" ht="15.75">
      <c r="A357" s="54" t="s">
        <v>321</v>
      </c>
      <c r="B357" s="52">
        <f>VLOOKUP($A357,Table1[#This Row],COLUMN(B356), FALSE)</f>
        <v>41502</v>
      </c>
      <c r="C357" s="52">
        <f>VLOOKUP($A357,Table1[#This Row],COLUMN(C356), FALSE)</f>
        <v>41502</v>
      </c>
      <c r="D357" t="str">
        <f>VLOOKUP($A357,Table1[#This Row],COLUMN(D356), FALSE)</f>
        <v>Evan Minnotte</v>
      </c>
      <c r="E357" t="str">
        <f>VLOOKUP($A357,Table1[#This Row],COLUMN(E356), FALSE)</f>
        <v>Thailand</v>
      </c>
      <c r="F357" t="str">
        <f>VLOOKUP($A357,Table1[#This Row],COLUMN(F356), FALSE)</f>
        <v>Southeastern Asia</v>
      </c>
      <c r="G357" t="str">
        <f>VLOOKUP($A357,Table1[#This Row],COLUMN(G356), FALSE)</f>
        <v>Technology</v>
      </c>
      <c r="H357" t="str">
        <f>VLOOKUP($A357,Table1[#This Row],COLUMN(H356), FALSE)</f>
        <v>Accessories</v>
      </c>
      <c r="I357">
        <f>VLOOKUP($A357,Table1[#This Row],COLUMN(I356), FALSE)</f>
        <v>3741.5237999999899</v>
      </c>
      <c r="J357">
        <f>VLOOKUP($A357,Table1[#This Row],COLUMN(J356), FALSE)</f>
        <v>7</v>
      </c>
      <c r="K357">
        <f>VLOOKUP($A357,Table1[#This Row],COLUMN(K356), FALSE)</f>
        <v>0.17</v>
      </c>
      <c r="L357">
        <f>VLOOKUP($A357,Table1[#This Row],COLUMN(L356), FALSE)</f>
        <v>946.63379999999904</v>
      </c>
      <c r="M357" t="str">
        <f>VLOOKUP($A357,Table1[#This Row],COLUMN(M356), FALSE)</f>
        <v>High</v>
      </c>
      <c r="N357">
        <f>VLOOKUP($A357,Table1[#This Row],COLUMN(N356), FALSE)</f>
        <v>0</v>
      </c>
      <c r="O357" t="str">
        <f>VLOOKUP($A357,Table1[#This Row],COLUMN(O356), FALSE)</f>
        <v>Evan Minnotte</v>
      </c>
      <c r="P357" t="str">
        <f>VLOOKUP($A357,Table1[#This Row],COLUMN(P356), FALSE)</f>
        <v>ID</v>
      </c>
      <c r="Q357" t="str">
        <f>VLOOKUP($A357,Table1[#This Row],COLUMN(Q356), FALSE)</f>
        <v>2013</v>
      </c>
      <c r="R357" t="str">
        <f>VLOOKUP($A357,Table1[#This Row],COLUMN(R356), FALSE)</f>
        <v>HIGH</v>
      </c>
      <c r="S357" t="str">
        <f>VLOOKUP($A357,Table1[#This Row],COLUMN(S356), FALSE)</f>
        <v>technology</v>
      </c>
      <c r="T357" t="str">
        <f>VLOOKUP($A357,Table1[#This Row],COLUMN(T356), FALSE)</f>
        <v>41502</v>
      </c>
      <c r="U357" t="str">
        <f>VLOOKUP($A357,Table1[#This Row],COLUMN(U356), FALSE)</f>
        <v>EM14200130</v>
      </c>
      <c r="V357" t="str">
        <f>VLOOKUP($A357,Table1[#This Row],COLUMN(V356), FALSE)</f>
        <v>ID</v>
      </c>
      <c r="W357">
        <f>VLOOKUP($A357,Table1[#This Row],COLUMN(W356), FALSE)</f>
        <v>2013</v>
      </c>
      <c r="X357" t="str">
        <f>VLOOKUP($A357,Table1[#This Row],COLUMN(X356), FALSE)</f>
        <v>EM14200130</v>
      </c>
      <c r="Y357">
        <f>VLOOKUP($A357,Table1[#This Row],COLUMN(Y356), FALSE)</f>
        <v>41502</v>
      </c>
      <c r="Z357" t="str">
        <f>VLOOKUP($A357,Table1[#This Row],COLUMN(Z356), FALSE)</f>
        <v>ID-2013-EM14200130-41502</v>
      </c>
      <c r="AA357">
        <f>VLOOKUP($A357,Table1[#This Row],COLUMN(AA356), FALSE)</f>
        <v>2013</v>
      </c>
      <c r="AB357">
        <f>VLOOKUP($A357,Table1[#This Row],COLUMN(AB356), FALSE)</f>
        <v>8</v>
      </c>
      <c r="AC357">
        <f>VLOOKUP($A357,Table1[#This Row],COLUMN(AC356), FALSE)</f>
        <v>6</v>
      </c>
      <c r="AD357">
        <f>VLOOKUP($A357,Table1[#This Row],COLUMN(AD356), FALSE)</f>
        <v>0</v>
      </c>
    </row>
    <row r="358" spans="1:30" ht="15.75">
      <c r="A358" s="53" t="s">
        <v>323</v>
      </c>
      <c r="B358" s="52">
        <f>VLOOKUP($A358,Table1[#This Row],COLUMN(B357), FALSE)</f>
        <v>41284</v>
      </c>
      <c r="C358" s="52">
        <f>VLOOKUP($A358,Table1[#This Row],COLUMN(C357), FALSE)</f>
        <v>41288</v>
      </c>
      <c r="D358" t="str">
        <f>VLOOKUP($A358,Table1[#This Row],COLUMN(D357), FALSE)</f>
        <v>Paul MacIntyre</v>
      </c>
      <c r="E358" t="str">
        <f>VLOOKUP($A358,Table1[#This Row],COLUMN(E357), FALSE)</f>
        <v>Indonesia</v>
      </c>
      <c r="F358" t="str">
        <f>VLOOKUP($A358,Table1[#This Row],COLUMN(F357), FALSE)</f>
        <v>Southeastern Asia</v>
      </c>
      <c r="G358" t="str">
        <f>VLOOKUP($A358,Table1[#This Row],COLUMN(G357), FALSE)</f>
        <v>Furniture</v>
      </c>
      <c r="H358" t="str">
        <f>VLOOKUP($A358,Table1[#This Row],COLUMN(H357), FALSE)</f>
        <v>Phones</v>
      </c>
      <c r="I358">
        <f>VLOOKUP($A358,Table1[#This Row],COLUMN(I357), FALSE)</f>
        <v>3637.6019999999899</v>
      </c>
      <c r="J358">
        <f>VLOOKUP($A358,Table1[#This Row],COLUMN(J357), FALSE)</f>
        <v>10</v>
      </c>
      <c r="K358">
        <f>VLOOKUP($A358,Table1[#This Row],COLUMN(K357), FALSE)</f>
        <v>7.0000000000000007E-2</v>
      </c>
      <c r="L358">
        <f>VLOOKUP($A358,Table1[#This Row],COLUMN(L357), FALSE)</f>
        <v>156.40199999999899</v>
      </c>
      <c r="M358" t="str">
        <f>VLOOKUP($A358,Table1[#This Row],COLUMN(M357), FALSE)</f>
        <v>High</v>
      </c>
      <c r="N358">
        <f>VLOOKUP($A358,Table1[#This Row],COLUMN(N357), FALSE)</f>
        <v>0</v>
      </c>
      <c r="O358" t="str">
        <f>VLOOKUP($A358,Table1[#This Row],COLUMN(O357), FALSE)</f>
        <v>Paul Macintyre</v>
      </c>
      <c r="P358" t="str">
        <f>VLOOKUP($A358,Table1[#This Row],COLUMN(P357), FALSE)</f>
        <v>IN</v>
      </c>
      <c r="Q358" t="str">
        <f>VLOOKUP($A358,Table1[#This Row],COLUMN(Q357), FALSE)</f>
        <v>2013</v>
      </c>
      <c r="R358" t="str">
        <f>VLOOKUP($A358,Table1[#This Row],COLUMN(R357), FALSE)</f>
        <v>HIGH</v>
      </c>
      <c r="S358" t="str">
        <f>VLOOKUP($A358,Table1[#This Row],COLUMN(S357), FALSE)</f>
        <v>furniture</v>
      </c>
      <c r="T358" t="str">
        <f>VLOOKUP($A358,Table1[#This Row],COLUMN(T357), FALSE)</f>
        <v>41284</v>
      </c>
      <c r="U358" t="str">
        <f>VLOOKUP($A358,Table1[#This Row],COLUMN(U357), FALSE)</f>
        <v>PM1894059</v>
      </c>
      <c r="V358" t="str">
        <f>VLOOKUP($A358,Table1[#This Row],COLUMN(V357), FALSE)</f>
        <v>IN</v>
      </c>
      <c r="W358">
        <f>VLOOKUP($A358,Table1[#This Row],COLUMN(W357), FALSE)</f>
        <v>2013</v>
      </c>
      <c r="X358" t="str">
        <f>VLOOKUP($A358,Table1[#This Row],COLUMN(X357), FALSE)</f>
        <v>PM1894059</v>
      </c>
      <c r="Y358">
        <f>VLOOKUP($A358,Table1[#This Row],COLUMN(Y357), FALSE)</f>
        <v>41284</v>
      </c>
      <c r="Z358" t="str">
        <f>VLOOKUP($A358,Table1[#This Row],COLUMN(Z357), FALSE)</f>
        <v>IN-2013-PM1894059-41284</v>
      </c>
      <c r="AA358">
        <f>VLOOKUP($A358,Table1[#This Row],COLUMN(AA357), FALSE)</f>
        <v>2013</v>
      </c>
      <c r="AB358">
        <f>VLOOKUP($A358,Table1[#This Row],COLUMN(AB357), FALSE)</f>
        <v>1</v>
      </c>
      <c r="AC358">
        <f>VLOOKUP($A358,Table1[#This Row],COLUMN(AC357), FALSE)</f>
        <v>5</v>
      </c>
      <c r="AD358">
        <f>VLOOKUP($A358,Table1[#This Row],COLUMN(AD357), FALSE)</f>
        <v>4</v>
      </c>
    </row>
    <row r="359" spans="1:30" ht="15.75">
      <c r="A359" s="54" t="s">
        <v>327</v>
      </c>
      <c r="B359" s="52">
        <f>VLOOKUP($A359,Table1[#This Row],COLUMN(B358), FALSE)</f>
        <v>41614</v>
      </c>
      <c r="C359" s="52">
        <f>VLOOKUP($A359,Table1[#This Row],COLUMN(C358), FALSE)</f>
        <v>41616</v>
      </c>
      <c r="D359" t="str">
        <f>VLOOKUP($A359,Table1[#This Row],COLUMN(D358), FALSE)</f>
        <v>Paul Van Hugh</v>
      </c>
      <c r="E359" t="str">
        <f>VLOOKUP($A359,Table1[#This Row],COLUMN(E358), FALSE)</f>
        <v>Brazil</v>
      </c>
      <c r="F359" t="str">
        <f>VLOOKUP($A359,Table1[#This Row],COLUMN(F358), FALSE)</f>
        <v>South America</v>
      </c>
      <c r="G359" t="str">
        <f>VLOOKUP($A359,Table1[#This Row],COLUMN(G358), FALSE)</f>
        <v>Technology</v>
      </c>
      <c r="H359" t="str">
        <f>VLOOKUP($A359,Table1[#This Row],COLUMN(H358), FALSE)</f>
        <v>Chairs</v>
      </c>
      <c r="I359">
        <f>VLOOKUP($A359,Table1[#This Row],COLUMN(I358), FALSE)</f>
        <v>2297.96</v>
      </c>
      <c r="J359">
        <f>VLOOKUP($A359,Table1[#This Row],COLUMN(J358), FALSE)</f>
        <v>14</v>
      </c>
      <c r="K359">
        <f>VLOOKUP($A359,Table1[#This Row],COLUMN(K358), FALSE)</f>
        <v>0</v>
      </c>
      <c r="L359">
        <f>VLOOKUP($A359,Table1[#This Row],COLUMN(L358), FALSE)</f>
        <v>988.11999999999898</v>
      </c>
      <c r="M359" t="str">
        <f>VLOOKUP($A359,Table1[#This Row],COLUMN(M358), FALSE)</f>
        <v>High</v>
      </c>
      <c r="N359">
        <f>VLOOKUP($A359,Table1[#This Row],COLUMN(N358), FALSE)</f>
        <v>0</v>
      </c>
      <c r="O359" t="str">
        <f>VLOOKUP($A359,Table1[#This Row],COLUMN(O358), FALSE)</f>
        <v>Paul Van Hugh</v>
      </c>
      <c r="P359" t="str">
        <f>VLOOKUP($A359,Table1[#This Row],COLUMN(P358), FALSE)</f>
        <v>MX</v>
      </c>
      <c r="Q359" t="str">
        <f>VLOOKUP($A359,Table1[#This Row],COLUMN(Q358), FALSE)</f>
        <v>2013</v>
      </c>
      <c r="R359" t="str">
        <f>VLOOKUP($A359,Table1[#This Row],COLUMN(R358), FALSE)</f>
        <v>HIGH</v>
      </c>
      <c r="S359" t="str">
        <f>VLOOKUP($A359,Table1[#This Row],COLUMN(S358), FALSE)</f>
        <v>technology</v>
      </c>
      <c r="T359" t="str">
        <f>VLOOKUP($A359,Table1[#This Row],COLUMN(T358), FALSE)</f>
        <v>41614</v>
      </c>
      <c r="U359" t="str">
        <f>VLOOKUP($A359,Table1[#This Row],COLUMN(U358), FALSE)</f>
        <v>PV1898518</v>
      </c>
      <c r="V359" t="str">
        <f>VLOOKUP($A359,Table1[#This Row],COLUMN(V358), FALSE)</f>
        <v>MX</v>
      </c>
      <c r="W359">
        <f>VLOOKUP($A359,Table1[#This Row],COLUMN(W358), FALSE)</f>
        <v>2013</v>
      </c>
      <c r="X359" t="str">
        <f>VLOOKUP($A359,Table1[#This Row],COLUMN(X358), FALSE)</f>
        <v>PV1898518</v>
      </c>
      <c r="Y359">
        <f>VLOOKUP($A359,Table1[#This Row],COLUMN(Y358), FALSE)</f>
        <v>41614</v>
      </c>
      <c r="Z359" t="str">
        <f>VLOOKUP($A359,Table1[#This Row],COLUMN(Z358), FALSE)</f>
        <v>MX-2013-PV1898518-41614</v>
      </c>
      <c r="AA359">
        <f>VLOOKUP($A359,Table1[#This Row],COLUMN(AA358), FALSE)</f>
        <v>2013</v>
      </c>
      <c r="AB359">
        <f>VLOOKUP($A359,Table1[#This Row],COLUMN(AB358), FALSE)</f>
        <v>12</v>
      </c>
      <c r="AC359">
        <f>VLOOKUP($A359,Table1[#This Row],COLUMN(AC358), FALSE)</f>
        <v>6</v>
      </c>
      <c r="AD359">
        <f>VLOOKUP($A359,Table1[#This Row],COLUMN(AD358), FALSE)</f>
        <v>2</v>
      </c>
    </row>
    <row r="360" spans="1:30" ht="15.75">
      <c r="A360" s="53" t="s">
        <v>331</v>
      </c>
      <c r="B360" s="52">
        <f>VLOOKUP($A360,Table1[#This Row],COLUMN(B359), FALSE)</f>
        <v>42265</v>
      </c>
      <c r="C360" s="52">
        <f>VLOOKUP($A360,Table1[#This Row],COLUMN(C359), FALSE)</f>
        <v>42267</v>
      </c>
      <c r="D360" t="str">
        <f>VLOOKUP($A360,Table1[#This Row],COLUMN(D359), FALSE)</f>
        <v>Sally Matthias</v>
      </c>
      <c r="E360" t="str">
        <f>VLOOKUP($A360,Table1[#This Row],COLUMN(E359), FALSE)</f>
        <v>Somalia</v>
      </c>
      <c r="F360" t="str">
        <f>VLOOKUP($A360,Table1[#This Row],COLUMN(F359), FALSE)</f>
        <v>Eastern Africa</v>
      </c>
      <c r="G360" t="str">
        <f>VLOOKUP($A360,Table1[#This Row],COLUMN(G359), FALSE)</f>
        <v>Technology</v>
      </c>
      <c r="H360" t="str">
        <f>VLOOKUP($A360,Table1[#This Row],COLUMN(H359), FALSE)</f>
        <v>Accessories</v>
      </c>
      <c r="I360">
        <f>VLOOKUP($A360,Table1[#This Row],COLUMN(I359), FALSE)</f>
        <v>3834</v>
      </c>
      <c r="J360">
        <f>VLOOKUP($A360,Table1[#This Row],COLUMN(J359), FALSE)</f>
        <v>6</v>
      </c>
      <c r="K360">
        <f>VLOOKUP($A360,Table1[#This Row],COLUMN(K359), FALSE)</f>
        <v>0</v>
      </c>
      <c r="L360">
        <f>VLOOKUP($A360,Table1[#This Row],COLUMN(L359), FALSE)</f>
        <v>268.38</v>
      </c>
      <c r="M360" t="str">
        <f>VLOOKUP($A360,Table1[#This Row],COLUMN(M359), FALSE)</f>
        <v>High</v>
      </c>
      <c r="N360">
        <f>VLOOKUP($A360,Table1[#This Row],COLUMN(N359), FALSE)</f>
        <v>0</v>
      </c>
      <c r="O360" t="str">
        <f>VLOOKUP($A360,Table1[#This Row],COLUMN(O359), FALSE)</f>
        <v>Sally Matthias</v>
      </c>
      <c r="P360" t="str">
        <f>VLOOKUP($A360,Table1[#This Row],COLUMN(P359), FALSE)</f>
        <v>SO</v>
      </c>
      <c r="Q360" t="str">
        <f>VLOOKUP($A360,Table1[#This Row],COLUMN(Q359), FALSE)</f>
        <v>2015</v>
      </c>
      <c r="R360" t="str">
        <f>VLOOKUP($A360,Table1[#This Row],COLUMN(R359), FALSE)</f>
        <v>HIGH</v>
      </c>
      <c r="S360" t="str">
        <f>VLOOKUP($A360,Table1[#This Row],COLUMN(S359), FALSE)</f>
        <v>technology</v>
      </c>
      <c r="T360" t="str">
        <f>VLOOKUP($A360,Table1[#This Row],COLUMN(T359), FALSE)</f>
        <v>42265</v>
      </c>
      <c r="U360" t="str">
        <f>VLOOKUP($A360,Table1[#This Row],COLUMN(U359), FALSE)</f>
        <v>SM10005116</v>
      </c>
      <c r="V360" t="str">
        <f>VLOOKUP($A360,Table1[#This Row],COLUMN(V359), FALSE)</f>
        <v>SO</v>
      </c>
      <c r="W360">
        <f>VLOOKUP($A360,Table1[#This Row],COLUMN(W359), FALSE)</f>
        <v>2015</v>
      </c>
      <c r="X360" t="str">
        <f>VLOOKUP($A360,Table1[#This Row],COLUMN(X359), FALSE)</f>
        <v>SM10005116</v>
      </c>
      <c r="Y360">
        <f>VLOOKUP($A360,Table1[#This Row],COLUMN(Y359), FALSE)</f>
        <v>42265</v>
      </c>
      <c r="Z360" t="str">
        <f>VLOOKUP($A360,Table1[#This Row],COLUMN(Z359), FALSE)</f>
        <v>SO-2015-SM10005116-42265</v>
      </c>
      <c r="AA360">
        <f>VLOOKUP($A360,Table1[#This Row],COLUMN(AA359), FALSE)</f>
        <v>2015</v>
      </c>
      <c r="AB360">
        <f>VLOOKUP($A360,Table1[#This Row],COLUMN(AB359), FALSE)</f>
        <v>9</v>
      </c>
      <c r="AC360">
        <f>VLOOKUP($A360,Table1[#This Row],COLUMN(AC359), FALSE)</f>
        <v>6</v>
      </c>
      <c r="AD360">
        <f>VLOOKUP($A360,Table1[#This Row],COLUMN(AD359), FALSE)</f>
        <v>2</v>
      </c>
    </row>
    <row r="361" spans="1:30" ht="15.75">
      <c r="A361" s="54" t="s">
        <v>335</v>
      </c>
      <c r="B361" s="52">
        <f>VLOOKUP($A361,Table1[#This Row],COLUMN(B360), FALSE)</f>
        <v>41489</v>
      </c>
      <c r="C361" s="52">
        <f>VLOOKUP($A361,Table1[#This Row],COLUMN(C360), FALSE)</f>
        <v>41494</v>
      </c>
      <c r="D361" t="str">
        <f>VLOOKUP($A361,Table1[#This Row],COLUMN(D360), FALSE)</f>
        <v>Katharine Harms</v>
      </c>
      <c r="E361" t="str">
        <f>VLOOKUP($A361,Table1[#This Row],COLUMN(E360), FALSE)</f>
        <v>Indonesia</v>
      </c>
      <c r="F361" t="str">
        <f>VLOOKUP($A361,Table1[#This Row],COLUMN(F360), FALSE)</f>
        <v>Southeastern Asia</v>
      </c>
      <c r="G361" t="str">
        <f>VLOOKUP($A361,Table1[#This Row],COLUMN(G360), FALSE)</f>
        <v>Office Supplies</v>
      </c>
      <c r="H361" t="str">
        <f>VLOOKUP($A361,Table1[#This Row],COLUMN(H360), FALSE)</f>
        <v>Phones</v>
      </c>
      <c r="I361">
        <f>VLOOKUP($A361,Table1[#This Row],COLUMN(I360), FALSE)</f>
        <v>3501.7367999999901</v>
      </c>
      <c r="J361">
        <f>VLOOKUP($A361,Table1[#This Row],COLUMN(J360), FALSE)</f>
        <v>8</v>
      </c>
      <c r="K361">
        <f>VLOOKUP($A361,Table1[#This Row],COLUMN(K360), FALSE)</f>
        <v>0.17</v>
      </c>
      <c r="L361">
        <f>VLOOKUP($A361,Table1[#This Row],COLUMN(L360), FALSE)</f>
        <v>210.85679999999999</v>
      </c>
      <c r="M361" t="str">
        <f>VLOOKUP($A361,Table1[#This Row],COLUMN(M360), FALSE)</f>
        <v>High</v>
      </c>
      <c r="N361">
        <f>VLOOKUP($A361,Table1[#This Row],COLUMN(N360), FALSE)</f>
        <v>0</v>
      </c>
      <c r="O361" t="str">
        <f>VLOOKUP($A361,Table1[#This Row],COLUMN(O360), FALSE)</f>
        <v>Katharine Harms</v>
      </c>
      <c r="P361" t="str">
        <f>VLOOKUP($A361,Table1[#This Row],COLUMN(P360), FALSE)</f>
        <v>IN</v>
      </c>
      <c r="Q361" t="str">
        <f>VLOOKUP($A361,Table1[#This Row],COLUMN(Q360), FALSE)</f>
        <v>2013</v>
      </c>
      <c r="R361" t="str">
        <f>VLOOKUP($A361,Table1[#This Row],COLUMN(R360), FALSE)</f>
        <v>HIGH</v>
      </c>
      <c r="S361" t="str">
        <f>VLOOKUP($A361,Table1[#This Row],COLUMN(S360), FALSE)</f>
        <v>office supplies</v>
      </c>
      <c r="T361" t="str">
        <f>VLOOKUP($A361,Table1[#This Row],COLUMN(T360), FALSE)</f>
        <v>41489</v>
      </c>
      <c r="U361" t="str">
        <f>VLOOKUP($A361,Table1[#This Row],COLUMN(U360), FALSE)</f>
        <v>KH1633059</v>
      </c>
      <c r="V361" t="str">
        <f>VLOOKUP($A361,Table1[#This Row],COLUMN(V360), FALSE)</f>
        <v>IN</v>
      </c>
      <c r="W361">
        <f>VLOOKUP($A361,Table1[#This Row],COLUMN(W360), FALSE)</f>
        <v>2013</v>
      </c>
      <c r="X361" t="str">
        <f>VLOOKUP($A361,Table1[#This Row],COLUMN(X360), FALSE)</f>
        <v>KH1633059</v>
      </c>
      <c r="Y361">
        <f>VLOOKUP($A361,Table1[#This Row],COLUMN(Y360), FALSE)</f>
        <v>41489</v>
      </c>
      <c r="Z361" t="str">
        <f>VLOOKUP($A361,Table1[#This Row],COLUMN(Z360), FALSE)</f>
        <v>IN-2013-KH1633059-41489</v>
      </c>
      <c r="AA361">
        <f>VLOOKUP($A361,Table1[#This Row],COLUMN(AA360), FALSE)</f>
        <v>2013</v>
      </c>
      <c r="AB361">
        <f>VLOOKUP($A361,Table1[#This Row],COLUMN(AB360), FALSE)</f>
        <v>8</v>
      </c>
      <c r="AC361">
        <f>VLOOKUP($A361,Table1[#This Row],COLUMN(AC360), FALSE)</f>
        <v>7</v>
      </c>
      <c r="AD361">
        <f>VLOOKUP($A361,Table1[#This Row],COLUMN(AD360), FALSE)</f>
        <v>5</v>
      </c>
    </row>
    <row r="362" spans="1:30" ht="15.75">
      <c r="A362" s="53" t="s">
        <v>343</v>
      </c>
      <c r="B362" s="52">
        <f>VLOOKUP($A362,Table1[#This Row],COLUMN(B361), FALSE)</f>
        <v>41878</v>
      </c>
      <c r="C362" s="52">
        <f>VLOOKUP($A362,Table1[#This Row],COLUMN(C361), FALSE)</f>
        <v>41880</v>
      </c>
      <c r="D362" t="str">
        <f>VLOOKUP($A362,Table1[#This Row],COLUMN(D361), FALSE)</f>
        <v>Corey Roper</v>
      </c>
      <c r="E362" t="str">
        <f>VLOOKUP($A362,Table1[#This Row],COLUMN(E361), FALSE)</f>
        <v>Australia</v>
      </c>
      <c r="F362" t="str">
        <f>VLOOKUP($A362,Table1[#This Row],COLUMN(F361), FALSE)</f>
        <v>Oceania</v>
      </c>
      <c r="G362" t="str">
        <f>VLOOKUP($A362,Table1[#This Row],COLUMN(G361), FALSE)</f>
        <v>Furniture</v>
      </c>
      <c r="H362" t="str">
        <f>VLOOKUP($A362,Table1[#This Row],COLUMN(H361), FALSE)</f>
        <v>Copiers</v>
      </c>
      <c r="I362">
        <f>VLOOKUP($A362,Table1[#This Row],COLUMN(I361), FALSE)</f>
        <v>2760.3449999999998</v>
      </c>
      <c r="J362">
        <f>VLOOKUP($A362,Table1[#This Row],COLUMN(J361), FALSE)</f>
        <v>7</v>
      </c>
      <c r="K362">
        <f>VLOOKUP($A362,Table1[#This Row],COLUMN(K361), FALSE)</f>
        <v>0.1</v>
      </c>
      <c r="L362">
        <f>VLOOKUP($A362,Table1[#This Row],COLUMN(L361), FALSE)</f>
        <v>-214.72499999999999</v>
      </c>
      <c r="M362" t="str">
        <f>VLOOKUP($A362,Table1[#This Row],COLUMN(M361), FALSE)</f>
        <v>High</v>
      </c>
      <c r="N362">
        <f>VLOOKUP($A362,Table1[#This Row],COLUMN(N361), FALSE)</f>
        <v>0</v>
      </c>
      <c r="O362" t="str">
        <f>VLOOKUP($A362,Table1[#This Row],COLUMN(O361), FALSE)</f>
        <v>Corey Roper</v>
      </c>
      <c r="P362" t="str">
        <f>VLOOKUP($A362,Table1[#This Row],COLUMN(P361), FALSE)</f>
        <v>ID</v>
      </c>
      <c r="Q362" t="str">
        <f>VLOOKUP($A362,Table1[#This Row],COLUMN(Q361), FALSE)</f>
        <v>2014</v>
      </c>
      <c r="R362" t="str">
        <f>VLOOKUP($A362,Table1[#This Row],COLUMN(R361), FALSE)</f>
        <v>HIGH</v>
      </c>
      <c r="S362" t="str">
        <f>VLOOKUP($A362,Table1[#This Row],COLUMN(S361), FALSE)</f>
        <v>furniture</v>
      </c>
      <c r="T362" t="str">
        <f>VLOOKUP($A362,Table1[#This Row],COLUMN(T361), FALSE)</f>
        <v>41878</v>
      </c>
      <c r="U362" t="str">
        <f>VLOOKUP($A362,Table1[#This Row],COLUMN(U361), FALSE)</f>
        <v>CR126257</v>
      </c>
      <c r="V362" t="str">
        <f>VLOOKUP($A362,Table1[#This Row],COLUMN(V361), FALSE)</f>
        <v>ID</v>
      </c>
      <c r="W362">
        <f>VLOOKUP($A362,Table1[#This Row],COLUMN(W361), FALSE)</f>
        <v>2014</v>
      </c>
      <c r="X362" t="str">
        <f>VLOOKUP($A362,Table1[#This Row],COLUMN(X361), FALSE)</f>
        <v>CR126257</v>
      </c>
      <c r="Y362">
        <f>VLOOKUP($A362,Table1[#This Row],COLUMN(Y361), FALSE)</f>
        <v>41878</v>
      </c>
      <c r="Z362" t="str">
        <f>VLOOKUP($A362,Table1[#This Row],COLUMN(Z361), FALSE)</f>
        <v>ID-2014-CR126257-41878</v>
      </c>
      <c r="AA362">
        <f>VLOOKUP($A362,Table1[#This Row],COLUMN(AA361), FALSE)</f>
        <v>2014</v>
      </c>
      <c r="AB362">
        <f>VLOOKUP($A362,Table1[#This Row],COLUMN(AB361), FALSE)</f>
        <v>8</v>
      </c>
      <c r="AC362">
        <f>VLOOKUP($A362,Table1[#This Row],COLUMN(AC361), FALSE)</f>
        <v>4</v>
      </c>
      <c r="AD362">
        <f>VLOOKUP($A362,Table1[#This Row],COLUMN(AD361), FALSE)</f>
        <v>2</v>
      </c>
    </row>
    <row r="363" spans="1:30" ht="15.75">
      <c r="A363" s="54" t="s">
        <v>349</v>
      </c>
      <c r="B363" s="52">
        <f>VLOOKUP($A363,Table1[#This Row],COLUMN(B362), FALSE)</f>
        <v>41171</v>
      </c>
      <c r="C363" s="52" t="str">
        <f>VLOOKUP($A363,Table1[#This Row],COLUMN(C362), FALSE)</f>
        <v xml:space="preserve"> 2012-09-21 </v>
      </c>
      <c r="D363" t="str">
        <f>VLOOKUP($A363,Table1[#This Row],COLUMN(D362), FALSE)</f>
        <v>Dave Brooks</v>
      </c>
      <c r="E363" t="str">
        <f>VLOOKUP($A363,Table1[#This Row],COLUMN(E362), FALSE)</f>
        <v>Germany</v>
      </c>
      <c r="F363" t="str">
        <f>VLOOKUP($A363,Table1[#This Row],COLUMN(F362), FALSE)</f>
        <v>Western Europe</v>
      </c>
      <c r="G363" t="str">
        <f>VLOOKUP($A363,Table1[#This Row],COLUMN(G362), FALSE)</f>
        <v>Technology</v>
      </c>
      <c r="H363" t="str">
        <f>VLOOKUP($A363,Table1[#This Row],COLUMN(H362), FALSE)</f>
        <v>Appliances</v>
      </c>
      <c r="I363">
        <f>VLOOKUP($A363,Table1[#This Row],COLUMN(I362), FALSE)</f>
        <v>3616.5</v>
      </c>
      <c r="J363">
        <f>VLOOKUP($A363,Table1[#This Row],COLUMN(J362), FALSE)</f>
        <v>10</v>
      </c>
      <c r="K363">
        <f>VLOOKUP($A363,Table1[#This Row],COLUMN(K362), FALSE)</f>
        <v>0</v>
      </c>
      <c r="L363">
        <f>VLOOKUP($A363,Table1[#This Row],COLUMN(L362), FALSE)</f>
        <v>36</v>
      </c>
      <c r="M363" t="str">
        <f>VLOOKUP($A363,Table1[#This Row],COLUMN(M362), FALSE)</f>
        <v>Critical</v>
      </c>
      <c r="N363">
        <f>VLOOKUP($A363,Table1[#This Row],COLUMN(N362), FALSE)</f>
        <v>0</v>
      </c>
      <c r="O363" t="str">
        <f>VLOOKUP($A363,Table1[#This Row],COLUMN(O362), FALSE)</f>
        <v>Dave Brooks</v>
      </c>
      <c r="P363" t="str">
        <f>VLOOKUP($A363,Table1[#This Row],COLUMN(P362), FALSE)</f>
        <v>ES</v>
      </c>
      <c r="Q363" t="str">
        <f>VLOOKUP($A363,Table1[#This Row],COLUMN(Q362), FALSE)</f>
        <v>2012</v>
      </c>
      <c r="R363" t="str">
        <f>VLOOKUP($A363,Table1[#This Row],COLUMN(R362), FALSE)</f>
        <v>CRITICAL</v>
      </c>
      <c r="S363" t="str">
        <f>VLOOKUP($A363,Table1[#This Row],COLUMN(S362), FALSE)</f>
        <v>technology</v>
      </c>
      <c r="T363" t="str">
        <f>VLOOKUP($A363,Table1[#This Row],COLUMN(T362), FALSE)</f>
        <v>41171</v>
      </c>
      <c r="U363" t="str">
        <f>VLOOKUP($A363,Table1[#This Row],COLUMN(U362), FALSE)</f>
        <v>DB1306048</v>
      </c>
      <c r="V363" t="str">
        <f>VLOOKUP($A363,Table1[#This Row],COLUMN(V362), FALSE)</f>
        <v>ES</v>
      </c>
      <c r="W363">
        <f>VLOOKUP($A363,Table1[#This Row],COLUMN(W362), FALSE)</f>
        <v>2012</v>
      </c>
      <c r="X363" t="str">
        <f>VLOOKUP($A363,Table1[#This Row],COLUMN(X362), FALSE)</f>
        <v>DB1306048</v>
      </c>
      <c r="Y363">
        <f>VLOOKUP($A363,Table1[#This Row],COLUMN(Y362), FALSE)</f>
        <v>41171</v>
      </c>
      <c r="Z363" t="str">
        <f>VLOOKUP($A363,Table1[#This Row],COLUMN(Z362), FALSE)</f>
        <v>ES-2012-DB1306048-41171</v>
      </c>
      <c r="AA363">
        <f>VLOOKUP($A363,Table1[#This Row],COLUMN(AA362), FALSE)</f>
        <v>2012</v>
      </c>
      <c r="AB363">
        <f>VLOOKUP($A363,Table1[#This Row],COLUMN(AB362), FALSE)</f>
        <v>9</v>
      </c>
      <c r="AC363">
        <f>VLOOKUP($A363,Table1[#This Row],COLUMN(AC362), FALSE)</f>
        <v>4</v>
      </c>
      <c r="AD363">
        <f>VLOOKUP($A363,Table1[#This Row],COLUMN(AD362), FALSE)</f>
        <v>0</v>
      </c>
    </row>
    <row r="364" spans="1:30" ht="15.75">
      <c r="A364" s="53" t="s">
        <v>356</v>
      </c>
      <c r="B364" s="52">
        <f>VLOOKUP($A364,Table1[#This Row],COLUMN(B363), FALSE)</f>
        <v>42103</v>
      </c>
      <c r="C364" s="52">
        <f>VLOOKUP($A364,Table1[#This Row],COLUMN(C363), FALSE)</f>
        <v>42107</v>
      </c>
      <c r="D364" t="str">
        <f>VLOOKUP($A364,Table1[#This Row],COLUMN(D363), FALSE)</f>
        <v>Dario Medina</v>
      </c>
      <c r="E364" t="str">
        <f>VLOOKUP($A364,Table1[#This Row],COLUMN(E363), FALSE)</f>
        <v>Guatemala</v>
      </c>
      <c r="F364" t="str">
        <f>VLOOKUP($A364,Table1[#This Row],COLUMN(F363), FALSE)</f>
        <v>Central America</v>
      </c>
      <c r="G364" t="str">
        <f>VLOOKUP($A364,Table1[#This Row],COLUMN(G363), FALSE)</f>
        <v>Furniture</v>
      </c>
      <c r="H364" t="str">
        <f>VLOOKUP($A364,Table1[#This Row],COLUMN(H363), FALSE)</f>
        <v>Phones</v>
      </c>
      <c r="I364">
        <f>VLOOKUP($A364,Table1[#This Row],COLUMN(I363), FALSE)</f>
        <v>3117.0879999999902</v>
      </c>
      <c r="J364">
        <f>VLOOKUP($A364,Table1[#This Row],COLUMN(J363), FALSE)</f>
        <v>13</v>
      </c>
      <c r="K364">
        <f>VLOOKUP($A364,Table1[#This Row],COLUMN(K363), FALSE)</f>
        <v>0.2</v>
      </c>
      <c r="L364">
        <f>VLOOKUP($A364,Table1[#This Row],COLUMN(L363), FALSE)</f>
        <v>38.948</v>
      </c>
      <c r="M364" t="str">
        <f>VLOOKUP($A364,Table1[#This Row],COLUMN(M363), FALSE)</f>
        <v>High</v>
      </c>
      <c r="N364">
        <f>VLOOKUP($A364,Table1[#This Row],COLUMN(N363), FALSE)</f>
        <v>0</v>
      </c>
      <c r="O364" t="str">
        <f>VLOOKUP($A364,Table1[#This Row],COLUMN(O363), FALSE)</f>
        <v>Dario Medina</v>
      </c>
      <c r="P364" t="str">
        <f>VLOOKUP($A364,Table1[#This Row],COLUMN(P363), FALSE)</f>
        <v>MX</v>
      </c>
      <c r="Q364" t="str">
        <f>VLOOKUP($A364,Table1[#This Row],COLUMN(Q363), FALSE)</f>
        <v>2015</v>
      </c>
      <c r="R364" t="str">
        <f>VLOOKUP($A364,Table1[#This Row],COLUMN(R363), FALSE)</f>
        <v>HIGH</v>
      </c>
      <c r="S364" t="str">
        <f>VLOOKUP($A364,Table1[#This Row],COLUMN(S363), FALSE)</f>
        <v>furniture</v>
      </c>
      <c r="T364" t="str">
        <f>VLOOKUP($A364,Table1[#This Row],COLUMN(T363), FALSE)</f>
        <v>42103</v>
      </c>
      <c r="U364" t="str">
        <f>VLOOKUP($A364,Table1[#This Row],COLUMN(U363), FALSE)</f>
        <v>DM1295551</v>
      </c>
      <c r="V364" t="str">
        <f>VLOOKUP($A364,Table1[#This Row],COLUMN(V363), FALSE)</f>
        <v>MX</v>
      </c>
      <c r="W364">
        <f>VLOOKUP($A364,Table1[#This Row],COLUMN(W363), FALSE)</f>
        <v>2015</v>
      </c>
      <c r="X364" t="str">
        <f>VLOOKUP($A364,Table1[#This Row],COLUMN(X363), FALSE)</f>
        <v>DM1295551</v>
      </c>
      <c r="Y364">
        <f>VLOOKUP($A364,Table1[#This Row],COLUMN(Y363), FALSE)</f>
        <v>42103</v>
      </c>
      <c r="Z364" t="str">
        <f>VLOOKUP($A364,Table1[#This Row],COLUMN(Z363), FALSE)</f>
        <v>MX-2015-DM1295551-42103</v>
      </c>
      <c r="AA364">
        <f>VLOOKUP($A364,Table1[#This Row],COLUMN(AA363), FALSE)</f>
        <v>2015</v>
      </c>
      <c r="AB364">
        <f>VLOOKUP($A364,Table1[#This Row],COLUMN(AB363), FALSE)</f>
        <v>4</v>
      </c>
      <c r="AC364">
        <f>VLOOKUP($A364,Table1[#This Row],COLUMN(AC363), FALSE)</f>
        <v>5</v>
      </c>
      <c r="AD364">
        <f>VLOOKUP($A364,Table1[#This Row],COLUMN(AD363), FALSE)</f>
        <v>4</v>
      </c>
    </row>
    <row r="365" spans="1:30" ht="15.75">
      <c r="A365" s="54" t="s">
        <v>362</v>
      </c>
      <c r="B365" s="52">
        <f>VLOOKUP($A365,Table1[#This Row],COLUMN(B364), FALSE)</f>
        <v>41914</v>
      </c>
      <c r="C365" s="52">
        <f>VLOOKUP($A365,Table1[#This Row],COLUMN(C364), FALSE)</f>
        <v>41916</v>
      </c>
      <c r="D365" t="str">
        <f>VLOOKUP($A365,Table1[#This Row],COLUMN(D364), FALSE)</f>
        <v>Sean O'Donnell</v>
      </c>
      <c r="E365" t="str">
        <f>VLOOKUP($A365,Table1[#This Row],COLUMN(E364), FALSE)</f>
        <v>China</v>
      </c>
      <c r="F365" t="str">
        <f>VLOOKUP($A365,Table1[#This Row],COLUMN(F364), FALSE)</f>
        <v>Eastern Asia</v>
      </c>
      <c r="G365" t="str">
        <f>VLOOKUP($A365,Table1[#This Row],COLUMN(G364), FALSE)</f>
        <v>Office Supplies</v>
      </c>
      <c r="H365" t="str">
        <f>VLOOKUP($A365,Table1[#This Row],COLUMN(H364), FALSE)</f>
        <v>Machines</v>
      </c>
      <c r="I365">
        <f>VLOOKUP($A365,Table1[#This Row],COLUMN(I364), FALSE)</f>
        <v>3000.7799999999902</v>
      </c>
      <c r="J365">
        <f>VLOOKUP($A365,Table1[#This Row],COLUMN(J364), FALSE)</f>
        <v>6</v>
      </c>
      <c r="K365">
        <f>VLOOKUP($A365,Table1[#This Row],COLUMN(K364), FALSE)</f>
        <v>0</v>
      </c>
      <c r="L365">
        <f>VLOOKUP($A365,Table1[#This Row],COLUMN(L364), FALSE)</f>
        <v>1080.18</v>
      </c>
      <c r="M365" t="str">
        <f>VLOOKUP($A365,Table1[#This Row],COLUMN(M364), FALSE)</f>
        <v>High</v>
      </c>
      <c r="N365">
        <f>VLOOKUP($A365,Table1[#This Row],COLUMN(N364), FALSE)</f>
        <v>0</v>
      </c>
      <c r="O365" t="str">
        <f>VLOOKUP($A365,Table1[#This Row],COLUMN(O364), FALSE)</f>
        <v>Sean O'Donnell</v>
      </c>
      <c r="P365" t="str">
        <f>VLOOKUP($A365,Table1[#This Row],COLUMN(P364), FALSE)</f>
        <v>IN</v>
      </c>
      <c r="Q365" t="str">
        <f>VLOOKUP($A365,Table1[#This Row],COLUMN(Q364), FALSE)</f>
        <v>2014</v>
      </c>
      <c r="R365" t="str">
        <f>VLOOKUP($A365,Table1[#This Row],COLUMN(R364), FALSE)</f>
        <v>HIGH</v>
      </c>
      <c r="S365" t="str">
        <f>VLOOKUP($A365,Table1[#This Row],COLUMN(S364), FALSE)</f>
        <v>office supplies</v>
      </c>
      <c r="T365" t="str">
        <f>VLOOKUP($A365,Table1[#This Row],COLUMN(T364), FALSE)</f>
        <v>41914</v>
      </c>
      <c r="U365" t="str">
        <f>VLOOKUP($A365,Table1[#This Row],COLUMN(U364), FALSE)</f>
        <v>SO2033527</v>
      </c>
      <c r="V365" t="str">
        <f>VLOOKUP($A365,Table1[#This Row],COLUMN(V364), FALSE)</f>
        <v>IN</v>
      </c>
      <c r="W365">
        <f>VLOOKUP($A365,Table1[#This Row],COLUMN(W364), FALSE)</f>
        <v>2014</v>
      </c>
      <c r="X365" t="str">
        <f>VLOOKUP($A365,Table1[#This Row],COLUMN(X364), FALSE)</f>
        <v>SO2033527</v>
      </c>
      <c r="Y365">
        <f>VLOOKUP($A365,Table1[#This Row],COLUMN(Y364), FALSE)</f>
        <v>41914</v>
      </c>
      <c r="Z365" t="str">
        <f>VLOOKUP($A365,Table1[#This Row],COLUMN(Z364), FALSE)</f>
        <v>IN-2014-SO2033527-41914</v>
      </c>
      <c r="AA365">
        <f>VLOOKUP($A365,Table1[#This Row],COLUMN(AA364), FALSE)</f>
        <v>2014</v>
      </c>
      <c r="AB365">
        <f>VLOOKUP($A365,Table1[#This Row],COLUMN(AB364), FALSE)</f>
        <v>10</v>
      </c>
      <c r="AC365">
        <f>VLOOKUP($A365,Table1[#This Row],COLUMN(AC364), FALSE)</f>
        <v>5</v>
      </c>
      <c r="AD365">
        <f>VLOOKUP($A365,Table1[#This Row],COLUMN(AD364), FALSE)</f>
        <v>2</v>
      </c>
    </row>
    <row r="366" spans="1:30" ht="15.75">
      <c r="A366" s="53" t="s">
        <v>365</v>
      </c>
      <c r="B366" s="52">
        <f>VLOOKUP($A366,Table1[#This Row],COLUMN(B365), FALSE)</f>
        <v>42236</v>
      </c>
      <c r="C366" s="52">
        <f>VLOOKUP($A366,Table1[#This Row],COLUMN(C365), FALSE)</f>
        <v>42241</v>
      </c>
      <c r="D366" t="str">
        <f>VLOOKUP($A366,Table1[#This Row],COLUMN(D365), FALSE)</f>
        <v>Liz Carlisle</v>
      </c>
      <c r="E366" t="str">
        <f>VLOOKUP($A366,Table1[#This Row],COLUMN(E365), FALSE)</f>
        <v>Saudi Arabia</v>
      </c>
      <c r="F366" t="str">
        <f>VLOOKUP($A366,Table1[#This Row],COLUMN(F365), FALSE)</f>
        <v>Western Asia</v>
      </c>
      <c r="G366" t="str">
        <f>VLOOKUP($A366,Table1[#This Row],COLUMN(G365), FALSE)</f>
        <v>Technology</v>
      </c>
      <c r="H366" t="str">
        <f>VLOOKUP($A366,Table1[#This Row],COLUMN(H365), FALSE)</f>
        <v>Appliances</v>
      </c>
      <c r="I366">
        <f>VLOOKUP($A366,Table1[#This Row],COLUMN(I365), FALSE)</f>
        <v>5211.12</v>
      </c>
      <c r="J366">
        <f>VLOOKUP($A366,Table1[#This Row],COLUMN(J365), FALSE)</f>
        <v>8</v>
      </c>
      <c r="K366">
        <f>VLOOKUP($A366,Table1[#This Row],COLUMN(K365), FALSE)</f>
        <v>0</v>
      </c>
      <c r="L366">
        <f>VLOOKUP($A366,Table1[#This Row],COLUMN(L365), FALSE)</f>
        <v>1146.24</v>
      </c>
      <c r="M366" t="str">
        <f>VLOOKUP($A366,Table1[#This Row],COLUMN(M365), FALSE)</f>
        <v>Medium</v>
      </c>
      <c r="N366">
        <f>VLOOKUP($A366,Table1[#This Row],COLUMN(N365), FALSE)</f>
        <v>0</v>
      </c>
      <c r="O366" t="str">
        <f>VLOOKUP($A366,Table1[#This Row],COLUMN(O365), FALSE)</f>
        <v>Liz Carlisle</v>
      </c>
      <c r="P366" t="str">
        <f>VLOOKUP($A366,Table1[#This Row],COLUMN(P365), FALSE)</f>
        <v>SA</v>
      </c>
      <c r="Q366" t="str">
        <f>VLOOKUP($A366,Table1[#This Row],COLUMN(Q365), FALSE)</f>
        <v>2015</v>
      </c>
      <c r="R366" t="str">
        <f>VLOOKUP($A366,Table1[#This Row],COLUMN(R365), FALSE)</f>
        <v>MEDIUM</v>
      </c>
      <c r="S366" t="str">
        <f>VLOOKUP($A366,Table1[#This Row],COLUMN(S365), FALSE)</f>
        <v>technology</v>
      </c>
      <c r="T366" t="str">
        <f>VLOOKUP($A366,Table1[#This Row],COLUMN(T365), FALSE)</f>
        <v>42236</v>
      </c>
      <c r="U366" t="str">
        <f>VLOOKUP($A366,Table1[#This Row],COLUMN(U365), FALSE)</f>
        <v>LC7050110</v>
      </c>
      <c r="V366" t="str">
        <f>VLOOKUP($A366,Table1[#This Row],COLUMN(V365), FALSE)</f>
        <v>SA</v>
      </c>
      <c r="W366">
        <f>VLOOKUP($A366,Table1[#This Row],COLUMN(W365), FALSE)</f>
        <v>2015</v>
      </c>
      <c r="X366" t="str">
        <f>VLOOKUP($A366,Table1[#This Row],COLUMN(X365), FALSE)</f>
        <v>LC7050110</v>
      </c>
      <c r="Y366">
        <f>VLOOKUP($A366,Table1[#This Row],COLUMN(Y365), FALSE)</f>
        <v>42236</v>
      </c>
      <c r="Z366" t="str">
        <f>VLOOKUP($A366,Table1[#This Row],COLUMN(Z365), FALSE)</f>
        <v>SA-2015-LC7050110-42236</v>
      </c>
      <c r="AA366">
        <f>VLOOKUP($A366,Table1[#This Row],COLUMN(AA365), FALSE)</f>
        <v>2015</v>
      </c>
      <c r="AB366">
        <f>VLOOKUP($A366,Table1[#This Row],COLUMN(AB365), FALSE)</f>
        <v>8</v>
      </c>
      <c r="AC366">
        <f>VLOOKUP($A366,Table1[#This Row],COLUMN(AC365), FALSE)</f>
        <v>5</v>
      </c>
      <c r="AD366">
        <f>VLOOKUP($A366,Table1[#This Row],COLUMN(AD365), FALSE)</f>
        <v>5</v>
      </c>
    </row>
    <row r="367" spans="1:30" ht="15.75">
      <c r="A367" s="54" t="s">
        <v>372</v>
      </c>
      <c r="B367" s="52">
        <f>VLOOKUP($A367,Table1[#This Row],COLUMN(B366), FALSE)</f>
        <v>41801</v>
      </c>
      <c r="C367" s="52">
        <f>VLOOKUP($A367,Table1[#This Row],COLUMN(C366), FALSE)</f>
        <v>41805</v>
      </c>
      <c r="D367" t="str">
        <f>VLOOKUP($A367,Table1[#This Row],COLUMN(D366), FALSE)</f>
        <v>Alan Dominguez</v>
      </c>
      <c r="E367" t="str">
        <f>VLOOKUP($A367,Table1[#This Row],COLUMN(E366), FALSE)</f>
        <v>Indonesia</v>
      </c>
      <c r="F367" t="str">
        <f>VLOOKUP($A367,Table1[#This Row],COLUMN(F366), FALSE)</f>
        <v>Southeastern Asia</v>
      </c>
      <c r="G367" t="str">
        <f>VLOOKUP($A367,Table1[#This Row],COLUMN(G366), FALSE)</f>
        <v>Furniture</v>
      </c>
      <c r="H367" t="str">
        <f>VLOOKUP($A367,Table1[#This Row],COLUMN(H366), FALSE)</f>
        <v>Accessories</v>
      </c>
      <c r="I367">
        <f>VLOOKUP($A367,Table1[#This Row],COLUMN(I366), FALSE)</f>
        <v>3126.40019999999</v>
      </c>
      <c r="J367">
        <f>VLOOKUP($A367,Table1[#This Row],COLUMN(J366), FALSE)</f>
        <v>9</v>
      </c>
      <c r="K367">
        <f>VLOOKUP($A367,Table1[#This Row],COLUMN(K366), FALSE)</f>
        <v>0.27</v>
      </c>
      <c r="L367">
        <f>VLOOKUP($A367,Table1[#This Row],COLUMN(L366), FALSE)</f>
        <v>-128.719799999999</v>
      </c>
      <c r="M367" t="str">
        <f>VLOOKUP($A367,Table1[#This Row],COLUMN(M366), FALSE)</f>
        <v>High</v>
      </c>
      <c r="N367">
        <f>VLOOKUP($A367,Table1[#This Row],COLUMN(N366), FALSE)</f>
        <v>0</v>
      </c>
      <c r="O367" t="str">
        <f>VLOOKUP($A367,Table1[#This Row],COLUMN(O366), FALSE)</f>
        <v>Alan Dominguez</v>
      </c>
      <c r="P367" t="str">
        <f>VLOOKUP($A367,Table1[#This Row],COLUMN(P366), FALSE)</f>
        <v>ID</v>
      </c>
      <c r="Q367" t="str">
        <f>VLOOKUP($A367,Table1[#This Row],COLUMN(Q366), FALSE)</f>
        <v>2014</v>
      </c>
      <c r="R367" t="str">
        <f>VLOOKUP($A367,Table1[#This Row],COLUMN(R366), FALSE)</f>
        <v>HIGH</v>
      </c>
      <c r="S367" t="str">
        <f>VLOOKUP($A367,Table1[#This Row],COLUMN(S366), FALSE)</f>
        <v>furniture</v>
      </c>
      <c r="T367" t="str">
        <f>VLOOKUP($A367,Table1[#This Row],COLUMN(T366), FALSE)</f>
        <v>41801</v>
      </c>
      <c r="U367" t="str">
        <f>VLOOKUP($A367,Table1[#This Row],COLUMN(U366), FALSE)</f>
        <v>AD1018059</v>
      </c>
      <c r="V367" t="str">
        <f>VLOOKUP($A367,Table1[#This Row],COLUMN(V366), FALSE)</f>
        <v>ID</v>
      </c>
      <c r="W367">
        <f>VLOOKUP($A367,Table1[#This Row],COLUMN(W366), FALSE)</f>
        <v>2014</v>
      </c>
      <c r="X367" t="str">
        <f>VLOOKUP($A367,Table1[#This Row],COLUMN(X366), FALSE)</f>
        <v>AD1018059</v>
      </c>
      <c r="Y367">
        <f>VLOOKUP($A367,Table1[#This Row],COLUMN(Y366), FALSE)</f>
        <v>41801</v>
      </c>
      <c r="Z367" t="str">
        <f>VLOOKUP($A367,Table1[#This Row],COLUMN(Z366), FALSE)</f>
        <v>ID-2014-AD1018059-41801</v>
      </c>
      <c r="AA367">
        <f>VLOOKUP($A367,Table1[#This Row],COLUMN(AA366), FALSE)</f>
        <v>2014</v>
      </c>
      <c r="AB367">
        <f>VLOOKUP($A367,Table1[#This Row],COLUMN(AB366), FALSE)</f>
        <v>6</v>
      </c>
      <c r="AC367">
        <f>VLOOKUP($A367,Table1[#This Row],COLUMN(AC366), FALSE)</f>
        <v>4</v>
      </c>
      <c r="AD367">
        <f>VLOOKUP($A367,Table1[#This Row],COLUMN(AD366), FALSE)</f>
        <v>4</v>
      </c>
    </row>
    <row r="368" spans="1:30" ht="15.75">
      <c r="A368" s="53" t="s">
        <v>374</v>
      </c>
      <c r="B368" s="52">
        <f>VLOOKUP($A368,Table1[#This Row],COLUMN(B367), FALSE)</f>
        <v>41130</v>
      </c>
      <c r="C368" s="52">
        <f>VLOOKUP($A368,Table1[#This Row],COLUMN(C367), FALSE)</f>
        <v>41137</v>
      </c>
      <c r="D368" t="str">
        <f>VLOOKUP($A368,Table1[#This Row],COLUMN(D367), FALSE)</f>
        <v>Becky Pak#</v>
      </c>
      <c r="E368" t="str">
        <f>VLOOKUP($A368,Table1[#This Row],COLUMN(E367), FALSE)</f>
        <v>United Kingdom</v>
      </c>
      <c r="F368" t="str">
        <f>VLOOKUP($A368,Table1[#This Row],COLUMN(F367), FALSE)</f>
        <v>Northern Europe</v>
      </c>
      <c r="G368" t="str">
        <f>VLOOKUP($A368,Table1[#This Row],COLUMN(G367), FALSE)</f>
        <v>Technology</v>
      </c>
      <c r="H368" t="str">
        <f>VLOOKUP($A368,Table1[#This Row],COLUMN(H367), FALSE)</f>
        <v>Bookcases</v>
      </c>
      <c r="I368">
        <f>VLOOKUP($A368,Table1[#This Row],COLUMN(I367), FALSE)</f>
        <v>5276.9880000000003</v>
      </c>
      <c r="J368">
        <f>VLOOKUP($A368,Table1[#This Row],COLUMN(J367), FALSE)</f>
        <v>9</v>
      </c>
      <c r="K368">
        <f>VLOOKUP($A368,Table1[#This Row],COLUMN(K367), FALSE)</f>
        <v>0.1</v>
      </c>
      <c r="L368">
        <f>VLOOKUP($A368,Table1[#This Row],COLUMN(L367), FALSE)</f>
        <v>1758.8879999999899</v>
      </c>
      <c r="M368" t="str">
        <f>VLOOKUP($A368,Table1[#This Row],COLUMN(M367), FALSE)</f>
        <v>Medium</v>
      </c>
      <c r="N368">
        <f>VLOOKUP($A368,Table1[#This Row],COLUMN(N367), FALSE)</f>
        <v>0</v>
      </c>
      <c r="O368" t="str">
        <f>VLOOKUP($A368,Table1[#This Row],COLUMN(O367), FALSE)</f>
        <v>Becky Pak#</v>
      </c>
      <c r="P368" t="str">
        <f>VLOOKUP($A368,Table1[#This Row],COLUMN(P367), FALSE)</f>
        <v>ES</v>
      </c>
      <c r="Q368" t="str">
        <f>VLOOKUP($A368,Table1[#This Row],COLUMN(Q367), FALSE)</f>
        <v>2012</v>
      </c>
      <c r="R368" t="str">
        <f>VLOOKUP($A368,Table1[#This Row],COLUMN(R367), FALSE)</f>
        <v>MEDIUM</v>
      </c>
      <c r="S368" t="str">
        <f>VLOOKUP($A368,Table1[#This Row],COLUMN(S367), FALSE)</f>
        <v>technology</v>
      </c>
      <c r="T368" t="str">
        <f>VLOOKUP($A368,Table1[#This Row],COLUMN(T367), FALSE)</f>
        <v>41130</v>
      </c>
      <c r="U368" t="str">
        <f>VLOOKUP($A368,Table1[#This Row],COLUMN(U367), FALSE)</f>
        <v>BP11155139</v>
      </c>
      <c r="V368" t="str">
        <f>VLOOKUP($A368,Table1[#This Row],COLUMN(V367), FALSE)</f>
        <v>ES</v>
      </c>
      <c r="W368">
        <f>VLOOKUP($A368,Table1[#This Row],COLUMN(W367), FALSE)</f>
        <v>2012</v>
      </c>
      <c r="X368" t="str">
        <f>VLOOKUP($A368,Table1[#This Row],COLUMN(X367), FALSE)</f>
        <v>BP11155139</v>
      </c>
      <c r="Y368">
        <f>VLOOKUP($A368,Table1[#This Row],COLUMN(Y367), FALSE)</f>
        <v>41130</v>
      </c>
      <c r="Z368" t="str">
        <f>VLOOKUP($A368,Table1[#This Row],COLUMN(Z367), FALSE)</f>
        <v>ES-2012-BP11155139-41130</v>
      </c>
      <c r="AA368">
        <f>VLOOKUP($A368,Table1[#This Row],COLUMN(AA367), FALSE)</f>
        <v>2012</v>
      </c>
      <c r="AB368">
        <f>VLOOKUP($A368,Table1[#This Row],COLUMN(AB367), FALSE)</f>
        <v>8</v>
      </c>
      <c r="AC368">
        <f>VLOOKUP($A368,Table1[#This Row],COLUMN(AC367), FALSE)</f>
        <v>5</v>
      </c>
      <c r="AD368">
        <f>VLOOKUP($A368,Table1[#This Row],COLUMN(AD367), FALSE)</f>
        <v>7</v>
      </c>
    </row>
    <row r="369" spans="1:30" ht="15.75">
      <c r="A369" s="54" t="s">
        <v>393</v>
      </c>
      <c r="B369" s="52">
        <f>VLOOKUP($A369,Table1[#This Row],COLUMN(B368), FALSE)</f>
        <v>41924</v>
      </c>
      <c r="C369" s="52">
        <f>VLOOKUP($A369,Table1[#This Row],COLUMN(C368), FALSE)</f>
        <v>41924</v>
      </c>
      <c r="D369" t="str">
        <f>VLOOKUP($A369,Table1[#This Row],COLUMN(D368), FALSE)</f>
        <v>Jason Fortune-</v>
      </c>
      <c r="E369" t="str">
        <f>VLOOKUP($A369,Table1[#This Row],COLUMN(E368), FALSE)</f>
        <v>Spain</v>
      </c>
      <c r="F369" t="str">
        <f>VLOOKUP($A369,Table1[#This Row],COLUMN(F368), FALSE)</f>
        <v>Southern Europe</v>
      </c>
      <c r="G369" t="str">
        <f>VLOOKUP($A369,Table1[#This Row],COLUMN(G368), FALSE)</f>
        <v>Technology</v>
      </c>
      <c r="H369" t="str">
        <f>VLOOKUP($A369,Table1[#This Row],COLUMN(H368), FALSE)</f>
        <v>Phones</v>
      </c>
      <c r="I369">
        <f>VLOOKUP($A369,Table1[#This Row],COLUMN(I368), FALSE)</f>
        <v>1549.98</v>
      </c>
      <c r="J369">
        <f>VLOOKUP($A369,Table1[#This Row],COLUMN(J368), FALSE)</f>
        <v>6</v>
      </c>
      <c r="K369">
        <f>VLOOKUP($A369,Table1[#This Row],COLUMN(K368), FALSE)</f>
        <v>0</v>
      </c>
      <c r="L369">
        <f>VLOOKUP($A369,Table1[#This Row],COLUMN(L368), FALSE)</f>
        <v>139.32</v>
      </c>
      <c r="M369" t="str">
        <f>VLOOKUP($A369,Table1[#This Row],COLUMN(M368), FALSE)</f>
        <v>Critical</v>
      </c>
      <c r="N369">
        <f>VLOOKUP($A369,Table1[#This Row],COLUMN(N368), FALSE)</f>
        <v>0</v>
      </c>
      <c r="O369" t="str">
        <f>VLOOKUP($A369,Table1[#This Row],COLUMN(O368), FALSE)</f>
        <v>Jason Fortune-</v>
      </c>
      <c r="P369" t="str">
        <f>VLOOKUP($A369,Table1[#This Row],COLUMN(P368), FALSE)</f>
        <v>ES</v>
      </c>
      <c r="Q369" t="str">
        <f>VLOOKUP($A369,Table1[#This Row],COLUMN(Q368), FALSE)</f>
        <v>2014</v>
      </c>
      <c r="R369" t="str">
        <f>VLOOKUP($A369,Table1[#This Row],COLUMN(R368), FALSE)</f>
        <v>CRITICAL</v>
      </c>
      <c r="S369" t="str">
        <f>VLOOKUP($A369,Table1[#This Row],COLUMN(S368), FALSE)</f>
        <v>technology</v>
      </c>
      <c r="T369" t="str">
        <f>VLOOKUP($A369,Table1[#This Row],COLUMN(T368), FALSE)</f>
        <v>41924</v>
      </c>
      <c r="U369" t="str">
        <f>VLOOKUP($A369,Table1[#This Row],COLUMN(U368), FALSE)</f>
        <v>JF15295120</v>
      </c>
      <c r="V369" t="str">
        <f>VLOOKUP($A369,Table1[#This Row],COLUMN(V368), FALSE)</f>
        <v>ES</v>
      </c>
      <c r="W369">
        <f>VLOOKUP($A369,Table1[#This Row],COLUMN(W368), FALSE)</f>
        <v>2014</v>
      </c>
      <c r="X369" t="str">
        <f>VLOOKUP($A369,Table1[#This Row],COLUMN(X368), FALSE)</f>
        <v>JF15295120</v>
      </c>
      <c r="Y369">
        <f>VLOOKUP($A369,Table1[#This Row],COLUMN(Y368), FALSE)</f>
        <v>41924</v>
      </c>
      <c r="Z369" t="str">
        <f>VLOOKUP($A369,Table1[#This Row],COLUMN(Z368), FALSE)</f>
        <v>ES-2014-JF15295120-41924</v>
      </c>
      <c r="AA369">
        <f>VLOOKUP($A369,Table1[#This Row],COLUMN(AA368), FALSE)</f>
        <v>2014</v>
      </c>
      <c r="AB369">
        <f>VLOOKUP($A369,Table1[#This Row],COLUMN(AB368), FALSE)</f>
        <v>10</v>
      </c>
      <c r="AC369">
        <f>VLOOKUP($A369,Table1[#This Row],COLUMN(AC368), FALSE)</f>
        <v>1</v>
      </c>
      <c r="AD369">
        <f>VLOOKUP($A369,Table1[#This Row],COLUMN(AD368), FALSE)</f>
        <v>0</v>
      </c>
    </row>
    <row r="370" spans="1:30" ht="15.75">
      <c r="A370" s="53" t="s">
        <v>396</v>
      </c>
      <c r="B370" s="52">
        <f>VLOOKUP($A370,Table1[#This Row],COLUMN(B369), FALSE)</f>
        <v>42202</v>
      </c>
      <c r="C370" s="52">
        <f>VLOOKUP($A370,Table1[#This Row],COLUMN(C369), FALSE)</f>
        <v>42204</v>
      </c>
      <c r="D370" t="str">
        <f>VLOOKUP($A370,Table1[#This Row],COLUMN(D369), FALSE)</f>
        <v>Don Jones</v>
      </c>
      <c r="E370" t="str">
        <f>VLOOKUP($A370,Table1[#This Row],COLUMN(E369), FALSE)</f>
        <v>Ukraine#</v>
      </c>
      <c r="F370" t="str">
        <f>VLOOKUP($A370,Table1[#This Row],COLUMN(F369), FALSE)</f>
        <v>Eastern Europe</v>
      </c>
      <c r="G370" t="str">
        <f>VLOOKUP($A370,Table1[#This Row],COLUMN(G369), FALSE)</f>
        <v>Office Supplies</v>
      </c>
      <c r="H370" t="str">
        <f>VLOOKUP($A370,Table1[#This Row],COLUMN(H369), FALSE)</f>
        <v>Accessories</v>
      </c>
      <c r="I370">
        <f>VLOOKUP($A370,Table1[#This Row],COLUMN(I369), FALSE)</f>
        <v>3146.3999999999901</v>
      </c>
      <c r="J370">
        <f>VLOOKUP($A370,Table1[#This Row],COLUMN(J369), FALSE)</f>
        <v>6</v>
      </c>
      <c r="K370">
        <f>VLOOKUP($A370,Table1[#This Row],COLUMN(K369), FALSE)</f>
        <v>0</v>
      </c>
      <c r="L370">
        <f>VLOOKUP($A370,Table1[#This Row],COLUMN(L369), FALSE)</f>
        <v>629.28</v>
      </c>
      <c r="M370" t="str">
        <f>VLOOKUP($A370,Table1[#This Row],COLUMN(M369), FALSE)</f>
        <v>Critical</v>
      </c>
      <c r="N370">
        <f>VLOOKUP($A370,Table1[#This Row],COLUMN(N369), FALSE)</f>
        <v>0</v>
      </c>
      <c r="O370" t="str">
        <f>VLOOKUP($A370,Table1[#This Row],COLUMN(O369), FALSE)</f>
        <v>Don Jones</v>
      </c>
      <c r="P370" t="str">
        <f>VLOOKUP($A370,Table1[#This Row],COLUMN(P369), FALSE)</f>
        <v>UP</v>
      </c>
      <c r="Q370" t="str">
        <f>VLOOKUP($A370,Table1[#This Row],COLUMN(Q369), FALSE)</f>
        <v>2015</v>
      </c>
      <c r="R370" t="str">
        <f>VLOOKUP($A370,Table1[#This Row],COLUMN(R369), FALSE)</f>
        <v>CRITICAL</v>
      </c>
      <c r="S370" t="str">
        <f>VLOOKUP($A370,Table1[#This Row],COLUMN(S369), FALSE)</f>
        <v>office supplies</v>
      </c>
      <c r="T370" t="str">
        <f>VLOOKUP($A370,Table1[#This Row],COLUMN(T369), FALSE)</f>
        <v>42202</v>
      </c>
      <c r="U370" t="str">
        <f>VLOOKUP($A370,Table1[#This Row],COLUMN(U369), FALSE)</f>
        <v>DJ3510137</v>
      </c>
      <c r="V370" t="str">
        <f>VLOOKUP($A370,Table1[#This Row],COLUMN(V369), FALSE)</f>
        <v>UP</v>
      </c>
      <c r="W370">
        <f>VLOOKUP($A370,Table1[#This Row],COLUMN(W369), FALSE)</f>
        <v>2015</v>
      </c>
      <c r="X370" t="str">
        <f>VLOOKUP($A370,Table1[#This Row],COLUMN(X369), FALSE)</f>
        <v>DJ3510137</v>
      </c>
      <c r="Y370">
        <f>VLOOKUP($A370,Table1[#This Row],COLUMN(Y369), FALSE)</f>
        <v>42202</v>
      </c>
      <c r="Z370" t="str">
        <f>VLOOKUP($A370,Table1[#This Row],COLUMN(Z369), FALSE)</f>
        <v>UP-2015-DJ3510137-42202</v>
      </c>
      <c r="AA370">
        <f>VLOOKUP($A370,Table1[#This Row],COLUMN(AA369), FALSE)</f>
        <v>2015</v>
      </c>
      <c r="AB370">
        <f>VLOOKUP($A370,Table1[#This Row],COLUMN(AB369), FALSE)</f>
        <v>7</v>
      </c>
      <c r="AC370">
        <f>VLOOKUP($A370,Table1[#This Row],COLUMN(AC369), FALSE)</f>
        <v>6</v>
      </c>
      <c r="AD370">
        <f>VLOOKUP($A370,Table1[#This Row],COLUMN(AD369), FALSE)</f>
        <v>2</v>
      </c>
    </row>
    <row r="371" spans="1:30" ht="15.75">
      <c r="A371" s="54" t="s">
        <v>399</v>
      </c>
      <c r="B371" s="52">
        <f>VLOOKUP($A371,Table1[#This Row],COLUMN(B370), FALSE)</f>
        <v>42330</v>
      </c>
      <c r="C371" s="52">
        <f>VLOOKUP($A371,Table1[#This Row],COLUMN(C370), FALSE)</f>
        <v>42336</v>
      </c>
      <c r="D371" t="str">
        <f>VLOOKUP($A371,Table1[#This Row],COLUMN(D370), FALSE)</f>
        <v>Monica Federle</v>
      </c>
      <c r="E371" t="str">
        <f>VLOOKUP($A371,Table1[#This Row],COLUMN(E370), FALSE)</f>
        <v>France</v>
      </c>
      <c r="F371" t="str">
        <f>VLOOKUP($A371,Table1[#This Row],COLUMN(F370), FALSE)</f>
        <v>Western Europe</v>
      </c>
      <c r="G371" t="str">
        <f>VLOOKUP($A371,Table1[#This Row],COLUMN(G370), FALSE)</f>
        <v>Technology</v>
      </c>
      <c r="H371" t="str">
        <f>VLOOKUP($A371,Table1[#This Row],COLUMN(H370), FALSE)</f>
        <v>Machines</v>
      </c>
      <c r="I371">
        <f>VLOOKUP($A371,Table1[#This Row],COLUMN(I370), FALSE)</f>
        <v>2456.6190000000001</v>
      </c>
      <c r="J371">
        <f>VLOOKUP($A371,Table1[#This Row],COLUMN(J370), FALSE)</f>
        <v>11</v>
      </c>
      <c r="K371">
        <f>VLOOKUP($A371,Table1[#This Row],COLUMN(K370), FALSE)</f>
        <v>0.15</v>
      </c>
      <c r="L371">
        <f>VLOOKUP($A371,Table1[#This Row],COLUMN(L370), FALSE)</f>
        <v>664.71900000000005</v>
      </c>
      <c r="M371" t="str">
        <f>VLOOKUP($A371,Table1[#This Row],COLUMN(M370), FALSE)</f>
        <v>Low</v>
      </c>
      <c r="N371">
        <f>VLOOKUP($A371,Table1[#This Row],COLUMN(N370), FALSE)</f>
        <v>0</v>
      </c>
      <c r="O371" t="str">
        <f>VLOOKUP($A371,Table1[#This Row],COLUMN(O370), FALSE)</f>
        <v>Monica Federle</v>
      </c>
      <c r="P371" t="str">
        <f>VLOOKUP($A371,Table1[#This Row],COLUMN(P370), FALSE)</f>
        <v>ES</v>
      </c>
      <c r="Q371" t="str">
        <f>VLOOKUP($A371,Table1[#This Row],COLUMN(Q370), FALSE)</f>
        <v>2015</v>
      </c>
      <c r="R371" t="str">
        <f>VLOOKUP($A371,Table1[#This Row],COLUMN(R370), FALSE)</f>
        <v>LOW</v>
      </c>
      <c r="S371" t="str">
        <f>VLOOKUP($A371,Table1[#This Row],COLUMN(S370), FALSE)</f>
        <v>technology</v>
      </c>
      <c r="T371" t="str">
        <f>VLOOKUP($A371,Table1[#This Row],COLUMN(T370), FALSE)</f>
        <v>42330</v>
      </c>
      <c r="U371" t="str">
        <f>VLOOKUP($A371,Table1[#This Row],COLUMN(U370), FALSE)</f>
        <v>MF1825045</v>
      </c>
      <c r="V371" t="str">
        <f>VLOOKUP($A371,Table1[#This Row],COLUMN(V370), FALSE)</f>
        <v>ES</v>
      </c>
      <c r="W371">
        <f>VLOOKUP($A371,Table1[#This Row],COLUMN(W370), FALSE)</f>
        <v>2015</v>
      </c>
      <c r="X371" t="str">
        <f>VLOOKUP($A371,Table1[#This Row],COLUMN(X370), FALSE)</f>
        <v>MF1825045</v>
      </c>
      <c r="Y371">
        <f>VLOOKUP($A371,Table1[#This Row],COLUMN(Y370), FALSE)</f>
        <v>42330</v>
      </c>
      <c r="Z371" t="str">
        <f>VLOOKUP($A371,Table1[#This Row],COLUMN(Z370), FALSE)</f>
        <v>ES-2015-MF1825045-42330</v>
      </c>
      <c r="AA371">
        <f>VLOOKUP($A371,Table1[#This Row],COLUMN(AA370), FALSE)</f>
        <v>2015</v>
      </c>
      <c r="AB371">
        <f>VLOOKUP($A371,Table1[#This Row],COLUMN(AB370), FALSE)</f>
        <v>11</v>
      </c>
      <c r="AC371">
        <f>VLOOKUP($A371,Table1[#This Row],COLUMN(AC370), FALSE)</f>
        <v>1</v>
      </c>
      <c r="AD371">
        <f>VLOOKUP($A371,Table1[#This Row],COLUMN(AD370), FALSE)</f>
        <v>6</v>
      </c>
    </row>
    <row r="372" spans="1:30" ht="15.75">
      <c r="A372" s="53" t="s">
        <v>404</v>
      </c>
      <c r="B372" s="52">
        <f>VLOOKUP($A372,Table1[#This Row],COLUMN(B371), FALSE)</f>
        <v>42245</v>
      </c>
      <c r="C372" s="52">
        <f>VLOOKUP($A372,Table1[#This Row],COLUMN(C371), FALSE)</f>
        <v>42250</v>
      </c>
      <c r="D372" t="str">
        <f>VLOOKUP($A372,Table1[#This Row],COLUMN(D371), FALSE)</f>
        <v>Eugene Hildebrand</v>
      </c>
      <c r="E372" t="str">
        <f>VLOOKUP($A372,Table1[#This Row],COLUMN(E371), FALSE)</f>
        <v>France</v>
      </c>
      <c r="F372" t="str">
        <f>VLOOKUP($A372,Table1[#This Row],COLUMN(F371), FALSE)</f>
        <v>Western Europe</v>
      </c>
      <c r="G372" t="str">
        <f>VLOOKUP($A372,Table1[#This Row],COLUMN(G371), FALSE)</f>
        <v>Technology</v>
      </c>
      <c r="H372" t="str">
        <f>VLOOKUP($A372,Table1[#This Row],COLUMN(H371), FALSE)</f>
        <v>Copiers</v>
      </c>
      <c r="I372">
        <f>VLOOKUP($A372,Table1[#This Row],COLUMN(I371), FALSE)</f>
        <v>4876.875</v>
      </c>
      <c r="J372">
        <f>VLOOKUP($A372,Table1[#This Row],COLUMN(J371), FALSE)</f>
        <v>9</v>
      </c>
      <c r="K372">
        <f>VLOOKUP($A372,Table1[#This Row],COLUMN(K371), FALSE)</f>
        <v>0.15</v>
      </c>
      <c r="L372">
        <f>VLOOKUP($A372,Table1[#This Row],COLUMN(L371), FALSE)</f>
        <v>745.875</v>
      </c>
      <c r="M372" t="str">
        <f>VLOOKUP($A372,Table1[#This Row],COLUMN(M371), FALSE)</f>
        <v>Medium</v>
      </c>
      <c r="N372">
        <f>VLOOKUP($A372,Table1[#This Row],COLUMN(N371), FALSE)</f>
        <v>0</v>
      </c>
      <c r="O372" t="str">
        <f>VLOOKUP($A372,Table1[#This Row],COLUMN(O371), FALSE)</f>
        <v>Eugene Hildebrand</v>
      </c>
      <c r="P372" t="str">
        <f>VLOOKUP($A372,Table1[#This Row],COLUMN(P371), FALSE)</f>
        <v>ES</v>
      </c>
      <c r="Q372" t="str">
        <f>VLOOKUP($A372,Table1[#This Row],COLUMN(Q371), FALSE)</f>
        <v>2015</v>
      </c>
      <c r="R372" t="str">
        <f>VLOOKUP($A372,Table1[#This Row],COLUMN(R371), FALSE)</f>
        <v>MEDIUM</v>
      </c>
      <c r="S372" t="str">
        <f>VLOOKUP($A372,Table1[#This Row],COLUMN(S371), FALSE)</f>
        <v>technology</v>
      </c>
      <c r="T372" t="str">
        <f>VLOOKUP($A372,Table1[#This Row],COLUMN(T371), FALSE)</f>
        <v>42245</v>
      </c>
      <c r="U372" t="str">
        <f>VLOOKUP($A372,Table1[#This Row],COLUMN(U371), FALSE)</f>
        <v>EH1412545</v>
      </c>
      <c r="V372" t="str">
        <f>VLOOKUP($A372,Table1[#This Row],COLUMN(V371), FALSE)</f>
        <v>ES</v>
      </c>
      <c r="W372">
        <f>VLOOKUP($A372,Table1[#This Row],COLUMN(W371), FALSE)</f>
        <v>2015</v>
      </c>
      <c r="X372" t="str">
        <f>VLOOKUP($A372,Table1[#This Row],COLUMN(X371), FALSE)</f>
        <v>EH1412545</v>
      </c>
      <c r="Y372">
        <f>VLOOKUP($A372,Table1[#This Row],COLUMN(Y371), FALSE)</f>
        <v>42245</v>
      </c>
      <c r="Z372" t="str">
        <f>VLOOKUP($A372,Table1[#This Row],COLUMN(Z371), FALSE)</f>
        <v>ES-2015-EH1412545-42245</v>
      </c>
      <c r="AA372">
        <f>VLOOKUP($A372,Table1[#This Row],COLUMN(AA371), FALSE)</f>
        <v>2015</v>
      </c>
      <c r="AB372">
        <f>VLOOKUP($A372,Table1[#This Row],COLUMN(AB371), FALSE)</f>
        <v>8</v>
      </c>
      <c r="AC372">
        <f>VLOOKUP($A372,Table1[#This Row],COLUMN(AC371), FALSE)</f>
        <v>7</v>
      </c>
      <c r="AD372">
        <f>VLOOKUP($A372,Table1[#This Row],COLUMN(AD371), FALSE)</f>
        <v>5</v>
      </c>
    </row>
    <row r="373" spans="1:30" ht="15.75">
      <c r="A373" s="54" t="s">
        <v>143</v>
      </c>
      <c r="B373" s="52">
        <f>VLOOKUP($A373,Table1[#This Row],COLUMN(B372), FALSE)</f>
        <v>42319</v>
      </c>
      <c r="C373" s="52">
        <f>VLOOKUP($A373,Table1[#This Row],COLUMN(C372), FALSE)</f>
        <v>42323</v>
      </c>
      <c r="D373" t="str">
        <f>VLOOKUP($A373,Table1[#This Row],COLUMN(D372), FALSE)</f>
        <v>Barry Franz</v>
      </c>
      <c r="E373" t="str">
        <f>VLOOKUP($A373,Table1[#This Row],COLUMN(E372), FALSE)</f>
        <v>India</v>
      </c>
      <c r="F373" t="str">
        <f>VLOOKUP($A373,Table1[#This Row],COLUMN(F372), FALSE)</f>
        <v>Southern Asia</v>
      </c>
      <c r="G373" t="str">
        <f>VLOOKUP($A373,Table1[#This Row],COLUMN(G372), FALSE)</f>
        <v>Office Supplies</v>
      </c>
      <c r="H373" t="str">
        <f>VLOOKUP($A373,Table1[#This Row],COLUMN(H372), FALSE)</f>
        <v>Phones</v>
      </c>
      <c r="I373">
        <f>VLOOKUP($A373,Table1[#This Row],COLUMN(I372), FALSE)</f>
        <v>3622.28999999999</v>
      </c>
      <c r="J373">
        <f>VLOOKUP($A373,Table1[#This Row],COLUMN(J372), FALSE)</f>
        <v>7</v>
      </c>
      <c r="K373">
        <f>VLOOKUP($A373,Table1[#This Row],COLUMN(K372), FALSE)</f>
        <v>0</v>
      </c>
      <c r="L373">
        <f>VLOOKUP($A373,Table1[#This Row],COLUMN(L372), FALSE)</f>
        <v>1267.77</v>
      </c>
      <c r="M373" t="str">
        <f>VLOOKUP($A373,Table1[#This Row],COLUMN(M372), FALSE)</f>
        <v>High</v>
      </c>
      <c r="N373">
        <f>VLOOKUP($A373,Table1[#This Row],COLUMN(N372), FALSE)</f>
        <v>0</v>
      </c>
      <c r="O373" t="str">
        <f>VLOOKUP($A373,Table1[#This Row],COLUMN(O372), FALSE)</f>
        <v>Barry Franz</v>
      </c>
      <c r="P373" t="str">
        <f>VLOOKUP($A373,Table1[#This Row],COLUMN(P372), FALSE)</f>
        <v>IN</v>
      </c>
      <c r="Q373" t="str">
        <f>VLOOKUP($A373,Table1[#This Row],COLUMN(Q372), FALSE)</f>
        <v>2015</v>
      </c>
      <c r="R373" t="str">
        <f>VLOOKUP($A373,Table1[#This Row],COLUMN(R372), FALSE)</f>
        <v>HIGH</v>
      </c>
      <c r="S373" t="str">
        <f>VLOOKUP($A373,Table1[#This Row],COLUMN(S372), FALSE)</f>
        <v>office supplies</v>
      </c>
      <c r="T373" t="str">
        <f>VLOOKUP($A373,Table1[#This Row],COLUMN(T372), FALSE)</f>
        <v>42319</v>
      </c>
      <c r="U373" t="str">
        <f>VLOOKUP($A373,Table1[#This Row],COLUMN(U372), FALSE)</f>
        <v>BF1100558</v>
      </c>
      <c r="V373" t="str">
        <f>VLOOKUP($A373,Table1[#This Row],COLUMN(V372), FALSE)</f>
        <v>IN</v>
      </c>
      <c r="W373">
        <f>VLOOKUP($A373,Table1[#This Row],COLUMN(W372), FALSE)</f>
        <v>2015</v>
      </c>
      <c r="X373" t="str">
        <f>VLOOKUP($A373,Table1[#This Row],COLUMN(X372), FALSE)</f>
        <v>BF1100558</v>
      </c>
      <c r="Y373">
        <f>VLOOKUP($A373,Table1[#This Row],COLUMN(Y372), FALSE)</f>
        <v>42319</v>
      </c>
      <c r="Z373" t="str">
        <f>VLOOKUP($A373,Table1[#This Row],COLUMN(Z372), FALSE)</f>
        <v>IN-2015-BF1100558-42319</v>
      </c>
      <c r="AA373">
        <f>VLOOKUP($A373,Table1[#This Row],COLUMN(AA372), FALSE)</f>
        <v>2015</v>
      </c>
      <c r="AB373">
        <f>VLOOKUP($A373,Table1[#This Row],COLUMN(AB372), FALSE)</f>
        <v>11</v>
      </c>
      <c r="AC373">
        <f>VLOOKUP($A373,Table1[#This Row],COLUMN(AC372), FALSE)</f>
        <v>4</v>
      </c>
      <c r="AD373">
        <f>VLOOKUP($A373,Table1[#This Row],COLUMN(AD372), FALSE)</f>
        <v>4</v>
      </c>
    </row>
    <row r="374" spans="1:30" ht="15.75">
      <c r="A374" s="53" t="s">
        <v>409</v>
      </c>
      <c r="B374" s="52">
        <f>VLOOKUP($A374,Table1[#This Row],COLUMN(B373), FALSE)</f>
        <v>41136</v>
      </c>
      <c r="C374" s="52">
        <f>VLOOKUP($A374,Table1[#This Row],COLUMN(C373), FALSE)</f>
        <v>41141</v>
      </c>
      <c r="D374" t="str">
        <f>VLOOKUP($A374,Table1[#This Row],COLUMN(D373), FALSE)</f>
        <v>Alice McCarthy</v>
      </c>
      <c r="E374" t="str">
        <f>VLOOKUP($A374,Table1[#This Row],COLUMN(E373), FALSE)</f>
        <v>United Kingdom</v>
      </c>
      <c r="F374" t="str">
        <f>VLOOKUP($A374,Table1[#This Row],COLUMN(F373), FALSE)</f>
        <v>Northern Europe</v>
      </c>
      <c r="G374" t="str">
        <f>VLOOKUP($A374,Table1[#This Row],COLUMN(G373), FALSE)</f>
        <v>Technology</v>
      </c>
      <c r="H374" t="str">
        <f>VLOOKUP($A374,Table1[#This Row],COLUMN(H373), FALSE)</f>
        <v>Appliances</v>
      </c>
      <c r="I374">
        <f>VLOOKUP($A374,Table1[#This Row],COLUMN(I373), FALSE)</f>
        <v>4453.05</v>
      </c>
      <c r="J374">
        <f>VLOOKUP($A374,Table1[#This Row],COLUMN(J373), FALSE)</f>
        <v>7</v>
      </c>
      <c r="K374">
        <f>VLOOKUP($A374,Table1[#This Row],COLUMN(K373), FALSE)</f>
        <v>0</v>
      </c>
      <c r="L374">
        <f>VLOOKUP($A374,Table1[#This Row],COLUMN(L373), FALSE)</f>
        <v>1424.85</v>
      </c>
      <c r="M374" t="str">
        <f>VLOOKUP($A374,Table1[#This Row],COLUMN(M373), FALSE)</f>
        <v>Medium</v>
      </c>
      <c r="N374">
        <f>VLOOKUP($A374,Table1[#This Row],COLUMN(N373), FALSE)</f>
        <v>0</v>
      </c>
      <c r="O374" t="str">
        <f>VLOOKUP($A374,Table1[#This Row],COLUMN(O373), FALSE)</f>
        <v>Alice Mccarthy</v>
      </c>
      <c r="P374" t="str">
        <f>VLOOKUP($A374,Table1[#This Row],COLUMN(P373), FALSE)</f>
        <v>ES</v>
      </c>
      <c r="Q374" t="str">
        <f>VLOOKUP($A374,Table1[#This Row],COLUMN(Q373), FALSE)</f>
        <v>2012</v>
      </c>
      <c r="R374" t="str">
        <f>VLOOKUP($A374,Table1[#This Row],COLUMN(R373), FALSE)</f>
        <v>MEDIUM</v>
      </c>
      <c r="S374" t="str">
        <f>VLOOKUP($A374,Table1[#This Row],COLUMN(S373), FALSE)</f>
        <v>technology</v>
      </c>
      <c r="T374" t="str">
        <f>VLOOKUP($A374,Table1[#This Row],COLUMN(T373), FALSE)</f>
        <v>41136</v>
      </c>
      <c r="U374" t="str">
        <f>VLOOKUP($A374,Table1[#This Row],COLUMN(U373), FALSE)</f>
        <v>AM10360139</v>
      </c>
      <c r="V374" t="str">
        <f>VLOOKUP($A374,Table1[#This Row],COLUMN(V373), FALSE)</f>
        <v>ES</v>
      </c>
      <c r="W374">
        <f>VLOOKUP($A374,Table1[#This Row],COLUMN(W373), FALSE)</f>
        <v>2012</v>
      </c>
      <c r="X374" t="str">
        <f>VLOOKUP($A374,Table1[#This Row],COLUMN(X373), FALSE)</f>
        <v>AM10360139</v>
      </c>
      <c r="Y374">
        <f>VLOOKUP($A374,Table1[#This Row],COLUMN(Y373), FALSE)</f>
        <v>41136</v>
      </c>
      <c r="Z374" t="str">
        <f>VLOOKUP($A374,Table1[#This Row],COLUMN(Z373), FALSE)</f>
        <v>ES-2012-AM10360139-41136</v>
      </c>
      <c r="AA374">
        <f>VLOOKUP($A374,Table1[#This Row],COLUMN(AA373), FALSE)</f>
        <v>2012</v>
      </c>
      <c r="AB374">
        <f>VLOOKUP($A374,Table1[#This Row],COLUMN(AB373), FALSE)</f>
        <v>8</v>
      </c>
      <c r="AC374">
        <f>VLOOKUP($A374,Table1[#This Row],COLUMN(AC373), FALSE)</f>
        <v>4</v>
      </c>
      <c r="AD374">
        <f>VLOOKUP($A374,Table1[#This Row],COLUMN(AD373), FALSE)</f>
        <v>5</v>
      </c>
    </row>
    <row r="375" spans="1:30" ht="15.75">
      <c r="A375" s="54" t="s">
        <v>425</v>
      </c>
      <c r="B375" s="52">
        <f>VLOOKUP($A375,Table1[#This Row],COLUMN(B374), FALSE)</f>
        <v>41066</v>
      </c>
      <c r="C375" s="52">
        <f>VLOOKUP($A375,Table1[#This Row],COLUMN(C374), FALSE)</f>
        <v>41070</v>
      </c>
      <c r="D375" t="str">
        <f>VLOOKUP($A375,Table1[#This Row],COLUMN(D374), FALSE)</f>
        <v>Daniel Raglin</v>
      </c>
      <c r="E375" t="str">
        <f>VLOOKUP($A375,Table1[#This Row],COLUMN(E374), FALSE)</f>
        <v>Australia</v>
      </c>
      <c r="F375" t="str">
        <f>VLOOKUP($A375,Table1[#This Row],COLUMN(F374), FALSE)</f>
        <v>Oceania</v>
      </c>
      <c r="G375" t="str">
        <f>VLOOKUP($A375,Table1[#This Row],COLUMN(G374), FALSE)</f>
        <v>Office Supplies</v>
      </c>
      <c r="H375" t="str">
        <f>VLOOKUP($A375,Table1[#This Row],COLUMN(H374), FALSE)</f>
        <v>Appliances</v>
      </c>
      <c r="I375">
        <f>VLOOKUP($A375,Table1[#This Row],COLUMN(I374), FALSE)</f>
        <v>4624.29</v>
      </c>
      <c r="J375">
        <f>VLOOKUP($A375,Table1[#This Row],COLUMN(J374), FALSE)</f>
        <v>9</v>
      </c>
      <c r="K375">
        <f>VLOOKUP($A375,Table1[#This Row],COLUMN(K374), FALSE)</f>
        <v>0.1</v>
      </c>
      <c r="L375">
        <f>VLOOKUP($A375,Table1[#This Row],COLUMN(L374), FALSE)</f>
        <v>1644.03</v>
      </c>
      <c r="M375" t="str">
        <f>VLOOKUP($A375,Table1[#This Row],COLUMN(M374), FALSE)</f>
        <v>Medium</v>
      </c>
      <c r="N375">
        <f>VLOOKUP($A375,Table1[#This Row],COLUMN(N374), FALSE)</f>
        <v>0</v>
      </c>
      <c r="O375" t="str">
        <f>VLOOKUP($A375,Table1[#This Row],COLUMN(O374), FALSE)</f>
        <v>Daniel Raglin</v>
      </c>
      <c r="P375" t="str">
        <f>VLOOKUP($A375,Table1[#This Row],COLUMN(P374), FALSE)</f>
        <v>IN</v>
      </c>
      <c r="Q375" t="str">
        <f>VLOOKUP($A375,Table1[#This Row],COLUMN(Q374), FALSE)</f>
        <v>2012</v>
      </c>
      <c r="R375" t="str">
        <f>VLOOKUP($A375,Table1[#This Row],COLUMN(R374), FALSE)</f>
        <v>MEDIUM</v>
      </c>
      <c r="S375" t="str">
        <f>VLOOKUP($A375,Table1[#This Row],COLUMN(S374), FALSE)</f>
        <v>office supplies</v>
      </c>
      <c r="T375" t="str">
        <f>VLOOKUP($A375,Table1[#This Row],COLUMN(T374), FALSE)</f>
        <v>41066</v>
      </c>
      <c r="U375" t="str">
        <f>VLOOKUP($A375,Table1[#This Row],COLUMN(U374), FALSE)</f>
        <v>DR129407</v>
      </c>
      <c r="V375" t="str">
        <f>VLOOKUP($A375,Table1[#This Row],COLUMN(V374), FALSE)</f>
        <v>IN</v>
      </c>
      <c r="W375">
        <f>VLOOKUP($A375,Table1[#This Row],COLUMN(W374), FALSE)</f>
        <v>2012</v>
      </c>
      <c r="X375" t="str">
        <f>VLOOKUP($A375,Table1[#This Row],COLUMN(X374), FALSE)</f>
        <v>DR129407</v>
      </c>
      <c r="Y375">
        <f>VLOOKUP($A375,Table1[#This Row],COLUMN(Y374), FALSE)</f>
        <v>41066</v>
      </c>
      <c r="Z375" t="str">
        <f>VLOOKUP($A375,Table1[#This Row],COLUMN(Z374), FALSE)</f>
        <v>IN-2012-DR129407-41066</v>
      </c>
      <c r="AA375">
        <f>VLOOKUP($A375,Table1[#This Row],COLUMN(AA374), FALSE)</f>
        <v>2012</v>
      </c>
      <c r="AB375">
        <f>VLOOKUP($A375,Table1[#This Row],COLUMN(AB374), FALSE)</f>
        <v>6</v>
      </c>
      <c r="AC375">
        <f>VLOOKUP($A375,Table1[#This Row],COLUMN(AC374), FALSE)</f>
        <v>4</v>
      </c>
      <c r="AD375">
        <f>VLOOKUP($A375,Table1[#This Row],COLUMN(AD374), FALSE)</f>
        <v>4</v>
      </c>
    </row>
    <row r="376" spans="1:30" ht="15.75">
      <c r="A376" s="53" t="s">
        <v>427</v>
      </c>
      <c r="B376" s="52">
        <f>VLOOKUP($A376,Table1[#This Row],COLUMN(B375), FALSE)</f>
        <v>41194</v>
      </c>
      <c r="C376" s="52">
        <f>VLOOKUP($A376,Table1[#This Row],COLUMN(C375), FALSE)</f>
        <v>41194</v>
      </c>
      <c r="D376" t="str">
        <f>VLOOKUP($A376,Table1[#This Row],COLUMN(D375), FALSE)</f>
        <v>Nona Balk</v>
      </c>
      <c r="E376" t="str">
        <f>VLOOKUP($A376,Table1[#This Row],COLUMN(E375), FALSE)</f>
        <v>Germany#</v>
      </c>
      <c r="F376" t="str">
        <f>VLOOKUP($A376,Table1[#This Row],COLUMN(F375), FALSE)</f>
        <v>Western Europe</v>
      </c>
      <c r="G376" t="str">
        <f>VLOOKUP($A376,Table1[#This Row],COLUMN(G375), FALSE)</f>
        <v>Office Supplies</v>
      </c>
      <c r="H376" t="str">
        <f>VLOOKUP($A376,Table1[#This Row],COLUMN(H375), FALSE)</f>
        <v>Storage</v>
      </c>
      <c r="I376">
        <f>VLOOKUP($A376,Table1[#This Row],COLUMN(I375), FALSE)</f>
        <v>1066.4459999999999</v>
      </c>
      <c r="J376">
        <f>VLOOKUP($A376,Table1[#This Row],COLUMN(J375), FALSE)</f>
        <v>6</v>
      </c>
      <c r="K376">
        <f>VLOOKUP($A376,Table1[#This Row],COLUMN(K375), FALSE)</f>
        <v>0.1</v>
      </c>
      <c r="L376">
        <f>VLOOKUP($A376,Table1[#This Row],COLUMN(L375), FALSE)</f>
        <v>-11.933999999999999</v>
      </c>
      <c r="M376" t="str">
        <f>VLOOKUP($A376,Table1[#This Row],COLUMN(M375), FALSE)</f>
        <v>Critical</v>
      </c>
      <c r="N376">
        <f>VLOOKUP($A376,Table1[#This Row],COLUMN(N375), FALSE)</f>
        <v>0</v>
      </c>
      <c r="O376" t="str">
        <f>VLOOKUP($A376,Table1[#This Row],COLUMN(O375), FALSE)</f>
        <v>Nona Balk</v>
      </c>
      <c r="P376" t="str">
        <f>VLOOKUP($A376,Table1[#This Row],COLUMN(P375), FALSE)</f>
        <v>ES</v>
      </c>
      <c r="Q376" t="str">
        <f>VLOOKUP($A376,Table1[#This Row],COLUMN(Q375), FALSE)</f>
        <v>2012</v>
      </c>
      <c r="R376" t="str">
        <f>VLOOKUP($A376,Table1[#This Row],COLUMN(R375), FALSE)</f>
        <v>CRITICAL</v>
      </c>
      <c r="S376" t="str">
        <f>VLOOKUP($A376,Table1[#This Row],COLUMN(S375), FALSE)</f>
        <v>office supplies</v>
      </c>
      <c r="T376" t="str">
        <f>VLOOKUP($A376,Table1[#This Row],COLUMN(T375), FALSE)</f>
        <v>41194</v>
      </c>
      <c r="U376" t="str">
        <f>VLOOKUP($A376,Table1[#This Row],COLUMN(U375), FALSE)</f>
        <v>NB1865548</v>
      </c>
      <c r="V376" t="str">
        <f>VLOOKUP($A376,Table1[#This Row],COLUMN(V375), FALSE)</f>
        <v>ES</v>
      </c>
      <c r="W376">
        <f>VLOOKUP($A376,Table1[#This Row],COLUMN(W375), FALSE)</f>
        <v>2012</v>
      </c>
      <c r="X376" t="str">
        <f>VLOOKUP($A376,Table1[#This Row],COLUMN(X375), FALSE)</f>
        <v>NB1865548</v>
      </c>
      <c r="Y376">
        <f>VLOOKUP($A376,Table1[#This Row],COLUMN(Y375), FALSE)</f>
        <v>41194</v>
      </c>
      <c r="Z376" t="str">
        <f>VLOOKUP($A376,Table1[#This Row],COLUMN(Z375), FALSE)</f>
        <v>ES-2012-NB1865548-41194</v>
      </c>
      <c r="AA376">
        <f>VLOOKUP($A376,Table1[#This Row],COLUMN(AA375), FALSE)</f>
        <v>2012</v>
      </c>
      <c r="AB376">
        <f>VLOOKUP($A376,Table1[#This Row],COLUMN(AB375), FALSE)</f>
        <v>10</v>
      </c>
      <c r="AC376">
        <f>VLOOKUP($A376,Table1[#This Row],COLUMN(AC375), FALSE)</f>
        <v>6</v>
      </c>
      <c r="AD376">
        <f>VLOOKUP($A376,Table1[#This Row],COLUMN(AD375), FALSE)</f>
        <v>0</v>
      </c>
    </row>
    <row r="377" spans="1:30" ht="15.75">
      <c r="A377" s="54" t="s">
        <v>443</v>
      </c>
      <c r="B377" s="52">
        <f>VLOOKUP($A377,Table1[#This Row],COLUMN(B376), FALSE)</f>
        <v>41129</v>
      </c>
      <c r="C377" s="52">
        <f>VLOOKUP($A377,Table1[#This Row],COLUMN(C376), FALSE)</f>
        <v>41129</v>
      </c>
      <c r="D377" t="str">
        <f>VLOOKUP($A377,Table1[#This Row],COLUMN(D376), FALSE)</f>
        <v>Larry Hughes</v>
      </c>
      <c r="E377" t="str">
        <f>VLOOKUP($A377,Table1[#This Row],COLUMN(E376), FALSE)</f>
        <v>Dominican Republic</v>
      </c>
      <c r="F377" t="str">
        <f>VLOOKUP($A377,Table1[#This Row],COLUMN(F376), FALSE)</f>
        <v>Caribbean</v>
      </c>
      <c r="G377" t="str">
        <f>VLOOKUP($A377,Table1[#This Row],COLUMN(G376), FALSE)</f>
        <v>Technology</v>
      </c>
      <c r="H377" t="str">
        <f>VLOOKUP($A377,Table1[#This Row],COLUMN(H376), FALSE)</f>
        <v>Machines</v>
      </c>
      <c r="I377">
        <f>VLOOKUP($A377,Table1[#This Row],COLUMN(I376), FALSE)</f>
        <v>2044.8</v>
      </c>
      <c r="J377">
        <f>VLOOKUP($A377,Table1[#This Row],COLUMN(J376), FALSE)</f>
        <v>6</v>
      </c>
      <c r="K377">
        <f>VLOOKUP($A377,Table1[#This Row],COLUMN(K376), FALSE)</f>
        <v>0.2</v>
      </c>
      <c r="L377">
        <f>VLOOKUP($A377,Table1[#This Row],COLUMN(L376), FALSE)</f>
        <v>-332.28</v>
      </c>
      <c r="M377" t="str">
        <f>VLOOKUP($A377,Table1[#This Row],COLUMN(M376), FALSE)</f>
        <v>High</v>
      </c>
      <c r="N377">
        <f>VLOOKUP($A377,Table1[#This Row],COLUMN(N376), FALSE)</f>
        <v>0</v>
      </c>
      <c r="O377" t="str">
        <f>VLOOKUP($A377,Table1[#This Row],COLUMN(O376), FALSE)</f>
        <v>Larry Hughes</v>
      </c>
      <c r="P377" t="str">
        <f>VLOOKUP($A377,Table1[#This Row],COLUMN(P376), FALSE)</f>
        <v>US</v>
      </c>
      <c r="Q377" t="str">
        <f>VLOOKUP($A377,Table1[#This Row],COLUMN(Q376), FALSE)</f>
        <v>2012</v>
      </c>
      <c r="R377" t="str">
        <f>VLOOKUP($A377,Table1[#This Row],COLUMN(R376), FALSE)</f>
        <v>HIGH</v>
      </c>
      <c r="S377" t="str">
        <f>VLOOKUP($A377,Table1[#This Row],COLUMN(S376), FALSE)</f>
        <v>technology</v>
      </c>
      <c r="T377" t="str">
        <f>VLOOKUP($A377,Table1[#This Row],COLUMN(T376), FALSE)</f>
        <v>41129</v>
      </c>
      <c r="U377" t="str">
        <f>VLOOKUP($A377,Table1[#This Row],COLUMN(U376), FALSE)</f>
        <v>LH1675036</v>
      </c>
      <c r="V377" t="str">
        <f>VLOOKUP($A377,Table1[#This Row],COLUMN(V376), FALSE)</f>
        <v>US</v>
      </c>
      <c r="W377">
        <f>VLOOKUP($A377,Table1[#This Row],COLUMN(W376), FALSE)</f>
        <v>2012</v>
      </c>
      <c r="X377" t="str">
        <f>VLOOKUP($A377,Table1[#This Row],COLUMN(X376), FALSE)</f>
        <v>LH1675036</v>
      </c>
      <c r="Y377">
        <f>VLOOKUP($A377,Table1[#This Row],COLUMN(Y376), FALSE)</f>
        <v>41129</v>
      </c>
      <c r="Z377" t="str">
        <f>VLOOKUP($A377,Table1[#This Row],COLUMN(Z376), FALSE)</f>
        <v>US-2012-LH1675036-41129</v>
      </c>
      <c r="AA377">
        <f>VLOOKUP($A377,Table1[#This Row],COLUMN(AA376), FALSE)</f>
        <v>2012</v>
      </c>
      <c r="AB377">
        <f>VLOOKUP($A377,Table1[#This Row],COLUMN(AB376), FALSE)</f>
        <v>8</v>
      </c>
      <c r="AC377">
        <f>VLOOKUP($A377,Table1[#This Row],COLUMN(AC376), FALSE)</f>
        <v>4</v>
      </c>
      <c r="AD377">
        <f>VLOOKUP($A377,Table1[#This Row],COLUMN(AD376), FALSE)</f>
        <v>0</v>
      </c>
    </row>
    <row r="378" spans="1:30" ht="15.75">
      <c r="A378" s="53" t="s">
        <v>465</v>
      </c>
      <c r="B378" s="52">
        <f>VLOOKUP($A378,Table1[#This Row],COLUMN(B377), FALSE)</f>
        <v>42308</v>
      </c>
      <c r="C378" s="52">
        <f>VLOOKUP($A378,Table1[#This Row],COLUMN(C377), FALSE)</f>
        <v>42311</v>
      </c>
      <c r="D378" t="str">
        <f>VLOOKUP($A378,Table1[#This Row],COLUMN(D377), FALSE)</f>
        <v>Dave Kipp</v>
      </c>
      <c r="E378" t="str">
        <f>VLOOKUP($A378,Table1[#This Row],COLUMN(E377), FALSE)</f>
        <v>China</v>
      </c>
      <c r="F378" t="str">
        <f>VLOOKUP($A378,Table1[#This Row],COLUMN(F377), FALSE)</f>
        <v>Eastern Asia</v>
      </c>
      <c r="G378" t="str">
        <f>VLOOKUP($A378,Table1[#This Row],COLUMN(G377), FALSE)</f>
        <v>Technology</v>
      </c>
      <c r="H378" t="str">
        <f>VLOOKUP($A378,Table1[#This Row],COLUMN(H377), FALSE)</f>
        <v>Bookcases</v>
      </c>
      <c r="I378">
        <f>VLOOKUP($A378,Table1[#This Row],COLUMN(I377), FALSE)</f>
        <v>2272.86</v>
      </c>
      <c r="J378">
        <f>VLOOKUP($A378,Table1[#This Row],COLUMN(J377), FALSE)</f>
        <v>6</v>
      </c>
      <c r="K378">
        <f>VLOOKUP($A378,Table1[#This Row],COLUMN(K377), FALSE)</f>
        <v>0</v>
      </c>
      <c r="L378">
        <f>VLOOKUP($A378,Table1[#This Row],COLUMN(L377), FALSE)</f>
        <v>977.22</v>
      </c>
      <c r="M378" t="str">
        <f>VLOOKUP($A378,Table1[#This Row],COLUMN(M377), FALSE)</f>
        <v>High</v>
      </c>
      <c r="N378">
        <f>VLOOKUP($A378,Table1[#This Row],COLUMN(N377), FALSE)</f>
        <v>0</v>
      </c>
      <c r="O378" t="str">
        <f>VLOOKUP($A378,Table1[#This Row],COLUMN(O377), FALSE)</f>
        <v>Dave Kipp</v>
      </c>
      <c r="P378" t="str">
        <f>VLOOKUP($A378,Table1[#This Row],COLUMN(P377), FALSE)</f>
        <v>IN</v>
      </c>
      <c r="Q378" t="str">
        <f>VLOOKUP($A378,Table1[#This Row],COLUMN(Q377), FALSE)</f>
        <v>2015</v>
      </c>
      <c r="R378" t="str">
        <f>VLOOKUP($A378,Table1[#This Row],COLUMN(R377), FALSE)</f>
        <v>HIGH</v>
      </c>
      <c r="S378" t="str">
        <f>VLOOKUP($A378,Table1[#This Row],COLUMN(S377), FALSE)</f>
        <v>technology</v>
      </c>
      <c r="T378" t="str">
        <f>VLOOKUP($A378,Table1[#This Row],COLUMN(T377), FALSE)</f>
        <v>42308</v>
      </c>
      <c r="U378" t="str">
        <f>VLOOKUP($A378,Table1[#This Row],COLUMN(U377), FALSE)</f>
        <v>DK1309027</v>
      </c>
      <c r="V378" t="str">
        <f>VLOOKUP($A378,Table1[#This Row],COLUMN(V377), FALSE)</f>
        <v>IN</v>
      </c>
      <c r="W378">
        <f>VLOOKUP($A378,Table1[#This Row],COLUMN(W377), FALSE)</f>
        <v>2015</v>
      </c>
      <c r="X378" t="str">
        <f>VLOOKUP($A378,Table1[#This Row],COLUMN(X377), FALSE)</f>
        <v>DK1309027</v>
      </c>
      <c r="Y378">
        <f>VLOOKUP($A378,Table1[#This Row],COLUMN(Y377), FALSE)</f>
        <v>42308</v>
      </c>
      <c r="Z378" t="str">
        <f>VLOOKUP($A378,Table1[#This Row],COLUMN(Z377), FALSE)</f>
        <v>IN-2015-DK1309027-42308</v>
      </c>
      <c r="AA378">
        <f>VLOOKUP($A378,Table1[#This Row],COLUMN(AA377), FALSE)</f>
        <v>2015</v>
      </c>
      <c r="AB378">
        <f>VLOOKUP($A378,Table1[#This Row],COLUMN(AB377), FALSE)</f>
        <v>10</v>
      </c>
      <c r="AC378">
        <f>VLOOKUP($A378,Table1[#This Row],COLUMN(AC377), FALSE)</f>
        <v>7</v>
      </c>
      <c r="AD378">
        <f>VLOOKUP($A378,Table1[#This Row],COLUMN(AD377), FALSE)</f>
        <v>3</v>
      </c>
    </row>
    <row r="379" spans="1:30" ht="15.75">
      <c r="A379" s="54" t="s">
        <v>491</v>
      </c>
      <c r="B379" s="52">
        <f>VLOOKUP($A379,Table1[#This Row],COLUMN(B378), FALSE)</f>
        <v>41487</v>
      </c>
      <c r="C379" s="52">
        <f>VLOOKUP($A379,Table1[#This Row],COLUMN(C378), FALSE)</f>
        <v>41492</v>
      </c>
      <c r="D379" t="str">
        <f>VLOOKUP($A379,Table1[#This Row],COLUMN(D378), FALSE)</f>
        <v>Ellis Ballard</v>
      </c>
      <c r="E379" t="str">
        <f>VLOOKUP($A379,Table1[#This Row],COLUMN(E378), FALSE)</f>
        <v>United Kingdom</v>
      </c>
      <c r="F379" t="str">
        <f>VLOOKUP($A379,Table1[#This Row],COLUMN(F378), FALSE)</f>
        <v>Northern Europe</v>
      </c>
      <c r="G379" t="str">
        <f>VLOOKUP($A379,Table1[#This Row],COLUMN(G378), FALSE)</f>
        <v>Office Supplies</v>
      </c>
      <c r="H379" t="str">
        <f>VLOOKUP($A379,Table1[#This Row],COLUMN(H378), FALSE)</f>
        <v>Appliances</v>
      </c>
      <c r="I379">
        <f>VLOOKUP($A379,Table1[#This Row],COLUMN(I378), FALSE)</f>
        <v>3979.29</v>
      </c>
      <c r="J379">
        <f>VLOOKUP($A379,Table1[#This Row],COLUMN(J378), FALSE)</f>
        <v>7</v>
      </c>
      <c r="K379">
        <f>VLOOKUP($A379,Table1[#This Row],COLUMN(K378), FALSE)</f>
        <v>0</v>
      </c>
      <c r="L379">
        <f>VLOOKUP($A379,Table1[#This Row],COLUMN(L378), FALSE)</f>
        <v>1989.53999999999</v>
      </c>
      <c r="M379" t="str">
        <f>VLOOKUP($A379,Table1[#This Row],COLUMN(M378), FALSE)</f>
        <v>Medium</v>
      </c>
      <c r="N379">
        <f>VLOOKUP($A379,Table1[#This Row],COLUMN(N378), FALSE)</f>
        <v>0</v>
      </c>
      <c r="O379" t="str">
        <f>VLOOKUP($A379,Table1[#This Row],COLUMN(O378), FALSE)</f>
        <v>Ellis Ballard</v>
      </c>
      <c r="P379" t="str">
        <f>VLOOKUP($A379,Table1[#This Row],COLUMN(P378), FALSE)</f>
        <v>ES</v>
      </c>
      <c r="Q379" t="str">
        <f>VLOOKUP($A379,Table1[#This Row],COLUMN(Q378), FALSE)</f>
        <v>2013</v>
      </c>
      <c r="R379" t="str">
        <f>VLOOKUP($A379,Table1[#This Row],COLUMN(R378), FALSE)</f>
        <v>MEDIUM</v>
      </c>
      <c r="S379" t="str">
        <f>VLOOKUP($A379,Table1[#This Row],COLUMN(S378), FALSE)</f>
        <v>office supplies</v>
      </c>
      <c r="T379" t="str">
        <f>VLOOKUP($A379,Table1[#This Row],COLUMN(T378), FALSE)</f>
        <v>41487</v>
      </c>
      <c r="U379" t="str">
        <f>VLOOKUP($A379,Table1[#This Row],COLUMN(U378), FALSE)</f>
        <v>EB13840139</v>
      </c>
      <c r="V379" t="str">
        <f>VLOOKUP($A379,Table1[#This Row],COLUMN(V378), FALSE)</f>
        <v>ES</v>
      </c>
      <c r="W379">
        <f>VLOOKUP($A379,Table1[#This Row],COLUMN(W378), FALSE)</f>
        <v>2013</v>
      </c>
      <c r="X379" t="str">
        <f>VLOOKUP($A379,Table1[#This Row],COLUMN(X378), FALSE)</f>
        <v>EB13840139</v>
      </c>
      <c r="Y379">
        <f>VLOOKUP($A379,Table1[#This Row],COLUMN(Y378), FALSE)</f>
        <v>41487</v>
      </c>
      <c r="Z379" t="str">
        <f>VLOOKUP($A379,Table1[#This Row],COLUMN(Z378), FALSE)</f>
        <v>ES-2013-EB13840139-41487</v>
      </c>
      <c r="AA379">
        <f>VLOOKUP($A379,Table1[#This Row],COLUMN(AA378), FALSE)</f>
        <v>2013</v>
      </c>
      <c r="AB379">
        <f>VLOOKUP($A379,Table1[#This Row],COLUMN(AB378), FALSE)</f>
        <v>8</v>
      </c>
      <c r="AC379">
        <f>VLOOKUP($A379,Table1[#This Row],COLUMN(AC378), FALSE)</f>
        <v>5</v>
      </c>
      <c r="AD379">
        <f>VLOOKUP($A379,Table1[#This Row],COLUMN(AD378), FALSE)</f>
        <v>5</v>
      </c>
    </row>
    <row r="380" spans="1:30" ht="15.75">
      <c r="A380" s="53" t="s">
        <v>445</v>
      </c>
      <c r="B380" s="52">
        <f>VLOOKUP($A380,Table1[#This Row],COLUMN(B379), FALSE)</f>
        <v>41991</v>
      </c>
      <c r="C380" s="52">
        <f>VLOOKUP($A380,Table1[#This Row],COLUMN(C379), FALSE)</f>
        <v>41995</v>
      </c>
      <c r="D380" t="str">
        <f>VLOOKUP($A380,Table1[#This Row],COLUMN(D379), FALSE)</f>
        <v>Adam Hart</v>
      </c>
      <c r="E380" t="str">
        <f>VLOOKUP($A380,Table1[#This Row],COLUMN(E379), FALSE)</f>
        <v>United States</v>
      </c>
      <c r="F380" t="str">
        <f>VLOOKUP($A380,Table1[#This Row],COLUMN(F379), FALSE)</f>
        <v>Cnetral US</v>
      </c>
      <c r="G380" t="str">
        <f>VLOOKUP($A380,Table1[#This Row],COLUMN(G379), FALSE)</f>
        <v>Office Supplies</v>
      </c>
      <c r="H380" t="str">
        <f>VLOOKUP($A380,Table1[#This Row],COLUMN(H379), FALSE)</f>
        <v>Binders</v>
      </c>
      <c r="I380">
        <f>VLOOKUP($A380,Table1[#This Row],COLUMN(I379), FALSE)</f>
        <v>51.84</v>
      </c>
      <c r="J380">
        <f>VLOOKUP($A380,Table1[#This Row],COLUMN(J379), FALSE)</f>
        <v>10</v>
      </c>
      <c r="K380">
        <f>VLOOKUP($A380,Table1[#This Row],COLUMN(K379), FALSE)</f>
        <v>0.2</v>
      </c>
      <c r="L380">
        <f>VLOOKUP($A380,Table1[#This Row],COLUMN(L379), FALSE)</f>
        <v>18.143999999999998</v>
      </c>
      <c r="M380" t="str">
        <f>VLOOKUP($A380,Table1[#This Row],COLUMN(M379), FALSE)</f>
        <v>Medium</v>
      </c>
      <c r="N380">
        <f>VLOOKUP($A380,Table1[#This Row],COLUMN(N379), FALSE)</f>
        <v>0</v>
      </c>
      <c r="O380" t="str">
        <f>VLOOKUP($A380,Table1[#This Row],COLUMN(O379), FALSE)</f>
        <v>Adam Hart</v>
      </c>
      <c r="P380" t="str">
        <f>VLOOKUP($A380,Table1[#This Row],COLUMN(P379), FALSE)</f>
        <v>CA</v>
      </c>
      <c r="Q380" t="str">
        <f>VLOOKUP($A380,Table1[#This Row],COLUMN(Q379), FALSE)</f>
        <v>2014</v>
      </c>
      <c r="R380" t="str">
        <f>VLOOKUP($A380,Table1[#This Row],COLUMN(R379), FALSE)</f>
        <v>MEDIUM</v>
      </c>
      <c r="S380" t="str">
        <f>VLOOKUP($A380,Table1[#This Row],COLUMN(S379), FALSE)</f>
        <v>office supplies</v>
      </c>
      <c r="T380" t="str">
        <f>VLOOKUP($A380,Table1[#This Row],COLUMN(T379), FALSE)</f>
        <v>41991</v>
      </c>
      <c r="U380" t="str">
        <f>VLOOKUP($A380,Table1[#This Row],COLUMN(U379), FALSE)</f>
        <v>AH10075140</v>
      </c>
      <c r="V380" t="str">
        <f>VLOOKUP($A380,Table1[#This Row],COLUMN(V379), FALSE)</f>
        <v>CA</v>
      </c>
      <c r="W380">
        <f>VLOOKUP($A380,Table1[#This Row],COLUMN(W379), FALSE)</f>
        <v>2014</v>
      </c>
      <c r="X380" t="str">
        <f>VLOOKUP($A380,Table1[#This Row],COLUMN(X379), FALSE)</f>
        <v>AH10075140</v>
      </c>
      <c r="Y380">
        <f>VLOOKUP($A380,Table1[#This Row],COLUMN(Y379), FALSE)</f>
        <v>41991</v>
      </c>
      <c r="Z380" t="str">
        <f>VLOOKUP($A380,Table1[#This Row],COLUMN(Z379), FALSE)</f>
        <v>CA-2014-AH10075140-41991</v>
      </c>
      <c r="AA380">
        <f>VLOOKUP($A380,Table1[#This Row],COLUMN(AA379), FALSE)</f>
        <v>2014</v>
      </c>
      <c r="AB380">
        <f>VLOOKUP($A380,Table1[#This Row],COLUMN(AB379), FALSE)</f>
        <v>12</v>
      </c>
      <c r="AC380">
        <f>VLOOKUP($A380,Table1[#This Row],COLUMN(AC379), FALSE)</f>
        <v>5</v>
      </c>
      <c r="AD380">
        <f>VLOOKUP($A380,Table1[#This Row],COLUMN(AD379), FALSE)</f>
        <v>4</v>
      </c>
    </row>
    <row r="381" spans="1:30" ht="15.75">
      <c r="A381" s="54" t="s">
        <v>498</v>
      </c>
      <c r="B381" s="52">
        <f>VLOOKUP($A381,Table1[#This Row],COLUMN(B380), FALSE)</f>
        <v>42275</v>
      </c>
      <c r="C381" s="52">
        <f>VLOOKUP($A381,Table1[#This Row],COLUMN(C380), FALSE)</f>
        <v>42278</v>
      </c>
      <c r="D381" t="str">
        <f>VLOOKUP($A381,Table1[#This Row],COLUMN(D380), FALSE)</f>
        <v>Maxwell Schwartz</v>
      </c>
      <c r="E381" t="str">
        <f>VLOOKUP($A381,Table1[#This Row],COLUMN(E380), FALSE)</f>
        <v>United Kingdom</v>
      </c>
      <c r="F381" t="str">
        <f>VLOOKUP($A381,Table1[#This Row],COLUMN(F380), FALSE)</f>
        <v>Northern Europe</v>
      </c>
      <c r="G381" t="str">
        <f>VLOOKUP($A381,Table1[#This Row],COLUMN(G380), FALSE)</f>
        <v>Furniture</v>
      </c>
      <c r="H381" t="str">
        <f>VLOOKUP($A381,Table1[#This Row],COLUMN(H380), FALSE)</f>
        <v>Tables</v>
      </c>
      <c r="I381">
        <f>VLOOKUP($A381,Table1[#This Row],COLUMN(I380), FALSE)</f>
        <v>2898.21</v>
      </c>
      <c r="J381">
        <f>VLOOKUP($A381,Table1[#This Row],COLUMN(J380), FALSE)</f>
        <v>7</v>
      </c>
      <c r="K381">
        <f>VLOOKUP($A381,Table1[#This Row],COLUMN(K380), FALSE)</f>
        <v>0</v>
      </c>
      <c r="L381">
        <f>VLOOKUP($A381,Table1[#This Row],COLUMN(L380), FALSE)</f>
        <v>1420.02</v>
      </c>
      <c r="M381" t="str">
        <f>VLOOKUP($A381,Table1[#This Row],COLUMN(M380), FALSE)</f>
        <v>High</v>
      </c>
      <c r="N381">
        <f>VLOOKUP($A381,Table1[#This Row],COLUMN(N380), FALSE)</f>
        <v>0</v>
      </c>
      <c r="O381" t="str">
        <f>VLOOKUP($A381,Table1[#This Row],COLUMN(O380), FALSE)</f>
        <v>Maxwell Schwartz</v>
      </c>
      <c r="P381" t="str">
        <f>VLOOKUP($A381,Table1[#This Row],COLUMN(P380), FALSE)</f>
        <v>ES</v>
      </c>
      <c r="Q381" t="str">
        <f>VLOOKUP($A381,Table1[#This Row],COLUMN(Q380), FALSE)</f>
        <v>2015</v>
      </c>
      <c r="R381" t="str">
        <f>VLOOKUP($A381,Table1[#This Row],COLUMN(R380), FALSE)</f>
        <v>HIGH</v>
      </c>
      <c r="S381" t="str">
        <f>VLOOKUP($A381,Table1[#This Row],COLUMN(S380), FALSE)</f>
        <v>furniture</v>
      </c>
      <c r="T381" t="str">
        <f>VLOOKUP($A381,Table1[#This Row],COLUMN(T380), FALSE)</f>
        <v>42275</v>
      </c>
      <c r="U381" t="str">
        <f>VLOOKUP($A381,Table1[#This Row],COLUMN(U380), FALSE)</f>
        <v>MS17770139</v>
      </c>
      <c r="V381" t="str">
        <f>VLOOKUP($A381,Table1[#This Row],COLUMN(V380), FALSE)</f>
        <v>ES</v>
      </c>
      <c r="W381">
        <f>VLOOKUP($A381,Table1[#This Row],COLUMN(W380), FALSE)</f>
        <v>2015</v>
      </c>
      <c r="X381" t="str">
        <f>VLOOKUP($A381,Table1[#This Row],COLUMN(X380), FALSE)</f>
        <v>MS17770139</v>
      </c>
      <c r="Y381">
        <f>VLOOKUP($A381,Table1[#This Row],COLUMN(Y380), FALSE)</f>
        <v>42275</v>
      </c>
      <c r="Z381" t="str">
        <f>VLOOKUP($A381,Table1[#This Row],COLUMN(Z380), FALSE)</f>
        <v>ES-2015-MS17770139-42275</v>
      </c>
      <c r="AA381">
        <f>VLOOKUP($A381,Table1[#This Row],COLUMN(AA380), FALSE)</f>
        <v>2015</v>
      </c>
      <c r="AB381">
        <f>VLOOKUP($A381,Table1[#This Row],COLUMN(AB380), FALSE)</f>
        <v>9</v>
      </c>
      <c r="AC381">
        <f>VLOOKUP($A381,Table1[#This Row],COLUMN(AC380), FALSE)</f>
        <v>2</v>
      </c>
      <c r="AD381">
        <f>VLOOKUP($A381,Table1[#This Row],COLUMN(AD380), FALSE)</f>
        <v>3</v>
      </c>
    </row>
    <row r="382" spans="1:30" ht="15.75">
      <c r="A382" s="53" t="s">
        <v>502</v>
      </c>
      <c r="B382" s="52">
        <f>VLOOKUP($A382,Table1[#This Row],COLUMN(B381), FALSE)</f>
        <v>42032</v>
      </c>
      <c r="C382" s="52">
        <f>VLOOKUP($A382,Table1[#This Row],COLUMN(C381), FALSE)</f>
        <v>42034</v>
      </c>
      <c r="D382" t="str">
        <f>VLOOKUP($A382,Table1[#This Row],COLUMN(D381), FALSE)</f>
        <v>Julie Creighton</v>
      </c>
      <c r="E382" t="str">
        <f>VLOOKUP($A382,Table1[#This Row],COLUMN(E381), FALSE)</f>
        <v>Lithuania</v>
      </c>
      <c r="F382" t="str">
        <f>VLOOKUP($A382,Table1[#This Row],COLUMN(F381), FALSE)</f>
        <v>Northern Europe</v>
      </c>
      <c r="G382" t="str">
        <f>VLOOKUP($A382,Table1[#This Row],COLUMN(G381), FALSE)</f>
        <v>Furniture</v>
      </c>
      <c r="H382" t="str">
        <f>VLOOKUP($A382,Table1[#This Row],COLUMN(H381), FALSE)</f>
        <v>Bookcases</v>
      </c>
      <c r="I382">
        <f>VLOOKUP($A382,Table1[#This Row],COLUMN(I381), FALSE)</f>
        <v>2171.16</v>
      </c>
      <c r="J382">
        <f>VLOOKUP($A382,Table1[#This Row],COLUMN(J381), FALSE)</f>
        <v>8</v>
      </c>
      <c r="K382">
        <f>VLOOKUP($A382,Table1[#This Row],COLUMN(K381), FALSE)</f>
        <v>0.7</v>
      </c>
      <c r="L382">
        <f>VLOOKUP($A382,Table1[#This Row],COLUMN(L381), FALSE)</f>
        <v>-2750.2799999999902</v>
      </c>
      <c r="M382" t="str">
        <f>VLOOKUP($A382,Table1[#This Row],COLUMN(M381), FALSE)</f>
        <v>High</v>
      </c>
      <c r="N382">
        <f>VLOOKUP($A382,Table1[#This Row],COLUMN(N381), FALSE)</f>
        <v>0</v>
      </c>
      <c r="O382" t="str">
        <f>VLOOKUP($A382,Table1[#This Row],COLUMN(O381), FALSE)</f>
        <v>Julie Creighton</v>
      </c>
      <c r="P382" t="str">
        <f>VLOOKUP($A382,Table1[#This Row],COLUMN(P381), FALSE)</f>
        <v>LH</v>
      </c>
      <c r="Q382" t="str">
        <f>VLOOKUP($A382,Table1[#This Row],COLUMN(Q381), FALSE)</f>
        <v>2015</v>
      </c>
      <c r="R382" t="str">
        <f>VLOOKUP($A382,Table1[#This Row],COLUMN(R381), FALSE)</f>
        <v>HIGH</v>
      </c>
      <c r="S382" t="str">
        <f>VLOOKUP($A382,Table1[#This Row],COLUMN(S381), FALSE)</f>
        <v>furniture</v>
      </c>
      <c r="T382" t="str">
        <f>VLOOKUP($A382,Table1[#This Row],COLUMN(T381), FALSE)</f>
        <v>42032</v>
      </c>
      <c r="U382" t="str">
        <f>VLOOKUP($A382,Table1[#This Row],COLUMN(U381), FALSE)</f>
        <v>JC610575</v>
      </c>
      <c r="V382" t="str">
        <f>VLOOKUP($A382,Table1[#This Row],COLUMN(V381), FALSE)</f>
        <v>LH</v>
      </c>
      <c r="W382">
        <f>VLOOKUP($A382,Table1[#This Row],COLUMN(W381), FALSE)</f>
        <v>2015</v>
      </c>
      <c r="X382" t="str">
        <f>VLOOKUP($A382,Table1[#This Row],COLUMN(X381), FALSE)</f>
        <v>JC610575</v>
      </c>
      <c r="Y382">
        <f>VLOOKUP($A382,Table1[#This Row],COLUMN(Y381), FALSE)</f>
        <v>42032</v>
      </c>
      <c r="Z382" t="str">
        <f>VLOOKUP($A382,Table1[#This Row],COLUMN(Z381), FALSE)</f>
        <v>LH-2015-JC610575-42032</v>
      </c>
      <c r="AA382">
        <f>VLOOKUP($A382,Table1[#This Row],COLUMN(AA381), FALSE)</f>
        <v>2015</v>
      </c>
      <c r="AB382">
        <f>VLOOKUP($A382,Table1[#This Row],COLUMN(AB381), FALSE)</f>
        <v>1</v>
      </c>
      <c r="AC382">
        <f>VLOOKUP($A382,Table1[#This Row],COLUMN(AC381), FALSE)</f>
        <v>4</v>
      </c>
      <c r="AD382">
        <f>VLOOKUP($A382,Table1[#This Row],COLUMN(AD381), FALSE)</f>
        <v>2</v>
      </c>
    </row>
    <row r="383" spans="1:30" ht="15.75">
      <c r="A383" s="54" t="s">
        <v>506</v>
      </c>
      <c r="B383" s="52">
        <f>VLOOKUP($A383,Table1[#This Row],COLUMN(B382), FALSE)</f>
        <v>42260</v>
      </c>
      <c r="C383" s="52" t="str">
        <f>VLOOKUP($A383,Table1[#This Row],COLUMN(C382), FALSE)</f>
        <v>32/13/2020</v>
      </c>
      <c r="D383" t="str">
        <f>VLOOKUP($A383,Table1[#This Row],COLUMN(D382), FALSE)</f>
        <v>George eBll</v>
      </c>
      <c r="E383" t="str">
        <f>VLOOKUP($A383,Table1[#This Row],COLUMN(E382), FALSE)</f>
        <v>Australia</v>
      </c>
      <c r="F383" t="str">
        <f>VLOOKUP($A383,Table1[#This Row],COLUMN(F382), FALSE)</f>
        <v>Oceania</v>
      </c>
      <c r="G383" t="str">
        <f>VLOOKUP($A383,Table1[#This Row],COLUMN(G382), FALSE)</f>
        <v>Technology</v>
      </c>
      <c r="H383" t="str">
        <f>VLOOKUP($A383,Table1[#This Row],COLUMN(H382), FALSE)</f>
        <v>Machines</v>
      </c>
      <c r="I383">
        <f>VLOOKUP($A383,Table1[#This Row],COLUMN(I382), FALSE)</f>
        <v>4448.223</v>
      </c>
      <c r="J383">
        <f>VLOOKUP($A383,Table1[#This Row],COLUMN(J382), FALSE)</f>
        <v>13</v>
      </c>
      <c r="K383">
        <f>VLOOKUP($A383,Table1[#This Row],COLUMN(K382), FALSE)</f>
        <v>0.1</v>
      </c>
      <c r="L383">
        <f>VLOOKUP($A383,Table1[#This Row],COLUMN(L382), FALSE)</f>
        <v>444.483</v>
      </c>
      <c r="M383" t="str">
        <f>VLOOKUP($A383,Table1[#This Row],COLUMN(M382), FALSE)</f>
        <v>Medium</v>
      </c>
      <c r="N383">
        <f>VLOOKUP($A383,Table1[#This Row],COLUMN(N382), FALSE)</f>
        <v>0</v>
      </c>
      <c r="O383" t="str">
        <f>VLOOKUP($A383,Table1[#This Row],COLUMN(O382), FALSE)</f>
        <v>George Ebll</v>
      </c>
      <c r="P383" t="str">
        <f>VLOOKUP($A383,Table1[#This Row],COLUMN(P382), FALSE)</f>
        <v>IN</v>
      </c>
      <c r="Q383" t="str">
        <f>VLOOKUP($A383,Table1[#This Row],COLUMN(Q382), FALSE)</f>
        <v>2015</v>
      </c>
      <c r="R383" t="str">
        <f>VLOOKUP($A383,Table1[#This Row],COLUMN(R382), FALSE)</f>
        <v>MEDIUM</v>
      </c>
      <c r="S383" t="str">
        <f>VLOOKUP($A383,Table1[#This Row],COLUMN(S382), FALSE)</f>
        <v>technology</v>
      </c>
      <c r="T383" t="str">
        <f>VLOOKUP($A383,Table1[#This Row],COLUMN(T382), FALSE)</f>
        <v>42260</v>
      </c>
      <c r="U383" t="str">
        <f>VLOOKUP($A383,Table1[#This Row],COLUMN(U382), FALSE)</f>
        <v>GB145307</v>
      </c>
      <c r="V383" t="str">
        <f>VLOOKUP($A383,Table1[#This Row],COLUMN(V382), FALSE)</f>
        <v>IN</v>
      </c>
      <c r="W383">
        <f>VLOOKUP($A383,Table1[#This Row],COLUMN(W382), FALSE)</f>
        <v>2015</v>
      </c>
      <c r="X383" t="str">
        <f>VLOOKUP($A383,Table1[#This Row],COLUMN(X382), FALSE)</f>
        <v>GB145307</v>
      </c>
      <c r="Y383">
        <f>VLOOKUP($A383,Table1[#This Row],COLUMN(Y382), FALSE)</f>
        <v>42260</v>
      </c>
      <c r="Z383" t="str">
        <f>VLOOKUP($A383,Table1[#This Row],COLUMN(Z382), FALSE)</f>
        <v>IN-2015-GB145307-42260</v>
      </c>
      <c r="AA383">
        <f>VLOOKUP($A383,Table1[#This Row],COLUMN(AA382), FALSE)</f>
        <v>2015</v>
      </c>
      <c r="AB383">
        <f>VLOOKUP($A383,Table1[#This Row],COLUMN(AB382), FALSE)</f>
        <v>9</v>
      </c>
      <c r="AC383">
        <f>VLOOKUP($A383,Table1[#This Row],COLUMN(AC382), FALSE)</f>
        <v>1</v>
      </c>
      <c r="AD383">
        <f>VLOOKUP($A383,Table1[#This Row],COLUMN(AD382), FALSE)</f>
        <v>0</v>
      </c>
    </row>
    <row r="384" spans="1:30" ht="15.75">
      <c r="A384" s="53" t="s">
        <v>509</v>
      </c>
      <c r="B384" s="52">
        <f>VLOOKUP($A384,Table1[#This Row],COLUMN(B383), FALSE)</f>
        <v>41264</v>
      </c>
      <c r="C384" s="52">
        <f>VLOOKUP($A384,Table1[#This Row],COLUMN(C383), FALSE)</f>
        <v>41266</v>
      </c>
      <c r="D384" t="str">
        <f>VLOOKUP($A384,Table1[#This Row],COLUMN(D383), FALSE)</f>
        <v>Justin Hirsh</v>
      </c>
      <c r="E384" t="str">
        <f>VLOOKUP($A384,Table1[#This Row],COLUMN(E383), FALSE)</f>
        <v>Argentina</v>
      </c>
      <c r="F384" t="str">
        <f>VLOOKUP($A384,Table1[#This Row],COLUMN(F383), FALSE)</f>
        <v>South America</v>
      </c>
      <c r="G384" t="str">
        <f>VLOOKUP($A384,Table1[#This Row],COLUMN(G383), FALSE)</f>
        <v>Technology</v>
      </c>
      <c r="H384" t="str">
        <f>VLOOKUP($A384,Table1[#This Row],COLUMN(H383), FALSE)</f>
        <v>Copiers</v>
      </c>
      <c r="I384">
        <f>VLOOKUP($A384,Table1[#This Row],COLUMN(I383), FALSE)</f>
        <v>2300.61599999999</v>
      </c>
      <c r="J384">
        <f>VLOOKUP($A384,Table1[#This Row],COLUMN(J383), FALSE)</f>
        <v>9</v>
      </c>
      <c r="K384">
        <f>VLOOKUP($A384,Table1[#This Row],COLUMN(K383), FALSE)</f>
        <v>0.4</v>
      </c>
      <c r="L384">
        <f>VLOOKUP($A384,Table1[#This Row],COLUMN(L383), FALSE)</f>
        <v>38.196000000000097</v>
      </c>
      <c r="M384" t="str">
        <f>VLOOKUP($A384,Table1[#This Row],COLUMN(M383), FALSE)</f>
        <v>High</v>
      </c>
      <c r="N384">
        <f>VLOOKUP($A384,Table1[#This Row],COLUMN(N383), FALSE)</f>
        <v>0</v>
      </c>
      <c r="O384" t="str">
        <f>VLOOKUP($A384,Table1[#This Row],COLUMN(O383), FALSE)</f>
        <v>Justin Hirsh</v>
      </c>
      <c r="P384" t="str">
        <f>VLOOKUP($A384,Table1[#This Row],COLUMN(P383), FALSE)</f>
        <v>US</v>
      </c>
      <c r="Q384" t="str">
        <f>VLOOKUP($A384,Table1[#This Row],COLUMN(Q383), FALSE)</f>
        <v>2012</v>
      </c>
      <c r="R384" t="str">
        <f>VLOOKUP($A384,Table1[#This Row],COLUMN(R383), FALSE)</f>
        <v>HIGH</v>
      </c>
      <c r="S384" t="str">
        <f>VLOOKUP($A384,Table1[#This Row],COLUMN(S383), FALSE)</f>
        <v>technology</v>
      </c>
      <c r="T384" t="str">
        <f>VLOOKUP($A384,Table1[#This Row],COLUMN(T383), FALSE)</f>
        <v>41264</v>
      </c>
      <c r="U384" t="str">
        <f>VLOOKUP($A384,Table1[#This Row],COLUMN(U383), FALSE)</f>
        <v>JH161805</v>
      </c>
      <c r="V384" t="str">
        <f>VLOOKUP($A384,Table1[#This Row],COLUMN(V383), FALSE)</f>
        <v>US</v>
      </c>
      <c r="W384">
        <f>VLOOKUP($A384,Table1[#This Row],COLUMN(W383), FALSE)</f>
        <v>2012</v>
      </c>
      <c r="X384" t="str">
        <f>VLOOKUP($A384,Table1[#This Row],COLUMN(X383), FALSE)</f>
        <v>JH161805</v>
      </c>
      <c r="Y384">
        <f>VLOOKUP($A384,Table1[#This Row],COLUMN(Y383), FALSE)</f>
        <v>41264</v>
      </c>
      <c r="Z384" t="str">
        <f>VLOOKUP($A384,Table1[#This Row],COLUMN(Z383), FALSE)</f>
        <v>US-2012-JH161805-41264</v>
      </c>
      <c r="AA384">
        <f>VLOOKUP($A384,Table1[#This Row],COLUMN(AA383), FALSE)</f>
        <v>2012</v>
      </c>
      <c r="AB384">
        <f>VLOOKUP($A384,Table1[#This Row],COLUMN(AB383), FALSE)</f>
        <v>12</v>
      </c>
      <c r="AC384">
        <f>VLOOKUP($A384,Table1[#This Row],COLUMN(AC383), FALSE)</f>
        <v>6</v>
      </c>
      <c r="AD384">
        <f>VLOOKUP($A384,Table1[#This Row],COLUMN(AD383), FALSE)</f>
        <v>2</v>
      </c>
    </row>
    <row r="385" spans="1:30" ht="15.75">
      <c r="A385" s="54" t="s">
        <v>540</v>
      </c>
      <c r="B385" s="52">
        <f>VLOOKUP($A385,Table1[#This Row],COLUMN(B384), FALSE)</f>
        <v>42315</v>
      </c>
      <c r="C385" s="52">
        <f>VLOOKUP($A385,Table1[#This Row],COLUMN(C384), FALSE)</f>
        <v>42317</v>
      </c>
      <c r="D385" t="str">
        <f>VLOOKUP($A385,Table1[#This Row],COLUMN(D384), FALSE)</f>
        <v>Dana Kaydos</v>
      </c>
      <c r="E385" t="str">
        <f>VLOOKUP($A385,Table1[#This Row],COLUMN(E384), FALSE)</f>
        <v>Indonesia</v>
      </c>
      <c r="F385" t="str">
        <f>VLOOKUP($A385,Table1[#This Row],COLUMN(F384), FALSE)</f>
        <v>Southeastern Asia</v>
      </c>
      <c r="G385" t="str">
        <f>VLOOKUP($A385,Table1[#This Row],COLUMN(G384), FALSE)</f>
        <v>Office Supplies</v>
      </c>
      <c r="H385" t="str">
        <f>VLOOKUP($A385,Table1[#This Row],COLUMN(H384), FALSE)</f>
        <v>Bookcases</v>
      </c>
      <c r="I385">
        <f>VLOOKUP($A385,Table1[#This Row],COLUMN(I384), FALSE)</f>
        <v>3309.2597999999998</v>
      </c>
      <c r="J385">
        <f>VLOOKUP($A385,Table1[#This Row],COLUMN(J384), FALSE)</f>
        <v>7</v>
      </c>
      <c r="K385">
        <f>VLOOKUP($A385,Table1[#This Row],COLUMN(K384), FALSE)</f>
        <v>0.17</v>
      </c>
      <c r="L385">
        <f>VLOOKUP($A385,Table1[#This Row],COLUMN(L384), FALSE)</f>
        <v>318.85979999999898</v>
      </c>
      <c r="M385" t="str">
        <f>VLOOKUP($A385,Table1[#This Row],COLUMN(M384), FALSE)</f>
        <v>High</v>
      </c>
      <c r="N385">
        <f>VLOOKUP($A385,Table1[#This Row],COLUMN(N384), FALSE)</f>
        <v>0</v>
      </c>
      <c r="O385" t="str">
        <f>VLOOKUP($A385,Table1[#This Row],COLUMN(O384), FALSE)</f>
        <v>Dana Kaydos</v>
      </c>
      <c r="P385" t="str">
        <f>VLOOKUP($A385,Table1[#This Row],COLUMN(P384), FALSE)</f>
        <v>ID</v>
      </c>
      <c r="Q385" t="str">
        <f>VLOOKUP($A385,Table1[#This Row],COLUMN(Q384), FALSE)</f>
        <v>2015</v>
      </c>
      <c r="R385" t="str">
        <f>VLOOKUP($A385,Table1[#This Row],COLUMN(R384), FALSE)</f>
        <v>HIGH</v>
      </c>
      <c r="S385" t="str">
        <f>VLOOKUP($A385,Table1[#This Row],COLUMN(S384), FALSE)</f>
        <v>office supplies</v>
      </c>
      <c r="T385" t="str">
        <f>VLOOKUP($A385,Table1[#This Row],COLUMN(T384), FALSE)</f>
        <v>42315</v>
      </c>
      <c r="U385" t="str">
        <f>VLOOKUP($A385,Table1[#This Row],COLUMN(U384), FALSE)</f>
        <v>DK1289559</v>
      </c>
      <c r="V385" t="str">
        <f>VLOOKUP($A385,Table1[#This Row],COLUMN(V384), FALSE)</f>
        <v>ID</v>
      </c>
      <c r="W385">
        <f>VLOOKUP($A385,Table1[#This Row],COLUMN(W384), FALSE)</f>
        <v>2015</v>
      </c>
      <c r="X385" t="str">
        <f>VLOOKUP($A385,Table1[#This Row],COLUMN(X384), FALSE)</f>
        <v>DK1289559</v>
      </c>
      <c r="Y385">
        <f>VLOOKUP($A385,Table1[#This Row],COLUMN(Y384), FALSE)</f>
        <v>42315</v>
      </c>
      <c r="Z385" t="str">
        <f>VLOOKUP($A385,Table1[#This Row],COLUMN(Z384), FALSE)</f>
        <v>ID-2015-DK1289559-42315</v>
      </c>
      <c r="AA385">
        <f>VLOOKUP($A385,Table1[#This Row],COLUMN(AA384), FALSE)</f>
        <v>2015</v>
      </c>
      <c r="AB385">
        <f>VLOOKUP($A385,Table1[#This Row],COLUMN(AB384), FALSE)</f>
        <v>11</v>
      </c>
      <c r="AC385">
        <f>VLOOKUP($A385,Table1[#This Row],COLUMN(AC384), FALSE)</f>
        <v>7</v>
      </c>
      <c r="AD385">
        <f>VLOOKUP($A385,Table1[#This Row],COLUMN(AD384), FALSE)</f>
        <v>2</v>
      </c>
    </row>
    <row r="386" spans="1:30" ht="15.75">
      <c r="A386" s="53" t="s">
        <v>542</v>
      </c>
      <c r="B386" s="52">
        <f>VLOOKUP($A386,Table1[#This Row],COLUMN(B385), FALSE)</f>
        <v>42330</v>
      </c>
      <c r="C386" s="52" t="str">
        <f>VLOOKUP($A386,Table1[#This Row],COLUMN(C385), FALSE)</f>
        <v xml:space="preserve"> 2015-11-24 </v>
      </c>
      <c r="D386" t="str">
        <f>VLOOKUP($A386,Table1[#This Row],COLUMN(D385), FALSE)</f>
        <v>Karen Daniels</v>
      </c>
      <c r="E386" t="str">
        <f>VLOOKUP($A386,Table1[#This Row],COLUMN(E385), FALSE)</f>
        <v>Brazil</v>
      </c>
      <c r="F386" t="str">
        <f>VLOOKUP($A386,Table1[#This Row],COLUMN(F385), FALSE)</f>
        <v>South America</v>
      </c>
      <c r="G386" t="str">
        <f>VLOOKUP($A386,Table1[#This Row],COLUMN(G385), FALSE)</f>
        <v xml:space="preserve"> Furniture </v>
      </c>
      <c r="H386" t="str">
        <f>VLOOKUP($A386,Table1[#This Row],COLUMN(H385), FALSE)</f>
        <v>Phones</v>
      </c>
      <c r="I386">
        <f>VLOOKUP($A386,Table1[#This Row],COLUMN(I385), FALSE)</f>
        <v>897.48</v>
      </c>
      <c r="J386">
        <f>VLOOKUP($A386,Table1[#This Row],COLUMN(J385), FALSE)</f>
        <v>9</v>
      </c>
      <c r="K386">
        <f>VLOOKUP($A386,Table1[#This Row],COLUMN(K385), FALSE)</f>
        <v>0</v>
      </c>
      <c r="L386">
        <f>VLOOKUP($A386,Table1[#This Row],COLUMN(L385), FALSE)</f>
        <v>322.92</v>
      </c>
      <c r="M386" t="str">
        <f>VLOOKUP($A386,Table1[#This Row],COLUMN(M385), FALSE)</f>
        <v>Critical</v>
      </c>
      <c r="N386">
        <f>VLOOKUP($A386,Table1[#This Row],COLUMN(N385), FALSE)</f>
        <v>0</v>
      </c>
      <c r="O386" t="str">
        <f>VLOOKUP($A386,Table1[#This Row],COLUMN(O385), FALSE)</f>
        <v>Karen Daniels</v>
      </c>
      <c r="P386" t="str">
        <f>VLOOKUP($A386,Table1[#This Row],COLUMN(P385), FALSE)</f>
        <v>MX</v>
      </c>
      <c r="Q386" t="str">
        <f>VLOOKUP($A386,Table1[#This Row],COLUMN(Q385), FALSE)</f>
        <v>2015</v>
      </c>
      <c r="R386" t="str">
        <f>VLOOKUP($A386,Table1[#This Row],COLUMN(R385), FALSE)</f>
        <v>CRITICAL</v>
      </c>
      <c r="S386" t="str">
        <f>VLOOKUP($A386,Table1[#This Row],COLUMN(S385), FALSE)</f>
        <v xml:space="preserve"> furniture </v>
      </c>
      <c r="T386" t="str">
        <f>VLOOKUP($A386,Table1[#This Row],COLUMN(T385), FALSE)</f>
        <v>42330</v>
      </c>
      <c r="U386" t="str">
        <f>VLOOKUP($A386,Table1[#This Row],COLUMN(U385), FALSE)</f>
        <v>KD1627018</v>
      </c>
      <c r="V386" t="str">
        <f>VLOOKUP($A386,Table1[#This Row],COLUMN(V385), FALSE)</f>
        <v>MX</v>
      </c>
      <c r="W386">
        <f>VLOOKUP($A386,Table1[#This Row],COLUMN(W385), FALSE)</f>
        <v>2015</v>
      </c>
      <c r="X386" t="str">
        <f>VLOOKUP($A386,Table1[#This Row],COLUMN(X385), FALSE)</f>
        <v>KD1627018</v>
      </c>
      <c r="Y386">
        <f>VLOOKUP($A386,Table1[#This Row],COLUMN(Y385), FALSE)</f>
        <v>42330</v>
      </c>
      <c r="Z386" t="str">
        <f>VLOOKUP($A386,Table1[#This Row],COLUMN(Z385), FALSE)</f>
        <v>MX-2015-KD1627018-42330</v>
      </c>
      <c r="AA386">
        <f>VLOOKUP($A386,Table1[#This Row],COLUMN(AA385), FALSE)</f>
        <v>2015</v>
      </c>
      <c r="AB386">
        <f>VLOOKUP($A386,Table1[#This Row],COLUMN(AB385), FALSE)</f>
        <v>11</v>
      </c>
      <c r="AC386">
        <f>VLOOKUP($A386,Table1[#This Row],COLUMN(AC385), FALSE)</f>
        <v>1</v>
      </c>
      <c r="AD386">
        <f>VLOOKUP($A386,Table1[#This Row],COLUMN(AD385), FALSE)</f>
        <v>0</v>
      </c>
    </row>
    <row r="387" spans="1:30" ht="15.75">
      <c r="A387" s="54" t="s">
        <v>550</v>
      </c>
      <c r="B387" s="52">
        <f>VLOOKUP($A387,Table1[#This Row],COLUMN(B386), FALSE)</f>
        <v>41237</v>
      </c>
      <c r="C387" s="52">
        <f>VLOOKUP($A387,Table1[#This Row],COLUMN(C386), FALSE)</f>
        <v>41237</v>
      </c>
      <c r="D387" t="str">
        <f>VLOOKUP($A387,Table1[#This Row],COLUMN(D386), FALSE)</f>
        <v>Hunter Lopez</v>
      </c>
      <c r="E387" t="str">
        <f>VLOOKUP($A387,Table1[#This Row],COLUMN(E386), FALSE)</f>
        <v>Australia</v>
      </c>
      <c r="F387" t="str">
        <f>VLOOKUP($A387,Table1[#This Row],COLUMN(F386), FALSE)</f>
        <v>Oceania</v>
      </c>
      <c r="G387" t="str">
        <f>VLOOKUP($A387,Table1[#This Row],COLUMN(G386), FALSE)</f>
        <v>Technology</v>
      </c>
      <c r="H387" t="str">
        <f>VLOOKUP($A387,Table1[#This Row],COLUMN(H386), FALSE)</f>
        <v>Bookcases</v>
      </c>
      <c r="I387">
        <f>VLOOKUP($A387,Table1[#This Row],COLUMN(I386), FALSE)</f>
        <v>1336.356</v>
      </c>
      <c r="J387">
        <f>VLOOKUP($A387,Table1[#This Row],COLUMN(J386), FALSE)</f>
        <v>7</v>
      </c>
      <c r="K387">
        <f>VLOOKUP($A387,Table1[#This Row],COLUMN(K386), FALSE)</f>
        <v>0.4</v>
      </c>
      <c r="L387">
        <f>VLOOKUP($A387,Table1[#This Row],COLUMN(L386), FALSE)</f>
        <v>44.436</v>
      </c>
      <c r="M387" t="str">
        <f>VLOOKUP($A387,Table1[#This Row],COLUMN(M386), FALSE)</f>
        <v>Critical</v>
      </c>
      <c r="N387">
        <f>VLOOKUP($A387,Table1[#This Row],COLUMN(N386), FALSE)</f>
        <v>0</v>
      </c>
      <c r="O387" t="str">
        <f>VLOOKUP($A387,Table1[#This Row],COLUMN(O386), FALSE)</f>
        <v>Hunter Lopez</v>
      </c>
      <c r="P387" t="str">
        <f>VLOOKUP($A387,Table1[#This Row],COLUMN(P386), FALSE)</f>
        <v>IN</v>
      </c>
      <c r="Q387" t="str">
        <f>VLOOKUP($A387,Table1[#This Row],COLUMN(Q386), FALSE)</f>
        <v>2012</v>
      </c>
      <c r="R387" t="str">
        <f>VLOOKUP($A387,Table1[#This Row],COLUMN(R386), FALSE)</f>
        <v>CRITICAL</v>
      </c>
      <c r="S387" t="str">
        <f>VLOOKUP($A387,Table1[#This Row],COLUMN(S386), FALSE)</f>
        <v>technology</v>
      </c>
      <c r="T387" t="str">
        <f>VLOOKUP($A387,Table1[#This Row],COLUMN(T386), FALSE)</f>
        <v>41237</v>
      </c>
      <c r="U387" t="str">
        <f>VLOOKUP($A387,Table1[#This Row],COLUMN(U386), FALSE)</f>
        <v>HL150407</v>
      </c>
      <c r="V387" t="str">
        <f>VLOOKUP($A387,Table1[#This Row],COLUMN(V386), FALSE)</f>
        <v>IN</v>
      </c>
      <c r="W387">
        <f>VLOOKUP($A387,Table1[#This Row],COLUMN(W386), FALSE)</f>
        <v>2012</v>
      </c>
      <c r="X387" t="str">
        <f>VLOOKUP($A387,Table1[#This Row],COLUMN(X386), FALSE)</f>
        <v>HL150407</v>
      </c>
      <c r="Y387">
        <f>VLOOKUP($A387,Table1[#This Row],COLUMN(Y386), FALSE)</f>
        <v>41237</v>
      </c>
      <c r="Z387" t="str">
        <f>VLOOKUP($A387,Table1[#This Row],COLUMN(Z386), FALSE)</f>
        <v>IN-2012-HL150407-41237</v>
      </c>
      <c r="AA387">
        <f>VLOOKUP($A387,Table1[#This Row],COLUMN(AA386), FALSE)</f>
        <v>2012</v>
      </c>
      <c r="AB387">
        <f>VLOOKUP($A387,Table1[#This Row],COLUMN(AB386), FALSE)</f>
        <v>11</v>
      </c>
      <c r="AC387">
        <f>VLOOKUP($A387,Table1[#This Row],COLUMN(AC386), FALSE)</f>
        <v>7</v>
      </c>
      <c r="AD387">
        <f>VLOOKUP($A387,Table1[#This Row],COLUMN(AD386), FALSE)</f>
        <v>0</v>
      </c>
    </row>
    <row r="388" spans="1:30" ht="15.75">
      <c r="A388" s="53" t="s">
        <v>552</v>
      </c>
      <c r="B388" s="52">
        <f>VLOOKUP($A388,Table1[#This Row],COLUMN(B387), FALSE)</f>
        <v>41496</v>
      </c>
      <c r="C388" s="52">
        <f>VLOOKUP($A388,Table1[#This Row],COLUMN(C387), FALSE)</f>
        <v>41498</v>
      </c>
      <c r="D388" t="str">
        <f>VLOOKUP($A388,Table1[#This Row],COLUMN(D387), FALSE)</f>
        <v>Carol Triggs</v>
      </c>
      <c r="E388" t="str">
        <f>VLOOKUP($A388,Table1[#This Row],COLUMN(E387), FALSE)</f>
        <v>Japan</v>
      </c>
      <c r="F388" t="str">
        <f>VLOOKUP($A388,Table1[#This Row],COLUMN(F387), FALSE)</f>
        <v>Eastern Asia</v>
      </c>
      <c r="G388" t="str">
        <f>VLOOKUP($A388,Table1[#This Row],COLUMN(G387), FALSE)</f>
        <v>Technology</v>
      </c>
      <c r="H388" t="str">
        <f>VLOOKUP($A388,Table1[#This Row],COLUMN(H387), FALSE)</f>
        <v>Copiers</v>
      </c>
      <c r="I388">
        <f>VLOOKUP($A388,Table1[#This Row],COLUMN(I387), FALSE)</f>
        <v>3038.64</v>
      </c>
      <c r="J388">
        <f>VLOOKUP($A388,Table1[#This Row],COLUMN(J387), FALSE)</f>
        <v>8</v>
      </c>
      <c r="K388">
        <f>VLOOKUP($A388,Table1[#This Row],COLUMN(K387), FALSE)</f>
        <v>0</v>
      </c>
      <c r="L388">
        <f>VLOOKUP($A388,Table1[#This Row],COLUMN(L387), FALSE)</f>
        <v>1245.8399999999999</v>
      </c>
      <c r="M388" t="str">
        <f>VLOOKUP($A388,Table1[#This Row],COLUMN(M387), FALSE)</f>
        <v>High</v>
      </c>
      <c r="N388">
        <f>VLOOKUP($A388,Table1[#This Row],COLUMN(N387), FALSE)</f>
        <v>0</v>
      </c>
      <c r="O388" t="str">
        <f>VLOOKUP($A388,Table1[#This Row],COLUMN(O387), FALSE)</f>
        <v>Carol Triggs</v>
      </c>
      <c r="P388" t="str">
        <f>VLOOKUP($A388,Table1[#This Row],COLUMN(P387), FALSE)</f>
        <v>IN</v>
      </c>
      <c r="Q388" t="str">
        <f>VLOOKUP($A388,Table1[#This Row],COLUMN(Q387), FALSE)</f>
        <v>2013</v>
      </c>
      <c r="R388" t="str">
        <f>VLOOKUP($A388,Table1[#This Row],COLUMN(R387), FALSE)</f>
        <v>HIGH</v>
      </c>
      <c r="S388" t="str">
        <f>VLOOKUP($A388,Table1[#This Row],COLUMN(S387), FALSE)</f>
        <v>technology</v>
      </c>
      <c r="T388" t="str">
        <f>VLOOKUP($A388,Table1[#This Row],COLUMN(T387), FALSE)</f>
        <v>41496</v>
      </c>
      <c r="U388" t="str">
        <f>VLOOKUP($A388,Table1[#This Row],COLUMN(U387), FALSE)</f>
        <v>CT1199566</v>
      </c>
      <c r="V388" t="str">
        <f>VLOOKUP($A388,Table1[#This Row],COLUMN(V387), FALSE)</f>
        <v>IN</v>
      </c>
      <c r="W388">
        <f>VLOOKUP($A388,Table1[#This Row],COLUMN(W387), FALSE)</f>
        <v>2013</v>
      </c>
      <c r="X388" t="str">
        <f>VLOOKUP($A388,Table1[#This Row],COLUMN(X387), FALSE)</f>
        <v>CT1199566</v>
      </c>
      <c r="Y388">
        <f>VLOOKUP($A388,Table1[#This Row],COLUMN(Y387), FALSE)</f>
        <v>41496</v>
      </c>
      <c r="Z388" t="str">
        <f>VLOOKUP($A388,Table1[#This Row],COLUMN(Z387), FALSE)</f>
        <v>IN-2013-CT1199566-41496</v>
      </c>
      <c r="AA388">
        <f>VLOOKUP($A388,Table1[#This Row],COLUMN(AA387), FALSE)</f>
        <v>2013</v>
      </c>
      <c r="AB388">
        <f>VLOOKUP($A388,Table1[#This Row],COLUMN(AB387), FALSE)</f>
        <v>8</v>
      </c>
      <c r="AC388">
        <f>VLOOKUP($A388,Table1[#This Row],COLUMN(AC387), FALSE)</f>
        <v>7</v>
      </c>
      <c r="AD388">
        <f>VLOOKUP($A388,Table1[#This Row],COLUMN(AD387), FALSE)</f>
        <v>2</v>
      </c>
    </row>
    <row r="389" spans="1:30" ht="15.75">
      <c r="A389" s="54" t="s">
        <v>556</v>
      </c>
      <c r="B389" s="52">
        <f>VLOOKUP($A389,Table1[#This Row],COLUMN(B388), FALSE)</f>
        <v>42003</v>
      </c>
      <c r="C389" s="52">
        <f>VLOOKUP($A389,Table1[#This Row],COLUMN(C388), FALSE)</f>
        <v>42008</v>
      </c>
      <c r="D389" t="str">
        <f>VLOOKUP($A389,Table1[#This Row],COLUMN(D388), FALSE)</f>
        <v>Georgia Rosenberg</v>
      </c>
      <c r="E389" t="str">
        <f>VLOOKUP($A389,Table1[#This Row],COLUMN(E388), FALSE)</f>
        <v>Lesotho</v>
      </c>
      <c r="F389" t="str">
        <f>VLOOKUP($A389,Table1[#This Row],COLUMN(F388), FALSE)</f>
        <v>Southern Africa</v>
      </c>
      <c r="G389" t="str">
        <f>VLOOKUP($A389,Table1[#This Row],COLUMN(G388), FALSE)</f>
        <v>Technology</v>
      </c>
      <c r="H389" t="str">
        <f>VLOOKUP($A389,Table1[#This Row],COLUMN(H388), FALSE)</f>
        <v>Copiers</v>
      </c>
      <c r="I389">
        <f>VLOOKUP($A389,Table1[#This Row],COLUMN(I388), FALSE)</f>
        <v>3799.08</v>
      </c>
      <c r="J389">
        <f>VLOOKUP($A389,Table1[#This Row],COLUMN(J388), FALSE)</f>
        <v>12</v>
      </c>
      <c r="K389">
        <f>VLOOKUP($A389,Table1[#This Row],COLUMN(K388), FALSE)</f>
        <v>0</v>
      </c>
      <c r="L389">
        <f>VLOOKUP($A389,Table1[#This Row],COLUMN(L388), FALSE)</f>
        <v>455.76</v>
      </c>
      <c r="M389" t="str">
        <f>VLOOKUP($A389,Table1[#This Row],COLUMN(M388), FALSE)</f>
        <v>Medium</v>
      </c>
      <c r="N389">
        <f>VLOOKUP($A389,Table1[#This Row],COLUMN(N388), FALSE)</f>
        <v>0</v>
      </c>
      <c r="O389" t="str">
        <f>VLOOKUP($A389,Table1[#This Row],COLUMN(O388), FALSE)</f>
        <v>Georgia Rosenberg</v>
      </c>
      <c r="P389" t="str">
        <f>VLOOKUP($A389,Table1[#This Row],COLUMN(P388), FALSE)</f>
        <v>LT</v>
      </c>
      <c r="Q389" t="str">
        <f>VLOOKUP($A389,Table1[#This Row],COLUMN(Q388), FALSE)</f>
        <v>2014</v>
      </c>
      <c r="R389" t="str">
        <f>VLOOKUP($A389,Table1[#This Row],COLUMN(R388), FALSE)</f>
        <v>MEDIUM</v>
      </c>
      <c r="S389" t="str">
        <f>VLOOKUP($A389,Table1[#This Row],COLUMN(S388), FALSE)</f>
        <v>technology</v>
      </c>
      <c r="T389" t="str">
        <f>VLOOKUP($A389,Table1[#This Row],COLUMN(T388), FALSE)</f>
        <v>42003</v>
      </c>
      <c r="U389" t="str">
        <f>VLOOKUP($A389,Table1[#This Row],COLUMN(U388), FALSE)</f>
        <v>GR456072</v>
      </c>
      <c r="V389" t="str">
        <f>VLOOKUP($A389,Table1[#This Row],COLUMN(V388), FALSE)</f>
        <v>LT</v>
      </c>
      <c r="W389">
        <f>VLOOKUP($A389,Table1[#This Row],COLUMN(W388), FALSE)</f>
        <v>2014</v>
      </c>
      <c r="X389" t="str">
        <f>VLOOKUP($A389,Table1[#This Row],COLUMN(X388), FALSE)</f>
        <v>GR456072</v>
      </c>
      <c r="Y389">
        <f>VLOOKUP($A389,Table1[#This Row],COLUMN(Y388), FALSE)</f>
        <v>42003</v>
      </c>
      <c r="Z389" t="str">
        <f>VLOOKUP($A389,Table1[#This Row],COLUMN(Z388), FALSE)</f>
        <v>LT-2014-GR456072-42003</v>
      </c>
      <c r="AA389">
        <f>VLOOKUP($A389,Table1[#This Row],COLUMN(AA388), FALSE)</f>
        <v>2014</v>
      </c>
      <c r="AB389">
        <f>VLOOKUP($A389,Table1[#This Row],COLUMN(AB388), FALSE)</f>
        <v>12</v>
      </c>
      <c r="AC389">
        <f>VLOOKUP($A389,Table1[#This Row],COLUMN(AC388), FALSE)</f>
        <v>3</v>
      </c>
      <c r="AD389">
        <f>VLOOKUP($A389,Table1[#This Row],COLUMN(AD388), FALSE)</f>
        <v>5</v>
      </c>
    </row>
    <row r="390" spans="1:30" ht="15.75">
      <c r="A390" s="53" t="s">
        <v>573</v>
      </c>
      <c r="B390" s="52">
        <f>VLOOKUP($A390,Table1[#This Row],COLUMN(B389), FALSE)</f>
        <v>41614</v>
      </c>
      <c r="C390" s="52">
        <f>VLOOKUP($A390,Table1[#This Row],COLUMN(C389), FALSE)</f>
        <v>41614</v>
      </c>
      <c r="D390" t="str">
        <f>VLOOKUP($A390,Table1[#This Row],COLUMN(D389), FALSE)</f>
        <v>Speros Goranitis</v>
      </c>
      <c r="E390" t="str">
        <f>VLOOKUP($A390,Table1[#This Row],COLUMN(E389), FALSE)</f>
        <v>Romania</v>
      </c>
      <c r="F390" t="str">
        <f>VLOOKUP($A390,Table1[#This Row],COLUMN(F389), FALSE)</f>
        <v>Eastern Europe</v>
      </c>
      <c r="G390" t="str">
        <f>VLOOKUP($A390,Table1[#This Row],COLUMN(G389), FALSE)</f>
        <v>Technology</v>
      </c>
      <c r="H390" t="str">
        <f>VLOOKUP($A390,Table1[#This Row],COLUMN(H389), FALSE)</f>
        <v>Chairs</v>
      </c>
      <c r="I390">
        <f>VLOOKUP($A390,Table1[#This Row],COLUMN(I389), FALSE)</f>
        <v>1554.48</v>
      </c>
      <c r="J390">
        <f>VLOOKUP($A390,Table1[#This Row],COLUMN(J389), FALSE)</f>
        <v>8</v>
      </c>
      <c r="K390">
        <f>VLOOKUP($A390,Table1[#This Row],COLUMN(K389), FALSE)</f>
        <v>0</v>
      </c>
      <c r="L390">
        <f>VLOOKUP($A390,Table1[#This Row],COLUMN(L389), FALSE)</f>
        <v>341.76</v>
      </c>
      <c r="M390" t="str">
        <f>VLOOKUP($A390,Table1[#This Row],COLUMN(M389), FALSE)</f>
        <v>High</v>
      </c>
      <c r="N390">
        <f>VLOOKUP($A390,Table1[#This Row],COLUMN(N389), FALSE)</f>
        <v>0</v>
      </c>
      <c r="O390" t="str">
        <f>VLOOKUP($A390,Table1[#This Row],COLUMN(O389), FALSE)</f>
        <v>Speros Goranitis</v>
      </c>
      <c r="P390" t="str">
        <f>VLOOKUP($A390,Table1[#This Row],COLUMN(P389), FALSE)</f>
        <v>RO</v>
      </c>
      <c r="Q390" t="str">
        <f>VLOOKUP($A390,Table1[#This Row],COLUMN(Q389), FALSE)</f>
        <v>2013</v>
      </c>
      <c r="R390" t="str">
        <f>VLOOKUP($A390,Table1[#This Row],COLUMN(R389), FALSE)</f>
        <v>HIGH</v>
      </c>
      <c r="S390" t="str">
        <f>VLOOKUP($A390,Table1[#This Row],COLUMN(S389), FALSE)</f>
        <v>technology</v>
      </c>
      <c r="T390" t="str">
        <f>VLOOKUP($A390,Table1[#This Row],COLUMN(T389), FALSE)</f>
        <v>41614</v>
      </c>
      <c r="U390" t="str">
        <f>VLOOKUP($A390,Table1[#This Row],COLUMN(U389), FALSE)</f>
        <v>SG10605107</v>
      </c>
      <c r="V390" t="str">
        <f>VLOOKUP($A390,Table1[#This Row],COLUMN(V389), FALSE)</f>
        <v>RO</v>
      </c>
      <c r="W390">
        <f>VLOOKUP($A390,Table1[#This Row],COLUMN(W389), FALSE)</f>
        <v>2013</v>
      </c>
      <c r="X390" t="str">
        <f>VLOOKUP($A390,Table1[#This Row],COLUMN(X389), FALSE)</f>
        <v>SG10605107</v>
      </c>
      <c r="Y390">
        <f>VLOOKUP($A390,Table1[#This Row],COLUMN(Y389), FALSE)</f>
        <v>41614</v>
      </c>
      <c r="Z390" t="str">
        <f>VLOOKUP($A390,Table1[#This Row],COLUMN(Z389), FALSE)</f>
        <v>RO-2013-SG10605107-41614</v>
      </c>
      <c r="AA390">
        <f>VLOOKUP($A390,Table1[#This Row],COLUMN(AA389), FALSE)</f>
        <v>2013</v>
      </c>
      <c r="AB390">
        <f>VLOOKUP($A390,Table1[#This Row],COLUMN(AB389), FALSE)</f>
        <v>12</v>
      </c>
      <c r="AC390">
        <f>VLOOKUP($A390,Table1[#This Row],COLUMN(AC389), FALSE)</f>
        <v>6</v>
      </c>
      <c r="AD390">
        <f>VLOOKUP($A390,Table1[#This Row],COLUMN(AD389), FALSE)</f>
        <v>0</v>
      </c>
    </row>
    <row r="391" spans="1:30" ht="15.75">
      <c r="A391" s="54" t="s">
        <v>578</v>
      </c>
      <c r="B391" s="52">
        <f>VLOOKUP($A391,Table1[#This Row],COLUMN(B390), FALSE)</f>
        <v>41628</v>
      </c>
      <c r="C391" s="52">
        <f>VLOOKUP($A391,Table1[#This Row],COLUMN(C390), FALSE)</f>
        <v>41632</v>
      </c>
      <c r="D391" t="str">
        <f>VLOOKUP($A391,Table1[#This Row],COLUMN(D390), FALSE)</f>
        <v>Fred Hopkins</v>
      </c>
      <c r="E391" t="str">
        <f>VLOOKUP($A391,Table1[#This Row],COLUMN(E390), FALSE)</f>
        <v>mexico</v>
      </c>
      <c r="F391" t="str">
        <f>VLOOKUP($A391,Table1[#This Row],COLUMN(F390), FALSE)</f>
        <v>Central America</v>
      </c>
      <c r="G391" t="str">
        <f>VLOOKUP($A391,Table1[#This Row],COLUMN(G390), FALSE)</f>
        <v>Technology</v>
      </c>
      <c r="H391" t="str">
        <f>VLOOKUP($A391,Table1[#This Row],COLUMN(H390), FALSE)</f>
        <v>Copiers</v>
      </c>
      <c r="I391">
        <f>VLOOKUP($A391,Table1[#This Row],COLUMN(I390), FALSE)</f>
        <v>3474.08</v>
      </c>
      <c r="J391">
        <f>VLOOKUP($A391,Table1[#This Row],COLUMN(J390), FALSE)</f>
        <v>8</v>
      </c>
      <c r="K391">
        <f>VLOOKUP($A391,Table1[#This Row],COLUMN(K390), FALSE)</f>
        <v>0</v>
      </c>
      <c r="L391">
        <f>VLOOKUP($A391,Table1[#This Row],COLUMN(L390), FALSE)</f>
        <v>625.28</v>
      </c>
      <c r="M391" t="str">
        <f>VLOOKUP($A391,Table1[#This Row],COLUMN(M390), FALSE)</f>
        <v>High</v>
      </c>
      <c r="N391">
        <f>VLOOKUP($A391,Table1[#This Row],COLUMN(N390), FALSE)</f>
        <v>0</v>
      </c>
      <c r="O391" t="str">
        <f>VLOOKUP($A391,Table1[#This Row],COLUMN(O390), FALSE)</f>
        <v>Fred Hopkins</v>
      </c>
      <c r="P391" t="str">
        <f>VLOOKUP($A391,Table1[#This Row],COLUMN(P390), FALSE)</f>
        <v>MX</v>
      </c>
      <c r="Q391" t="str">
        <f>VLOOKUP($A391,Table1[#This Row],COLUMN(Q390), FALSE)</f>
        <v>2013</v>
      </c>
      <c r="R391" t="str">
        <f>VLOOKUP($A391,Table1[#This Row],COLUMN(R390), FALSE)</f>
        <v>HIGH</v>
      </c>
      <c r="S391" t="str">
        <f>VLOOKUP($A391,Table1[#This Row],COLUMN(S390), FALSE)</f>
        <v>technology</v>
      </c>
      <c r="T391" t="str">
        <f>VLOOKUP($A391,Table1[#This Row],COLUMN(T390), FALSE)</f>
        <v>41628</v>
      </c>
      <c r="U391" t="str">
        <f>VLOOKUP($A391,Table1[#This Row],COLUMN(U390), FALSE)</f>
        <v>FH1436582</v>
      </c>
      <c r="V391" t="str">
        <f>VLOOKUP($A391,Table1[#This Row],COLUMN(V390), FALSE)</f>
        <v>MX</v>
      </c>
      <c r="W391">
        <f>VLOOKUP($A391,Table1[#This Row],COLUMN(W390), FALSE)</f>
        <v>2013</v>
      </c>
      <c r="X391" t="str">
        <f>VLOOKUP($A391,Table1[#This Row],COLUMN(X390), FALSE)</f>
        <v>FH1436582</v>
      </c>
      <c r="Y391">
        <f>VLOOKUP($A391,Table1[#This Row],COLUMN(Y390), FALSE)</f>
        <v>41628</v>
      </c>
      <c r="Z391" t="str">
        <f>VLOOKUP($A391,Table1[#This Row],COLUMN(Z390), FALSE)</f>
        <v>MX-2013-FH1436582-41628</v>
      </c>
      <c r="AA391">
        <f>VLOOKUP($A391,Table1[#This Row],COLUMN(AA390), FALSE)</f>
        <v>2013</v>
      </c>
      <c r="AB391">
        <f>VLOOKUP($A391,Table1[#This Row],COLUMN(AB390), FALSE)</f>
        <v>12</v>
      </c>
      <c r="AC391">
        <f>VLOOKUP($A391,Table1[#This Row],COLUMN(AC390), FALSE)</f>
        <v>6</v>
      </c>
      <c r="AD391">
        <f>VLOOKUP($A391,Table1[#This Row],COLUMN(AD390), FALSE)</f>
        <v>4</v>
      </c>
    </row>
    <row r="392" spans="1:30" ht="15.75">
      <c r="A392" s="53" t="s">
        <v>592</v>
      </c>
      <c r="B392" s="52" t="str">
        <f>VLOOKUP($A392,Table1[#This Row],COLUMN(B391), FALSE)</f>
        <v xml:space="preserve"> 2015-04-14 </v>
      </c>
      <c r="C392" s="52">
        <f>VLOOKUP($A392,Table1[#This Row],COLUMN(C391), FALSE)</f>
        <v>42111</v>
      </c>
      <c r="D392" t="str">
        <f>VLOOKUP($A392,Table1[#This Row],COLUMN(D391), FALSE)</f>
        <v>Jane Waco</v>
      </c>
      <c r="E392" t="str">
        <f>VLOOKUP($A392,Table1[#This Row],COLUMN(E391), FALSE)</f>
        <v>Senegal</v>
      </c>
      <c r="F392" t="str">
        <f>VLOOKUP($A392,Table1[#This Row],COLUMN(F391), FALSE)</f>
        <v>Western Africa</v>
      </c>
      <c r="G392" t="str">
        <f>VLOOKUP($A392,Table1[#This Row],COLUMN(G391), FALSE)</f>
        <v>Technology</v>
      </c>
      <c r="H392" t="str">
        <f>VLOOKUP($A392,Table1[#This Row],COLUMN(H391), FALSE)</f>
        <v>Phones</v>
      </c>
      <c r="I392">
        <f>VLOOKUP($A392,Table1[#This Row],COLUMN(I391), FALSE)</f>
        <v>3908.88</v>
      </c>
      <c r="J392">
        <f>VLOOKUP($A392,Table1[#This Row],COLUMN(J391), FALSE)</f>
        <v>6</v>
      </c>
      <c r="K392">
        <f>VLOOKUP($A392,Table1[#This Row],COLUMN(K391), FALSE)</f>
        <v>0</v>
      </c>
      <c r="L392">
        <f>VLOOKUP($A392,Table1[#This Row],COLUMN(L391), FALSE)</f>
        <v>1563.48</v>
      </c>
      <c r="M392" t="str">
        <f>VLOOKUP($A392,Table1[#This Row],COLUMN(M391), FALSE)</f>
        <v>Meidum</v>
      </c>
      <c r="N392">
        <f>VLOOKUP($A392,Table1[#This Row],COLUMN(N391), FALSE)</f>
        <v>0</v>
      </c>
      <c r="O392" t="str">
        <f>VLOOKUP($A392,Table1[#This Row],COLUMN(O391), FALSE)</f>
        <v>Jane Waco</v>
      </c>
      <c r="P392" t="str">
        <f>VLOOKUP($A392,Table1[#This Row],COLUMN(P391), FALSE)</f>
        <v>SG</v>
      </c>
      <c r="Q392" t="str">
        <f>VLOOKUP($A392,Table1[#This Row],COLUMN(Q391), FALSE)</f>
        <v>2015</v>
      </c>
      <c r="R392" t="str">
        <f>VLOOKUP($A392,Table1[#This Row],COLUMN(R391), FALSE)</f>
        <v>MEIDUM</v>
      </c>
      <c r="S392" t="str">
        <f>VLOOKUP($A392,Table1[#This Row],COLUMN(S391), FALSE)</f>
        <v>technology</v>
      </c>
      <c r="T392" t="str">
        <f>VLOOKUP($A392,Table1[#This Row],COLUMN(T391), FALSE)</f>
        <v>42108</v>
      </c>
      <c r="U392" t="str">
        <f>VLOOKUP($A392,Table1[#This Row],COLUMN(U391), FALSE)</f>
        <v>JW5220111</v>
      </c>
      <c r="V392" t="str">
        <f>VLOOKUP($A392,Table1[#This Row],COLUMN(V391), FALSE)</f>
        <v>SG</v>
      </c>
      <c r="W392">
        <f>VLOOKUP($A392,Table1[#This Row],COLUMN(W391), FALSE)</f>
        <v>2015</v>
      </c>
      <c r="X392" t="str">
        <f>VLOOKUP($A392,Table1[#This Row],COLUMN(X391), FALSE)</f>
        <v>JW5220111</v>
      </c>
      <c r="Y392">
        <f>VLOOKUP($A392,Table1[#This Row],COLUMN(Y391), FALSE)</f>
        <v>42108</v>
      </c>
      <c r="Z392" t="str">
        <f>VLOOKUP($A392,Table1[#This Row],COLUMN(Z391), FALSE)</f>
        <v>SG-2015-JW5220111-42108</v>
      </c>
      <c r="AA392">
        <f>VLOOKUP($A392,Table1[#This Row],COLUMN(AA391), FALSE)</f>
        <v>0</v>
      </c>
      <c r="AB392">
        <f>VLOOKUP($A392,Table1[#This Row],COLUMN(AB391), FALSE)</f>
        <v>0</v>
      </c>
      <c r="AC392">
        <f>VLOOKUP($A392,Table1[#This Row],COLUMN(AC391), FALSE)</f>
        <v>0</v>
      </c>
      <c r="AD392">
        <f>VLOOKUP($A392,Table1[#This Row],COLUMN(AD391), FALSE)</f>
        <v>0</v>
      </c>
    </row>
    <row r="393" spans="1:30" ht="15.75">
      <c r="A393" s="54" t="s">
        <v>599</v>
      </c>
      <c r="B393" s="52">
        <f>VLOOKUP($A393,Table1[#This Row],COLUMN(B392), FALSE)</f>
        <v>42140</v>
      </c>
      <c r="C393" s="52">
        <f>VLOOKUP($A393,Table1[#This Row],COLUMN(C392), FALSE)</f>
        <v>42142</v>
      </c>
      <c r="D393" t="str">
        <f>VLOOKUP($A393,Table1[#This Row],COLUMN(D392), FALSE)</f>
        <v>Russell D'Ascenzo</v>
      </c>
      <c r="E393" t="str">
        <f>VLOOKUP($A393,Table1[#This Row],COLUMN(E392), FALSE)</f>
        <v>new zealand</v>
      </c>
      <c r="F393" t="str">
        <f>VLOOKUP($A393,Table1[#This Row],COLUMN(F392), FALSE)</f>
        <v>Oceania</v>
      </c>
      <c r="G393" t="str">
        <f>VLOOKUP($A393,Table1[#This Row],COLUMN(G392), FALSE)</f>
        <v>Office_Supplies</v>
      </c>
      <c r="H393" t="str">
        <f>VLOOKUP($A393,Table1[#This Row],COLUMN(H392), FALSE)</f>
        <v>Phones</v>
      </c>
      <c r="I393">
        <f>VLOOKUP($A393,Table1[#This Row],COLUMN(I392), FALSE)</f>
        <v>1900.5839999999901</v>
      </c>
      <c r="J393">
        <f>VLOOKUP($A393,Table1[#This Row],COLUMN(J392), FALSE)</f>
        <v>6</v>
      </c>
      <c r="K393">
        <f>VLOOKUP($A393,Table1[#This Row],COLUMN(K392), FALSE)</f>
        <v>0.4</v>
      </c>
      <c r="L393">
        <f>VLOOKUP($A393,Table1[#This Row],COLUMN(L392), FALSE)</f>
        <v>-348.51600000000002</v>
      </c>
      <c r="M393" t="str">
        <f>VLOOKUP($A393,Table1[#This Row],COLUMN(M392), FALSE)</f>
        <v>High</v>
      </c>
      <c r="N393">
        <f>VLOOKUP($A393,Table1[#This Row],COLUMN(N392), FALSE)</f>
        <v>0</v>
      </c>
      <c r="O393" t="str">
        <f>VLOOKUP($A393,Table1[#This Row],COLUMN(O392), FALSE)</f>
        <v>Russell D'Ascenzo</v>
      </c>
      <c r="P393" t="str">
        <f>VLOOKUP($A393,Table1[#This Row],COLUMN(P392), FALSE)</f>
        <v>ID</v>
      </c>
      <c r="Q393" t="str">
        <f>VLOOKUP($A393,Table1[#This Row],COLUMN(Q392), FALSE)</f>
        <v>2015</v>
      </c>
      <c r="R393" t="str">
        <f>VLOOKUP($A393,Table1[#This Row],COLUMN(R392), FALSE)</f>
        <v>HIGH</v>
      </c>
      <c r="S393" t="str">
        <f>VLOOKUP($A393,Table1[#This Row],COLUMN(S392), FALSE)</f>
        <v>office_supplies</v>
      </c>
      <c r="T393" t="str">
        <f>VLOOKUP($A393,Table1[#This Row],COLUMN(T392), FALSE)</f>
        <v>42140</v>
      </c>
      <c r="U393" t="str">
        <f>VLOOKUP($A393,Table1[#This Row],COLUMN(U392), FALSE)</f>
        <v>RD1993092</v>
      </c>
      <c r="V393" t="str">
        <f>VLOOKUP($A393,Table1[#This Row],COLUMN(V392), FALSE)</f>
        <v>ID</v>
      </c>
      <c r="W393">
        <f>VLOOKUP($A393,Table1[#This Row],COLUMN(W392), FALSE)</f>
        <v>2015</v>
      </c>
      <c r="X393" t="str">
        <f>VLOOKUP($A393,Table1[#This Row],COLUMN(X392), FALSE)</f>
        <v>RD1993092</v>
      </c>
      <c r="Y393">
        <f>VLOOKUP($A393,Table1[#This Row],COLUMN(Y392), FALSE)</f>
        <v>42140</v>
      </c>
      <c r="Z393" t="str">
        <f>VLOOKUP($A393,Table1[#This Row],COLUMN(Z392), FALSE)</f>
        <v>ID-2015-RD1993092-42140</v>
      </c>
      <c r="AA393">
        <f>VLOOKUP($A393,Table1[#This Row],COLUMN(AA392), FALSE)</f>
        <v>2015</v>
      </c>
      <c r="AB393">
        <f>VLOOKUP($A393,Table1[#This Row],COLUMN(AB392), FALSE)</f>
        <v>5</v>
      </c>
      <c r="AC393">
        <f>VLOOKUP($A393,Table1[#This Row],COLUMN(AC392), FALSE)</f>
        <v>7</v>
      </c>
      <c r="AD393">
        <f>VLOOKUP($A393,Table1[#This Row],COLUMN(AD392), FALSE)</f>
        <v>2</v>
      </c>
    </row>
    <row r="394" spans="1:30" ht="15.75">
      <c r="A394" s="53" t="s">
        <v>606</v>
      </c>
      <c r="B394" s="52">
        <f>VLOOKUP($A394,Table1[#This Row],COLUMN(B393), FALSE)</f>
        <v>41788</v>
      </c>
      <c r="C394" s="52">
        <f>VLOOKUP($A394,Table1[#This Row],COLUMN(C393), FALSE)</f>
        <v>41791</v>
      </c>
      <c r="D394" t="str">
        <f>VLOOKUP($A394,Table1[#This Row],COLUMN(D393), FALSE)</f>
        <v>Charles Sheldon</v>
      </c>
      <c r="E394" t="str">
        <f>VLOOKUP($A394,Table1[#This Row],COLUMN(E393), FALSE)</f>
        <v>Thailand</v>
      </c>
      <c r="F394" t="str">
        <f>VLOOKUP($A394,Table1[#This Row],COLUMN(F393), FALSE)</f>
        <v>Southeastern Asia</v>
      </c>
      <c r="G394" t="str">
        <f>VLOOKUP($A394,Table1[#This Row],COLUMN(G393), FALSE)</f>
        <v>Technology</v>
      </c>
      <c r="H394" t="str">
        <f>VLOOKUP($A394,Table1[#This Row],COLUMN(H393), FALSE)</f>
        <v>Bookcases</v>
      </c>
      <c r="I394">
        <f>VLOOKUP($A394,Table1[#This Row],COLUMN(I393), FALSE)</f>
        <v>3181.7718</v>
      </c>
      <c r="J394">
        <f>VLOOKUP($A394,Table1[#This Row],COLUMN(J393), FALSE)</f>
        <v>6</v>
      </c>
      <c r="K394">
        <f>VLOOKUP($A394,Table1[#This Row],COLUMN(K393), FALSE)</f>
        <v>0.17</v>
      </c>
      <c r="L394">
        <f>VLOOKUP($A394,Table1[#This Row],COLUMN(L393), FALSE)</f>
        <v>344.97179999999901</v>
      </c>
      <c r="M394" t="str">
        <f>VLOOKUP($A394,Table1[#This Row],COLUMN(M393), FALSE)</f>
        <v>Medium</v>
      </c>
      <c r="N394">
        <f>VLOOKUP($A394,Table1[#This Row],COLUMN(N393), FALSE)</f>
        <v>0</v>
      </c>
      <c r="O394" t="str">
        <f>VLOOKUP($A394,Table1[#This Row],COLUMN(O393), FALSE)</f>
        <v>Charles Sheldon</v>
      </c>
      <c r="P394" t="str">
        <f>VLOOKUP($A394,Table1[#This Row],COLUMN(P393), FALSE)</f>
        <v>IN</v>
      </c>
      <c r="Q394" t="str">
        <f>VLOOKUP($A394,Table1[#This Row],COLUMN(Q393), FALSE)</f>
        <v>2014</v>
      </c>
      <c r="R394" t="str">
        <f>VLOOKUP($A394,Table1[#This Row],COLUMN(R393), FALSE)</f>
        <v>MEDIUM</v>
      </c>
      <c r="S394" t="str">
        <f>VLOOKUP($A394,Table1[#This Row],COLUMN(S393), FALSE)</f>
        <v>technology</v>
      </c>
      <c r="T394" t="str">
        <f>VLOOKUP($A394,Table1[#This Row],COLUMN(T393), FALSE)</f>
        <v>41788</v>
      </c>
      <c r="U394" t="str">
        <f>VLOOKUP($A394,Table1[#This Row],COLUMN(U393), FALSE)</f>
        <v>CS12175130</v>
      </c>
      <c r="V394" t="str">
        <f>VLOOKUP($A394,Table1[#This Row],COLUMN(V393), FALSE)</f>
        <v>IN</v>
      </c>
      <c r="W394">
        <f>VLOOKUP($A394,Table1[#This Row],COLUMN(W393), FALSE)</f>
        <v>2014</v>
      </c>
      <c r="X394" t="str">
        <f>VLOOKUP($A394,Table1[#This Row],COLUMN(X393), FALSE)</f>
        <v>CS12175130</v>
      </c>
      <c r="Y394">
        <f>VLOOKUP($A394,Table1[#This Row],COLUMN(Y393), FALSE)</f>
        <v>41788</v>
      </c>
      <c r="Z394" t="str">
        <f>VLOOKUP($A394,Table1[#This Row],COLUMN(Z393), FALSE)</f>
        <v>IN-2014-CS12175130-41788</v>
      </c>
      <c r="AA394">
        <f>VLOOKUP($A394,Table1[#This Row],COLUMN(AA393), FALSE)</f>
        <v>2014</v>
      </c>
      <c r="AB394">
        <f>VLOOKUP($A394,Table1[#This Row],COLUMN(AB393), FALSE)</f>
        <v>5</v>
      </c>
      <c r="AC394">
        <f>VLOOKUP($A394,Table1[#This Row],COLUMN(AC393), FALSE)</f>
        <v>5</v>
      </c>
      <c r="AD394">
        <f>VLOOKUP($A394,Table1[#This Row],COLUMN(AD393), FALSE)</f>
        <v>3</v>
      </c>
    </row>
    <row r="395" spans="1:30" ht="15.75">
      <c r="A395" s="54" t="s">
        <v>608</v>
      </c>
      <c r="B395" s="52">
        <f>VLOOKUP($A395,Table1[#This Row],COLUMN(B394), FALSE)</f>
        <v>41515</v>
      </c>
      <c r="C395" s="52">
        <f>VLOOKUP($A395,Table1[#This Row],COLUMN(C394), FALSE)</f>
        <v>41518</v>
      </c>
      <c r="D395" t="str">
        <f>VLOOKUP($A395,Table1[#This Row],COLUMN(D394), FALSE)</f>
        <v>Julia Dunbar</v>
      </c>
      <c r="E395" t="str">
        <f>VLOOKUP($A395,Table1[#This Row],COLUMN(E394), FALSE)</f>
        <v>Spain</v>
      </c>
      <c r="F395" t="str">
        <f>VLOOKUP($A395,Table1[#This Row],COLUMN(F394), FALSE)</f>
        <v>Southern Europe</v>
      </c>
      <c r="G395" t="str">
        <f>VLOOKUP($A395,Table1[#This Row],COLUMN(G394), FALSE)</f>
        <v>Office Supplies</v>
      </c>
      <c r="H395" t="str">
        <f>VLOOKUP($A395,Table1[#This Row],COLUMN(H394), FALSE)</f>
        <v>Bookcases</v>
      </c>
      <c r="I395">
        <f>VLOOKUP($A395,Table1[#This Row],COLUMN(I394), FALSE)</f>
        <v>1392.633</v>
      </c>
      <c r="J395">
        <f>VLOOKUP($A395,Table1[#This Row],COLUMN(J394), FALSE)</f>
        <v>11</v>
      </c>
      <c r="K395">
        <f>VLOOKUP($A395,Table1[#This Row],COLUMN(K394), FALSE)</f>
        <v>0.1</v>
      </c>
      <c r="L395">
        <f>VLOOKUP($A395,Table1[#This Row],COLUMN(L394), FALSE)</f>
        <v>-139.55699999999999</v>
      </c>
      <c r="M395" t="str">
        <f>VLOOKUP($A395,Table1[#This Row],COLUMN(M394), FALSE)</f>
        <v>Critical</v>
      </c>
      <c r="N395">
        <f>VLOOKUP($A395,Table1[#This Row],COLUMN(N394), FALSE)</f>
        <v>0</v>
      </c>
      <c r="O395" t="str">
        <f>VLOOKUP($A395,Table1[#This Row],COLUMN(O394), FALSE)</f>
        <v>Julia Dunbar</v>
      </c>
      <c r="P395" t="str">
        <f>VLOOKUP($A395,Table1[#This Row],COLUMN(P394), FALSE)</f>
        <v>IT</v>
      </c>
      <c r="Q395" t="str">
        <f>VLOOKUP($A395,Table1[#This Row],COLUMN(Q394), FALSE)</f>
        <v>2013</v>
      </c>
      <c r="R395" t="str">
        <f>VLOOKUP($A395,Table1[#This Row],COLUMN(R394), FALSE)</f>
        <v>CRITICAL</v>
      </c>
      <c r="S395" t="str">
        <f>VLOOKUP($A395,Table1[#This Row],COLUMN(S394), FALSE)</f>
        <v>office supplies</v>
      </c>
      <c r="T395" t="str">
        <f>VLOOKUP($A395,Table1[#This Row],COLUMN(T394), FALSE)</f>
        <v>41515</v>
      </c>
      <c r="U395" t="str">
        <f>VLOOKUP($A395,Table1[#This Row],COLUMN(U394), FALSE)</f>
        <v>JD16060120</v>
      </c>
      <c r="V395" t="str">
        <f>VLOOKUP($A395,Table1[#This Row],COLUMN(V394), FALSE)</f>
        <v>IT</v>
      </c>
      <c r="W395">
        <f>VLOOKUP($A395,Table1[#This Row],COLUMN(W394), FALSE)</f>
        <v>2013</v>
      </c>
      <c r="X395" t="str">
        <f>VLOOKUP($A395,Table1[#This Row],COLUMN(X394), FALSE)</f>
        <v>JD16060120</v>
      </c>
      <c r="Y395">
        <f>VLOOKUP($A395,Table1[#This Row],COLUMN(Y394), FALSE)</f>
        <v>41515</v>
      </c>
      <c r="Z395" t="str">
        <f>VLOOKUP($A395,Table1[#This Row],COLUMN(Z394), FALSE)</f>
        <v>IT-2013-JD16060120-41515</v>
      </c>
      <c r="AA395">
        <f>VLOOKUP($A395,Table1[#This Row],COLUMN(AA394), FALSE)</f>
        <v>2013</v>
      </c>
      <c r="AB395">
        <f>VLOOKUP($A395,Table1[#This Row],COLUMN(AB394), FALSE)</f>
        <v>8</v>
      </c>
      <c r="AC395">
        <f>VLOOKUP($A395,Table1[#This Row],COLUMN(AC394), FALSE)</f>
        <v>5</v>
      </c>
      <c r="AD395">
        <f>VLOOKUP($A395,Table1[#This Row],COLUMN(AD394), FALSE)</f>
        <v>3</v>
      </c>
    </row>
    <row r="396" spans="1:30" ht="15.75">
      <c r="A396" s="53" t="s">
        <v>620</v>
      </c>
      <c r="B396" s="52">
        <f>VLOOKUP($A396,Table1[#This Row],COLUMN(B395), FALSE)</f>
        <v>41852</v>
      </c>
      <c r="C396" s="52">
        <f>VLOOKUP($A396,Table1[#This Row],COLUMN(C395), FALSE)</f>
        <v>41855</v>
      </c>
      <c r="D396" t="str">
        <f>VLOOKUP($A396,Table1[#This Row],COLUMN(D395), FALSE)</f>
        <v>Thomas Seio</v>
      </c>
      <c r="E396" t="str">
        <f>VLOOKUP($A396,Table1[#This Row],COLUMN(E395), FALSE)</f>
        <v>Australia</v>
      </c>
      <c r="F396" t="str">
        <f>VLOOKUP($A396,Table1[#This Row],COLUMN(F395), FALSE)</f>
        <v>Oceania</v>
      </c>
      <c r="G396" t="str">
        <f>VLOOKUP($A396,Table1[#This Row],COLUMN(G395), FALSE)</f>
        <v>Furniture</v>
      </c>
      <c r="H396" t="str">
        <f>VLOOKUP($A396,Table1[#This Row],COLUMN(H395), FALSE)</f>
        <v>Bookcases</v>
      </c>
      <c r="I396">
        <f>VLOOKUP($A396,Table1[#This Row],COLUMN(I395), FALSE)</f>
        <v>1512</v>
      </c>
      <c r="J396">
        <f>VLOOKUP($A396,Table1[#This Row],COLUMN(J395), FALSE)</f>
        <v>6</v>
      </c>
      <c r="K396">
        <f>VLOOKUP($A396,Table1[#This Row],COLUMN(K395), FALSE)</f>
        <v>0</v>
      </c>
      <c r="L396">
        <f>VLOOKUP($A396,Table1[#This Row],COLUMN(L395), FALSE)</f>
        <v>498.96</v>
      </c>
      <c r="M396" t="str">
        <f>VLOOKUP($A396,Table1[#This Row],COLUMN(M395), FALSE)</f>
        <v>Critical</v>
      </c>
      <c r="N396">
        <f>VLOOKUP($A396,Table1[#This Row],COLUMN(N395), FALSE)</f>
        <v>0</v>
      </c>
      <c r="O396" t="str">
        <f>VLOOKUP($A396,Table1[#This Row],COLUMN(O395), FALSE)</f>
        <v>Thomas Seio</v>
      </c>
      <c r="P396" t="str">
        <f>VLOOKUP($A396,Table1[#This Row],COLUMN(P395), FALSE)</f>
        <v>IN</v>
      </c>
      <c r="Q396" t="str">
        <f>VLOOKUP($A396,Table1[#This Row],COLUMN(Q395), FALSE)</f>
        <v>2014</v>
      </c>
      <c r="R396" t="str">
        <f>VLOOKUP($A396,Table1[#This Row],COLUMN(R395), FALSE)</f>
        <v>CRITICAL</v>
      </c>
      <c r="S396" t="str">
        <f>VLOOKUP($A396,Table1[#This Row],COLUMN(S395), FALSE)</f>
        <v>furniture</v>
      </c>
      <c r="T396" t="str">
        <f>VLOOKUP($A396,Table1[#This Row],COLUMN(T395), FALSE)</f>
        <v>41852</v>
      </c>
      <c r="U396" t="str">
        <f>VLOOKUP($A396,Table1[#This Row],COLUMN(U395), FALSE)</f>
        <v>TS212057</v>
      </c>
      <c r="V396" t="str">
        <f>VLOOKUP($A396,Table1[#This Row],COLUMN(V395), FALSE)</f>
        <v>IN</v>
      </c>
      <c r="W396">
        <f>VLOOKUP($A396,Table1[#This Row],COLUMN(W395), FALSE)</f>
        <v>2014</v>
      </c>
      <c r="X396" t="str">
        <f>VLOOKUP($A396,Table1[#This Row],COLUMN(X395), FALSE)</f>
        <v>TS212057</v>
      </c>
      <c r="Y396">
        <f>VLOOKUP($A396,Table1[#This Row],COLUMN(Y395), FALSE)</f>
        <v>41852</v>
      </c>
      <c r="Z396" t="str">
        <f>VLOOKUP($A396,Table1[#This Row],COLUMN(Z395), FALSE)</f>
        <v>IN-2014-TS212057-41852</v>
      </c>
      <c r="AA396">
        <f>VLOOKUP($A396,Table1[#This Row],COLUMN(AA395), FALSE)</f>
        <v>2014</v>
      </c>
      <c r="AB396">
        <f>VLOOKUP($A396,Table1[#This Row],COLUMN(AB395), FALSE)</f>
        <v>8</v>
      </c>
      <c r="AC396">
        <f>VLOOKUP($A396,Table1[#This Row],COLUMN(AC395), FALSE)</f>
        <v>6</v>
      </c>
      <c r="AD396">
        <f>VLOOKUP($A396,Table1[#This Row],COLUMN(AD395), FALSE)</f>
        <v>3</v>
      </c>
    </row>
    <row r="397" spans="1:30" ht="15.75">
      <c r="A397" s="54" t="s">
        <v>589</v>
      </c>
      <c r="B397" s="52">
        <f>VLOOKUP($A397,Table1[#This Row],COLUMN(B396), FALSE)</f>
        <v>41812</v>
      </c>
      <c r="C397" s="52">
        <f>VLOOKUP($A397,Table1[#This Row],COLUMN(C396), FALSE)</f>
        <v>41817</v>
      </c>
      <c r="D397" t="str">
        <f>VLOOKUP($A397,Table1[#This Row],COLUMN(D396), FALSE)</f>
        <v>Adam Shillingsburg</v>
      </c>
      <c r="E397" t="str">
        <f>VLOOKUP($A397,Table1[#This Row],COLUMN(E396), FALSE)</f>
        <v>United States</v>
      </c>
      <c r="F397" t="str">
        <f>VLOOKUP($A397,Table1[#This Row],COLUMN(F396), FALSE)</f>
        <v>Eastern US</v>
      </c>
      <c r="G397" t="str">
        <f>VLOOKUP($A397,Table1[#This Row],COLUMN(G396), FALSE)</f>
        <v>Office Supplies</v>
      </c>
      <c r="H397" t="str">
        <f>VLOOKUP($A397,Table1[#This Row],COLUMN(H396), FALSE)</f>
        <v>Storage</v>
      </c>
      <c r="I397">
        <f>VLOOKUP($A397,Table1[#This Row],COLUMN(I396), FALSE)</f>
        <v>186.14400000000001</v>
      </c>
      <c r="J397">
        <f>VLOOKUP($A397,Table1[#This Row],COLUMN(J396), FALSE)</f>
        <v>6</v>
      </c>
      <c r="K397">
        <f>VLOOKUP($A397,Table1[#This Row],COLUMN(K396), FALSE)</f>
        <v>0.2</v>
      </c>
      <c r="L397">
        <f>VLOOKUP($A397,Table1[#This Row],COLUMN(L396), FALSE)</f>
        <v>60.496799999999901</v>
      </c>
      <c r="M397" t="str">
        <f>VLOOKUP($A397,Table1[#This Row],COLUMN(M396), FALSE)</f>
        <v>High</v>
      </c>
      <c r="N397">
        <f>VLOOKUP($A397,Table1[#This Row],COLUMN(N396), FALSE)</f>
        <v>0</v>
      </c>
      <c r="O397" t="str">
        <f>VLOOKUP($A397,Table1[#This Row],COLUMN(O396), FALSE)</f>
        <v>Adam Shillingsburg</v>
      </c>
      <c r="P397" t="str">
        <f>VLOOKUP($A397,Table1[#This Row],COLUMN(P396), FALSE)</f>
        <v>CA</v>
      </c>
      <c r="Q397" t="str">
        <f>VLOOKUP($A397,Table1[#This Row],COLUMN(Q396), FALSE)</f>
        <v>2014</v>
      </c>
      <c r="R397" t="str">
        <f>VLOOKUP($A397,Table1[#This Row],COLUMN(R396), FALSE)</f>
        <v>HIGH</v>
      </c>
      <c r="S397" t="str">
        <f>VLOOKUP($A397,Table1[#This Row],COLUMN(S396), FALSE)</f>
        <v>office supplies</v>
      </c>
      <c r="T397" t="str">
        <f>VLOOKUP($A397,Table1[#This Row],COLUMN(T396), FALSE)</f>
        <v>41812</v>
      </c>
      <c r="U397" t="str">
        <f>VLOOKUP($A397,Table1[#This Row],COLUMN(U396), FALSE)</f>
        <v>AS10090140</v>
      </c>
      <c r="V397" t="str">
        <f>VLOOKUP($A397,Table1[#This Row],COLUMN(V396), FALSE)</f>
        <v>CA</v>
      </c>
      <c r="W397">
        <f>VLOOKUP($A397,Table1[#This Row],COLUMN(W396), FALSE)</f>
        <v>2014</v>
      </c>
      <c r="X397" t="str">
        <f>VLOOKUP($A397,Table1[#This Row],COLUMN(X396), FALSE)</f>
        <v>AS10090140</v>
      </c>
      <c r="Y397">
        <f>VLOOKUP($A397,Table1[#This Row],COLUMN(Y396), FALSE)</f>
        <v>41812</v>
      </c>
      <c r="Z397" t="str">
        <f>VLOOKUP($A397,Table1[#This Row],COLUMN(Z396), FALSE)</f>
        <v>CA-2014-AS10090140-41812</v>
      </c>
      <c r="AA397">
        <f>VLOOKUP($A397,Table1[#This Row],COLUMN(AA396), FALSE)</f>
        <v>2014</v>
      </c>
      <c r="AB397">
        <f>VLOOKUP($A397,Table1[#This Row],COLUMN(AB396), FALSE)</f>
        <v>6</v>
      </c>
      <c r="AC397">
        <f>VLOOKUP($A397,Table1[#This Row],COLUMN(AC396), FALSE)</f>
        <v>1</v>
      </c>
      <c r="AD397">
        <f>VLOOKUP($A397,Table1[#This Row],COLUMN(AD396), FALSE)</f>
        <v>5</v>
      </c>
    </row>
    <row r="398" spans="1:30" ht="15.75">
      <c r="A398" s="53" t="s">
        <v>627</v>
      </c>
      <c r="B398" s="52">
        <f>VLOOKUP($A398,Table1[#This Row],COLUMN(B397), FALSE)</f>
        <v>42288</v>
      </c>
      <c r="C398" s="52">
        <f>VLOOKUP($A398,Table1[#This Row],COLUMN(C397), FALSE)</f>
        <v>42290</v>
      </c>
      <c r="D398" t="str">
        <f>VLOOKUP($A398,Table1[#This Row],COLUMN(D397), FALSE)</f>
        <v>Pamela Stobb</v>
      </c>
      <c r="E398" t="str">
        <f>VLOOKUP($A398,Table1[#This Row],COLUMN(E397), FALSE)</f>
        <v>Indonesia</v>
      </c>
      <c r="F398" t="str">
        <f>VLOOKUP($A398,Table1[#This Row],COLUMN(F397), FALSE)</f>
        <v>Southeastern Asia</v>
      </c>
      <c r="G398" t="str">
        <f>VLOOKUP($A398,Table1[#This Row],COLUMN(G397), FALSE)</f>
        <v>Furniture</v>
      </c>
      <c r="H398" t="str">
        <f>VLOOKUP($A398,Table1[#This Row],COLUMN(H397), FALSE)</f>
        <v>Accessories</v>
      </c>
      <c r="I398">
        <f>VLOOKUP($A398,Table1[#This Row],COLUMN(I397), FALSE)</f>
        <v>1029.25889999999</v>
      </c>
      <c r="J398">
        <f>VLOOKUP($A398,Table1[#This Row],COLUMN(J397), FALSE)</f>
        <v>9</v>
      </c>
      <c r="K398">
        <f>VLOOKUP($A398,Table1[#This Row],COLUMN(K397), FALSE)</f>
        <v>7.0000000000000007E-2</v>
      </c>
      <c r="L398">
        <f>VLOOKUP($A398,Table1[#This Row],COLUMN(L397), FALSE)</f>
        <v>10.818899999999999</v>
      </c>
      <c r="M398" t="str">
        <f>VLOOKUP($A398,Table1[#This Row],COLUMN(M397), FALSE)</f>
        <v>Critical</v>
      </c>
      <c r="N398">
        <f>VLOOKUP($A398,Table1[#This Row],COLUMN(N397), FALSE)</f>
        <v>0</v>
      </c>
      <c r="O398" t="str">
        <f>VLOOKUP($A398,Table1[#This Row],COLUMN(O397), FALSE)</f>
        <v>Pamela Stobb</v>
      </c>
      <c r="P398" t="str">
        <f>VLOOKUP($A398,Table1[#This Row],COLUMN(P397), FALSE)</f>
        <v>IN</v>
      </c>
      <c r="Q398" t="str">
        <f>VLOOKUP($A398,Table1[#This Row],COLUMN(Q397), FALSE)</f>
        <v>2015</v>
      </c>
      <c r="R398" t="str">
        <f>VLOOKUP($A398,Table1[#This Row],COLUMN(R397), FALSE)</f>
        <v>CRITICAL</v>
      </c>
      <c r="S398" t="str">
        <f>VLOOKUP($A398,Table1[#This Row],COLUMN(S397), FALSE)</f>
        <v>furniture</v>
      </c>
      <c r="T398" t="str">
        <f>VLOOKUP($A398,Table1[#This Row],COLUMN(T397), FALSE)</f>
        <v>42288</v>
      </c>
      <c r="U398" t="str">
        <f>VLOOKUP($A398,Table1[#This Row],COLUMN(U397), FALSE)</f>
        <v>PS1876059</v>
      </c>
      <c r="V398" t="str">
        <f>VLOOKUP($A398,Table1[#This Row],COLUMN(V397), FALSE)</f>
        <v>IN</v>
      </c>
      <c r="W398">
        <f>VLOOKUP($A398,Table1[#This Row],COLUMN(W397), FALSE)</f>
        <v>2015</v>
      </c>
      <c r="X398" t="str">
        <f>VLOOKUP($A398,Table1[#This Row],COLUMN(X397), FALSE)</f>
        <v>PS1876059</v>
      </c>
      <c r="Y398">
        <f>VLOOKUP($A398,Table1[#This Row],COLUMN(Y397), FALSE)</f>
        <v>42288</v>
      </c>
      <c r="Z398" t="str">
        <f>VLOOKUP($A398,Table1[#This Row],COLUMN(Z397), FALSE)</f>
        <v>IN-2015-PS1876059-42288</v>
      </c>
      <c r="AA398">
        <f>VLOOKUP($A398,Table1[#This Row],COLUMN(AA397), FALSE)</f>
        <v>2015</v>
      </c>
      <c r="AB398">
        <f>VLOOKUP($A398,Table1[#This Row],COLUMN(AB397), FALSE)</f>
        <v>10</v>
      </c>
      <c r="AC398">
        <f>VLOOKUP($A398,Table1[#This Row],COLUMN(AC397), FALSE)</f>
        <v>1</v>
      </c>
      <c r="AD398">
        <f>VLOOKUP($A398,Table1[#This Row],COLUMN(AD397), FALSE)</f>
        <v>2</v>
      </c>
    </row>
    <row r="399" spans="1:30" ht="15.75">
      <c r="A399" s="54" t="s">
        <v>631</v>
      </c>
      <c r="B399" s="52">
        <f>VLOOKUP($A399,Table1[#This Row],COLUMN(B398), FALSE)</f>
        <v>41802</v>
      </c>
      <c r="C399" s="52">
        <f>VLOOKUP($A399,Table1[#This Row],COLUMN(C398), FALSE)</f>
        <v>41807</v>
      </c>
      <c r="D399" t="str">
        <f>VLOOKUP($A399,Table1[#This Row],COLUMN(D398), FALSE)</f>
        <v>Cynthia Arntzen</v>
      </c>
      <c r="E399" t="str">
        <f>VLOOKUP($A399,Table1[#This Row],COLUMN(E398), FALSE)</f>
        <v>India</v>
      </c>
      <c r="F399" t="str">
        <f>VLOOKUP($A399,Table1[#This Row],COLUMN(F398), FALSE)</f>
        <v>Southern Asia</v>
      </c>
      <c r="G399" t="str">
        <f>VLOOKUP($A399,Table1[#This Row],COLUMN(G398), FALSE)</f>
        <v>Technology</v>
      </c>
      <c r="H399" t="str">
        <f>VLOOKUP($A399,Table1[#This Row],COLUMN(H398), FALSE)</f>
        <v>Bookcases</v>
      </c>
      <c r="I399">
        <f>VLOOKUP($A399,Table1[#This Row],COLUMN(I398), FALSE)</f>
        <v>5751.54</v>
      </c>
      <c r="J399">
        <f>VLOOKUP($A399,Table1[#This Row],COLUMN(J398), FALSE)</f>
        <v>9</v>
      </c>
      <c r="K399">
        <f>VLOOKUP($A399,Table1[#This Row],COLUMN(K398), FALSE)</f>
        <v>0</v>
      </c>
      <c r="L399">
        <f>VLOOKUP($A399,Table1[#This Row],COLUMN(L398), FALSE)</f>
        <v>2817.99</v>
      </c>
      <c r="M399" t="str">
        <f>VLOOKUP($A399,Table1[#This Row],COLUMN(M398), FALSE)</f>
        <v>Medium</v>
      </c>
      <c r="N399">
        <f>VLOOKUP($A399,Table1[#This Row],COLUMN(N398), FALSE)</f>
        <v>0</v>
      </c>
      <c r="O399" t="str">
        <f>VLOOKUP($A399,Table1[#This Row],COLUMN(O398), FALSE)</f>
        <v>Cynthia Arntzen</v>
      </c>
      <c r="P399" t="str">
        <f>VLOOKUP($A399,Table1[#This Row],COLUMN(P398), FALSE)</f>
        <v>IN</v>
      </c>
      <c r="Q399" t="str">
        <f>VLOOKUP($A399,Table1[#This Row],COLUMN(Q398), FALSE)</f>
        <v>2014</v>
      </c>
      <c r="R399" t="str">
        <f>VLOOKUP($A399,Table1[#This Row],COLUMN(R398), FALSE)</f>
        <v>MEDIUM</v>
      </c>
      <c r="S399" t="str">
        <f>VLOOKUP($A399,Table1[#This Row],COLUMN(S398), FALSE)</f>
        <v>technology</v>
      </c>
      <c r="T399" t="str">
        <f>VLOOKUP($A399,Table1[#This Row],COLUMN(T398), FALSE)</f>
        <v>41802</v>
      </c>
      <c r="U399" t="str">
        <f>VLOOKUP($A399,Table1[#This Row],COLUMN(U398), FALSE)</f>
        <v>CA1277558</v>
      </c>
      <c r="V399" t="str">
        <f>VLOOKUP($A399,Table1[#This Row],COLUMN(V398), FALSE)</f>
        <v>IN</v>
      </c>
      <c r="W399">
        <f>VLOOKUP($A399,Table1[#This Row],COLUMN(W398), FALSE)</f>
        <v>2014</v>
      </c>
      <c r="X399" t="str">
        <f>VLOOKUP($A399,Table1[#This Row],COLUMN(X398), FALSE)</f>
        <v>CA1277558</v>
      </c>
      <c r="Y399">
        <f>VLOOKUP($A399,Table1[#This Row],COLUMN(Y398), FALSE)</f>
        <v>41802</v>
      </c>
      <c r="Z399" t="str">
        <f>VLOOKUP($A399,Table1[#This Row],COLUMN(Z398), FALSE)</f>
        <v>IN-2014-CA1277558-41802</v>
      </c>
      <c r="AA399">
        <f>VLOOKUP($A399,Table1[#This Row],COLUMN(AA398), FALSE)</f>
        <v>2014</v>
      </c>
      <c r="AB399">
        <f>VLOOKUP($A399,Table1[#This Row],COLUMN(AB398), FALSE)</f>
        <v>6</v>
      </c>
      <c r="AC399">
        <f>VLOOKUP($A399,Table1[#This Row],COLUMN(AC398), FALSE)</f>
        <v>5</v>
      </c>
      <c r="AD399">
        <f>VLOOKUP($A399,Table1[#This Row],COLUMN(AD398), FALSE)</f>
        <v>5</v>
      </c>
    </row>
    <row r="400" spans="1:30" ht="15.75">
      <c r="A400" s="53" t="s">
        <v>633</v>
      </c>
      <c r="B400" s="52">
        <f>VLOOKUP($A400,Table1[#This Row],COLUMN(B399), FALSE)</f>
        <v>41899</v>
      </c>
      <c r="C400" s="52">
        <f>VLOOKUP($A400,Table1[#This Row],COLUMN(C399), FALSE)</f>
        <v>41902</v>
      </c>
      <c r="D400" t="str">
        <f>VLOOKUP($A400,Table1[#This Row],COLUMN(D399), FALSE)</f>
        <v>Cynthia Delaney</v>
      </c>
      <c r="E400" t="str">
        <f>VLOOKUP($A400,Table1[#This Row],COLUMN(E399), FALSE)</f>
        <v>Germayn</v>
      </c>
      <c r="F400" t="str">
        <f>VLOOKUP($A400,Table1[#This Row],COLUMN(F399), FALSE)</f>
        <v>Western Europe</v>
      </c>
      <c r="G400" t="str">
        <f>VLOOKUP($A400,Table1[#This Row],COLUMN(G399), FALSE)</f>
        <v>Furniture</v>
      </c>
      <c r="H400" t="str">
        <f>VLOOKUP($A400,Table1[#This Row],COLUMN(H399), FALSE)</f>
        <v>Copiers</v>
      </c>
      <c r="I400">
        <f>VLOOKUP($A400,Table1[#This Row],COLUMN(I399), FALSE)</f>
        <v>2442.069</v>
      </c>
      <c r="J400">
        <f>VLOOKUP($A400,Table1[#This Row],COLUMN(J399), FALSE)</f>
        <v>7</v>
      </c>
      <c r="K400">
        <f>VLOOKUP($A400,Table1[#This Row],COLUMN(K399), FALSE)</f>
        <v>0.1</v>
      </c>
      <c r="L400">
        <f>VLOOKUP($A400,Table1[#This Row],COLUMN(L399), FALSE)</f>
        <v>-244.251</v>
      </c>
      <c r="M400" t="str">
        <f>VLOOKUP($A400,Table1[#This Row],COLUMN(M399), FALSE)</f>
        <v>High</v>
      </c>
      <c r="N400">
        <f>VLOOKUP($A400,Table1[#This Row],COLUMN(N399), FALSE)</f>
        <v>0</v>
      </c>
      <c r="O400" t="str">
        <f>VLOOKUP($A400,Table1[#This Row],COLUMN(O399), FALSE)</f>
        <v>Cynthia Delaney</v>
      </c>
      <c r="P400" t="str">
        <f>VLOOKUP($A400,Table1[#This Row],COLUMN(P399), FALSE)</f>
        <v>ES</v>
      </c>
      <c r="Q400" t="str">
        <f>VLOOKUP($A400,Table1[#This Row],COLUMN(Q399), FALSE)</f>
        <v>2014</v>
      </c>
      <c r="R400" t="str">
        <f>VLOOKUP($A400,Table1[#This Row],COLUMN(R399), FALSE)</f>
        <v>HIGH</v>
      </c>
      <c r="S400" t="str">
        <f>VLOOKUP($A400,Table1[#This Row],COLUMN(S399), FALSE)</f>
        <v>furniture</v>
      </c>
      <c r="T400" t="str">
        <f>VLOOKUP($A400,Table1[#This Row],COLUMN(T399), FALSE)</f>
        <v>41899</v>
      </c>
      <c r="U400" t="str">
        <f>VLOOKUP($A400,Table1[#This Row],COLUMN(U399), FALSE)</f>
        <v>CD1279048</v>
      </c>
      <c r="V400" t="str">
        <f>VLOOKUP($A400,Table1[#This Row],COLUMN(V399), FALSE)</f>
        <v>ES</v>
      </c>
      <c r="W400">
        <f>VLOOKUP($A400,Table1[#This Row],COLUMN(W399), FALSE)</f>
        <v>2014</v>
      </c>
      <c r="X400" t="str">
        <f>VLOOKUP($A400,Table1[#This Row],COLUMN(X399), FALSE)</f>
        <v>CD1279048</v>
      </c>
      <c r="Y400">
        <f>VLOOKUP($A400,Table1[#This Row],COLUMN(Y399), FALSE)</f>
        <v>41899</v>
      </c>
      <c r="Z400" t="str">
        <f>VLOOKUP($A400,Table1[#This Row],COLUMN(Z399), FALSE)</f>
        <v>ES-2014-CD1279048-41899</v>
      </c>
      <c r="AA400">
        <f>VLOOKUP($A400,Table1[#This Row],COLUMN(AA399), FALSE)</f>
        <v>2014</v>
      </c>
      <c r="AB400">
        <f>VLOOKUP($A400,Table1[#This Row],COLUMN(AB399), FALSE)</f>
        <v>9</v>
      </c>
      <c r="AC400">
        <f>VLOOKUP($A400,Table1[#This Row],COLUMN(AC399), FALSE)</f>
        <v>4</v>
      </c>
      <c r="AD400">
        <f>VLOOKUP($A400,Table1[#This Row],COLUMN(AD399), FALSE)</f>
        <v>3</v>
      </c>
    </row>
    <row r="401" spans="1:30" ht="15.75">
      <c r="A401" s="54" t="s">
        <v>644</v>
      </c>
      <c r="B401" s="52">
        <f>VLOOKUP($A401,Table1[#This Row],COLUMN(B400), FALSE)</f>
        <v>41136</v>
      </c>
      <c r="C401" s="52">
        <f>VLOOKUP($A401,Table1[#This Row],COLUMN(C400), FALSE)</f>
        <v>41140</v>
      </c>
      <c r="D401" t="str">
        <f>VLOOKUP($A401,Table1[#This Row],COLUMN(D400), FALSE)</f>
        <v>Ken Brennan</v>
      </c>
      <c r="E401" t="str">
        <f>VLOOKUP($A401,Table1[#This Row],COLUMN(E400), FALSE)</f>
        <v>India</v>
      </c>
      <c r="F401" t="str">
        <f>VLOOKUP($A401,Table1[#This Row],COLUMN(F400), FALSE)</f>
        <v>Southern Asia</v>
      </c>
      <c r="G401" t="str">
        <f>VLOOKUP($A401,Table1[#This Row],COLUMN(G400), FALSE)</f>
        <v>Furniture</v>
      </c>
      <c r="H401" t="str">
        <f>VLOOKUP($A401,Table1[#This Row],COLUMN(H400), FALSE)</f>
        <v>Bookcases</v>
      </c>
      <c r="I401">
        <f>VLOOKUP($A401,Table1[#This Row],COLUMN(I400), FALSE)</f>
        <v>3274.02</v>
      </c>
      <c r="J401">
        <f>VLOOKUP($A401,Table1[#This Row],COLUMN(J400), FALSE)</f>
        <v>9</v>
      </c>
      <c r="K401">
        <f>VLOOKUP($A401,Table1[#This Row],COLUMN(K400), FALSE)</f>
        <v>0</v>
      </c>
      <c r="L401">
        <f>VLOOKUP($A401,Table1[#This Row],COLUMN(L400), FALSE)</f>
        <v>261.89999999999998</v>
      </c>
      <c r="M401" t="str">
        <f>VLOOKUP($A401,Table1[#This Row],COLUMN(M400), FALSE)</f>
        <v>Medium</v>
      </c>
      <c r="N401">
        <f>VLOOKUP($A401,Table1[#This Row],COLUMN(N400), FALSE)</f>
        <v>0</v>
      </c>
      <c r="O401" t="str">
        <f>VLOOKUP($A401,Table1[#This Row],COLUMN(O400), FALSE)</f>
        <v>Ken Brennan</v>
      </c>
      <c r="P401" t="str">
        <f>VLOOKUP($A401,Table1[#This Row],COLUMN(P400), FALSE)</f>
        <v>IN</v>
      </c>
      <c r="Q401" t="str">
        <f>VLOOKUP($A401,Table1[#This Row],COLUMN(Q400), FALSE)</f>
        <v>2012</v>
      </c>
      <c r="R401" t="str">
        <f>VLOOKUP($A401,Table1[#This Row],COLUMN(R400), FALSE)</f>
        <v>MEDIUM</v>
      </c>
      <c r="S401" t="str">
        <f>VLOOKUP($A401,Table1[#This Row],COLUMN(S400), FALSE)</f>
        <v>furniture</v>
      </c>
      <c r="T401" t="str">
        <f>VLOOKUP($A401,Table1[#This Row],COLUMN(T400), FALSE)</f>
        <v>41136</v>
      </c>
      <c r="U401" t="str">
        <f>VLOOKUP($A401,Table1[#This Row],COLUMN(U400), FALSE)</f>
        <v>KB1660058</v>
      </c>
      <c r="V401" t="str">
        <f>VLOOKUP($A401,Table1[#This Row],COLUMN(V400), FALSE)</f>
        <v>IN</v>
      </c>
      <c r="W401">
        <f>VLOOKUP($A401,Table1[#This Row],COLUMN(W400), FALSE)</f>
        <v>2012</v>
      </c>
      <c r="X401" t="str">
        <f>VLOOKUP($A401,Table1[#This Row],COLUMN(X400), FALSE)</f>
        <v>KB1660058</v>
      </c>
      <c r="Y401">
        <f>VLOOKUP($A401,Table1[#This Row],COLUMN(Y400), FALSE)</f>
        <v>41136</v>
      </c>
      <c r="Z401" t="str">
        <f>VLOOKUP($A401,Table1[#This Row],COLUMN(Z400), FALSE)</f>
        <v>IN-2012-KB1660058-41136</v>
      </c>
      <c r="AA401">
        <f>VLOOKUP($A401,Table1[#This Row],COLUMN(AA400), FALSE)</f>
        <v>2012</v>
      </c>
      <c r="AB401">
        <f>VLOOKUP($A401,Table1[#This Row],COLUMN(AB400), FALSE)</f>
        <v>8</v>
      </c>
      <c r="AC401">
        <f>VLOOKUP($A401,Table1[#This Row],COLUMN(AC400), FALSE)</f>
        <v>4</v>
      </c>
      <c r="AD401">
        <f>VLOOKUP($A401,Table1[#This Row],COLUMN(AD400), FALSE)</f>
        <v>4</v>
      </c>
    </row>
    <row r="402" spans="1:30" ht="15.75">
      <c r="A402" s="53" t="s">
        <v>646</v>
      </c>
      <c r="B402" s="52">
        <f>VLOOKUP($A402,Table1[#This Row],COLUMN(B401), FALSE)</f>
        <v>42096</v>
      </c>
      <c r="C402" s="52" t="str">
        <f>VLOOKUP($A402,Table1[#This Row],COLUMN(C401), FALSE)</f>
        <v xml:space="preserve"> 2015-04-05 </v>
      </c>
      <c r="D402" t="str">
        <f>VLOOKUP($A402,Table1[#This Row],COLUMN(D401), FALSE)</f>
        <v>Adam Shillingsburg</v>
      </c>
      <c r="E402" t="str">
        <f>VLOOKUP($A402,Table1[#This Row],COLUMN(E401), FALSE)</f>
        <v>United States</v>
      </c>
      <c r="F402" t="str">
        <f>VLOOKUP($A402,Table1[#This Row],COLUMN(F401), FALSE)</f>
        <v>Central US</v>
      </c>
      <c r="G402" t="str">
        <f>VLOOKUP($A402,Table1[#This Row],COLUMN(G401), FALSE)</f>
        <v>Office Supplies</v>
      </c>
      <c r="H402" t="str">
        <f>VLOOKUP($A402,Table1[#This Row],COLUMN(H401), FALSE)</f>
        <v>Bookcases</v>
      </c>
      <c r="I402">
        <f>VLOOKUP($A402,Table1[#This Row],COLUMN(I401), FALSE)</f>
        <v>94.199999999999903</v>
      </c>
      <c r="J402">
        <f>VLOOKUP($A402,Table1[#This Row],COLUMN(J401), FALSE)</f>
        <v>6</v>
      </c>
      <c r="K402">
        <f>VLOOKUP($A402,Table1[#This Row],COLUMN(K401), FALSE)</f>
        <v>0</v>
      </c>
      <c r="L402">
        <f>VLOOKUP($A402,Table1[#This Row],COLUMN(L401), FALSE)</f>
        <v>23.55</v>
      </c>
      <c r="M402" t="str">
        <f>VLOOKUP($A402,Table1[#This Row],COLUMN(M401), FALSE)</f>
        <v>High</v>
      </c>
      <c r="N402">
        <f>VLOOKUP($A402,Table1[#This Row],COLUMN(N401), FALSE)</f>
        <v>0</v>
      </c>
      <c r="O402" t="str">
        <f>VLOOKUP($A402,Table1[#This Row],COLUMN(O401), FALSE)</f>
        <v>Adam Shillingsburg</v>
      </c>
      <c r="P402" t="str">
        <f>VLOOKUP($A402,Table1[#This Row],COLUMN(P401), FALSE)</f>
        <v>CA</v>
      </c>
      <c r="Q402" t="str">
        <f>VLOOKUP($A402,Table1[#This Row],COLUMN(Q401), FALSE)</f>
        <v>2015</v>
      </c>
      <c r="R402" t="str">
        <f>VLOOKUP($A402,Table1[#This Row],COLUMN(R401), FALSE)</f>
        <v>HIGH</v>
      </c>
      <c r="S402" t="str">
        <f>VLOOKUP($A402,Table1[#This Row],COLUMN(S401), FALSE)</f>
        <v>office supplies</v>
      </c>
      <c r="T402" t="str">
        <f>VLOOKUP($A402,Table1[#This Row],COLUMN(T401), FALSE)</f>
        <v>42096</v>
      </c>
      <c r="U402" t="str">
        <f>VLOOKUP($A402,Table1[#This Row],COLUMN(U401), FALSE)</f>
        <v>AS10090140</v>
      </c>
      <c r="V402" t="str">
        <f>VLOOKUP($A402,Table1[#This Row],COLUMN(V401), FALSE)</f>
        <v>CA</v>
      </c>
      <c r="W402">
        <f>VLOOKUP($A402,Table1[#This Row],COLUMN(W401), FALSE)</f>
        <v>2015</v>
      </c>
      <c r="X402" t="str">
        <f>VLOOKUP($A402,Table1[#This Row],COLUMN(X401), FALSE)</f>
        <v>AS10090140</v>
      </c>
      <c r="Y402">
        <f>VLOOKUP($A402,Table1[#This Row],COLUMN(Y401), FALSE)</f>
        <v>42096</v>
      </c>
      <c r="Z402" t="str">
        <f>VLOOKUP($A402,Table1[#This Row],COLUMN(Z401), FALSE)</f>
        <v>CA-2015-AS10090140-42096</v>
      </c>
      <c r="AA402">
        <f>VLOOKUP($A402,Table1[#This Row],COLUMN(AA401), FALSE)</f>
        <v>2015</v>
      </c>
      <c r="AB402">
        <f>VLOOKUP($A402,Table1[#This Row],COLUMN(AB401), FALSE)</f>
        <v>4</v>
      </c>
      <c r="AC402">
        <f>VLOOKUP($A402,Table1[#This Row],COLUMN(AC401), FALSE)</f>
        <v>5</v>
      </c>
      <c r="AD402">
        <f>VLOOKUP($A402,Table1[#This Row],COLUMN(AD401), FALSE)</f>
        <v>0</v>
      </c>
    </row>
    <row r="403" spans="1:30" ht="15.75">
      <c r="A403" s="54" t="s">
        <v>648</v>
      </c>
      <c r="B403" s="52">
        <f>VLOOKUP($A403,Table1[#This Row],COLUMN(B402), FALSE)</f>
        <v>42018</v>
      </c>
      <c r="C403" s="52">
        <f>VLOOKUP($A403,Table1[#This Row],COLUMN(C402), FALSE)</f>
        <v>42020</v>
      </c>
      <c r="D403" t="str">
        <f>VLOOKUP($A403,Table1[#This Row],COLUMN(D402), FALSE)</f>
        <v>Maureen Gnade</v>
      </c>
      <c r="E403" t="str">
        <f>VLOOKUP($A403,Table1[#This Row],COLUMN(E402), FALSE)</f>
        <v>Italy</v>
      </c>
      <c r="F403" t="str">
        <f>VLOOKUP($A403,Table1[#This Row],COLUMN(F402), FALSE)</f>
        <v>Southern Europe</v>
      </c>
      <c r="G403" t="str">
        <f>VLOOKUP($A403,Table1[#This Row],COLUMN(G402), FALSE)</f>
        <v>Technology</v>
      </c>
      <c r="H403" t="str">
        <f>VLOOKUP($A403,Table1[#This Row],COLUMN(H402), FALSE)</f>
        <v>Phones</v>
      </c>
      <c r="I403">
        <f>VLOOKUP($A403,Table1[#This Row],COLUMN(I402), FALSE)</f>
        <v>2847.36</v>
      </c>
      <c r="J403">
        <f>VLOOKUP($A403,Table1[#This Row],COLUMN(J402), FALSE)</f>
        <v>8</v>
      </c>
      <c r="K403">
        <f>VLOOKUP($A403,Table1[#This Row],COLUMN(K402), FALSE)</f>
        <v>0</v>
      </c>
      <c r="L403">
        <f>VLOOKUP($A403,Table1[#This Row],COLUMN(L402), FALSE)</f>
        <v>711.84</v>
      </c>
      <c r="M403" t="str">
        <f>VLOOKUP($A403,Table1[#This Row],COLUMN(M402), FALSE)</f>
        <v>High</v>
      </c>
      <c r="N403">
        <f>VLOOKUP($A403,Table1[#This Row],COLUMN(N402), FALSE)</f>
        <v>0</v>
      </c>
      <c r="O403" t="str">
        <f>VLOOKUP($A403,Table1[#This Row],COLUMN(O402), FALSE)</f>
        <v>Maureen Gnade</v>
      </c>
      <c r="P403" t="str">
        <f>VLOOKUP($A403,Table1[#This Row],COLUMN(P402), FALSE)</f>
        <v>ES</v>
      </c>
      <c r="Q403" t="str">
        <f>VLOOKUP($A403,Table1[#This Row],COLUMN(Q402), FALSE)</f>
        <v>2015</v>
      </c>
      <c r="R403" t="str">
        <f>VLOOKUP($A403,Table1[#This Row],COLUMN(R402), FALSE)</f>
        <v>HIGH</v>
      </c>
      <c r="S403" t="str">
        <f>VLOOKUP($A403,Table1[#This Row],COLUMN(S402), FALSE)</f>
        <v>technology</v>
      </c>
      <c r="T403" t="str">
        <f>VLOOKUP($A403,Table1[#This Row],COLUMN(T402), FALSE)</f>
        <v>42018</v>
      </c>
      <c r="U403" t="str">
        <f>VLOOKUP($A403,Table1[#This Row],COLUMN(U402), FALSE)</f>
        <v>MG1769564</v>
      </c>
      <c r="V403" t="str">
        <f>VLOOKUP($A403,Table1[#This Row],COLUMN(V402), FALSE)</f>
        <v>ES</v>
      </c>
      <c r="W403">
        <f>VLOOKUP($A403,Table1[#This Row],COLUMN(W402), FALSE)</f>
        <v>2015</v>
      </c>
      <c r="X403" t="str">
        <f>VLOOKUP($A403,Table1[#This Row],COLUMN(X402), FALSE)</f>
        <v>MG1769564</v>
      </c>
      <c r="Y403">
        <f>VLOOKUP($A403,Table1[#This Row],COLUMN(Y402), FALSE)</f>
        <v>42018</v>
      </c>
      <c r="Z403" t="str">
        <f>VLOOKUP($A403,Table1[#This Row],COLUMN(Z402), FALSE)</f>
        <v>ES-2015-MG1769564-42018</v>
      </c>
      <c r="AA403">
        <f>VLOOKUP($A403,Table1[#This Row],COLUMN(AA402), FALSE)</f>
        <v>2015</v>
      </c>
      <c r="AB403">
        <f>VLOOKUP($A403,Table1[#This Row],COLUMN(AB402), FALSE)</f>
        <v>1</v>
      </c>
      <c r="AC403">
        <f>VLOOKUP($A403,Table1[#This Row],COLUMN(AC402), FALSE)</f>
        <v>4</v>
      </c>
      <c r="AD403">
        <f>VLOOKUP($A403,Table1[#This Row],COLUMN(AD402), FALSE)</f>
        <v>2</v>
      </c>
    </row>
    <row r="404" spans="1:30" ht="15.75">
      <c r="A404" s="53" t="s">
        <v>654</v>
      </c>
      <c r="B404" s="52">
        <f>VLOOKUP($A404,Table1[#This Row],COLUMN(B403), FALSE)</f>
        <v>42269</v>
      </c>
      <c r="C404" s="52">
        <f>VLOOKUP($A404,Table1[#This Row],COLUMN(C403), FALSE)</f>
        <v>42272</v>
      </c>
      <c r="D404" t="str">
        <f>VLOOKUP($A404,Table1[#This Row],COLUMN(D403), FALSE)</f>
        <v>Beth Paige</v>
      </c>
      <c r="E404" t="str">
        <f>VLOOKUP($A404,Table1[#This Row],COLUMN(E403), FALSE)</f>
        <v>Singapore</v>
      </c>
      <c r="F404" t="str">
        <f>VLOOKUP($A404,Table1[#This Row],COLUMN(F403), FALSE)</f>
        <v>SOUTHEASTERN ASIA</v>
      </c>
      <c r="G404" t="str">
        <f>VLOOKUP($A404,Table1[#This Row],COLUMN(G403), FALSE)</f>
        <v>Technology</v>
      </c>
      <c r="H404" t="str">
        <f>VLOOKUP($A404,Table1[#This Row],COLUMN(H403), FALSE)</f>
        <v>Copiers</v>
      </c>
      <c r="I404">
        <f>VLOOKUP($A404,Table1[#This Row],COLUMN(I403), FALSE)</f>
        <v>1282.22999999999</v>
      </c>
      <c r="J404">
        <f>VLOOKUP($A404,Table1[#This Row],COLUMN(J403), FALSE)</f>
        <v>9</v>
      </c>
      <c r="K404">
        <f>VLOOKUP($A404,Table1[#This Row],COLUMN(K403), FALSE)</f>
        <v>0</v>
      </c>
      <c r="L404">
        <f>VLOOKUP($A404,Table1[#This Row],COLUMN(L403), FALSE)</f>
        <v>12.69</v>
      </c>
      <c r="M404" t="str">
        <f>VLOOKUP($A404,Table1[#This Row],COLUMN(M403), FALSE)</f>
        <v>Critical</v>
      </c>
      <c r="N404">
        <f>VLOOKUP($A404,Table1[#This Row],COLUMN(N403), FALSE)</f>
        <v>0</v>
      </c>
      <c r="O404" t="str">
        <f>VLOOKUP($A404,Table1[#This Row],COLUMN(O403), FALSE)</f>
        <v>Beth Paige</v>
      </c>
      <c r="P404" t="str">
        <f>VLOOKUP($A404,Table1[#This Row],COLUMN(P403), FALSE)</f>
        <v>IN</v>
      </c>
      <c r="Q404" t="str">
        <f>VLOOKUP($A404,Table1[#This Row],COLUMN(Q403), FALSE)</f>
        <v>2015</v>
      </c>
      <c r="R404" t="str">
        <f>VLOOKUP($A404,Table1[#This Row],COLUMN(R403), FALSE)</f>
        <v>CRITICAL</v>
      </c>
      <c r="S404" t="str">
        <f>VLOOKUP($A404,Table1[#This Row],COLUMN(S403), FALSE)</f>
        <v>technology</v>
      </c>
      <c r="T404" t="str">
        <f>VLOOKUP($A404,Table1[#This Row],COLUMN(T403), FALSE)</f>
        <v>42269</v>
      </c>
      <c r="U404" t="str">
        <f>VLOOKUP($A404,Table1[#This Row],COLUMN(U403), FALSE)</f>
        <v>BP11290113</v>
      </c>
      <c r="V404" t="str">
        <f>VLOOKUP($A404,Table1[#This Row],COLUMN(V403), FALSE)</f>
        <v>IN</v>
      </c>
      <c r="W404">
        <f>VLOOKUP($A404,Table1[#This Row],COLUMN(W403), FALSE)</f>
        <v>2015</v>
      </c>
      <c r="X404" t="str">
        <f>VLOOKUP($A404,Table1[#This Row],COLUMN(X403), FALSE)</f>
        <v>BP11290113</v>
      </c>
      <c r="Y404">
        <f>VLOOKUP($A404,Table1[#This Row],COLUMN(Y403), FALSE)</f>
        <v>42269</v>
      </c>
      <c r="Z404" t="str">
        <f>VLOOKUP($A404,Table1[#This Row],COLUMN(Z403), FALSE)</f>
        <v>IN-2015-BP11290113-42269</v>
      </c>
      <c r="AA404">
        <f>VLOOKUP($A404,Table1[#This Row],COLUMN(AA403), FALSE)</f>
        <v>2015</v>
      </c>
      <c r="AB404">
        <f>VLOOKUP($A404,Table1[#This Row],COLUMN(AB403), FALSE)</f>
        <v>9</v>
      </c>
      <c r="AC404">
        <f>VLOOKUP($A404,Table1[#This Row],COLUMN(AC403), FALSE)</f>
        <v>3</v>
      </c>
      <c r="AD404">
        <f>VLOOKUP($A404,Table1[#This Row],COLUMN(AD403), FALSE)</f>
        <v>3</v>
      </c>
    </row>
    <row r="405" spans="1:30" ht="15.75">
      <c r="A405" s="54" t="s">
        <v>665</v>
      </c>
      <c r="B405" s="52">
        <f>VLOOKUP($A405,Table1[#This Row],COLUMN(B404), FALSE)</f>
        <v>42124</v>
      </c>
      <c r="C405" s="52">
        <f>VLOOKUP($A405,Table1[#This Row],COLUMN(C404), FALSE)</f>
        <v>42128</v>
      </c>
      <c r="D405" t="str">
        <f>VLOOKUP($A405,Table1[#This Row],COLUMN(D404), FALSE)</f>
        <v>Bryan Spruell</v>
      </c>
      <c r="E405" t="str">
        <f>VLOOKUP($A405,Table1[#This Row],COLUMN(E404), FALSE)</f>
        <v>Indonesia</v>
      </c>
      <c r="F405" t="str">
        <f>VLOOKUP($A405,Table1[#This Row],COLUMN(F404), FALSE)</f>
        <v>Southeastern Asia</v>
      </c>
      <c r="G405" t="str">
        <f>VLOOKUP($A405,Table1[#This Row],COLUMN(G404), FALSE)</f>
        <v>Office Supplies</v>
      </c>
      <c r="H405" t="str">
        <f>VLOOKUP($A405,Table1[#This Row],COLUMN(H404), FALSE)</f>
        <v>Copiers</v>
      </c>
      <c r="I405">
        <f>VLOOKUP($A405,Table1[#This Row],COLUMN(I404), FALSE)</f>
        <v>4135.6409999999996</v>
      </c>
      <c r="J405">
        <f>VLOOKUP($A405,Table1[#This Row],COLUMN(J404), FALSE)</f>
        <v>10</v>
      </c>
      <c r="K405">
        <f>VLOOKUP($A405,Table1[#This Row],COLUMN(K404), FALSE)</f>
        <v>0.17</v>
      </c>
      <c r="L405">
        <f>VLOOKUP($A405,Table1[#This Row],COLUMN(L404), FALSE)</f>
        <v>847.04099999999903</v>
      </c>
      <c r="M405" t="str">
        <f>VLOOKUP($A405,Table1[#This Row],COLUMN(M404), FALSE)</f>
        <v>Medium</v>
      </c>
      <c r="N405">
        <f>VLOOKUP($A405,Table1[#This Row],COLUMN(N404), FALSE)</f>
        <v>0</v>
      </c>
      <c r="O405" t="str">
        <f>VLOOKUP($A405,Table1[#This Row],COLUMN(O404), FALSE)</f>
        <v>Bryan Spruell</v>
      </c>
      <c r="P405" t="str">
        <f>VLOOKUP($A405,Table1[#This Row],COLUMN(P404), FALSE)</f>
        <v>IN</v>
      </c>
      <c r="Q405" t="str">
        <f>VLOOKUP($A405,Table1[#This Row],COLUMN(Q404), FALSE)</f>
        <v>2015</v>
      </c>
      <c r="R405" t="str">
        <f>VLOOKUP($A405,Table1[#This Row],COLUMN(R404), FALSE)</f>
        <v>MEDIUM</v>
      </c>
      <c r="S405" t="str">
        <f>VLOOKUP($A405,Table1[#This Row],COLUMN(S404), FALSE)</f>
        <v>office supplies</v>
      </c>
      <c r="T405" t="str">
        <f>VLOOKUP($A405,Table1[#This Row],COLUMN(T404), FALSE)</f>
        <v>42124</v>
      </c>
      <c r="U405" t="str">
        <f>VLOOKUP($A405,Table1[#This Row],COLUMN(U404), FALSE)</f>
        <v>BS1180059</v>
      </c>
      <c r="V405" t="str">
        <f>VLOOKUP($A405,Table1[#This Row],COLUMN(V404), FALSE)</f>
        <v>IN</v>
      </c>
      <c r="W405">
        <f>VLOOKUP($A405,Table1[#This Row],COLUMN(W404), FALSE)</f>
        <v>2015</v>
      </c>
      <c r="X405" t="str">
        <f>VLOOKUP($A405,Table1[#This Row],COLUMN(X404), FALSE)</f>
        <v>BS1180059</v>
      </c>
      <c r="Y405">
        <f>VLOOKUP($A405,Table1[#This Row],COLUMN(Y404), FALSE)</f>
        <v>42124</v>
      </c>
      <c r="Z405" t="str">
        <f>VLOOKUP($A405,Table1[#This Row],COLUMN(Z404), FALSE)</f>
        <v>IN-2015-BS1180059-42124</v>
      </c>
      <c r="AA405">
        <f>VLOOKUP($A405,Table1[#This Row],COLUMN(AA404), FALSE)</f>
        <v>2015</v>
      </c>
      <c r="AB405">
        <f>VLOOKUP($A405,Table1[#This Row],COLUMN(AB404), FALSE)</f>
        <v>4</v>
      </c>
      <c r="AC405">
        <f>VLOOKUP($A405,Table1[#This Row],COLUMN(AC404), FALSE)</f>
        <v>5</v>
      </c>
      <c r="AD405">
        <f>VLOOKUP($A405,Table1[#This Row],COLUMN(AD404), FALSE)</f>
        <v>4</v>
      </c>
    </row>
    <row r="406" spans="1:30" ht="15.75">
      <c r="A406" s="53" t="s">
        <v>667</v>
      </c>
      <c r="B406" s="52">
        <f>VLOOKUP($A406,Table1[#This Row],COLUMN(B405), FALSE)</f>
        <v>74050</v>
      </c>
      <c r="C406" s="52" t="str">
        <f>VLOOKUP($A406,Table1[#This Row],COLUMN(C405), FALSE)</f>
        <v xml:space="preserve"> 2012-09-29 </v>
      </c>
      <c r="D406" t="str">
        <f>VLOOKUP($A406,Table1[#This Row],COLUMN(D405), FALSE)</f>
        <v>Dianna Vittorini</v>
      </c>
      <c r="E406" t="str">
        <f>VLOOKUP($A406,Table1[#This Row],COLUMN(E405), FALSE)</f>
        <v>El Salvador</v>
      </c>
      <c r="F406" t="str">
        <f>VLOOKUP($A406,Table1[#This Row],COLUMN(F405), FALSE)</f>
        <v>Central America</v>
      </c>
      <c r="G406" t="str">
        <f>VLOOKUP($A406,Table1[#This Row],COLUMN(G405), FALSE)</f>
        <v>Furniture</v>
      </c>
      <c r="H406" t="str">
        <f>VLOOKUP($A406,Table1[#This Row],COLUMN(H405), FALSE)</f>
        <v>Tables</v>
      </c>
      <c r="I406">
        <f>VLOOKUP($A406,Table1[#This Row],COLUMN(I405), FALSE)</f>
        <v>2325.2800000000002</v>
      </c>
      <c r="J406">
        <f>VLOOKUP($A406,Table1[#This Row],COLUMN(J405), FALSE)</f>
        <v>8</v>
      </c>
      <c r="K406">
        <f>VLOOKUP($A406,Table1[#This Row],COLUMN(K405), FALSE)</f>
        <v>0</v>
      </c>
      <c r="L406">
        <f>VLOOKUP($A406,Table1[#This Row],COLUMN(L405), FALSE)</f>
        <v>511.52</v>
      </c>
      <c r="M406" t="str">
        <f>VLOOKUP($A406,Table1[#This Row],COLUMN(M405), FALSE)</f>
        <v>High</v>
      </c>
      <c r="N406">
        <f>VLOOKUP($A406,Table1[#This Row],COLUMN(N405), FALSE)</f>
        <v>0</v>
      </c>
      <c r="O406" t="str">
        <f>VLOOKUP($A406,Table1[#This Row],COLUMN(O405), FALSE)</f>
        <v>Dianna Vittorini</v>
      </c>
      <c r="P406" t="str">
        <f>VLOOKUP($A406,Table1[#This Row],COLUMN(P405), FALSE)</f>
        <v>MX</v>
      </c>
      <c r="Q406" t="str">
        <f>VLOOKUP($A406,Table1[#This Row],COLUMN(Q405), FALSE)</f>
        <v>2012</v>
      </c>
      <c r="R406" t="str">
        <f>VLOOKUP($A406,Table1[#This Row],COLUMN(R405), FALSE)</f>
        <v>HIGH</v>
      </c>
      <c r="S406" t="str">
        <f>VLOOKUP($A406,Table1[#This Row],COLUMN(S405), FALSE)</f>
        <v>furniture</v>
      </c>
      <c r="T406" t="str">
        <f>VLOOKUP($A406,Table1[#This Row],COLUMN(T405), FALSE)</f>
        <v>41179</v>
      </c>
      <c r="U406" t="str">
        <f>VLOOKUP($A406,Table1[#This Row],COLUMN(U405), FALSE)</f>
        <v>DV1346539</v>
      </c>
      <c r="V406" t="str">
        <f>VLOOKUP($A406,Table1[#This Row],COLUMN(V405), FALSE)</f>
        <v>MX</v>
      </c>
      <c r="W406">
        <f>VLOOKUP($A406,Table1[#This Row],COLUMN(W405), FALSE)</f>
        <v>2012</v>
      </c>
      <c r="X406" t="str">
        <f>VLOOKUP($A406,Table1[#This Row],COLUMN(X405), FALSE)</f>
        <v>DV1346539</v>
      </c>
      <c r="Y406">
        <f>VLOOKUP($A406,Table1[#This Row],COLUMN(Y405), FALSE)</f>
        <v>41179</v>
      </c>
      <c r="Z406" t="str">
        <f>VLOOKUP($A406,Table1[#This Row],COLUMN(Z405), FALSE)</f>
        <v>MX-2012-DV1346539-41179</v>
      </c>
      <c r="AA406">
        <f>VLOOKUP($A406,Table1[#This Row],COLUMN(AA405), FALSE)</f>
        <v>2102</v>
      </c>
      <c r="AB406">
        <f>VLOOKUP($A406,Table1[#This Row],COLUMN(AB405), FALSE)</f>
        <v>9</v>
      </c>
      <c r="AC406">
        <f>VLOOKUP($A406,Table1[#This Row],COLUMN(AC405), FALSE)</f>
        <v>4</v>
      </c>
      <c r="AD406">
        <f>VLOOKUP($A406,Table1[#This Row],COLUMN(AD405), FALSE)</f>
        <v>0</v>
      </c>
    </row>
    <row r="407" spans="1:30" ht="15.75">
      <c r="A407" s="54" t="s">
        <v>680</v>
      </c>
      <c r="B407" s="52">
        <f>VLOOKUP($A407,Table1[#This Row],COLUMN(B406), FALSE)</f>
        <v>41503</v>
      </c>
      <c r="C407" s="52">
        <f>VLOOKUP($A407,Table1[#This Row],COLUMN(C406), FALSE)</f>
        <v>41505</v>
      </c>
      <c r="D407" t="str">
        <f>VLOOKUP($A407,Table1[#This Row],COLUMN(D406), FALSE)</f>
        <v>Duane Benoit</v>
      </c>
      <c r="E407" t="str">
        <f>VLOOKUP($A407,Table1[#This Row],COLUMN(E406), FALSE)</f>
        <v>romania</v>
      </c>
      <c r="F407" t="str">
        <f>VLOOKUP($A407,Table1[#This Row],COLUMN(F406), FALSE)</f>
        <v>Eastern Europe</v>
      </c>
      <c r="G407" t="str">
        <f>VLOOKUP($A407,Table1[#This Row],COLUMN(G406), FALSE)</f>
        <v>Furniture</v>
      </c>
      <c r="H407" t="str">
        <f>VLOOKUP($A407,Table1[#This Row],COLUMN(H406), FALSE)</f>
        <v>Storage</v>
      </c>
      <c r="I407">
        <f>VLOOKUP($A407,Table1[#This Row],COLUMN(I406), FALSE)</f>
        <v>1391.52</v>
      </c>
      <c r="J407">
        <f>VLOOKUP($A407,Table1[#This Row],COLUMN(J406), FALSE)</f>
        <v>8</v>
      </c>
      <c r="K407">
        <f>VLOOKUP($A407,Table1[#This Row],COLUMN(K406), FALSE)</f>
        <v>0</v>
      </c>
      <c r="L407">
        <f>VLOOKUP($A407,Table1[#This Row],COLUMN(L406), FALSE)</f>
        <v>69.36</v>
      </c>
      <c r="M407" t="str">
        <f>VLOOKUP($A407,Table1[#This Row],COLUMN(M406), FALSE)</f>
        <v>Critical</v>
      </c>
      <c r="N407">
        <f>VLOOKUP($A407,Table1[#This Row],COLUMN(N406), FALSE)</f>
        <v>0</v>
      </c>
      <c r="O407" t="str">
        <f>VLOOKUP($A407,Table1[#This Row],COLUMN(O406), FALSE)</f>
        <v>Duane Benoit</v>
      </c>
      <c r="P407" t="str">
        <f>VLOOKUP($A407,Table1[#This Row],COLUMN(P406), FALSE)</f>
        <v>RO</v>
      </c>
      <c r="Q407" t="str">
        <f>VLOOKUP($A407,Table1[#This Row],COLUMN(Q406), FALSE)</f>
        <v>2013</v>
      </c>
      <c r="R407" t="str">
        <f>VLOOKUP($A407,Table1[#This Row],COLUMN(R406), FALSE)</f>
        <v>CRITICAL</v>
      </c>
      <c r="S407" t="str">
        <f>VLOOKUP($A407,Table1[#This Row],COLUMN(S406), FALSE)</f>
        <v>furniture</v>
      </c>
      <c r="T407" t="str">
        <f>VLOOKUP($A407,Table1[#This Row],COLUMN(T406), FALSE)</f>
        <v>41503</v>
      </c>
      <c r="U407" t="str">
        <f>VLOOKUP($A407,Table1[#This Row],COLUMN(U406), FALSE)</f>
        <v>DB3660107</v>
      </c>
      <c r="V407" t="str">
        <f>VLOOKUP($A407,Table1[#This Row],COLUMN(V406), FALSE)</f>
        <v>RO</v>
      </c>
      <c r="W407">
        <f>VLOOKUP($A407,Table1[#This Row],COLUMN(W406), FALSE)</f>
        <v>2013</v>
      </c>
      <c r="X407" t="str">
        <f>VLOOKUP($A407,Table1[#This Row],COLUMN(X406), FALSE)</f>
        <v>DB3660107</v>
      </c>
      <c r="Y407">
        <f>VLOOKUP($A407,Table1[#This Row],COLUMN(Y406), FALSE)</f>
        <v>41503</v>
      </c>
      <c r="Z407" t="str">
        <f>VLOOKUP($A407,Table1[#This Row],COLUMN(Z406), FALSE)</f>
        <v>RO-2013-DB3660107-41503</v>
      </c>
      <c r="AA407">
        <f>VLOOKUP($A407,Table1[#This Row],COLUMN(AA406), FALSE)</f>
        <v>2013</v>
      </c>
      <c r="AB407">
        <f>VLOOKUP($A407,Table1[#This Row],COLUMN(AB406), FALSE)</f>
        <v>8</v>
      </c>
      <c r="AC407">
        <f>VLOOKUP($A407,Table1[#This Row],COLUMN(AC406), FALSE)</f>
        <v>7</v>
      </c>
      <c r="AD407">
        <f>VLOOKUP($A407,Table1[#This Row],COLUMN(AD406), FALSE)</f>
        <v>2</v>
      </c>
    </row>
    <row r="408" spans="1:30" ht="15.75">
      <c r="A408" s="53" t="s">
        <v>686</v>
      </c>
      <c r="B408" s="52">
        <f>VLOOKUP($A408,Table1[#This Row],COLUMN(B407), FALSE)</f>
        <v>41495</v>
      </c>
      <c r="C408" s="52" t="str">
        <f>VLOOKUP($A408,Table1[#This Row],COLUMN(C407), FALSE)</f>
        <v xml:space="preserve"> 2013-08-11 </v>
      </c>
      <c r="D408" t="str">
        <f>VLOOKUP($A408,Table1[#This Row],COLUMN(D407), FALSE)</f>
        <v>Karl Braun#</v>
      </c>
      <c r="E408" t="str">
        <f>VLOOKUP($A408,Table1[#This Row],COLUMN(E407), FALSE)</f>
        <v>Malaysia</v>
      </c>
      <c r="F408" t="str">
        <f>VLOOKUP($A408,Table1[#This Row],COLUMN(F407), FALSE)</f>
        <v>Southeastern Asia</v>
      </c>
      <c r="G408" t="str">
        <f>VLOOKUP($A408,Table1[#This Row],COLUMN(G407), FALSE)</f>
        <v>Technology</v>
      </c>
      <c r="H408" t="str">
        <f>VLOOKUP($A408,Table1[#This Row],COLUMN(H407), FALSE)</f>
        <v>Phones</v>
      </c>
      <c r="I408" t="str">
        <f>VLOOKUP($A408,Table1[#This Row],COLUMN(I407), FALSE)</f>
        <v>missing</v>
      </c>
      <c r="J408">
        <f>VLOOKUP($A408,Table1[#This Row],COLUMN(J407), FALSE)</f>
        <v>7</v>
      </c>
      <c r="K408">
        <f>VLOOKUP($A408,Table1[#This Row],COLUMN(K407), FALSE)</f>
        <v>0</v>
      </c>
      <c r="L408">
        <f>VLOOKUP($A408,Table1[#This Row],COLUMN(L407), FALSE)</f>
        <v>612.99</v>
      </c>
      <c r="M408" t="str">
        <f>VLOOKUP($A408,Table1[#This Row],COLUMN(M407), FALSE)</f>
        <v>Critical</v>
      </c>
      <c r="N408">
        <f>VLOOKUP($A408,Table1[#This Row],COLUMN(N407), FALSE)</f>
        <v>0</v>
      </c>
      <c r="O408" t="str">
        <f>VLOOKUP($A408,Table1[#This Row],COLUMN(O407), FALSE)</f>
        <v>Karl Braun#</v>
      </c>
      <c r="P408" t="str">
        <f>VLOOKUP($A408,Table1[#This Row],COLUMN(P407), FALSE)</f>
        <v>IN</v>
      </c>
      <c r="Q408" t="str">
        <f>VLOOKUP($A408,Table1[#This Row],COLUMN(Q407), FALSE)</f>
        <v>2013</v>
      </c>
      <c r="R408" t="str">
        <f>VLOOKUP($A408,Table1[#This Row],COLUMN(R407), FALSE)</f>
        <v>CRITICAL</v>
      </c>
      <c r="S408" t="str">
        <f>VLOOKUP($A408,Table1[#This Row],COLUMN(S407), FALSE)</f>
        <v>technology</v>
      </c>
      <c r="T408" t="str">
        <f>VLOOKUP($A408,Table1[#This Row],COLUMN(T407), FALSE)</f>
        <v>41495</v>
      </c>
      <c r="U408" t="str">
        <f>VLOOKUP($A408,Table1[#This Row],COLUMN(U407), FALSE)</f>
        <v>KB1631578</v>
      </c>
      <c r="V408" t="str">
        <f>VLOOKUP($A408,Table1[#This Row],COLUMN(V407), FALSE)</f>
        <v>IN</v>
      </c>
      <c r="W408">
        <f>VLOOKUP($A408,Table1[#This Row],COLUMN(W407), FALSE)</f>
        <v>2013</v>
      </c>
      <c r="X408" t="str">
        <f>VLOOKUP($A408,Table1[#This Row],COLUMN(X407), FALSE)</f>
        <v>KB1631578</v>
      </c>
      <c r="Y408">
        <f>VLOOKUP($A408,Table1[#This Row],COLUMN(Y407), FALSE)</f>
        <v>41495</v>
      </c>
      <c r="Z408" t="str">
        <f>VLOOKUP($A408,Table1[#This Row],COLUMN(Z407), FALSE)</f>
        <v>IN-2013-KB1631578-41495</v>
      </c>
      <c r="AA408">
        <f>VLOOKUP($A408,Table1[#This Row],COLUMN(AA407), FALSE)</f>
        <v>2013</v>
      </c>
      <c r="AB408">
        <f>VLOOKUP($A408,Table1[#This Row],COLUMN(AB407), FALSE)</f>
        <v>8</v>
      </c>
      <c r="AC408">
        <f>VLOOKUP($A408,Table1[#This Row],COLUMN(AC407), FALSE)</f>
        <v>6</v>
      </c>
      <c r="AD408">
        <f>VLOOKUP($A408,Table1[#This Row],COLUMN(AD407), FALSE)</f>
        <v>0</v>
      </c>
    </row>
    <row r="409" spans="1:30" ht="15.75">
      <c r="A409" s="54" t="s">
        <v>692</v>
      </c>
      <c r="B409" s="52" t="str">
        <f>VLOOKUP($A409,Table1[#This Row],COLUMN(B408), FALSE)</f>
        <v>32/13/2020</v>
      </c>
      <c r="C409" s="52">
        <f>VLOOKUP($A409,Table1[#This Row],COLUMN(C408), FALSE)</f>
        <v>41474</v>
      </c>
      <c r="D409" t="str">
        <f>VLOOKUP($A409,Table1[#This Row],COLUMN(D408), FALSE)</f>
        <v>Charles Sheldon</v>
      </c>
      <c r="E409" t="str">
        <f>VLOOKUP($A409,Table1[#This Row],COLUMN(E408), FALSE)</f>
        <v>Australia</v>
      </c>
      <c r="F409" t="str">
        <f>VLOOKUP($A409,Table1[#This Row],COLUMN(F408), FALSE)</f>
        <v>Oceania</v>
      </c>
      <c r="G409" t="str">
        <f>VLOOKUP($A409,Table1[#This Row],COLUMN(G408), FALSE)</f>
        <v>Technology</v>
      </c>
      <c r="H409" t="str">
        <f>VLOOKUP($A409,Table1[#This Row],COLUMN(H408), FALSE)</f>
        <v>Machines</v>
      </c>
      <c r="I409">
        <f>VLOOKUP($A409,Table1[#This Row],COLUMN(I408), FALSE)</f>
        <v>1863</v>
      </c>
      <c r="J409">
        <f>VLOOKUP($A409,Table1[#This Row],COLUMN(J408), FALSE)</f>
        <v>8</v>
      </c>
      <c r="K409">
        <f>VLOOKUP($A409,Table1[#This Row],COLUMN(K408), FALSE)</f>
        <v>0.1</v>
      </c>
      <c r="L409">
        <f>VLOOKUP($A409,Table1[#This Row],COLUMN(L408), FALSE)</f>
        <v>393.24</v>
      </c>
      <c r="M409" t="str">
        <f>VLOOKUP($A409,Table1[#This Row],COLUMN(M408), FALSE)</f>
        <v>High</v>
      </c>
      <c r="N409">
        <f>VLOOKUP($A409,Table1[#This Row],COLUMN(N408), FALSE)</f>
        <v>0</v>
      </c>
      <c r="O409" t="str">
        <f>VLOOKUP($A409,Table1[#This Row],COLUMN(O408), FALSE)</f>
        <v>Charles Sheldon</v>
      </c>
      <c r="P409" t="str">
        <f>VLOOKUP($A409,Table1[#This Row],COLUMN(P408), FALSE)</f>
        <v>ID</v>
      </c>
      <c r="Q409" t="str">
        <f>VLOOKUP($A409,Table1[#This Row],COLUMN(Q408), FALSE)</f>
        <v>2013</v>
      </c>
      <c r="R409" t="str">
        <f>VLOOKUP($A409,Table1[#This Row],COLUMN(R408), FALSE)</f>
        <v>HIGH</v>
      </c>
      <c r="S409" t="str">
        <f>VLOOKUP($A409,Table1[#This Row],COLUMN(S408), FALSE)</f>
        <v>technology</v>
      </c>
      <c r="T409" t="str">
        <f>VLOOKUP($A409,Table1[#This Row],COLUMN(T408), FALSE)</f>
        <v>1473#</v>
      </c>
      <c r="U409" t="str">
        <f>VLOOKUP($A409,Table1[#This Row],COLUMN(U408), FALSE)</f>
        <v>CS121757</v>
      </c>
      <c r="V409" t="str">
        <f>VLOOKUP($A409,Table1[#This Row],COLUMN(V408), FALSE)</f>
        <v>ID</v>
      </c>
      <c r="W409">
        <f>VLOOKUP($A409,Table1[#This Row],COLUMN(W408), FALSE)</f>
        <v>2013</v>
      </c>
      <c r="X409" t="str">
        <f>VLOOKUP($A409,Table1[#This Row],COLUMN(X408), FALSE)</f>
        <v>CS121757</v>
      </c>
      <c r="Y409" t="str">
        <f>VLOOKUP($A409,Table1[#This Row],COLUMN(Y408), FALSE)</f>
        <v>41473#</v>
      </c>
      <c r="Z409" t="str">
        <f>VLOOKUP($A409,Table1[#This Row],COLUMN(Z408), FALSE)</f>
        <v>ID-2013-CS121757-41473#</v>
      </c>
      <c r="AA409">
        <f>VLOOKUP($A409,Table1[#This Row],COLUMN(AA408), FALSE)</f>
        <v>0</v>
      </c>
      <c r="AB409">
        <f>VLOOKUP($A409,Table1[#This Row],COLUMN(AB408), FALSE)</f>
        <v>0</v>
      </c>
      <c r="AC409">
        <f>VLOOKUP($A409,Table1[#This Row],COLUMN(AC408), FALSE)</f>
        <v>0</v>
      </c>
      <c r="AD409">
        <f>VLOOKUP($A409,Table1[#This Row],COLUMN(AD408), FALSE)</f>
        <v>0</v>
      </c>
    </row>
    <row r="410" spans="1:30" ht="15.75">
      <c r="A410" s="53" t="s">
        <v>698</v>
      </c>
      <c r="B410" s="52">
        <f>VLOOKUP($A410,Table1[#This Row],COLUMN(B409), FALSE)</f>
        <v>42004</v>
      </c>
      <c r="C410" s="52">
        <f>VLOOKUP($A410,Table1[#This Row],COLUMN(C409), FALSE)</f>
        <v>42006</v>
      </c>
      <c r="D410" t="str">
        <f>VLOOKUP($A410,Table1[#This Row],COLUMN(D409), FALSE)</f>
        <v>Dario Medina</v>
      </c>
      <c r="E410" t="str">
        <f>VLOOKUP($A410,Table1[#This Row],COLUMN(E409), FALSE)</f>
        <v>France</v>
      </c>
      <c r="F410" t="str">
        <f>VLOOKUP($A410,Table1[#This Row],COLUMN(F409), FALSE)</f>
        <v>Western Europe</v>
      </c>
      <c r="G410" t="str">
        <f>VLOOKUP($A410,Table1[#This Row],COLUMN(G409), FALSE)</f>
        <v>Technology</v>
      </c>
      <c r="H410" t="str">
        <f>VLOOKUP($A410,Table1[#This Row],COLUMN(H409), FALSE)</f>
        <v>Storage</v>
      </c>
      <c r="I410">
        <f>VLOOKUP($A410,Table1[#This Row],COLUMN(I409), FALSE)</f>
        <v>1946.3129999999901</v>
      </c>
      <c r="J410">
        <f>VLOOKUP($A410,Table1[#This Row],COLUMN(J409), FALSE)</f>
        <v>6</v>
      </c>
      <c r="K410">
        <f>VLOOKUP($A410,Table1[#This Row],COLUMN(K409), FALSE)</f>
        <v>0.15</v>
      </c>
      <c r="L410">
        <f>VLOOKUP($A410,Table1[#This Row],COLUMN(L409), FALSE)</f>
        <v>114.453</v>
      </c>
      <c r="M410" t="str">
        <f>VLOOKUP($A410,Table1[#This Row],COLUMN(M409), FALSE)</f>
        <v>High</v>
      </c>
      <c r="N410">
        <f>VLOOKUP($A410,Table1[#This Row],COLUMN(N409), FALSE)</f>
        <v>0</v>
      </c>
      <c r="O410" t="str">
        <f>VLOOKUP($A410,Table1[#This Row],COLUMN(O409), FALSE)</f>
        <v>Dario Medina</v>
      </c>
      <c r="P410" t="str">
        <f>VLOOKUP($A410,Table1[#This Row],COLUMN(P409), FALSE)</f>
        <v>ES</v>
      </c>
      <c r="Q410" t="str">
        <f>VLOOKUP($A410,Table1[#This Row],COLUMN(Q409), FALSE)</f>
        <v>2014</v>
      </c>
      <c r="R410" t="str">
        <f>VLOOKUP($A410,Table1[#This Row],COLUMN(R409), FALSE)</f>
        <v>HIGH</v>
      </c>
      <c r="S410" t="str">
        <f>VLOOKUP($A410,Table1[#This Row],COLUMN(S409), FALSE)</f>
        <v>technology</v>
      </c>
      <c r="T410" t="str">
        <f>VLOOKUP($A410,Table1[#This Row],COLUMN(T409), FALSE)</f>
        <v>42004</v>
      </c>
      <c r="U410" t="str">
        <f>VLOOKUP($A410,Table1[#This Row],COLUMN(U409), FALSE)</f>
        <v>DM1295545</v>
      </c>
      <c r="V410" t="str">
        <f>VLOOKUP($A410,Table1[#This Row],COLUMN(V409), FALSE)</f>
        <v>ES</v>
      </c>
      <c r="W410">
        <f>VLOOKUP($A410,Table1[#This Row],COLUMN(W409), FALSE)</f>
        <v>2014</v>
      </c>
      <c r="X410" t="str">
        <f>VLOOKUP($A410,Table1[#This Row],COLUMN(X409), FALSE)</f>
        <v>DM1295545</v>
      </c>
      <c r="Y410">
        <f>VLOOKUP($A410,Table1[#This Row],COLUMN(Y409), FALSE)</f>
        <v>42004</v>
      </c>
      <c r="Z410" t="str">
        <f>VLOOKUP($A410,Table1[#This Row],COLUMN(Z409), FALSE)</f>
        <v>ES-2014-DM1295545-42004</v>
      </c>
      <c r="AA410">
        <f>VLOOKUP($A410,Table1[#This Row],COLUMN(AA409), FALSE)</f>
        <v>2014</v>
      </c>
      <c r="AB410">
        <f>VLOOKUP($A410,Table1[#This Row],COLUMN(AB409), FALSE)</f>
        <v>12</v>
      </c>
      <c r="AC410">
        <f>VLOOKUP($A410,Table1[#This Row],COLUMN(AC409), FALSE)</f>
        <v>4</v>
      </c>
      <c r="AD410">
        <f>VLOOKUP($A410,Table1[#This Row],COLUMN(AD409), FALSE)</f>
        <v>2</v>
      </c>
    </row>
    <row r="411" spans="1:30" ht="15.75">
      <c r="A411" s="54" t="s">
        <v>699</v>
      </c>
      <c r="B411" s="52">
        <f>VLOOKUP($A411,Table1[#This Row],COLUMN(B410), FALSE)</f>
        <v>41289</v>
      </c>
      <c r="C411" s="52">
        <f>VLOOKUP($A411,Table1[#This Row],COLUMN(C410), FALSE)</f>
        <v>41291</v>
      </c>
      <c r="D411" t="str">
        <f>VLOOKUP($A411,Table1[#This Row],COLUMN(D410), FALSE)</f>
        <v>Corey Catlett</v>
      </c>
      <c r="E411" t="str">
        <f>VLOOKUP($A411,Table1[#This Row],COLUMN(E410), FALSE)</f>
        <v>Gemrany</v>
      </c>
      <c r="F411" t="str">
        <f>VLOOKUP($A411,Table1[#This Row],COLUMN(F410), FALSE)</f>
        <v>Western Europe</v>
      </c>
      <c r="G411" t="str">
        <f>VLOOKUP($A411,Table1[#This Row],COLUMN(G410), FALSE)</f>
        <v>Office Supplies</v>
      </c>
      <c r="H411" t="str">
        <f>VLOOKUP($A411,Table1[#This Row],COLUMN(H410), FALSE)</f>
        <v>Copiers</v>
      </c>
      <c r="I411">
        <f>VLOOKUP($A411,Table1[#This Row],COLUMN(I410), FALSE)</f>
        <v>2283.7139999999999</v>
      </c>
      <c r="J411">
        <f>VLOOKUP($A411,Table1[#This Row],COLUMN(J410), FALSE)</f>
        <v>9</v>
      </c>
      <c r="K411">
        <f>VLOOKUP($A411,Table1[#This Row],COLUMN(K410), FALSE)</f>
        <v>0.1</v>
      </c>
      <c r="L411">
        <f>VLOOKUP($A411,Table1[#This Row],COLUMN(L410), FALSE)</f>
        <v>-0.21600000000000799</v>
      </c>
      <c r="M411" t="str">
        <f>VLOOKUP($A411,Table1[#This Row],COLUMN(M410), FALSE)</f>
        <v>High</v>
      </c>
      <c r="N411">
        <f>VLOOKUP($A411,Table1[#This Row],COLUMN(N410), FALSE)</f>
        <v>0</v>
      </c>
      <c r="O411" t="str">
        <f>VLOOKUP($A411,Table1[#This Row],COLUMN(O410), FALSE)</f>
        <v>Corey Catlett</v>
      </c>
      <c r="P411" t="str">
        <f>VLOOKUP($A411,Table1[#This Row],COLUMN(P410), FALSE)</f>
        <v>IT</v>
      </c>
      <c r="Q411" t="str">
        <f>VLOOKUP($A411,Table1[#This Row],COLUMN(Q410), FALSE)</f>
        <v>2013</v>
      </c>
      <c r="R411" t="str">
        <f>VLOOKUP($A411,Table1[#This Row],COLUMN(R410), FALSE)</f>
        <v>HIGH</v>
      </c>
      <c r="S411" t="str">
        <f>VLOOKUP($A411,Table1[#This Row],COLUMN(S410), FALSE)</f>
        <v>office supplies</v>
      </c>
      <c r="T411" t="str">
        <f>VLOOKUP($A411,Table1[#This Row],COLUMN(T410), FALSE)</f>
        <v>41289</v>
      </c>
      <c r="U411" t="str">
        <f>VLOOKUP($A411,Table1[#This Row],COLUMN(U410), FALSE)</f>
        <v>CC1261048</v>
      </c>
      <c r="V411" t="str">
        <f>VLOOKUP($A411,Table1[#This Row],COLUMN(V410), FALSE)</f>
        <v>IT</v>
      </c>
      <c r="W411">
        <f>VLOOKUP($A411,Table1[#This Row],COLUMN(W410), FALSE)</f>
        <v>2013</v>
      </c>
      <c r="X411" t="str">
        <f>VLOOKUP($A411,Table1[#This Row],COLUMN(X410), FALSE)</f>
        <v>CC1261048</v>
      </c>
      <c r="Y411">
        <f>VLOOKUP($A411,Table1[#This Row],COLUMN(Y410), FALSE)</f>
        <v>41289</v>
      </c>
      <c r="Z411" t="str">
        <f>VLOOKUP($A411,Table1[#This Row],COLUMN(Z410), FALSE)</f>
        <v>IT-2013-CC1261048-41289</v>
      </c>
      <c r="AA411">
        <f>VLOOKUP($A411,Table1[#This Row],COLUMN(AA410), FALSE)</f>
        <v>2013</v>
      </c>
      <c r="AB411">
        <f>VLOOKUP($A411,Table1[#This Row],COLUMN(AB410), FALSE)</f>
        <v>1</v>
      </c>
      <c r="AC411">
        <f>VLOOKUP($A411,Table1[#This Row],COLUMN(AC410), FALSE)</f>
        <v>3</v>
      </c>
      <c r="AD411">
        <f>VLOOKUP($A411,Table1[#This Row],COLUMN(AD410), FALSE)</f>
        <v>2</v>
      </c>
    </row>
    <row r="412" spans="1:30" ht="15.75">
      <c r="A412" s="53" t="s">
        <v>705</v>
      </c>
      <c r="B412" s="52">
        <f>VLOOKUP($A412,Table1[#This Row],COLUMN(B411), FALSE)</f>
        <v>41591</v>
      </c>
      <c r="C412" s="52">
        <f>VLOOKUP($A412,Table1[#This Row],COLUMN(C411), FALSE)</f>
        <v>41595</v>
      </c>
      <c r="D412" t="str">
        <f>VLOOKUP($A412,Table1[#This Row],COLUMN(D411), FALSE)</f>
        <v>Trudy Glocke#</v>
      </c>
      <c r="E412" t="str">
        <f>VLOOKUP($A412,Table1[#This Row],COLUMN(E411), FALSE)</f>
        <v>Belgium</v>
      </c>
      <c r="F412" t="str">
        <f>VLOOKUP($A412,Table1[#This Row],COLUMN(F411), FALSE)</f>
        <v>Western Europe</v>
      </c>
      <c r="G412" t="str">
        <f>VLOOKUP($A412,Table1[#This Row],COLUMN(G411), FALSE)</f>
        <v>Office Supplies</v>
      </c>
      <c r="H412" t="str">
        <f>VLOOKUP($A412,Table1[#This Row],COLUMN(H411), FALSE)</f>
        <v>Phones</v>
      </c>
      <c r="I412">
        <f>VLOOKUP($A412,Table1[#This Row],COLUMN(I411), FALSE)</f>
        <v>2489.3999999999901</v>
      </c>
      <c r="J412">
        <f>VLOOKUP($A412,Table1[#This Row],COLUMN(J411), FALSE)</f>
        <v>9</v>
      </c>
      <c r="K412">
        <f>VLOOKUP($A412,Table1[#This Row],COLUMN(K411), FALSE)</f>
        <v>0</v>
      </c>
      <c r="L412">
        <f>VLOOKUP($A412,Table1[#This Row],COLUMN(L411), FALSE)</f>
        <v>273.77999999999997</v>
      </c>
      <c r="M412" t="str">
        <f>VLOOKUP($A412,Table1[#This Row],COLUMN(M411), FALSE)</f>
        <v>High</v>
      </c>
      <c r="N412">
        <f>VLOOKUP($A412,Table1[#This Row],COLUMN(N411), FALSE)</f>
        <v>0</v>
      </c>
      <c r="O412" t="str">
        <f>VLOOKUP($A412,Table1[#This Row],COLUMN(O411), FALSE)</f>
        <v>Trudy Glocke#</v>
      </c>
      <c r="P412" t="str">
        <f>VLOOKUP($A412,Table1[#This Row],COLUMN(P411), FALSE)</f>
        <v>ES</v>
      </c>
      <c r="Q412" t="str">
        <f>VLOOKUP($A412,Table1[#This Row],COLUMN(Q411), FALSE)</f>
        <v>2013</v>
      </c>
      <c r="R412" t="str">
        <f>VLOOKUP($A412,Table1[#This Row],COLUMN(R411), FALSE)</f>
        <v>HIGH</v>
      </c>
      <c r="S412" t="str">
        <f>VLOOKUP($A412,Table1[#This Row],COLUMN(S411), FALSE)</f>
        <v>office supplies</v>
      </c>
      <c r="T412" t="str">
        <f>VLOOKUP($A412,Table1[#This Row],COLUMN(T411), FALSE)</f>
        <v>41591</v>
      </c>
      <c r="U412" t="str">
        <f>VLOOKUP($A412,Table1[#This Row],COLUMN(U411), FALSE)</f>
        <v>TG2164014</v>
      </c>
      <c r="V412" t="str">
        <f>VLOOKUP($A412,Table1[#This Row],COLUMN(V411), FALSE)</f>
        <v>ES</v>
      </c>
      <c r="W412">
        <f>VLOOKUP($A412,Table1[#This Row],COLUMN(W411), FALSE)</f>
        <v>2013</v>
      </c>
      <c r="X412" t="str">
        <f>VLOOKUP($A412,Table1[#This Row],COLUMN(X411), FALSE)</f>
        <v>TG2164014</v>
      </c>
      <c r="Y412">
        <f>VLOOKUP($A412,Table1[#This Row],COLUMN(Y411), FALSE)</f>
        <v>41591</v>
      </c>
      <c r="Z412" t="str">
        <f>VLOOKUP($A412,Table1[#This Row],COLUMN(Z411), FALSE)</f>
        <v>ES-2013-TG2164014-41591</v>
      </c>
      <c r="AA412">
        <f>VLOOKUP($A412,Table1[#This Row],COLUMN(AA411), FALSE)</f>
        <v>2013</v>
      </c>
      <c r="AB412">
        <f>VLOOKUP($A412,Table1[#This Row],COLUMN(AB411), FALSE)</f>
        <v>11</v>
      </c>
      <c r="AC412">
        <f>VLOOKUP($A412,Table1[#This Row],COLUMN(AC411), FALSE)</f>
        <v>4</v>
      </c>
      <c r="AD412">
        <f>VLOOKUP($A412,Table1[#This Row],COLUMN(AD411), FALSE)</f>
        <v>4</v>
      </c>
    </row>
    <row r="413" spans="1:30" ht="15.75">
      <c r="A413" s="54" t="s">
        <v>711</v>
      </c>
      <c r="B413" s="52">
        <f>VLOOKUP($A413,Table1[#This Row],COLUMN(B412), FALSE)</f>
        <v>41896</v>
      </c>
      <c r="C413" s="52">
        <f>VLOOKUP($A413,Table1[#This Row],COLUMN(C412), FALSE)</f>
        <v>41896</v>
      </c>
      <c r="D413" t="str">
        <f>VLOOKUP($A413,Table1[#This Row],COLUMN(D412), FALSE)</f>
        <v>Skye Norling</v>
      </c>
      <c r="E413" t="str">
        <f>VLOOKUP($A413,Table1[#This Row],COLUMN(E412), FALSE)</f>
        <v>Pakistan</v>
      </c>
      <c r="F413" t="str">
        <f>VLOOKUP($A413,Table1[#This Row],COLUMN(F412), FALSE)</f>
        <v>Southern Asia</v>
      </c>
      <c r="G413" t="str">
        <f>VLOOKUP($A413,Table1[#This Row],COLUMN(G412), FALSE)</f>
        <v>Technology</v>
      </c>
      <c r="H413" t="str">
        <f>VLOOKUP($A413,Table1[#This Row],COLUMN(H412), FALSE)</f>
        <v>Copiers</v>
      </c>
      <c r="I413">
        <f>VLOOKUP($A413,Table1[#This Row],COLUMN(I412), FALSE)</f>
        <v>3499.1550000000002</v>
      </c>
      <c r="J413">
        <f>VLOOKUP($A413,Table1[#This Row],COLUMN(J412), FALSE)</f>
        <v>11</v>
      </c>
      <c r="K413">
        <f>VLOOKUP($A413,Table1[#This Row],COLUMN(K412), FALSE)</f>
        <v>0.5</v>
      </c>
      <c r="L413">
        <f>VLOOKUP($A413,Table1[#This Row],COLUMN(L412), FALSE)</f>
        <v>-3009.4349999999999</v>
      </c>
      <c r="M413" t="str">
        <f>VLOOKUP($A413,Table1[#This Row],COLUMN(M412), FALSE)</f>
        <v>Medium</v>
      </c>
      <c r="N413">
        <f>VLOOKUP($A413,Table1[#This Row],COLUMN(N412), FALSE)</f>
        <v>0</v>
      </c>
      <c r="O413" t="str">
        <f>VLOOKUP($A413,Table1[#This Row],COLUMN(O412), FALSE)</f>
        <v>Skye Norling</v>
      </c>
      <c r="P413" t="str">
        <f>VLOOKUP($A413,Table1[#This Row],COLUMN(P412), FALSE)</f>
        <v>ID</v>
      </c>
      <c r="Q413" t="str">
        <f>VLOOKUP($A413,Table1[#This Row],COLUMN(Q412), FALSE)</f>
        <v>2014</v>
      </c>
      <c r="R413" t="str">
        <f>VLOOKUP($A413,Table1[#This Row],COLUMN(R412), FALSE)</f>
        <v>MEDIUM</v>
      </c>
      <c r="S413" t="str">
        <f>VLOOKUP($A413,Table1[#This Row],COLUMN(S412), FALSE)</f>
        <v>technology</v>
      </c>
      <c r="T413" t="str">
        <f>VLOOKUP($A413,Table1[#This Row],COLUMN(T412), FALSE)</f>
        <v>41896</v>
      </c>
      <c r="U413" t="str">
        <f>VLOOKUP($A413,Table1[#This Row],COLUMN(U412), FALSE)</f>
        <v>SN2056097</v>
      </c>
      <c r="V413" t="str">
        <f>VLOOKUP($A413,Table1[#This Row],COLUMN(V412), FALSE)</f>
        <v>ID</v>
      </c>
      <c r="W413">
        <f>VLOOKUP($A413,Table1[#This Row],COLUMN(W412), FALSE)</f>
        <v>2014</v>
      </c>
      <c r="X413" t="str">
        <f>VLOOKUP($A413,Table1[#This Row],COLUMN(X412), FALSE)</f>
        <v>SN2056097</v>
      </c>
      <c r="Y413">
        <f>VLOOKUP($A413,Table1[#This Row],COLUMN(Y412), FALSE)</f>
        <v>41896</v>
      </c>
      <c r="Z413" t="str">
        <f>VLOOKUP($A413,Table1[#This Row],COLUMN(Z412), FALSE)</f>
        <v>ID-2014-SN2056097-41896</v>
      </c>
      <c r="AA413">
        <f>VLOOKUP($A413,Table1[#This Row],COLUMN(AA412), FALSE)</f>
        <v>2014</v>
      </c>
      <c r="AB413">
        <f>VLOOKUP($A413,Table1[#This Row],COLUMN(AB412), FALSE)</f>
        <v>9</v>
      </c>
      <c r="AC413">
        <f>VLOOKUP($A413,Table1[#This Row],COLUMN(AC412), FALSE)</f>
        <v>1</v>
      </c>
      <c r="AD413">
        <f>VLOOKUP($A413,Table1[#This Row],COLUMN(AD412), FALSE)</f>
        <v>0</v>
      </c>
    </row>
    <row r="414" spans="1:30" ht="15.75">
      <c r="A414" s="53" t="s">
        <v>720</v>
      </c>
      <c r="B414" s="52">
        <f>VLOOKUP($A414,Table1[#This Row],COLUMN(B413), FALSE)</f>
        <v>42046</v>
      </c>
      <c r="C414" s="52">
        <f>VLOOKUP($A414,Table1[#This Row],COLUMN(C413), FALSE)</f>
        <v>42046</v>
      </c>
      <c r="D414" t="str">
        <f>VLOOKUP($A414,Table1[#This Row],COLUMN(D413), FALSE)</f>
        <v>Clay Cheatham</v>
      </c>
      <c r="E414" t="str">
        <f>VLOOKUP($A414,Table1[#This Row],COLUMN(E413), FALSE)</f>
        <v>Australia</v>
      </c>
      <c r="F414" t="str">
        <f>VLOOKUP($A414,Table1[#This Row],COLUMN(F413), FALSE)</f>
        <v>Oceania</v>
      </c>
      <c r="G414" t="str">
        <f>VLOOKUP($A414,Table1[#This Row],COLUMN(G413), FALSE)</f>
        <v>Technology</v>
      </c>
      <c r="H414" t="str">
        <f>VLOOKUP($A414,Table1[#This Row],COLUMN(H413), FALSE)</f>
        <v>Copiers</v>
      </c>
      <c r="I414">
        <f>VLOOKUP($A414,Table1[#This Row],COLUMN(I413), FALSE)</f>
        <v>1027.7280000000001</v>
      </c>
      <c r="J414">
        <f>VLOOKUP($A414,Table1[#This Row],COLUMN(J413), FALSE)</f>
        <v>8</v>
      </c>
      <c r="K414">
        <f>VLOOKUP($A414,Table1[#This Row],COLUMN(K413), FALSE)</f>
        <v>0.1</v>
      </c>
      <c r="L414">
        <f>VLOOKUP($A414,Table1[#This Row],COLUMN(L413), FALSE)</f>
        <v>182.68799999999999</v>
      </c>
      <c r="M414" t="str">
        <f>VLOOKUP($A414,Table1[#This Row],COLUMN(M413), FALSE)</f>
        <v>Critical</v>
      </c>
      <c r="N414">
        <f>VLOOKUP($A414,Table1[#This Row],COLUMN(N413), FALSE)</f>
        <v>0</v>
      </c>
      <c r="O414" t="str">
        <f>VLOOKUP($A414,Table1[#This Row],COLUMN(O413), FALSE)</f>
        <v>Clay Cheatham</v>
      </c>
      <c r="P414" t="str">
        <f>VLOOKUP($A414,Table1[#This Row],COLUMN(P413), FALSE)</f>
        <v>IN</v>
      </c>
      <c r="Q414" t="str">
        <f>VLOOKUP($A414,Table1[#This Row],COLUMN(Q413), FALSE)</f>
        <v>2015</v>
      </c>
      <c r="R414" t="str">
        <f>VLOOKUP($A414,Table1[#This Row],COLUMN(R413), FALSE)</f>
        <v>CRITICAL</v>
      </c>
      <c r="S414" t="str">
        <f>VLOOKUP($A414,Table1[#This Row],COLUMN(S413), FALSE)</f>
        <v>technology</v>
      </c>
      <c r="T414" t="str">
        <f>VLOOKUP($A414,Table1[#This Row],COLUMN(T413), FALSE)</f>
        <v>42046</v>
      </c>
      <c r="U414" t="str">
        <f>VLOOKUP($A414,Table1[#This Row],COLUMN(U413), FALSE)</f>
        <v>CC125507</v>
      </c>
      <c r="V414" t="str">
        <f>VLOOKUP($A414,Table1[#This Row],COLUMN(V413), FALSE)</f>
        <v>IN</v>
      </c>
      <c r="W414">
        <f>VLOOKUP($A414,Table1[#This Row],COLUMN(W413), FALSE)</f>
        <v>2015</v>
      </c>
      <c r="X414" t="str">
        <f>VLOOKUP($A414,Table1[#This Row],COLUMN(X413), FALSE)</f>
        <v>CC125507</v>
      </c>
      <c r="Y414">
        <f>VLOOKUP($A414,Table1[#This Row],COLUMN(Y413), FALSE)</f>
        <v>42046</v>
      </c>
      <c r="Z414" t="str">
        <f>VLOOKUP($A414,Table1[#This Row],COLUMN(Z413), FALSE)</f>
        <v>IN-2015-CC125507-42046</v>
      </c>
      <c r="AA414">
        <f>VLOOKUP($A414,Table1[#This Row],COLUMN(AA413), FALSE)</f>
        <v>2015</v>
      </c>
      <c r="AB414">
        <f>VLOOKUP($A414,Table1[#This Row],COLUMN(AB413), FALSE)</f>
        <v>2</v>
      </c>
      <c r="AC414">
        <f>VLOOKUP($A414,Table1[#This Row],COLUMN(AC413), FALSE)</f>
        <v>4</v>
      </c>
      <c r="AD414">
        <f>VLOOKUP($A414,Table1[#This Row],COLUMN(AD413), FALSE)</f>
        <v>0</v>
      </c>
    </row>
    <row r="415" spans="1:30" ht="15.75">
      <c r="A415" s="54" t="s">
        <v>723</v>
      </c>
      <c r="B415" s="52">
        <f>VLOOKUP($A415,Table1[#This Row],COLUMN(B414), FALSE)</f>
        <v>42110</v>
      </c>
      <c r="C415" s="52">
        <f>VLOOKUP($A415,Table1[#This Row],COLUMN(C414), FALSE)</f>
        <v>42112</v>
      </c>
      <c r="D415" t="str">
        <f>VLOOKUP($A415,Table1[#This Row],COLUMN(D414), FALSE)</f>
        <v>Stewart Visinsky</v>
      </c>
      <c r="E415" t="str">
        <f>VLOOKUP($A415,Table1[#This Row],COLUMN(E414), FALSE)</f>
        <v>Indonesia</v>
      </c>
      <c r="F415" t="str">
        <f>VLOOKUP($A415,Table1[#This Row],COLUMN(F414), FALSE)</f>
        <v>Southeastern Asia</v>
      </c>
      <c r="G415" t="str">
        <f>VLOOKUP($A415,Table1[#This Row],COLUMN(G414), FALSE)</f>
        <v>Office_Supplies</v>
      </c>
      <c r="H415" t="str">
        <f>VLOOKUP($A415,Table1[#This Row],COLUMN(H414), FALSE)</f>
        <v>Copiers</v>
      </c>
      <c r="I415">
        <f>VLOOKUP($A415,Table1[#This Row],COLUMN(I414), FALSE)</f>
        <v>1803.0836999999999</v>
      </c>
      <c r="J415">
        <f>VLOOKUP($A415,Table1[#This Row],COLUMN(J414), FALSE)</f>
        <v>11</v>
      </c>
      <c r="K415">
        <f>VLOOKUP($A415,Table1[#This Row],COLUMN(K414), FALSE)</f>
        <v>0.17</v>
      </c>
      <c r="L415">
        <f>VLOOKUP($A415,Table1[#This Row],COLUMN(L414), FALSE)</f>
        <v>-130.38630000000001</v>
      </c>
      <c r="M415" t="str">
        <f>VLOOKUP($A415,Table1[#This Row],COLUMN(M414), FALSE)</f>
        <v>High</v>
      </c>
      <c r="N415">
        <f>VLOOKUP($A415,Table1[#This Row],COLUMN(N414), FALSE)</f>
        <v>0</v>
      </c>
      <c r="O415" t="str">
        <f>VLOOKUP($A415,Table1[#This Row],COLUMN(O414), FALSE)</f>
        <v>Stewart Visinsky</v>
      </c>
      <c r="P415" t="str">
        <f>VLOOKUP($A415,Table1[#This Row],COLUMN(P414), FALSE)</f>
        <v>IN</v>
      </c>
      <c r="Q415" t="str">
        <f>VLOOKUP($A415,Table1[#This Row],COLUMN(Q414), FALSE)</f>
        <v>2015</v>
      </c>
      <c r="R415" t="str">
        <f>VLOOKUP($A415,Table1[#This Row],COLUMN(R414), FALSE)</f>
        <v>HIGH</v>
      </c>
      <c r="S415" t="str">
        <f>VLOOKUP($A415,Table1[#This Row],COLUMN(S414), FALSE)</f>
        <v>office_supplies</v>
      </c>
      <c r="T415" t="str">
        <f>VLOOKUP($A415,Table1[#This Row],COLUMN(T414), FALSE)</f>
        <v>42110</v>
      </c>
      <c r="U415" t="str">
        <f>VLOOKUP($A415,Table1[#This Row],COLUMN(U414), FALSE)</f>
        <v>SV2078559</v>
      </c>
      <c r="V415" t="str">
        <f>VLOOKUP($A415,Table1[#This Row],COLUMN(V414), FALSE)</f>
        <v>IN</v>
      </c>
      <c r="W415">
        <f>VLOOKUP($A415,Table1[#This Row],COLUMN(W414), FALSE)</f>
        <v>2015</v>
      </c>
      <c r="X415" t="str">
        <f>VLOOKUP($A415,Table1[#This Row],COLUMN(X414), FALSE)</f>
        <v>SV2078559</v>
      </c>
      <c r="Y415">
        <f>VLOOKUP($A415,Table1[#This Row],COLUMN(Y414), FALSE)</f>
        <v>42110</v>
      </c>
      <c r="Z415" t="str">
        <f>VLOOKUP($A415,Table1[#This Row],COLUMN(Z414), FALSE)</f>
        <v>IN-2015-SV2078559-42110</v>
      </c>
      <c r="AA415">
        <f>VLOOKUP($A415,Table1[#This Row],COLUMN(AA414), FALSE)</f>
        <v>2015</v>
      </c>
      <c r="AB415">
        <f>VLOOKUP($A415,Table1[#This Row],COLUMN(AB414), FALSE)</f>
        <v>4</v>
      </c>
      <c r="AC415">
        <f>VLOOKUP($A415,Table1[#This Row],COLUMN(AC414), FALSE)</f>
        <v>5</v>
      </c>
      <c r="AD415">
        <f>VLOOKUP($A415,Table1[#This Row],COLUMN(AD414), FALSE)</f>
        <v>2</v>
      </c>
    </row>
    <row r="416" spans="1:30" ht="15.75">
      <c r="A416" s="53" t="s">
        <v>727</v>
      </c>
      <c r="B416" s="52">
        <f>VLOOKUP($A416,Table1[#This Row],COLUMN(B415), FALSE)</f>
        <v>41221</v>
      </c>
      <c r="C416" s="52">
        <f>VLOOKUP($A416,Table1[#This Row],COLUMN(C415), FALSE)</f>
        <v>41223</v>
      </c>
      <c r="D416" t="str">
        <f>VLOOKUP($A416,Table1[#This Row],COLUMN(D415), FALSE)</f>
        <v>Alejandro Savely</v>
      </c>
      <c r="E416" t="str">
        <f>VLOOKUP($A416,Table1[#This Row],COLUMN(E415), FALSE)</f>
        <v>India</v>
      </c>
      <c r="F416" t="str">
        <f>VLOOKUP($A416,Table1[#This Row],COLUMN(F415), FALSE)</f>
        <v>Southern Asia</v>
      </c>
      <c r="G416" t="str">
        <f>VLOOKUP($A416,Table1[#This Row],COLUMN(G415), FALSE)</f>
        <v>Furniture</v>
      </c>
      <c r="H416" t="str">
        <f>VLOOKUP($A416,Table1[#This Row],COLUMN(H415), FALSE)</f>
        <v>Storage</v>
      </c>
      <c r="I416">
        <f>VLOOKUP($A416,Table1[#This Row],COLUMN(I415), FALSE)</f>
        <v>969.36</v>
      </c>
      <c r="J416">
        <f>VLOOKUP($A416,Table1[#This Row],COLUMN(J415), FALSE)</f>
        <v>7</v>
      </c>
      <c r="K416">
        <f>VLOOKUP($A416,Table1[#This Row],COLUMN(K415), FALSE)</f>
        <v>0</v>
      </c>
      <c r="L416">
        <f>VLOOKUP($A416,Table1[#This Row],COLUMN(L415), FALSE)</f>
        <v>348.81</v>
      </c>
      <c r="M416" t="str">
        <f>VLOOKUP($A416,Table1[#This Row],COLUMN(M415), FALSE)</f>
        <v>Critical</v>
      </c>
      <c r="N416">
        <f>VLOOKUP($A416,Table1[#This Row],COLUMN(N415), FALSE)</f>
        <v>0</v>
      </c>
      <c r="O416" t="str">
        <f>VLOOKUP($A416,Table1[#This Row],COLUMN(O415), FALSE)</f>
        <v>Alejandro Savely</v>
      </c>
      <c r="P416" t="str">
        <f>VLOOKUP($A416,Table1[#This Row],COLUMN(P415), FALSE)</f>
        <v>IN</v>
      </c>
      <c r="Q416" t="str">
        <f>VLOOKUP($A416,Table1[#This Row],COLUMN(Q415), FALSE)</f>
        <v>2012</v>
      </c>
      <c r="R416" t="str">
        <f>VLOOKUP($A416,Table1[#This Row],COLUMN(R415), FALSE)</f>
        <v>CRITICAL</v>
      </c>
      <c r="S416" t="str">
        <f>VLOOKUP($A416,Table1[#This Row],COLUMN(S415), FALSE)</f>
        <v>furniture</v>
      </c>
      <c r="T416" t="str">
        <f>VLOOKUP($A416,Table1[#This Row],COLUMN(T415), FALSE)</f>
        <v>41221</v>
      </c>
      <c r="U416" t="str">
        <f>VLOOKUP($A416,Table1[#This Row],COLUMN(U415), FALSE)</f>
        <v>AS1028558</v>
      </c>
      <c r="V416" t="str">
        <f>VLOOKUP($A416,Table1[#This Row],COLUMN(V415), FALSE)</f>
        <v>IN</v>
      </c>
      <c r="W416">
        <f>VLOOKUP($A416,Table1[#This Row],COLUMN(W415), FALSE)</f>
        <v>2012</v>
      </c>
      <c r="X416" t="str">
        <f>VLOOKUP($A416,Table1[#This Row],COLUMN(X415), FALSE)</f>
        <v>AS1028558</v>
      </c>
      <c r="Y416">
        <f>VLOOKUP($A416,Table1[#This Row],COLUMN(Y415), FALSE)</f>
        <v>41221</v>
      </c>
      <c r="Z416" t="str">
        <f>VLOOKUP($A416,Table1[#This Row],COLUMN(Z415), FALSE)</f>
        <v>IN-2012-AS1028558-41221</v>
      </c>
      <c r="AA416">
        <f>VLOOKUP($A416,Table1[#This Row],COLUMN(AA415), FALSE)</f>
        <v>2012</v>
      </c>
      <c r="AB416">
        <f>VLOOKUP($A416,Table1[#This Row],COLUMN(AB415), FALSE)</f>
        <v>11</v>
      </c>
      <c r="AC416">
        <f>VLOOKUP($A416,Table1[#This Row],COLUMN(AC415), FALSE)</f>
        <v>5</v>
      </c>
      <c r="AD416">
        <f>VLOOKUP($A416,Table1[#This Row],COLUMN(AD415), FALSE)</f>
        <v>2</v>
      </c>
    </row>
    <row r="417" spans="1:30" ht="15.75">
      <c r="A417" s="54" t="s">
        <v>773</v>
      </c>
      <c r="B417" s="52" t="str">
        <f>VLOOKUP($A417,Table1[#This Row],COLUMN(B416), FALSE)</f>
        <v>12/15/2015</v>
      </c>
      <c r="C417" s="52">
        <f>VLOOKUP($A417,Table1[#This Row],COLUMN(C416), FALSE)</f>
        <v>42355</v>
      </c>
      <c r="D417" t="str">
        <f>VLOOKUP($A417,Table1[#This Row],COLUMN(D416), FALSE)</f>
        <v>Dave Brooks</v>
      </c>
      <c r="E417" t="str">
        <f>VLOOKUP($A417,Table1[#This Row],COLUMN(E416), FALSE)</f>
        <v>China</v>
      </c>
      <c r="F417" t="str">
        <f>VLOOKUP($A417,Table1[#This Row],COLUMN(F416), FALSE)</f>
        <v>Eastern Asia</v>
      </c>
      <c r="G417" t="str">
        <f>VLOOKUP($A417,Table1[#This Row],COLUMN(G416), FALSE)</f>
        <v>Technology</v>
      </c>
      <c r="H417" t="str">
        <f>VLOOKUP($A417,Table1[#This Row],COLUMN(H416), FALSE)</f>
        <v>Phones</v>
      </c>
      <c r="I417">
        <f>VLOOKUP($A417,Table1[#This Row],COLUMN(I416), FALSE)</f>
        <v>2043.72</v>
      </c>
      <c r="J417">
        <f>VLOOKUP($A417,Table1[#This Row],COLUMN(J416), FALSE)</f>
        <v>14</v>
      </c>
      <c r="K417">
        <f>VLOOKUP($A417,Table1[#This Row],COLUMN(K416), FALSE)</f>
        <v>0</v>
      </c>
      <c r="L417">
        <f>VLOOKUP($A417,Table1[#This Row],COLUMN(L416), FALSE)</f>
        <v>756</v>
      </c>
      <c r="M417" t="str">
        <f>VLOOKUP($A417,Table1[#This Row],COLUMN(M416), FALSE)</f>
        <v>High</v>
      </c>
      <c r="N417">
        <f>VLOOKUP($A417,Table1[#This Row],COLUMN(N416), FALSE)</f>
        <v>0</v>
      </c>
      <c r="O417" t="str">
        <f>VLOOKUP($A417,Table1[#This Row],COLUMN(O416), FALSE)</f>
        <v>Dave Brooks</v>
      </c>
      <c r="P417" t="str">
        <f>VLOOKUP($A417,Table1[#This Row],COLUMN(P416), FALSE)</f>
        <v>IN</v>
      </c>
      <c r="Q417" t="str">
        <f>VLOOKUP($A417,Table1[#This Row],COLUMN(Q416), FALSE)</f>
        <v>2015</v>
      </c>
      <c r="R417" t="str">
        <f>VLOOKUP($A417,Table1[#This Row],COLUMN(R416), FALSE)</f>
        <v>HIGH</v>
      </c>
      <c r="S417" t="str">
        <f>VLOOKUP($A417,Table1[#This Row],COLUMN(S416), FALSE)</f>
        <v>technology</v>
      </c>
      <c r="T417" t="str">
        <f>VLOOKUP($A417,Table1[#This Row],COLUMN(T416), FALSE)</f>
        <v>42353</v>
      </c>
      <c r="U417" t="str">
        <f>VLOOKUP($A417,Table1[#This Row],COLUMN(U416), FALSE)</f>
        <v>DB1306027</v>
      </c>
      <c r="V417" t="str">
        <f>VLOOKUP($A417,Table1[#This Row],COLUMN(V416), FALSE)</f>
        <v>IN</v>
      </c>
      <c r="W417">
        <f>VLOOKUP($A417,Table1[#This Row],COLUMN(W416), FALSE)</f>
        <v>2015</v>
      </c>
      <c r="X417" t="str">
        <f>VLOOKUP($A417,Table1[#This Row],COLUMN(X416), FALSE)</f>
        <v>DB1306027</v>
      </c>
      <c r="Y417">
        <f>VLOOKUP($A417,Table1[#This Row],COLUMN(Y416), FALSE)</f>
        <v>42353</v>
      </c>
      <c r="Z417" t="str">
        <f>VLOOKUP($A417,Table1[#This Row],COLUMN(Z416), FALSE)</f>
        <v>IN-2015-DB1306027-42353</v>
      </c>
      <c r="AA417">
        <f>VLOOKUP($A417,Table1[#This Row],COLUMN(AA416), FALSE)</f>
        <v>2015</v>
      </c>
      <c r="AB417">
        <f>VLOOKUP($A417,Table1[#This Row],COLUMN(AB416), FALSE)</f>
        <v>12</v>
      </c>
      <c r="AC417">
        <f>VLOOKUP($A417,Table1[#This Row],COLUMN(AC416), FALSE)</f>
        <v>3</v>
      </c>
      <c r="AD417">
        <f>VLOOKUP($A417,Table1[#This Row],COLUMN(AD416), FALSE)</f>
        <v>2</v>
      </c>
    </row>
    <row r="418" spans="1:30" ht="15.75">
      <c r="A418" s="53" t="s">
        <v>775</v>
      </c>
      <c r="B418" s="52">
        <f>VLOOKUP($A418,Table1[#This Row],COLUMN(B417), FALSE)</f>
        <v>42183</v>
      </c>
      <c r="C418" s="52">
        <f>VLOOKUP($A418,Table1[#This Row],COLUMN(C417), FALSE)</f>
        <v>42183</v>
      </c>
      <c r="D418" t="str">
        <f>VLOOKUP($A418,Table1[#This Row],COLUMN(D417), FALSE)</f>
        <v xml:space="preserve"> Jane Waco </v>
      </c>
      <c r="E418" t="str">
        <f>VLOOKUP($A418,Table1[#This Row],COLUMN(E417), FALSE)</f>
        <v>Mozambique</v>
      </c>
      <c r="F418" t="str">
        <f>VLOOKUP($A418,Table1[#This Row],COLUMN(F417), FALSE)</f>
        <v>Eastern Africa</v>
      </c>
      <c r="G418" t="str">
        <f>VLOOKUP($A418,Table1[#This Row],COLUMN(G417), FALSE)</f>
        <v>Office Supplies</v>
      </c>
      <c r="H418" t="str">
        <f>VLOOKUP($A418,Table1[#This Row],COLUMN(H417), FALSE)</f>
        <v>Bookcases</v>
      </c>
      <c r="I418">
        <f>VLOOKUP($A418,Table1[#This Row],COLUMN(I417), FALSE)</f>
        <v>856.8</v>
      </c>
      <c r="J418">
        <f>VLOOKUP($A418,Table1[#This Row],COLUMN(J417), FALSE)</f>
        <v>14</v>
      </c>
      <c r="K418">
        <f>VLOOKUP($A418,Table1[#This Row],COLUMN(K417), FALSE)</f>
        <v>0</v>
      </c>
      <c r="L418">
        <f>VLOOKUP($A418,Table1[#This Row],COLUMN(L417), FALSE)</f>
        <v>265.44</v>
      </c>
      <c r="M418" t="str">
        <f>VLOOKUP($A418,Table1[#This Row],COLUMN(M417), FALSE)</f>
        <v>Critical</v>
      </c>
      <c r="N418">
        <f>VLOOKUP($A418,Table1[#This Row],COLUMN(N417), FALSE)</f>
        <v>0</v>
      </c>
      <c r="O418" t="str">
        <f>VLOOKUP($A418,Table1[#This Row],COLUMN(O417), FALSE)</f>
        <v xml:space="preserve"> Jane Waco </v>
      </c>
      <c r="P418" t="str">
        <f>VLOOKUP($A418,Table1[#This Row],COLUMN(P417), FALSE)</f>
        <v>MZ</v>
      </c>
      <c r="Q418" t="str">
        <f>VLOOKUP($A418,Table1[#This Row],COLUMN(Q417), FALSE)</f>
        <v>2015</v>
      </c>
      <c r="R418" t="str">
        <f>VLOOKUP($A418,Table1[#This Row],COLUMN(R417), FALSE)</f>
        <v>CRITICAL</v>
      </c>
      <c r="S418" t="str">
        <f>VLOOKUP($A418,Table1[#This Row],COLUMN(S417), FALSE)</f>
        <v>office supplies</v>
      </c>
      <c r="T418" t="str">
        <f>VLOOKUP($A418,Table1[#This Row],COLUMN(T417), FALSE)</f>
        <v>42183</v>
      </c>
      <c r="U418" t="str">
        <f>VLOOKUP($A418,Table1[#This Row],COLUMN(U417), FALSE)</f>
        <v>JW522087</v>
      </c>
      <c r="V418" t="str">
        <f>VLOOKUP($A418,Table1[#This Row],COLUMN(V417), FALSE)</f>
        <v>MZ</v>
      </c>
      <c r="W418">
        <f>VLOOKUP($A418,Table1[#This Row],COLUMN(W417), FALSE)</f>
        <v>2015</v>
      </c>
      <c r="X418" t="str">
        <f>VLOOKUP($A418,Table1[#This Row],COLUMN(X417), FALSE)</f>
        <v>JW522087</v>
      </c>
      <c r="Y418">
        <f>VLOOKUP($A418,Table1[#This Row],COLUMN(Y417), FALSE)</f>
        <v>42183</v>
      </c>
      <c r="Z418" t="str">
        <f>VLOOKUP($A418,Table1[#This Row],COLUMN(Z417), FALSE)</f>
        <v>MZ-2015-JW522087-42183</v>
      </c>
      <c r="AA418">
        <f>VLOOKUP($A418,Table1[#This Row],COLUMN(AA417), FALSE)</f>
        <v>2015</v>
      </c>
      <c r="AB418">
        <f>VLOOKUP($A418,Table1[#This Row],COLUMN(AB417), FALSE)</f>
        <v>6</v>
      </c>
      <c r="AC418">
        <f>VLOOKUP($A418,Table1[#This Row],COLUMN(AC417), FALSE)</f>
        <v>1</v>
      </c>
      <c r="AD418">
        <f>VLOOKUP($A418,Table1[#This Row],COLUMN(AD417), FALSE)</f>
        <v>0</v>
      </c>
    </row>
    <row r="419" spans="1:30" ht="15.75">
      <c r="A419" s="54" t="s">
        <v>781</v>
      </c>
      <c r="B419" s="52">
        <f>VLOOKUP($A419,Table1[#This Row],COLUMN(B418), FALSE)</f>
        <v>41489</v>
      </c>
      <c r="C419" s="52">
        <f>VLOOKUP($A419,Table1[#This Row],COLUMN(C418), FALSE)</f>
        <v>41491</v>
      </c>
      <c r="D419" t="str">
        <f>VLOOKUP($A419,Table1[#This Row],COLUMN(D418), FALSE)</f>
        <v>eLna Hernandez</v>
      </c>
      <c r="E419" t="str">
        <f>VLOOKUP($A419,Table1[#This Row],COLUMN(E418), FALSE)</f>
        <v>Brazil</v>
      </c>
      <c r="F419" t="str">
        <f>VLOOKUP($A419,Table1[#This Row],COLUMN(F418), FALSE)</f>
        <v>South America</v>
      </c>
      <c r="G419" t="str">
        <f>VLOOKUP($A419,Table1[#This Row],COLUMN(G418), FALSE)</f>
        <v>Office Supplies</v>
      </c>
      <c r="H419" t="str">
        <f>VLOOKUP($A419,Table1[#This Row],COLUMN(H418), FALSE)</f>
        <v>Chairs</v>
      </c>
      <c r="I419">
        <f>VLOOKUP($A419,Table1[#This Row],COLUMN(I418), FALSE)</f>
        <v>1455.08</v>
      </c>
      <c r="J419">
        <f>VLOOKUP($A419,Table1[#This Row],COLUMN(J418), FALSE)</f>
        <v>11</v>
      </c>
      <c r="K419">
        <f>VLOOKUP($A419,Table1[#This Row],COLUMN(K418), FALSE)</f>
        <v>0</v>
      </c>
      <c r="L419">
        <f>VLOOKUP($A419,Table1[#This Row],COLUMN(L418), FALSE)</f>
        <v>261.8</v>
      </c>
      <c r="M419" t="str">
        <f>VLOOKUP($A419,Table1[#This Row],COLUMN(M418), FALSE)</f>
        <v>Medium</v>
      </c>
      <c r="N419">
        <f>VLOOKUP($A419,Table1[#This Row],COLUMN(N418), FALSE)</f>
        <v>0</v>
      </c>
      <c r="O419" t="str">
        <f>VLOOKUP($A419,Table1[#This Row],COLUMN(O418), FALSE)</f>
        <v>Elna Hernandez</v>
      </c>
      <c r="P419" t="str">
        <f>VLOOKUP($A419,Table1[#This Row],COLUMN(P418), FALSE)</f>
        <v>MX</v>
      </c>
      <c r="Q419" t="str">
        <f>VLOOKUP($A419,Table1[#This Row],COLUMN(Q418), FALSE)</f>
        <v>2013</v>
      </c>
      <c r="R419" t="str">
        <f>VLOOKUP($A419,Table1[#This Row],COLUMN(R418), FALSE)</f>
        <v>MEDIUM</v>
      </c>
      <c r="S419" t="str">
        <f>VLOOKUP($A419,Table1[#This Row],COLUMN(S418), FALSE)</f>
        <v>office supplies</v>
      </c>
      <c r="T419" t="str">
        <f>VLOOKUP($A419,Table1[#This Row],COLUMN(T418), FALSE)</f>
        <v>41489</v>
      </c>
      <c r="U419" t="str">
        <f>VLOOKUP($A419,Table1[#This Row],COLUMN(U418), FALSE)</f>
        <v>LH1690018</v>
      </c>
      <c r="V419" t="str">
        <f>VLOOKUP($A419,Table1[#This Row],COLUMN(V418), FALSE)</f>
        <v>MX</v>
      </c>
      <c r="W419">
        <f>VLOOKUP($A419,Table1[#This Row],COLUMN(W418), FALSE)</f>
        <v>2013</v>
      </c>
      <c r="X419" t="str">
        <f>VLOOKUP($A419,Table1[#This Row],COLUMN(X418), FALSE)</f>
        <v>LH1690018</v>
      </c>
      <c r="Y419">
        <f>VLOOKUP($A419,Table1[#This Row],COLUMN(Y418), FALSE)</f>
        <v>41489</v>
      </c>
      <c r="Z419" t="str">
        <f>VLOOKUP($A419,Table1[#This Row],COLUMN(Z418), FALSE)</f>
        <v>MX-2013-LH1690018-41489</v>
      </c>
      <c r="AA419">
        <f>VLOOKUP($A419,Table1[#This Row],COLUMN(AA418), FALSE)</f>
        <v>2013</v>
      </c>
      <c r="AB419">
        <f>VLOOKUP($A419,Table1[#This Row],COLUMN(AB418), FALSE)</f>
        <v>8</v>
      </c>
      <c r="AC419">
        <f>VLOOKUP($A419,Table1[#This Row],COLUMN(AC418), FALSE)</f>
        <v>7</v>
      </c>
      <c r="AD419">
        <f>VLOOKUP($A419,Table1[#This Row],COLUMN(AD418), FALSE)</f>
        <v>2</v>
      </c>
    </row>
    <row r="420" spans="1:30" ht="15.75">
      <c r="A420" s="53" t="s">
        <v>786</v>
      </c>
      <c r="B420" s="52">
        <f>VLOOKUP($A420,Table1[#This Row],COLUMN(B419), FALSE)</f>
        <v>74202</v>
      </c>
      <c r="C420" s="52">
        <f>VLOOKUP($A420,Table1[#This Row],COLUMN(C419), FALSE)</f>
        <v>41337</v>
      </c>
      <c r="D420" t="str">
        <f>VLOOKUP($A420,Table1[#This Row],COLUMN(D419), FALSE)</f>
        <v>Bradley Talbott</v>
      </c>
      <c r="E420" t="str">
        <f>VLOOKUP($A420,Table1[#This Row],COLUMN(E419), FALSE)</f>
        <v>India</v>
      </c>
      <c r="F420" t="str">
        <f>VLOOKUP($A420,Table1[#This Row],COLUMN(F419), FALSE)</f>
        <v>Southern Asia</v>
      </c>
      <c r="G420" t="str">
        <f>VLOOKUP($A420,Table1[#This Row],COLUMN(G419), FALSE)</f>
        <v>Furniture</v>
      </c>
      <c r="H420" t="str">
        <f>VLOOKUP($A420,Table1[#This Row],COLUMN(H419), FALSE)</f>
        <v>Storage</v>
      </c>
      <c r="I420" t="str">
        <f>VLOOKUP($A420,Table1[#This Row],COLUMN(I419), FALSE)</f>
        <v>missing</v>
      </c>
      <c r="J420">
        <f>VLOOKUP($A420,Table1[#This Row],COLUMN(J419), FALSE)</f>
        <v>6</v>
      </c>
      <c r="K420">
        <f>VLOOKUP($A420,Table1[#This Row],COLUMN(K419), FALSE)</f>
        <v>0</v>
      </c>
      <c r="L420">
        <f>VLOOKUP($A420,Table1[#This Row],COLUMN(L419), FALSE)</f>
        <v>327.06</v>
      </c>
      <c r="M420" t="str">
        <f>VLOOKUP($A420,Table1[#This Row],COLUMN(M419), FALSE)</f>
        <v>Medium</v>
      </c>
      <c r="N420">
        <f>VLOOKUP($A420,Table1[#This Row],COLUMN(N419), FALSE)</f>
        <v>0</v>
      </c>
      <c r="O420" t="str">
        <f>VLOOKUP($A420,Table1[#This Row],COLUMN(O419), FALSE)</f>
        <v>Bradley Talbott</v>
      </c>
      <c r="P420" t="str">
        <f>VLOOKUP($A420,Table1[#This Row],COLUMN(P419), FALSE)</f>
        <v>IN</v>
      </c>
      <c r="Q420" t="str">
        <f>VLOOKUP($A420,Table1[#This Row],COLUMN(Q419), FALSE)</f>
        <v>2013</v>
      </c>
      <c r="R420" t="str">
        <f>VLOOKUP($A420,Table1[#This Row],COLUMN(R419), FALSE)</f>
        <v>MEDIUM</v>
      </c>
      <c r="S420" t="str">
        <f>VLOOKUP($A420,Table1[#This Row],COLUMN(S419), FALSE)</f>
        <v>furniture</v>
      </c>
      <c r="T420" t="str">
        <f>VLOOKUP($A420,Table1[#This Row],COLUMN(T419), FALSE)</f>
        <v>41331</v>
      </c>
      <c r="U420" t="str">
        <f>VLOOKUP($A420,Table1[#This Row],COLUMN(U419), FALSE)</f>
        <v>BT1153058</v>
      </c>
      <c r="V420" t="str">
        <f>VLOOKUP($A420,Table1[#This Row],COLUMN(V419), FALSE)</f>
        <v>IN</v>
      </c>
      <c r="W420">
        <f>VLOOKUP($A420,Table1[#This Row],COLUMN(W419), FALSE)</f>
        <v>2013</v>
      </c>
      <c r="X420" t="str">
        <f>VLOOKUP($A420,Table1[#This Row],COLUMN(X419), FALSE)</f>
        <v>BT1153058</v>
      </c>
      <c r="Y420">
        <f>VLOOKUP($A420,Table1[#This Row],COLUMN(Y419), FALSE)</f>
        <v>41331</v>
      </c>
      <c r="Z420" t="str">
        <f>VLOOKUP($A420,Table1[#This Row],COLUMN(Z419), FALSE)</f>
        <v>IN-2013-BT1153058-41331</v>
      </c>
      <c r="AA420">
        <f>VLOOKUP($A420,Table1[#This Row],COLUMN(AA419), FALSE)</f>
        <v>2103</v>
      </c>
      <c r="AB420">
        <f>VLOOKUP($A420,Table1[#This Row],COLUMN(AB419), FALSE)</f>
        <v>2</v>
      </c>
      <c r="AC420">
        <f>VLOOKUP($A420,Table1[#This Row],COLUMN(AC419), FALSE)</f>
        <v>2</v>
      </c>
      <c r="AD420">
        <f>VLOOKUP($A420,Table1[#This Row],COLUMN(AD419), FALSE)</f>
        <v>-32865</v>
      </c>
    </row>
    <row r="421" spans="1:30" ht="15.75">
      <c r="A421" s="54" t="s">
        <v>798</v>
      </c>
      <c r="B421" s="52">
        <f>VLOOKUP($A421,Table1[#This Row],COLUMN(B420), FALSE)</f>
        <v>42179</v>
      </c>
      <c r="C421" s="52">
        <f>VLOOKUP($A421,Table1[#This Row],COLUMN(C420), FALSE)</f>
        <v>42181</v>
      </c>
      <c r="D421" t="str">
        <f>VLOOKUP($A421,Table1[#This Row],COLUMN(D420), FALSE)</f>
        <v>Sarah Jordon</v>
      </c>
      <c r="E421" t="str">
        <f>VLOOKUP($A421,Table1[#This Row],COLUMN(E420), FALSE)</f>
        <v>Mexico</v>
      </c>
      <c r="F421" t="str">
        <f>VLOOKUP($A421,Table1[#This Row],COLUMN(F420), FALSE)</f>
        <v>Central America</v>
      </c>
      <c r="G421" t="str">
        <f>VLOOKUP($A421,Table1[#This Row],COLUMN(G420), FALSE)</f>
        <v>Technology</v>
      </c>
      <c r="H421" t="str">
        <f>VLOOKUP($A421,Table1[#This Row],COLUMN(H420), FALSE)</f>
        <v>Bookcases</v>
      </c>
      <c r="I421">
        <f>VLOOKUP($A421,Table1[#This Row],COLUMN(I420), FALSE)</f>
        <v>3045.8399999999901</v>
      </c>
      <c r="J421">
        <f>VLOOKUP($A421,Table1[#This Row],COLUMN(J420), FALSE)</f>
        <v>7</v>
      </c>
      <c r="K421">
        <f>VLOOKUP($A421,Table1[#This Row],COLUMN(K420), FALSE)</f>
        <v>0</v>
      </c>
      <c r="L421">
        <f>VLOOKUP($A421,Table1[#This Row],COLUMN(L420), FALSE)</f>
        <v>1035.58</v>
      </c>
      <c r="M421" t="str">
        <f>VLOOKUP($A421,Table1[#This Row],COLUMN(M420), FALSE)</f>
        <v>High</v>
      </c>
      <c r="N421">
        <f>VLOOKUP($A421,Table1[#This Row],COLUMN(N420), FALSE)</f>
        <v>0</v>
      </c>
      <c r="O421" t="str">
        <f>VLOOKUP($A421,Table1[#This Row],COLUMN(O420), FALSE)</f>
        <v>Sarah Jordon</v>
      </c>
      <c r="P421" t="str">
        <f>VLOOKUP($A421,Table1[#This Row],COLUMN(P420), FALSE)</f>
        <v>MX</v>
      </c>
      <c r="Q421" t="str">
        <f>VLOOKUP($A421,Table1[#This Row],COLUMN(Q420), FALSE)</f>
        <v>2015</v>
      </c>
      <c r="R421" t="str">
        <f>VLOOKUP($A421,Table1[#This Row],COLUMN(R420), FALSE)</f>
        <v>HIGH</v>
      </c>
      <c r="S421" t="str">
        <f>VLOOKUP($A421,Table1[#This Row],COLUMN(S420), FALSE)</f>
        <v>technology</v>
      </c>
      <c r="T421" t="str">
        <f>VLOOKUP($A421,Table1[#This Row],COLUMN(T420), FALSE)</f>
        <v>42179</v>
      </c>
      <c r="U421" t="str">
        <f>VLOOKUP($A421,Table1[#This Row],COLUMN(U420), FALSE)</f>
        <v>SJ2021582</v>
      </c>
      <c r="V421" t="str">
        <f>VLOOKUP($A421,Table1[#This Row],COLUMN(V420), FALSE)</f>
        <v>MX</v>
      </c>
      <c r="W421">
        <f>VLOOKUP($A421,Table1[#This Row],COLUMN(W420), FALSE)</f>
        <v>2015</v>
      </c>
      <c r="X421" t="str">
        <f>VLOOKUP($A421,Table1[#This Row],COLUMN(X420), FALSE)</f>
        <v>SJ2021582</v>
      </c>
      <c r="Y421">
        <f>VLOOKUP($A421,Table1[#This Row],COLUMN(Y420), FALSE)</f>
        <v>42179</v>
      </c>
      <c r="Z421" t="str">
        <f>VLOOKUP($A421,Table1[#This Row],COLUMN(Z420), FALSE)</f>
        <v>MX-2015-SJ2021582-42179</v>
      </c>
      <c r="AA421">
        <f>VLOOKUP($A421,Table1[#This Row],COLUMN(AA420), FALSE)</f>
        <v>2015</v>
      </c>
      <c r="AB421">
        <f>VLOOKUP($A421,Table1[#This Row],COLUMN(AB420), FALSE)</f>
        <v>6</v>
      </c>
      <c r="AC421">
        <f>VLOOKUP($A421,Table1[#This Row],COLUMN(AC420), FALSE)</f>
        <v>4</v>
      </c>
      <c r="AD421">
        <f>VLOOKUP($A421,Table1[#This Row],COLUMN(AD420), FALSE)</f>
        <v>2</v>
      </c>
    </row>
    <row r="422" spans="1:30" ht="15.75">
      <c r="A422" s="53" t="s">
        <v>810</v>
      </c>
      <c r="B422" s="52" t="str">
        <f>VLOOKUP($A422,Table1[#This Row],COLUMN(B421), FALSE)</f>
        <v>32/13/2020</v>
      </c>
      <c r="C422" s="52">
        <f>VLOOKUP($A422,Table1[#This Row],COLUMN(C421), FALSE)</f>
        <v>41390</v>
      </c>
      <c r="D422" t="str">
        <f>VLOOKUP($A422,Table1[#This Row],COLUMN(D421), FALSE)</f>
        <v>David Kendrick</v>
      </c>
      <c r="E422" t="str">
        <f>VLOOKUP($A422,Table1[#This Row],COLUMN(E421), FALSE)</f>
        <v>Germany</v>
      </c>
      <c r="F422" t="str">
        <f>VLOOKUP($A422,Table1[#This Row],COLUMN(F421), FALSE)</f>
        <v>Western Europe</v>
      </c>
      <c r="G422" t="str">
        <f>VLOOKUP($A422,Table1[#This Row],COLUMN(G421), FALSE)</f>
        <v>Technology</v>
      </c>
      <c r="H422" t="str">
        <f>VLOOKUP($A422,Table1[#This Row],COLUMN(H421), FALSE)</f>
        <v>Chairs</v>
      </c>
      <c r="I422">
        <f>VLOOKUP($A422,Table1[#This Row],COLUMN(I421), FALSE)</f>
        <v>4748.4359999999997</v>
      </c>
      <c r="J422">
        <f>VLOOKUP($A422,Table1[#This Row],COLUMN(J421), FALSE)</f>
        <v>14</v>
      </c>
      <c r="K422">
        <f>VLOOKUP($A422,Table1[#This Row],COLUMN(K421), FALSE)</f>
        <v>0.1</v>
      </c>
      <c r="L422">
        <f>VLOOKUP($A422,Table1[#This Row],COLUMN(L421), FALSE)</f>
        <v>844.11599999999896</v>
      </c>
      <c r="M422" t="str">
        <f>VLOOKUP($A422,Table1[#This Row],COLUMN(M421), FALSE)</f>
        <v>Medium</v>
      </c>
      <c r="N422">
        <f>VLOOKUP($A422,Table1[#This Row],COLUMN(N421), FALSE)</f>
        <v>0</v>
      </c>
      <c r="O422" t="str">
        <f>VLOOKUP($A422,Table1[#This Row],COLUMN(O421), FALSE)</f>
        <v>David Kendrick</v>
      </c>
      <c r="P422" t="str">
        <f>VLOOKUP($A422,Table1[#This Row],COLUMN(P421), FALSE)</f>
        <v>ES</v>
      </c>
      <c r="Q422" t="str">
        <f>VLOOKUP($A422,Table1[#This Row],COLUMN(Q421), FALSE)</f>
        <v>2013</v>
      </c>
      <c r="R422" t="str">
        <f>VLOOKUP($A422,Table1[#This Row],COLUMN(R421), FALSE)</f>
        <v>MEDIUM</v>
      </c>
      <c r="S422" t="str">
        <f>VLOOKUP($A422,Table1[#This Row],COLUMN(S421), FALSE)</f>
        <v>technology</v>
      </c>
      <c r="T422" t="str">
        <f>VLOOKUP($A422,Table1[#This Row],COLUMN(T421), FALSE)</f>
        <v>41386</v>
      </c>
      <c r="U422" t="str">
        <f>VLOOKUP($A422,Table1[#This Row],COLUMN(U421), FALSE)</f>
        <v>DK1315048</v>
      </c>
      <c r="V422" t="str">
        <f>VLOOKUP($A422,Table1[#This Row],COLUMN(V421), FALSE)</f>
        <v>ES</v>
      </c>
      <c r="W422">
        <f>VLOOKUP($A422,Table1[#This Row],COLUMN(W421), FALSE)</f>
        <v>2013</v>
      </c>
      <c r="X422" t="str">
        <f>VLOOKUP($A422,Table1[#This Row],COLUMN(X421), FALSE)</f>
        <v>DK1315048</v>
      </c>
      <c r="Y422">
        <f>VLOOKUP($A422,Table1[#This Row],COLUMN(Y421), FALSE)</f>
        <v>41386</v>
      </c>
      <c r="Z422" t="str">
        <f>VLOOKUP($A422,Table1[#This Row],COLUMN(Z421), FALSE)</f>
        <v>ES-2013-DK1315048-41386</v>
      </c>
      <c r="AA422">
        <f>VLOOKUP($A422,Table1[#This Row],COLUMN(AA421), FALSE)</f>
        <v>0</v>
      </c>
      <c r="AB422">
        <f>VLOOKUP($A422,Table1[#This Row],COLUMN(AB421), FALSE)</f>
        <v>0</v>
      </c>
      <c r="AC422">
        <f>VLOOKUP($A422,Table1[#This Row],COLUMN(AC421), FALSE)</f>
        <v>0</v>
      </c>
      <c r="AD422">
        <f>VLOOKUP($A422,Table1[#This Row],COLUMN(AD421), FALSE)</f>
        <v>0</v>
      </c>
    </row>
    <row r="423" spans="1:30" ht="15.75">
      <c r="A423" s="54" t="s">
        <v>812</v>
      </c>
      <c r="B423" s="52">
        <f>VLOOKUP($A423,Table1[#This Row],COLUMN(B422), FALSE)</f>
        <v>41942</v>
      </c>
      <c r="C423" s="52">
        <f>VLOOKUP($A423,Table1[#This Row],COLUMN(C422), FALSE)</f>
        <v>41947</v>
      </c>
      <c r="D423" t="str">
        <f>VLOOKUP($A423,Table1[#This Row],COLUMN(D422), FALSE)</f>
        <v>Rick Wilson</v>
      </c>
      <c r="E423" t="str">
        <f>VLOOKUP($A423,Table1[#This Row],COLUMN(E422), FALSE)</f>
        <v>South Africa</v>
      </c>
      <c r="F423" t="str">
        <f>VLOOKUP($A423,Table1[#This Row],COLUMN(F422), FALSE)</f>
        <v>Southern Africa</v>
      </c>
      <c r="G423" t="str">
        <f>VLOOKUP($A423,Table1[#This Row],COLUMN(G422), FALSE)</f>
        <v>Technology</v>
      </c>
      <c r="H423" t="str">
        <f>VLOOKUP($A423,Table1[#This Row],COLUMN(H422), FALSE)</f>
        <v>Tables</v>
      </c>
      <c r="I423">
        <f>VLOOKUP($A423,Table1[#This Row],COLUMN(I422), FALSE)</f>
        <v>1867.5</v>
      </c>
      <c r="J423">
        <f>VLOOKUP($A423,Table1[#This Row],COLUMN(J422), FALSE)</f>
        <v>6</v>
      </c>
      <c r="K423">
        <f>VLOOKUP($A423,Table1[#This Row],COLUMN(K422), FALSE)</f>
        <v>0</v>
      </c>
      <c r="L423">
        <f>VLOOKUP($A423,Table1[#This Row],COLUMN(L422), FALSE)</f>
        <v>242.64</v>
      </c>
      <c r="M423" t="str">
        <f>VLOOKUP($A423,Table1[#This Row],COLUMN(M422), FALSE)</f>
        <v>High</v>
      </c>
      <c r="N423">
        <f>VLOOKUP($A423,Table1[#This Row],COLUMN(N422), FALSE)</f>
        <v>0</v>
      </c>
      <c r="O423" t="str">
        <f>VLOOKUP($A423,Table1[#This Row],COLUMN(O422), FALSE)</f>
        <v>Rick Wilson</v>
      </c>
      <c r="P423" t="str">
        <f>VLOOKUP($A423,Table1[#This Row],COLUMN(P422), FALSE)</f>
        <v>SF</v>
      </c>
      <c r="Q423" t="str">
        <f>VLOOKUP($A423,Table1[#This Row],COLUMN(Q422), FALSE)</f>
        <v>2014</v>
      </c>
      <c r="R423" t="str">
        <f>VLOOKUP($A423,Table1[#This Row],COLUMN(R422), FALSE)</f>
        <v>HIGH</v>
      </c>
      <c r="S423" t="str">
        <f>VLOOKUP($A423,Table1[#This Row],COLUMN(S422), FALSE)</f>
        <v>technology</v>
      </c>
      <c r="T423" t="str">
        <f>VLOOKUP($A423,Table1[#This Row],COLUMN(T422), FALSE)</f>
        <v>41942</v>
      </c>
      <c r="U423" t="str">
        <f>VLOOKUP($A423,Table1[#This Row],COLUMN(U422), FALSE)</f>
        <v>RW9540117</v>
      </c>
      <c r="V423" t="str">
        <f>VLOOKUP($A423,Table1[#This Row],COLUMN(V422), FALSE)</f>
        <v>SF</v>
      </c>
      <c r="W423">
        <f>VLOOKUP($A423,Table1[#This Row],COLUMN(W422), FALSE)</f>
        <v>2014</v>
      </c>
      <c r="X423" t="str">
        <f>VLOOKUP($A423,Table1[#This Row],COLUMN(X422), FALSE)</f>
        <v>RW9540117</v>
      </c>
      <c r="Y423">
        <f>VLOOKUP($A423,Table1[#This Row],COLUMN(Y422), FALSE)</f>
        <v>41942</v>
      </c>
      <c r="Z423" t="str">
        <f>VLOOKUP($A423,Table1[#This Row],COLUMN(Z422), FALSE)</f>
        <v>SF-2014-RW9540117-41942</v>
      </c>
      <c r="AA423">
        <f>VLOOKUP($A423,Table1[#This Row],COLUMN(AA422), FALSE)</f>
        <v>2014</v>
      </c>
      <c r="AB423">
        <f>VLOOKUP($A423,Table1[#This Row],COLUMN(AB422), FALSE)</f>
        <v>10</v>
      </c>
      <c r="AC423">
        <f>VLOOKUP($A423,Table1[#This Row],COLUMN(AC422), FALSE)</f>
        <v>5</v>
      </c>
      <c r="AD423">
        <f>VLOOKUP($A423,Table1[#This Row],COLUMN(AD422), FALSE)</f>
        <v>5</v>
      </c>
    </row>
    <row r="424" spans="1:30" ht="15.75">
      <c r="A424" s="53" t="s">
        <v>816</v>
      </c>
      <c r="B424" s="52">
        <f>VLOOKUP($A424,Table1[#This Row],COLUMN(B423), FALSE)</f>
        <v>41991</v>
      </c>
      <c r="C424" s="52">
        <f>VLOOKUP($A424,Table1[#This Row],COLUMN(C423), FALSE)</f>
        <v>41995</v>
      </c>
      <c r="D424" t="str">
        <f>VLOOKUP($A424,Table1[#This Row],COLUMN(D423), FALSE)</f>
        <v>Adrian Barton</v>
      </c>
      <c r="E424" t="str">
        <f>VLOOKUP($A424,Table1[#This Row],COLUMN(E423), FALSE)</f>
        <v>United States</v>
      </c>
      <c r="F424" t="str">
        <f>VLOOKUP($A424,Table1[#This Row],COLUMN(F423), FALSE)</f>
        <v>Central US</v>
      </c>
      <c r="G424" t="str">
        <f>VLOOKUP($A424,Table1[#This Row],COLUMN(G423), FALSE)</f>
        <v>Office_Supplies</v>
      </c>
      <c r="H424" t="str">
        <f>VLOOKUP($A424,Table1[#This Row],COLUMN(H423), FALSE)</f>
        <v>Chairs</v>
      </c>
      <c r="I424">
        <f>VLOOKUP($A424,Table1[#This Row],COLUMN(I423), FALSE)</f>
        <v>9892.74</v>
      </c>
      <c r="J424">
        <f>VLOOKUP($A424,Table1[#This Row],COLUMN(J423), FALSE)</f>
        <v>13</v>
      </c>
      <c r="K424">
        <f>VLOOKUP($A424,Table1[#This Row],COLUMN(K423), FALSE)</f>
        <v>0</v>
      </c>
      <c r="L424">
        <f>VLOOKUP($A424,Table1[#This Row],COLUMN(L423), FALSE)</f>
        <v>4946.37</v>
      </c>
      <c r="M424" t="str">
        <f>VLOOKUP($A424,Table1[#This Row],COLUMN(M423), FALSE)</f>
        <v>Medium</v>
      </c>
      <c r="N424">
        <f>VLOOKUP($A424,Table1[#This Row],COLUMN(N423), FALSE)</f>
        <v>0</v>
      </c>
      <c r="O424" t="str">
        <f>VLOOKUP($A424,Table1[#This Row],COLUMN(O423), FALSE)</f>
        <v>Adrian Barton</v>
      </c>
      <c r="P424" t="str">
        <f>VLOOKUP($A424,Table1[#This Row],COLUMN(P423), FALSE)</f>
        <v>CA</v>
      </c>
      <c r="Q424" t="str">
        <f>VLOOKUP($A424,Table1[#This Row],COLUMN(Q423), FALSE)</f>
        <v>2014</v>
      </c>
      <c r="R424" t="str">
        <f>VLOOKUP($A424,Table1[#This Row],COLUMN(R423), FALSE)</f>
        <v>MEDIUM</v>
      </c>
      <c r="S424" t="str">
        <f>VLOOKUP($A424,Table1[#This Row],COLUMN(S423), FALSE)</f>
        <v>office_supplies</v>
      </c>
      <c r="T424" t="str">
        <f>VLOOKUP($A424,Table1[#This Row],COLUMN(T423), FALSE)</f>
        <v>41991</v>
      </c>
      <c r="U424" t="str">
        <f>VLOOKUP($A424,Table1[#This Row],COLUMN(U423), FALSE)</f>
        <v>AB10105140</v>
      </c>
      <c r="V424" t="str">
        <f>VLOOKUP($A424,Table1[#This Row],COLUMN(V423), FALSE)</f>
        <v>CA</v>
      </c>
      <c r="W424">
        <f>VLOOKUP($A424,Table1[#This Row],COLUMN(W423), FALSE)</f>
        <v>2014</v>
      </c>
      <c r="X424" t="str">
        <f>VLOOKUP($A424,Table1[#This Row],COLUMN(X423), FALSE)</f>
        <v>AB10105140</v>
      </c>
      <c r="Y424">
        <f>VLOOKUP($A424,Table1[#This Row],COLUMN(Y423), FALSE)</f>
        <v>41991</v>
      </c>
      <c r="Z424" t="str">
        <f>VLOOKUP($A424,Table1[#This Row],COLUMN(Z423), FALSE)</f>
        <v>CA-2014-AB10105140-41991</v>
      </c>
      <c r="AA424">
        <f>VLOOKUP($A424,Table1[#This Row],COLUMN(AA423), FALSE)</f>
        <v>2014</v>
      </c>
      <c r="AB424">
        <f>VLOOKUP($A424,Table1[#This Row],COLUMN(AB423), FALSE)</f>
        <v>12</v>
      </c>
      <c r="AC424">
        <f>VLOOKUP($A424,Table1[#This Row],COLUMN(AC423), FALSE)</f>
        <v>5</v>
      </c>
      <c r="AD424">
        <f>VLOOKUP($A424,Table1[#This Row],COLUMN(AD423), FALSE)</f>
        <v>4</v>
      </c>
    </row>
    <row r="425" spans="1:30" ht="15.75">
      <c r="A425" s="54" t="s">
        <v>833</v>
      </c>
      <c r="B425" s="52">
        <f>VLOOKUP($A425,Table1[#This Row],COLUMN(B424), FALSE)</f>
        <v>42328</v>
      </c>
      <c r="C425" s="52">
        <f>VLOOKUP($A425,Table1[#This Row],COLUMN(C424), FALSE)</f>
        <v>42332</v>
      </c>
      <c r="D425" t="str">
        <f>VLOOKUP($A425,Table1[#This Row],COLUMN(D424), FALSE)</f>
        <v>Adrian Barton</v>
      </c>
      <c r="E425" t="str">
        <f>VLOOKUP($A425,Table1[#This Row],COLUMN(E424), FALSE)</f>
        <v>United States</v>
      </c>
      <c r="F425" t="str">
        <f>VLOOKUP($A425,Table1[#This Row],COLUMN(F424), FALSE)</f>
        <v>Southern US</v>
      </c>
      <c r="G425" t="str">
        <f>VLOOKUP($A425,Table1[#This Row],COLUMN(G424), FALSE)</f>
        <v>Furniture</v>
      </c>
      <c r="H425" t="str">
        <f>VLOOKUP($A425,Table1[#This Row],COLUMN(H424), FALSE)</f>
        <v>Phones</v>
      </c>
      <c r="I425">
        <f>VLOOKUP($A425,Table1[#This Row],COLUMN(I424), FALSE)</f>
        <v>821.87999999999897</v>
      </c>
      <c r="J425">
        <f>VLOOKUP($A425,Table1[#This Row],COLUMN(J424), FALSE)</f>
        <v>6</v>
      </c>
      <c r="K425">
        <f>VLOOKUP($A425,Table1[#This Row],COLUMN(K424), FALSE)</f>
        <v>0</v>
      </c>
      <c r="L425">
        <f>VLOOKUP($A425,Table1[#This Row],COLUMN(L424), FALSE)</f>
        <v>213.68879999999999</v>
      </c>
      <c r="M425" t="str">
        <f>VLOOKUP($A425,Table1[#This Row],COLUMN(M424), FALSE)</f>
        <v>Medium</v>
      </c>
      <c r="N425">
        <f>VLOOKUP($A425,Table1[#This Row],COLUMN(N424), FALSE)</f>
        <v>0</v>
      </c>
      <c r="O425" t="str">
        <f>VLOOKUP($A425,Table1[#This Row],COLUMN(O424), FALSE)</f>
        <v>Adrian Barton</v>
      </c>
      <c r="P425" t="str">
        <f>VLOOKUP($A425,Table1[#This Row],COLUMN(P424), FALSE)</f>
        <v>CA</v>
      </c>
      <c r="Q425" t="str">
        <f>VLOOKUP($A425,Table1[#This Row],COLUMN(Q424), FALSE)</f>
        <v>2015</v>
      </c>
      <c r="R425" t="str">
        <f>VLOOKUP($A425,Table1[#This Row],COLUMN(R424), FALSE)</f>
        <v>MEDIUM</v>
      </c>
      <c r="S425" t="str">
        <f>VLOOKUP($A425,Table1[#This Row],COLUMN(S424), FALSE)</f>
        <v>furniture</v>
      </c>
      <c r="T425" t="str">
        <f>VLOOKUP($A425,Table1[#This Row],COLUMN(T424), FALSE)</f>
        <v>42328</v>
      </c>
      <c r="U425" t="str">
        <f>VLOOKUP($A425,Table1[#This Row],COLUMN(U424), FALSE)</f>
        <v>AB10105140</v>
      </c>
      <c r="V425" t="str">
        <f>VLOOKUP($A425,Table1[#This Row],COLUMN(V424), FALSE)</f>
        <v>CA</v>
      </c>
      <c r="W425">
        <f>VLOOKUP($A425,Table1[#This Row],COLUMN(W424), FALSE)</f>
        <v>2015</v>
      </c>
      <c r="X425" t="str">
        <f>VLOOKUP($A425,Table1[#This Row],COLUMN(X424), FALSE)</f>
        <v>AB10105140</v>
      </c>
      <c r="Y425">
        <f>VLOOKUP($A425,Table1[#This Row],COLUMN(Y424), FALSE)</f>
        <v>42328</v>
      </c>
      <c r="Z425" t="str">
        <f>VLOOKUP($A425,Table1[#This Row],COLUMN(Z424), FALSE)</f>
        <v>CA-2015-AB10105140-42328</v>
      </c>
      <c r="AA425">
        <f>VLOOKUP($A425,Table1[#This Row],COLUMN(AA424), FALSE)</f>
        <v>2015</v>
      </c>
      <c r="AB425">
        <f>VLOOKUP($A425,Table1[#This Row],COLUMN(AB424), FALSE)</f>
        <v>11</v>
      </c>
      <c r="AC425">
        <f>VLOOKUP($A425,Table1[#This Row],COLUMN(AC424), FALSE)</f>
        <v>6</v>
      </c>
      <c r="AD425">
        <f>VLOOKUP($A425,Table1[#This Row],COLUMN(AD424), FALSE)</f>
        <v>4</v>
      </c>
    </row>
    <row r="426" spans="1:30" ht="15.75">
      <c r="A426" s="53" t="s">
        <v>865</v>
      </c>
      <c r="B426" s="52">
        <f>VLOOKUP($A426,Table1[#This Row],COLUMN(B425), FALSE)</f>
        <v>41810</v>
      </c>
      <c r="C426" s="52">
        <f>VLOOKUP($A426,Table1[#This Row],COLUMN(C425), FALSE)</f>
        <v>41812</v>
      </c>
      <c r="D426" t="str">
        <f>VLOOKUP($A426,Table1[#This Row],COLUMN(D425), FALSE)</f>
        <v>Caroline Jumper</v>
      </c>
      <c r="E426" t="str">
        <f>VLOOKUP($A426,Table1[#This Row],COLUMN(E425), FALSE)</f>
        <v>Chian</v>
      </c>
      <c r="F426" t="str">
        <f>VLOOKUP($A426,Table1[#This Row],COLUMN(F425), FALSE)</f>
        <v>Eastern Asia</v>
      </c>
      <c r="G426" t="str">
        <f>VLOOKUP($A426,Table1[#This Row],COLUMN(G425), FALSE)</f>
        <v>Technology</v>
      </c>
      <c r="H426" t="str">
        <f>VLOOKUP($A426,Table1[#This Row],COLUMN(H425), FALSE)</f>
        <v>Phones</v>
      </c>
      <c r="I426">
        <f>VLOOKUP($A426,Table1[#This Row],COLUMN(I425), FALSE)</f>
        <v>1063.44</v>
      </c>
      <c r="J426">
        <f>VLOOKUP($A426,Table1[#This Row],COLUMN(J425), FALSE)</f>
        <v>7</v>
      </c>
      <c r="K426">
        <f>VLOOKUP($A426,Table1[#This Row],COLUMN(K425), FALSE)</f>
        <v>0</v>
      </c>
      <c r="L426">
        <f>VLOOKUP($A426,Table1[#This Row],COLUMN(L425), FALSE)</f>
        <v>361.41</v>
      </c>
      <c r="M426" t="str">
        <f>VLOOKUP($A426,Table1[#This Row],COLUMN(M425), FALSE)</f>
        <v>Critical</v>
      </c>
      <c r="N426">
        <f>VLOOKUP($A426,Table1[#This Row],COLUMN(N425), FALSE)</f>
        <v>0</v>
      </c>
      <c r="O426" t="str">
        <f>VLOOKUP($A426,Table1[#This Row],COLUMN(O425), FALSE)</f>
        <v>Caroline Jumper</v>
      </c>
      <c r="P426" t="str">
        <f>VLOOKUP($A426,Table1[#This Row],COLUMN(P425), FALSE)</f>
        <v>IN</v>
      </c>
      <c r="Q426" t="str">
        <f>VLOOKUP($A426,Table1[#This Row],COLUMN(Q425), FALSE)</f>
        <v>2014</v>
      </c>
      <c r="R426" t="str">
        <f>VLOOKUP($A426,Table1[#This Row],COLUMN(R425), FALSE)</f>
        <v>CRITICAL</v>
      </c>
      <c r="S426" t="str">
        <f>VLOOKUP($A426,Table1[#This Row],COLUMN(S425), FALSE)</f>
        <v>technology</v>
      </c>
      <c r="T426" t="str">
        <f>VLOOKUP($A426,Table1[#This Row],COLUMN(T425), FALSE)</f>
        <v>41810</v>
      </c>
      <c r="U426" t="str">
        <f>VLOOKUP($A426,Table1[#This Row],COLUMN(U425), FALSE)</f>
        <v>CJ1201027</v>
      </c>
      <c r="V426" t="str">
        <f>VLOOKUP($A426,Table1[#This Row],COLUMN(V425), FALSE)</f>
        <v>IN</v>
      </c>
      <c r="W426">
        <f>VLOOKUP($A426,Table1[#This Row],COLUMN(W425), FALSE)</f>
        <v>2014</v>
      </c>
      <c r="X426" t="str">
        <f>VLOOKUP($A426,Table1[#This Row],COLUMN(X425), FALSE)</f>
        <v>CJ1201027</v>
      </c>
      <c r="Y426">
        <f>VLOOKUP($A426,Table1[#This Row],COLUMN(Y425), FALSE)</f>
        <v>41810</v>
      </c>
      <c r="Z426" t="str">
        <f>VLOOKUP($A426,Table1[#This Row],COLUMN(Z425), FALSE)</f>
        <v>IN-2014-CJ1201027-41810</v>
      </c>
      <c r="AA426">
        <f>VLOOKUP($A426,Table1[#This Row],COLUMN(AA425), FALSE)</f>
        <v>2014</v>
      </c>
      <c r="AB426">
        <f>VLOOKUP($A426,Table1[#This Row],COLUMN(AB425), FALSE)</f>
        <v>6</v>
      </c>
      <c r="AC426">
        <f>VLOOKUP($A426,Table1[#This Row],COLUMN(AC425), FALSE)</f>
        <v>6</v>
      </c>
      <c r="AD426">
        <f>VLOOKUP($A426,Table1[#This Row],COLUMN(AD425), FALSE)</f>
        <v>2</v>
      </c>
    </row>
    <row r="427" spans="1:30" ht="15.75">
      <c r="A427" s="54" t="s">
        <v>883</v>
      </c>
      <c r="B427" s="52">
        <f>VLOOKUP($A427,Table1[#This Row],COLUMN(B426), FALSE)</f>
        <v>42336</v>
      </c>
      <c r="C427" s="52">
        <f>VLOOKUP($A427,Table1[#This Row],COLUMN(C426), FALSE)</f>
        <v>42341</v>
      </c>
      <c r="D427" t="str">
        <f>VLOOKUP($A427,Table1[#This Row],COLUMN(D426), FALSE)</f>
        <v>Brenda Bowman</v>
      </c>
      <c r="E427" t="str">
        <f>VLOOKUP($A427,Table1[#This Row],COLUMN(E426), FALSE)</f>
        <v>Germany</v>
      </c>
      <c r="F427" t="str">
        <f>VLOOKUP($A427,Table1[#This Row],COLUMN(F426), FALSE)</f>
        <v>Western Europe</v>
      </c>
      <c r="G427" t="str">
        <f>VLOOKUP($A427,Table1[#This Row],COLUMN(G426), FALSE)</f>
        <v>Furniture</v>
      </c>
      <c r="H427" t="str">
        <f>VLOOKUP($A427,Table1[#This Row],COLUMN(H426), FALSE)</f>
        <v>Tables</v>
      </c>
      <c r="I427">
        <f>VLOOKUP($A427,Table1[#This Row],COLUMN(I426), FALSE)</f>
        <v>2455.6770000000001</v>
      </c>
      <c r="J427">
        <f>VLOOKUP($A427,Table1[#This Row],COLUMN(J426), FALSE)</f>
        <v>7</v>
      </c>
      <c r="K427">
        <f>VLOOKUP($A427,Table1[#This Row],COLUMN(K426), FALSE)</f>
        <v>0.1</v>
      </c>
      <c r="L427">
        <f>VLOOKUP($A427,Table1[#This Row],COLUMN(L426), FALSE)</f>
        <v>-191.16300000000001</v>
      </c>
      <c r="M427" t="str">
        <f>VLOOKUP($A427,Table1[#This Row],COLUMN(M426), FALSE)</f>
        <v>Hihg</v>
      </c>
      <c r="N427">
        <f>VLOOKUP($A427,Table1[#This Row],COLUMN(N426), FALSE)</f>
        <v>0</v>
      </c>
      <c r="O427" t="str">
        <f>VLOOKUP($A427,Table1[#This Row],COLUMN(O426), FALSE)</f>
        <v>Brenda Bowman</v>
      </c>
      <c r="P427" t="str">
        <f>VLOOKUP($A427,Table1[#This Row],COLUMN(P426), FALSE)</f>
        <v>ES</v>
      </c>
      <c r="Q427" t="str">
        <f>VLOOKUP($A427,Table1[#This Row],COLUMN(Q426), FALSE)</f>
        <v>2015</v>
      </c>
      <c r="R427" t="str">
        <f>VLOOKUP($A427,Table1[#This Row],COLUMN(R426), FALSE)</f>
        <v>HIHG</v>
      </c>
      <c r="S427" t="str">
        <f>VLOOKUP($A427,Table1[#This Row],COLUMN(S426), FALSE)</f>
        <v>furniture</v>
      </c>
      <c r="T427" t="str">
        <f>VLOOKUP($A427,Table1[#This Row],COLUMN(T426), FALSE)</f>
        <v>42336</v>
      </c>
      <c r="U427" t="str">
        <f>VLOOKUP($A427,Table1[#This Row],COLUMN(U426), FALSE)</f>
        <v>BB1154548</v>
      </c>
      <c r="V427" t="str">
        <f>VLOOKUP($A427,Table1[#This Row],COLUMN(V426), FALSE)</f>
        <v>ES</v>
      </c>
      <c r="W427">
        <f>VLOOKUP($A427,Table1[#This Row],COLUMN(W426), FALSE)</f>
        <v>2015</v>
      </c>
      <c r="X427" t="str">
        <f>VLOOKUP($A427,Table1[#This Row],COLUMN(X426), FALSE)</f>
        <v>BB1154548</v>
      </c>
      <c r="Y427">
        <f>VLOOKUP($A427,Table1[#This Row],COLUMN(Y426), FALSE)</f>
        <v>42336</v>
      </c>
      <c r="Z427" t="str">
        <f>VLOOKUP($A427,Table1[#This Row],COLUMN(Z426), FALSE)</f>
        <v>ES-2015-BB1154548-42336</v>
      </c>
      <c r="AA427">
        <f>VLOOKUP($A427,Table1[#This Row],COLUMN(AA426), FALSE)</f>
        <v>2015</v>
      </c>
      <c r="AB427">
        <f>VLOOKUP($A427,Table1[#This Row],COLUMN(AB426), FALSE)</f>
        <v>11</v>
      </c>
      <c r="AC427">
        <f>VLOOKUP($A427,Table1[#This Row],COLUMN(AC426), FALSE)</f>
        <v>7</v>
      </c>
      <c r="AD427">
        <f>VLOOKUP($A427,Table1[#This Row],COLUMN(AD426), FALSE)</f>
        <v>5</v>
      </c>
    </row>
    <row r="428" spans="1:30" ht="15.75">
      <c r="A428" s="53" t="s">
        <v>888</v>
      </c>
      <c r="B428" s="52">
        <f>VLOOKUP($A428,Table1[#This Row],COLUMN(B427), FALSE)</f>
        <v>41808</v>
      </c>
      <c r="C428" s="52">
        <f>VLOOKUP($A428,Table1[#This Row],COLUMN(C427), FALSE)</f>
        <v>41814</v>
      </c>
      <c r="D428" t="str">
        <f>VLOOKUP($A428,Table1[#This Row],COLUMN(D427), FALSE)</f>
        <v>Susan Pistek</v>
      </c>
      <c r="E428" t="str">
        <f>VLOOKUP($A428,Table1[#This Row],COLUMN(E427), FALSE)</f>
        <v>Thailand</v>
      </c>
      <c r="F428" t="str">
        <f>VLOOKUP($A428,Table1[#This Row],COLUMN(F427), FALSE)</f>
        <v>Southeastern Asia</v>
      </c>
      <c r="G428" t="str">
        <f>VLOOKUP($A428,Table1[#This Row],COLUMN(G427), FALSE)</f>
        <v>Technology</v>
      </c>
      <c r="H428" t="str">
        <f>VLOOKUP($A428,Table1[#This Row],COLUMN(H427), FALSE)</f>
        <v>Bookcases</v>
      </c>
      <c r="I428">
        <f>VLOOKUP($A428,Table1[#This Row],COLUMN(I427), FALSE)</f>
        <v>3712.59</v>
      </c>
      <c r="J428">
        <f>VLOOKUP($A428,Table1[#This Row],COLUMN(J427), FALSE)</f>
        <v>7</v>
      </c>
      <c r="K428">
        <f>VLOOKUP($A428,Table1[#This Row],COLUMN(K427), FALSE)</f>
        <v>0.17</v>
      </c>
      <c r="L428">
        <f>VLOOKUP($A428,Table1[#This Row],COLUMN(L427), FALSE)</f>
        <v>849.87</v>
      </c>
      <c r="M428" t="str">
        <f>VLOOKUP($A428,Table1[#This Row],COLUMN(M427), FALSE)</f>
        <v>Medium</v>
      </c>
      <c r="N428">
        <f>VLOOKUP($A428,Table1[#This Row],COLUMN(N427), FALSE)</f>
        <v>0</v>
      </c>
      <c r="O428" t="str">
        <f>VLOOKUP($A428,Table1[#This Row],COLUMN(O427), FALSE)</f>
        <v>Susan Pistek</v>
      </c>
      <c r="P428" t="str">
        <f>VLOOKUP($A428,Table1[#This Row],COLUMN(P427), FALSE)</f>
        <v>IN</v>
      </c>
      <c r="Q428" t="str">
        <f>VLOOKUP($A428,Table1[#This Row],COLUMN(Q427), FALSE)</f>
        <v>2014</v>
      </c>
      <c r="R428" t="str">
        <f>VLOOKUP($A428,Table1[#This Row],COLUMN(R427), FALSE)</f>
        <v>MEDIUM</v>
      </c>
      <c r="S428" t="str">
        <f>VLOOKUP($A428,Table1[#This Row],COLUMN(S427), FALSE)</f>
        <v>technology</v>
      </c>
      <c r="T428" t="str">
        <f>VLOOKUP($A428,Table1[#This Row],COLUMN(T427), FALSE)</f>
        <v>41808</v>
      </c>
      <c r="U428" t="str">
        <f>VLOOKUP($A428,Table1[#This Row],COLUMN(U427), FALSE)</f>
        <v>SP20920130</v>
      </c>
      <c r="V428" t="str">
        <f>VLOOKUP($A428,Table1[#This Row],COLUMN(V427), FALSE)</f>
        <v>IN</v>
      </c>
      <c r="W428">
        <f>VLOOKUP($A428,Table1[#This Row],COLUMN(W427), FALSE)</f>
        <v>2014</v>
      </c>
      <c r="X428" t="str">
        <f>VLOOKUP($A428,Table1[#This Row],COLUMN(X427), FALSE)</f>
        <v>SP20920130</v>
      </c>
      <c r="Y428">
        <f>VLOOKUP($A428,Table1[#This Row],COLUMN(Y427), FALSE)</f>
        <v>41808</v>
      </c>
      <c r="Z428" t="str">
        <f>VLOOKUP($A428,Table1[#This Row],COLUMN(Z427), FALSE)</f>
        <v>IN-2014-SP20920130-41808</v>
      </c>
      <c r="AA428">
        <f>VLOOKUP($A428,Table1[#This Row],COLUMN(AA427), FALSE)</f>
        <v>2014</v>
      </c>
      <c r="AB428">
        <f>VLOOKUP($A428,Table1[#This Row],COLUMN(AB427), FALSE)</f>
        <v>6</v>
      </c>
      <c r="AC428">
        <f>VLOOKUP($A428,Table1[#This Row],COLUMN(AC427), FALSE)</f>
        <v>4</v>
      </c>
      <c r="AD428">
        <f>VLOOKUP($A428,Table1[#This Row],COLUMN(AD427), FALSE)</f>
        <v>6</v>
      </c>
    </row>
    <row r="429" spans="1:30" ht="15.75">
      <c r="A429" s="54" t="s">
        <v>890</v>
      </c>
      <c r="B429" s="52">
        <f>VLOOKUP($A429,Table1[#This Row],COLUMN(B428), FALSE)</f>
        <v>41398</v>
      </c>
      <c r="C429" s="52">
        <f>VLOOKUP($A429,Table1[#This Row],COLUMN(C428), FALSE)</f>
        <v>41400</v>
      </c>
      <c r="D429" t="str">
        <f>VLOOKUP($A429,Table1[#This Row],COLUMN(D428), FALSE)</f>
        <v>Nick Zandusky</v>
      </c>
      <c r="E429" t="str">
        <f>VLOOKUP($A429,Table1[#This Row],COLUMN(E428), FALSE)</f>
        <v>india</v>
      </c>
      <c r="F429" t="str">
        <f>VLOOKUP($A429,Table1[#This Row],COLUMN(F428), FALSE)</f>
        <v>Southern Asia</v>
      </c>
      <c r="G429" t="str">
        <f>VLOOKUP($A429,Table1[#This Row],COLUMN(G428), FALSE)</f>
        <v>Technology</v>
      </c>
      <c r="H429" t="str">
        <f>VLOOKUP($A429,Table1[#This Row],COLUMN(H428), FALSE)</f>
        <v>Copiers</v>
      </c>
      <c r="I429">
        <f>VLOOKUP($A429,Table1[#This Row],COLUMN(I428), FALSE)</f>
        <v>2372.2199999999998</v>
      </c>
      <c r="J429">
        <f>VLOOKUP($A429,Table1[#This Row],COLUMN(J428), FALSE)</f>
        <v>9</v>
      </c>
      <c r="K429">
        <f>VLOOKUP($A429,Table1[#This Row],COLUMN(K428), FALSE)</f>
        <v>0</v>
      </c>
      <c r="L429">
        <f>VLOOKUP($A429,Table1[#This Row],COLUMN(L428), FALSE)</f>
        <v>0</v>
      </c>
      <c r="M429" t="str">
        <f>VLOOKUP($A429,Table1[#This Row],COLUMN(M428), FALSE)</f>
        <v>High</v>
      </c>
      <c r="N429">
        <f>VLOOKUP($A429,Table1[#This Row],COLUMN(N428), FALSE)</f>
        <v>0</v>
      </c>
      <c r="O429" t="str">
        <f>VLOOKUP($A429,Table1[#This Row],COLUMN(O428), FALSE)</f>
        <v>Nick Zandusky</v>
      </c>
      <c r="P429" t="str">
        <f>VLOOKUP($A429,Table1[#This Row],COLUMN(P428), FALSE)</f>
        <v>IN</v>
      </c>
      <c r="Q429" t="str">
        <f>VLOOKUP($A429,Table1[#This Row],COLUMN(Q428), FALSE)</f>
        <v>2013</v>
      </c>
      <c r="R429" t="str">
        <f>VLOOKUP($A429,Table1[#This Row],COLUMN(R428), FALSE)</f>
        <v>HIGH</v>
      </c>
      <c r="S429" t="str">
        <f>VLOOKUP($A429,Table1[#This Row],COLUMN(S428), FALSE)</f>
        <v>technology</v>
      </c>
      <c r="T429" t="str">
        <f>VLOOKUP($A429,Table1[#This Row],COLUMN(T428), FALSE)</f>
        <v>1398#</v>
      </c>
      <c r="U429" t="str">
        <f>VLOOKUP($A429,Table1[#This Row],COLUMN(U428), FALSE)</f>
        <v>NZ1856558</v>
      </c>
      <c r="V429" t="str">
        <f>VLOOKUP($A429,Table1[#This Row],COLUMN(V428), FALSE)</f>
        <v>IN</v>
      </c>
      <c r="W429">
        <f>VLOOKUP($A429,Table1[#This Row],COLUMN(W428), FALSE)</f>
        <v>2013</v>
      </c>
      <c r="X429" t="str">
        <f>VLOOKUP($A429,Table1[#This Row],COLUMN(X428), FALSE)</f>
        <v>NZ1856558</v>
      </c>
      <c r="Y429" t="str">
        <f>VLOOKUP($A429,Table1[#This Row],COLUMN(Y428), FALSE)</f>
        <v>41398#</v>
      </c>
      <c r="Z429" t="str">
        <f>VLOOKUP($A429,Table1[#This Row],COLUMN(Z428), FALSE)</f>
        <v>IN-2013-NZ1856558-41398#</v>
      </c>
      <c r="AA429">
        <f>VLOOKUP($A429,Table1[#This Row],COLUMN(AA428), FALSE)</f>
        <v>2013</v>
      </c>
      <c r="AB429">
        <f>VLOOKUP($A429,Table1[#This Row],COLUMN(AB428), FALSE)</f>
        <v>5</v>
      </c>
      <c r="AC429">
        <f>VLOOKUP($A429,Table1[#This Row],COLUMN(AC428), FALSE)</f>
        <v>7</v>
      </c>
      <c r="AD429">
        <f>VLOOKUP($A429,Table1[#This Row],COLUMN(AD428), FALSE)</f>
        <v>2</v>
      </c>
    </row>
    <row r="430" spans="1:30" ht="15.75">
      <c r="A430" s="53" t="s">
        <v>907</v>
      </c>
      <c r="B430" s="52">
        <f>VLOOKUP($A430,Table1[#This Row],COLUMN(B429), FALSE)</f>
        <v>41577</v>
      </c>
      <c r="C430" s="52">
        <f>VLOOKUP($A430,Table1[#This Row],COLUMN(C429), FALSE)</f>
        <v>41581</v>
      </c>
      <c r="D430" t="str">
        <f>VLOOKUP($A430,Table1[#This Row],COLUMN(D429), FALSE)</f>
        <v>Bill Stewart</v>
      </c>
      <c r="E430" t="str">
        <f>VLOOKUP($A430,Table1[#This Row],COLUMN(E429), FALSE)</f>
        <v>Indonesia</v>
      </c>
      <c r="F430" t="str">
        <f>VLOOKUP($A430,Table1[#This Row],COLUMN(F429), FALSE)</f>
        <v>Southeastern Asia</v>
      </c>
      <c r="G430" t="str">
        <f>VLOOKUP($A430,Table1[#This Row],COLUMN(G429), FALSE)</f>
        <v>Technology</v>
      </c>
      <c r="H430" t="str">
        <f>VLOOKUP($A430,Table1[#This Row],COLUMN(H429), FALSE)</f>
        <v>Machines</v>
      </c>
      <c r="I430">
        <f>VLOOKUP($A430,Table1[#This Row],COLUMN(I429), FALSE)</f>
        <v>2991.10319999999</v>
      </c>
      <c r="J430">
        <f>VLOOKUP($A430,Table1[#This Row],COLUMN(J429), FALSE)</f>
        <v>9</v>
      </c>
      <c r="K430">
        <f>VLOOKUP($A430,Table1[#This Row],COLUMN(K429), FALSE)</f>
        <v>7.0000000000000007E-2</v>
      </c>
      <c r="L430">
        <f>VLOOKUP($A430,Table1[#This Row],COLUMN(L429), FALSE)</f>
        <v>-128.74680000000001</v>
      </c>
      <c r="M430" t="str">
        <f>VLOOKUP($A430,Table1[#This Row],COLUMN(M429), FALSE)</f>
        <v>Medium</v>
      </c>
      <c r="N430">
        <f>VLOOKUP($A430,Table1[#This Row],COLUMN(N429), FALSE)</f>
        <v>0</v>
      </c>
      <c r="O430" t="str">
        <f>VLOOKUP($A430,Table1[#This Row],COLUMN(O429), FALSE)</f>
        <v>Bill Stewart</v>
      </c>
      <c r="P430" t="str">
        <f>VLOOKUP($A430,Table1[#This Row],COLUMN(P429), FALSE)</f>
        <v>ID</v>
      </c>
      <c r="Q430" t="str">
        <f>VLOOKUP($A430,Table1[#This Row],COLUMN(Q429), FALSE)</f>
        <v>2013</v>
      </c>
      <c r="R430" t="str">
        <f>VLOOKUP($A430,Table1[#This Row],COLUMN(R429), FALSE)</f>
        <v>MEDIUM</v>
      </c>
      <c r="S430" t="str">
        <f>VLOOKUP($A430,Table1[#This Row],COLUMN(S429), FALSE)</f>
        <v>technology</v>
      </c>
      <c r="T430" t="str">
        <f>VLOOKUP($A430,Table1[#This Row],COLUMN(T429), FALSE)</f>
        <v>41577</v>
      </c>
      <c r="U430" t="str">
        <f>VLOOKUP($A430,Table1[#This Row],COLUMN(U429), FALSE)</f>
        <v>BS1138059</v>
      </c>
      <c r="V430" t="str">
        <f>VLOOKUP($A430,Table1[#This Row],COLUMN(V429), FALSE)</f>
        <v>ID</v>
      </c>
      <c r="W430">
        <f>VLOOKUP($A430,Table1[#This Row],COLUMN(W429), FALSE)</f>
        <v>2013</v>
      </c>
      <c r="X430" t="str">
        <f>VLOOKUP($A430,Table1[#This Row],COLUMN(X429), FALSE)</f>
        <v>BS1138059</v>
      </c>
      <c r="Y430">
        <f>VLOOKUP($A430,Table1[#This Row],COLUMN(Y429), FALSE)</f>
        <v>41577</v>
      </c>
      <c r="Z430" t="str">
        <f>VLOOKUP($A430,Table1[#This Row],COLUMN(Z429), FALSE)</f>
        <v>ID-2013-BS1138059-41577</v>
      </c>
      <c r="AA430">
        <f>VLOOKUP($A430,Table1[#This Row],COLUMN(AA429), FALSE)</f>
        <v>2013</v>
      </c>
      <c r="AB430">
        <f>VLOOKUP($A430,Table1[#This Row],COLUMN(AB429), FALSE)</f>
        <v>10</v>
      </c>
      <c r="AC430">
        <f>VLOOKUP($A430,Table1[#This Row],COLUMN(AC429), FALSE)</f>
        <v>4</v>
      </c>
      <c r="AD430">
        <f>VLOOKUP($A430,Table1[#This Row],COLUMN(AD429), FALSE)</f>
        <v>4</v>
      </c>
    </row>
    <row r="431" spans="1:30" ht="15.75">
      <c r="A431" s="54" t="s">
        <v>915</v>
      </c>
      <c r="B431" s="52">
        <f>VLOOKUP($A431,Table1[#This Row],COLUMN(B430), FALSE)</f>
        <v>41943</v>
      </c>
      <c r="C431" s="52" t="str">
        <f>VLOOKUP($A431,Table1[#This Row],COLUMN(C430), FALSE)</f>
        <v>20141-1-04</v>
      </c>
      <c r="D431" t="str">
        <f>VLOOKUP($A431,Table1[#This Row],COLUMN(D430), FALSE)</f>
        <v>Ed Ludwig</v>
      </c>
      <c r="E431" t="str">
        <f>VLOOKUP($A431,Table1[#This Row],COLUMN(E430), FALSE)</f>
        <v>Australia</v>
      </c>
      <c r="F431" t="str">
        <f>VLOOKUP($A431,Table1[#This Row],COLUMN(F430), FALSE)</f>
        <v>Oceania</v>
      </c>
      <c r="G431" t="str">
        <f>VLOOKUP($A431,Table1[#This Row],COLUMN(G430), FALSE)</f>
        <v>Furniture</v>
      </c>
      <c r="H431" t="str">
        <f>VLOOKUP($A431,Table1[#This Row],COLUMN(H430), FALSE)</f>
        <v>Phones</v>
      </c>
      <c r="I431">
        <f>VLOOKUP($A431,Table1[#This Row],COLUMN(I430), FALSE)</f>
        <v>2634.5519999999901</v>
      </c>
      <c r="J431">
        <f>VLOOKUP($A431,Table1[#This Row],COLUMN(J430), FALSE)</f>
        <v>8</v>
      </c>
      <c r="K431">
        <f>VLOOKUP($A431,Table1[#This Row],COLUMN(K430), FALSE)</f>
        <v>0.1</v>
      </c>
      <c r="L431">
        <f>VLOOKUP($A431,Table1[#This Row],COLUMN(L430), FALSE)</f>
        <v>116.952</v>
      </c>
      <c r="M431" t="str">
        <f>VLOOKUP($A431,Table1[#This Row],COLUMN(M430), FALSE)</f>
        <v>Medium</v>
      </c>
      <c r="N431">
        <f>VLOOKUP($A431,Table1[#This Row],COLUMN(N430), FALSE)</f>
        <v>0</v>
      </c>
      <c r="O431" t="str">
        <f>VLOOKUP($A431,Table1[#This Row],COLUMN(O430), FALSE)</f>
        <v>Ed Ludwig</v>
      </c>
      <c r="P431" t="str">
        <f>VLOOKUP($A431,Table1[#This Row],COLUMN(P430), FALSE)</f>
        <v>IN</v>
      </c>
      <c r="Q431" t="str">
        <f>VLOOKUP($A431,Table1[#This Row],COLUMN(Q430), FALSE)</f>
        <v>2014</v>
      </c>
      <c r="R431" t="str">
        <f>VLOOKUP($A431,Table1[#This Row],COLUMN(R430), FALSE)</f>
        <v>MEDIUM</v>
      </c>
      <c r="S431" t="str">
        <f>VLOOKUP($A431,Table1[#This Row],COLUMN(S430), FALSE)</f>
        <v>furniture</v>
      </c>
      <c r="T431" t="str">
        <f>VLOOKUP($A431,Table1[#This Row],COLUMN(T430), FALSE)</f>
        <v>41943</v>
      </c>
      <c r="U431" t="str">
        <f>VLOOKUP($A431,Table1[#This Row],COLUMN(U430), FALSE)</f>
        <v>EL137357</v>
      </c>
      <c r="V431" t="str">
        <f>VLOOKUP($A431,Table1[#This Row],COLUMN(V430), FALSE)</f>
        <v>IN</v>
      </c>
      <c r="W431">
        <f>VLOOKUP($A431,Table1[#This Row],COLUMN(W430), FALSE)</f>
        <v>2014</v>
      </c>
      <c r="X431" t="str">
        <f>VLOOKUP($A431,Table1[#This Row],COLUMN(X430), FALSE)</f>
        <v>EL137357</v>
      </c>
      <c r="Y431">
        <f>VLOOKUP($A431,Table1[#This Row],COLUMN(Y430), FALSE)</f>
        <v>41943</v>
      </c>
      <c r="Z431" t="str">
        <f>VLOOKUP($A431,Table1[#This Row],COLUMN(Z430), FALSE)</f>
        <v>IN-2014-EL137357-41943</v>
      </c>
      <c r="AA431">
        <f>VLOOKUP($A431,Table1[#This Row],COLUMN(AA430), FALSE)</f>
        <v>2014</v>
      </c>
      <c r="AB431">
        <f>VLOOKUP($A431,Table1[#This Row],COLUMN(AB430), FALSE)</f>
        <v>10</v>
      </c>
      <c r="AC431">
        <f>VLOOKUP($A431,Table1[#This Row],COLUMN(AC430), FALSE)</f>
        <v>6</v>
      </c>
      <c r="AD431">
        <f>VLOOKUP($A431,Table1[#This Row],COLUMN(AD430), FALSE)</f>
        <v>0</v>
      </c>
    </row>
    <row r="432" spans="1:30" ht="15.75">
      <c r="A432" s="53" t="s">
        <v>918</v>
      </c>
      <c r="B432" s="52">
        <f>VLOOKUP($A432,Table1[#This Row],COLUMN(B431), FALSE)</f>
        <v>41991</v>
      </c>
      <c r="C432" s="52">
        <f>VLOOKUP($A432,Table1[#This Row],COLUMN(C431), FALSE)</f>
        <v>41998</v>
      </c>
      <c r="D432" t="str">
        <f>VLOOKUP($A432,Table1[#This Row],COLUMN(D431), FALSE)</f>
        <v>Frank Hawley</v>
      </c>
      <c r="E432" t="str">
        <f>VLOOKUP($A432,Table1[#This Row],COLUMN(E431), FALSE)</f>
        <v>Indonesia</v>
      </c>
      <c r="F432" t="str">
        <f>VLOOKUP($A432,Table1[#This Row],COLUMN(F431), FALSE)</f>
        <v>Southeastern Asia</v>
      </c>
      <c r="G432" t="str">
        <f>VLOOKUP($A432,Table1[#This Row],COLUMN(G431), FALSE)</f>
        <v>Furniture</v>
      </c>
      <c r="H432" t="str">
        <f>VLOOKUP($A432,Table1[#This Row],COLUMN(H431), FALSE)</f>
        <v>Appliances</v>
      </c>
      <c r="I432">
        <f>VLOOKUP($A432,Table1[#This Row],COLUMN(I431), FALSE)</f>
        <v>3707.3519999999999</v>
      </c>
      <c r="J432">
        <f>VLOOKUP($A432,Table1[#This Row],COLUMN(J431), FALSE)</f>
        <v>11</v>
      </c>
      <c r="K432">
        <f>VLOOKUP($A432,Table1[#This Row],COLUMN(K431), FALSE)</f>
        <v>7.0000000000000007E-2</v>
      </c>
      <c r="L432">
        <f>VLOOKUP($A432,Table1[#This Row],COLUMN(L431), FALSE)</f>
        <v>1554.432</v>
      </c>
      <c r="M432" t="str">
        <f>VLOOKUP($A432,Table1[#This Row],COLUMN(M431), FALSE)</f>
        <v>Medium</v>
      </c>
      <c r="N432">
        <f>VLOOKUP($A432,Table1[#This Row],COLUMN(N431), FALSE)</f>
        <v>0</v>
      </c>
      <c r="O432" t="str">
        <f>VLOOKUP($A432,Table1[#This Row],COLUMN(O431), FALSE)</f>
        <v>Frank Hawley</v>
      </c>
      <c r="P432" t="str">
        <f>VLOOKUP($A432,Table1[#This Row],COLUMN(P431), FALSE)</f>
        <v>IN</v>
      </c>
      <c r="Q432" t="str">
        <f>VLOOKUP($A432,Table1[#This Row],COLUMN(Q431), FALSE)</f>
        <v>2014</v>
      </c>
      <c r="R432" t="str">
        <f>VLOOKUP($A432,Table1[#This Row],COLUMN(R431), FALSE)</f>
        <v>MEDIUM</v>
      </c>
      <c r="S432" t="str">
        <f>VLOOKUP($A432,Table1[#This Row],COLUMN(S431), FALSE)</f>
        <v>furniture</v>
      </c>
      <c r="T432" t="str">
        <f>VLOOKUP($A432,Table1[#This Row],COLUMN(T431), FALSE)</f>
        <v>41991</v>
      </c>
      <c r="U432" t="str">
        <f>VLOOKUP($A432,Table1[#This Row],COLUMN(U431), FALSE)</f>
        <v>FH1427559</v>
      </c>
      <c r="V432" t="str">
        <f>VLOOKUP($A432,Table1[#This Row],COLUMN(V431), FALSE)</f>
        <v>IN</v>
      </c>
      <c r="W432">
        <f>VLOOKUP($A432,Table1[#This Row],COLUMN(W431), FALSE)</f>
        <v>2014</v>
      </c>
      <c r="X432" t="str">
        <f>VLOOKUP($A432,Table1[#This Row],COLUMN(X431), FALSE)</f>
        <v>FH1427559</v>
      </c>
      <c r="Y432">
        <f>VLOOKUP($A432,Table1[#This Row],COLUMN(Y431), FALSE)</f>
        <v>41991</v>
      </c>
      <c r="Z432" t="str">
        <f>VLOOKUP($A432,Table1[#This Row],COLUMN(Z431), FALSE)</f>
        <v>IN-2014-FH1427559-41991</v>
      </c>
      <c r="AA432">
        <f>VLOOKUP($A432,Table1[#This Row],COLUMN(AA431), FALSE)</f>
        <v>2014</v>
      </c>
      <c r="AB432">
        <f>VLOOKUP($A432,Table1[#This Row],COLUMN(AB431), FALSE)</f>
        <v>12</v>
      </c>
      <c r="AC432">
        <f>VLOOKUP($A432,Table1[#This Row],COLUMN(AC431), FALSE)</f>
        <v>5</v>
      </c>
      <c r="AD432">
        <f>VLOOKUP($A432,Table1[#This Row],COLUMN(AD431), FALSE)</f>
        <v>7</v>
      </c>
    </row>
    <row r="433" spans="1:30" ht="15.75">
      <c r="A433" s="54" t="s">
        <v>929</v>
      </c>
      <c r="B433" s="52" t="str">
        <f>VLOOKUP($A433,Table1[#This Row],COLUMN(B432), FALSE)</f>
        <v xml:space="preserve"> 2015-08-04 </v>
      </c>
      <c r="C433" s="52">
        <f>VLOOKUP($A433,Table1[#This Row],COLUMN(C432), FALSE)</f>
        <v>42225</v>
      </c>
      <c r="D433" t="str">
        <f>VLOOKUP($A433,Table1[#This Row],COLUMN(D432), FALSE)</f>
        <v>Tom Stivers</v>
      </c>
      <c r="E433" t="str">
        <f>VLOOKUP($A433,Table1[#This Row],COLUMN(E432), FALSE)</f>
        <v>Montenegro</v>
      </c>
      <c r="F433" t="str">
        <f>VLOOKUP($A433,Table1[#This Row],COLUMN(F432), FALSE)</f>
        <v>Southern Europe</v>
      </c>
      <c r="G433" t="str">
        <f>VLOOKUP($A433,Table1[#This Row],COLUMN(G432), FALSE)</f>
        <v>Office Supplies</v>
      </c>
      <c r="H433" t="str">
        <f>VLOOKUP($A433,Table1[#This Row],COLUMN(H432), FALSE)</f>
        <v>Storage</v>
      </c>
      <c r="I433">
        <f>VLOOKUP($A433,Table1[#This Row],COLUMN(I432), FALSE)</f>
        <v>3234.24</v>
      </c>
      <c r="J433">
        <f>VLOOKUP($A433,Table1[#This Row],COLUMN(J432), FALSE)</f>
        <v>6</v>
      </c>
      <c r="K433">
        <f>VLOOKUP($A433,Table1[#This Row],COLUMN(K432), FALSE)</f>
        <v>0</v>
      </c>
      <c r="L433">
        <f>VLOOKUP($A433,Table1[#This Row],COLUMN(L432), FALSE)</f>
        <v>970.19999999999902</v>
      </c>
      <c r="M433" t="str">
        <f>VLOOKUP($A433,Table1[#This Row],COLUMN(M432), FALSE)</f>
        <v>Medium</v>
      </c>
      <c r="N433">
        <f>VLOOKUP($A433,Table1[#This Row],COLUMN(N432), FALSE)</f>
        <v>0</v>
      </c>
      <c r="O433" t="str">
        <f>VLOOKUP($A433,Table1[#This Row],COLUMN(O432), FALSE)</f>
        <v>Tom Stivers</v>
      </c>
      <c r="P433" t="str">
        <f>VLOOKUP($A433,Table1[#This Row],COLUMN(P432), FALSE)</f>
        <v>MW</v>
      </c>
      <c r="Q433" t="str">
        <f>VLOOKUP($A433,Table1[#This Row],COLUMN(Q432), FALSE)</f>
        <v>2015</v>
      </c>
      <c r="R433" t="str">
        <f>VLOOKUP($A433,Table1[#This Row],COLUMN(R432), FALSE)</f>
        <v>MEDIUM</v>
      </c>
      <c r="S433" t="str">
        <f>VLOOKUP($A433,Table1[#This Row],COLUMN(S432), FALSE)</f>
        <v>office supplies</v>
      </c>
      <c r="T433" t="str">
        <f>VLOOKUP($A433,Table1[#This Row],COLUMN(T432), FALSE)</f>
        <v>42220</v>
      </c>
      <c r="U433" t="str">
        <f>VLOOKUP($A433,Table1[#This Row],COLUMN(U432), FALSE)</f>
        <v>TS1143085</v>
      </c>
      <c r="V433" t="str">
        <f>VLOOKUP($A433,Table1[#This Row],COLUMN(V432), FALSE)</f>
        <v>MW</v>
      </c>
      <c r="W433">
        <f>VLOOKUP($A433,Table1[#This Row],COLUMN(W432), FALSE)</f>
        <v>2015</v>
      </c>
      <c r="X433" t="str">
        <f>VLOOKUP($A433,Table1[#This Row],COLUMN(X432), FALSE)</f>
        <v>TS1143085</v>
      </c>
      <c r="Y433">
        <f>VLOOKUP($A433,Table1[#This Row],COLUMN(Y432), FALSE)</f>
        <v>42220</v>
      </c>
      <c r="Z433" t="str">
        <f>VLOOKUP($A433,Table1[#This Row],COLUMN(Z432), FALSE)</f>
        <v>MW-2015-TS1143085-42220</v>
      </c>
      <c r="AA433">
        <f>VLOOKUP($A433,Table1[#This Row],COLUMN(AA432), FALSE)</f>
        <v>0</v>
      </c>
      <c r="AB433">
        <f>VLOOKUP($A433,Table1[#This Row],COLUMN(AB432), FALSE)</f>
        <v>0</v>
      </c>
      <c r="AC433">
        <f>VLOOKUP($A433,Table1[#This Row],COLUMN(AC432), FALSE)</f>
        <v>0</v>
      </c>
      <c r="AD433">
        <f>VLOOKUP($A433,Table1[#This Row],COLUMN(AD432), FALSE)</f>
        <v>0</v>
      </c>
    </row>
    <row r="434" spans="1:30" ht="15.75">
      <c r="A434" s="53" t="s">
        <v>938</v>
      </c>
      <c r="B434" s="52">
        <f>VLOOKUP($A434,Table1[#This Row],COLUMN(B433), FALSE)</f>
        <v>41870</v>
      </c>
      <c r="C434" s="52">
        <f>VLOOKUP($A434,Table1[#This Row],COLUMN(C433), FALSE)</f>
        <v>41872</v>
      </c>
      <c r="D434" t="str">
        <f>VLOOKUP($A434,Table1[#This Row],COLUMN(D433), FALSE)</f>
        <v>Candace McMahon</v>
      </c>
      <c r="E434" t="str">
        <f>VLOOKUP($A434,Table1[#This Row],COLUMN(E433), FALSE)</f>
        <v>Pakistan</v>
      </c>
      <c r="F434" t="str">
        <f>VLOOKUP($A434,Table1[#This Row],COLUMN(F433), FALSE)</f>
        <v>Southern Asia</v>
      </c>
      <c r="G434" t="str">
        <f>VLOOKUP($A434,Table1[#This Row],COLUMN(G433), FALSE)</f>
        <v>Technology</v>
      </c>
      <c r="H434" t="str">
        <f>VLOOKUP($A434,Table1[#This Row],COLUMN(H433), FALSE)</f>
        <v>Copiers</v>
      </c>
      <c r="I434">
        <f>VLOOKUP($A434,Table1[#This Row],COLUMN(I433), FALSE)</f>
        <v>2863.08</v>
      </c>
      <c r="J434">
        <f>VLOOKUP($A434,Table1[#This Row],COLUMN(J433), FALSE)</f>
        <v>9</v>
      </c>
      <c r="K434">
        <f>VLOOKUP($A434,Table1[#This Row],COLUMN(K433), FALSE)</f>
        <v>0.5</v>
      </c>
      <c r="L434">
        <f>VLOOKUP($A434,Table1[#This Row],COLUMN(L433), FALSE)</f>
        <v>-458.19</v>
      </c>
      <c r="M434" t="str">
        <f>VLOOKUP($A434,Table1[#This Row],COLUMN(M433), FALSE)</f>
        <v>Medium</v>
      </c>
      <c r="N434">
        <f>VLOOKUP($A434,Table1[#This Row],COLUMN(N433), FALSE)</f>
        <v>0</v>
      </c>
      <c r="O434" t="str">
        <f>VLOOKUP($A434,Table1[#This Row],COLUMN(O433), FALSE)</f>
        <v>Candace Mcmahon</v>
      </c>
      <c r="P434" t="str">
        <f>VLOOKUP($A434,Table1[#This Row],COLUMN(P433), FALSE)</f>
        <v>IN</v>
      </c>
      <c r="Q434" t="str">
        <f>VLOOKUP($A434,Table1[#This Row],COLUMN(Q433), FALSE)</f>
        <v>2014</v>
      </c>
      <c r="R434" t="str">
        <f>VLOOKUP($A434,Table1[#This Row],COLUMN(R433), FALSE)</f>
        <v>MEDIUM</v>
      </c>
      <c r="S434" t="str">
        <f>VLOOKUP($A434,Table1[#This Row],COLUMN(S433), FALSE)</f>
        <v>technology</v>
      </c>
      <c r="T434" t="str">
        <f>VLOOKUP($A434,Table1[#This Row],COLUMN(T433), FALSE)</f>
        <v>41870</v>
      </c>
      <c r="U434" t="str">
        <f>VLOOKUP($A434,Table1[#This Row],COLUMN(U433), FALSE)</f>
        <v>CM1181597</v>
      </c>
      <c r="V434" t="str">
        <f>VLOOKUP($A434,Table1[#This Row],COLUMN(V433), FALSE)</f>
        <v>IN</v>
      </c>
      <c r="W434">
        <f>VLOOKUP($A434,Table1[#This Row],COLUMN(W433), FALSE)</f>
        <v>2014</v>
      </c>
      <c r="X434" t="str">
        <f>VLOOKUP($A434,Table1[#This Row],COLUMN(X433), FALSE)</f>
        <v>CM1181597</v>
      </c>
      <c r="Y434">
        <f>VLOOKUP($A434,Table1[#This Row],COLUMN(Y433), FALSE)</f>
        <v>41870</v>
      </c>
      <c r="Z434" t="str">
        <f>VLOOKUP($A434,Table1[#This Row],COLUMN(Z433), FALSE)</f>
        <v>IN-2014-CM1181597-41870</v>
      </c>
      <c r="AA434">
        <f>VLOOKUP($A434,Table1[#This Row],COLUMN(AA433), FALSE)</f>
        <v>2014</v>
      </c>
      <c r="AB434">
        <f>VLOOKUP($A434,Table1[#This Row],COLUMN(AB433), FALSE)</f>
        <v>8</v>
      </c>
      <c r="AC434">
        <f>VLOOKUP($A434,Table1[#This Row],COLUMN(AC433), FALSE)</f>
        <v>3</v>
      </c>
      <c r="AD434">
        <f>VLOOKUP($A434,Table1[#This Row],COLUMN(AD433), FALSE)</f>
        <v>2</v>
      </c>
    </row>
    <row r="435" spans="1:30" ht="15.75">
      <c r="A435" s="54" t="s">
        <v>941</v>
      </c>
      <c r="B435" s="52">
        <f>VLOOKUP($A435,Table1[#This Row],COLUMN(B434), FALSE)</f>
        <v>41508</v>
      </c>
      <c r="C435" s="52">
        <f>VLOOKUP($A435,Table1[#This Row],COLUMN(C434), FALSE)</f>
        <v>41515</v>
      </c>
      <c r="D435" t="str">
        <f>VLOOKUP($A435,Table1[#This Row],COLUMN(D434), FALSE)</f>
        <v>Kristina Nunn</v>
      </c>
      <c r="E435" t="str">
        <f>VLOOKUP($A435,Table1[#This Row],COLUMN(E434), FALSE)</f>
        <v>Iran</v>
      </c>
      <c r="F435" t="str">
        <f>VLOOKUP($A435,Table1[#This Row],COLUMN(F434), FALSE)</f>
        <v>Southern Asia</v>
      </c>
      <c r="G435" t="str">
        <f>VLOOKUP($A435,Table1[#This Row],COLUMN(G434), FALSE)</f>
        <v>Office Supplies</v>
      </c>
      <c r="H435" t="str">
        <f>VLOOKUP($A435,Table1[#This Row],COLUMN(H434), FALSE)</f>
        <v>Phones</v>
      </c>
      <c r="I435">
        <f>VLOOKUP($A435,Table1[#This Row],COLUMN(I434), FALSE)</f>
        <v>3369.24</v>
      </c>
      <c r="J435">
        <f>VLOOKUP($A435,Table1[#This Row],COLUMN(J434), FALSE)</f>
        <v>6</v>
      </c>
      <c r="K435">
        <f>VLOOKUP($A435,Table1[#This Row],COLUMN(K434), FALSE)</f>
        <v>0</v>
      </c>
      <c r="L435">
        <f>VLOOKUP($A435,Table1[#This Row],COLUMN(L434), FALSE)</f>
        <v>606.41999999999996</v>
      </c>
      <c r="M435" t="str">
        <f>VLOOKUP($A435,Table1[#This Row],COLUMN(M434), FALSE)</f>
        <v>Low</v>
      </c>
      <c r="N435">
        <f>VLOOKUP($A435,Table1[#This Row],COLUMN(N434), FALSE)</f>
        <v>0</v>
      </c>
      <c r="O435" t="str">
        <f>VLOOKUP($A435,Table1[#This Row],COLUMN(O434), FALSE)</f>
        <v>Kristina Nunn</v>
      </c>
      <c r="P435" t="str">
        <f>VLOOKUP($A435,Table1[#This Row],COLUMN(P434), FALSE)</f>
        <v>IR</v>
      </c>
      <c r="Q435" t="str">
        <f>VLOOKUP($A435,Table1[#This Row],COLUMN(Q434), FALSE)</f>
        <v>2013</v>
      </c>
      <c r="R435" t="str">
        <f>VLOOKUP($A435,Table1[#This Row],COLUMN(R434), FALSE)</f>
        <v>LOW</v>
      </c>
      <c r="S435" t="str">
        <f>VLOOKUP($A435,Table1[#This Row],COLUMN(S434), FALSE)</f>
        <v>office supplies</v>
      </c>
      <c r="T435" t="str">
        <f>VLOOKUP($A435,Table1[#This Row],COLUMN(T434), FALSE)</f>
        <v>41508</v>
      </c>
      <c r="U435" t="str">
        <f>VLOOKUP($A435,Table1[#This Row],COLUMN(U434), FALSE)</f>
        <v>KN670560</v>
      </c>
      <c r="V435" t="str">
        <f>VLOOKUP($A435,Table1[#This Row],COLUMN(V434), FALSE)</f>
        <v>IR</v>
      </c>
      <c r="W435">
        <f>VLOOKUP($A435,Table1[#This Row],COLUMN(W434), FALSE)</f>
        <v>2013</v>
      </c>
      <c r="X435" t="str">
        <f>VLOOKUP($A435,Table1[#This Row],COLUMN(X434), FALSE)</f>
        <v>KN670560</v>
      </c>
      <c r="Y435">
        <f>VLOOKUP($A435,Table1[#This Row],COLUMN(Y434), FALSE)</f>
        <v>41508</v>
      </c>
      <c r="Z435" t="str">
        <f>VLOOKUP($A435,Table1[#This Row],COLUMN(Z434), FALSE)</f>
        <v>IR-2013-KN670560-41508</v>
      </c>
      <c r="AA435">
        <f>VLOOKUP($A435,Table1[#This Row],COLUMN(AA434), FALSE)</f>
        <v>2013</v>
      </c>
      <c r="AB435">
        <f>VLOOKUP($A435,Table1[#This Row],COLUMN(AB434), FALSE)</f>
        <v>8</v>
      </c>
      <c r="AC435">
        <f>VLOOKUP($A435,Table1[#This Row],COLUMN(AC434), FALSE)</f>
        <v>5</v>
      </c>
      <c r="AD435">
        <f>VLOOKUP($A435,Table1[#This Row],COLUMN(AD434), FALSE)</f>
        <v>7</v>
      </c>
    </row>
    <row r="436" spans="1:30" ht="15.75">
      <c r="A436" s="53" t="s">
        <v>946</v>
      </c>
      <c r="B436" s="52">
        <f>VLOOKUP($A436,Table1[#This Row],COLUMN(B435), FALSE)</f>
        <v>41347</v>
      </c>
      <c r="C436" s="52">
        <f>VLOOKUP($A436,Table1[#This Row],COLUMN(C435), FALSE)</f>
        <v>41350</v>
      </c>
      <c r="D436" t="str">
        <f>VLOOKUP($A436,Table1[#This Row],COLUMN(D435), FALSE)</f>
        <v>Gary McGarr</v>
      </c>
      <c r="E436" t="str">
        <f>VLOOKUP($A436,Table1[#This Row],COLUMN(E435), FALSE)</f>
        <v>Netherlands</v>
      </c>
      <c r="F436" t="str">
        <f>VLOOKUP($A436,Table1[#This Row],COLUMN(F435), FALSE)</f>
        <v>Western Europe</v>
      </c>
      <c r="G436" t="str">
        <f>VLOOKUP($A436,Table1[#This Row],COLUMN(G435), FALSE)</f>
        <v>Furniture</v>
      </c>
      <c r="H436" t="str">
        <f>VLOOKUP($A436,Table1[#This Row],COLUMN(H435), FALSE)</f>
        <v>Appliances</v>
      </c>
      <c r="I436">
        <f>VLOOKUP($A436,Table1[#This Row],COLUMN(I435), FALSE)</f>
        <v>1273.125</v>
      </c>
      <c r="J436">
        <f>VLOOKUP($A436,Table1[#This Row],COLUMN(J435), FALSE)</f>
        <v>7</v>
      </c>
      <c r="K436">
        <f>VLOOKUP($A436,Table1[#This Row],COLUMN(K435), FALSE)</f>
        <v>0.5</v>
      </c>
      <c r="L436">
        <f>VLOOKUP($A436,Table1[#This Row],COLUMN(L435), FALSE)</f>
        <v>-993.19499999999903</v>
      </c>
      <c r="M436" t="str">
        <f>VLOOKUP($A436,Table1[#This Row],COLUMN(M435), FALSE)</f>
        <v>High</v>
      </c>
      <c r="N436">
        <f>VLOOKUP($A436,Table1[#This Row],COLUMN(N435), FALSE)</f>
        <v>0</v>
      </c>
      <c r="O436" t="str">
        <f>VLOOKUP($A436,Table1[#This Row],COLUMN(O435), FALSE)</f>
        <v>Gary Mcgarr</v>
      </c>
      <c r="P436" t="str">
        <f>VLOOKUP($A436,Table1[#This Row],COLUMN(P435), FALSE)</f>
        <v>IT</v>
      </c>
      <c r="Q436" t="str">
        <f>VLOOKUP($A436,Table1[#This Row],COLUMN(Q435), FALSE)</f>
        <v>2013</v>
      </c>
      <c r="R436" t="str">
        <f>VLOOKUP($A436,Table1[#This Row],COLUMN(R435), FALSE)</f>
        <v>HIGH</v>
      </c>
      <c r="S436" t="str">
        <f>VLOOKUP($A436,Table1[#This Row],COLUMN(S435), FALSE)</f>
        <v>furniture</v>
      </c>
      <c r="T436" t="str">
        <f>VLOOKUP($A436,Table1[#This Row],COLUMN(T435), FALSE)</f>
        <v>41347</v>
      </c>
      <c r="U436" t="str">
        <f>VLOOKUP($A436,Table1[#This Row],COLUMN(U435), FALSE)</f>
        <v>GM1444091</v>
      </c>
      <c r="V436" t="str">
        <f>VLOOKUP($A436,Table1[#This Row],COLUMN(V435), FALSE)</f>
        <v>IT</v>
      </c>
      <c r="W436">
        <f>VLOOKUP($A436,Table1[#This Row],COLUMN(W435), FALSE)</f>
        <v>2013</v>
      </c>
      <c r="X436" t="str">
        <f>VLOOKUP($A436,Table1[#This Row],COLUMN(X435), FALSE)</f>
        <v>GM1444091</v>
      </c>
      <c r="Y436">
        <f>VLOOKUP($A436,Table1[#This Row],COLUMN(Y435), FALSE)</f>
        <v>41347</v>
      </c>
      <c r="Z436" t="str">
        <f>VLOOKUP($A436,Table1[#This Row],COLUMN(Z435), FALSE)</f>
        <v>IT-2013-GM1444091-41347</v>
      </c>
      <c r="AA436">
        <f>VLOOKUP($A436,Table1[#This Row],COLUMN(AA435), FALSE)</f>
        <v>2013</v>
      </c>
      <c r="AB436">
        <f>VLOOKUP($A436,Table1[#This Row],COLUMN(AB435), FALSE)</f>
        <v>3</v>
      </c>
      <c r="AC436">
        <f>VLOOKUP($A436,Table1[#This Row],COLUMN(AC435), FALSE)</f>
        <v>5</v>
      </c>
      <c r="AD436">
        <f>VLOOKUP($A436,Table1[#This Row],COLUMN(AD435), FALSE)</f>
        <v>3</v>
      </c>
    </row>
    <row r="437" spans="1:30" ht="15.75">
      <c r="A437" s="54" t="s">
        <v>954</v>
      </c>
      <c r="B437" s="52">
        <f>VLOOKUP($A437,Table1[#This Row],COLUMN(B436), FALSE)</f>
        <v>41564</v>
      </c>
      <c r="C437" s="52">
        <f>VLOOKUP($A437,Table1[#This Row],COLUMN(C436), FALSE)</f>
        <v>41568</v>
      </c>
      <c r="D437" t="str">
        <f>VLOOKUP($A437,Table1[#This Row],COLUMN(D436), FALSE)</f>
        <v>Jason Fortune-</v>
      </c>
      <c r="E437" t="str">
        <f>VLOOKUP($A437,Table1[#This Row],COLUMN(E436), FALSE)</f>
        <v>Cuba</v>
      </c>
      <c r="F437" t="str">
        <f>VLOOKUP($A437,Table1[#This Row],COLUMN(F436), FALSE)</f>
        <v>Caribbean</v>
      </c>
      <c r="G437" t="str">
        <f>VLOOKUP($A437,Table1[#This Row],COLUMN(G436), FALSE)</f>
        <v>Furniture</v>
      </c>
      <c r="H437" t="str">
        <f>VLOOKUP($A437,Table1[#This Row],COLUMN(H436), FALSE)</f>
        <v>Phones</v>
      </c>
      <c r="I437">
        <f>VLOOKUP($A437,Table1[#This Row],COLUMN(I436), FALSE)</f>
        <v>2818.0799999999899</v>
      </c>
      <c r="J437">
        <f>VLOOKUP($A437,Table1[#This Row],COLUMN(J436), FALSE)</f>
        <v>9</v>
      </c>
      <c r="K437">
        <f>VLOOKUP($A437,Table1[#This Row],COLUMN(K436), FALSE)</f>
        <v>0</v>
      </c>
      <c r="L437">
        <f>VLOOKUP($A437,Table1[#This Row],COLUMN(L436), FALSE)</f>
        <v>225.35999999999899</v>
      </c>
      <c r="M437" t="str">
        <f>VLOOKUP($A437,Table1[#This Row],COLUMN(M436), FALSE)</f>
        <v>Hgih</v>
      </c>
      <c r="N437">
        <f>VLOOKUP($A437,Table1[#This Row],COLUMN(N436), FALSE)</f>
        <v>0</v>
      </c>
      <c r="O437" t="str">
        <f>VLOOKUP($A437,Table1[#This Row],COLUMN(O436), FALSE)</f>
        <v>Jason Fortune-</v>
      </c>
      <c r="P437" t="str">
        <f>VLOOKUP($A437,Table1[#This Row],COLUMN(P436), FALSE)</f>
        <v>MX</v>
      </c>
      <c r="Q437" t="str">
        <f>VLOOKUP($A437,Table1[#This Row],COLUMN(Q436), FALSE)</f>
        <v>2013</v>
      </c>
      <c r="R437" t="str">
        <f>VLOOKUP($A437,Table1[#This Row],COLUMN(R436), FALSE)</f>
        <v>HGIH</v>
      </c>
      <c r="S437" t="str">
        <f>VLOOKUP($A437,Table1[#This Row],COLUMN(S436), FALSE)</f>
        <v>furniture</v>
      </c>
      <c r="T437" t="str">
        <f>VLOOKUP($A437,Table1[#This Row],COLUMN(T436), FALSE)</f>
        <v>41564</v>
      </c>
      <c r="U437" t="str">
        <f>VLOOKUP($A437,Table1[#This Row],COLUMN(U436), FALSE)</f>
        <v>JF1529531</v>
      </c>
      <c r="V437" t="str">
        <f>VLOOKUP($A437,Table1[#This Row],COLUMN(V436), FALSE)</f>
        <v>MX</v>
      </c>
      <c r="W437">
        <f>VLOOKUP($A437,Table1[#This Row],COLUMN(W436), FALSE)</f>
        <v>2013</v>
      </c>
      <c r="X437" t="str">
        <f>VLOOKUP($A437,Table1[#This Row],COLUMN(X436), FALSE)</f>
        <v>JF1529531</v>
      </c>
      <c r="Y437">
        <f>VLOOKUP($A437,Table1[#This Row],COLUMN(Y436), FALSE)</f>
        <v>41564</v>
      </c>
      <c r="Z437" t="str">
        <f>VLOOKUP($A437,Table1[#This Row],COLUMN(Z436), FALSE)</f>
        <v>MX-2013-JF1529531-41564</v>
      </c>
      <c r="AA437">
        <f>VLOOKUP($A437,Table1[#This Row],COLUMN(AA436), FALSE)</f>
        <v>2013</v>
      </c>
      <c r="AB437">
        <f>VLOOKUP($A437,Table1[#This Row],COLUMN(AB436), FALSE)</f>
        <v>10</v>
      </c>
      <c r="AC437">
        <f>VLOOKUP($A437,Table1[#This Row],COLUMN(AC436), FALSE)</f>
        <v>5</v>
      </c>
      <c r="AD437">
        <f>VLOOKUP($A437,Table1[#This Row],COLUMN(AD436), FALSE)</f>
        <v>4</v>
      </c>
    </row>
    <row r="438" spans="1:30" ht="15.75">
      <c r="A438" s="53" t="s">
        <v>965</v>
      </c>
      <c r="B438" s="52">
        <f>VLOOKUP($A438,Table1[#This Row],COLUMN(B437), FALSE)</f>
        <v>42171</v>
      </c>
      <c r="C438" s="52">
        <f>VLOOKUP($A438,Table1[#This Row],COLUMN(C437), FALSE)</f>
        <v>42176</v>
      </c>
      <c r="D438" t="str">
        <f>VLOOKUP($A438,Table1[#This Row],COLUMN(D437), FALSE)</f>
        <v>Michael Dominguez</v>
      </c>
      <c r="E438" t="str">
        <f>VLOOKUP($A438,Table1[#This Row],COLUMN(E437), FALSE)</f>
        <v>Australia</v>
      </c>
      <c r="F438" t="str">
        <f>VLOOKUP($A438,Table1[#This Row],COLUMN(F437), FALSE)</f>
        <v>Oceania</v>
      </c>
      <c r="G438" t="str">
        <f>VLOOKUP($A438,Table1[#This Row],COLUMN(G437), FALSE)</f>
        <v>Technology</v>
      </c>
      <c r="H438" t="str">
        <f>VLOOKUP($A438,Table1[#This Row],COLUMN(H437), FALSE)</f>
        <v>Chairs</v>
      </c>
      <c r="I438">
        <f>VLOOKUP($A438,Table1[#This Row],COLUMN(I437), FALSE)</f>
        <v>2293.4879999999998</v>
      </c>
      <c r="J438">
        <f>VLOOKUP($A438,Table1[#This Row],COLUMN(J437), FALSE)</f>
        <v>8</v>
      </c>
      <c r="K438">
        <f>VLOOKUP($A438,Table1[#This Row],COLUMN(K437), FALSE)</f>
        <v>0.1</v>
      </c>
      <c r="L438">
        <f>VLOOKUP($A438,Table1[#This Row],COLUMN(L437), FALSE)</f>
        <v>509.56799999999998</v>
      </c>
      <c r="M438" t="str">
        <f>VLOOKUP($A438,Table1[#This Row],COLUMN(M437), FALSE)</f>
        <v>High</v>
      </c>
      <c r="N438">
        <f>VLOOKUP($A438,Table1[#This Row],COLUMN(N437), FALSE)</f>
        <v>0</v>
      </c>
      <c r="O438" t="str">
        <f>VLOOKUP($A438,Table1[#This Row],COLUMN(O437), FALSE)</f>
        <v>Michael Dominguez</v>
      </c>
      <c r="P438" t="str">
        <f>VLOOKUP($A438,Table1[#This Row],COLUMN(P437), FALSE)</f>
        <v>IN</v>
      </c>
      <c r="Q438" t="str">
        <f>VLOOKUP($A438,Table1[#This Row],COLUMN(Q437), FALSE)</f>
        <v>2015</v>
      </c>
      <c r="R438" t="str">
        <f>VLOOKUP($A438,Table1[#This Row],COLUMN(R437), FALSE)</f>
        <v>HIGH</v>
      </c>
      <c r="S438" t="str">
        <f>VLOOKUP($A438,Table1[#This Row],COLUMN(S437), FALSE)</f>
        <v>technology</v>
      </c>
      <c r="T438" t="str">
        <f>VLOOKUP($A438,Table1[#This Row],COLUMN(T437), FALSE)</f>
        <v>42171</v>
      </c>
      <c r="U438" t="str">
        <f>VLOOKUP($A438,Table1[#This Row],COLUMN(U437), FALSE)</f>
        <v>MD178607</v>
      </c>
      <c r="V438" t="str">
        <f>VLOOKUP($A438,Table1[#This Row],COLUMN(V437), FALSE)</f>
        <v>IN</v>
      </c>
      <c r="W438">
        <f>VLOOKUP($A438,Table1[#This Row],COLUMN(W437), FALSE)</f>
        <v>2015</v>
      </c>
      <c r="X438" t="str">
        <f>VLOOKUP($A438,Table1[#This Row],COLUMN(X437), FALSE)</f>
        <v>MD178607</v>
      </c>
      <c r="Y438">
        <f>VLOOKUP($A438,Table1[#This Row],COLUMN(Y437), FALSE)</f>
        <v>42171</v>
      </c>
      <c r="Z438" t="str">
        <f>VLOOKUP($A438,Table1[#This Row],COLUMN(Z437), FALSE)</f>
        <v>IN-2015-MD178607-42171</v>
      </c>
      <c r="AA438">
        <f>VLOOKUP($A438,Table1[#This Row],COLUMN(AA437), FALSE)</f>
        <v>2015</v>
      </c>
      <c r="AB438">
        <f>VLOOKUP($A438,Table1[#This Row],COLUMN(AB437), FALSE)</f>
        <v>6</v>
      </c>
      <c r="AC438">
        <f>VLOOKUP($A438,Table1[#This Row],COLUMN(AC437), FALSE)</f>
        <v>3</v>
      </c>
      <c r="AD438">
        <f>VLOOKUP($A438,Table1[#This Row],COLUMN(AD437), FALSE)</f>
        <v>5</v>
      </c>
    </row>
    <row r="439" spans="1:30" ht="15.75">
      <c r="A439" s="54" t="s">
        <v>969</v>
      </c>
      <c r="B439" s="52">
        <f>VLOOKUP($A439,Table1[#This Row],COLUMN(B438), FALSE)</f>
        <v>42137</v>
      </c>
      <c r="C439" s="52">
        <f>VLOOKUP($A439,Table1[#This Row],COLUMN(C438), FALSE)</f>
        <v>42141</v>
      </c>
      <c r="D439" t="str">
        <f>VLOOKUP($A439,Table1[#This Row],COLUMN(D438), FALSE)</f>
        <v>John Murray</v>
      </c>
      <c r="E439" t="str">
        <f>VLOOKUP($A439,Table1[#This Row],COLUMN(E438), FALSE)</f>
        <v>Mexico</v>
      </c>
      <c r="F439" t="str">
        <f>VLOOKUP($A439,Table1[#This Row],COLUMN(F438), FALSE)</f>
        <v>Central America</v>
      </c>
      <c r="G439" t="str">
        <f>VLOOKUP($A439,Table1[#This Row],COLUMN(G438), FALSE)</f>
        <v>Furniture</v>
      </c>
      <c r="H439" t="str">
        <f>VLOOKUP($A439,Table1[#This Row],COLUMN(H438), FALSE)</f>
        <v>Copiers</v>
      </c>
      <c r="I439">
        <f>VLOOKUP($A439,Table1[#This Row],COLUMN(I438), FALSE)</f>
        <v>1715.05599999999</v>
      </c>
      <c r="J439">
        <f>VLOOKUP($A439,Table1[#This Row],COLUMN(J438), FALSE)</f>
        <v>7</v>
      </c>
      <c r="K439">
        <f>VLOOKUP($A439,Table1[#This Row],COLUMN(K438), FALSE)</f>
        <v>0.2</v>
      </c>
      <c r="L439">
        <f>VLOOKUP($A439,Table1[#This Row],COLUMN(L438), FALSE)</f>
        <v>300.07600000000002</v>
      </c>
      <c r="M439" t="str">
        <f>VLOOKUP($A439,Table1[#This Row],COLUMN(M438), FALSE)</f>
        <v>High</v>
      </c>
      <c r="N439">
        <f>VLOOKUP($A439,Table1[#This Row],COLUMN(N438), FALSE)</f>
        <v>0</v>
      </c>
      <c r="O439" t="str">
        <f>VLOOKUP($A439,Table1[#This Row],COLUMN(O438), FALSE)</f>
        <v>John Murray</v>
      </c>
      <c r="P439" t="str">
        <f>VLOOKUP($A439,Table1[#This Row],COLUMN(P438), FALSE)</f>
        <v>MX</v>
      </c>
      <c r="Q439" t="str">
        <f>VLOOKUP($A439,Table1[#This Row],COLUMN(Q438), FALSE)</f>
        <v>2015</v>
      </c>
      <c r="R439" t="str">
        <f>VLOOKUP($A439,Table1[#This Row],COLUMN(R438), FALSE)</f>
        <v>HIGH</v>
      </c>
      <c r="S439" t="str">
        <f>VLOOKUP($A439,Table1[#This Row],COLUMN(S438), FALSE)</f>
        <v>furniture</v>
      </c>
      <c r="T439" t="str">
        <f>VLOOKUP($A439,Table1[#This Row],COLUMN(T438), FALSE)</f>
        <v>42137</v>
      </c>
      <c r="U439" t="str">
        <f>VLOOKUP($A439,Table1[#This Row],COLUMN(U438), FALSE)</f>
        <v>JM1586582</v>
      </c>
      <c r="V439" t="str">
        <f>VLOOKUP($A439,Table1[#This Row],COLUMN(V438), FALSE)</f>
        <v>MX</v>
      </c>
      <c r="W439">
        <f>VLOOKUP($A439,Table1[#This Row],COLUMN(W438), FALSE)</f>
        <v>2015</v>
      </c>
      <c r="X439" t="str">
        <f>VLOOKUP($A439,Table1[#This Row],COLUMN(X438), FALSE)</f>
        <v>JM1586582</v>
      </c>
      <c r="Y439">
        <f>VLOOKUP($A439,Table1[#This Row],COLUMN(Y438), FALSE)</f>
        <v>42137</v>
      </c>
      <c r="Z439" t="str">
        <f>VLOOKUP($A439,Table1[#This Row],COLUMN(Z438), FALSE)</f>
        <v>MX-2015-JM1586582-42137</v>
      </c>
      <c r="AA439">
        <f>VLOOKUP($A439,Table1[#This Row],COLUMN(AA438), FALSE)</f>
        <v>2015</v>
      </c>
      <c r="AB439">
        <f>VLOOKUP($A439,Table1[#This Row],COLUMN(AB438), FALSE)</f>
        <v>5</v>
      </c>
      <c r="AC439">
        <f>VLOOKUP($A439,Table1[#This Row],COLUMN(AC438), FALSE)</f>
        <v>4</v>
      </c>
      <c r="AD439">
        <f>VLOOKUP($A439,Table1[#This Row],COLUMN(AD438), FALSE)</f>
        <v>4</v>
      </c>
    </row>
    <row r="440" spans="1:30" ht="15.75">
      <c r="A440" s="53" t="s">
        <v>980</v>
      </c>
      <c r="B440" s="52">
        <f>VLOOKUP($A440,Table1[#This Row],COLUMN(B439), FALSE)</f>
        <v>42288</v>
      </c>
      <c r="C440" s="52">
        <f>VLOOKUP($A440,Table1[#This Row],COLUMN(C439), FALSE)</f>
        <v>42291</v>
      </c>
      <c r="D440" t="str">
        <f>VLOOKUP($A440,Table1[#This Row],COLUMN(D439), FALSE)</f>
        <v>Juliana Krohn</v>
      </c>
      <c r="E440" t="str">
        <f>VLOOKUP($A440,Table1[#This Row],COLUMN(E439), FALSE)</f>
        <v>India</v>
      </c>
      <c r="F440" t="str">
        <f>VLOOKUP($A440,Table1[#This Row],COLUMN(F439), FALSE)</f>
        <v>Southern Aisa</v>
      </c>
      <c r="G440" t="str">
        <f>VLOOKUP($A440,Table1[#This Row],COLUMN(G439), FALSE)</f>
        <v>Office Supplies#</v>
      </c>
      <c r="H440" t="str">
        <f>VLOOKUP($A440,Table1[#This Row],COLUMN(H439), FALSE)</f>
        <v>Phones</v>
      </c>
      <c r="I440">
        <f>VLOOKUP($A440,Table1[#This Row],COLUMN(I439), FALSE)</f>
        <v>2488.56</v>
      </c>
      <c r="J440">
        <f>VLOOKUP($A440,Table1[#This Row],COLUMN(J439), FALSE)</f>
        <v>8</v>
      </c>
      <c r="K440">
        <f>VLOOKUP($A440,Table1[#This Row],COLUMN(K439), FALSE)</f>
        <v>0</v>
      </c>
      <c r="L440">
        <f>VLOOKUP($A440,Table1[#This Row],COLUMN(L439), FALSE)</f>
        <v>348.24</v>
      </c>
      <c r="M440" t="str">
        <f>VLOOKUP($A440,Table1[#This Row],COLUMN(M439), FALSE)</f>
        <v>High</v>
      </c>
      <c r="N440">
        <f>VLOOKUP($A440,Table1[#This Row],COLUMN(N439), FALSE)</f>
        <v>0</v>
      </c>
      <c r="O440" t="str">
        <f>VLOOKUP($A440,Table1[#This Row],COLUMN(O439), FALSE)</f>
        <v>Juliana Krohn</v>
      </c>
      <c r="P440" t="str">
        <f>VLOOKUP($A440,Table1[#This Row],COLUMN(P439), FALSE)</f>
        <v>IN</v>
      </c>
      <c r="Q440" t="str">
        <f>VLOOKUP($A440,Table1[#This Row],COLUMN(Q439), FALSE)</f>
        <v>2015</v>
      </c>
      <c r="R440" t="str">
        <f>VLOOKUP($A440,Table1[#This Row],COLUMN(R439), FALSE)</f>
        <v>HIGH</v>
      </c>
      <c r="S440" t="str">
        <f>VLOOKUP($A440,Table1[#This Row],COLUMN(S439), FALSE)</f>
        <v>office supplies#</v>
      </c>
      <c r="T440" t="str">
        <f>VLOOKUP($A440,Table1[#This Row],COLUMN(T439), FALSE)</f>
        <v>42288</v>
      </c>
      <c r="U440" t="str">
        <f>VLOOKUP($A440,Table1[#This Row],COLUMN(U439), FALSE)</f>
        <v>JK1609058</v>
      </c>
      <c r="V440" t="str">
        <f>VLOOKUP($A440,Table1[#This Row],COLUMN(V439), FALSE)</f>
        <v>IN</v>
      </c>
      <c r="W440">
        <f>VLOOKUP($A440,Table1[#This Row],COLUMN(W439), FALSE)</f>
        <v>2015</v>
      </c>
      <c r="X440" t="str">
        <f>VLOOKUP($A440,Table1[#This Row],COLUMN(X439), FALSE)</f>
        <v>JK1609058</v>
      </c>
      <c r="Y440">
        <f>VLOOKUP($A440,Table1[#This Row],COLUMN(Y439), FALSE)</f>
        <v>42288</v>
      </c>
      <c r="Z440" t="str">
        <f>VLOOKUP($A440,Table1[#This Row],COLUMN(Z439), FALSE)</f>
        <v>IN-2015-JK1609058-42288</v>
      </c>
      <c r="AA440">
        <f>VLOOKUP($A440,Table1[#This Row],COLUMN(AA439), FALSE)</f>
        <v>2015</v>
      </c>
      <c r="AB440">
        <f>VLOOKUP($A440,Table1[#This Row],COLUMN(AB439), FALSE)</f>
        <v>10</v>
      </c>
      <c r="AC440">
        <f>VLOOKUP($A440,Table1[#This Row],COLUMN(AC439), FALSE)</f>
        <v>1</v>
      </c>
      <c r="AD440">
        <f>VLOOKUP($A440,Table1[#This Row],COLUMN(AD439), FALSE)</f>
        <v>3</v>
      </c>
    </row>
    <row r="441" spans="1:30" ht="15.75">
      <c r="A441" s="54" t="s">
        <v>983</v>
      </c>
      <c r="B441" s="52">
        <f>VLOOKUP($A441,Table1[#This Row],COLUMN(B440), FALSE)</f>
        <v>41234</v>
      </c>
      <c r="C441" s="52">
        <f>VLOOKUP($A441,Table1[#This Row],COLUMN(C440), FALSE)</f>
        <v>41237</v>
      </c>
      <c r="D441" t="str">
        <f>VLOOKUP($A441,Table1[#This Row],COLUMN(D440), FALSE)</f>
        <v>Sean Miller</v>
      </c>
      <c r="E441" t="str">
        <f>VLOOKUP($A441,Table1[#This Row],COLUMN(E440), FALSE)</f>
        <v>Dominican Republic</v>
      </c>
      <c r="F441" t="str">
        <f>VLOOKUP($A441,Table1[#This Row],COLUMN(F440), FALSE)</f>
        <v>Caribbean</v>
      </c>
      <c r="G441" t="str">
        <f>VLOOKUP($A441,Table1[#This Row],COLUMN(G440), FALSE)</f>
        <v>Office Supplies</v>
      </c>
      <c r="H441" t="str">
        <f>VLOOKUP($A441,Table1[#This Row],COLUMN(H440), FALSE)</f>
        <v>Bookcases</v>
      </c>
      <c r="I441">
        <f>VLOOKUP($A441,Table1[#This Row],COLUMN(I440), FALSE)</f>
        <v>1124.2559999999901</v>
      </c>
      <c r="J441">
        <f>VLOOKUP($A441,Table1[#This Row],COLUMN(J440), FALSE)</f>
        <v>7</v>
      </c>
      <c r="K441">
        <f>VLOOKUP($A441,Table1[#This Row],COLUMN(K440), FALSE)</f>
        <v>0.2</v>
      </c>
      <c r="L441">
        <f>VLOOKUP($A441,Table1[#This Row],COLUMN(L440), FALSE)</f>
        <v>252.89599999999899</v>
      </c>
      <c r="M441" t="str">
        <f>VLOOKUP($A441,Table1[#This Row],COLUMN(M440), FALSE)</f>
        <v>Critical</v>
      </c>
      <c r="N441">
        <f>VLOOKUP($A441,Table1[#This Row],COLUMN(N440), FALSE)</f>
        <v>0</v>
      </c>
      <c r="O441" t="str">
        <f>VLOOKUP($A441,Table1[#This Row],COLUMN(O440), FALSE)</f>
        <v>Sean Miller</v>
      </c>
      <c r="P441" t="str">
        <f>VLOOKUP($A441,Table1[#This Row],COLUMN(P440), FALSE)</f>
        <v>MX</v>
      </c>
      <c r="Q441" t="str">
        <f>VLOOKUP($A441,Table1[#This Row],COLUMN(Q440), FALSE)</f>
        <v>2012</v>
      </c>
      <c r="R441" t="str">
        <f>VLOOKUP($A441,Table1[#This Row],COLUMN(R440), FALSE)</f>
        <v>CRITICAL</v>
      </c>
      <c r="S441" t="str">
        <f>VLOOKUP($A441,Table1[#This Row],COLUMN(S440), FALSE)</f>
        <v>office supplies</v>
      </c>
      <c r="T441" t="str">
        <f>VLOOKUP($A441,Table1[#This Row],COLUMN(T440), FALSE)</f>
        <v>41234</v>
      </c>
      <c r="U441" t="str">
        <f>VLOOKUP($A441,Table1[#This Row],COLUMN(U440), FALSE)</f>
        <v>SM2032036</v>
      </c>
      <c r="V441" t="str">
        <f>VLOOKUP($A441,Table1[#This Row],COLUMN(V440), FALSE)</f>
        <v>MX</v>
      </c>
      <c r="W441">
        <f>VLOOKUP($A441,Table1[#This Row],COLUMN(W440), FALSE)</f>
        <v>2012</v>
      </c>
      <c r="X441" t="str">
        <f>VLOOKUP($A441,Table1[#This Row],COLUMN(X440), FALSE)</f>
        <v>SM2032036</v>
      </c>
      <c r="Y441">
        <f>VLOOKUP($A441,Table1[#This Row],COLUMN(Y440), FALSE)</f>
        <v>41234</v>
      </c>
      <c r="Z441" t="str">
        <f>VLOOKUP($A441,Table1[#This Row],COLUMN(Z440), FALSE)</f>
        <v>MX-2012-SM2032036-41234</v>
      </c>
      <c r="AA441">
        <f>VLOOKUP($A441,Table1[#This Row],COLUMN(AA440), FALSE)</f>
        <v>2012</v>
      </c>
      <c r="AB441">
        <f>VLOOKUP($A441,Table1[#This Row],COLUMN(AB440), FALSE)</f>
        <v>11</v>
      </c>
      <c r="AC441">
        <f>VLOOKUP($A441,Table1[#This Row],COLUMN(AC440), FALSE)</f>
        <v>4</v>
      </c>
      <c r="AD441">
        <f>VLOOKUP($A441,Table1[#This Row],COLUMN(AD440), FALSE)</f>
        <v>3</v>
      </c>
    </row>
    <row r="442" spans="1:30" ht="15.75">
      <c r="A442" s="53" t="s">
        <v>987</v>
      </c>
      <c r="B442" s="52">
        <f>VLOOKUP($A442,Table1[#This Row],COLUMN(B441), FALSE)</f>
        <v>41926</v>
      </c>
      <c r="C442" s="52">
        <f>VLOOKUP($A442,Table1[#This Row],COLUMN(C441), FALSE)</f>
        <v>41927</v>
      </c>
      <c r="D442" t="str">
        <f>VLOOKUP($A442,Table1[#This Row],COLUMN(D441), FALSE)</f>
        <v>Duane Huffman</v>
      </c>
      <c r="E442" t="str">
        <f>VLOOKUP($A442,Table1[#This Row],COLUMN(E441), FALSE)</f>
        <v>Madagascar</v>
      </c>
      <c r="F442" t="str">
        <f>VLOOKUP($A442,Table1[#This Row],COLUMN(F441), FALSE)</f>
        <v>Eastern Africa</v>
      </c>
      <c r="G442" t="str">
        <f>VLOOKUP($A442,Table1[#This Row],COLUMN(G441), FALSE)</f>
        <v>Technology</v>
      </c>
      <c r="H442" t="str">
        <f>VLOOKUP($A442,Table1[#This Row],COLUMN(H441), FALSE)</f>
        <v>Tables</v>
      </c>
      <c r="I442">
        <f>VLOOKUP($A442,Table1[#This Row],COLUMN(I441), FALSE)</f>
        <v>1519.92</v>
      </c>
      <c r="J442">
        <f>VLOOKUP($A442,Table1[#This Row],COLUMN(J441), FALSE)</f>
        <v>6</v>
      </c>
      <c r="K442">
        <f>VLOOKUP($A442,Table1[#This Row],COLUMN(K441), FALSE)</f>
        <v>0</v>
      </c>
      <c r="L442">
        <f>VLOOKUP($A442,Table1[#This Row],COLUMN(L441), FALSE)</f>
        <v>5856.54436626399</v>
      </c>
      <c r="M442" t="str">
        <f>VLOOKUP($A442,Table1[#This Row],COLUMN(M441), FALSE)</f>
        <v>rCitical</v>
      </c>
      <c r="N442">
        <f>VLOOKUP($A442,Table1[#This Row],COLUMN(N441), FALSE)</f>
        <v>0</v>
      </c>
      <c r="O442" t="str">
        <f>VLOOKUP($A442,Table1[#This Row],COLUMN(O441), FALSE)</f>
        <v>Duane Huffman</v>
      </c>
      <c r="P442" t="str">
        <f>VLOOKUP($A442,Table1[#This Row],COLUMN(P441), FALSE)</f>
        <v>MA</v>
      </c>
      <c r="Q442" t="str">
        <f>VLOOKUP($A442,Table1[#This Row],COLUMN(Q441), FALSE)</f>
        <v>2014</v>
      </c>
      <c r="R442" t="str">
        <f>VLOOKUP($A442,Table1[#This Row],COLUMN(R441), FALSE)</f>
        <v>RCITICAL</v>
      </c>
      <c r="S442" t="str">
        <f>VLOOKUP($A442,Table1[#This Row],COLUMN(S441), FALSE)</f>
        <v>technology</v>
      </c>
      <c r="T442" t="str">
        <f>VLOOKUP($A442,Table1[#This Row],COLUMN(T441), FALSE)</f>
        <v>41926</v>
      </c>
      <c r="U442" t="str">
        <f>VLOOKUP($A442,Table1[#This Row],COLUMN(U441), FALSE)</f>
        <v>DH367577</v>
      </c>
      <c r="V442" t="str">
        <f>VLOOKUP($A442,Table1[#This Row],COLUMN(V441), FALSE)</f>
        <v>MA</v>
      </c>
      <c r="W442">
        <f>VLOOKUP($A442,Table1[#This Row],COLUMN(W441), FALSE)</f>
        <v>2014</v>
      </c>
      <c r="X442" t="str">
        <f>VLOOKUP($A442,Table1[#This Row],COLUMN(X441), FALSE)</f>
        <v>DH367577</v>
      </c>
      <c r="Y442">
        <f>VLOOKUP($A442,Table1[#This Row],COLUMN(Y441), FALSE)</f>
        <v>41926</v>
      </c>
      <c r="Z442" t="str">
        <f>VLOOKUP($A442,Table1[#This Row],COLUMN(Z441), FALSE)</f>
        <v>MA-2014-DH367577-41926</v>
      </c>
      <c r="AA442">
        <f>VLOOKUP($A442,Table1[#This Row],COLUMN(AA441), FALSE)</f>
        <v>2014</v>
      </c>
      <c r="AB442">
        <f>VLOOKUP($A442,Table1[#This Row],COLUMN(AB441), FALSE)</f>
        <v>10</v>
      </c>
      <c r="AC442">
        <f>VLOOKUP($A442,Table1[#This Row],COLUMN(AC441), FALSE)</f>
        <v>3</v>
      </c>
      <c r="AD442">
        <f>VLOOKUP($A442,Table1[#This Row],COLUMN(AD441), FALSE)</f>
        <v>1</v>
      </c>
    </row>
    <row r="443" spans="1:30" ht="15.75">
      <c r="A443" s="54" t="s">
        <v>996</v>
      </c>
      <c r="B443" s="52">
        <f>VLOOKUP($A443,Table1[#This Row],COLUMN(B442), FALSE)</f>
        <v>41628</v>
      </c>
      <c r="C443" s="52">
        <f>VLOOKUP($A443,Table1[#This Row],COLUMN(C442), FALSE)</f>
        <v>41631</v>
      </c>
      <c r="D443" t="str">
        <f>VLOOKUP($A443,Table1[#This Row],COLUMN(D442), FALSE)</f>
        <v>John Murray</v>
      </c>
      <c r="E443" t="str">
        <f>VLOOKUP($A443,Table1[#This Row],COLUMN(E442), FALSE)</f>
        <v>Pakistan</v>
      </c>
      <c r="F443" t="str">
        <f>VLOOKUP($A443,Table1[#This Row],COLUMN(F442), FALSE)</f>
        <v>Southern Asia</v>
      </c>
      <c r="G443" t="str">
        <f>VLOOKUP($A443,Table1[#This Row],COLUMN(G442), FALSE)</f>
        <v>Office Supplies</v>
      </c>
      <c r="H443" t="str">
        <f>VLOOKUP($A443,Table1[#This Row],COLUMN(H442), FALSE)</f>
        <v>Phones</v>
      </c>
      <c r="I443">
        <f>VLOOKUP($A443,Table1[#This Row],COLUMN(I442), FALSE)</f>
        <v>1704.87</v>
      </c>
      <c r="J443">
        <f>VLOOKUP($A443,Table1[#This Row],COLUMN(J442), FALSE)</f>
        <v>6</v>
      </c>
      <c r="K443">
        <f>VLOOKUP($A443,Table1[#This Row],COLUMN(K442), FALSE)</f>
        <v>0.5</v>
      </c>
      <c r="L443">
        <f>VLOOKUP($A443,Table1[#This Row],COLUMN(L442), FALSE)</f>
        <v>-1023.02999999999</v>
      </c>
      <c r="M443" t="str">
        <f>VLOOKUP($A443,Table1[#This Row],COLUMN(M442), FALSE)</f>
        <v xml:space="preserve"> Critical </v>
      </c>
      <c r="N443">
        <f>VLOOKUP($A443,Table1[#This Row],COLUMN(N442), FALSE)</f>
        <v>0</v>
      </c>
      <c r="O443" t="str">
        <f>VLOOKUP($A443,Table1[#This Row],COLUMN(O442), FALSE)</f>
        <v>John Murray</v>
      </c>
      <c r="P443" t="str">
        <f>VLOOKUP($A443,Table1[#This Row],COLUMN(P442), FALSE)</f>
        <v>ID</v>
      </c>
      <c r="Q443" t="str">
        <f>VLOOKUP($A443,Table1[#This Row],COLUMN(Q442), FALSE)</f>
        <v>2013</v>
      </c>
      <c r="R443" t="str">
        <f>VLOOKUP($A443,Table1[#This Row],COLUMN(R442), FALSE)</f>
        <v xml:space="preserve"> CRITICAL </v>
      </c>
      <c r="S443" t="str">
        <f>VLOOKUP($A443,Table1[#This Row],COLUMN(S442), FALSE)</f>
        <v>office supplies</v>
      </c>
      <c r="T443" t="str">
        <f>VLOOKUP($A443,Table1[#This Row],COLUMN(T442), FALSE)</f>
        <v>41628</v>
      </c>
      <c r="U443" t="str">
        <f>VLOOKUP($A443,Table1[#This Row],COLUMN(U442), FALSE)</f>
        <v>JM1586597</v>
      </c>
      <c r="V443" t="str">
        <f>VLOOKUP($A443,Table1[#This Row],COLUMN(V442), FALSE)</f>
        <v>ID</v>
      </c>
      <c r="W443">
        <f>VLOOKUP($A443,Table1[#This Row],COLUMN(W442), FALSE)</f>
        <v>2013</v>
      </c>
      <c r="X443" t="str">
        <f>VLOOKUP($A443,Table1[#This Row],COLUMN(X442), FALSE)</f>
        <v>JM1586597</v>
      </c>
      <c r="Y443">
        <f>VLOOKUP($A443,Table1[#This Row],COLUMN(Y442), FALSE)</f>
        <v>41628</v>
      </c>
      <c r="Z443" t="str">
        <f>VLOOKUP($A443,Table1[#This Row],COLUMN(Z442), FALSE)</f>
        <v>ID-2013-JM1586597-41628</v>
      </c>
      <c r="AA443">
        <f>VLOOKUP($A443,Table1[#This Row],COLUMN(AA442), FALSE)</f>
        <v>2013</v>
      </c>
      <c r="AB443">
        <f>VLOOKUP($A443,Table1[#This Row],COLUMN(AB442), FALSE)</f>
        <v>12</v>
      </c>
      <c r="AC443">
        <f>VLOOKUP($A443,Table1[#This Row],COLUMN(AC442), FALSE)</f>
        <v>6</v>
      </c>
      <c r="AD443">
        <f>VLOOKUP($A443,Table1[#This Row],COLUMN(AD442), FALSE)</f>
        <v>3</v>
      </c>
    </row>
    <row r="444" spans="1:30" ht="15.75">
      <c r="A444" s="53" t="s">
        <v>997</v>
      </c>
      <c r="B444" s="52">
        <f>VLOOKUP($A444,Table1[#This Row],COLUMN(B443), FALSE)</f>
        <v>41489</v>
      </c>
      <c r="C444" s="52">
        <f>VLOOKUP($A444,Table1[#This Row],COLUMN(C443), FALSE)</f>
        <v>41493</v>
      </c>
      <c r="D444" t="str">
        <f>VLOOKUP($A444,Table1[#This Row],COLUMN(D443), FALSE)</f>
        <v>Chad McGuire</v>
      </c>
      <c r="E444" t="str">
        <f>VLOOKUP($A444,Table1[#This Row],COLUMN(E443), FALSE)</f>
        <v>Italy</v>
      </c>
      <c r="F444" t="str">
        <f>VLOOKUP($A444,Table1[#This Row],COLUMN(F443), FALSE)</f>
        <v>Southern Europe</v>
      </c>
      <c r="G444" t="str">
        <f>VLOOKUP($A444,Table1[#This Row],COLUMN(G443), FALSE)</f>
        <v>Technology</v>
      </c>
      <c r="H444" t="str">
        <f>VLOOKUP($A444,Table1[#This Row],COLUMN(H443), FALSE)</f>
        <v>Bookcases</v>
      </c>
      <c r="I444">
        <f>VLOOKUP($A444,Table1[#This Row],COLUMN(I443), FALSE)</f>
        <v>1715.9099999999901</v>
      </c>
      <c r="J444">
        <f>VLOOKUP($A444,Table1[#This Row],COLUMN(J443), FALSE)</f>
        <v>7</v>
      </c>
      <c r="K444">
        <f>VLOOKUP($A444,Table1[#This Row],COLUMN(K443), FALSE)</f>
        <v>0</v>
      </c>
      <c r="L444">
        <f>VLOOKUP($A444,Table1[#This Row],COLUMN(L443), FALSE)</f>
        <v>583.38</v>
      </c>
      <c r="M444" t="str">
        <f>VLOOKUP($A444,Table1[#This Row],COLUMN(M443), FALSE)</f>
        <v>High#</v>
      </c>
      <c r="N444">
        <f>VLOOKUP($A444,Table1[#This Row],COLUMN(N443), FALSE)</f>
        <v>0</v>
      </c>
      <c r="O444" t="str">
        <f>VLOOKUP($A444,Table1[#This Row],COLUMN(O443), FALSE)</f>
        <v>Chad Mcguire</v>
      </c>
      <c r="P444" t="str">
        <f>VLOOKUP($A444,Table1[#This Row],COLUMN(P443), FALSE)</f>
        <v>ES</v>
      </c>
      <c r="Q444" t="str">
        <f>VLOOKUP($A444,Table1[#This Row],COLUMN(Q443), FALSE)</f>
        <v>2013</v>
      </c>
      <c r="R444" t="str">
        <f>VLOOKUP($A444,Table1[#This Row],COLUMN(R443), FALSE)</f>
        <v>HIGH#</v>
      </c>
      <c r="S444" t="str">
        <f>VLOOKUP($A444,Table1[#This Row],COLUMN(S443), FALSE)</f>
        <v>technology</v>
      </c>
      <c r="T444" t="str">
        <f>VLOOKUP($A444,Table1[#This Row],COLUMN(T443), FALSE)</f>
        <v>41489</v>
      </c>
      <c r="U444" t="str">
        <f>VLOOKUP($A444,Table1[#This Row],COLUMN(U443), FALSE)</f>
        <v>CM1211564</v>
      </c>
      <c r="V444" t="str">
        <f>VLOOKUP($A444,Table1[#This Row],COLUMN(V443), FALSE)</f>
        <v>ES</v>
      </c>
      <c r="W444">
        <f>VLOOKUP($A444,Table1[#This Row],COLUMN(W443), FALSE)</f>
        <v>2013</v>
      </c>
      <c r="X444" t="str">
        <f>VLOOKUP($A444,Table1[#This Row],COLUMN(X443), FALSE)</f>
        <v>CM1211564</v>
      </c>
      <c r="Y444">
        <f>VLOOKUP($A444,Table1[#This Row],COLUMN(Y443), FALSE)</f>
        <v>41489</v>
      </c>
      <c r="Z444" t="str">
        <f>VLOOKUP($A444,Table1[#This Row],COLUMN(Z443), FALSE)</f>
        <v>ES-2013-CM1211564-41489</v>
      </c>
      <c r="AA444">
        <f>VLOOKUP($A444,Table1[#This Row],COLUMN(AA443), FALSE)</f>
        <v>2013</v>
      </c>
      <c r="AB444">
        <f>VLOOKUP($A444,Table1[#This Row],COLUMN(AB443), FALSE)</f>
        <v>8</v>
      </c>
      <c r="AC444">
        <f>VLOOKUP($A444,Table1[#This Row],COLUMN(AC443), FALSE)</f>
        <v>7</v>
      </c>
      <c r="AD444">
        <f>VLOOKUP($A444,Table1[#This Row],COLUMN(AD443), FALSE)</f>
        <v>4</v>
      </c>
    </row>
    <row r="445" spans="1:30" ht="15.75">
      <c r="A445" s="54" t="s">
        <v>269</v>
      </c>
      <c r="B445" s="52">
        <f>VLOOKUP($A445,Table1[#This Row],COLUMN(B444), FALSE)</f>
        <v>41558</v>
      </c>
      <c r="C445" s="52">
        <f>VLOOKUP($A445,Table1[#This Row],COLUMN(C444), FALSE)</f>
        <v>41561</v>
      </c>
      <c r="D445" t="str">
        <f>VLOOKUP($A445,Table1[#This Row],COLUMN(D444), FALSE)</f>
        <v>Fred Hopkins</v>
      </c>
      <c r="E445" t="str">
        <f>VLOOKUP($A445,Table1[#This Row],COLUMN(E444), FALSE)</f>
        <v>Mexico</v>
      </c>
      <c r="F445" t="str">
        <f>VLOOKUP($A445,Table1[#This Row],COLUMN(F444), FALSE)</f>
        <v>Central America</v>
      </c>
      <c r="G445" t="str">
        <f>VLOOKUP($A445,Table1[#This Row],COLUMN(G444), FALSE)</f>
        <v>Technology</v>
      </c>
      <c r="H445" t="str">
        <f>VLOOKUP($A445,Table1[#This Row],COLUMN(H444), FALSE)</f>
        <v>Bookcases</v>
      </c>
      <c r="I445">
        <f>VLOOKUP($A445,Table1[#This Row],COLUMN(I444), FALSE)</f>
        <v>2968.97999999999</v>
      </c>
      <c r="J445">
        <f>VLOOKUP($A445,Table1[#This Row],COLUMN(J444), FALSE)</f>
        <v>7</v>
      </c>
      <c r="K445">
        <f>VLOOKUP($A445,Table1[#This Row],COLUMN(K444), FALSE)</f>
        <v>0</v>
      </c>
      <c r="L445">
        <f>VLOOKUP($A445,Table1[#This Row],COLUMN(L444), FALSE)</f>
        <v>89.039999999999907</v>
      </c>
      <c r="M445" t="str">
        <f>VLOOKUP($A445,Table1[#This Row],COLUMN(M444), FALSE)</f>
        <v>Medium</v>
      </c>
      <c r="N445">
        <f>VLOOKUP($A445,Table1[#This Row],COLUMN(N444), FALSE)</f>
        <v>0</v>
      </c>
      <c r="O445" t="str">
        <f>VLOOKUP($A445,Table1[#This Row],COLUMN(O444), FALSE)</f>
        <v>Fred Hopkins</v>
      </c>
      <c r="P445" t="str">
        <f>VLOOKUP($A445,Table1[#This Row],COLUMN(P444), FALSE)</f>
        <v>MX</v>
      </c>
      <c r="Q445" t="str">
        <f>VLOOKUP($A445,Table1[#This Row],COLUMN(Q444), FALSE)</f>
        <v>2013</v>
      </c>
      <c r="R445" t="str">
        <f>VLOOKUP($A445,Table1[#This Row],COLUMN(R444), FALSE)</f>
        <v>MEDIUM</v>
      </c>
      <c r="S445" t="str">
        <f>VLOOKUP($A445,Table1[#This Row],COLUMN(S444), FALSE)</f>
        <v>technology</v>
      </c>
      <c r="T445" t="str">
        <f>VLOOKUP($A445,Table1[#This Row],COLUMN(T444), FALSE)</f>
        <v>41558</v>
      </c>
      <c r="U445" t="str">
        <f>VLOOKUP($A445,Table1[#This Row],COLUMN(U444), FALSE)</f>
        <v>FH1436582</v>
      </c>
      <c r="V445" t="str">
        <f>VLOOKUP($A445,Table1[#This Row],COLUMN(V444), FALSE)</f>
        <v>MX</v>
      </c>
      <c r="W445">
        <f>VLOOKUP($A445,Table1[#This Row],COLUMN(W444), FALSE)</f>
        <v>2013</v>
      </c>
      <c r="X445" t="str">
        <f>VLOOKUP($A445,Table1[#This Row],COLUMN(X444), FALSE)</f>
        <v>FH1436582</v>
      </c>
      <c r="Y445">
        <f>VLOOKUP($A445,Table1[#This Row],COLUMN(Y444), FALSE)</f>
        <v>41558</v>
      </c>
      <c r="Z445" t="str">
        <f>VLOOKUP($A445,Table1[#This Row],COLUMN(Z444), FALSE)</f>
        <v>MX-2013-FH1436582-41558</v>
      </c>
      <c r="AA445">
        <f>VLOOKUP($A445,Table1[#This Row],COLUMN(AA444), FALSE)</f>
        <v>2013</v>
      </c>
      <c r="AB445">
        <f>VLOOKUP($A445,Table1[#This Row],COLUMN(AB444), FALSE)</f>
        <v>10</v>
      </c>
      <c r="AC445">
        <f>VLOOKUP($A445,Table1[#This Row],COLUMN(AC444), FALSE)</f>
        <v>6</v>
      </c>
      <c r="AD445">
        <f>VLOOKUP($A445,Table1[#This Row],COLUMN(AD444), FALSE)</f>
        <v>3</v>
      </c>
    </row>
    <row r="446" spans="1:30" ht="15.75">
      <c r="A446" s="53" t="s">
        <v>1010</v>
      </c>
      <c r="B446" s="52">
        <f>VLOOKUP($A446,Table1[#This Row],COLUMN(B445), FALSE)</f>
        <v>41248</v>
      </c>
      <c r="C446" s="52">
        <f>VLOOKUP($A446,Table1[#This Row],COLUMN(C445), FALSE)</f>
        <v>41255</v>
      </c>
      <c r="D446" t="str">
        <f>VLOOKUP($A446,Table1[#This Row],COLUMN(D445), FALSE)</f>
        <v>Andrew Gjertsen</v>
      </c>
      <c r="E446" t="str">
        <f>VLOOKUP($A446,Table1[#This Row],COLUMN(E445), FALSE)</f>
        <v>China</v>
      </c>
      <c r="F446" t="str">
        <f>VLOOKUP($A446,Table1[#This Row],COLUMN(F445), FALSE)</f>
        <v>Eastern Asia</v>
      </c>
      <c r="G446" t="str">
        <f>VLOOKUP($A446,Table1[#This Row],COLUMN(G445), FALSE)</f>
        <v>Technology</v>
      </c>
      <c r="H446" t="str">
        <f>VLOOKUP($A446,Table1[#This Row],COLUMN(H445), FALSE)</f>
        <v>Tables</v>
      </c>
      <c r="I446">
        <f>VLOOKUP($A446,Table1[#This Row],COLUMN(I445), FALSE)</f>
        <v>2518.9499999999998</v>
      </c>
      <c r="J446">
        <f>VLOOKUP($A446,Table1[#This Row],COLUMN(J445), FALSE)</f>
        <v>7</v>
      </c>
      <c r="K446">
        <f>VLOOKUP($A446,Table1[#This Row],COLUMN(K445), FALSE)</f>
        <v>0</v>
      </c>
      <c r="L446">
        <f>VLOOKUP($A446,Table1[#This Row],COLUMN(L445), FALSE)</f>
        <v>3063.7564411559201</v>
      </c>
      <c r="M446" t="str">
        <f>VLOOKUP($A446,Table1[#This Row],COLUMN(M445), FALSE)</f>
        <v>Medium</v>
      </c>
      <c r="N446">
        <f>VLOOKUP($A446,Table1[#This Row],COLUMN(N445), FALSE)</f>
        <v>0</v>
      </c>
      <c r="O446" t="str">
        <f>VLOOKUP($A446,Table1[#This Row],COLUMN(O445), FALSE)</f>
        <v>Andrew Gjertsen</v>
      </c>
      <c r="P446" t="str">
        <f>VLOOKUP($A446,Table1[#This Row],COLUMN(P445), FALSE)</f>
        <v>IN</v>
      </c>
      <c r="Q446" t="str">
        <f>VLOOKUP($A446,Table1[#This Row],COLUMN(Q445), FALSE)</f>
        <v>2012</v>
      </c>
      <c r="R446" t="str">
        <f>VLOOKUP($A446,Table1[#This Row],COLUMN(R445), FALSE)</f>
        <v>MEDIUM</v>
      </c>
      <c r="S446" t="str">
        <f>VLOOKUP($A446,Table1[#This Row],COLUMN(S445), FALSE)</f>
        <v>technology</v>
      </c>
      <c r="T446" t="str">
        <f>VLOOKUP($A446,Table1[#This Row],COLUMN(T445), FALSE)</f>
        <v>41248</v>
      </c>
      <c r="U446" t="str">
        <f>VLOOKUP($A446,Table1[#This Row],COLUMN(U445), FALSE)</f>
        <v>AG1049527</v>
      </c>
      <c r="V446" t="str">
        <f>VLOOKUP($A446,Table1[#This Row],COLUMN(V445), FALSE)</f>
        <v>IN</v>
      </c>
      <c r="W446">
        <f>VLOOKUP($A446,Table1[#This Row],COLUMN(W445), FALSE)</f>
        <v>2012</v>
      </c>
      <c r="X446" t="str">
        <f>VLOOKUP($A446,Table1[#This Row],COLUMN(X445), FALSE)</f>
        <v>AG1049527</v>
      </c>
      <c r="Y446">
        <f>VLOOKUP($A446,Table1[#This Row],COLUMN(Y445), FALSE)</f>
        <v>41248</v>
      </c>
      <c r="Z446" t="str">
        <f>VLOOKUP($A446,Table1[#This Row],COLUMN(Z445), FALSE)</f>
        <v>IN-2012-AG1049527-41248</v>
      </c>
      <c r="AA446">
        <f>VLOOKUP($A446,Table1[#This Row],COLUMN(AA445), FALSE)</f>
        <v>2012</v>
      </c>
      <c r="AB446">
        <f>VLOOKUP($A446,Table1[#This Row],COLUMN(AB445), FALSE)</f>
        <v>12</v>
      </c>
      <c r="AC446">
        <f>VLOOKUP($A446,Table1[#This Row],COLUMN(AC445), FALSE)</f>
        <v>4</v>
      </c>
      <c r="AD446">
        <f>VLOOKUP($A446,Table1[#This Row],COLUMN(AD445), FALSE)</f>
        <v>7</v>
      </c>
    </row>
    <row r="447" spans="1:30" ht="15.75">
      <c r="A447" s="54" t="s">
        <v>1022</v>
      </c>
      <c r="B447" s="52">
        <f>VLOOKUP($A447,Table1[#This Row],COLUMN(B446), FALSE)</f>
        <v>41398</v>
      </c>
      <c r="C447" s="52">
        <f>VLOOKUP($A447,Table1[#This Row],COLUMN(C446), FALSE)</f>
        <v>41403</v>
      </c>
      <c r="D447" t="str">
        <f>VLOOKUP($A447,Table1[#This Row],COLUMN(D446), FALSE)</f>
        <v>Arthur Gainer</v>
      </c>
      <c r="E447" t="str">
        <f>VLOOKUP($A447,Table1[#This Row],COLUMN(E446), FALSE)</f>
        <v>Mexico</v>
      </c>
      <c r="F447" t="str">
        <f>VLOOKUP($A447,Table1[#This Row],COLUMN(F446), FALSE)</f>
        <v>Central America</v>
      </c>
      <c r="G447" t="str">
        <f>VLOOKUP($A447,Table1[#This Row],COLUMN(G446), FALSE)</f>
        <v>Office Supplies</v>
      </c>
      <c r="H447" t="str">
        <f>VLOOKUP($A447,Table1[#This Row],COLUMN(H446), FALSE)</f>
        <v>Accessories</v>
      </c>
      <c r="I447">
        <f>VLOOKUP($A447,Table1[#This Row],COLUMN(I446), FALSE)</f>
        <v>3242.88</v>
      </c>
      <c r="J447">
        <f>VLOOKUP($A447,Table1[#This Row],COLUMN(J446), FALSE)</f>
        <v>9</v>
      </c>
      <c r="K447">
        <f>VLOOKUP($A447,Table1[#This Row],COLUMN(K446), FALSE)</f>
        <v>0</v>
      </c>
      <c r="L447">
        <f>VLOOKUP($A447,Table1[#This Row],COLUMN(L446), FALSE)</f>
        <v>324.18</v>
      </c>
      <c r="M447" t="str">
        <f>VLOOKUP($A447,Table1[#This Row],COLUMN(M446), FALSE)</f>
        <v>Medium</v>
      </c>
      <c r="N447">
        <f>VLOOKUP($A447,Table1[#This Row],COLUMN(N446), FALSE)</f>
        <v>0</v>
      </c>
      <c r="O447" t="str">
        <f>VLOOKUP($A447,Table1[#This Row],COLUMN(O446), FALSE)</f>
        <v>Arthur Gainer</v>
      </c>
      <c r="P447" t="str">
        <f>VLOOKUP($A447,Table1[#This Row],COLUMN(P446), FALSE)</f>
        <v>MX</v>
      </c>
      <c r="Q447" t="str">
        <f>VLOOKUP($A447,Table1[#This Row],COLUMN(Q446), FALSE)</f>
        <v>2013</v>
      </c>
      <c r="R447" t="str">
        <f>VLOOKUP($A447,Table1[#This Row],COLUMN(R446), FALSE)</f>
        <v>MEDIUM</v>
      </c>
      <c r="S447" t="str">
        <f>VLOOKUP($A447,Table1[#This Row],COLUMN(S446), FALSE)</f>
        <v>office supplies</v>
      </c>
      <c r="T447" t="str">
        <f>VLOOKUP($A447,Table1[#This Row],COLUMN(T446), FALSE)</f>
        <v>41398</v>
      </c>
      <c r="U447" t="str">
        <f>VLOOKUP($A447,Table1[#This Row],COLUMN(U446), FALSE)</f>
        <v>AG1090082</v>
      </c>
      <c r="V447" t="str">
        <f>VLOOKUP($A447,Table1[#This Row],COLUMN(V446), FALSE)</f>
        <v>MX</v>
      </c>
      <c r="W447">
        <f>VLOOKUP($A447,Table1[#This Row],COLUMN(W446), FALSE)</f>
        <v>2013</v>
      </c>
      <c r="X447" t="str">
        <f>VLOOKUP($A447,Table1[#This Row],COLUMN(X446), FALSE)</f>
        <v>AG1090082</v>
      </c>
      <c r="Y447">
        <f>VLOOKUP($A447,Table1[#This Row],COLUMN(Y446), FALSE)</f>
        <v>41398</v>
      </c>
      <c r="Z447" t="str">
        <f>VLOOKUP($A447,Table1[#This Row],COLUMN(Z446), FALSE)</f>
        <v>MX-2013-AG1090082-41398</v>
      </c>
      <c r="AA447">
        <f>VLOOKUP($A447,Table1[#This Row],COLUMN(AA446), FALSE)</f>
        <v>2013</v>
      </c>
      <c r="AB447">
        <f>VLOOKUP($A447,Table1[#This Row],COLUMN(AB446), FALSE)</f>
        <v>5</v>
      </c>
      <c r="AC447">
        <f>VLOOKUP($A447,Table1[#This Row],COLUMN(AC446), FALSE)</f>
        <v>7</v>
      </c>
      <c r="AD447">
        <f>VLOOKUP($A447,Table1[#This Row],COLUMN(AD446), FALSE)</f>
        <v>5</v>
      </c>
    </row>
    <row r="448" spans="1:30" ht="15.75">
      <c r="A448" s="53" t="s">
        <v>1027</v>
      </c>
      <c r="B448" s="52">
        <f>VLOOKUP($A448,Table1[#This Row],COLUMN(B447), FALSE)</f>
        <v>41668</v>
      </c>
      <c r="C448" s="52">
        <f>VLOOKUP($A448,Table1[#This Row],COLUMN(C447), FALSE)</f>
        <v>41670</v>
      </c>
      <c r="D448" t="str">
        <f>VLOOKUP($A448,Table1[#This Row],COLUMN(D447), FALSE)</f>
        <v>Jason Fortune-</v>
      </c>
      <c r="E448" t="str">
        <f>VLOOKUP($A448,Table1[#This Row],COLUMN(E447), FALSE)</f>
        <v>Spain</v>
      </c>
      <c r="F448" t="str">
        <f>VLOOKUP($A448,Table1[#This Row],COLUMN(F447), FALSE)</f>
        <v>Southern Europe</v>
      </c>
      <c r="G448" t="str">
        <f>VLOOKUP($A448,Table1[#This Row],COLUMN(G447), FALSE)</f>
        <v>Office Supplies</v>
      </c>
      <c r="H448" t="str">
        <f>VLOOKUP($A448,Table1[#This Row],COLUMN(H447), FALSE)</f>
        <v>Phones</v>
      </c>
      <c r="I448">
        <f>VLOOKUP($A448,Table1[#This Row],COLUMN(I447), FALSE)</f>
        <v>1271.4569999999901</v>
      </c>
      <c r="J448">
        <f>VLOOKUP($A448,Table1[#This Row],COLUMN(J447), FALSE)</f>
        <v>11</v>
      </c>
      <c r="K448">
        <f>VLOOKUP($A448,Table1[#This Row],COLUMN(K447), FALSE)</f>
        <v>0.1</v>
      </c>
      <c r="L448">
        <f>VLOOKUP($A448,Table1[#This Row],COLUMN(L447), FALSE)</f>
        <v>-127.412999999999</v>
      </c>
      <c r="M448" t="str">
        <f>VLOOKUP($A448,Table1[#This Row],COLUMN(M447), FALSE)</f>
        <v>High</v>
      </c>
      <c r="N448">
        <f>VLOOKUP($A448,Table1[#This Row],COLUMN(N447), FALSE)</f>
        <v>0</v>
      </c>
      <c r="O448" t="str">
        <f>VLOOKUP($A448,Table1[#This Row],COLUMN(O447), FALSE)</f>
        <v>Jason Fortune-</v>
      </c>
      <c r="P448" t="str">
        <f>VLOOKUP($A448,Table1[#This Row],COLUMN(P447), FALSE)</f>
        <v xml:space="preserve"> I</v>
      </c>
      <c r="Q448" t="str">
        <f>VLOOKUP($A448,Table1[#This Row],COLUMN(Q447), FALSE)</f>
        <v>-201</v>
      </c>
      <c r="R448" t="str">
        <f>VLOOKUP($A448,Table1[#This Row],COLUMN(R447), FALSE)</f>
        <v>HIGH</v>
      </c>
      <c r="S448" t="str">
        <f>VLOOKUP($A448,Table1[#This Row],COLUMN(S447), FALSE)</f>
        <v>office supplies</v>
      </c>
      <c r="T448" t="str">
        <f>VLOOKUP($A448,Table1[#This Row],COLUMN(T447), FALSE)</f>
        <v xml:space="preserve">1668 </v>
      </c>
      <c r="U448" t="str">
        <f>VLOOKUP($A448,Table1[#This Row],COLUMN(U447), FALSE)</f>
        <v>JF15295120</v>
      </c>
      <c r="V448" t="str">
        <f>VLOOKUP($A448,Table1[#This Row],COLUMN(V447), FALSE)</f>
        <v xml:space="preserve"> IT</v>
      </c>
      <c r="W448">
        <f>VLOOKUP($A448,Table1[#This Row],COLUMN(W447), FALSE)</f>
        <v>2014</v>
      </c>
      <c r="X448" t="str">
        <f>VLOOKUP($A448,Table1[#This Row],COLUMN(X447), FALSE)</f>
        <v>JF15295120</v>
      </c>
      <c r="Y448">
        <f>VLOOKUP($A448,Table1[#This Row],COLUMN(Y447), FALSE)</f>
        <v>41668</v>
      </c>
      <c r="Z448" t="str">
        <f>VLOOKUP($A448,Table1[#This Row],COLUMN(Z447), FALSE)</f>
        <v>IT-2014-JF15295120-41668</v>
      </c>
      <c r="AA448">
        <f>VLOOKUP($A448,Table1[#This Row],COLUMN(AA447), FALSE)</f>
        <v>2014</v>
      </c>
      <c r="AB448">
        <f>VLOOKUP($A448,Table1[#This Row],COLUMN(AB447), FALSE)</f>
        <v>1</v>
      </c>
      <c r="AC448">
        <f>VLOOKUP($A448,Table1[#This Row],COLUMN(AC447), FALSE)</f>
        <v>4</v>
      </c>
      <c r="AD448">
        <f>VLOOKUP($A448,Table1[#This Row],COLUMN(AD447), FALSE)</f>
        <v>2</v>
      </c>
    </row>
    <row r="449" spans="1:30" ht="15.75">
      <c r="A449" s="54" t="s">
        <v>1032</v>
      </c>
      <c r="B449" s="52">
        <f>VLOOKUP($A449,Table1[#This Row],COLUMN(B448), FALSE)</f>
        <v>41780</v>
      </c>
      <c r="C449" s="52">
        <f>VLOOKUP($A449,Table1[#This Row],COLUMN(C448), FALSE)</f>
        <v>41782</v>
      </c>
      <c r="D449" t="str">
        <f>VLOOKUP($A449,Table1[#This Row],COLUMN(D448), FALSE)</f>
        <v>Maribeth Schnelling</v>
      </c>
      <c r="E449" t="str">
        <f>VLOOKUP($A449,Table1[#This Row],COLUMN(E448), FALSE)</f>
        <v>El Salvador</v>
      </c>
      <c r="F449" t="str">
        <f>VLOOKUP($A449,Table1[#This Row],COLUMN(F448), FALSE)</f>
        <v>Central America</v>
      </c>
      <c r="G449" t="str">
        <f>VLOOKUP($A449,Table1[#This Row],COLUMN(G448), FALSE)</f>
        <v>Technology</v>
      </c>
      <c r="H449" t="str">
        <f>VLOOKUP($A449,Table1[#This Row],COLUMN(H448), FALSE)</f>
        <v>Machines</v>
      </c>
      <c r="I449">
        <f>VLOOKUP($A449,Table1[#This Row],COLUMN(I448), FALSE)</f>
        <v>2544.2399999999998</v>
      </c>
      <c r="J449">
        <f>VLOOKUP($A449,Table1[#This Row],COLUMN(J448), FALSE)</f>
        <v>6</v>
      </c>
      <c r="K449">
        <f>VLOOKUP($A449,Table1[#This Row],COLUMN(K448), FALSE)</f>
        <v>0</v>
      </c>
      <c r="L449">
        <f>VLOOKUP($A449,Table1[#This Row],COLUMN(L448), FALSE)</f>
        <v>992.15999999999894</v>
      </c>
      <c r="M449" t="str">
        <f>VLOOKUP($A449,Table1[#This Row],COLUMN(M448), FALSE)</f>
        <v>High</v>
      </c>
      <c r="N449">
        <f>VLOOKUP($A449,Table1[#This Row],COLUMN(N448), FALSE)</f>
        <v>0</v>
      </c>
      <c r="O449" t="str">
        <f>VLOOKUP($A449,Table1[#This Row],COLUMN(O448), FALSE)</f>
        <v>Maribeth Schnelling</v>
      </c>
      <c r="P449" t="str">
        <f>VLOOKUP($A449,Table1[#This Row],COLUMN(P448), FALSE)</f>
        <v>MX</v>
      </c>
      <c r="Q449" t="str">
        <f>VLOOKUP($A449,Table1[#This Row],COLUMN(Q448), FALSE)</f>
        <v>2014</v>
      </c>
      <c r="R449" t="str">
        <f>VLOOKUP($A449,Table1[#This Row],COLUMN(R448), FALSE)</f>
        <v>HIGH</v>
      </c>
      <c r="S449" t="str">
        <f>VLOOKUP($A449,Table1[#This Row],COLUMN(S448), FALSE)</f>
        <v>technology</v>
      </c>
      <c r="T449" t="str">
        <f>VLOOKUP($A449,Table1[#This Row],COLUMN(T448), FALSE)</f>
        <v>41780</v>
      </c>
      <c r="U449" t="str">
        <f>VLOOKUP($A449,Table1[#This Row],COLUMN(U448), FALSE)</f>
        <v>MS1736539</v>
      </c>
      <c r="V449" t="str">
        <f>VLOOKUP($A449,Table1[#This Row],COLUMN(V448), FALSE)</f>
        <v>MX</v>
      </c>
      <c r="W449">
        <f>VLOOKUP($A449,Table1[#This Row],COLUMN(W448), FALSE)</f>
        <v>2014</v>
      </c>
      <c r="X449" t="str">
        <f>VLOOKUP($A449,Table1[#This Row],COLUMN(X448), FALSE)</f>
        <v>MS1736539</v>
      </c>
      <c r="Y449">
        <f>VLOOKUP($A449,Table1[#This Row],COLUMN(Y448), FALSE)</f>
        <v>41780</v>
      </c>
      <c r="Z449" t="str">
        <f>VLOOKUP($A449,Table1[#This Row],COLUMN(Z448), FALSE)</f>
        <v>MX-2014-MS1736539-41780</v>
      </c>
      <c r="AA449">
        <f>VLOOKUP($A449,Table1[#This Row],COLUMN(AA448), FALSE)</f>
        <v>2014</v>
      </c>
      <c r="AB449">
        <f>VLOOKUP($A449,Table1[#This Row],COLUMN(AB448), FALSE)</f>
        <v>5</v>
      </c>
      <c r="AC449">
        <f>VLOOKUP($A449,Table1[#This Row],COLUMN(AC448), FALSE)</f>
        <v>4</v>
      </c>
      <c r="AD449">
        <f>VLOOKUP($A449,Table1[#This Row],COLUMN(AD448), FALSE)</f>
        <v>2</v>
      </c>
    </row>
    <row r="450" spans="1:30" ht="15.75">
      <c r="A450" s="53" t="s">
        <v>1039</v>
      </c>
      <c r="B450" s="52">
        <f>VLOOKUP($A450,Table1[#This Row],COLUMN(B449), FALSE)</f>
        <v>41208</v>
      </c>
      <c r="C450" s="52">
        <f>VLOOKUP($A450,Table1[#This Row],COLUMN(C449), FALSE)</f>
        <v>41210</v>
      </c>
      <c r="D450" t="str">
        <f>VLOOKUP($A450,Table1[#This Row],COLUMN(D449), FALSE)</f>
        <v>Sarah Bern</v>
      </c>
      <c r="E450" t="str">
        <f>VLOOKUP($A450,Table1[#This Row],COLUMN(E449), FALSE)</f>
        <v>China</v>
      </c>
      <c r="F450" t="str">
        <f>VLOOKUP($A450,Table1[#This Row],COLUMN(F449), FALSE)</f>
        <v>Eastern Asia</v>
      </c>
      <c r="G450" t="str">
        <f>VLOOKUP($A450,Table1[#This Row],COLUMN(G449), FALSE)</f>
        <v>Furniture</v>
      </c>
      <c r="H450" t="str">
        <f>VLOOKUP($A450,Table1[#This Row],COLUMN(H449), FALSE)</f>
        <v>Tables</v>
      </c>
      <c r="I450">
        <f>VLOOKUP($A450,Table1[#This Row],COLUMN(I449), FALSE)</f>
        <v>2470.5</v>
      </c>
      <c r="J450">
        <f>VLOOKUP($A450,Table1[#This Row],COLUMN(J449), FALSE)</f>
        <v>6</v>
      </c>
      <c r="K450">
        <f>VLOOKUP($A450,Table1[#This Row],COLUMN(K449), FALSE)</f>
        <v>0</v>
      </c>
      <c r="L450">
        <f>VLOOKUP($A450,Table1[#This Row],COLUMN(L449), FALSE)</f>
        <v>518.76</v>
      </c>
      <c r="M450" t="str">
        <f>VLOOKUP($A450,Table1[#This Row],COLUMN(M449), FALSE)</f>
        <v>Medium#</v>
      </c>
      <c r="N450">
        <f>VLOOKUP($A450,Table1[#This Row],COLUMN(N449), FALSE)</f>
        <v>0</v>
      </c>
      <c r="O450" t="str">
        <f>VLOOKUP($A450,Table1[#This Row],COLUMN(O449), FALSE)</f>
        <v>Sarah Bern</v>
      </c>
      <c r="P450" t="str">
        <f>VLOOKUP($A450,Table1[#This Row],COLUMN(P449), FALSE)</f>
        <v>IN</v>
      </c>
      <c r="Q450" t="str">
        <f>VLOOKUP($A450,Table1[#This Row],COLUMN(Q449), FALSE)</f>
        <v>2012</v>
      </c>
      <c r="R450" t="str">
        <f>VLOOKUP($A450,Table1[#This Row],COLUMN(R449), FALSE)</f>
        <v>MEDIUM#</v>
      </c>
      <c r="S450" t="str">
        <f>VLOOKUP($A450,Table1[#This Row],COLUMN(S449), FALSE)</f>
        <v>furniture</v>
      </c>
      <c r="T450" t="str">
        <f>VLOOKUP($A450,Table1[#This Row],COLUMN(T449), FALSE)</f>
        <v>41208</v>
      </c>
      <c r="U450" t="str">
        <f>VLOOKUP($A450,Table1[#This Row],COLUMN(U449), FALSE)</f>
        <v>SB2017027</v>
      </c>
      <c r="V450" t="str">
        <f>VLOOKUP($A450,Table1[#This Row],COLUMN(V449), FALSE)</f>
        <v>IN</v>
      </c>
      <c r="W450">
        <f>VLOOKUP($A450,Table1[#This Row],COLUMN(W449), FALSE)</f>
        <v>2012</v>
      </c>
      <c r="X450" t="str">
        <f>VLOOKUP($A450,Table1[#This Row],COLUMN(X449), FALSE)</f>
        <v>SB2017027</v>
      </c>
      <c r="Y450">
        <f>VLOOKUP($A450,Table1[#This Row],COLUMN(Y449), FALSE)</f>
        <v>41208</v>
      </c>
      <c r="Z450" t="str">
        <f>VLOOKUP($A450,Table1[#This Row],COLUMN(Z449), FALSE)</f>
        <v>IN-2012-SB2017027-41208</v>
      </c>
      <c r="AA450">
        <f>VLOOKUP($A450,Table1[#This Row],COLUMN(AA449), FALSE)</f>
        <v>2012</v>
      </c>
      <c r="AB450">
        <f>VLOOKUP($A450,Table1[#This Row],COLUMN(AB449), FALSE)</f>
        <v>10</v>
      </c>
      <c r="AC450">
        <f>VLOOKUP($A450,Table1[#This Row],COLUMN(AC449), FALSE)</f>
        <v>6</v>
      </c>
      <c r="AD450">
        <f>VLOOKUP($A450,Table1[#This Row],COLUMN(AD449), FALSE)</f>
        <v>2</v>
      </c>
    </row>
    <row r="451" spans="1:30" ht="15.75">
      <c r="A451" s="54" t="s">
        <v>857</v>
      </c>
      <c r="B451" s="52">
        <f>VLOOKUP($A451,Table1[#This Row],COLUMN(B450), FALSE)</f>
        <v>41585</v>
      </c>
      <c r="C451" s="52">
        <f>VLOOKUP($A451,Table1[#This Row],COLUMN(C450), FALSE)</f>
        <v>41619</v>
      </c>
      <c r="D451" t="str">
        <f>VLOOKUP($A451,Table1[#This Row],COLUMN(D450), FALSE)</f>
        <v>Adrian Barton</v>
      </c>
      <c r="E451" t="str">
        <f>VLOOKUP($A451,Table1[#This Row],COLUMN(E450), FALSE)</f>
        <v>United States</v>
      </c>
      <c r="F451" t="str">
        <f>VLOOKUP($A451,Table1[#This Row],COLUMN(F450), FALSE)</f>
        <v>Central US</v>
      </c>
      <c r="G451" t="str">
        <f>VLOOKUP($A451,Table1[#This Row],COLUMN(G450), FALSE)</f>
        <v>Office Supplies</v>
      </c>
      <c r="H451" t="str">
        <f>VLOOKUP($A451,Table1[#This Row],COLUMN(H450), FALSE)</f>
        <v>Copiers</v>
      </c>
      <c r="I451">
        <f>VLOOKUP($A451,Table1[#This Row],COLUMN(I450), FALSE)</f>
        <v>32.059999999999903</v>
      </c>
      <c r="J451">
        <f>VLOOKUP($A451,Table1[#This Row],COLUMN(J450), FALSE)</f>
        <v>10</v>
      </c>
      <c r="K451">
        <f>VLOOKUP($A451,Table1[#This Row],COLUMN(K450), FALSE)</f>
        <v>0.8</v>
      </c>
      <c r="L451">
        <f>VLOOKUP($A451,Table1[#This Row],COLUMN(L450), FALSE)</f>
        <v>-51.295999999999999</v>
      </c>
      <c r="M451" t="str">
        <f>VLOOKUP($A451,Table1[#This Row],COLUMN(M450), FALSE)</f>
        <v>Medium</v>
      </c>
      <c r="N451">
        <f>VLOOKUP($A451,Table1[#This Row],COLUMN(N450), FALSE)</f>
        <v>0</v>
      </c>
      <c r="O451" t="str">
        <f>VLOOKUP($A451,Table1[#This Row],COLUMN(O450), FALSE)</f>
        <v>Adrian Barton</v>
      </c>
      <c r="P451" t="str">
        <f>VLOOKUP($A451,Table1[#This Row],COLUMN(P450), FALSE)</f>
        <v>CA</v>
      </c>
      <c r="Q451" t="str">
        <f>VLOOKUP($A451,Table1[#This Row],COLUMN(Q450), FALSE)</f>
        <v>2013</v>
      </c>
      <c r="R451" t="str">
        <f>VLOOKUP($A451,Table1[#This Row],COLUMN(R450), FALSE)</f>
        <v>MEDIUM</v>
      </c>
      <c r="S451" t="str">
        <f>VLOOKUP($A451,Table1[#This Row],COLUMN(S450), FALSE)</f>
        <v>office supplies</v>
      </c>
      <c r="T451" t="str">
        <f>VLOOKUP($A451,Table1[#This Row],COLUMN(T450), FALSE)</f>
        <v>41585</v>
      </c>
      <c r="U451" t="str">
        <f>VLOOKUP($A451,Table1[#This Row],COLUMN(U450), FALSE)</f>
        <v>AB10105140</v>
      </c>
      <c r="V451" t="str">
        <f>VLOOKUP($A451,Table1[#This Row],COLUMN(V450), FALSE)</f>
        <v>CA</v>
      </c>
      <c r="W451">
        <f>VLOOKUP($A451,Table1[#This Row],COLUMN(W450), FALSE)</f>
        <v>2013</v>
      </c>
      <c r="X451" t="str">
        <f>VLOOKUP($A451,Table1[#This Row],COLUMN(X450), FALSE)</f>
        <v>AB10105140</v>
      </c>
      <c r="Y451">
        <f>VLOOKUP($A451,Table1[#This Row],COLUMN(Y450), FALSE)</f>
        <v>41585</v>
      </c>
      <c r="Z451" t="str">
        <f>VLOOKUP($A451,Table1[#This Row],COLUMN(Z450), FALSE)</f>
        <v>CA-2013-AB10105140-41585</v>
      </c>
      <c r="AA451">
        <f>VLOOKUP($A451,Table1[#This Row],COLUMN(AA450), FALSE)</f>
        <v>2013</v>
      </c>
      <c r="AB451">
        <f>VLOOKUP($A451,Table1[#This Row],COLUMN(AB450), FALSE)</f>
        <v>11</v>
      </c>
      <c r="AC451">
        <f>VLOOKUP($A451,Table1[#This Row],COLUMN(AC450), FALSE)</f>
        <v>5</v>
      </c>
      <c r="AD451">
        <f>VLOOKUP($A451,Table1[#This Row],COLUMN(AD450), FALSE)</f>
        <v>34</v>
      </c>
    </row>
    <row r="452" spans="1:30" ht="15.75">
      <c r="A452" s="53" t="s">
        <v>1044</v>
      </c>
      <c r="B452" s="52">
        <f>VLOOKUP($A452,Table1[#This Row],COLUMN(B451), FALSE)</f>
        <v>41401</v>
      </c>
      <c r="C452" s="52">
        <f>VLOOKUP($A452,Table1[#This Row],COLUMN(C451), FALSE)</f>
        <v>41552</v>
      </c>
      <c r="D452" t="str">
        <f>VLOOKUP($A452,Table1[#This Row],COLUMN(D451), FALSE)</f>
        <v>Becky Castell</v>
      </c>
      <c r="E452" t="str">
        <f>VLOOKUP($A452,Table1[#This Row],COLUMN(E451), FALSE)</f>
        <v>New Zealand</v>
      </c>
      <c r="F452" t="str">
        <f>VLOOKUP($A452,Table1[#This Row],COLUMN(F451), FALSE)</f>
        <v>Oceania</v>
      </c>
      <c r="G452" t="str">
        <f>VLOOKUP($A452,Table1[#This Row],COLUMN(G451), FALSE)</f>
        <v>Technology</v>
      </c>
      <c r="H452" t="str">
        <f>VLOOKUP($A452,Table1[#This Row],COLUMN(H451), FALSE)</f>
        <v>Bookcases</v>
      </c>
      <c r="I452">
        <f>VLOOKUP($A452,Table1[#This Row],COLUMN(I451), FALSE)</f>
        <v>1917.36</v>
      </c>
      <c r="J452">
        <f>VLOOKUP($A452,Table1[#This Row],COLUMN(J451), FALSE)</f>
        <v>6</v>
      </c>
      <c r="K452">
        <f>VLOOKUP($A452,Table1[#This Row],COLUMN(K451), FALSE)</f>
        <v>0</v>
      </c>
      <c r="L452">
        <f>VLOOKUP($A452,Table1[#This Row],COLUMN(L451), FALSE)</f>
        <v>747.72</v>
      </c>
      <c r="M452" t="str">
        <f>VLOOKUP($A452,Table1[#This Row],COLUMN(M451), FALSE)</f>
        <v>Medium</v>
      </c>
      <c r="N452">
        <f>VLOOKUP($A452,Table1[#This Row],COLUMN(N451), FALSE)</f>
        <v>0</v>
      </c>
      <c r="O452" t="str">
        <f>VLOOKUP($A452,Table1[#This Row],COLUMN(O451), FALSE)</f>
        <v>Becky Castell</v>
      </c>
      <c r="P452" t="str">
        <f>VLOOKUP($A452,Table1[#This Row],COLUMN(P451), FALSE)</f>
        <v>IN</v>
      </c>
      <c r="Q452" t="str">
        <f>VLOOKUP($A452,Table1[#This Row],COLUMN(Q451), FALSE)</f>
        <v>2013</v>
      </c>
      <c r="R452" t="str">
        <f>VLOOKUP($A452,Table1[#This Row],COLUMN(R451), FALSE)</f>
        <v>MEDIUM</v>
      </c>
      <c r="S452" t="str">
        <f>VLOOKUP($A452,Table1[#This Row],COLUMN(S451), FALSE)</f>
        <v>technology</v>
      </c>
      <c r="T452" t="str">
        <f>VLOOKUP($A452,Table1[#This Row],COLUMN(T451), FALSE)</f>
        <v>41401</v>
      </c>
      <c r="U452" t="str">
        <f>VLOOKUP($A452,Table1[#This Row],COLUMN(U451), FALSE)</f>
        <v>BC1112592</v>
      </c>
      <c r="V452" t="str">
        <f>VLOOKUP($A452,Table1[#This Row],COLUMN(V451), FALSE)</f>
        <v>IN</v>
      </c>
      <c r="W452">
        <f>VLOOKUP($A452,Table1[#This Row],COLUMN(W451), FALSE)</f>
        <v>2013</v>
      </c>
      <c r="X452" t="str">
        <f>VLOOKUP($A452,Table1[#This Row],COLUMN(X451), FALSE)</f>
        <v>BC1112592</v>
      </c>
      <c r="Y452">
        <f>VLOOKUP($A452,Table1[#This Row],COLUMN(Y451), FALSE)</f>
        <v>41401</v>
      </c>
      <c r="Z452" t="str">
        <f>VLOOKUP($A452,Table1[#This Row],COLUMN(Z451), FALSE)</f>
        <v>IN-2013-BC1112592-41401</v>
      </c>
      <c r="AA452">
        <f>VLOOKUP($A452,Table1[#This Row],COLUMN(AA451), FALSE)</f>
        <v>2013</v>
      </c>
      <c r="AB452">
        <f>VLOOKUP($A452,Table1[#This Row],COLUMN(AB451), FALSE)</f>
        <v>5</v>
      </c>
      <c r="AC452">
        <f>VLOOKUP($A452,Table1[#This Row],COLUMN(AC451), FALSE)</f>
        <v>3</v>
      </c>
      <c r="AD452">
        <f>VLOOKUP($A452,Table1[#This Row],COLUMN(AD451), FALSE)</f>
        <v>151</v>
      </c>
    </row>
    <row r="453" spans="1:30" ht="15.75">
      <c r="A453" s="54" t="s">
        <v>1046</v>
      </c>
      <c r="B453" s="52">
        <f>VLOOKUP($A453,Table1[#This Row],COLUMN(B452), FALSE)</f>
        <v>40916</v>
      </c>
      <c r="C453" s="52">
        <f>VLOOKUP($A453,Table1[#This Row],COLUMN(C452), FALSE)</f>
        <v>40920</v>
      </c>
      <c r="D453" t="str">
        <f>VLOOKUP($A453,Table1[#This Row],COLUMN(D452), FALSE)</f>
        <v>Nicole Fjeld</v>
      </c>
      <c r="E453" t="str">
        <f>VLOOKUP($A453,Table1[#This Row],COLUMN(E452), FALSE)</f>
        <v>China</v>
      </c>
      <c r="F453" t="str">
        <f>VLOOKUP($A453,Table1[#This Row],COLUMN(F452), FALSE)</f>
        <v>Eastern Asia</v>
      </c>
      <c r="G453" t="str">
        <f>VLOOKUP($A453,Table1[#This Row],COLUMN(G452), FALSE)</f>
        <v>Technology</v>
      </c>
      <c r="H453" t="str">
        <f>VLOOKUP($A453,Table1[#This Row],COLUMN(H452), FALSE)</f>
        <v>Tables</v>
      </c>
      <c r="I453">
        <f>VLOOKUP($A453,Table1[#This Row],COLUMN(I452), FALSE)</f>
        <v>2173.5</v>
      </c>
      <c r="J453">
        <f>VLOOKUP($A453,Table1[#This Row],COLUMN(J452), FALSE)</f>
        <v>7</v>
      </c>
      <c r="K453">
        <f>VLOOKUP($A453,Table1[#This Row],COLUMN(K452), FALSE)</f>
        <v>0</v>
      </c>
      <c r="L453">
        <f>VLOOKUP($A453,Table1[#This Row],COLUMN(L452), FALSE)</f>
        <v>260.82</v>
      </c>
      <c r="M453" t="str">
        <f>VLOOKUP($A453,Table1[#This Row],COLUMN(M452), FALSE)</f>
        <v>Medium</v>
      </c>
      <c r="N453">
        <f>VLOOKUP($A453,Table1[#This Row],COLUMN(N452), FALSE)</f>
        <v>0</v>
      </c>
      <c r="O453" t="str">
        <f>VLOOKUP($A453,Table1[#This Row],COLUMN(O452), FALSE)</f>
        <v>Nicole Fjeld</v>
      </c>
      <c r="P453" t="str">
        <f>VLOOKUP($A453,Table1[#This Row],COLUMN(P452), FALSE)</f>
        <v>IN</v>
      </c>
      <c r="Q453" t="str">
        <f>VLOOKUP($A453,Table1[#This Row],COLUMN(Q452), FALSE)</f>
        <v>2012</v>
      </c>
      <c r="R453" t="str">
        <f>VLOOKUP($A453,Table1[#This Row],COLUMN(R452), FALSE)</f>
        <v>MEDIUM</v>
      </c>
      <c r="S453" t="str">
        <f>VLOOKUP($A453,Table1[#This Row],COLUMN(S452), FALSE)</f>
        <v>technology</v>
      </c>
      <c r="T453" t="str">
        <f>VLOOKUP($A453,Table1[#This Row],COLUMN(T452), FALSE)</f>
        <v>40916</v>
      </c>
      <c r="U453" t="str">
        <f>VLOOKUP($A453,Table1[#This Row],COLUMN(U452), FALSE)</f>
        <v>NF1859527</v>
      </c>
      <c r="V453" t="str">
        <f>VLOOKUP($A453,Table1[#This Row],COLUMN(V452), FALSE)</f>
        <v>IN</v>
      </c>
      <c r="W453">
        <f>VLOOKUP($A453,Table1[#This Row],COLUMN(W452), FALSE)</f>
        <v>2012</v>
      </c>
      <c r="X453" t="str">
        <f>VLOOKUP($A453,Table1[#This Row],COLUMN(X452), FALSE)</f>
        <v>NF1859527</v>
      </c>
      <c r="Y453">
        <f>VLOOKUP($A453,Table1[#This Row],COLUMN(Y452), FALSE)</f>
        <v>40916</v>
      </c>
      <c r="Z453" t="str">
        <f>VLOOKUP($A453,Table1[#This Row],COLUMN(Z452), FALSE)</f>
        <v>IN-2012-NF1859527-40916</v>
      </c>
      <c r="AA453">
        <f>VLOOKUP($A453,Table1[#This Row],COLUMN(AA452), FALSE)</f>
        <v>2012</v>
      </c>
      <c r="AB453">
        <f>VLOOKUP($A453,Table1[#This Row],COLUMN(AB452), FALSE)</f>
        <v>1</v>
      </c>
      <c r="AC453">
        <f>VLOOKUP($A453,Table1[#This Row],COLUMN(AC452), FALSE)</f>
        <v>1</v>
      </c>
      <c r="AD453">
        <f>VLOOKUP($A453,Table1[#This Row],COLUMN(AD452), FALSE)</f>
        <v>4</v>
      </c>
    </row>
    <row r="454" spans="1:30" ht="15.75">
      <c r="A454" s="53" t="s">
        <v>1059</v>
      </c>
      <c r="B454" s="52">
        <f>VLOOKUP($A454,Table1[#This Row],COLUMN(B453), FALSE)</f>
        <v>42007</v>
      </c>
      <c r="C454" s="52">
        <f>VLOOKUP($A454,Table1[#This Row],COLUMN(C453), FALSE)</f>
        <v>42008</v>
      </c>
      <c r="D454" t="str">
        <f>VLOOKUP($A454,Table1[#This Row],COLUMN(D453), FALSE)</f>
        <v>Rob Dowd</v>
      </c>
      <c r="E454" t="str">
        <f>VLOOKUP($A454,Table1[#This Row],COLUMN(E453), FALSE)</f>
        <v>Spain</v>
      </c>
      <c r="F454" t="str">
        <f>VLOOKUP($A454,Table1[#This Row],COLUMN(F453), FALSE)</f>
        <v>Southern Europe</v>
      </c>
      <c r="G454" t="str">
        <f>VLOOKUP($A454,Table1[#This Row],COLUMN(G453), FALSE)</f>
        <v>Technology</v>
      </c>
      <c r="H454" t="str">
        <f>VLOOKUP($A454,Table1[#This Row],COLUMN(H453), FALSE)</f>
        <v>Accessories</v>
      </c>
      <c r="I454">
        <f>VLOOKUP($A454,Table1[#This Row],COLUMN(I453), FALSE)</f>
        <v>2097.12</v>
      </c>
      <c r="J454">
        <f>VLOOKUP($A454,Table1[#This Row],COLUMN(J453), FALSE)</f>
        <v>8</v>
      </c>
      <c r="K454">
        <f>VLOOKUP($A454,Table1[#This Row],COLUMN(K453), FALSE)</f>
        <v>0</v>
      </c>
      <c r="L454">
        <f>VLOOKUP($A454,Table1[#This Row],COLUMN(L453), FALSE)</f>
        <v>188.64</v>
      </c>
      <c r="M454" t="str">
        <f>VLOOKUP($A454,Table1[#This Row],COLUMN(M453), FALSE)</f>
        <v>High</v>
      </c>
      <c r="N454">
        <f>VLOOKUP($A454,Table1[#This Row],COLUMN(N453), FALSE)</f>
        <v>0</v>
      </c>
      <c r="O454" t="str">
        <f>VLOOKUP($A454,Table1[#This Row],COLUMN(O453), FALSE)</f>
        <v>Rob Dowd</v>
      </c>
      <c r="P454" t="str">
        <f>VLOOKUP($A454,Table1[#This Row],COLUMN(P453), FALSE)</f>
        <v>ES</v>
      </c>
      <c r="Q454" t="str">
        <f>VLOOKUP($A454,Table1[#This Row],COLUMN(Q453), FALSE)</f>
        <v>2015</v>
      </c>
      <c r="R454" t="str">
        <f>VLOOKUP($A454,Table1[#This Row],COLUMN(R453), FALSE)</f>
        <v>HIGH</v>
      </c>
      <c r="S454" t="str">
        <f>VLOOKUP($A454,Table1[#This Row],COLUMN(S453), FALSE)</f>
        <v>technology</v>
      </c>
      <c r="T454" t="str">
        <f>VLOOKUP($A454,Table1[#This Row],COLUMN(T453), FALSE)</f>
        <v>42007</v>
      </c>
      <c r="U454" t="str">
        <f>VLOOKUP($A454,Table1[#This Row],COLUMN(U453), FALSE)</f>
        <v>RD19585120</v>
      </c>
      <c r="V454" t="str">
        <f>VLOOKUP($A454,Table1[#This Row],COLUMN(V453), FALSE)</f>
        <v>ES</v>
      </c>
      <c r="W454">
        <f>VLOOKUP($A454,Table1[#This Row],COLUMN(W453), FALSE)</f>
        <v>2015</v>
      </c>
      <c r="X454" t="str">
        <f>VLOOKUP($A454,Table1[#This Row],COLUMN(X453), FALSE)</f>
        <v>RD19585120</v>
      </c>
      <c r="Y454">
        <f>VLOOKUP($A454,Table1[#This Row],COLUMN(Y453), FALSE)</f>
        <v>42007</v>
      </c>
      <c r="Z454" t="str">
        <f>VLOOKUP($A454,Table1[#This Row],COLUMN(Z453), FALSE)</f>
        <v>ES-2015-RD19585120-42007</v>
      </c>
      <c r="AA454">
        <f>VLOOKUP($A454,Table1[#This Row],COLUMN(AA453), FALSE)</f>
        <v>2015</v>
      </c>
      <c r="AB454">
        <f>VLOOKUP($A454,Table1[#This Row],COLUMN(AB453), FALSE)</f>
        <v>1</v>
      </c>
      <c r="AC454">
        <f>VLOOKUP($A454,Table1[#This Row],COLUMN(AC453), FALSE)</f>
        <v>7</v>
      </c>
      <c r="AD454">
        <f>VLOOKUP($A454,Table1[#This Row],COLUMN(AD453), FALSE)</f>
        <v>1</v>
      </c>
    </row>
    <row r="455" spans="1:30" ht="15.75">
      <c r="A455" s="54" t="s">
        <v>1066</v>
      </c>
      <c r="B455" s="52">
        <f>VLOOKUP($A455,Table1[#This Row],COLUMN(B454), FALSE)</f>
        <v>42234</v>
      </c>
      <c r="C455" s="52">
        <f>VLOOKUP($A455,Table1[#This Row],COLUMN(C454), FALSE)</f>
        <v>42240</v>
      </c>
      <c r="D455" t="str">
        <f>VLOOKUP($A455,Table1[#This Row],COLUMN(D454), FALSE)</f>
        <v>Adrian Hane</v>
      </c>
      <c r="E455" t="str">
        <f>VLOOKUP($A455,Table1[#This Row],COLUMN(E454), FALSE)</f>
        <v>United States</v>
      </c>
      <c r="F455" t="str">
        <f>VLOOKUP($A455,Table1[#This Row],COLUMN(F454), FALSE)</f>
        <v>Southern US</v>
      </c>
      <c r="G455" t="str">
        <f>VLOOKUP($A455,Table1[#This Row],COLUMN(G454), FALSE)</f>
        <v>Technology</v>
      </c>
      <c r="H455" t="str">
        <f>VLOOKUP($A455,Table1[#This Row],COLUMN(H454), FALSE)</f>
        <v>Appliances</v>
      </c>
      <c r="I455">
        <f>VLOOKUP($A455,Table1[#This Row],COLUMN(I454), FALSE)</f>
        <v>98.16</v>
      </c>
      <c r="J455">
        <f>VLOOKUP($A455,Table1[#This Row],COLUMN(J454), FALSE)</f>
        <v>6</v>
      </c>
      <c r="K455">
        <f>VLOOKUP($A455,Table1[#This Row],COLUMN(K454), FALSE)</f>
        <v>0</v>
      </c>
      <c r="L455">
        <f>VLOOKUP($A455,Table1[#This Row],COLUMN(L454), FALSE)</f>
        <v>9.8159999999999901</v>
      </c>
      <c r="M455" t="str">
        <f>VLOOKUP($A455,Table1[#This Row],COLUMN(M454), FALSE)</f>
        <v>Low</v>
      </c>
      <c r="N455">
        <f>VLOOKUP($A455,Table1[#This Row],COLUMN(N454), FALSE)</f>
        <v>0</v>
      </c>
      <c r="O455" t="str">
        <f>VLOOKUP($A455,Table1[#This Row],COLUMN(O454), FALSE)</f>
        <v>Adrian Hane</v>
      </c>
      <c r="P455" t="str">
        <f>VLOOKUP($A455,Table1[#This Row],COLUMN(P454), FALSE)</f>
        <v>CA</v>
      </c>
      <c r="Q455" t="str">
        <f>VLOOKUP($A455,Table1[#This Row],COLUMN(Q454), FALSE)</f>
        <v>2015</v>
      </c>
      <c r="R455" t="str">
        <f>VLOOKUP($A455,Table1[#This Row],COLUMN(R454), FALSE)</f>
        <v>LOW</v>
      </c>
      <c r="S455" t="str">
        <f>VLOOKUP($A455,Table1[#This Row],COLUMN(S454), FALSE)</f>
        <v>technology</v>
      </c>
      <c r="T455" t="str">
        <f>VLOOKUP($A455,Table1[#This Row],COLUMN(T454), FALSE)</f>
        <v>42234</v>
      </c>
      <c r="U455" t="str">
        <f>VLOOKUP($A455,Table1[#This Row],COLUMN(U454), FALSE)</f>
        <v>AH10120140</v>
      </c>
      <c r="V455" t="str">
        <f>VLOOKUP($A455,Table1[#This Row],COLUMN(V454), FALSE)</f>
        <v>CA</v>
      </c>
      <c r="W455">
        <f>VLOOKUP($A455,Table1[#This Row],COLUMN(W454), FALSE)</f>
        <v>2015</v>
      </c>
      <c r="X455" t="str">
        <f>VLOOKUP($A455,Table1[#This Row],COLUMN(X454), FALSE)</f>
        <v>AH10120140</v>
      </c>
      <c r="Y455">
        <f>VLOOKUP($A455,Table1[#This Row],COLUMN(Y454), FALSE)</f>
        <v>42234</v>
      </c>
      <c r="Z455" t="str">
        <f>VLOOKUP($A455,Table1[#This Row],COLUMN(Z454), FALSE)</f>
        <v>CA-2015-AH10120140-42234</v>
      </c>
      <c r="AA455">
        <f>VLOOKUP($A455,Table1[#This Row],COLUMN(AA454), FALSE)</f>
        <v>2015</v>
      </c>
      <c r="AB455">
        <f>VLOOKUP($A455,Table1[#This Row],COLUMN(AB454), FALSE)</f>
        <v>8</v>
      </c>
      <c r="AC455">
        <f>VLOOKUP($A455,Table1[#This Row],COLUMN(AC454), FALSE)</f>
        <v>3</v>
      </c>
      <c r="AD455">
        <f>VLOOKUP($A455,Table1[#This Row],COLUMN(AD454), FALSE)</f>
        <v>6</v>
      </c>
    </row>
    <row r="456" spans="1:30" ht="15.75">
      <c r="A456" s="53" t="s">
        <v>1068</v>
      </c>
      <c r="B456" s="52">
        <f>VLOOKUP($A456,Table1[#This Row],COLUMN(B455), FALSE)</f>
        <v>41810</v>
      </c>
      <c r="C456" s="52">
        <f>VLOOKUP($A456,Table1[#This Row],COLUMN(C455), FALSE)</f>
        <v>41814</v>
      </c>
      <c r="D456" t="str">
        <f>VLOOKUP($A456,Table1[#This Row],COLUMN(D455), FALSE)</f>
        <v>Michael Dominguez</v>
      </c>
      <c r="E456" t="str">
        <f>VLOOKUP($A456,Table1[#This Row],COLUMN(E455), FALSE)</f>
        <v>ukraine</v>
      </c>
      <c r="F456" t="str">
        <f>VLOOKUP($A456,Table1[#This Row],COLUMN(F455), FALSE)</f>
        <v>Eastern Europe</v>
      </c>
      <c r="G456" t="str">
        <f>VLOOKUP($A456,Table1[#This Row],COLUMN(G455), FALSE)</f>
        <v>Office Supplies</v>
      </c>
      <c r="H456" t="str">
        <f>VLOOKUP($A456,Table1[#This Row],COLUMN(H455), FALSE)</f>
        <v>Binders</v>
      </c>
      <c r="I456">
        <f>VLOOKUP($A456,Table1[#This Row],COLUMN(I455), FALSE)</f>
        <v>3955.14</v>
      </c>
      <c r="J456">
        <f>VLOOKUP($A456,Table1[#This Row],COLUMN(J455), FALSE)</f>
        <v>14</v>
      </c>
      <c r="K456">
        <f>VLOOKUP($A456,Table1[#This Row],COLUMN(K455), FALSE)</f>
        <v>0</v>
      </c>
      <c r="L456">
        <f>VLOOKUP($A456,Table1[#This Row],COLUMN(L455), FALSE)</f>
        <v>1383.9</v>
      </c>
      <c r="M456" t="str">
        <f>VLOOKUP($A456,Table1[#This Row],COLUMN(M455), FALSE)</f>
        <v>High</v>
      </c>
      <c r="N456">
        <f>VLOOKUP($A456,Table1[#This Row],COLUMN(N455), FALSE)</f>
        <v>0</v>
      </c>
      <c r="O456" t="str">
        <f>VLOOKUP($A456,Table1[#This Row],COLUMN(O455), FALSE)</f>
        <v>Michael Dominguez</v>
      </c>
      <c r="P456" t="str">
        <f>VLOOKUP($A456,Table1[#This Row],COLUMN(P455), FALSE)</f>
        <v>UP</v>
      </c>
      <c r="Q456" t="str">
        <f>VLOOKUP($A456,Table1[#This Row],COLUMN(Q455), FALSE)</f>
        <v>2014</v>
      </c>
      <c r="R456" t="str">
        <f>VLOOKUP($A456,Table1[#This Row],COLUMN(R455), FALSE)</f>
        <v>HIGH</v>
      </c>
      <c r="S456" t="str">
        <f>VLOOKUP($A456,Table1[#This Row],COLUMN(S455), FALSE)</f>
        <v>office supplies</v>
      </c>
      <c r="T456" t="str">
        <f>VLOOKUP($A456,Table1[#This Row],COLUMN(T455), FALSE)</f>
        <v>41810</v>
      </c>
      <c r="U456" t="str">
        <f>VLOOKUP($A456,Table1[#This Row],COLUMN(U455), FALSE)</f>
        <v>MD7860137</v>
      </c>
      <c r="V456" t="str">
        <f>VLOOKUP($A456,Table1[#This Row],COLUMN(V455), FALSE)</f>
        <v>UP</v>
      </c>
      <c r="W456">
        <f>VLOOKUP($A456,Table1[#This Row],COLUMN(W455), FALSE)</f>
        <v>2014</v>
      </c>
      <c r="X456" t="str">
        <f>VLOOKUP($A456,Table1[#This Row],COLUMN(X455), FALSE)</f>
        <v>MD7860137</v>
      </c>
      <c r="Y456">
        <f>VLOOKUP($A456,Table1[#This Row],COLUMN(Y455), FALSE)</f>
        <v>41810</v>
      </c>
      <c r="Z456" t="str">
        <f>VLOOKUP($A456,Table1[#This Row],COLUMN(Z455), FALSE)</f>
        <v>UP-2014-MD7860137-41810</v>
      </c>
      <c r="AA456">
        <f>VLOOKUP($A456,Table1[#This Row],COLUMN(AA455), FALSE)</f>
        <v>2014</v>
      </c>
      <c r="AB456">
        <f>VLOOKUP($A456,Table1[#This Row],COLUMN(AB455), FALSE)</f>
        <v>6</v>
      </c>
      <c r="AC456">
        <f>VLOOKUP($A456,Table1[#This Row],COLUMN(AC455), FALSE)</f>
        <v>6</v>
      </c>
      <c r="AD456">
        <f>VLOOKUP($A456,Table1[#This Row],COLUMN(AD455), FALSE)</f>
        <v>4</v>
      </c>
    </row>
    <row r="457" spans="1:30" ht="15.75">
      <c r="A457" s="54" t="s">
        <v>1072</v>
      </c>
      <c r="B457" s="52">
        <f>VLOOKUP($A457,Table1[#This Row],COLUMN(B456), FALSE)</f>
        <v>42118</v>
      </c>
      <c r="C457" s="52">
        <f>VLOOKUP($A457,Table1[#This Row],COLUMN(C456), FALSE)</f>
        <v>42121</v>
      </c>
      <c r="D457" t="str">
        <f>VLOOKUP($A457,Table1[#This Row],COLUMN(D456), FALSE)</f>
        <v>Charles Crestani</v>
      </c>
      <c r="E457" t="str">
        <f>VLOOKUP($A457,Table1[#This Row],COLUMN(E456), FALSE)</f>
        <v>Germany</v>
      </c>
      <c r="F457" t="str">
        <f>VLOOKUP($A457,Table1[#This Row],COLUMN(F456), FALSE)</f>
        <v>Western Europe</v>
      </c>
      <c r="G457" t="str">
        <f>VLOOKUP($A457,Table1[#This Row],COLUMN(G456), FALSE)</f>
        <v>Technology</v>
      </c>
      <c r="H457" t="str">
        <f>VLOOKUP($A457,Table1[#This Row],COLUMN(H456), FALSE)</f>
        <v>Appliances</v>
      </c>
      <c r="I457">
        <f>VLOOKUP($A457,Table1[#This Row],COLUMN(I456), FALSE)</f>
        <v>2305.2600000000002</v>
      </c>
      <c r="J457">
        <f>VLOOKUP($A457,Table1[#This Row],COLUMN(J456), FALSE)</f>
        <v>9</v>
      </c>
      <c r="K457">
        <f>VLOOKUP($A457,Table1[#This Row],COLUMN(K456), FALSE)</f>
        <v>0</v>
      </c>
      <c r="L457">
        <f>VLOOKUP($A457,Table1[#This Row],COLUMN(L456), FALSE)</f>
        <v>9054.2758390963409</v>
      </c>
      <c r="M457" t="str">
        <f>VLOOKUP($A457,Table1[#This Row],COLUMN(M456), FALSE)</f>
        <v>Medium#</v>
      </c>
      <c r="N457">
        <f>VLOOKUP($A457,Table1[#This Row],COLUMN(N456), FALSE)</f>
        <v>0</v>
      </c>
      <c r="O457" t="str">
        <f>VLOOKUP($A457,Table1[#This Row],COLUMN(O456), FALSE)</f>
        <v>Charles Crestani</v>
      </c>
      <c r="P457" t="str">
        <f>VLOOKUP($A457,Table1[#This Row],COLUMN(P456), FALSE)</f>
        <v>ES</v>
      </c>
      <c r="Q457" t="str">
        <f>VLOOKUP($A457,Table1[#This Row],COLUMN(Q456), FALSE)</f>
        <v>2015</v>
      </c>
      <c r="R457" t="str">
        <f>VLOOKUP($A457,Table1[#This Row],COLUMN(R456), FALSE)</f>
        <v>MEDIUM#</v>
      </c>
      <c r="S457" t="str">
        <f>VLOOKUP($A457,Table1[#This Row],COLUMN(S456), FALSE)</f>
        <v>technology</v>
      </c>
      <c r="T457" t="str">
        <f>VLOOKUP($A457,Table1[#This Row],COLUMN(T456), FALSE)</f>
        <v>42118</v>
      </c>
      <c r="U457" t="str">
        <f>VLOOKUP($A457,Table1[#This Row],COLUMN(U456), FALSE)</f>
        <v>CC1214548</v>
      </c>
      <c r="V457" t="str">
        <f>VLOOKUP($A457,Table1[#This Row],COLUMN(V456), FALSE)</f>
        <v>ES</v>
      </c>
      <c r="W457">
        <f>VLOOKUP($A457,Table1[#This Row],COLUMN(W456), FALSE)</f>
        <v>2015</v>
      </c>
      <c r="X457" t="str">
        <f>VLOOKUP($A457,Table1[#This Row],COLUMN(X456), FALSE)</f>
        <v>CC1214548</v>
      </c>
      <c r="Y457">
        <f>VLOOKUP($A457,Table1[#This Row],COLUMN(Y456), FALSE)</f>
        <v>42118</v>
      </c>
      <c r="Z457" t="str">
        <f>VLOOKUP($A457,Table1[#This Row],COLUMN(Z456), FALSE)</f>
        <v>ES-2015-CC1214548-42118</v>
      </c>
      <c r="AA457">
        <f>VLOOKUP($A457,Table1[#This Row],COLUMN(AA456), FALSE)</f>
        <v>2015</v>
      </c>
      <c r="AB457">
        <f>VLOOKUP($A457,Table1[#This Row],COLUMN(AB456), FALSE)</f>
        <v>4</v>
      </c>
      <c r="AC457">
        <f>VLOOKUP($A457,Table1[#This Row],COLUMN(AC456), FALSE)</f>
        <v>6</v>
      </c>
      <c r="AD457">
        <f>VLOOKUP($A457,Table1[#This Row],COLUMN(AD456), FALSE)</f>
        <v>3</v>
      </c>
    </row>
    <row r="458" spans="1:30" ht="15.75">
      <c r="A458" s="53" t="s">
        <v>1074</v>
      </c>
      <c r="B458" s="52">
        <f>VLOOKUP($A458,Table1[#This Row],COLUMN(B457), FALSE)</f>
        <v>41032</v>
      </c>
      <c r="C458" s="52">
        <f>VLOOKUP($A458,Table1[#This Row],COLUMN(C457), FALSE)</f>
        <v>41036</v>
      </c>
      <c r="D458" t="str">
        <f>VLOOKUP($A458,Table1[#This Row],COLUMN(D457), FALSE)</f>
        <v>Xylona Preis</v>
      </c>
      <c r="E458" t="str">
        <f>VLOOKUP($A458,Table1[#This Row],COLUMN(E457), FALSE)</f>
        <v>El Salvador</v>
      </c>
      <c r="F458" t="str">
        <f>VLOOKUP($A458,Table1[#This Row],COLUMN(F457), FALSE)</f>
        <v>Central America</v>
      </c>
      <c r="G458" t="str">
        <f>VLOOKUP($A458,Table1[#This Row],COLUMN(G457), FALSE)</f>
        <v>Furniture</v>
      </c>
      <c r="H458" t="str">
        <f>VLOOKUP($A458,Table1[#This Row],COLUMN(H457), FALSE)</f>
        <v>Bookcases</v>
      </c>
      <c r="I458">
        <f>VLOOKUP($A458,Table1[#This Row],COLUMN(I457), FALSE)</f>
        <v>2833.7599999999902</v>
      </c>
      <c r="J458">
        <f>VLOOKUP($A458,Table1[#This Row],COLUMN(J457), FALSE)</f>
        <v>10</v>
      </c>
      <c r="K458">
        <f>VLOOKUP($A458,Table1[#This Row],COLUMN(K457), FALSE)</f>
        <v>0.2</v>
      </c>
      <c r="L458">
        <f>VLOOKUP($A458,Table1[#This Row],COLUMN(L457), FALSE)</f>
        <v>35.3599999999998</v>
      </c>
      <c r="M458" t="str">
        <f>VLOOKUP($A458,Table1[#This Row],COLUMN(M457), FALSE)</f>
        <v>High</v>
      </c>
      <c r="N458">
        <f>VLOOKUP($A458,Table1[#This Row],COLUMN(N457), FALSE)</f>
        <v>0</v>
      </c>
      <c r="O458" t="str">
        <f>VLOOKUP($A458,Table1[#This Row],COLUMN(O457), FALSE)</f>
        <v>Xylona Preis</v>
      </c>
      <c r="P458" t="str">
        <f>VLOOKUP($A458,Table1[#This Row],COLUMN(P457), FALSE)</f>
        <v>MX</v>
      </c>
      <c r="Q458" t="str">
        <f>VLOOKUP($A458,Table1[#This Row],COLUMN(Q457), FALSE)</f>
        <v>2012</v>
      </c>
      <c r="R458" t="str">
        <f>VLOOKUP($A458,Table1[#This Row],COLUMN(R457), FALSE)</f>
        <v>HIGH</v>
      </c>
      <c r="S458" t="str">
        <f>VLOOKUP($A458,Table1[#This Row],COLUMN(S457), FALSE)</f>
        <v>furniture</v>
      </c>
      <c r="T458" t="str">
        <f>VLOOKUP($A458,Table1[#This Row],COLUMN(T457), FALSE)</f>
        <v>41032</v>
      </c>
      <c r="U458" t="str">
        <f>VLOOKUP($A458,Table1[#This Row],COLUMN(U457), FALSE)</f>
        <v>XP2186539</v>
      </c>
      <c r="V458" t="str">
        <f>VLOOKUP($A458,Table1[#This Row],COLUMN(V457), FALSE)</f>
        <v>MX</v>
      </c>
      <c r="W458">
        <f>VLOOKUP($A458,Table1[#This Row],COLUMN(W457), FALSE)</f>
        <v>2012</v>
      </c>
      <c r="X458" t="str">
        <f>VLOOKUP($A458,Table1[#This Row],COLUMN(X457), FALSE)</f>
        <v>XP2186539</v>
      </c>
      <c r="Y458">
        <f>VLOOKUP($A458,Table1[#This Row],COLUMN(Y457), FALSE)</f>
        <v>41032</v>
      </c>
      <c r="Z458" t="str">
        <f>VLOOKUP($A458,Table1[#This Row],COLUMN(Z457), FALSE)</f>
        <v>MX-2012-XP2186539-41032</v>
      </c>
      <c r="AA458">
        <f>VLOOKUP($A458,Table1[#This Row],COLUMN(AA457), FALSE)</f>
        <v>2012</v>
      </c>
      <c r="AB458">
        <f>VLOOKUP($A458,Table1[#This Row],COLUMN(AB457), FALSE)</f>
        <v>5</v>
      </c>
      <c r="AC458">
        <f>VLOOKUP($A458,Table1[#This Row],COLUMN(AC457), FALSE)</f>
        <v>5</v>
      </c>
      <c r="AD458">
        <f>VLOOKUP($A458,Table1[#This Row],COLUMN(AD457), FALSE)</f>
        <v>4</v>
      </c>
    </row>
    <row r="459" spans="1:30" ht="15.75">
      <c r="A459" s="54" t="s">
        <v>1077</v>
      </c>
      <c r="B459" s="52">
        <f>VLOOKUP($A459,Table1[#This Row],COLUMN(B458), FALSE)</f>
        <v>42320</v>
      </c>
      <c r="C459" s="52">
        <f>VLOOKUP($A459,Table1[#This Row],COLUMN(C458), FALSE)</f>
        <v>42324</v>
      </c>
      <c r="D459" t="str">
        <f>VLOOKUP($A459,Table1[#This Row],COLUMN(D458), FALSE)</f>
        <v>Maris LaWare</v>
      </c>
      <c r="E459" t="str">
        <f>VLOOKUP($A459,Table1[#This Row],COLUMN(E458), FALSE)</f>
        <v>Cuba</v>
      </c>
      <c r="F459" t="str">
        <f>VLOOKUP($A459,Table1[#This Row],COLUMN(F458), FALSE)</f>
        <v>CARIBBEAN</v>
      </c>
      <c r="G459" t="str">
        <f>VLOOKUP($A459,Table1[#This Row],COLUMN(G458), FALSE)</f>
        <v>Furniture</v>
      </c>
      <c r="H459" t="str">
        <f>VLOOKUP($A459,Table1[#This Row],COLUMN(H458), FALSE)</f>
        <v>Tables</v>
      </c>
      <c r="I459">
        <f>VLOOKUP($A459,Table1[#This Row],COLUMN(I458), FALSE)</f>
        <v>1916.8799999999901</v>
      </c>
      <c r="J459">
        <f>VLOOKUP($A459,Table1[#This Row],COLUMN(J458), FALSE)</f>
        <v>7</v>
      </c>
      <c r="K459">
        <f>VLOOKUP($A459,Table1[#This Row],COLUMN(K458), FALSE)</f>
        <v>0</v>
      </c>
      <c r="L459">
        <f>VLOOKUP($A459,Table1[#This Row],COLUMN(L458), FALSE)</f>
        <v>939.26</v>
      </c>
      <c r="M459" t="str">
        <f>VLOOKUP($A459,Table1[#This Row],COLUMN(M458), FALSE)</f>
        <v>High</v>
      </c>
      <c r="N459">
        <f>VLOOKUP($A459,Table1[#This Row],COLUMN(N458), FALSE)</f>
        <v>0</v>
      </c>
      <c r="O459" t="str">
        <f>VLOOKUP($A459,Table1[#This Row],COLUMN(O458), FALSE)</f>
        <v>Maris Laware</v>
      </c>
      <c r="P459" t="str">
        <f>VLOOKUP($A459,Table1[#This Row],COLUMN(P458), FALSE)</f>
        <v>MX</v>
      </c>
      <c r="Q459" t="str">
        <f>VLOOKUP($A459,Table1[#This Row],COLUMN(Q458), FALSE)</f>
        <v>2015</v>
      </c>
      <c r="R459" t="str">
        <f>VLOOKUP($A459,Table1[#This Row],COLUMN(R458), FALSE)</f>
        <v>HIGH</v>
      </c>
      <c r="S459" t="str">
        <f>VLOOKUP($A459,Table1[#This Row],COLUMN(S458), FALSE)</f>
        <v>furniture</v>
      </c>
      <c r="T459" t="str">
        <f>VLOOKUP($A459,Table1[#This Row],COLUMN(T458), FALSE)</f>
        <v>42320</v>
      </c>
      <c r="U459" t="str">
        <f>VLOOKUP($A459,Table1[#This Row],COLUMN(U458), FALSE)</f>
        <v>ML1741031</v>
      </c>
      <c r="V459" t="str">
        <f>VLOOKUP($A459,Table1[#This Row],COLUMN(V458), FALSE)</f>
        <v>MX</v>
      </c>
      <c r="W459">
        <f>VLOOKUP($A459,Table1[#This Row],COLUMN(W458), FALSE)</f>
        <v>2015</v>
      </c>
      <c r="X459" t="str">
        <f>VLOOKUP($A459,Table1[#This Row],COLUMN(X458), FALSE)</f>
        <v>ML1741031</v>
      </c>
      <c r="Y459">
        <f>VLOOKUP($A459,Table1[#This Row],COLUMN(Y458), FALSE)</f>
        <v>42320</v>
      </c>
      <c r="Z459" t="str">
        <f>VLOOKUP($A459,Table1[#This Row],COLUMN(Z458), FALSE)</f>
        <v>MX-2015-ML1741031-42320</v>
      </c>
      <c r="AA459">
        <f>VLOOKUP($A459,Table1[#This Row],COLUMN(AA458), FALSE)</f>
        <v>2015</v>
      </c>
      <c r="AB459">
        <f>VLOOKUP($A459,Table1[#This Row],COLUMN(AB458), FALSE)</f>
        <v>11</v>
      </c>
      <c r="AC459">
        <f>VLOOKUP($A459,Table1[#This Row],COLUMN(AC458), FALSE)</f>
        <v>5</v>
      </c>
      <c r="AD459">
        <f>VLOOKUP($A459,Table1[#This Row],COLUMN(AD458), FALSE)</f>
        <v>4</v>
      </c>
    </row>
    <row r="460" spans="1:30" ht="15.75">
      <c r="A460" s="53" t="s">
        <v>1082</v>
      </c>
      <c r="B460" s="52">
        <f>VLOOKUP($A460,Table1[#This Row],COLUMN(B459), FALSE)</f>
        <v>42283</v>
      </c>
      <c r="C460" s="52">
        <f>VLOOKUP($A460,Table1[#This Row],COLUMN(C459), FALSE)</f>
        <v>42289</v>
      </c>
      <c r="D460" t="str">
        <f>VLOOKUP($A460,Table1[#This Row],COLUMN(D459), FALSE)</f>
        <v>Quincy Jones</v>
      </c>
      <c r="E460" t="str">
        <f>VLOOKUP($A460,Table1[#This Row],COLUMN(E459), FALSE)</f>
        <v>China</v>
      </c>
      <c r="F460" t="str">
        <f>VLOOKUP($A460,Table1[#This Row],COLUMN(F459), FALSE)</f>
        <v>Eastern Asia</v>
      </c>
      <c r="G460" t="str">
        <f>VLOOKUP($A460,Table1[#This Row],COLUMN(G459), FALSE)</f>
        <v>Technology</v>
      </c>
      <c r="H460" t="str">
        <f>VLOOKUP($A460,Table1[#This Row],COLUMN(H459), FALSE)</f>
        <v>Tables</v>
      </c>
      <c r="I460">
        <f>VLOOKUP($A460,Table1[#This Row],COLUMN(I459), FALSE)</f>
        <v>3391.74</v>
      </c>
      <c r="J460">
        <f>VLOOKUP($A460,Table1[#This Row],COLUMN(J459), FALSE)</f>
        <v>9</v>
      </c>
      <c r="K460">
        <f>VLOOKUP($A460,Table1[#This Row],COLUMN(K459), FALSE)</f>
        <v>0</v>
      </c>
      <c r="L460">
        <f>VLOOKUP($A460,Table1[#This Row],COLUMN(L459), FALSE)</f>
        <v>271.08</v>
      </c>
      <c r="M460" t="str">
        <f>VLOOKUP($A460,Table1[#This Row],COLUMN(M459), FALSE)</f>
        <v>Medium</v>
      </c>
      <c r="N460">
        <f>VLOOKUP($A460,Table1[#This Row],COLUMN(N459), FALSE)</f>
        <v>0</v>
      </c>
      <c r="O460" t="str">
        <f>VLOOKUP($A460,Table1[#This Row],COLUMN(O459), FALSE)</f>
        <v>Quincy Jones</v>
      </c>
      <c r="P460" t="str">
        <f>VLOOKUP($A460,Table1[#This Row],COLUMN(P459), FALSE)</f>
        <v>IN</v>
      </c>
      <c r="Q460" t="str">
        <f>VLOOKUP($A460,Table1[#This Row],COLUMN(Q459), FALSE)</f>
        <v>2015</v>
      </c>
      <c r="R460" t="str">
        <f>VLOOKUP($A460,Table1[#This Row],COLUMN(R459), FALSE)</f>
        <v>MEDIUM</v>
      </c>
      <c r="S460" t="str">
        <f>VLOOKUP($A460,Table1[#This Row],COLUMN(S459), FALSE)</f>
        <v>technology</v>
      </c>
      <c r="T460" t="str">
        <f>VLOOKUP($A460,Table1[#This Row],COLUMN(T459), FALSE)</f>
        <v>42283</v>
      </c>
      <c r="U460" t="str">
        <f>VLOOKUP($A460,Table1[#This Row],COLUMN(U459), FALSE)</f>
        <v>QJ1925527</v>
      </c>
      <c r="V460" t="str">
        <f>VLOOKUP($A460,Table1[#This Row],COLUMN(V459), FALSE)</f>
        <v>IN</v>
      </c>
      <c r="W460">
        <f>VLOOKUP($A460,Table1[#This Row],COLUMN(W459), FALSE)</f>
        <v>2015</v>
      </c>
      <c r="X460" t="str">
        <f>VLOOKUP($A460,Table1[#This Row],COLUMN(X459), FALSE)</f>
        <v>QJ1925527</v>
      </c>
      <c r="Y460">
        <f>VLOOKUP($A460,Table1[#This Row],COLUMN(Y459), FALSE)</f>
        <v>42283</v>
      </c>
      <c r="Z460" t="str">
        <f>VLOOKUP($A460,Table1[#This Row],COLUMN(Z459), FALSE)</f>
        <v>IN-2015-QJ1925527-42283</v>
      </c>
      <c r="AA460">
        <f>VLOOKUP($A460,Table1[#This Row],COLUMN(AA459), FALSE)</f>
        <v>2015</v>
      </c>
      <c r="AB460">
        <f>VLOOKUP($A460,Table1[#This Row],COLUMN(AB459), FALSE)</f>
        <v>10</v>
      </c>
      <c r="AC460">
        <f>VLOOKUP($A460,Table1[#This Row],COLUMN(AC459), FALSE)</f>
        <v>3</v>
      </c>
      <c r="AD460">
        <f>VLOOKUP($A460,Table1[#This Row],COLUMN(AD459), FALSE)</f>
        <v>6</v>
      </c>
    </row>
    <row r="461" spans="1:30" ht="15.75">
      <c r="A461" s="54" t="s">
        <v>1086</v>
      </c>
      <c r="B461" s="52">
        <f>VLOOKUP($A461,Table1[#This Row],COLUMN(B460), FALSE)</f>
        <v>41506</v>
      </c>
      <c r="C461" s="52">
        <f>VLOOKUP($A461,Table1[#This Row],COLUMN(C460), FALSE)</f>
        <v>41508</v>
      </c>
      <c r="D461" t="str">
        <f>VLOOKUP($A461,Table1[#This Row],COLUMN(D460), FALSE)</f>
        <v>Cathy Prescott</v>
      </c>
      <c r="E461" t="str">
        <f>VLOOKUP($A461,Table1[#This Row],COLUMN(E460), FALSE)</f>
        <v>South Africa</v>
      </c>
      <c r="F461" t="str">
        <f>VLOOKUP($A461,Table1[#This Row],COLUMN(F460), FALSE)</f>
        <v>Southern Africa</v>
      </c>
      <c r="G461" t="str">
        <f>VLOOKUP($A461,Table1[#This Row],COLUMN(G460), FALSE)</f>
        <v>Furniture</v>
      </c>
      <c r="H461" t="str">
        <f>VLOOKUP($A461,Table1[#This Row],COLUMN(H460), FALSE)</f>
        <v>Copiers</v>
      </c>
      <c r="I461">
        <f>VLOOKUP($A461,Table1[#This Row],COLUMN(I460), FALSE)</f>
        <v>889.02</v>
      </c>
      <c r="J461">
        <f>VLOOKUP($A461,Table1[#This Row],COLUMN(J460), FALSE)</f>
        <v>6</v>
      </c>
      <c r="K461">
        <f>VLOOKUP($A461,Table1[#This Row],COLUMN(K460), FALSE)</f>
        <v>0</v>
      </c>
      <c r="L461">
        <f>VLOOKUP($A461,Table1[#This Row],COLUMN(L460), FALSE)</f>
        <v>320.04000000000002</v>
      </c>
      <c r="M461" t="str">
        <f>VLOOKUP($A461,Table1[#This Row],COLUMN(M460), FALSE)</f>
        <v>Critical</v>
      </c>
      <c r="N461">
        <f>VLOOKUP($A461,Table1[#This Row],COLUMN(N460), FALSE)</f>
        <v>0</v>
      </c>
      <c r="O461" t="str">
        <f>VLOOKUP($A461,Table1[#This Row],COLUMN(O460), FALSE)</f>
        <v>Cathy Prescott</v>
      </c>
      <c r="P461" t="str">
        <f>VLOOKUP($A461,Table1[#This Row],COLUMN(P460), FALSE)</f>
        <v>SF</v>
      </c>
      <c r="Q461" t="str">
        <f>VLOOKUP($A461,Table1[#This Row],COLUMN(Q460), FALSE)</f>
        <v>2013</v>
      </c>
      <c r="R461" t="str">
        <f>VLOOKUP($A461,Table1[#This Row],COLUMN(R460), FALSE)</f>
        <v>CRITICAL</v>
      </c>
      <c r="S461" t="str">
        <f>VLOOKUP($A461,Table1[#This Row],COLUMN(S460), FALSE)</f>
        <v>furniture</v>
      </c>
      <c r="T461" t="str">
        <f>VLOOKUP($A461,Table1[#This Row],COLUMN(T460), FALSE)</f>
        <v>41506</v>
      </c>
      <c r="U461" t="str">
        <f>VLOOKUP($A461,Table1[#This Row],COLUMN(U460), FALSE)</f>
        <v>CP2085117</v>
      </c>
      <c r="V461" t="str">
        <f>VLOOKUP($A461,Table1[#This Row],COLUMN(V460), FALSE)</f>
        <v>SF</v>
      </c>
      <c r="W461">
        <f>VLOOKUP($A461,Table1[#This Row],COLUMN(W460), FALSE)</f>
        <v>2013</v>
      </c>
      <c r="X461" t="str">
        <f>VLOOKUP($A461,Table1[#This Row],COLUMN(X460), FALSE)</f>
        <v>CP2085117</v>
      </c>
      <c r="Y461">
        <f>VLOOKUP($A461,Table1[#This Row],COLUMN(Y460), FALSE)</f>
        <v>41506</v>
      </c>
      <c r="Z461" t="str">
        <f>VLOOKUP($A461,Table1[#This Row],COLUMN(Z460), FALSE)</f>
        <v>SF-2013-CP2085117-41506</v>
      </c>
      <c r="AA461">
        <f>VLOOKUP($A461,Table1[#This Row],COLUMN(AA460), FALSE)</f>
        <v>2013</v>
      </c>
      <c r="AB461">
        <f>VLOOKUP($A461,Table1[#This Row],COLUMN(AB460), FALSE)</f>
        <v>8</v>
      </c>
      <c r="AC461">
        <f>VLOOKUP($A461,Table1[#This Row],COLUMN(AC460), FALSE)</f>
        <v>3</v>
      </c>
      <c r="AD461">
        <f>VLOOKUP($A461,Table1[#This Row],COLUMN(AD460), FALSE)</f>
        <v>2</v>
      </c>
    </row>
    <row r="462" spans="1:30" ht="15.75">
      <c r="A462" s="53" t="s">
        <v>1092</v>
      </c>
      <c r="B462" s="52">
        <f>VLOOKUP($A462,Table1[#This Row],COLUMN(B461), FALSE)</f>
        <v>41992</v>
      </c>
      <c r="C462" s="52">
        <f>VLOOKUP($A462,Table1[#This Row],COLUMN(C461), FALSE)</f>
        <v>41994</v>
      </c>
      <c r="D462" t="str">
        <f>VLOOKUP($A462,Table1[#This Row],COLUMN(D461), FALSE)</f>
        <v>Erica Hernandez</v>
      </c>
      <c r="E462" t="str">
        <f>VLOOKUP($A462,Table1[#This Row],COLUMN(E461), FALSE)</f>
        <v>Spain</v>
      </c>
      <c r="F462" t="str">
        <f>VLOOKUP($A462,Table1[#This Row],COLUMN(F461), FALSE)</f>
        <v>Southern Europe</v>
      </c>
      <c r="G462" t="str">
        <f>VLOOKUP($A462,Table1[#This Row],COLUMN(G461), FALSE)</f>
        <v>Office Supplies</v>
      </c>
      <c r="H462" t="str">
        <f>VLOOKUP($A462,Table1[#This Row],COLUMN(H461), FALSE)</f>
        <v>Copiers</v>
      </c>
      <c r="I462">
        <f>VLOOKUP($A462,Table1[#This Row],COLUMN(I461), FALSE)</f>
        <v>845.20799999999997</v>
      </c>
      <c r="J462">
        <f>VLOOKUP($A462,Table1[#This Row],COLUMN(J461), FALSE)</f>
        <v>7</v>
      </c>
      <c r="K462">
        <f>VLOOKUP($A462,Table1[#This Row],COLUMN(K461), FALSE)</f>
        <v>0.1</v>
      </c>
      <c r="L462">
        <f>VLOOKUP($A462,Table1[#This Row],COLUMN(L461), FALSE)</f>
        <v>-9.4920000000000098</v>
      </c>
      <c r="M462" t="str">
        <f>VLOOKUP($A462,Table1[#This Row],COLUMN(M461), FALSE)</f>
        <v>Critical</v>
      </c>
      <c r="N462">
        <f>VLOOKUP($A462,Table1[#This Row],COLUMN(N461), FALSE)</f>
        <v>0</v>
      </c>
      <c r="O462" t="str">
        <f>VLOOKUP($A462,Table1[#This Row],COLUMN(O461), FALSE)</f>
        <v>Erica Hernandez</v>
      </c>
      <c r="P462" t="str">
        <f>VLOOKUP($A462,Table1[#This Row],COLUMN(P461), FALSE)</f>
        <v>IT</v>
      </c>
      <c r="Q462" t="str">
        <f>VLOOKUP($A462,Table1[#This Row],COLUMN(Q461), FALSE)</f>
        <v>2014</v>
      </c>
      <c r="R462" t="str">
        <f>VLOOKUP($A462,Table1[#This Row],COLUMN(R461), FALSE)</f>
        <v>CRITICAL</v>
      </c>
      <c r="S462" t="str">
        <f>VLOOKUP($A462,Table1[#This Row],COLUMN(S461), FALSE)</f>
        <v>office supplies</v>
      </c>
      <c r="T462" t="str">
        <f>VLOOKUP($A462,Table1[#This Row],COLUMN(T461), FALSE)</f>
        <v>41992</v>
      </c>
      <c r="U462" t="str">
        <f>VLOOKUP($A462,Table1[#This Row],COLUMN(U461), FALSE)</f>
        <v>EH14005120</v>
      </c>
      <c r="V462" t="str">
        <f>VLOOKUP($A462,Table1[#This Row],COLUMN(V461), FALSE)</f>
        <v>IT</v>
      </c>
      <c r="W462">
        <f>VLOOKUP($A462,Table1[#This Row],COLUMN(W461), FALSE)</f>
        <v>2014</v>
      </c>
      <c r="X462" t="str">
        <f>VLOOKUP($A462,Table1[#This Row],COLUMN(X461), FALSE)</f>
        <v>EH14005120</v>
      </c>
      <c r="Y462">
        <f>VLOOKUP($A462,Table1[#This Row],COLUMN(Y461), FALSE)</f>
        <v>41992</v>
      </c>
      <c r="Z462" t="str">
        <f>VLOOKUP($A462,Table1[#This Row],COLUMN(Z461), FALSE)</f>
        <v>IT-2014-EH14005120-41992</v>
      </c>
      <c r="AA462">
        <f>VLOOKUP($A462,Table1[#This Row],COLUMN(AA461), FALSE)</f>
        <v>2014</v>
      </c>
      <c r="AB462">
        <f>VLOOKUP($A462,Table1[#This Row],COLUMN(AB461), FALSE)</f>
        <v>12</v>
      </c>
      <c r="AC462">
        <f>VLOOKUP($A462,Table1[#This Row],COLUMN(AC461), FALSE)</f>
        <v>6</v>
      </c>
      <c r="AD462">
        <f>VLOOKUP($A462,Table1[#This Row],COLUMN(AD461), FALSE)</f>
        <v>2</v>
      </c>
    </row>
    <row r="463" spans="1:30" ht="15.75">
      <c r="A463" s="54" t="s">
        <v>1094</v>
      </c>
      <c r="B463" s="52">
        <f>VLOOKUP($A463,Table1[#This Row],COLUMN(B462), FALSE)</f>
        <v>41441</v>
      </c>
      <c r="C463" s="52">
        <f>VLOOKUP($A463,Table1[#This Row],COLUMN(C462), FALSE)</f>
        <v>41447</v>
      </c>
      <c r="D463" t="str">
        <f>VLOOKUP($A463,Table1[#This Row],COLUMN(D462), FALSE)</f>
        <v>Jocasta Rupert</v>
      </c>
      <c r="E463" t="str">
        <f>VLOOKUP($A463,Table1[#This Row],COLUMN(E462), FALSE)</f>
        <v>India</v>
      </c>
      <c r="F463" t="str">
        <f>VLOOKUP($A463,Table1[#This Row],COLUMN(F462), FALSE)</f>
        <v>Southern Asia</v>
      </c>
      <c r="G463" t="str">
        <f>VLOOKUP($A463,Table1[#This Row],COLUMN(G462), FALSE)</f>
        <v>Office Supplies</v>
      </c>
      <c r="H463" t="str">
        <f>VLOOKUP($A463,Table1[#This Row],COLUMN(H462), FALSE)</f>
        <v>Copiers</v>
      </c>
      <c r="I463">
        <f>VLOOKUP($A463,Table1[#This Row],COLUMN(I462), FALSE)</f>
        <v>2799.63</v>
      </c>
      <c r="J463">
        <f>VLOOKUP($A463,Table1[#This Row],COLUMN(J462), FALSE)</f>
        <v>9</v>
      </c>
      <c r="K463">
        <f>VLOOKUP($A463,Table1[#This Row],COLUMN(K462), FALSE)</f>
        <v>0</v>
      </c>
      <c r="L463">
        <f>VLOOKUP($A463,Table1[#This Row],COLUMN(L462), FALSE)</f>
        <v>391.77</v>
      </c>
      <c r="M463" t="str">
        <f>VLOOKUP($A463,Table1[#This Row],COLUMN(M462), FALSE)</f>
        <v>Medium</v>
      </c>
      <c r="N463">
        <f>VLOOKUP($A463,Table1[#This Row],COLUMN(N462), FALSE)</f>
        <v>0</v>
      </c>
      <c r="O463" t="str">
        <f>VLOOKUP($A463,Table1[#This Row],COLUMN(O462), FALSE)</f>
        <v>Jocasta Rupert</v>
      </c>
      <c r="P463" t="str">
        <f>VLOOKUP($A463,Table1[#This Row],COLUMN(P462), FALSE)</f>
        <v>IN</v>
      </c>
      <c r="Q463" t="str">
        <f>VLOOKUP($A463,Table1[#This Row],COLUMN(Q462), FALSE)</f>
        <v>2013</v>
      </c>
      <c r="R463" t="str">
        <f>VLOOKUP($A463,Table1[#This Row],COLUMN(R462), FALSE)</f>
        <v>MEDIUM</v>
      </c>
      <c r="S463" t="str">
        <f>VLOOKUP($A463,Table1[#This Row],COLUMN(S462), FALSE)</f>
        <v>office supplies</v>
      </c>
      <c r="T463" t="str">
        <f>VLOOKUP($A463,Table1[#This Row],COLUMN(T462), FALSE)</f>
        <v>41441</v>
      </c>
      <c r="U463" t="str">
        <f>VLOOKUP($A463,Table1[#This Row],COLUMN(U462), FALSE)</f>
        <v>JR1570058</v>
      </c>
      <c r="V463" t="str">
        <f>VLOOKUP($A463,Table1[#This Row],COLUMN(V462), FALSE)</f>
        <v>IN</v>
      </c>
      <c r="W463">
        <f>VLOOKUP($A463,Table1[#This Row],COLUMN(W462), FALSE)</f>
        <v>2013</v>
      </c>
      <c r="X463" t="str">
        <f>VLOOKUP($A463,Table1[#This Row],COLUMN(X462), FALSE)</f>
        <v>JR1570058</v>
      </c>
      <c r="Y463">
        <f>VLOOKUP($A463,Table1[#This Row],COLUMN(Y462), FALSE)</f>
        <v>41441</v>
      </c>
      <c r="Z463" t="str">
        <f>VLOOKUP($A463,Table1[#This Row],COLUMN(Z462), FALSE)</f>
        <v>IN-2013-JR1570058-41441</v>
      </c>
      <c r="AA463">
        <f>VLOOKUP($A463,Table1[#This Row],COLUMN(AA462), FALSE)</f>
        <v>2013</v>
      </c>
      <c r="AB463">
        <f>VLOOKUP($A463,Table1[#This Row],COLUMN(AB462), FALSE)</f>
        <v>6</v>
      </c>
      <c r="AC463">
        <f>VLOOKUP($A463,Table1[#This Row],COLUMN(AC462), FALSE)</f>
        <v>1</v>
      </c>
      <c r="AD463">
        <f>VLOOKUP($A463,Table1[#This Row],COLUMN(AD462), FALSE)</f>
        <v>6</v>
      </c>
    </row>
    <row r="464" spans="1:30" ht="15.75">
      <c r="A464" s="53" t="s">
        <v>1097</v>
      </c>
      <c r="B464" s="52">
        <f>VLOOKUP($A464,Table1[#This Row],COLUMN(B463), FALSE)</f>
        <v>41871</v>
      </c>
      <c r="C464" s="52">
        <f>VLOOKUP($A464,Table1[#This Row],COLUMN(C463), FALSE)</f>
        <v>41871</v>
      </c>
      <c r="D464" t="str">
        <f>VLOOKUP($A464,Table1[#This Row],COLUMN(D463), FALSE)</f>
        <v>Paul Lucas</v>
      </c>
      <c r="E464" t="str">
        <f>VLOOKUP($A464,Table1[#This Row],COLUMN(E463), FALSE)</f>
        <v>Myanmar (Burma)</v>
      </c>
      <c r="F464" t="str">
        <f>VLOOKUP($A464,Table1[#This Row],COLUMN(F463), FALSE)</f>
        <v>Southeastern Asia</v>
      </c>
      <c r="G464" t="str">
        <f>VLOOKUP($A464,Table1[#This Row],COLUMN(G463), FALSE)</f>
        <v>Office Supplies</v>
      </c>
      <c r="H464" t="str">
        <f>VLOOKUP($A464,Table1[#This Row],COLUMN(H463), FALSE)</f>
        <v>Storage</v>
      </c>
      <c r="I464">
        <f>VLOOKUP($A464,Table1[#This Row],COLUMN(I463), FALSE)</f>
        <v>1549.12859999999</v>
      </c>
      <c r="J464">
        <f>VLOOKUP($A464,Table1[#This Row],COLUMN(J463), FALSE)</f>
        <v>6</v>
      </c>
      <c r="K464">
        <f>VLOOKUP($A464,Table1[#This Row],COLUMN(K463), FALSE)</f>
        <v>0.17</v>
      </c>
      <c r="L464">
        <f>VLOOKUP($A464,Table1[#This Row],COLUMN(L463), FALSE)</f>
        <v>-56.111400000000003</v>
      </c>
      <c r="M464" t="str">
        <f>VLOOKUP($A464,Table1[#This Row],COLUMN(M463), FALSE)</f>
        <v>Critical</v>
      </c>
      <c r="N464">
        <f>VLOOKUP($A464,Table1[#This Row],COLUMN(N463), FALSE)</f>
        <v>0</v>
      </c>
      <c r="O464" t="str">
        <f>VLOOKUP($A464,Table1[#This Row],COLUMN(O463), FALSE)</f>
        <v>Paul Lucas</v>
      </c>
      <c r="P464" t="str">
        <f>VLOOKUP($A464,Table1[#This Row],COLUMN(P463), FALSE)</f>
        <v>IN</v>
      </c>
      <c r="Q464" t="str">
        <f>VLOOKUP($A464,Table1[#This Row],COLUMN(Q463), FALSE)</f>
        <v>2014</v>
      </c>
      <c r="R464" t="str">
        <f>VLOOKUP($A464,Table1[#This Row],COLUMN(R463), FALSE)</f>
        <v>CRITICAL</v>
      </c>
      <c r="S464" t="str">
        <f>VLOOKUP($A464,Table1[#This Row],COLUMN(S463), FALSE)</f>
        <v>office supplies</v>
      </c>
      <c r="T464" t="str">
        <f>VLOOKUP($A464,Table1[#This Row],COLUMN(T463), FALSE)</f>
        <v>41871</v>
      </c>
      <c r="U464" t="str">
        <f>VLOOKUP($A464,Table1[#This Row],COLUMN(U463), FALSE)</f>
        <v>PL1892588</v>
      </c>
      <c r="V464" t="str">
        <f>VLOOKUP($A464,Table1[#This Row],COLUMN(V463), FALSE)</f>
        <v>IN</v>
      </c>
      <c r="W464">
        <f>VLOOKUP($A464,Table1[#This Row],COLUMN(W463), FALSE)</f>
        <v>2014</v>
      </c>
      <c r="X464" t="str">
        <f>VLOOKUP($A464,Table1[#This Row],COLUMN(X463), FALSE)</f>
        <v>PL1892588</v>
      </c>
      <c r="Y464">
        <f>VLOOKUP($A464,Table1[#This Row],COLUMN(Y463), FALSE)</f>
        <v>41871</v>
      </c>
      <c r="Z464" t="str">
        <f>VLOOKUP($A464,Table1[#This Row],COLUMN(Z463), FALSE)</f>
        <v>IN-2014-PL1892588-41871</v>
      </c>
      <c r="AA464">
        <f>VLOOKUP($A464,Table1[#This Row],COLUMN(AA463), FALSE)</f>
        <v>2014</v>
      </c>
      <c r="AB464">
        <f>VLOOKUP($A464,Table1[#This Row],COLUMN(AB463), FALSE)</f>
        <v>8</v>
      </c>
      <c r="AC464">
        <f>VLOOKUP($A464,Table1[#This Row],COLUMN(AC463), FALSE)</f>
        <v>4</v>
      </c>
      <c r="AD464">
        <f>VLOOKUP($A464,Table1[#This Row],COLUMN(AD463), FALSE)</f>
        <v>0</v>
      </c>
    </row>
    <row r="465" spans="1:30" ht="15.75">
      <c r="A465" s="54" t="s">
        <v>1108</v>
      </c>
      <c r="B465" s="52">
        <f>VLOOKUP($A465,Table1[#This Row],COLUMN(B464), FALSE)</f>
        <v>41991</v>
      </c>
      <c r="C465" s="52">
        <f>VLOOKUP($A465,Table1[#This Row],COLUMN(C464), FALSE)</f>
        <v>41995</v>
      </c>
      <c r="D465" t="str">
        <f>VLOOKUP($A465,Table1[#This Row],COLUMN(D464), FALSE)</f>
        <v>Sanjit Chand</v>
      </c>
      <c r="E465" t="str">
        <f>VLOOKUP($A465,Table1[#This Row],COLUMN(E464), FALSE)</f>
        <v>France</v>
      </c>
      <c r="F465" t="str">
        <f>VLOOKUP($A465,Table1[#This Row],COLUMN(F464), FALSE)</f>
        <v>Western Europe</v>
      </c>
      <c r="G465" t="str">
        <f>VLOOKUP($A465,Table1[#This Row],COLUMN(G464), FALSE)</f>
        <v>Technology</v>
      </c>
      <c r="H465" t="str">
        <f>VLOOKUP($A465,Table1[#This Row],COLUMN(H464), FALSE)</f>
        <v>Accessories</v>
      </c>
      <c r="I465">
        <f>VLOOKUP($A465,Table1[#This Row],COLUMN(I464), FALSE)</f>
        <v>1654.64399999999</v>
      </c>
      <c r="J465">
        <f>VLOOKUP($A465,Table1[#This Row],COLUMN(J464), FALSE)</f>
        <v>8</v>
      </c>
      <c r="K465">
        <f>VLOOKUP($A465,Table1[#This Row],COLUMN(K464), FALSE)</f>
        <v>0.15</v>
      </c>
      <c r="L465">
        <f>VLOOKUP($A465,Table1[#This Row],COLUMN(L464), FALSE)</f>
        <v>681.20399999999995</v>
      </c>
      <c r="M465" t="str">
        <f>VLOOKUP($A465,Table1[#This Row],COLUMN(M464), FALSE)</f>
        <v>High</v>
      </c>
      <c r="N465">
        <f>VLOOKUP($A465,Table1[#This Row],COLUMN(N464), FALSE)</f>
        <v>0</v>
      </c>
      <c r="O465" t="str">
        <f>VLOOKUP($A465,Table1[#This Row],COLUMN(O464), FALSE)</f>
        <v>Sanjit Chand</v>
      </c>
      <c r="P465" t="str">
        <f>VLOOKUP($A465,Table1[#This Row],COLUMN(P464), FALSE)</f>
        <v>ES</v>
      </c>
      <c r="Q465" t="str">
        <f>VLOOKUP($A465,Table1[#This Row],COLUMN(Q464), FALSE)</f>
        <v>2014</v>
      </c>
      <c r="R465" t="str">
        <f>VLOOKUP($A465,Table1[#This Row],COLUMN(R464), FALSE)</f>
        <v>HIGH</v>
      </c>
      <c r="S465" t="str">
        <f>VLOOKUP($A465,Table1[#This Row],COLUMN(S464), FALSE)</f>
        <v>technology</v>
      </c>
      <c r="T465" t="str">
        <f>VLOOKUP($A465,Table1[#This Row],COLUMN(T464), FALSE)</f>
        <v>41991</v>
      </c>
      <c r="U465" t="str">
        <f>VLOOKUP($A465,Table1[#This Row],COLUMN(U464), FALSE)</f>
        <v>SC2009545</v>
      </c>
      <c r="V465" t="str">
        <f>VLOOKUP($A465,Table1[#This Row],COLUMN(V464), FALSE)</f>
        <v>ES</v>
      </c>
      <c r="W465">
        <f>VLOOKUP($A465,Table1[#This Row],COLUMN(W464), FALSE)</f>
        <v>2014</v>
      </c>
      <c r="X465" t="str">
        <f>VLOOKUP($A465,Table1[#This Row],COLUMN(X464), FALSE)</f>
        <v>SC2009545</v>
      </c>
      <c r="Y465">
        <f>VLOOKUP($A465,Table1[#This Row],COLUMN(Y464), FALSE)</f>
        <v>41991</v>
      </c>
      <c r="Z465" t="str">
        <f>VLOOKUP($A465,Table1[#This Row],COLUMN(Z464), FALSE)</f>
        <v>ES-2014-SC2009545-41991</v>
      </c>
      <c r="AA465">
        <f>VLOOKUP($A465,Table1[#This Row],COLUMN(AA464), FALSE)</f>
        <v>2014</v>
      </c>
      <c r="AB465">
        <f>VLOOKUP($A465,Table1[#This Row],COLUMN(AB464), FALSE)</f>
        <v>12</v>
      </c>
      <c r="AC465">
        <f>VLOOKUP($A465,Table1[#This Row],COLUMN(AC464), FALSE)</f>
        <v>5</v>
      </c>
      <c r="AD465">
        <f>VLOOKUP($A465,Table1[#This Row],COLUMN(AD464), FALSE)</f>
        <v>4</v>
      </c>
    </row>
    <row r="466" spans="1:30" ht="15.75">
      <c r="A466" s="53" t="s">
        <v>1000</v>
      </c>
      <c r="B466" s="52">
        <f>VLOOKUP($A466,Table1[#This Row],COLUMN(B465), FALSE)</f>
        <v>41678</v>
      </c>
      <c r="C466" s="52" t="str">
        <f>VLOOKUP($A466,Table1[#This Row],COLUMN(C465), FALSE)</f>
        <v xml:space="preserve"> 2014-02-09 </v>
      </c>
      <c r="D466" t="str">
        <f>VLOOKUP($A466,Table1[#This Row],COLUMN(D465), FALSE)</f>
        <v>Guy Phonely</v>
      </c>
      <c r="E466" t="str">
        <f>VLOOKUP($A466,Table1[#This Row],COLUMN(E465), FALSE)</f>
        <v>Morocco</v>
      </c>
      <c r="F466" t="str">
        <f>VLOOKUP($A466,Table1[#This Row],COLUMN(F465), FALSE)</f>
        <v>North Africa</v>
      </c>
      <c r="G466" t="str">
        <f>VLOOKUP($A466,Table1[#This Row],COLUMN(G465), FALSE)</f>
        <v>Technology</v>
      </c>
      <c r="H466" t="str">
        <f>VLOOKUP($A466,Table1[#This Row],COLUMN(H465), FALSE)</f>
        <v>Binders</v>
      </c>
      <c r="I466">
        <f>VLOOKUP($A466,Table1[#This Row],COLUMN(I465), FALSE)</f>
        <v>1457.28</v>
      </c>
      <c r="J466">
        <f>VLOOKUP($A466,Table1[#This Row],COLUMN(J465), FALSE)</f>
        <v>8</v>
      </c>
      <c r="K466">
        <f>VLOOKUP($A466,Table1[#This Row],COLUMN(K465), FALSE)</f>
        <v>0</v>
      </c>
      <c r="L466">
        <f>VLOOKUP($A466,Table1[#This Row],COLUMN(L465), FALSE)</f>
        <v>3572.9804248258702</v>
      </c>
      <c r="M466" t="str">
        <f>VLOOKUP($A466,Table1[#This Row],COLUMN(M465), FALSE)</f>
        <v>Critical</v>
      </c>
      <c r="N466">
        <f>VLOOKUP($A466,Table1[#This Row],COLUMN(N465), FALSE)</f>
        <v>0</v>
      </c>
      <c r="O466" t="str">
        <f>VLOOKUP($A466,Table1[#This Row],COLUMN(O465), FALSE)</f>
        <v>Guy Phonely</v>
      </c>
      <c r="P466" t="str">
        <f>VLOOKUP($A466,Table1[#This Row],COLUMN(P465), FALSE)</f>
        <v>MO</v>
      </c>
      <c r="Q466" t="str">
        <f>VLOOKUP($A466,Table1[#This Row],COLUMN(Q465), FALSE)</f>
        <v>2014</v>
      </c>
      <c r="R466" t="str">
        <f>VLOOKUP($A466,Table1[#This Row],COLUMN(R465), FALSE)</f>
        <v>CRITICAL</v>
      </c>
      <c r="S466" t="str">
        <f>VLOOKUP($A466,Table1[#This Row],COLUMN(S465), FALSE)</f>
        <v>technology</v>
      </c>
      <c r="T466" t="str">
        <f>VLOOKUP($A466,Table1[#This Row],COLUMN(T465), FALSE)</f>
        <v>41678</v>
      </c>
      <c r="U466" t="str">
        <f>VLOOKUP($A466,Table1[#This Row],COLUMN(U465), FALSE)</f>
        <v>GP474086</v>
      </c>
      <c r="V466" t="str">
        <f>VLOOKUP($A466,Table1[#This Row],COLUMN(V465), FALSE)</f>
        <v>MO</v>
      </c>
      <c r="W466">
        <f>VLOOKUP($A466,Table1[#This Row],COLUMN(W465), FALSE)</f>
        <v>2014</v>
      </c>
      <c r="X466" t="str">
        <f>VLOOKUP($A466,Table1[#This Row],COLUMN(X465), FALSE)</f>
        <v>GP474086</v>
      </c>
      <c r="Y466">
        <f>VLOOKUP($A466,Table1[#This Row],COLUMN(Y465), FALSE)</f>
        <v>41678</v>
      </c>
      <c r="Z466" t="str">
        <f>VLOOKUP($A466,Table1[#This Row],COLUMN(Z465), FALSE)</f>
        <v>MO-2014-GP474086-41678</v>
      </c>
      <c r="AA466">
        <f>VLOOKUP($A466,Table1[#This Row],COLUMN(AA465), FALSE)</f>
        <v>2014</v>
      </c>
      <c r="AB466">
        <f>VLOOKUP($A466,Table1[#This Row],COLUMN(AB465), FALSE)</f>
        <v>2</v>
      </c>
      <c r="AC466">
        <f>VLOOKUP($A466,Table1[#This Row],COLUMN(AC465), FALSE)</f>
        <v>7</v>
      </c>
      <c r="AD466">
        <f>VLOOKUP($A466,Table1[#This Row],COLUMN(AD465), FALSE)</f>
        <v>0</v>
      </c>
    </row>
    <row r="467" spans="1:30" ht="15.75">
      <c r="A467" s="54" t="s">
        <v>1120</v>
      </c>
      <c r="B467" s="52">
        <f>VLOOKUP($A467,Table1[#This Row],COLUMN(B466), FALSE)</f>
        <v>41506</v>
      </c>
      <c r="C467" s="52">
        <f>VLOOKUP($A467,Table1[#This Row],COLUMN(C466), FALSE)</f>
        <v>41510</v>
      </c>
      <c r="D467" t="str">
        <f>VLOOKUP($A467,Table1[#This Row],COLUMN(D466), FALSE)</f>
        <v>Charles McCrossin</v>
      </c>
      <c r="E467" t="str">
        <f>VLOOKUP($A467,Table1[#This Row],COLUMN(E466), FALSE)</f>
        <v>hCina</v>
      </c>
      <c r="F467" t="str">
        <f>VLOOKUP($A467,Table1[#This Row],COLUMN(F466), FALSE)</f>
        <v>Eastern Asia</v>
      </c>
      <c r="G467" t="str">
        <f>VLOOKUP($A467,Table1[#This Row],COLUMN(G466), FALSE)</f>
        <v>Technology</v>
      </c>
      <c r="H467" t="str">
        <f>VLOOKUP($A467,Table1[#This Row],COLUMN(H466), FALSE)</f>
        <v>Tables</v>
      </c>
      <c r="I467">
        <f>VLOOKUP($A467,Table1[#This Row],COLUMN(I466), FALSE)</f>
        <v>5737.5</v>
      </c>
      <c r="J467">
        <f>VLOOKUP($A467,Table1[#This Row],COLUMN(J466), FALSE)</f>
        <v>9</v>
      </c>
      <c r="K467">
        <f>VLOOKUP($A467,Table1[#This Row],COLUMN(K466), FALSE)</f>
        <v>0</v>
      </c>
      <c r="L467">
        <f>VLOOKUP($A467,Table1[#This Row],COLUMN(L466), FALSE)</f>
        <v>630.99</v>
      </c>
      <c r="M467" t="str">
        <f>VLOOKUP($A467,Table1[#This Row],COLUMN(M466), FALSE)</f>
        <v>Medium</v>
      </c>
      <c r="N467">
        <f>VLOOKUP($A467,Table1[#This Row],COLUMN(N466), FALSE)</f>
        <v>0</v>
      </c>
      <c r="O467" t="str">
        <f>VLOOKUP($A467,Table1[#This Row],COLUMN(O466), FALSE)</f>
        <v>Charles Mccrossin</v>
      </c>
      <c r="P467" t="str">
        <f>VLOOKUP($A467,Table1[#This Row],COLUMN(P466), FALSE)</f>
        <v>IN</v>
      </c>
      <c r="Q467" t="str">
        <f>VLOOKUP($A467,Table1[#This Row],COLUMN(Q466), FALSE)</f>
        <v>2013</v>
      </c>
      <c r="R467" t="str">
        <f>VLOOKUP($A467,Table1[#This Row],COLUMN(R466), FALSE)</f>
        <v>MEDIUM</v>
      </c>
      <c r="S467" t="str">
        <f>VLOOKUP($A467,Table1[#This Row],COLUMN(S466), FALSE)</f>
        <v>technology</v>
      </c>
      <c r="T467" t="str">
        <f>VLOOKUP($A467,Table1[#This Row],COLUMN(T466), FALSE)</f>
        <v>41506</v>
      </c>
      <c r="U467" t="str">
        <f>VLOOKUP($A467,Table1[#This Row],COLUMN(U466), FALSE)</f>
        <v>CM1216027</v>
      </c>
      <c r="V467" t="str">
        <f>VLOOKUP($A467,Table1[#This Row],COLUMN(V466), FALSE)</f>
        <v>IN</v>
      </c>
      <c r="W467">
        <f>VLOOKUP($A467,Table1[#This Row],COLUMN(W466), FALSE)</f>
        <v>2013</v>
      </c>
      <c r="X467" t="str">
        <f>VLOOKUP($A467,Table1[#This Row],COLUMN(X466), FALSE)</f>
        <v>CM1216027</v>
      </c>
      <c r="Y467">
        <f>VLOOKUP($A467,Table1[#This Row],COLUMN(Y466), FALSE)</f>
        <v>41506</v>
      </c>
      <c r="Z467" t="str">
        <f>VLOOKUP($A467,Table1[#This Row],COLUMN(Z466), FALSE)</f>
        <v>IN-2013-CM1216027-41506</v>
      </c>
      <c r="AA467">
        <f>VLOOKUP($A467,Table1[#This Row],COLUMN(AA466), FALSE)</f>
        <v>2013</v>
      </c>
      <c r="AB467">
        <f>VLOOKUP($A467,Table1[#This Row],COLUMN(AB466), FALSE)</f>
        <v>8</v>
      </c>
      <c r="AC467">
        <f>VLOOKUP($A467,Table1[#This Row],COLUMN(AC466), FALSE)</f>
        <v>3</v>
      </c>
      <c r="AD467">
        <f>VLOOKUP($A467,Table1[#This Row],COLUMN(AD466), FALSE)</f>
        <v>4</v>
      </c>
    </row>
    <row r="468" spans="1:30" ht="15.75">
      <c r="A468" s="53" t="s">
        <v>1123</v>
      </c>
      <c r="B468" s="52">
        <f>VLOOKUP($A468,Table1[#This Row],COLUMN(B467), FALSE)</f>
        <v>41418</v>
      </c>
      <c r="C468" s="52">
        <f>VLOOKUP($A468,Table1[#This Row],COLUMN(C467), FALSE)</f>
        <v>41422</v>
      </c>
      <c r="D468" t="str">
        <f>VLOOKUP($A468,Table1[#This Row],COLUMN(D467), FALSE)</f>
        <v xml:space="preserve"> Daniel Lacy </v>
      </c>
      <c r="E468" t="str">
        <f>VLOOKUP($A468,Table1[#This Row],COLUMN(E467), FALSE)</f>
        <v>Australia</v>
      </c>
      <c r="F468" t="str">
        <f>VLOOKUP($A468,Table1[#This Row],COLUMN(F467), FALSE)</f>
        <v>Oceania</v>
      </c>
      <c r="G468" t="str">
        <f>VLOOKUP($A468,Table1[#This Row],COLUMN(G467), FALSE)</f>
        <v>Technology</v>
      </c>
      <c r="H468" t="str">
        <f>VLOOKUP($A468,Table1[#This Row],COLUMN(H467), FALSE)</f>
        <v>Appliances</v>
      </c>
      <c r="I468">
        <f>VLOOKUP($A468,Table1[#This Row],COLUMN(I467), FALSE)</f>
        <v>1641.087</v>
      </c>
      <c r="J468">
        <f>VLOOKUP($A468,Table1[#This Row],COLUMN(J467), FALSE)</f>
        <v>7</v>
      </c>
      <c r="K468">
        <f>VLOOKUP($A468,Table1[#This Row],COLUMN(K467), FALSE)</f>
        <v>0.1</v>
      </c>
      <c r="L468">
        <f>VLOOKUP($A468,Table1[#This Row],COLUMN(L467), FALSE)</f>
        <v>473.90699999999998</v>
      </c>
      <c r="M468" t="str">
        <f>VLOOKUP($A468,Table1[#This Row],COLUMN(M467), FALSE)</f>
        <v>High</v>
      </c>
      <c r="N468">
        <f>VLOOKUP($A468,Table1[#This Row],COLUMN(N467), FALSE)</f>
        <v>0</v>
      </c>
      <c r="O468" t="str">
        <f>VLOOKUP($A468,Table1[#This Row],COLUMN(O467), FALSE)</f>
        <v xml:space="preserve"> Daniel Lacy </v>
      </c>
      <c r="P468" t="str">
        <f>VLOOKUP($A468,Table1[#This Row],COLUMN(P467), FALSE)</f>
        <v>IN</v>
      </c>
      <c r="Q468" t="str">
        <f>VLOOKUP($A468,Table1[#This Row],COLUMN(Q467), FALSE)</f>
        <v>2013</v>
      </c>
      <c r="R468" t="str">
        <f>VLOOKUP($A468,Table1[#This Row],COLUMN(R467), FALSE)</f>
        <v>HIGH</v>
      </c>
      <c r="S468" t="str">
        <f>VLOOKUP($A468,Table1[#This Row],COLUMN(S467), FALSE)</f>
        <v>technology</v>
      </c>
      <c r="T468" t="str">
        <f>VLOOKUP($A468,Table1[#This Row],COLUMN(T467), FALSE)</f>
        <v>41418</v>
      </c>
      <c r="U468" t="str">
        <f>VLOOKUP($A468,Table1[#This Row],COLUMN(U467), FALSE)</f>
        <v>DL129257</v>
      </c>
      <c r="V468" t="str">
        <f>VLOOKUP($A468,Table1[#This Row],COLUMN(V467), FALSE)</f>
        <v>IN</v>
      </c>
      <c r="W468">
        <f>VLOOKUP($A468,Table1[#This Row],COLUMN(W467), FALSE)</f>
        <v>2013</v>
      </c>
      <c r="X468" t="str">
        <f>VLOOKUP($A468,Table1[#This Row],COLUMN(X467), FALSE)</f>
        <v>DL129257</v>
      </c>
      <c r="Y468">
        <f>VLOOKUP($A468,Table1[#This Row],COLUMN(Y467), FALSE)</f>
        <v>41418</v>
      </c>
      <c r="Z468" t="str">
        <f>VLOOKUP($A468,Table1[#This Row],COLUMN(Z467), FALSE)</f>
        <v>IN-2013-DL129257-41418</v>
      </c>
      <c r="AA468">
        <f>VLOOKUP($A468,Table1[#This Row],COLUMN(AA467), FALSE)</f>
        <v>2013</v>
      </c>
      <c r="AB468">
        <f>VLOOKUP($A468,Table1[#This Row],COLUMN(AB467), FALSE)</f>
        <v>5</v>
      </c>
      <c r="AC468">
        <f>VLOOKUP($A468,Table1[#This Row],COLUMN(AC467), FALSE)</f>
        <v>6</v>
      </c>
      <c r="AD468">
        <f>VLOOKUP($A468,Table1[#This Row],COLUMN(AD467), FALSE)</f>
        <v>4</v>
      </c>
    </row>
    <row r="469" spans="1:30" ht="15.75">
      <c r="A469" s="54" t="s">
        <v>1134</v>
      </c>
      <c r="B469" s="52" t="str">
        <f>VLOOKUP($A469,Table1[#This Row],COLUMN(B468), FALSE)</f>
        <v xml:space="preserve"> 2014-05-14 </v>
      </c>
      <c r="C469" s="52">
        <f>VLOOKUP($A469,Table1[#This Row],COLUMN(C468), FALSE)</f>
        <v>41775</v>
      </c>
      <c r="D469" t="str">
        <f>VLOOKUP($A469,Table1[#This Row],COLUMN(D468), FALSE)</f>
        <v>Cari MacIntyre</v>
      </c>
      <c r="E469" t="str">
        <f>VLOOKUP($A469,Table1[#This Row],COLUMN(E468), FALSE)</f>
        <v>France</v>
      </c>
      <c r="F469" t="str">
        <f>VLOOKUP($A469,Table1[#This Row],COLUMN(F468), FALSE)</f>
        <v>Western Europe</v>
      </c>
      <c r="G469" t="str">
        <f>VLOOKUP($A469,Table1[#This Row],COLUMN(G468), FALSE)</f>
        <v>Technology</v>
      </c>
      <c r="H469" t="str">
        <f>VLOOKUP($A469,Table1[#This Row],COLUMN(H468), FALSE)</f>
        <v>Chairs</v>
      </c>
      <c r="I469">
        <f>VLOOKUP($A469,Table1[#This Row],COLUMN(I468), FALSE)</f>
        <v>2910.1875</v>
      </c>
      <c r="J469">
        <f>VLOOKUP($A469,Table1[#This Row],COLUMN(J468), FALSE)</f>
        <v>11</v>
      </c>
      <c r="K469">
        <f>VLOOKUP($A469,Table1[#This Row],COLUMN(K468), FALSE)</f>
        <v>0.15</v>
      </c>
      <c r="L469">
        <f>VLOOKUP($A469,Table1[#This Row],COLUMN(L468), FALSE)</f>
        <v>-68.722500000000096</v>
      </c>
      <c r="M469" t="str">
        <f>VLOOKUP($A469,Table1[#This Row],COLUMN(M468), FALSE)</f>
        <v>High</v>
      </c>
      <c r="N469">
        <f>VLOOKUP($A469,Table1[#This Row],COLUMN(N468), FALSE)</f>
        <v>0</v>
      </c>
      <c r="O469" t="str">
        <f>VLOOKUP($A469,Table1[#This Row],COLUMN(O468), FALSE)</f>
        <v>Cari Macintyre</v>
      </c>
      <c r="P469" t="str">
        <f>VLOOKUP($A469,Table1[#This Row],COLUMN(P468), FALSE)</f>
        <v>ES</v>
      </c>
      <c r="Q469" t="str">
        <f>VLOOKUP($A469,Table1[#This Row],COLUMN(Q468), FALSE)</f>
        <v>2014</v>
      </c>
      <c r="R469" t="str">
        <f>VLOOKUP($A469,Table1[#This Row],COLUMN(R468), FALSE)</f>
        <v>HIGH</v>
      </c>
      <c r="S469" t="str">
        <f>VLOOKUP($A469,Table1[#This Row],COLUMN(S468), FALSE)</f>
        <v>technology</v>
      </c>
      <c r="T469" t="str">
        <f>VLOOKUP($A469,Table1[#This Row],COLUMN(T468), FALSE)</f>
        <v>41773</v>
      </c>
      <c r="U469" t="str">
        <f>VLOOKUP($A469,Table1[#This Row],COLUMN(U468), FALSE)</f>
        <v>CM1183045</v>
      </c>
      <c r="V469" t="str">
        <f>VLOOKUP($A469,Table1[#This Row],COLUMN(V468), FALSE)</f>
        <v>ES</v>
      </c>
      <c r="W469">
        <f>VLOOKUP($A469,Table1[#This Row],COLUMN(W468), FALSE)</f>
        <v>2014</v>
      </c>
      <c r="X469" t="str">
        <f>VLOOKUP($A469,Table1[#This Row],COLUMN(X468), FALSE)</f>
        <v>CM1183045</v>
      </c>
      <c r="Y469">
        <f>VLOOKUP($A469,Table1[#This Row],COLUMN(Y468), FALSE)</f>
        <v>41773</v>
      </c>
      <c r="Z469" t="str">
        <f>VLOOKUP($A469,Table1[#This Row],COLUMN(Z468), FALSE)</f>
        <v>ES-2014-CM1183045-41773</v>
      </c>
      <c r="AA469">
        <f>VLOOKUP($A469,Table1[#This Row],COLUMN(AA468), FALSE)</f>
        <v>0</v>
      </c>
      <c r="AB469">
        <f>VLOOKUP($A469,Table1[#This Row],COLUMN(AB468), FALSE)</f>
        <v>0</v>
      </c>
      <c r="AC469">
        <f>VLOOKUP($A469,Table1[#This Row],COLUMN(AC468), FALSE)</f>
        <v>0</v>
      </c>
      <c r="AD469">
        <f>VLOOKUP($A469,Table1[#This Row],COLUMN(AD468), FALSE)</f>
        <v>0</v>
      </c>
    </row>
    <row r="470" spans="1:30" ht="15.75">
      <c r="A470" s="53" t="s">
        <v>1141</v>
      </c>
      <c r="B470" s="52">
        <f>VLOOKUP($A470,Table1[#This Row],COLUMN(B469), FALSE)</f>
        <v>41763</v>
      </c>
      <c r="C470" s="52">
        <f>VLOOKUP($A470,Table1[#This Row],COLUMN(C469), FALSE)</f>
        <v>41767</v>
      </c>
      <c r="D470" t="str">
        <f>VLOOKUP($A470,Table1[#This Row],COLUMN(D469), FALSE)</f>
        <v>Cindy Schnelling</v>
      </c>
      <c r="E470" t="str">
        <f>VLOOKUP($A470,Table1[#This Row],COLUMN(E469), FALSE)</f>
        <v>Mexico</v>
      </c>
      <c r="F470" t="str">
        <f>VLOOKUP($A470,Table1[#This Row],COLUMN(F469), FALSE)</f>
        <v>Central America</v>
      </c>
      <c r="G470" t="str">
        <f>VLOOKUP($A470,Table1[#This Row],COLUMN(G469), FALSE)</f>
        <v>Furniture</v>
      </c>
      <c r="H470" t="str">
        <f>VLOOKUP($A470,Table1[#This Row],COLUMN(H469), FALSE)</f>
        <v>Phones</v>
      </c>
      <c r="I470">
        <f>VLOOKUP($A470,Table1[#This Row],COLUMN(I469), FALSE)</f>
        <v>1731.0719999999901</v>
      </c>
      <c r="J470">
        <f>VLOOKUP($A470,Table1[#This Row],COLUMN(J469), FALSE)</f>
        <v>7</v>
      </c>
      <c r="K470">
        <f>VLOOKUP($A470,Table1[#This Row],COLUMN(K469), FALSE)</f>
        <v>0.2</v>
      </c>
      <c r="L470">
        <f>VLOOKUP($A470,Table1[#This Row],COLUMN(L469), FALSE)</f>
        <v>-238.027999999999</v>
      </c>
      <c r="M470" t="str">
        <f>VLOOKUP($A470,Table1[#This Row],COLUMN(M469), FALSE)</f>
        <v>High</v>
      </c>
      <c r="N470">
        <f>VLOOKUP($A470,Table1[#This Row],COLUMN(N469), FALSE)</f>
        <v>0</v>
      </c>
      <c r="O470" t="str">
        <f>VLOOKUP($A470,Table1[#This Row],COLUMN(O469), FALSE)</f>
        <v>Cindy Schnelling</v>
      </c>
      <c r="P470" t="str">
        <f>VLOOKUP($A470,Table1[#This Row],COLUMN(P469), FALSE)</f>
        <v>MX</v>
      </c>
      <c r="Q470" t="str">
        <f>VLOOKUP($A470,Table1[#This Row],COLUMN(Q469), FALSE)</f>
        <v>2014</v>
      </c>
      <c r="R470" t="str">
        <f>VLOOKUP($A470,Table1[#This Row],COLUMN(R469), FALSE)</f>
        <v>HIGH</v>
      </c>
      <c r="S470" t="str">
        <f>VLOOKUP($A470,Table1[#This Row],COLUMN(S469), FALSE)</f>
        <v>furniture</v>
      </c>
      <c r="T470" t="str">
        <f>VLOOKUP($A470,Table1[#This Row],COLUMN(T469), FALSE)</f>
        <v>41763</v>
      </c>
      <c r="U470" t="str">
        <f>VLOOKUP($A470,Table1[#This Row],COLUMN(U469), FALSE)</f>
        <v>CS1249082</v>
      </c>
      <c r="V470" t="str">
        <f>VLOOKUP($A470,Table1[#This Row],COLUMN(V469), FALSE)</f>
        <v>MX</v>
      </c>
      <c r="W470">
        <f>VLOOKUP($A470,Table1[#This Row],COLUMN(W469), FALSE)</f>
        <v>2014</v>
      </c>
      <c r="X470" t="str">
        <f>VLOOKUP($A470,Table1[#This Row],COLUMN(X469), FALSE)</f>
        <v>CS1249082</v>
      </c>
      <c r="Y470">
        <f>VLOOKUP($A470,Table1[#This Row],COLUMN(Y469), FALSE)</f>
        <v>41763</v>
      </c>
      <c r="Z470" t="str">
        <f>VLOOKUP($A470,Table1[#This Row],COLUMN(Z469), FALSE)</f>
        <v>MX-2014-CS1249082-41763</v>
      </c>
      <c r="AA470">
        <f>VLOOKUP($A470,Table1[#This Row],COLUMN(AA469), FALSE)</f>
        <v>2014</v>
      </c>
      <c r="AB470">
        <f>VLOOKUP($A470,Table1[#This Row],COLUMN(AB469), FALSE)</f>
        <v>5</v>
      </c>
      <c r="AC470">
        <f>VLOOKUP($A470,Table1[#This Row],COLUMN(AC469), FALSE)</f>
        <v>1</v>
      </c>
      <c r="AD470">
        <f>VLOOKUP($A470,Table1[#This Row],COLUMN(AD469), FALSE)</f>
        <v>4</v>
      </c>
    </row>
    <row r="471" spans="1:30" ht="15.75">
      <c r="A471" s="54" t="s">
        <v>1145</v>
      </c>
      <c r="B471" s="52">
        <f>VLOOKUP($A471,Table1[#This Row],COLUMN(B470), FALSE)</f>
        <v>42340</v>
      </c>
      <c r="C471" s="52">
        <f>VLOOKUP($A471,Table1[#This Row],COLUMN(C470), FALSE)</f>
        <v>42344</v>
      </c>
      <c r="D471" t="str">
        <f>VLOOKUP($A471,Table1[#This Row],COLUMN(D470), FALSE)</f>
        <v>Matthew Clasen</v>
      </c>
      <c r="E471" t="str">
        <f>VLOOKUP($A471,Table1[#This Row],COLUMN(E470), FALSE)</f>
        <v>Dominican Republic</v>
      </c>
      <c r="F471" t="str">
        <f>VLOOKUP($A471,Table1[#This Row],COLUMN(F470), FALSE)</f>
        <v>Caribbean</v>
      </c>
      <c r="G471" t="str">
        <f>VLOOKUP($A471,Table1[#This Row],COLUMN(G470), FALSE)</f>
        <v>Technology</v>
      </c>
      <c r="H471" t="str">
        <f>VLOOKUP($A471,Table1[#This Row],COLUMN(H470), FALSE)</f>
        <v>Phones</v>
      </c>
      <c r="I471">
        <f>VLOOKUP($A471,Table1[#This Row],COLUMN(I470), FALSE)</f>
        <v>1914.0799999999899</v>
      </c>
      <c r="J471">
        <f>VLOOKUP($A471,Table1[#This Row],COLUMN(J470), FALSE)</f>
        <v>14</v>
      </c>
      <c r="K471">
        <f>VLOOKUP($A471,Table1[#This Row],COLUMN(K470), FALSE)</f>
        <v>0.2</v>
      </c>
      <c r="L471">
        <f>VLOOKUP($A471,Table1[#This Row],COLUMN(L470), FALSE)</f>
        <v>669.76</v>
      </c>
      <c r="M471" t="str">
        <f>VLOOKUP($A471,Table1[#This Row],COLUMN(M470), FALSE)</f>
        <v>Medium</v>
      </c>
      <c r="N471">
        <f>VLOOKUP($A471,Table1[#This Row],COLUMN(N470), FALSE)</f>
        <v>0</v>
      </c>
      <c r="O471" t="str">
        <f>VLOOKUP($A471,Table1[#This Row],COLUMN(O470), FALSE)</f>
        <v>Matthew Clasen</v>
      </c>
      <c r="P471" t="str">
        <f>VLOOKUP($A471,Table1[#This Row],COLUMN(P470), FALSE)</f>
        <v>MX</v>
      </c>
      <c r="Q471" t="str">
        <f>VLOOKUP($A471,Table1[#This Row],COLUMN(Q470), FALSE)</f>
        <v>2015</v>
      </c>
      <c r="R471" t="str">
        <f>VLOOKUP($A471,Table1[#This Row],COLUMN(R470), FALSE)</f>
        <v>MEDIUM</v>
      </c>
      <c r="S471" t="str">
        <f>VLOOKUP($A471,Table1[#This Row],COLUMN(S470), FALSE)</f>
        <v>technology</v>
      </c>
      <c r="T471" t="str">
        <f>VLOOKUP($A471,Table1[#This Row],COLUMN(T470), FALSE)</f>
        <v>42340</v>
      </c>
      <c r="U471" t="str">
        <f>VLOOKUP($A471,Table1[#This Row],COLUMN(U470), FALSE)</f>
        <v>MC1763536</v>
      </c>
      <c r="V471" t="str">
        <f>VLOOKUP($A471,Table1[#This Row],COLUMN(V470), FALSE)</f>
        <v>MX</v>
      </c>
      <c r="W471">
        <f>VLOOKUP($A471,Table1[#This Row],COLUMN(W470), FALSE)</f>
        <v>2015</v>
      </c>
      <c r="X471" t="str">
        <f>VLOOKUP($A471,Table1[#This Row],COLUMN(X470), FALSE)</f>
        <v>MC1763536</v>
      </c>
      <c r="Y471">
        <f>VLOOKUP($A471,Table1[#This Row],COLUMN(Y470), FALSE)</f>
        <v>42340</v>
      </c>
      <c r="Z471" t="str">
        <f>VLOOKUP($A471,Table1[#This Row],COLUMN(Z470), FALSE)</f>
        <v>MX-2015-MC1763536-42340</v>
      </c>
      <c r="AA471">
        <f>VLOOKUP($A471,Table1[#This Row],COLUMN(AA470), FALSE)</f>
        <v>2015</v>
      </c>
      <c r="AB471">
        <f>VLOOKUP($A471,Table1[#This Row],COLUMN(AB470), FALSE)</f>
        <v>12</v>
      </c>
      <c r="AC471">
        <f>VLOOKUP($A471,Table1[#This Row],COLUMN(AC470), FALSE)</f>
        <v>4</v>
      </c>
      <c r="AD471">
        <f>VLOOKUP($A471,Table1[#This Row],COLUMN(AD470), FALSE)</f>
        <v>4</v>
      </c>
    </row>
    <row r="472" spans="1:30" ht="15.75">
      <c r="A472" s="53" t="s">
        <v>1147</v>
      </c>
      <c r="B472" s="52">
        <f>VLOOKUP($A472,Table1[#This Row],COLUMN(B471), FALSE)</f>
        <v>42012</v>
      </c>
      <c r="C472" s="52">
        <f>VLOOKUP($A472,Table1[#This Row],COLUMN(C471), FALSE)</f>
        <v>42017</v>
      </c>
      <c r="D472" t="str">
        <f>VLOOKUP($A472,Table1[#This Row],COLUMN(D471), FALSE)</f>
        <v>Valerie Takahito</v>
      </c>
      <c r="E472" t="str">
        <f>VLOOKUP($A472,Table1[#This Row],COLUMN(E471), FALSE)</f>
        <v>Brazil</v>
      </c>
      <c r="F472" t="str">
        <f>VLOOKUP($A472,Table1[#This Row],COLUMN(F471), FALSE)</f>
        <v>South America</v>
      </c>
      <c r="G472" t="str">
        <f>VLOOKUP($A472,Table1[#This Row],COLUMN(G471), FALSE)</f>
        <v>Technology</v>
      </c>
      <c r="H472" t="str">
        <f>VLOOKUP($A472,Table1[#This Row],COLUMN(H471), FALSE)</f>
        <v>Chairs</v>
      </c>
      <c r="I472">
        <f>VLOOKUP($A472,Table1[#This Row],COLUMN(I471), FALSE)</f>
        <v>3393.12</v>
      </c>
      <c r="J472">
        <f>VLOOKUP($A472,Table1[#This Row],COLUMN(J471), FALSE)</f>
        <v>8</v>
      </c>
      <c r="K472">
        <f>VLOOKUP($A472,Table1[#This Row],COLUMN(K471), FALSE)</f>
        <v>0</v>
      </c>
      <c r="L472">
        <f>VLOOKUP($A472,Table1[#This Row],COLUMN(L471), FALSE)</f>
        <v>101.76</v>
      </c>
      <c r="M472" t="str">
        <f>VLOOKUP($A472,Table1[#This Row],COLUMN(M471), FALSE)</f>
        <v>Medium</v>
      </c>
      <c r="N472">
        <f>VLOOKUP($A472,Table1[#This Row],COLUMN(N471), FALSE)</f>
        <v>0</v>
      </c>
      <c r="O472" t="str">
        <f>VLOOKUP($A472,Table1[#This Row],COLUMN(O471), FALSE)</f>
        <v>Valerie Takahito</v>
      </c>
      <c r="P472" t="str">
        <f>VLOOKUP($A472,Table1[#This Row],COLUMN(P471), FALSE)</f>
        <v>MX</v>
      </c>
      <c r="Q472" t="str">
        <f>VLOOKUP($A472,Table1[#This Row],COLUMN(Q471), FALSE)</f>
        <v>2015</v>
      </c>
      <c r="R472" t="str">
        <f>VLOOKUP($A472,Table1[#This Row],COLUMN(R471), FALSE)</f>
        <v>MEDIUM</v>
      </c>
      <c r="S472" t="str">
        <f>VLOOKUP($A472,Table1[#This Row],COLUMN(S471), FALSE)</f>
        <v>technology</v>
      </c>
      <c r="T472" t="str">
        <f>VLOOKUP($A472,Table1[#This Row],COLUMN(T471), FALSE)</f>
        <v>42012</v>
      </c>
      <c r="U472" t="str">
        <f>VLOOKUP($A472,Table1[#This Row],COLUMN(U471), FALSE)</f>
        <v>VT2170018</v>
      </c>
      <c r="V472" t="str">
        <f>VLOOKUP($A472,Table1[#This Row],COLUMN(V471), FALSE)</f>
        <v>MX</v>
      </c>
      <c r="W472">
        <f>VLOOKUP($A472,Table1[#This Row],COLUMN(W471), FALSE)</f>
        <v>2015</v>
      </c>
      <c r="X472" t="str">
        <f>VLOOKUP($A472,Table1[#This Row],COLUMN(X471), FALSE)</f>
        <v>VT2170018</v>
      </c>
      <c r="Y472">
        <f>VLOOKUP($A472,Table1[#This Row],COLUMN(Y471), FALSE)</f>
        <v>42012</v>
      </c>
      <c r="Z472" t="str">
        <f>VLOOKUP($A472,Table1[#This Row],COLUMN(Z471), FALSE)</f>
        <v>MX-2015-VT2170018-42012</v>
      </c>
      <c r="AA472">
        <f>VLOOKUP($A472,Table1[#This Row],COLUMN(AA471), FALSE)</f>
        <v>2015</v>
      </c>
      <c r="AB472">
        <f>VLOOKUP($A472,Table1[#This Row],COLUMN(AB471), FALSE)</f>
        <v>1</v>
      </c>
      <c r="AC472">
        <f>VLOOKUP($A472,Table1[#This Row],COLUMN(AC471), FALSE)</f>
        <v>5</v>
      </c>
      <c r="AD472">
        <f>VLOOKUP($A472,Table1[#This Row],COLUMN(AD471), FALSE)</f>
        <v>5</v>
      </c>
    </row>
    <row r="473" spans="1:30" ht="15.75">
      <c r="A473" s="54" t="s">
        <v>1148</v>
      </c>
      <c r="B473" s="52">
        <f>VLOOKUP($A473,Table1[#This Row],COLUMN(B472), FALSE)</f>
        <v>41821</v>
      </c>
      <c r="C473" s="52">
        <f>VLOOKUP($A473,Table1[#This Row],COLUMN(C472), FALSE)</f>
        <v>41824</v>
      </c>
      <c r="D473" t="str">
        <f>VLOOKUP($A473,Table1[#This Row],COLUMN(D472), FALSE)</f>
        <v>Adrian Hane</v>
      </c>
      <c r="E473" t="str">
        <f>VLOOKUP($A473,Table1[#This Row],COLUMN(E472), FALSE)</f>
        <v>United States</v>
      </c>
      <c r="F473" t="str">
        <f>VLOOKUP($A473,Table1[#This Row],COLUMN(F472), FALSE)</f>
        <v>Central US</v>
      </c>
      <c r="G473" t="str">
        <f>VLOOKUP($A473,Table1[#This Row],COLUMN(G472), FALSE)</f>
        <v>Technology</v>
      </c>
      <c r="H473" t="str">
        <f>VLOOKUP($A473,Table1[#This Row],COLUMN(H472), FALSE)</f>
        <v>Accessories</v>
      </c>
      <c r="I473">
        <f>VLOOKUP($A473,Table1[#This Row],COLUMN(I472), FALSE)</f>
        <v>50.12</v>
      </c>
      <c r="J473">
        <f>VLOOKUP($A473,Table1[#This Row],COLUMN(J472), FALSE)</f>
        <v>7</v>
      </c>
      <c r="K473">
        <f>VLOOKUP($A473,Table1[#This Row],COLUMN(K472), FALSE)</f>
        <v>0.2</v>
      </c>
      <c r="L473">
        <f>VLOOKUP($A473,Table1[#This Row],COLUMN(L472), FALSE)</f>
        <v>-0.62650000000000705</v>
      </c>
      <c r="M473" t="str">
        <f>VLOOKUP($A473,Table1[#This Row],COLUMN(M472), FALSE)</f>
        <v>Medium</v>
      </c>
      <c r="N473">
        <f>VLOOKUP($A473,Table1[#This Row],COLUMN(N472), FALSE)</f>
        <v>0</v>
      </c>
      <c r="O473" t="str">
        <f>VLOOKUP($A473,Table1[#This Row],COLUMN(O472), FALSE)</f>
        <v>Adrian Hane</v>
      </c>
      <c r="P473" t="str">
        <f>VLOOKUP($A473,Table1[#This Row],COLUMN(P472), FALSE)</f>
        <v>CA</v>
      </c>
      <c r="Q473" t="str">
        <f>VLOOKUP($A473,Table1[#This Row],COLUMN(Q472), FALSE)</f>
        <v>2014</v>
      </c>
      <c r="R473" t="str">
        <f>VLOOKUP($A473,Table1[#This Row],COLUMN(R472), FALSE)</f>
        <v>MEDIUM</v>
      </c>
      <c r="S473" t="str">
        <f>VLOOKUP($A473,Table1[#This Row],COLUMN(S472), FALSE)</f>
        <v>technology</v>
      </c>
      <c r="T473" t="str">
        <f>VLOOKUP($A473,Table1[#This Row],COLUMN(T472), FALSE)</f>
        <v>41821</v>
      </c>
      <c r="U473" t="str">
        <f>VLOOKUP($A473,Table1[#This Row],COLUMN(U472), FALSE)</f>
        <v>AH10120140</v>
      </c>
      <c r="V473" t="str">
        <f>VLOOKUP($A473,Table1[#This Row],COLUMN(V472), FALSE)</f>
        <v>CA</v>
      </c>
      <c r="W473">
        <f>VLOOKUP($A473,Table1[#This Row],COLUMN(W472), FALSE)</f>
        <v>2014</v>
      </c>
      <c r="X473" t="str">
        <f>VLOOKUP($A473,Table1[#This Row],COLUMN(X472), FALSE)</f>
        <v>AH10120140</v>
      </c>
      <c r="Y473">
        <f>VLOOKUP($A473,Table1[#This Row],COLUMN(Y472), FALSE)</f>
        <v>41821</v>
      </c>
      <c r="Z473" t="str">
        <f>VLOOKUP($A473,Table1[#This Row],COLUMN(Z472), FALSE)</f>
        <v>CA-2014-AH10120140-41821</v>
      </c>
      <c r="AA473">
        <f>VLOOKUP($A473,Table1[#This Row],COLUMN(AA472), FALSE)</f>
        <v>2014</v>
      </c>
      <c r="AB473">
        <f>VLOOKUP($A473,Table1[#This Row],COLUMN(AB472), FALSE)</f>
        <v>7</v>
      </c>
      <c r="AC473">
        <f>VLOOKUP($A473,Table1[#This Row],COLUMN(AC472), FALSE)</f>
        <v>3</v>
      </c>
      <c r="AD473">
        <f>VLOOKUP($A473,Table1[#This Row],COLUMN(AD472), FALSE)</f>
        <v>3</v>
      </c>
    </row>
    <row r="474" spans="1:30" ht="15.75">
      <c r="A474" s="53" t="s">
        <v>1149</v>
      </c>
      <c r="B474" s="52">
        <f>VLOOKUP($A474,Table1[#This Row],COLUMN(B473), FALSE)</f>
        <v>40979</v>
      </c>
      <c r="C474" s="52">
        <f>VLOOKUP($A474,Table1[#This Row],COLUMN(C473), FALSE)</f>
        <v>40984</v>
      </c>
      <c r="D474" t="str">
        <f>VLOOKUP($A474,Table1[#This Row],COLUMN(D473), FALSE)</f>
        <v>Carlos Daly</v>
      </c>
      <c r="E474" t="str">
        <f>VLOOKUP($A474,Table1[#This Row],COLUMN(E473), FALSE)</f>
        <v>China</v>
      </c>
      <c r="F474" t="str">
        <f>VLOOKUP($A474,Table1[#This Row],COLUMN(F473), FALSE)</f>
        <v>Eastern Asia</v>
      </c>
      <c r="G474" t="str">
        <f>VLOOKUP($A474,Table1[#This Row],COLUMN(G473), FALSE)</f>
        <v>Furniture</v>
      </c>
      <c r="H474" t="str">
        <f>VLOOKUP($A474,Table1[#This Row],COLUMN(H473), FALSE)</f>
        <v>Chairs</v>
      </c>
      <c r="I474">
        <f>VLOOKUP($A474,Table1[#This Row],COLUMN(I473), FALSE)</f>
        <v>3272.0099999999902</v>
      </c>
      <c r="J474">
        <f>VLOOKUP($A474,Table1[#This Row],COLUMN(J473), FALSE)</f>
        <v>7</v>
      </c>
      <c r="K474">
        <f>VLOOKUP($A474,Table1[#This Row],COLUMN(K473), FALSE)</f>
        <v>0</v>
      </c>
      <c r="L474">
        <f>VLOOKUP($A474,Table1[#This Row],COLUMN(L473), FALSE)</f>
        <v>1537.83</v>
      </c>
      <c r="M474" t="str">
        <f>VLOOKUP($A474,Table1[#This Row],COLUMN(M473), FALSE)</f>
        <v>Medium</v>
      </c>
      <c r="N474">
        <f>VLOOKUP($A474,Table1[#This Row],COLUMN(N473), FALSE)</f>
        <v>0</v>
      </c>
      <c r="O474" t="str">
        <f>VLOOKUP($A474,Table1[#This Row],COLUMN(O473), FALSE)</f>
        <v>Carlos Daly</v>
      </c>
      <c r="P474" t="str">
        <f>VLOOKUP($A474,Table1[#This Row],COLUMN(P473), FALSE)</f>
        <v>IN</v>
      </c>
      <c r="Q474" t="str">
        <f>VLOOKUP($A474,Table1[#This Row],COLUMN(Q473), FALSE)</f>
        <v>2012</v>
      </c>
      <c r="R474" t="str">
        <f>VLOOKUP($A474,Table1[#This Row],COLUMN(R473), FALSE)</f>
        <v>MEDIUM</v>
      </c>
      <c r="S474" t="str">
        <f>VLOOKUP($A474,Table1[#This Row],COLUMN(S473), FALSE)</f>
        <v>furniture</v>
      </c>
      <c r="T474" t="str">
        <f>VLOOKUP($A474,Table1[#This Row],COLUMN(T473), FALSE)</f>
        <v>40979</v>
      </c>
      <c r="U474" t="str">
        <f>VLOOKUP($A474,Table1[#This Row],COLUMN(U473), FALSE)</f>
        <v>CD1192027</v>
      </c>
      <c r="V474" t="str">
        <f>VLOOKUP($A474,Table1[#This Row],COLUMN(V473), FALSE)</f>
        <v>IN</v>
      </c>
      <c r="W474">
        <f>VLOOKUP($A474,Table1[#This Row],COLUMN(W473), FALSE)</f>
        <v>2012</v>
      </c>
      <c r="X474" t="str">
        <f>VLOOKUP($A474,Table1[#This Row],COLUMN(X473), FALSE)</f>
        <v>CD1192027</v>
      </c>
      <c r="Y474">
        <f>VLOOKUP($A474,Table1[#This Row],COLUMN(Y473), FALSE)</f>
        <v>40979</v>
      </c>
      <c r="Z474" t="str">
        <f>VLOOKUP($A474,Table1[#This Row],COLUMN(Z473), FALSE)</f>
        <v>IN-2012-CD1192027-40979</v>
      </c>
      <c r="AA474">
        <f>VLOOKUP($A474,Table1[#This Row],COLUMN(AA473), FALSE)</f>
        <v>2012</v>
      </c>
      <c r="AB474">
        <f>VLOOKUP($A474,Table1[#This Row],COLUMN(AB473), FALSE)</f>
        <v>3</v>
      </c>
      <c r="AC474">
        <f>VLOOKUP($A474,Table1[#This Row],COLUMN(AC473), FALSE)</f>
        <v>1</v>
      </c>
      <c r="AD474">
        <f>VLOOKUP($A474,Table1[#This Row],COLUMN(AD473), FALSE)</f>
        <v>5</v>
      </c>
    </row>
    <row r="475" spans="1:30" ht="15.75">
      <c r="A475" s="54" t="s">
        <v>1150</v>
      </c>
      <c r="B475" s="52">
        <f>VLOOKUP($A475,Table1[#This Row],COLUMN(B474), FALSE)</f>
        <v>41654</v>
      </c>
      <c r="C475" s="52">
        <f>VLOOKUP($A475,Table1[#This Row],COLUMN(C474), FALSE)</f>
        <v>41660</v>
      </c>
      <c r="D475" t="str">
        <f>VLOOKUP($A475,Table1[#This Row],COLUMN(D474), FALSE)</f>
        <v xml:space="preserve"> Tom Ashbrook </v>
      </c>
      <c r="E475" t="str">
        <f>VLOOKUP($A475,Table1[#This Row],COLUMN(E474), FALSE)</f>
        <v>Philippines</v>
      </c>
      <c r="F475" t="str">
        <f>VLOOKUP($A475,Table1[#This Row],COLUMN(F474), FALSE)</f>
        <v>Southeastern Asia</v>
      </c>
      <c r="G475" t="str">
        <f>VLOOKUP($A475,Table1[#This Row],COLUMN(G474), FALSE)</f>
        <v>Office Supplies</v>
      </c>
      <c r="H475" t="str">
        <f>VLOOKUP($A475,Table1[#This Row],COLUMN(H474), FALSE)</f>
        <v>Copiers</v>
      </c>
      <c r="I475">
        <f>VLOOKUP($A475,Table1[#This Row],COLUMN(I474), FALSE)</f>
        <v>3386.8589999999999</v>
      </c>
      <c r="J475">
        <f>VLOOKUP($A475,Table1[#This Row],COLUMN(J474), FALSE)</f>
        <v>7</v>
      </c>
      <c r="K475">
        <f>VLOOKUP($A475,Table1[#This Row],COLUMN(K474), FALSE)</f>
        <v>0.15</v>
      </c>
      <c r="L475">
        <f>VLOOKUP($A475,Table1[#This Row],COLUMN(L474), FALSE)</f>
        <v>-597.68100000000004</v>
      </c>
      <c r="M475" t="str">
        <f>VLOOKUP($A475,Table1[#This Row],COLUMN(M474), FALSE)</f>
        <v>Low</v>
      </c>
      <c r="N475">
        <f>VLOOKUP($A475,Table1[#This Row],COLUMN(N474), FALSE)</f>
        <v>0</v>
      </c>
      <c r="O475" t="str">
        <f>VLOOKUP($A475,Table1[#This Row],COLUMN(O474), FALSE)</f>
        <v xml:space="preserve"> Tom Ashbrook </v>
      </c>
      <c r="P475" t="str">
        <f>VLOOKUP($A475,Table1[#This Row],COLUMN(P474), FALSE)</f>
        <v>ID</v>
      </c>
      <c r="Q475" t="str">
        <f>VLOOKUP($A475,Table1[#This Row],COLUMN(Q474), FALSE)</f>
        <v>2014</v>
      </c>
      <c r="R475" t="str">
        <f>VLOOKUP($A475,Table1[#This Row],COLUMN(R474), FALSE)</f>
        <v>LOW</v>
      </c>
      <c r="S475" t="str">
        <f>VLOOKUP($A475,Table1[#This Row],COLUMN(S474), FALSE)</f>
        <v>office supplies</v>
      </c>
      <c r="T475" t="str">
        <f>VLOOKUP($A475,Table1[#This Row],COLUMN(T474), FALSE)</f>
        <v>41654</v>
      </c>
      <c r="U475" t="str">
        <f>VLOOKUP($A475,Table1[#This Row],COLUMN(U474), FALSE)</f>
        <v>TA21385102</v>
      </c>
      <c r="V475" t="str">
        <f>VLOOKUP($A475,Table1[#This Row],COLUMN(V474), FALSE)</f>
        <v>ID</v>
      </c>
      <c r="W475">
        <f>VLOOKUP($A475,Table1[#This Row],COLUMN(W474), FALSE)</f>
        <v>2014</v>
      </c>
      <c r="X475" t="str">
        <f>VLOOKUP($A475,Table1[#This Row],COLUMN(X474), FALSE)</f>
        <v>TA21385102</v>
      </c>
      <c r="Y475">
        <f>VLOOKUP($A475,Table1[#This Row],COLUMN(Y474), FALSE)</f>
        <v>41654</v>
      </c>
      <c r="Z475" t="str">
        <f>VLOOKUP($A475,Table1[#This Row],COLUMN(Z474), FALSE)</f>
        <v>ID-2014-TA21385102-41654</v>
      </c>
      <c r="AA475">
        <f>VLOOKUP($A475,Table1[#This Row],COLUMN(AA474), FALSE)</f>
        <v>2014</v>
      </c>
      <c r="AB475">
        <f>VLOOKUP($A475,Table1[#This Row],COLUMN(AB474), FALSE)</f>
        <v>1</v>
      </c>
      <c r="AC475">
        <f>VLOOKUP($A475,Table1[#This Row],COLUMN(AC474), FALSE)</f>
        <v>4</v>
      </c>
      <c r="AD475">
        <f>VLOOKUP($A475,Table1[#This Row],COLUMN(AD474), FALSE)</f>
        <v>6</v>
      </c>
    </row>
    <row r="476" spans="1:30" ht="15.75">
      <c r="A476" s="53" t="s">
        <v>1152</v>
      </c>
      <c r="B476" s="52">
        <f>VLOOKUP($A476,Table1[#This Row],COLUMN(B475), FALSE)</f>
        <v>41231</v>
      </c>
      <c r="C476" s="52">
        <f>VLOOKUP($A476,Table1[#This Row],COLUMN(C475), FALSE)</f>
        <v>41233</v>
      </c>
      <c r="D476" t="str">
        <f>VLOOKUP($A476,Table1[#This Row],COLUMN(D475), FALSE)</f>
        <v>Denny Joy</v>
      </c>
      <c r="E476" t="str">
        <f>VLOOKUP($A476,Table1[#This Row],COLUMN(E475), FALSE)</f>
        <v>Greece</v>
      </c>
      <c r="F476" t="str">
        <f>VLOOKUP($A476,Table1[#This Row],COLUMN(F475), FALSE)</f>
        <v>Southern Europe</v>
      </c>
      <c r="G476" t="str">
        <f>VLOOKUP($A476,Table1[#This Row],COLUMN(G475), FALSE)</f>
        <v>Technology</v>
      </c>
      <c r="H476" t="str">
        <f>VLOOKUP($A476,Table1[#This Row],COLUMN(H475), FALSE)</f>
        <v>Appliances</v>
      </c>
      <c r="I476">
        <f>VLOOKUP($A476,Table1[#This Row],COLUMN(I475), FALSE)</f>
        <v>728.53200000000004</v>
      </c>
      <c r="J476">
        <f>VLOOKUP($A476,Table1[#This Row],COLUMN(J475), FALSE)</f>
        <v>7</v>
      </c>
      <c r="K476">
        <f>VLOOKUP($A476,Table1[#This Row],COLUMN(K475), FALSE)</f>
        <v>0.4</v>
      </c>
      <c r="L476">
        <f>VLOOKUP($A476,Table1[#This Row],COLUMN(L475), FALSE)</f>
        <v>-133.72799999999901</v>
      </c>
      <c r="M476" t="str">
        <f>VLOOKUP($A476,Table1[#This Row],COLUMN(M475), FALSE)</f>
        <v>Critical</v>
      </c>
      <c r="N476">
        <f>VLOOKUP($A476,Table1[#This Row],COLUMN(N475), FALSE)</f>
        <v>0</v>
      </c>
      <c r="O476" t="str">
        <f>VLOOKUP($A476,Table1[#This Row],COLUMN(O475), FALSE)</f>
        <v>Denny Joy</v>
      </c>
      <c r="P476" t="str">
        <f>VLOOKUP($A476,Table1[#This Row],COLUMN(P475), FALSE)</f>
        <v>ES</v>
      </c>
      <c r="Q476" t="str">
        <f>VLOOKUP($A476,Table1[#This Row],COLUMN(Q475), FALSE)</f>
        <v>2012</v>
      </c>
      <c r="R476" t="str">
        <f>VLOOKUP($A476,Table1[#This Row],COLUMN(R475), FALSE)</f>
        <v>CRITICAL</v>
      </c>
      <c r="S476" t="str">
        <f>VLOOKUP($A476,Table1[#This Row],COLUMN(S475), FALSE)</f>
        <v>technology</v>
      </c>
      <c r="T476" t="str">
        <f>VLOOKUP($A476,Table1[#This Row],COLUMN(T475), FALSE)</f>
        <v>41231</v>
      </c>
      <c r="U476" t="str">
        <f>VLOOKUP($A476,Table1[#This Row],COLUMN(U475), FALSE)</f>
        <v>DJ88887148</v>
      </c>
      <c r="V476" t="str">
        <f>VLOOKUP($A476,Table1[#This Row],COLUMN(V475), FALSE)</f>
        <v>ES</v>
      </c>
      <c r="W476">
        <f>VLOOKUP($A476,Table1[#This Row],COLUMN(W475), FALSE)</f>
        <v>2012</v>
      </c>
      <c r="X476" t="str">
        <f>VLOOKUP($A476,Table1[#This Row],COLUMN(X475), FALSE)</f>
        <v>DJ88887148</v>
      </c>
      <c r="Y476">
        <f>VLOOKUP($A476,Table1[#This Row],COLUMN(Y475), FALSE)</f>
        <v>41231</v>
      </c>
      <c r="Z476" t="str">
        <f>VLOOKUP($A476,Table1[#This Row],COLUMN(Z475), FALSE)</f>
        <v>ES-2012-DJ88887148-41231</v>
      </c>
      <c r="AA476">
        <f>VLOOKUP($A476,Table1[#This Row],COLUMN(AA475), FALSE)</f>
        <v>2012</v>
      </c>
      <c r="AB476">
        <f>VLOOKUP($A476,Table1[#This Row],COLUMN(AB475), FALSE)</f>
        <v>11</v>
      </c>
      <c r="AC476">
        <f>VLOOKUP($A476,Table1[#This Row],COLUMN(AC475), FALSE)</f>
        <v>1</v>
      </c>
      <c r="AD476">
        <f>VLOOKUP($A476,Table1[#This Row],COLUMN(AD475), FALSE)</f>
        <v>2</v>
      </c>
    </row>
    <row r="477" spans="1:30" ht="15.75">
      <c r="A477" s="54" t="s">
        <v>1157</v>
      </c>
      <c r="B477" s="52" t="str">
        <f>VLOOKUP($A477,Table1[#This Row],COLUMN(B476), FALSE)</f>
        <v xml:space="preserve"> 2013-06-16 </v>
      </c>
      <c r="C477" s="52">
        <f>VLOOKUP($A477,Table1[#This Row],COLUMN(C476), FALSE)</f>
        <v>41445</v>
      </c>
      <c r="D477" t="str">
        <f>VLOOKUP($A477,Table1[#This Row],COLUMN(D476), FALSE)</f>
        <v>Andrew Roberts</v>
      </c>
      <c r="E477" t="str">
        <f>VLOOKUP($A477,Table1[#This Row],COLUMN(E476), FALSE)</f>
        <v>Italy</v>
      </c>
      <c r="F477" t="str">
        <f>VLOOKUP($A477,Table1[#This Row],COLUMN(F476), FALSE)</f>
        <v>Southern Europe</v>
      </c>
      <c r="G477" t="str">
        <f>VLOOKUP($A477,Table1[#This Row],COLUMN(G476), FALSE)</f>
        <v>Furniture</v>
      </c>
      <c r="H477" t="str">
        <f>VLOOKUP($A477,Table1[#This Row],COLUMN(H476), FALSE)</f>
        <v>Appliances</v>
      </c>
      <c r="I477">
        <f>VLOOKUP($A477,Table1[#This Row],COLUMN(I476), FALSE)</f>
        <v>2546.46</v>
      </c>
      <c r="J477">
        <f>VLOOKUP($A477,Table1[#This Row],COLUMN(J476), FALSE)</f>
        <v>7</v>
      </c>
      <c r="K477">
        <f>VLOOKUP($A477,Table1[#This Row],COLUMN(K476), FALSE)</f>
        <v>0</v>
      </c>
      <c r="L477">
        <f>VLOOKUP($A477,Table1[#This Row],COLUMN(L476), FALSE)</f>
        <v>381.78</v>
      </c>
      <c r="M477" t="str">
        <f>VLOOKUP($A477,Table1[#This Row],COLUMN(M476), FALSE)</f>
        <v>High</v>
      </c>
      <c r="N477">
        <f>VLOOKUP($A477,Table1[#This Row],COLUMN(N476), FALSE)</f>
        <v>0</v>
      </c>
      <c r="O477" t="str">
        <f>VLOOKUP($A477,Table1[#This Row],COLUMN(O476), FALSE)</f>
        <v>Andrew Roberts</v>
      </c>
      <c r="P477" t="str">
        <f>VLOOKUP($A477,Table1[#This Row],COLUMN(P476), FALSE)</f>
        <v>ES</v>
      </c>
      <c r="Q477" t="str">
        <f>VLOOKUP($A477,Table1[#This Row],COLUMN(Q476), FALSE)</f>
        <v>2013</v>
      </c>
      <c r="R477" t="str">
        <f>VLOOKUP($A477,Table1[#This Row],COLUMN(R476), FALSE)</f>
        <v>HIGH</v>
      </c>
      <c r="S477" t="str">
        <f>VLOOKUP($A477,Table1[#This Row],COLUMN(S476), FALSE)</f>
        <v>furniture</v>
      </c>
      <c r="T477" t="str">
        <f>VLOOKUP($A477,Table1[#This Row],COLUMN(T476), FALSE)</f>
        <v>41441</v>
      </c>
      <c r="U477" t="str">
        <f>VLOOKUP($A477,Table1[#This Row],COLUMN(U476), FALSE)</f>
        <v>AR1051064</v>
      </c>
      <c r="V477" t="str">
        <f>VLOOKUP($A477,Table1[#This Row],COLUMN(V476), FALSE)</f>
        <v>ES</v>
      </c>
      <c r="W477">
        <f>VLOOKUP($A477,Table1[#This Row],COLUMN(W476), FALSE)</f>
        <v>2013</v>
      </c>
      <c r="X477" t="str">
        <f>VLOOKUP($A477,Table1[#This Row],COLUMN(X476), FALSE)</f>
        <v>AR1051064</v>
      </c>
      <c r="Y477">
        <f>VLOOKUP($A477,Table1[#This Row],COLUMN(Y476), FALSE)</f>
        <v>41441</v>
      </c>
      <c r="Z477" t="str">
        <f>VLOOKUP($A477,Table1[#This Row],COLUMN(Z476), FALSE)</f>
        <v>ES-2013-AR1051064-41441</v>
      </c>
      <c r="AA477">
        <f>VLOOKUP($A477,Table1[#This Row],COLUMN(AA476), FALSE)</f>
        <v>0</v>
      </c>
      <c r="AB477">
        <f>VLOOKUP($A477,Table1[#This Row],COLUMN(AB476), FALSE)</f>
        <v>0</v>
      </c>
      <c r="AC477">
        <f>VLOOKUP($A477,Table1[#This Row],COLUMN(AC476), FALSE)</f>
        <v>0</v>
      </c>
      <c r="AD477">
        <f>VLOOKUP($A477,Table1[#This Row],COLUMN(AD476), FALSE)</f>
        <v>0</v>
      </c>
    </row>
    <row r="478" spans="1:30" ht="15.75">
      <c r="A478" s="53" t="s">
        <v>1160</v>
      </c>
      <c r="B478" s="52">
        <f>VLOOKUP($A478,Table1[#This Row],COLUMN(B477), FALSE)</f>
        <v>41831</v>
      </c>
      <c r="C478" s="52">
        <f>VLOOKUP($A478,Table1[#This Row],COLUMN(C477), FALSE)</f>
        <v>41835</v>
      </c>
      <c r="D478" t="str">
        <f>VLOOKUP($A478,Table1[#This Row],COLUMN(D477), FALSE)</f>
        <v>Jonathan Howell</v>
      </c>
      <c r="E478" t="str">
        <f>VLOOKUP($A478,Table1[#This Row],COLUMN(E477), FALSE)</f>
        <v>Japan</v>
      </c>
      <c r="F478" t="str">
        <f>VLOOKUP($A478,Table1[#This Row],COLUMN(F477), FALSE)</f>
        <v>Eastern Asia</v>
      </c>
      <c r="G478" t="str">
        <f>VLOOKUP($A478,Table1[#This Row],COLUMN(G477), FALSE)</f>
        <v>Furniture</v>
      </c>
      <c r="H478" t="str">
        <f>VLOOKUP($A478,Table1[#This Row],COLUMN(H477), FALSE)</f>
        <v>Phones</v>
      </c>
      <c r="I478">
        <f>VLOOKUP($A478,Table1[#This Row],COLUMN(I477), FALSE)</f>
        <v>2888.76</v>
      </c>
      <c r="J478">
        <f>VLOOKUP($A478,Table1[#This Row],COLUMN(J477), FALSE)</f>
        <v>7</v>
      </c>
      <c r="K478">
        <f>VLOOKUP($A478,Table1[#This Row],COLUMN(K477), FALSE)</f>
        <v>0</v>
      </c>
      <c r="L478">
        <f>VLOOKUP($A478,Table1[#This Row],COLUMN(L477), FALSE)</f>
        <v>173.25</v>
      </c>
      <c r="M478" t="str">
        <f>VLOOKUP($A478,Table1[#This Row],COLUMN(M477), FALSE)</f>
        <v>Medium</v>
      </c>
      <c r="N478">
        <f>VLOOKUP($A478,Table1[#This Row],COLUMN(N477), FALSE)</f>
        <v>0</v>
      </c>
      <c r="O478" t="str">
        <f>VLOOKUP($A478,Table1[#This Row],COLUMN(O477), FALSE)</f>
        <v>Jonathan Howell</v>
      </c>
      <c r="P478" t="str">
        <f>VLOOKUP($A478,Table1[#This Row],COLUMN(P477), FALSE)</f>
        <v>IN</v>
      </c>
      <c r="Q478" t="str">
        <f>VLOOKUP($A478,Table1[#This Row],COLUMN(Q477), FALSE)</f>
        <v>2014</v>
      </c>
      <c r="R478" t="str">
        <f>VLOOKUP($A478,Table1[#This Row],COLUMN(R477), FALSE)</f>
        <v>MEDIUM</v>
      </c>
      <c r="S478" t="str">
        <f>VLOOKUP($A478,Table1[#This Row],COLUMN(S477), FALSE)</f>
        <v>furniture</v>
      </c>
      <c r="T478" t="str">
        <f>VLOOKUP($A478,Table1[#This Row],COLUMN(T477), FALSE)</f>
        <v>41831</v>
      </c>
      <c r="U478" t="str">
        <f>VLOOKUP($A478,Table1[#This Row],COLUMN(U477), FALSE)</f>
        <v>JH1591066</v>
      </c>
      <c r="V478" t="str">
        <f>VLOOKUP($A478,Table1[#This Row],COLUMN(V477), FALSE)</f>
        <v>IN</v>
      </c>
      <c r="W478">
        <f>VLOOKUP($A478,Table1[#This Row],COLUMN(W477), FALSE)</f>
        <v>2014</v>
      </c>
      <c r="X478" t="str">
        <f>VLOOKUP($A478,Table1[#This Row],COLUMN(X477), FALSE)</f>
        <v>JH1591066</v>
      </c>
      <c r="Y478">
        <f>VLOOKUP($A478,Table1[#This Row],COLUMN(Y477), FALSE)</f>
        <v>41831</v>
      </c>
      <c r="Z478" t="str">
        <f>VLOOKUP($A478,Table1[#This Row],COLUMN(Z477), FALSE)</f>
        <v>IN-2014-JH1591066-41831</v>
      </c>
      <c r="AA478">
        <f>VLOOKUP($A478,Table1[#This Row],COLUMN(AA477), FALSE)</f>
        <v>2014</v>
      </c>
      <c r="AB478">
        <f>VLOOKUP($A478,Table1[#This Row],COLUMN(AB477), FALSE)</f>
        <v>7</v>
      </c>
      <c r="AC478">
        <f>VLOOKUP($A478,Table1[#This Row],COLUMN(AC477), FALSE)</f>
        <v>6</v>
      </c>
      <c r="AD478">
        <f>VLOOKUP($A478,Table1[#This Row],COLUMN(AD477), FALSE)</f>
        <v>4</v>
      </c>
    </row>
    <row r="479" spans="1:30" ht="15.75">
      <c r="A479" s="54" t="s">
        <v>1163</v>
      </c>
      <c r="B479" s="52">
        <f>VLOOKUP($A479,Table1[#This Row],COLUMN(B478), FALSE)</f>
        <v>42221</v>
      </c>
      <c r="C479" s="52">
        <f>VLOOKUP($A479,Table1[#This Row],COLUMN(C478), FALSE)</f>
        <v>42225</v>
      </c>
      <c r="D479" t="str">
        <f>VLOOKUP($A479,Table1[#This Row],COLUMN(D478), FALSE)</f>
        <v>Chris McAfee</v>
      </c>
      <c r="E479" t="str">
        <f>VLOOKUP($A479,Table1[#This Row],COLUMN(E478), FALSE)</f>
        <v>United Kingdom</v>
      </c>
      <c r="F479" t="str">
        <f>VLOOKUP($A479,Table1[#This Row],COLUMN(F478), FALSE)</f>
        <v>Northern Europe</v>
      </c>
      <c r="G479" t="str">
        <f>VLOOKUP($A479,Table1[#This Row],COLUMN(G478), FALSE)</f>
        <v>Technology</v>
      </c>
      <c r="H479" t="str">
        <f>VLOOKUP($A479,Table1[#This Row],COLUMN(H478), FALSE)</f>
        <v>Bookcases</v>
      </c>
      <c r="I479">
        <f>VLOOKUP($A479,Table1[#This Row],COLUMN(I478), FALSE)</f>
        <v>1237.44</v>
      </c>
      <c r="J479">
        <f>VLOOKUP($A479,Table1[#This Row],COLUMN(J478), FALSE)</f>
        <v>8</v>
      </c>
      <c r="K479">
        <f>VLOOKUP($A479,Table1[#This Row],COLUMN(K478), FALSE)</f>
        <v>0</v>
      </c>
      <c r="L479">
        <f>VLOOKUP($A479,Table1[#This Row],COLUMN(L478), FALSE)</f>
        <v>74.16</v>
      </c>
      <c r="M479" t="str">
        <f>VLOOKUP($A479,Table1[#This Row],COLUMN(M478), FALSE)</f>
        <v>High</v>
      </c>
      <c r="N479">
        <f>VLOOKUP($A479,Table1[#This Row],COLUMN(N478), FALSE)</f>
        <v>0</v>
      </c>
      <c r="O479" t="str">
        <f>VLOOKUP($A479,Table1[#This Row],COLUMN(O478), FALSE)</f>
        <v>Chris Mcafee</v>
      </c>
      <c r="P479" t="str">
        <f>VLOOKUP($A479,Table1[#This Row],COLUMN(P478), FALSE)</f>
        <v>ES</v>
      </c>
      <c r="Q479" t="str">
        <f>VLOOKUP($A479,Table1[#This Row],COLUMN(Q478), FALSE)</f>
        <v>2015</v>
      </c>
      <c r="R479" t="str">
        <f>VLOOKUP($A479,Table1[#This Row],COLUMN(R478), FALSE)</f>
        <v>HIGH</v>
      </c>
      <c r="S479" t="str">
        <f>VLOOKUP($A479,Table1[#This Row],COLUMN(S478), FALSE)</f>
        <v>technology</v>
      </c>
      <c r="T479" t="str">
        <f>VLOOKUP($A479,Table1[#This Row],COLUMN(T478), FALSE)</f>
        <v>42221</v>
      </c>
      <c r="U479" t="str">
        <f>VLOOKUP($A479,Table1[#This Row],COLUMN(U478), FALSE)</f>
        <v>CM12235139</v>
      </c>
      <c r="V479" t="str">
        <f>VLOOKUP($A479,Table1[#This Row],COLUMN(V478), FALSE)</f>
        <v>ES</v>
      </c>
      <c r="W479">
        <f>VLOOKUP($A479,Table1[#This Row],COLUMN(W478), FALSE)</f>
        <v>2015</v>
      </c>
      <c r="X479" t="str">
        <f>VLOOKUP($A479,Table1[#This Row],COLUMN(X478), FALSE)</f>
        <v>CM12235139</v>
      </c>
      <c r="Y479">
        <f>VLOOKUP($A479,Table1[#This Row],COLUMN(Y478), FALSE)</f>
        <v>42221</v>
      </c>
      <c r="Z479" t="str">
        <f>VLOOKUP($A479,Table1[#This Row],COLUMN(Z478), FALSE)</f>
        <v>ES-2015-CM12235139-42221</v>
      </c>
      <c r="AA479">
        <f>VLOOKUP($A479,Table1[#This Row],COLUMN(AA478), FALSE)</f>
        <v>2015</v>
      </c>
      <c r="AB479">
        <f>VLOOKUP($A479,Table1[#This Row],COLUMN(AB478), FALSE)</f>
        <v>8</v>
      </c>
      <c r="AC479">
        <f>VLOOKUP($A479,Table1[#This Row],COLUMN(AC478), FALSE)</f>
        <v>4</v>
      </c>
      <c r="AD479">
        <f>VLOOKUP($A479,Table1[#This Row],COLUMN(AD478), FALSE)</f>
        <v>4</v>
      </c>
    </row>
    <row r="480" spans="1:30" ht="15.75">
      <c r="A480" s="53" t="s">
        <v>285</v>
      </c>
      <c r="B480" s="52">
        <f>VLOOKUP($A480,Table1[#This Row],COLUMN(B479), FALSE)</f>
        <v>41634</v>
      </c>
      <c r="C480" s="52">
        <f>VLOOKUP($A480,Table1[#This Row],COLUMN(C479), FALSE)</f>
        <v>41636</v>
      </c>
      <c r="D480" t="str">
        <f>VLOOKUP($A480,Table1[#This Row],COLUMN(D479), FALSE)</f>
        <v>Neoma Murray</v>
      </c>
      <c r="E480" t="str">
        <f>VLOOKUP($A480,Table1[#This Row],COLUMN(E479), FALSE)</f>
        <v>Spain</v>
      </c>
      <c r="F480" t="str">
        <f>VLOOKUP($A480,Table1[#This Row],COLUMN(F479), FALSE)</f>
        <v>Southern Europe</v>
      </c>
      <c r="G480" t="str">
        <f>VLOOKUP($A480,Table1[#This Row],COLUMN(G479), FALSE)</f>
        <v>Office Supplies</v>
      </c>
      <c r="H480" t="str">
        <f>VLOOKUP($A480,Table1[#This Row],COLUMN(H479), FALSE)</f>
        <v>Phones</v>
      </c>
      <c r="I480">
        <f>VLOOKUP($A480,Table1[#This Row],COLUMN(I479), FALSE)</f>
        <v>600.6</v>
      </c>
      <c r="J480">
        <f>VLOOKUP($A480,Table1[#This Row],COLUMN(J479), FALSE)</f>
        <v>13</v>
      </c>
      <c r="K480">
        <f>VLOOKUP($A480,Table1[#This Row],COLUMN(K479), FALSE)</f>
        <v>0</v>
      </c>
      <c r="L480">
        <f>VLOOKUP($A480,Table1[#This Row],COLUMN(L479), FALSE)</f>
        <v>131.82</v>
      </c>
      <c r="M480" t="str">
        <f>VLOOKUP($A480,Table1[#This Row],COLUMN(M479), FALSE)</f>
        <v>Critical</v>
      </c>
      <c r="N480">
        <f>VLOOKUP($A480,Table1[#This Row],COLUMN(N479), FALSE)</f>
        <v>0</v>
      </c>
      <c r="O480" t="str">
        <f>VLOOKUP($A480,Table1[#This Row],COLUMN(O479), FALSE)</f>
        <v>Neoma Murray</v>
      </c>
      <c r="P480" t="str">
        <f>VLOOKUP($A480,Table1[#This Row],COLUMN(P479), FALSE)</f>
        <v>ES</v>
      </c>
      <c r="Q480" t="str">
        <f>VLOOKUP($A480,Table1[#This Row],COLUMN(Q479), FALSE)</f>
        <v>2013</v>
      </c>
      <c r="R480" t="str">
        <f>VLOOKUP($A480,Table1[#This Row],COLUMN(R479), FALSE)</f>
        <v>CRITICAL</v>
      </c>
      <c r="S480" t="str">
        <f>VLOOKUP($A480,Table1[#This Row],COLUMN(S479), FALSE)</f>
        <v>office supplies</v>
      </c>
      <c r="T480" t="str">
        <f>VLOOKUP($A480,Table1[#This Row],COLUMN(T479), FALSE)</f>
        <v>41634</v>
      </c>
      <c r="U480" t="str">
        <f>VLOOKUP($A480,Table1[#This Row],COLUMN(U479), FALSE)</f>
        <v>NM18520120</v>
      </c>
      <c r="V480" t="str">
        <f>VLOOKUP($A480,Table1[#This Row],COLUMN(V479), FALSE)</f>
        <v>ES</v>
      </c>
      <c r="W480">
        <f>VLOOKUP($A480,Table1[#This Row],COLUMN(W479), FALSE)</f>
        <v>2013</v>
      </c>
      <c r="X480" t="str">
        <f>VLOOKUP($A480,Table1[#This Row],COLUMN(X479), FALSE)</f>
        <v>NM18520120</v>
      </c>
      <c r="Y480">
        <f>VLOOKUP($A480,Table1[#This Row],COLUMN(Y479), FALSE)</f>
        <v>41634</v>
      </c>
      <c r="Z480" t="str">
        <f>VLOOKUP($A480,Table1[#This Row],COLUMN(Z479), FALSE)</f>
        <v>ES-2013-NM18520120-41634</v>
      </c>
      <c r="AA480">
        <f>VLOOKUP($A480,Table1[#This Row],COLUMN(AA479), FALSE)</f>
        <v>2013</v>
      </c>
      <c r="AB480">
        <f>VLOOKUP($A480,Table1[#This Row],COLUMN(AB479), FALSE)</f>
        <v>12</v>
      </c>
      <c r="AC480">
        <f>VLOOKUP($A480,Table1[#This Row],COLUMN(AC479), FALSE)</f>
        <v>5</v>
      </c>
      <c r="AD480">
        <f>VLOOKUP($A480,Table1[#This Row],COLUMN(AD479), FALSE)</f>
        <v>2</v>
      </c>
    </row>
    <row r="481" spans="1:30" ht="15.75">
      <c r="A481" s="54" t="s">
        <v>1173</v>
      </c>
      <c r="B481" s="52">
        <f>VLOOKUP($A481,Table1[#This Row],COLUMN(B480), FALSE)</f>
        <v>41459</v>
      </c>
      <c r="C481" s="52">
        <f>VLOOKUP($A481,Table1[#This Row],COLUMN(C480), FALSE)</f>
        <v>41459</v>
      </c>
      <c r="D481" t="str">
        <f>VLOOKUP($A481,Table1[#This Row],COLUMN(D480), FALSE)</f>
        <v>Carl Ludwig</v>
      </c>
      <c r="E481" t="str">
        <f>VLOOKUP($A481,Table1[#This Row],COLUMN(E480), FALSE)</f>
        <v>Brazil</v>
      </c>
      <c r="F481" t="str">
        <f>VLOOKUP($A481,Table1[#This Row],COLUMN(F480), FALSE)</f>
        <v>South America</v>
      </c>
      <c r="G481" t="str">
        <f>VLOOKUP($A481,Table1[#This Row],COLUMN(G480), FALSE)</f>
        <v>Technology</v>
      </c>
      <c r="H481" t="str">
        <f>VLOOKUP($A481,Table1[#This Row],COLUMN(H480), FALSE)</f>
        <v>Copiers</v>
      </c>
      <c r="I481">
        <f>VLOOKUP($A481,Table1[#This Row],COLUMN(I480), FALSE)</f>
        <v>1363.2</v>
      </c>
      <c r="J481">
        <f>VLOOKUP($A481,Table1[#This Row],COLUMN(J480), FALSE)</f>
        <v>8</v>
      </c>
      <c r="K481">
        <f>VLOOKUP($A481,Table1[#This Row],COLUMN(K480), FALSE)</f>
        <v>0.6</v>
      </c>
      <c r="L481">
        <f>VLOOKUP($A481,Table1[#This Row],COLUMN(L480), FALSE)</f>
        <v>-1806.24</v>
      </c>
      <c r="M481" t="str">
        <f>VLOOKUP($A481,Table1[#This Row],COLUMN(M480), FALSE)</f>
        <v>Critical</v>
      </c>
      <c r="N481">
        <f>VLOOKUP($A481,Table1[#This Row],COLUMN(N480), FALSE)</f>
        <v>0</v>
      </c>
      <c r="O481" t="str">
        <f>VLOOKUP($A481,Table1[#This Row],COLUMN(O480), FALSE)</f>
        <v>Carl Ludwig</v>
      </c>
      <c r="P481" t="str">
        <f>VLOOKUP($A481,Table1[#This Row],COLUMN(P480), FALSE)</f>
        <v>US</v>
      </c>
      <c r="Q481" t="str">
        <f>VLOOKUP($A481,Table1[#This Row],COLUMN(Q480), FALSE)</f>
        <v>2013</v>
      </c>
      <c r="R481" t="str">
        <f>VLOOKUP($A481,Table1[#This Row],COLUMN(R480), FALSE)</f>
        <v>CRITICAL</v>
      </c>
      <c r="S481" t="str">
        <f>VLOOKUP($A481,Table1[#This Row],COLUMN(S480), FALSE)</f>
        <v>technology</v>
      </c>
      <c r="T481" t="str">
        <f>VLOOKUP($A481,Table1[#This Row],COLUMN(T480), FALSE)</f>
        <v>41459</v>
      </c>
      <c r="U481" t="str">
        <f>VLOOKUP($A481,Table1[#This Row],COLUMN(U480), FALSE)</f>
        <v>CL1189018</v>
      </c>
      <c r="V481" t="str">
        <f>VLOOKUP($A481,Table1[#This Row],COLUMN(V480), FALSE)</f>
        <v>US</v>
      </c>
      <c r="W481">
        <f>VLOOKUP($A481,Table1[#This Row],COLUMN(W480), FALSE)</f>
        <v>2013</v>
      </c>
      <c r="X481" t="str">
        <f>VLOOKUP($A481,Table1[#This Row],COLUMN(X480), FALSE)</f>
        <v>CL1189018</v>
      </c>
      <c r="Y481">
        <f>VLOOKUP($A481,Table1[#This Row],COLUMN(Y480), FALSE)</f>
        <v>41459</v>
      </c>
      <c r="Z481" t="str">
        <f>VLOOKUP($A481,Table1[#This Row],COLUMN(Z480), FALSE)</f>
        <v>US-2013-CL1189018-41459</v>
      </c>
      <c r="AA481">
        <f>VLOOKUP($A481,Table1[#This Row],COLUMN(AA480), FALSE)</f>
        <v>2013</v>
      </c>
      <c r="AB481">
        <f>VLOOKUP($A481,Table1[#This Row],COLUMN(AB480), FALSE)</f>
        <v>7</v>
      </c>
      <c r="AC481">
        <f>VLOOKUP($A481,Table1[#This Row],COLUMN(AC480), FALSE)</f>
        <v>5</v>
      </c>
      <c r="AD481">
        <f>VLOOKUP($A481,Table1[#This Row],COLUMN(AD480), FALSE)</f>
        <v>0</v>
      </c>
    </row>
    <row r="482" spans="1:30" ht="15.75">
      <c r="A482" s="53" t="s">
        <v>1175</v>
      </c>
      <c r="B482" s="52">
        <f>VLOOKUP($A482,Table1[#This Row],COLUMN(B481), FALSE)</f>
        <v>41506</v>
      </c>
      <c r="C482" s="52">
        <f>VLOOKUP($A482,Table1[#This Row],COLUMN(C481), FALSE)</f>
        <v>41510</v>
      </c>
      <c r="D482" t="str">
        <f>VLOOKUP($A482,Table1[#This Row],COLUMN(D481), FALSE)</f>
        <v>Christina Anderson</v>
      </c>
      <c r="E482" t="str">
        <f>VLOOKUP($A482,Table1[#This Row],COLUMN(E481), FALSE)</f>
        <v>United Kingdom</v>
      </c>
      <c r="F482" t="str">
        <f>VLOOKUP($A482,Table1[#This Row],COLUMN(F481), FALSE)</f>
        <v>Northern Europe</v>
      </c>
      <c r="G482" t="str">
        <f>VLOOKUP($A482,Table1[#This Row],COLUMN(G481), FALSE)</f>
        <v>Furniture</v>
      </c>
      <c r="H482" t="str">
        <f>VLOOKUP($A482,Table1[#This Row],COLUMN(H481), FALSE)</f>
        <v>Phones</v>
      </c>
      <c r="I482">
        <f>VLOOKUP($A482,Table1[#This Row],COLUMN(I481), FALSE)</f>
        <v>3315.26999999999</v>
      </c>
      <c r="J482">
        <f>VLOOKUP($A482,Table1[#This Row],COLUMN(J481), FALSE)</f>
        <v>7</v>
      </c>
      <c r="K482">
        <f>VLOOKUP($A482,Table1[#This Row],COLUMN(K481), FALSE)</f>
        <v>0</v>
      </c>
      <c r="L482">
        <f>VLOOKUP($A482,Table1[#This Row],COLUMN(L481), FALSE)</f>
        <v>961.38</v>
      </c>
      <c r="M482" t="str">
        <f>VLOOKUP($A482,Table1[#This Row],COLUMN(M481), FALSE)</f>
        <v>High</v>
      </c>
      <c r="N482">
        <f>VLOOKUP($A482,Table1[#This Row],COLUMN(N481), FALSE)</f>
        <v>0</v>
      </c>
      <c r="O482" t="str">
        <f>VLOOKUP($A482,Table1[#This Row],COLUMN(O481), FALSE)</f>
        <v>Christina Anderson</v>
      </c>
      <c r="P482" t="str">
        <f>VLOOKUP($A482,Table1[#This Row],COLUMN(P481), FALSE)</f>
        <v>ES</v>
      </c>
      <c r="Q482" t="str">
        <f>VLOOKUP($A482,Table1[#This Row],COLUMN(Q481), FALSE)</f>
        <v>2013</v>
      </c>
      <c r="R482" t="str">
        <f>VLOOKUP($A482,Table1[#This Row],COLUMN(R481), FALSE)</f>
        <v>HIGH</v>
      </c>
      <c r="S482" t="str">
        <f>VLOOKUP($A482,Table1[#This Row],COLUMN(S481), FALSE)</f>
        <v>furniture</v>
      </c>
      <c r="T482" t="str">
        <f>VLOOKUP($A482,Table1[#This Row],COLUMN(T481), FALSE)</f>
        <v>41506</v>
      </c>
      <c r="U482" t="str">
        <f>VLOOKUP($A482,Table1[#This Row],COLUMN(U481), FALSE)</f>
        <v>CA12265139</v>
      </c>
      <c r="V482" t="str">
        <f>VLOOKUP($A482,Table1[#This Row],COLUMN(V481), FALSE)</f>
        <v>ES</v>
      </c>
      <c r="W482">
        <f>VLOOKUP($A482,Table1[#This Row],COLUMN(W481), FALSE)</f>
        <v>2013</v>
      </c>
      <c r="X482" t="str">
        <f>VLOOKUP($A482,Table1[#This Row],COLUMN(X481), FALSE)</f>
        <v>CA12265139</v>
      </c>
      <c r="Y482">
        <f>VLOOKUP($A482,Table1[#This Row],COLUMN(Y481), FALSE)</f>
        <v>41506</v>
      </c>
      <c r="Z482" t="str">
        <f>VLOOKUP($A482,Table1[#This Row],COLUMN(Z481), FALSE)</f>
        <v>ES-2013-CA12265139-41506</v>
      </c>
      <c r="AA482">
        <f>VLOOKUP($A482,Table1[#This Row],COLUMN(AA481), FALSE)</f>
        <v>2013</v>
      </c>
      <c r="AB482">
        <f>VLOOKUP($A482,Table1[#This Row],COLUMN(AB481), FALSE)</f>
        <v>8</v>
      </c>
      <c r="AC482">
        <f>VLOOKUP($A482,Table1[#This Row],COLUMN(AC481), FALSE)</f>
        <v>3</v>
      </c>
      <c r="AD482">
        <f>VLOOKUP($A482,Table1[#This Row],COLUMN(AD481), FALSE)</f>
        <v>4</v>
      </c>
    </row>
    <row r="483" spans="1:30" ht="15.75">
      <c r="A483" s="54" t="s">
        <v>1183</v>
      </c>
      <c r="B483" s="52">
        <f>VLOOKUP($A483,Table1[#This Row],COLUMN(B482), FALSE)</f>
        <v>41403</v>
      </c>
      <c r="C483" s="52">
        <f>VLOOKUP($A483,Table1[#This Row],COLUMN(C482), FALSE)</f>
        <v>41407</v>
      </c>
      <c r="D483" t="str">
        <f>VLOOKUP($A483,Table1[#This Row],COLUMN(D482), FALSE)</f>
        <v>Adrian Shami</v>
      </c>
      <c r="E483" t="str">
        <f>VLOOKUP($A483,Table1[#This Row],COLUMN(E482), FALSE)</f>
        <v>Canada</v>
      </c>
      <c r="F483" t="str">
        <f>VLOOKUP($A483,Table1[#This Row],COLUMN(F482), FALSE)</f>
        <v>Canada</v>
      </c>
      <c r="G483" t="str">
        <f>VLOOKUP($A483,Table1[#This Row],COLUMN(G482), FALSE)</f>
        <v>Office Supplies</v>
      </c>
      <c r="H483" t="str">
        <f>VLOOKUP($A483,Table1[#This Row],COLUMN(H482), FALSE)</f>
        <v>Appliances</v>
      </c>
      <c r="I483">
        <f>VLOOKUP($A483,Table1[#This Row],COLUMN(I482), FALSE)</f>
        <v>187.01999999999899</v>
      </c>
      <c r="J483">
        <f>VLOOKUP($A483,Table1[#This Row],COLUMN(J482), FALSE)</f>
        <v>6</v>
      </c>
      <c r="K483">
        <f>VLOOKUP($A483,Table1[#This Row],COLUMN(K482), FALSE)</f>
        <v>0</v>
      </c>
      <c r="L483">
        <f>VLOOKUP($A483,Table1[#This Row],COLUMN(L482), FALSE)</f>
        <v>26.099999999999898</v>
      </c>
      <c r="M483" t="str">
        <f>VLOOKUP($A483,Table1[#This Row],COLUMN(M482), FALSE)</f>
        <v>Meidum</v>
      </c>
      <c r="N483">
        <f>VLOOKUP($A483,Table1[#This Row],COLUMN(N482), FALSE)</f>
        <v>0</v>
      </c>
      <c r="O483" t="str">
        <f>VLOOKUP($A483,Table1[#This Row],COLUMN(O482), FALSE)</f>
        <v>Adrian Shami</v>
      </c>
      <c r="P483" t="str">
        <f>VLOOKUP($A483,Table1[#This Row],COLUMN(P482), FALSE)</f>
        <v>CA</v>
      </c>
      <c r="Q483" t="str">
        <f>VLOOKUP($A483,Table1[#This Row],COLUMN(Q482), FALSE)</f>
        <v>2013</v>
      </c>
      <c r="R483" t="str">
        <f>VLOOKUP($A483,Table1[#This Row],COLUMN(R482), FALSE)</f>
        <v>MEIDUM</v>
      </c>
      <c r="S483" t="str">
        <f>VLOOKUP($A483,Table1[#This Row],COLUMN(S482), FALSE)</f>
        <v>office supplies</v>
      </c>
      <c r="T483" t="str">
        <f>VLOOKUP($A483,Table1[#This Row],COLUMN(T482), FALSE)</f>
        <v>41403</v>
      </c>
      <c r="U483" t="str">
        <f>VLOOKUP($A483,Table1[#This Row],COLUMN(U482), FALSE)</f>
        <v>AS13523</v>
      </c>
      <c r="V483" t="str">
        <f>VLOOKUP($A483,Table1[#This Row],COLUMN(V482), FALSE)</f>
        <v>CA</v>
      </c>
      <c r="W483">
        <f>VLOOKUP($A483,Table1[#This Row],COLUMN(W482), FALSE)</f>
        <v>2013</v>
      </c>
      <c r="X483" t="str">
        <f>VLOOKUP($A483,Table1[#This Row],COLUMN(X482), FALSE)</f>
        <v>AS13523</v>
      </c>
      <c r="Y483">
        <f>VLOOKUP($A483,Table1[#This Row],COLUMN(Y482), FALSE)</f>
        <v>41403</v>
      </c>
      <c r="Z483" t="str">
        <f>VLOOKUP($A483,Table1[#This Row],COLUMN(Z482), FALSE)</f>
        <v>CA-2013-AS13523-41403</v>
      </c>
      <c r="AA483">
        <f>VLOOKUP($A483,Table1[#This Row],COLUMN(AA482), FALSE)</f>
        <v>2013</v>
      </c>
      <c r="AB483">
        <f>VLOOKUP($A483,Table1[#This Row],COLUMN(AB482), FALSE)</f>
        <v>5</v>
      </c>
      <c r="AC483">
        <f>VLOOKUP($A483,Table1[#This Row],COLUMN(AC482), FALSE)</f>
        <v>5</v>
      </c>
      <c r="AD483">
        <f>VLOOKUP($A483,Table1[#This Row],COLUMN(AD482), FALSE)</f>
        <v>4</v>
      </c>
    </row>
    <row r="484" spans="1:30" ht="15.75">
      <c r="A484" s="53" t="s">
        <v>423</v>
      </c>
      <c r="B484" s="52">
        <f>VLOOKUP($A484,Table1[#This Row],COLUMN(B483), FALSE)</f>
        <v>42248</v>
      </c>
      <c r="C484" s="52">
        <f>VLOOKUP($A484,Table1[#This Row],COLUMN(C483), FALSE)</f>
        <v>42248</v>
      </c>
      <c r="D484" t="str">
        <f>VLOOKUP($A484,Table1[#This Row],COLUMN(D483), FALSE)</f>
        <v>Neil FranzÃ¶sisch</v>
      </c>
      <c r="E484" t="str">
        <f>VLOOKUP($A484,Table1[#This Row],COLUMN(E483), FALSE)</f>
        <v>Germany</v>
      </c>
      <c r="F484" t="str">
        <f>VLOOKUP($A484,Table1[#This Row],COLUMN(F483), FALSE)</f>
        <v>Western Europe</v>
      </c>
      <c r="G484" t="str">
        <f>VLOOKUP($A484,Table1[#This Row],COLUMN(G483), FALSE)</f>
        <v>Technology</v>
      </c>
      <c r="H484" t="str">
        <f>VLOOKUP($A484,Table1[#This Row],COLUMN(H483), FALSE)</f>
        <v>Copiers</v>
      </c>
      <c r="I484">
        <f>VLOOKUP($A484,Table1[#This Row],COLUMN(I483), FALSE)</f>
        <v>1350.09</v>
      </c>
      <c r="J484">
        <f>VLOOKUP($A484,Table1[#This Row],COLUMN(J483), FALSE)</f>
        <v>7</v>
      </c>
      <c r="K484">
        <f>VLOOKUP($A484,Table1[#This Row],COLUMN(K483), FALSE)</f>
        <v>0</v>
      </c>
      <c r="L484">
        <f>VLOOKUP($A484,Table1[#This Row],COLUMN(L483), FALSE)</f>
        <v>256.41000000000003</v>
      </c>
      <c r="M484" t="str">
        <f>VLOOKUP($A484,Table1[#This Row],COLUMN(M483), FALSE)</f>
        <v>Critical</v>
      </c>
      <c r="N484">
        <f>VLOOKUP($A484,Table1[#This Row],COLUMN(N483), FALSE)</f>
        <v>0</v>
      </c>
      <c r="O484" t="str">
        <f>VLOOKUP($A484,Table1[#This Row],COLUMN(O483), FALSE)</f>
        <v>Neil Franzã¶Sisch</v>
      </c>
      <c r="P484" t="str">
        <f>VLOOKUP($A484,Table1[#This Row],COLUMN(P483), FALSE)</f>
        <v>ES</v>
      </c>
      <c r="Q484" t="str">
        <f>VLOOKUP($A484,Table1[#This Row],COLUMN(Q483), FALSE)</f>
        <v>2015</v>
      </c>
      <c r="R484" t="str">
        <f>VLOOKUP($A484,Table1[#This Row],COLUMN(R483), FALSE)</f>
        <v>CRITICAL</v>
      </c>
      <c r="S484" t="str">
        <f>VLOOKUP($A484,Table1[#This Row],COLUMN(S483), FALSE)</f>
        <v>technology</v>
      </c>
      <c r="T484" t="str">
        <f>VLOOKUP($A484,Table1[#This Row],COLUMN(T483), FALSE)</f>
        <v>42248</v>
      </c>
      <c r="U484" t="str">
        <f>VLOOKUP($A484,Table1[#This Row],COLUMN(U483), FALSE)</f>
        <v>NF1847548</v>
      </c>
      <c r="V484" t="str">
        <f>VLOOKUP($A484,Table1[#This Row],COLUMN(V483), FALSE)</f>
        <v>ES</v>
      </c>
      <c r="W484">
        <f>VLOOKUP($A484,Table1[#This Row],COLUMN(W483), FALSE)</f>
        <v>2015</v>
      </c>
      <c r="X484" t="str">
        <f>VLOOKUP($A484,Table1[#This Row],COLUMN(X483), FALSE)</f>
        <v>NF1847548</v>
      </c>
      <c r="Y484">
        <f>VLOOKUP($A484,Table1[#This Row],COLUMN(Y483), FALSE)</f>
        <v>42248</v>
      </c>
      <c r="Z484" t="str">
        <f>VLOOKUP($A484,Table1[#This Row],COLUMN(Z483), FALSE)</f>
        <v>ES-2015-NF1847548-42248</v>
      </c>
      <c r="AA484">
        <f>VLOOKUP($A484,Table1[#This Row],COLUMN(AA483), FALSE)</f>
        <v>2015</v>
      </c>
      <c r="AB484">
        <f>VLOOKUP($A484,Table1[#This Row],COLUMN(AB483), FALSE)</f>
        <v>9</v>
      </c>
      <c r="AC484">
        <f>VLOOKUP($A484,Table1[#This Row],COLUMN(AC483), FALSE)</f>
        <v>3</v>
      </c>
      <c r="AD484">
        <f>VLOOKUP($A484,Table1[#This Row],COLUMN(AD483), FALSE)</f>
        <v>0</v>
      </c>
    </row>
    <row r="485" spans="1:30" ht="15.75">
      <c r="A485" s="54" t="s">
        <v>1191</v>
      </c>
      <c r="B485" s="52">
        <f>VLOOKUP($A485,Table1[#This Row],COLUMN(B484), FALSE)</f>
        <v>41306</v>
      </c>
      <c r="C485" s="52">
        <f>VLOOKUP($A485,Table1[#This Row],COLUMN(C484), FALSE)</f>
        <v>41309</v>
      </c>
      <c r="D485" t="str">
        <f>VLOOKUP($A485,Table1[#This Row],COLUMN(D484), FALSE)</f>
        <v>John Huston#</v>
      </c>
      <c r="E485" t="str">
        <f>VLOOKUP($A485,Table1[#This Row],COLUMN(E484), FALSE)</f>
        <v>Germany</v>
      </c>
      <c r="F485" t="str">
        <f>VLOOKUP($A485,Table1[#This Row],COLUMN(F484), FALSE)</f>
        <v>Western Europe</v>
      </c>
      <c r="G485" t="str">
        <f>VLOOKUP($A485,Table1[#This Row],COLUMN(G484), FALSE)</f>
        <v xml:space="preserve"> Technology </v>
      </c>
      <c r="H485" t="str">
        <f>VLOOKUP($A485,Table1[#This Row],COLUMN(H484), FALSE)</f>
        <v>Copiers</v>
      </c>
      <c r="I485">
        <f>VLOOKUP($A485,Table1[#This Row],COLUMN(I484), FALSE)</f>
        <v>965.16</v>
      </c>
      <c r="J485">
        <f>VLOOKUP($A485,Table1[#This Row],COLUMN(J484), FALSE)</f>
        <v>7</v>
      </c>
      <c r="K485">
        <f>VLOOKUP($A485,Table1[#This Row],COLUMN(K484), FALSE)</f>
        <v>0</v>
      </c>
      <c r="L485">
        <f>VLOOKUP($A485,Table1[#This Row],COLUMN(L484), FALSE)</f>
        <v>463.25999999999902</v>
      </c>
      <c r="M485" t="str">
        <f>VLOOKUP($A485,Table1[#This Row],COLUMN(M484), FALSE)</f>
        <v>High</v>
      </c>
      <c r="N485">
        <f>VLOOKUP($A485,Table1[#This Row],COLUMN(N484), FALSE)</f>
        <v>0</v>
      </c>
      <c r="O485" t="str">
        <f>VLOOKUP($A485,Table1[#This Row],COLUMN(O484), FALSE)</f>
        <v>John Huston#</v>
      </c>
      <c r="P485" t="str">
        <f>VLOOKUP($A485,Table1[#This Row],COLUMN(P484), FALSE)</f>
        <v>ES</v>
      </c>
      <c r="Q485" t="str">
        <f>VLOOKUP($A485,Table1[#This Row],COLUMN(Q484), FALSE)</f>
        <v>2013</v>
      </c>
      <c r="R485" t="str">
        <f>VLOOKUP($A485,Table1[#This Row],COLUMN(R484), FALSE)</f>
        <v>HIGH</v>
      </c>
      <c r="S485" t="str">
        <f>VLOOKUP($A485,Table1[#This Row],COLUMN(S484), FALSE)</f>
        <v xml:space="preserve"> technology </v>
      </c>
      <c r="T485" t="str">
        <f>VLOOKUP($A485,Table1[#This Row],COLUMN(T484), FALSE)</f>
        <v>41306</v>
      </c>
      <c r="U485" t="str">
        <f>VLOOKUP($A485,Table1[#This Row],COLUMN(U484), FALSE)</f>
        <v>JH1582048</v>
      </c>
      <c r="V485" t="str">
        <f>VLOOKUP($A485,Table1[#This Row],COLUMN(V484), FALSE)</f>
        <v>ES</v>
      </c>
      <c r="W485">
        <f>VLOOKUP($A485,Table1[#This Row],COLUMN(W484), FALSE)</f>
        <v>2013</v>
      </c>
      <c r="X485" t="str">
        <f>VLOOKUP($A485,Table1[#This Row],COLUMN(X484), FALSE)</f>
        <v>JH1582048</v>
      </c>
      <c r="Y485">
        <f>VLOOKUP($A485,Table1[#This Row],COLUMN(Y484), FALSE)</f>
        <v>41306</v>
      </c>
      <c r="Z485" t="str">
        <f>VLOOKUP($A485,Table1[#This Row],COLUMN(Z484), FALSE)</f>
        <v>ES-2013-JH1582048-41306</v>
      </c>
      <c r="AA485">
        <f>VLOOKUP($A485,Table1[#This Row],COLUMN(AA484), FALSE)</f>
        <v>2013</v>
      </c>
      <c r="AB485">
        <f>VLOOKUP($A485,Table1[#This Row],COLUMN(AB484), FALSE)</f>
        <v>2</v>
      </c>
      <c r="AC485">
        <f>VLOOKUP($A485,Table1[#This Row],COLUMN(AC484), FALSE)</f>
        <v>6</v>
      </c>
      <c r="AD485">
        <f>VLOOKUP($A485,Table1[#This Row],COLUMN(AD484), FALSE)</f>
        <v>3</v>
      </c>
    </row>
    <row r="486" spans="1:30" ht="15.75">
      <c r="A486" s="53" t="s">
        <v>1199</v>
      </c>
      <c r="B486" s="52">
        <f>VLOOKUP($A486,Table1[#This Row],COLUMN(B485), FALSE)</f>
        <v>41804</v>
      </c>
      <c r="C486" s="52">
        <f>VLOOKUP($A486,Table1[#This Row],COLUMN(C485), FALSE)</f>
        <v>41806</v>
      </c>
      <c r="D486" t="str">
        <f>VLOOKUP($A486,Table1[#This Row],COLUMN(D485), FALSE)</f>
        <v>Filia McAdams</v>
      </c>
      <c r="E486" t="str">
        <f>VLOOKUP($A486,Table1[#This Row],COLUMN(E485), FALSE)</f>
        <v>Italy</v>
      </c>
      <c r="F486" t="str">
        <f>VLOOKUP($A486,Table1[#This Row],COLUMN(F485), FALSE)</f>
        <v>Southern Europe</v>
      </c>
      <c r="G486" t="str">
        <f>VLOOKUP($A486,Table1[#This Row],COLUMN(G485), FALSE)</f>
        <v>Technology</v>
      </c>
      <c r="H486" t="str">
        <f>VLOOKUP($A486,Table1[#This Row],COLUMN(H485), FALSE)</f>
        <v>Bookcases</v>
      </c>
      <c r="I486">
        <f>VLOOKUP($A486,Table1[#This Row],COLUMN(I485), FALSE)</f>
        <v>1552.5</v>
      </c>
      <c r="J486">
        <f>VLOOKUP($A486,Table1[#This Row],COLUMN(J485), FALSE)</f>
        <v>6</v>
      </c>
      <c r="K486">
        <f>VLOOKUP($A486,Table1[#This Row],COLUMN(K485), FALSE)</f>
        <v>0</v>
      </c>
      <c r="L486">
        <f>VLOOKUP($A486,Table1[#This Row],COLUMN(L485), FALSE)</f>
        <v>62.1</v>
      </c>
      <c r="M486" t="str">
        <f>VLOOKUP($A486,Table1[#This Row],COLUMN(M485), FALSE)</f>
        <v>Medium</v>
      </c>
      <c r="N486">
        <f>VLOOKUP($A486,Table1[#This Row],COLUMN(N485), FALSE)</f>
        <v>0</v>
      </c>
      <c r="O486" t="str">
        <f>VLOOKUP($A486,Table1[#This Row],COLUMN(O485), FALSE)</f>
        <v>Filia Mcadams</v>
      </c>
      <c r="P486" t="str">
        <f>VLOOKUP($A486,Table1[#This Row],COLUMN(P485), FALSE)</f>
        <v>ES</v>
      </c>
      <c r="Q486" t="str">
        <f>VLOOKUP($A486,Table1[#This Row],COLUMN(Q485), FALSE)</f>
        <v>2014</v>
      </c>
      <c r="R486" t="str">
        <f>VLOOKUP($A486,Table1[#This Row],COLUMN(R485), FALSE)</f>
        <v>MEDIUM</v>
      </c>
      <c r="S486" t="str">
        <f>VLOOKUP($A486,Table1[#This Row],COLUMN(S485), FALSE)</f>
        <v>technology</v>
      </c>
      <c r="T486" t="str">
        <f>VLOOKUP($A486,Table1[#This Row],COLUMN(T485), FALSE)</f>
        <v>41804</v>
      </c>
      <c r="U486" t="str">
        <f>VLOOKUP($A486,Table1[#This Row],COLUMN(U485), FALSE)</f>
        <v>FM1421564</v>
      </c>
      <c r="V486" t="str">
        <f>VLOOKUP($A486,Table1[#This Row],COLUMN(V485), FALSE)</f>
        <v>ES</v>
      </c>
      <c r="W486">
        <f>VLOOKUP($A486,Table1[#This Row],COLUMN(W485), FALSE)</f>
        <v>2014</v>
      </c>
      <c r="X486" t="str">
        <f>VLOOKUP($A486,Table1[#This Row],COLUMN(X485), FALSE)</f>
        <v>FM1421564</v>
      </c>
      <c r="Y486">
        <f>VLOOKUP($A486,Table1[#This Row],COLUMN(Y485), FALSE)</f>
        <v>41804</v>
      </c>
      <c r="Z486" t="str">
        <f>VLOOKUP($A486,Table1[#This Row],COLUMN(Z485), FALSE)</f>
        <v>ES-2014-FM1421564-41804</v>
      </c>
      <c r="AA486">
        <f>VLOOKUP($A486,Table1[#This Row],COLUMN(AA485), FALSE)</f>
        <v>2014</v>
      </c>
      <c r="AB486">
        <f>VLOOKUP($A486,Table1[#This Row],COLUMN(AB485), FALSE)</f>
        <v>6</v>
      </c>
      <c r="AC486">
        <f>VLOOKUP($A486,Table1[#This Row],COLUMN(AC485), FALSE)</f>
        <v>7</v>
      </c>
      <c r="AD486">
        <f>VLOOKUP($A486,Table1[#This Row],COLUMN(AD485), FALSE)</f>
        <v>2</v>
      </c>
    </row>
    <row r="487" spans="1:30" ht="15.75">
      <c r="A487" s="54" t="s">
        <v>1200</v>
      </c>
      <c r="B487" s="52">
        <f>VLOOKUP($A487,Table1[#This Row],COLUMN(B486), FALSE)</f>
        <v>40972</v>
      </c>
      <c r="C487" s="52">
        <f>VLOOKUP($A487,Table1[#This Row],COLUMN(C486), FALSE)</f>
        <v>40975</v>
      </c>
      <c r="D487" t="str">
        <f>VLOOKUP($A487,Table1[#This Row],COLUMN(D486), FALSE)</f>
        <v>Aimee Bixby</v>
      </c>
      <c r="E487" t="str">
        <f>VLOOKUP($A487,Table1[#This Row],COLUMN(E486), FALSE)</f>
        <v>United States</v>
      </c>
      <c r="F487" t="str">
        <f>VLOOKUP($A487,Table1[#This Row],COLUMN(F486), FALSE)</f>
        <v>Eastern US</v>
      </c>
      <c r="G487" t="str">
        <f>VLOOKUP($A487,Table1[#This Row],COLUMN(G486), FALSE)</f>
        <v>Office Supplies</v>
      </c>
      <c r="H487" t="str">
        <f>VLOOKUP($A487,Table1[#This Row],COLUMN(H486), FALSE)</f>
        <v>Appliances</v>
      </c>
      <c r="I487">
        <f>VLOOKUP($A487,Table1[#This Row],COLUMN(I486), FALSE)</f>
        <v>49.631999999999998</v>
      </c>
      <c r="J487">
        <f>VLOOKUP($A487,Table1[#This Row],COLUMN(J486), FALSE)</f>
        <v>6</v>
      </c>
      <c r="K487">
        <f>VLOOKUP($A487,Table1[#This Row],COLUMN(K486), FALSE)</f>
        <v>0.2</v>
      </c>
      <c r="L487">
        <f>VLOOKUP($A487,Table1[#This Row],COLUMN(L486), FALSE)</f>
        <v>16.750799999999899</v>
      </c>
      <c r="M487" t="str">
        <f>VLOOKUP($A487,Table1[#This Row],COLUMN(M486), FALSE)</f>
        <v>Medium</v>
      </c>
      <c r="N487">
        <f>VLOOKUP($A487,Table1[#This Row],COLUMN(N486), FALSE)</f>
        <v>0</v>
      </c>
      <c r="O487" t="str">
        <f>VLOOKUP($A487,Table1[#This Row],COLUMN(O486), FALSE)</f>
        <v>Aimee Bixby</v>
      </c>
      <c r="P487" t="str">
        <f>VLOOKUP($A487,Table1[#This Row],COLUMN(P486), FALSE)</f>
        <v>CA</v>
      </c>
      <c r="Q487" t="str">
        <f>VLOOKUP($A487,Table1[#This Row],COLUMN(Q486), FALSE)</f>
        <v>2012</v>
      </c>
      <c r="R487" t="str">
        <f>VLOOKUP($A487,Table1[#This Row],COLUMN(R486), FALSE)</f>
        <v>MEDIUM</v>
      </c>
      <c r="S487" t="str">
        <f>VLOOKUP($A487,Table1[#This Row],COLUMN(S486), FALSE)</f>
        <v>office supplies</v>
      </c>
      <c r="T487" t="str">
        <f>VLOOKUP($A487,Table1[#This Row],COLUMN(T486), FALSE)</f>
        <v>40972</v>
      </c>
      <c r="U487" t="str">
        <f>VLOOKUP($A487,Table1[#This Row],COLUMN(U486), FALSE)</f>
        <v>AB10150140</v>
      </c>
      <c r="V487" t="str">
        <f>VLOOKUP($A487,Table1[#This Row],COLUMN(V486), FALSE)</f>
        <v>CA</v>
      </c>
      <c r="W487">
        <f>VLOOKUP($A487,Table1[#This Row],COLUMN(W486), FALSE)</f>
        <v>2012</v>
      </c>
      <c r="X487" t="str">
        <f>VLOOKUP($A487,Table1[#This Row],COLUMN(X486), FALSE)</f>
        <v>AB10150140</v>
      </c>
      <c r="Y487">
        <f>VLOOKUP($A487,Table1[#This Row],COLUMN(Y486), FALSE)</f>
        <v>40972</v>
      </c>
      <c r="Z487" t="str">
        <f>VLOOKUP($A487,Table1[#This Row],COLUMN(Z486), FALSE)</f>
        <v>CA-2012-AB10150140-40972</v>
      </c>
      <c r="AA487">
        <f>VLOOKUP($A487,Table1[#This Row],COLUMN(AA486), FALSE)</f>
        <v>2012</v>
      </c>
      <c r="AB487">
        <f>VLOOKUP($A487,Table1[#This Row],COLUMN(AB486), FALSE)</f>
        <v>3</v>
      </c>
      <c r="AC487">
        <f>VLOOKUP($A487,Table1[#This Row],COLUMN(AC486), FALSE)</f>
        <v>1</v>
      </c>
      <c r="AD487">
        <f>VLOOKUP($A487,Table1[#This Row],COLUMN(AD486), FALSE)</f>
        <v>3</v>
      </c>
    </row>
    <row r="488" spans="1:30" ht="15.75">
      <c r="A488" s="53" t="s">
        <v>1208</v>
      </c>
      <c r="B488" s="52">
        <f>VLOOKUP($A488,Table1[#This Row],COLUMN(B487), FALSE)</f>
        <v>41200</v>
      </c>
      <c r="C488" s="52">
        <f>VLOOKUP($A488,Table1[#This Row],COLUMN(C487), FALSE)</f>
        <v>41205</v>
      </c>
      <c r="D488" t="str">
        <f>VLOOKUP($A488,Table1[#This Row],COLUMN(D487), FALSE)</f>
        <v>Phillina Ober</v>
      </c>
      <c r="E488" t="str">
        <f>VLOOKUP($A488,Table1[#This Row],COLUMN(E487), FALSE)</f>
        <v>China</v>
      </c>
      <c r="F488" t="str">
        <f>VLOOKUP($A488,Table1[#This Row],COLUMN(F487), FALSE)</f>
        <v>Eastern Asia</v>
      </c>
      <c r="G488" t="str">
        <f>VLOOKUP($A488,Table1[#This Row],COLUMN(G487), FALSE)</f>
        <v>Furniture</v>
      </c>
      <c r="H488" t="str">
        <f>VLOOKUP($A488,Table1[#This Row],COLUMN(H487), FALSE)</f>
        <v>Appliances</v>
      </c>
      <c r="I488">
        <f>VLOOKUP($A488,Table1[#This Row],COLUMN(I487), FALSE)</f>
        <v>2018.3309999999999</v>
      </c>
      <c r="J488">
        <f>VLOOKUP($A488,Table1[#This Row],COLUMN(J487), FALSE)</f>
        <v>9</v>
      </c>
      <c r="K488">
        <f>VLOOKUP($A488,Table1[#This Row],COLUMN(K487), FALSE)</f>
        <v>0.3</v>
      </c>
      <c r="L488">
        <f>VLOOKUP($A488,Table1[#This Row],COLUMN(L487), FALSE)</f>
        <v>-576.90899999999999</v>
      </c>
      <c r="M488" t="str">
        <f>VLOOKUP($A488,Table1[#This Row],COLUMN(M487), FALSE)</f>
        <v>Hgih</v>
      </c>
      <c r="N488">
        <f>VLOOKUP($A488,Table1[#This Row],COLUMN(N487), FALSE)</f>
        <v>0</v>
      </c>
      <c r="O488" t="str">
        <f>VLOOKUP($A488,Table1[#This Row],COLUMN(O487), FALSE)</f>
        <v>Phillina Ober</v>
      </c>
      <c r="P488" t="str">
        <f>VLOOKUP($A488,Table1[#This Row],COLUMN(P487), FALSE)</f>
        <v>IN</v>
      </c>
      <c r="Q488" t="str">
        <f>VLOOKUP($A488,Table1[#This Row],COLUMN(Q487), FALSE)</f>
        <v>2012</v>
      </c>
      <c r="R488" t="str">
        <f>VLOOKUP($A488,Table1[#This Row],COLUMN(R487), FALSE)</f>
        <v>HGIH</v>
      </c>
      <c r="S488" t="str">
        <f>VLOOKUP($A488,Table1[#This Row],COLUMN(S487), FALSE)</f>
        <v>furniture</v>
      </c>
      <c r="T488" t="str">
        <f>VLOOKUP($A488,Table1[#This Row],COLUMN(T487), FALSE)</f>
        <v>41200</v>
      </c>
      <c r="U488" t="str">
        <f>VLOOKUP($A488,Table1[#This Row],COLUMN(U487), FALSE)</f>
        <v>PO1919527</v>
      </c>
      <c r="V488" t="str">
        <f>VLOOKUP($A488,Table1[#This Row],COLUMN(V487), FALSE)</f>
        <v>IN</v>
      </c>
      <c r="W488">
        <f>VLOOKUP($A488,Table1[#This Row],COLUMN(W487), FALSE)</f>
        <v>2012</v>
      </c>
      <c r="X488" t="str">
        <f>VLOOKUP($A488,Table1[#This Row],COLUMN(X487), FALSE)</f>
        <v>PO1919527</v>
      </c>
      <c r="Y488">
        <f>VLOOKUP($A488,Table1[#This Row],COLUMN(Y487), FALSE)</f>
        <v>41200</v>
      </c>
      <c r="Z488" t="str">
        <f>VLOOKUP($A488,Table1[#This Row],COLUMN(Z487), FALSE)</f>
        <v>IN-2012-PO1919527-41200</v>
      </c>
      <c r="AA488">
        <f>VLOOKUP($A488,Table1[#This Row],COLUMN(AA487), FALSE)</f>
        <v>2012</v>
      </c>
      <c r="AB488">
        <f>VLOOKUP($A488,Table1[#This Row],COLUMN(AB487), FALSE)</f>
        <v>10</v>
      </c>
      <c r="AC488">
        <f>VLOOKUP($A488,Table1[#This Row],COLUMN(AC487), FALSE)</f>
        <v>5</v>
      </c>
      <c r="AD488">
        <f>VLOOKUP($A488,Table1[#This Row],COLUMN(AD487), FALSE)</f>
        <v>5</v>
      </c>
    </row>
    <row r="489" spans="1:30" ht="15.75">
      <c r="A489" s="54" t="s">
        <v>1210</v>
      </c>
      <c r="B489" s="52">
        <f>VLOOKUP($A489,Table1[#This Row],COLUMN(B488), FALSE)</f>
        <v>42029</v>
      </c>
      <c r="C489" s="52">
        <f>VLOOKUP($A489,Table1[#This Row],COLUMN(C488), FALSE)</f>
        <v>42033</v>
      </c>
      <c r="D489" t="str">
        <f>VLOOKUP($A489,Table1[#This Row],COLUMN(D488), FALSE)</f>
        <v>Katherine Ducich</v>
      </c>
      <c r="E489" t="str">
        <f>VLOOKUP($A489,Table1[#This Row],COLUMN(E488), FALSE)</f>
        <v>India</v>
      </c>
      <c r="F489" t="str">
        <f>VLOOKUP($A489,Table1[#This Row],COLUMN(F488), FALSE)</f>
        <v>Southern Asia</v>
      </c>
      <c r="G489" t="str">
        <f>VLOOKUP($A489,Table1[#This Row],COLUMN(G488), FALSE)</f>
        <v>Furniture</v>
      </c>
      <c r="H489" t="str">
        <f>VLOOKUP($A489,Table1[#This Row],COLUMN(H488), FALSE)</f>
        <v>Bookcases</v>
      </c>
      <c r="I489">
        <f>VLOOKUP($A489,Table1[#This Row],COLUMN(I488), FALSE)</f>
        <v>2485.6199999999899</v>
      </c>
      <c r="J489">
        <f>VLOOKUP($A489,Table1[#This Row],COLUMN(J488), FALSE)</f>
        <v>6</v>
      </c>
      <c r="K489">
        <f>VLOOKUP($A489,Table1[#This Row],COLUMN(K488), FALSE)</f>
        <v>0</v>
      </c>
      <c r="L489">
        <f>VLOOKUP($A489,Table1[#This Row],COLUMN(L488), FALSE)</f>
        <v>795.24</v>
      </c>
      <c r="M489" t="str">
        <f>VLOOKUP($A489,Table1[#This Row],COLUMN(M488), FALSE)</f>
        <v>Medium</v>
      </c>
      <c r="N489">
        <f>VLOOKUP($A489,Table1[#This Row],COLUMN(N488), FALSE)</f>
        <v>0</v>
      </c>
      <c r="O489" t="str">
        <f>VLOOKUP($A489,Table1[#This Row],COLUMN(O488), FALSE)</f>
        <v>Katherine Ducich</v>
      </c>
      <c r="P489" t="str">
        <f>VLOOKUP($A489,Table1[#This Row],COLUMN(P488), FALSE)</f>
        <v>IN</v>
      </c>
      <c r="Q489" t="str">
        <f>VLOOKUP($A489,Table1[#This Row],COLUMN(Q488), FALSE)</f>
        <v>2015</v>
      </c>
      <c r="R489" t="str">
        <f>VLOOKUP($A489,Table1[#This Row],COLUMN(R488), FALSE)</f>
        <v>MEDIUM</v>
      </c>
      <c r="S489" t="str">
        <f>VLOOKUP($A489,Table1[#This Row],COLUMN(S488), FALSE)</f>
        <v>furniture</v>
      </c>
      <c r="T489" t="str">
        <f>VLOOKUP($A489,Table1[#This Row],COLUMN(T488), FALSE)</f>
        <v>42029</v>
      </c>
      <c r="U489" t="str">
        <f>VLOOKUP($A489,Table1[#This Row],COLUMN(U488), FALSE)</f>
        <v>KD1634558</v>
      </c>
      <c r="V489" t="str">
        <f>VLOOKUP($A489,Table1[#This Row],COLUMN(V488), FALSE)</f>
        <v>IN</v>
      </c>
      <c r="W489">
        <f>VLOOKUP($A489,Table1[#This Row],COLUMN(W488), FALSE)</f>
        <v>2015</v>
      </c>
      <c r="X489" t="str">
        <f>VLOOKUP($A489,Table1[#This Row],COLUMN(X488), FALSE)</f>
        <v>KD1634558</v>
      </c>
      <c r="Y489">
        <f>VLOOKUP($A489,Table1[#This Row],COLUMN(Y488), FALSE)</f>
        <v>42029</v>
      </c>
      <c r="Z489" t="str">
        <f>VLOOKUP($A489,Table1[#This Row],COLUMN(Z488), FALSE)</f>
        <v>IN-2015-KD1634558-42029</v>
      </c>
      <c r="AA489">
        <f>VLOOKUP($A489,Table1[#This Row],COLUMN(AA488), FALSE)</f>
        <v>2015</v>
      </c>
      <c r="AB489">
        <f>VLOOKUP($A489,Table1[#This Row],COLUMN(AB488), FALSE)</f>
        <v>1</v>
      </c>
      <c r="AC489">
        <f>VLOOKUP($A489,Table1[#This Row],COLUMN(AC488), FALSE)</f>
        <v>1</v>
      </c>
      <c r="AD489">
        <f>VLOOKUP($A489,Table1[#This Row],COLUMN(AD488), FALSE)</f>
        <v>4</v>
      </c>
    </row>
    <row r="490" spans="1:30" ht="15.75">
      <c r="A490" s="53" t="s">
        <v>1219</v>
      </c>
      <c r="B490" s="52">
        <f>VLOOKUP($A490,Table1[#This Row],COLUMN(B489), FALSE)</f>
        <v>42035</v>
      </c>
      <c r="C490" s="52">
        <f>VLOOKUP($A490,Table1[#This Row],COLUMN(C489), FALSE)</f>
        <v>42039</v>
      </c>
      <c r="D490" t="str">
        <f>VLOOKUP($A490,Table1[#This Row],COLUMN(D489), FALSE)</f>
        <v>Denny Joy</v>
      </c>
      <c r="E490" t="str">
        <f>VLOOKUP($A490,Table1[#This Row],COLUMN(E489), FALSE)</f>
        <v>France</v>
      </c>
      <c r="F490" t="str">
        <f>VLOOKUP($A490,Table1[#This Row],COLUMN(F489), FALSE)</f>
        <v>Western Europe</v>
      </c>
      <c r="G490" t="str">
        <f>VLOOKUP($A490,Table1[#This Row],COLUMN(G489), FALSE)</f>
        <v>Technology</v>
      </c>
      <c r="H490" t="str">
        <f>VLOOKUP($A490,Table1[#This Row],COLUMN(H489), FALSE)</f>
        <v>Chairs</v>
      </c>
      <c r="I490">
        <f>VLOOKUP($A490,Table1[#This Row],COLUMN(I489), FALSE)</f>
        <v>2102.8319999999999</v>
      </c>
      <c r="J490">
        <f>VLOOKUP($A490,Table1[#This Row],COLUMN(J489), FALSE)</f>
        <v>8</v>
      </c>
      <c r="K490">
        <f>VLOOKUP($A490,Table1[#This Row],COLUMN(K489), FALSE)</f>
        <v>0.15</v>
      </c>
      <c r="L490">
        <f>VLOOKUP($A490,Table1[#This Row],COLUMN(L489), FALSE)</f>
        <v>2270.15770744771</v>
      </c>
      <c r="M490" t="str">
        <f>VLOOKUP($A490,Table1[#This Row],COLUMN(M489), FALSE)</f>
        <v>High</v>
      </c>
      <c r="N490">
        <f>VLOOKUP($A490,Table1[#This Row],COLUMN(N489), FALSE)</f>
        <v>0</v>
      </c>
      <c r="O490" t="str">
        <f>VLOOKUP($A490,Table1[#This Row],COLUMN(O489), FALSE)</f>
        <v>Denny Joy</v>
      </c>
      <c r="P490" t="str">
        <f>VLOOKUP($A490,Table1[#This Row],COLUMN(P489), FALSE)</f>
        <v>ES</v>
      </c>
      <c r="Q490" t="str">
        <f>VLOOKUP($A490,Table1[#This Row],COLUMN(Q489), FALSE)</f>
        <v>2015</v>
      </c>
      <c r="R490" t="str">
        <f>VLOOKUP($A490,Table1[#This Row],COLUMN(R489), FALSE)</f>
        <v>HIGH</v>
      </c>
      <c r="S490" t="str">
        <f>VLOOKUP($A490,Table1[#This Row],COLUMN(S489), FALSE)</f>
        <v>technology</v>
      </c>
      <c r="T490" t="str">
        <f>VLOOKUP($A490,Table1[#This Row],COLUMN(T489), FALSE)</f>
        <v>42035</v>
      </c>
      <c r="U490" t="str">
        <f>VLOOKUP($A490,Table1[#This Row],COLUMN(U489), FALSE)</f>
        <v>DJ1342045</v>
      </c>
      <c r="V490" t="str">
        <f>VLOOKUP($A490,Table1[#This Row],COLUMN(V489), FALSE)</f>
        <v>ES</v>
      </c>
      <c r="W490">
        <f>VLOOKUP($A490,Table1[#This Row],COLUMN(W489), FALSE)</f>
        <v>2015</v>
      </c>
      <c r="X490" t="str">
        <f>VLOOKUP($A490,Table1[#This Row],COLUMN(X489), FALSE)</f>
        <v>DJ1342045</v>
      </c>
      <c r="Y490">
        <f>VLOOKUP($A490,Table1[#This Row],COLUMN(Y489), FALSE)</f>
        <v>42035</v>
      </c>
      <c r="Z490" t="str">
        <f>VLOOKUP($A490,Table1[#This Row],COLUMN(Z489), FALSE)</f>
        <v>ES-2015-DJ1342045-42035</v>
      </c>
      <c r="AA490">
        <f>VLOOKUP($A490,Table1[#This Row],COLUMN(AA489), FALSE)</f>
        <v>2015</v>
      </c>
      <c r="AB490">
        <f>VLOOKUP($A490,Table1[#This Row],COLUMN(AB489), FALSE)</f>
        <v>1</v>
      </c>
      <c r="AC490">
        <f>VLOOKUP($A490,Table1[#This Row],COLUMN(AC489), FALSE)</f>
        <v>7</v>
      </c>
      <c r="AD490">
        <f>VLOOKUP($A490,Table1[#This Row],COLUMN(AD489), FALSE)</f>
        <v>4</v>
      </c>
    </row>
    <row r="491" spans="1:30" ht="15.75">
      <c r="A491" s="54" t="s">
        <v>1221</v>
      </c>
      <c r="B491" s="52">
        <f>VLOOKUP($A491,Table1[#This Row],COLUMN(B490), FALSE)</f>
        <v>41906</v>
      </c>
      <c r="C491" s="52">
        <f>VLOOKUP($A491,Table1[#This Row],COLUMN(C490), FALSE)</f>
        <v>41906</v>
      </c>
      <c r="D491" t="str">
        <f>VLOOKUP($A491,Table1[#This Row],COLUMN(D490), FALSE)</f>
        <v>Hilary Holden</v>
      </c>
      <c r="E491" t="str">
        <f>VLOOKUP($A491,Table1[#This Row],COLUMN(E490), FALSE)</f>
        <v>Tanzania</v>
      </c>
      <c r="F491" t="str">
        <f>VLOOKUP($A491,Table1[#This Row],COLUMN(F490), FALSE)</f>
        <v>Eastern Africa</v>
      </c>
      <c r="G491" t="str">
        <f>VLOOKUP($A491,Table1[#This Row],COLUMN(G490), FALSE)</f>
        <v>Office Supplies</v>
      </c>
      <c r="H491" t="str">
        <f>VLOOKUP($A491,Table1[#This Row],COLUMN(H490), FALSE)</f>
        <v>Machines</v>
      </c>
      <c r="I491">
        <f>VLOOKUP($A491,Table1[#This Row],COLUMN(I490), FALSE)</f>
        <v>553.44000000000005</v>
      </c>
      <c r="J491">
        <f>VLOOKUP($A491,Table1[#This Row],COLUMN(J490), FALSE)</f>
        <v>8</v>
      </c>
      <c r="K491">
        <f>VLOOKUP($A491,Table1[#This Row],COLUMN(K490), FALSE)</f>
        <v>0</v>
      </c>
      <c r="L491">
        <f>VLOOKUP($A491,Table1[#This Row],COLUMN(L490), FALSE)</f>
        <v>16.559999999999999</v>
      </c>
      <c r="M491" t="str">
        <f>VLOOKUP($A491,Table1[#This Row],COLUMN(M490), FALSE)</f>
        <v>Critical</v>
      </c>
      <c r="N491">
        <f>VLOOKUP($A491,Table1[#This Row],COLUMN(N490), FALSE)</f>
        <v>0</v>
      </c>
      <c r="O491" t="str">
        <f>VLOOKUP($A491,Table1[#This Row],COLUMN(O490), FALSE)</f>
        <v>Hilary Holden</v>
      </c>
      <c r="P491" t="str">
        <f>VLOOKUP($A491,Table1[#This Row],COLUMN(P490), FALSE)</f>
        <v>TZ</v>
      </c>
      <c r="Q491" t="str">
        <f>VLOOKUP($A491,Table1[#This Row],COLUMN(Q490), FALSE)</f>
        <v>2014</v>
      </c>
      <c r="R491" t="str">
        <f>VLOOKUP($A491,Table1[#This Row],COLUMN(R490), FALSE)</f>
        <v>CRITICAL</v>
      </c>
      <c r="S491" t="str">
        <f>VLOOKUP($A491,Table1[#This Row],COLUMN(S490), FALSE)</f>
        <v>office supplies</v>
      </c>
      <c r="T491" t="str">
        <f>VLOOKUP($A491,Table1[#This Row],COLUMN(T490), FALSE)</f>
        <v>41906</v>
      </c>
      <c r="U491" t="str">
        <f>VLOOKUP($A491,Table1[#This Row],COLUMN(U490), FALSE)</f>
        <v>HH5010129</v>
      </c>
      <c r="V491" t="str">
        <f>VLOOKUP($A491,Table1[#This Row],COLUMN(V490), FALSE)</f>
        <v>TZ</v>
      </c>
      <c r="W491">
        <f>VLOOKUP($A491,Table1[#This Row],COLUMN(W490), FALSE)</f>
        <v>2014</v>
      </c>
      <c r="X491" t="str">
        <f>VLOOKUP($A491,Table1[#This Row],COLUMN(X490), FALSE)</f>
        <v>HH5010129</v>
      </c>
      <c r="Y491">
        <f>VLOOKUP($A491,Table1[#This Row],COLUMN(Y490), FALSE)</f>
        <v>41906</v>
      </c>
      <c r="Z491" t="str">
        <f>VLOOKUP($A491,Table1[#This Row],COLUMN(Z490), FALSE)</f>
        <v>TZ-2014-HH5010129-41906</v>
      </c>
      <c r="AA491">
        <f>VLOOKUP($A491,Table1[#This Row],COLUMN(AA490), FALSE)</f>
        <v>2014</v>
      </c>
      <c r="AB491">
        <f>VLOOKUP($A491,Table1[#This Row],COLUMN(AB490), FALSE)</f>
        <v>9</v>
      </c>
      <c r="AC491">
        <f>VLOOKUP($A491,Table1[#This Row],COLUMN(AC490), FALSE)</f>
        <v>4</v>
      </c>
      <c r="AD491">
        <f>VLOOKUP($A491,Table1[#This Row],COLUMN(AD490), FALSE)</f>
        <v>0</v>
      </c>
    </row>
    <row r="492" spans="1:30" ht="15.75">
      <c r="A492" s="53" t="s">
        <v>1232</v>
      </c>
      <c r="B492" s="52">
        <f>VLOOKUP($A492,Table1[#This Row],COLUMN(B491), FALSE)</f>
        <v>42087</v>
      </c>
      <c r="C492" s="52">
        <f>VLOOKUP($A492,Table1[#This Row],COLUMN(C491), FALSE)</f>
        <v>42091</v>
      </c>
      <c r="D492" t="str">
        <f>VLOOKUP($A492,Table1[#This Row],COLUMN(D491), FALSE)</f>
        <v>Natalie Fritzler</v>
      </c>
      <c r="E492" t="str">
        <f>VLOOKUP($A492,Table1[#This Row],COLUMN(E491), FALSE)</f>
        <v>Mexico</v>
      </c>
      <c r="F492" t="str">
        <f>VLOOKUP($A492,Table1[#This Row],COLUMN(F491), FALSE)</f>
        <v>Central America</v>
      </c>
      <c r="G492" t="str">
        <f>VLOOKUP($A492,Table1[#This Row],COLUMN(G491), FALSE)</f>
        <v>Furniture</v>
      </c>
      <c r="H492" t="str">
        <f>VLOOKUP($A492,Table1[#This Row],COLUMN(H491), FALSE)</f>
        <v>Phones</v>
      </c>
      <c r="I492">
        <f>VLOOKUP($A492,Table1[#This Row],COLUMN(I491), FALSE)</f>
        <v>2205.5680000000002</v>
      </c>
      <c r="J492">
        <f>VLOOKUP($A492,Table1[#This Row],COLUMN(J491), FALSE)</f>
        <v>8</v>
      </c>
      <c r="K492">
        <f>VLOOKUP($A492,Table1[#This Row],COLUMN(K491), FALSE)</f>
        <v>0.2</v>
      </c>
      <c r="L492">
        <f>VLOOKUP($A492,Table1[#This Row],COLUMN(L491), FALSE)</f>
        <v>689.08799999999997</v>
      </c>
      <c r="M492" t="str">
        <f>VLOOKUP($A492,Table1[#This Row],COLUMN(M491), FALSE)</f>
        <v>High</v>
      </c>
      <c r="N492">
        <f>VLOOKUP($A492,Table1[#This Row],COLUMN(N491), FALSE)</f>
        <v>0</v>
      </c>
      <c r="O492" t="str">
        <f>VLOOKUP($A492,Table1[#This Row],COLUMN(O491), FALSE)</f>
        <v>Natalie Fritzler</v>
      </c>
      <c r="P492" t="str">
        <f>VLOOKUP($A492,Table1[#This Row],COLUMN(P491), FALSE)</f>
        <v>MX</v>
      </c>
      <c r="Q492" t="str">
        <f>VLOOKUP($A492,Table1[#This Row],COLUMN(Q491), FALSE)</f>
        <v>2015</v>
      </c>
      <c r="R492" t="str">
        <f>VLOOKUP($A492,Table1[#This Row],COLUMN(R491), FALSE)</f>
        <v>HIGH</v>
      </c>
      <c r="S492" t="str">
        <f>VLOOKUP($A492,Table1[#This Row],COLUMN(S491), FALSE)</f>
        <v>furniture</v>
      </c>
      <c r="T492" t="str">
        <f>VLOOKUP($A492,Table1[#This Row],COLUMN(T491), FALSE)</f>
        <v>42087</v>
      </c>
      <c r="U492" t="str">
        <f>VLOOKUP($A492,Table1[#This Row],COLUMN(U491), FALSE)</f>
        <v>NF1838582</v>
      </c>
      <c r="V492" t="str">
        <f>VLOOKUP($A492,Table1[#This Row],COLUMN(V491), FALSE)</f>
        <v>MX</v>
      </c>
      <c r="W492">
        <f>VLOOKUP($A492,Table1[#This Row],COLUMN(W491), FALSE)</f>
        <v>2015</v>
      </c>
      <c r="X492" t="str">
        <f>VLOOKUP($A492,Table1[#This Row],COLUMN(X491), FALSE)</f>
        <v>NF1838582</v>
      </c>
      <c r="Y492">
        <f>VLOOKUP($A492,Table1[#This Row],COLUMN(Y491), FALSE)</f>
        <v>42087</v>
      </c>
      <c r="Z492" t="str">
        <f>VLOOKUP($A492,Table1[#This Row],COLUMN(Z491), FALSE)</f>
        <v>MX-2015-NF1838582-42087</v>
      </c>
      <c r="AA492">
        <f>VLOOKUP($A492,Table1[#This Row],COLUMN(AA491), FALSE)</f>
        <v>2015</v>
      </c>
      <c r="AB492">
        <f>VLOOKUP($A492,Table1[#This Row],COLUMN(AB491), FALSE)</f>
        <v>3</v>
      </c>
      <c r="AC492">
        <f>VLOOKUP($A492,Table1[#This Row],COLUMN(AC491), FALSE)</f>
        <v>3</v>
      </c>
      <c r="AD492">
        <f>VLOOKUP($A492,Table1[#This Row],COLUMN(AD491), FALSE)</f>
        <v>4</v>
      </c>
    </row>
    <row r="493" spans="1:30" ht="15.75">
      <c r="A493" s="54" t="s">
        <v>1237</v>
      </c>
      <c r="B493" s="52">
        <f>VLOOKUP($A493,Table1[#This Row],COLUMN(B492), FALSE)</f>
        <v>42169</v>
      </c>
      <c r="C493" s="52">
        <f>VLOOKUP($A493,Table1[#This Row],COLUMN(C492), FALSE)</f>
        <v>42172</v>
      </c>
      <c r="D493" t="str">
        <f>VLOOKUP($A493,Table1[#This Row],COLUMN(D492), FALSE)</f>
        <v>Art Ferguson</v>
      </c>
      <c r="E493" t="str">
        <f>VLOOKUP($A493,Table1[#This Row],COLUMN(E492), FALSE)</f>
        <v>Germany</v>
      </c>
      <c r="F493" t="str">
        <f>VLOOKUP($A493,Table1[#This Row],COLUMN(F492), FALSE)</f>
        <v>Western Europe</v>
      </c>
      <c r="G493" t="str">
        <f>VLOOKUP($A493,Table1[#This Row],COLUMN(G492), FALSE)</f>
        <v>Furniture</v>
      </c>
      <c r="H493" t="str">
        <f>VLOOKUP($A493,Table1[#This Row],COLUMN(H492), FALSE)</f>
        <v>Phones</v>
      </c>
      <c r="I493">
        <f>VLOOKUP($A493,Table1[#This Row],COLUMN(I492), FALSE)</f>
        <v>2291.835</v>
      </c>
      <c r="J493">
        <f>VLOOKUP($A493,Table1[#This Row],COLUMN(J492), FALSE)</f>
        <v>7</v>
      </c>
      <c r="K493">
        <f>VLOOKUP($A493,Table1[#This Row],COLUMN(K492), FALSE)</f>
        <v>0.35</v>
      </c>
      <c r="L493">
        <f>VLOOKUP($A493,Table1[#This Row],COLUMN(L492), FALSE)</f>
        <v>-1128.4349999999999</v>
      </c>
      <c r="M493" t="str">
        <f>VLOOKUP($A493,Table1[#This Row],COLUMN(M492), FALSE)</f>
        <v>High</v>
      </c>
      <c r="N493">
        <f>VLOOKUP($A493,Table1[#This Row],COLUMN(N492), FALSE)</f>
        <v>0</v>
      </c>
      <c r="O493" t="str">
        <f>VLOOKUP($A493,Table1[#This Row],COLUMN(O492), FALSE)</f>
        <v>Art Ferguson</v>
      </c>
      <c r="P493" t="str">
        <f>VLOOKUP($A493,Table1[#This Row],COLUMN(P492), FALSE)</f>
        <v>ES</v>
      </c>
      <c r="Q493" t="str">
        <f>VLOOKUP($A493,Table1[#This Row],COLUMN(Q492), FALSE)</f>
        <v>2015</v>
      </c>
      <c r="R493" t="str">
        <f>VLOOKUP($A493,Table1[#This Row],COLUMN(R492), FALSE)</f>
        <v>HIGH</v>
      </c>
      <c r="S493" t="str">
        <f>VLOOKUP($A493,Table1[#This Row],COLUMN(S492), FALSE)</f>
        <v>furniture</v>
      </c>
      <c r="T493" t="str">
        <f>VLOOKUP($A493,Table1[#This Row],COLUMN(T492), FALSE)</f>
        <v>42169</v>
      </c>
      <c r="U493" t="str">
        <f>VLOOKUP($A493,Table1[#This Row],COLUMN(U492), FALSE)</f>
        <v>AF1087048</v>
      </c>
      <c r="V493" t="str">
        <f>VLOOKUP($A493,Table1[#This Row],COLUMN(V492), FALSE)</f>
        <v>ES</v>
      </c>
      <c r="W493">
        <f>VLOOKUP($A493,Table1[#This Row],COLUMN(W492), FALSE)</f>
        <v>2015</v>
      </c>
      <c r="X493" t="str">
        <f>VLOOKUP($A493,Table1[#This Row],COLUMN(X492), FALSE)</f>
        <v>AF1087048</v>
      </c>
      <c r="Y493">
        <f>VLOOKUP($A493,Table1[#This Row],COLUMN(Y492), FALSE)</f>
        <v>42169</v>
      </c>
      <c r="Z493" t="str">
        <f>VLOOKUP($A493,Table1[#This Row],COLUMN(Z492), FALSE)</f>
        <v>ES-2015-AF1087048-42169</v>
      </c>
      <c r="AA493">
        <f>VLOOKUP($A493,Table1[#This Row],COLUMN(AA492), FALSE)</f>
        <v>2015</v>
      </c>
      <c r="AB493">
        <f>VLOOKUP($A493,Table1[#This Row],COLUMN(AB492), FALSE)</f>
        <v>6</v>
      </c>
      <c r="AC493">
        <f>VLOOKUP($A493,Table1[#This Row],COLUMN(AC492), FALSE)</f>
        <v>1</v>
      </c>
      <c r="AD493">
        <f>VLOOKUP($A493,Table1[#This Row],COLUMN(AD492), FALSE)</f>
        <v>3</v>
      </c>
    </row>
    <row r="494" spans="1:30" ht="15.75">
      <c r="A494" s="53" t="s">
        <v>1243</v>
      </c>
      <c r="B494" s="52">
        <f>VLOOKUP($A494,Table1[#This Row],COLUMN(B493), FALSE)</f>
        <v>41137</v>
      </c>
      <c r="C494" s="52">
        <f>VLOOKUP($A494,Table1[#This Row],COLUMN(C493), FALSE)</f>
        <v>41139</v>
      </c>
      <c r="D494" t="str">
        <f>VLOOKUP($A494,Table1[#This Row],COLUMN(D493), FALSE)</f>
        <v>Alejandro Savely</v>
      </c>
      <c r="E494" t="str">
        <f>VLOOKUP($A494,Table1[#This Row],COLUMN(E493), FALSE)</f>
        <v>Russia</v>
      </c>
      <c r="F494" t="str">
        <f>VLOOKUP($A494,Table1[#This Row],COLUMN(F493), FALSE)</f>
        <v>Eastern Europe</v>
      </c>
      <c r="G494" t="str">
        <f>VLOOKUP($A494,Table1[#This Row],COLUMN(G493), FALSE)</f>
        <v>Furniture</v>
      </c>
      <c r="H494" t="str">
        <f>VLOOKUP($A494,Table1[#This Row],COLUMN(H493), FALSE)</f>
        <v>Tables</v>
      </c>
      <c r="I494">
        <f>VLOOKUP($A494,Table1[#This Row],COLUMN(I493), FALSE)</f>
        <v>954.6</v>
      </c>
      <c r="J494">
        <f>VLOOKUP($A494,Table1[#This Row],COLUMN(J493), FALSE)</f>
        <v>10</v>
      </c>
      <c r="K494">
        <f>VLOOKUP($A494,Table1[#This Row],COLUMN(K493), FALSE)</f>
        <v>0</v>
      </c>
      <c r="L494">
        <f>VLOOKUP($A494,Table1[#This Row],COLUMN(L493), FALSE)</f>
        <v>152.69999999999999</v>
      </c>
      <c r="M494" t="str">
        <f>VLOOKUP($A494,Table1[#This Row],COLUMN(M493), FALSE)</f>
        <v>Critical</v>
      </c>
      <c r="N494">
        <f>VLOOKUP($A494,Table1[#This Row],COLUMN(N493), FALSE)</f>
        <v>0</v>
      </c>
      <c r="O494" t="str">
        <f>VLOOKUP($A494,Table1[#This Row],COLUMN(O493), FALSE)</f>
        <v>Alejandro Savely</v>
      </c>
      <c r="P494" t="str">
        <f>VLOOKUP($A494,Table1[#This Row],COLUMN(P493), FALSE)</f>
        <v>RS</v>
      </c>
      <c r="Q494" t="str">
        <f>VLOOKUP($A494,Table1[#This Row],COLUMN(Q493), FALSE)</f>
        <v>2012</v>
      </c>
      <c r="R494" t="str">
        <f>VLOOKUP($A494,Table1[#This Row],COLUMN(R493), FALSE)</f>
        <v>CRITICAL</v>
      </c>
      <c r="S494" t="str">
        <f>VLOOKUP($A494,Table1[#This Row],COLUMN(S493), FALSE)</f>
        <v>furniture</v>
      </c>
      <c r="T494" t="str">
        <f>VLOOKUP($A494,Table1[#This Row],COLUMN(T493), FALSE)</f>
        <v>41137</v>
      </c>
      <c r="U494" t="str">
        <f>VLOOKUP($A494,Table1[#This Row],COLUMN(U493), FALSE)</f>
        <v>AS285108</v>
      </c>
      <c r="V494" t="str">
        <f>VLOOKUP($A494,Table1[#This Row],COLUMN(V493), FALSE)</f>
        <v>RS</v>
      </c>
      <c r="W494">
        <f>VLOOKUP($A494,Table1[#This Row],COLUMN(W493), FALSE)</f>
        <v>2012</v>
      </c>
      <c r="X494" t="str">
        <f>VLOOKUP($A494,Table1[#This Row],COLUMN(X493), FALSE)</f>
        <v>AS285108</v>
      </c>
      <c r="Y494">
        <f>VLOOKUP($A494,Table1[#This Row],COLUMN(Y493), FALSE)</f>
        <v>41137</v>
      </c>
      <c r="Z494" t="str">
        <f>VLOOKUP($A494,Table1[#This Row],COLUMN(Z493), FALSE)</f>
        <v>RS-2012-AS285108-41137</v>
      </c>
      <c r="AA494">
        <f>VLOOKUP($A494,Table1[#This Row],COLUMN(AA493), FALSE)</f>
        <v>2012</v>
      </c>
      <c r="AB494">
        <f>VLOOKUP($A494,Table1[#This Row],COLUMN(AB493), FALSE)</f>
        <v>8</v>
      </c>
      <c r="AC494">
        <f>VLOOKUP($A494,Table1[#This Row],COLUMN(AC493), FALSE)</f>
        <v>5</v>
      </c>
      <c r="AD494">
        <f>VLOOKUP($A494,Table1[#This Row],COLUMN(AD493), FALSE)</f>
        <v>2</v>
      </c>
    </row>
    <row r="495" spans="1:30" ht="15.75">
      <c r="A495" s="54" t="s">
        <v>1255</v>
      </c>
      <c r="B495" s="52">
        <f>VLOOKUP($A495,Table1[#This Row],COLUMN(B494), FALSE)</f>
        <v>41688</v>
      </c>
      <c r="C495" s="52">
        <f>VLOOKUP($A495,Table1[#This Row],COLUMN(C494), FALSE)</f>
        <v>41693</v>
      </c>
      <c r="D495" t="str">
        <f>VLOOKUP($A495,Table1[#This Row],COLUMN(D494), FALSE)</f>
        <v>Maria Bertelson</v>
      </c>
      <c r="E495" t="str">
        <f>VLOOKUP($A495,Table1[#This Row],COLUMN(E494), FALSE)</f>
        <v>Democratic Republic of the Congo</v>
      </c>
      <c r="F495" t="str">
        <f>VLOOKUP($A495,Table1[#This Row],COLUMN(F494), FALSE)</f>
        <v>Central Africa</v>
      </c>
      <c r="G495" t="str">
        <f>VLOOKUP($A495,Table1[#This Row],COLUMN(G494), FALSE)</f>
        <v>Furniture</v>
      </c>
      <c r="H495" t="str">
        <f>VLOOKUP($A495,Table1[#This Row],COLUMN(H494), FALSE)</f>
        <v>Bookcases</v>
      </c>
      <c r="I495">
        <f>VLOOKUP($A495,Table1[#This Row],COLUMN(I494), FALSE)</f>
        <v>3877.68</v>
      </c>
      <c r="J495">
        <f>VLOOKUP($A495,Table1[#This Row],COLUMN(J494), FALSE)</f>
        <v>8</v>
      </c>
      <c r="K495">
        <f>VLOOKUP($A495,Table1[#This Row],COLUMN(K494), FALSE)</f>
        <v>0</v>
      </c>
      <c r="L495">
        <f>VLOOKUP($A495,Table1[#This Row],COLUMN(L494), FALSE)</f>
        <v>930.48</v>
      </c>
      <c r="M495" t="str">
        <f>VLOOKUP($A495,Table1[#This Row],COLUMN(M494), FALSE)</f>
        <v>Medium</v>
      </c>
      <c r="N495">
        <f>VLOOKUP($A495,Table1[#This Row],COLUMN(N494), FALSE)</f>
        <v>0</v>
      </c>
      <c r="O495" t="str">
        <f>VLOOKUP($A495,Table1[#This Row],COLUMN(O494), FALSE)</f>
        <v>Maria Bertelson</v>
      </c>
      <c r="P495" t="str">
        <f>VLOOKUP($A495,Table1[#This Row],COLUMN(P494), FALSE)</f>
        <v>CG</v>
      </c>
      <c r="Q495" t="str">
        <f>VLOOKUP($A495,Table1[#This Row],COLUMN(Q494), FALSE)</f>
        <v>2014</v>
      </c>
      <c r="R495" t="str">
        <f>VLOOKUP($A495,Table1[#This Row],COLUMN(R494), FALSE)</f>
        <v>MEDIUM</v>
      </c>
      <c r="S495" t="str">
        <f>VLOOKUP($A495,Table1[#This Row],COLUMN(S494), FALSE)</f>
        <v>furniture</v>
      </c>
      <c r="T495" t="str">
        <f>VLOOKUP($A495,Table1[#This Row],COLUMN(T494), FALSE)</f>
        <v>41688</v>
      </c>
      <c r="U495" t="str">
        <f>VLOOKUP($A495,Table1[#This Row],COLUMN(U494), FALSE)</f>
        <v>MB730533</v>
      </c>
      <c r="V495" t="str">
        <f>VLOOKUP($A495,Table1[#This Row],COLUMN(V494), FALSE)</f>
        <v>CG</v>
      </c>
      <c r="W495">
        <f>VLOOKUP($A495,Table1[#This Row],COLUMN(W494), FALSE)</f>
        <v>2014</v>
      </c>
      <c r="X495" t="str">
        <f>VLOOKUP($A495,Table1[#This Row],COLUMN(X494), FALSE)</f>
        <v>MB730533</v>
      </c>
      <c r="Y495">
        <f>VLOOKUP($A495,Table1[#This Row],COLUMN(Y494), FALSE)</f>
        <v>41688</v>
      </c>
      <c r="Z495" t="str">
        <f>VLOOKUP($A495,Table1[#This Row],COLUMN(Z494), FALSE)</f>
        <v>CG-2014-MB730533-41688</v>
      </c>
      <c r="AA495">
        <f>VLOOKUP($A495,Table1[#This Row],COLUMN(AA494), FALSE)</f>
        <v>2014</v>
      </c>
      <c r="AB495">
        <f>VLOOKUP($A495,Table1[#This Row],COLUMN(AB494), FALSE)</f>
        <v>2</v>
      </c>
      <c r="AC495">
        <f>VLOOKUP($A495,Table1[#This Row],COLUMN(AC494), FALSE)</f>
        <v>3</v>
      </c>
      <c r="AD495">
        <f>VLOOKUP($A495,Table1[#This Row],COLUMN(AD494), FALSE)</f>
        <v>5</v>
      </c>
    </row>
    <row r="496" spans="1:30" ht="15.75">
      <c r="A496" s="53" t="s">
        <v>1263</v>
      </c>
      <c r="B496" s="52">
        <f>VLOOKUP($A496,Table1[#This Row],COLUMN(B495), FALSE)</f>
        <v>41660</v>
      </c>
      <c r="C496" s="52">
        <f>VLOOKUP($A496,Table1[#This Row],COLUMN(C495), FALSE)</f>
        <v>41660</v>
      </c>
      <c r="D496" t="str">
        <f>VLOOKUP($A496,Table1[#This Row],COLUMN(D495), FALSE)</f>
        <v>Alan Barnes</v>
      </c>
      <c r="E496" t="str">
        <f>VLOOKUP($A496,Table1[#This Row],COLUMN(E495), FALSE)</f>
        <v>Canada</v>
      </c>
      <c r="F496" t="str">
        <f>VLOOKUP($A496,Table1[#This Row],COLUMN(F495), FALSE)</f>
        <v>Canada</v>
      </c>
      <c r="G496" t="str">
        <f>VLOOKUP($A496,Table1[#This Row],COLUMN(G495), FALSE)</f>
        <v>Office Supplies</v>
      </c>
      <c r="H496" t="str">
        <f>VLOOKUP($A496,Table1[#This Row],COLUMN(H495), FALSE)</f>
        <v>Appliances</v>
      </c>
      <c r="I496">
        <f>VLOOKUP($A496,Table1[#This Row],COLUMN(I495), FALSE)</f>
        <v>410.87999999999897</v>
      </c>
      <c r="J496">
        <f>VLOOKUP($A496,Table1[#This Row],COLUMN(J495), FALSE)</f>
        <v>8</v>
      </c>
      <c r="K496">
        <f>VLOOKUP($A496,Table1[#This Row],COLUMN(K495), FALSE)</f>
        <v>0</v>
      </c>
      <c r="L496">
        <f>VLOOKUP($A496,Table1[#This Row],COLUMN(L495), FALSE)</f>
        <v>78</v>
      </c>
      <c r="M496" t="str">
        <f>VLOOKUP($A496,Table1[#This Row],COLUMN(M495), FALSE)</f>
        <v>High</v>
      </c>
      <c r="N496">
        <f>VLOOKUP($A496,Table1[#This Row],COLUMN(N495), FALSE)</f>
        <v>0</v>
      </c>
      <c r="O496" t="str">
        <f>VLOOKUP($A496,Table1[#This Row],COLUMN(O495), FALSE)</f>
        <v>Alan Barnes</v>
      </c>
      <c r="P496" t="str">
        <f>VLOOKUP($A496,Table1[#This Row],COLUMN(P495), FALSE)</f>
        <v>CA</v>
      </c>
      <c r="Q496" t="str">
        <f>VLOOKUP($A496,Table1[#This Row],COLUMN(Q495), FALSE)</f>
        <v>2014</v>
      </c>
      <c r="R496" t="str">
        <f>VLOOKUP($A496,Table1[#This Row],COLUMN(R495), FALSE)</f>
        <v>HIGH</v>
      </c>
      <c r="S496" t="str">
        <f>VLOOKUP($A496,Table1[#This Row],COLUMN(S495), FALSE)</f>
        <v>office supplies</v>
      </c>
      <c r="T496" t="str">
        <f>VLOOKUP($A496,Table1[#This Row],COLUMN(T495), FALSE)</f>
        <v>41660</v>
      </c>
      <c r="U496" t="str">
        <f>VLOOKUP($A496,Table1[#This Row],COLUMN(U495), FALSE)</f>
        <v>AB16523</v>
      </c>
      <c r="V496" t="str">
        <f>VLOOKUP($A496,Table1[#This Row],COLUMN(V495), FALSE)</f>
        <v>CA</v>
      </c>
      <c r="W496">
        <f>VLOOKUP($A496,Table1[#This Row],COLUMN(W495), FALSE)</f>
        <v>2014</v>
      </c>
      <c r="X496" t="str">
        <f>VLOOKUP($A496,Table1[#This Row],COLUMN(X495), FALSE)</f>
        <v>AB16523</v>
      </c>
      <c r="Y496">
        <f>VLOOKUP($A496,Table1[#This Row],COLUMN(Y495), FALSE)</f>
        <v>41660</v>
      </c>
      <c r="Z496" t="str">
        <f>VLOOKUP($A496,Table1[#This Row],COLUMN(Z495), FALSE)</f>
        <v>CA-2014-AB16523-41660</v>
      </c>
      <c r="AA496">
        <f>VLOOKUP($A496,Table1[#This Row],COLUMN(AA495), FALSE)</f>
        <v>2014</v>
      </c>
      <c r="AB496">
        <f>VLOOKUP($A496,Table1[#This Row],COLUMN(AB495), FALSE)</f>
        <v>1</v>
      </c>
      <c r="AC496">
        <f>VLOOKUP($A496,Table1[#This Row],COLUMN(AC495), FALSE)</f>
        <v>3</v>
      </c>
      <c r="AD496">
        <f>VLOOKUP($A496,Table1[#This Row],COLUMN(AD495), FALSE)</f>
        <v>0</v>
      </c>
    </row>
    <row r="497" spans="1:30" ht="15.75">
      <c r="A497" s="54" t="s">
        <v>1285</v>
      </c>
      <c r="B497" s="52">
        <f>VLOOKUP($A497,Table1[#This Row],COLUMN(B496), FALSE)</f>
        <v>41641</v>
      </c>
      <c r="C497" s="52">
        <f>VLOOKUP($A497,Table1[#This Row],COLUMN(C496), FALSE)</f>
        <v>41643</v>
      </c>
      <c r="D497" t="str">
        <f>VLOOKUP($A497,Table1[#This Row],COLUMN(D496), FALSE)</f>
        <v>Andy Gerbode</v>
      </c>
      <c r="E497" t="str">
        <f>VLOOKUP($A497,Table1[#This Row],COLUMN(E496), FALSE)</f>
        <v>Iran</v>
      </c>
      <c r="F497" t="str">
        <f>VLOOKUP($A497,Table1[#This Row],COLUMN(F496), FALSE)</f>
        <v>Southern Asia</v>
      </c>
      <c r="G497" t="str">
        <f>VLOOKUP($A497,Table1[#This Row],COLUMN(G496), FALSE)</f>
        <v>Technology</v>
      </c>
      <c r="H497" t="str">
        <f>VLOOKUP($A497,Table1[#This Row],COLUMN(H496), FALSE)</f>
        <v>Bookcases</v>
      </c>
      <c r="I497">
        <f>VLOOKUP($A497,Table1[#This Row],COLUMN(I496), FALSE)</f>
        <v>2021.88</v>
      </c>
      <c r="J497">
        <f>VLOOKUP($A497,Table1[#This Row],COLUMN(J496), FALSE)</f>
        <v>14</v>
      </c>
      <c r="K497">
        <f>VLOOKUP($A497,Table1[#This Row],COLUMN(K496), FALSE)</f>
        <v>0</v>
      </c>
      <c r="L497">
        <f>VLOOKUP($A497,Table1[#This Row],COLUMN(L496), FALSE)</f>
        <v>323.39999999999998</v>
      </c>
      <c r="M497" t="str">
        <f>VLOOKUP($A497,Table1[#This Row],COLUMN(M496), FALSE)</f>
        <v>High</v>
      </c>
      <c r="N497">
        <f>VLOOKUP($A497,Table1[#This Row],COLUMN(N496), FALSE)</f>
        <v>0</v>
      </c>
      <c r="O497" t="str">
        <f>VLOOKUP($A497,Table1[#This Row],COLUMN(O496), FALSE)</f>
        <v>Andy Gerbode</v>
      </c>
      <c r="P497" t="str">
        <f>VLOOKUP($A497,Table1[#This Row],COLUMN(P496), FALSE)</f>
        <v>IR</v>
      </c>
      <c r="Q497" t="str">
        <f>VLOOKUP($A497,Table1[#This Row],COLUMN(Q496), FALSE)</f>
        <v>2014</v>
      </c>
      <c r="R497" t="str">
        <f>VLOOKUP($A497,Table1[#This Row],COLUMN(R496), FALSE)</f>
        <v>HIGH</v>
      </c>
      <c r="S497" t="str">
        <f>VLOOKUP($A497,Table1[#This Row],COLUMN(S496), FALSE)</f>
        <v>technology</v>
      </c>
      <c r="T497" t="str">
        <f>VLOOKUP($A497,Table1[#This Row],COLUMN(T496), FALSE)</f>
        <v>41641</v>
      </c>
      <c r="U497" t="str">
        <f>VLOOKUP($A497,Table1[#This Row],COLUMN(U496), FALSE)</f>
        <v>AG52560</v>
      </c>
      <c r="V497" t="str">
        <f>VLOOKUP($A497,Table1[#This Row],COLUMN(V496), FALSE)</f>
        <v>IR</v>
      </c>
      <c r="W497">
        <f>VLOOKUP($A497,Table1[#This Row],COLUMN(W496), FALSE)</f>
        <v>2014</v>
      </c>
      <c r="X497" t="str">
        <f>VLOOKUP($A497,Table1[#This Row],COLUMN(X496), FALSE)</f>
        <v>AG52560</v>
      </c>
      <c r="Y497">
        <f>VLOOKUP($A497,Table1[#This Row],COLUMN(Y496), FALSE)</f>
        <v>41641</v>
      </c>
      <c r="Z497" t="str">
        <f>VLOOKUP($A497,Table1[#This Row],COLUMN(Z496), FALSE)</f>
        <v>IR-2014-AG52560-41641</v>
      </c>
      <c r="AA497">
        <f>VLOOKUP($A497,Table1[#This Row],COLUMN(AA496), FALSE)</f>
        <v>2014</v>
      </c>
      <c r="AB497">
        <f>VLOOKUP($A497,Table1[#This Row],COLUMN(AB496), FALSE)</f>
        <v>1</v>
      </c>
      <c r="AC497">
        <f>VLOOKUP($A497,Table1[#This Row],COLUMN(AC496), FALSE)</f>
        <v>5</v>
      </c>
      <c r="AD497">
        <f>VLOOKUP($A497,Table1[#This Row],COLUMN(AD496), FALSE)</f>
        <v>2</v>
      </c>
    </row>
    <row r="498" spans="1:30" ht="15.75">
      <c r="A498" s="53" t="s">
        <v>1292</v>
      </c>
      <c r="B498" s="52">
        <f>VLOOKUP($A498,Table1[#This Row],COLUMN(B497), FALSE)</f>
        <v>42326</v>
      </c>
      <c r="C498" s="52" t="str">
        <f>VLOOKUP($A498,Table1[#This Row],COLUMN(C497), FALSE)</f>
        <v>11/22/2015</v>
      </c>
      <c r="D498" t="str">
        <f>VLOOKUP($A498,Table1[#This Row],COLUMN(D497), FALSE)</f>
        <v>Frank Carlisle</v>
      </c>
      <c r="E498" t="str">
        <f>VLOOKUP($A498,Table1[#This Row],COLUMN(E497), FALSE)</f>
        <v>Australia</v>
      </c>
      <c r="F498" t="str">
        <f>VLOOKUP($A498,Table1[#This Row],COLUMN(F497), FALSE)</f>
        <v>Oceania</v>
      </c>
      <c r="G498" t="str">
        <f>VLOOKUP($A498,Table1[#This Row],COLUMN(G497), FALSE)</f>
        <v>Technology</v>
      </c>
      <c r="H498" t="str">
        <f>VLOOKUP($A498,Table1[#This Row],COLUMN(H497), FALSE)</f>
        <v>Phones</v>
      </c>
      <c r="I498">
        <f>VLOOKUP($A498,Table1[#This Row],COLUMN(I497), FALSE)</f>
        <v>1221.5609999999999</v>
      </c>
      <c r="J498">
        <f>VLOOKUP($A498,Table1[#This Row],COLUMN(J497), FALSE)</f>
        <v>11</v>
      </c>
      <c r="K498">
        <f>VLOOKUP($A498,Table1[#This Row],COLUMN(K497), FALSE)</f>
        <v>0.1</v>
      </c>
      <c r="L498">
        <f>VLOOKUP($A498,Table1[#This Row],COLUMN(L497), FALSE)</f>
        <v>325.61099999999999</v>
      </c>
      <c r="M498" t="str">
        <f>VLOOKUP($A498,Table1[#This Row],COLUMN(M497), FALSE)</f>
        <v>High</v>
      </c>
      <c r="N498">
        <f>VLOOKUP($A498,Table1[#This Row],COLUMN(N497), FALSE)</f>
        <v>0</v>
      </c>
      <c r="O498" t="str">
        <f>VLOOKUP($A498,Table1[#This Row],COLUMN(O497), FALSE)</f>
        <v>Frank Carlisle</v>
      </c>
      <c r="P498" t="str">
        <f>VLOOKUP($A498,Table1[#This Row],COLUMN(P497), FALSE)</f>
        <v>IN</v>
      </c>
      <c r="Q498" t="str">
        <f>VLOOKUP($A498,Table1[#This Row],COLUMN(Q497), FALSE)</f>
        <v>2015</v>
      </c>
      <c r="R498" t="str">
        <f>VLOOKUP($A498,Table1[#This Row],COLUMN(R497), FALSE)</f>
        <v>HIGH</v>
      </c>
      <c r="S498" t="str">
        <f>VLOOKUP($A498,Table1[#This Row],COLUMN(S497), FALSE)</f>
        <v>technology</v>
      </c>
      <c r="T498" t="str">
        <f>VLOOKUP($A498,Table1[#This Row],COLUMN(T497), FALSE)</f>
        <v>42326</v>
      </c>
      <c r="U498" t="str">
        <f>VLOOKUP($A498,Table1[#This Row],COLUMN(U497), FALSE)</f>
        <v>FC142457</v>
      </c>
      <c r="V498" t="str">
        <f>VLOOKUP($A498,Table1[#This Row],COLUMN(V497), FALSE)</f>
        <v>IN</v>
      </c>
      <c r="W498">
        <f>VLOOKUP($A498,Table1[#This Row],COLUMN(W497), FALSE)</f>
        <v>2015</v>
      </c>
      <c r="X498" t="str">
        <f>VLOOKUP($A498,Table1[#This Row],COLUMN(X497), FALSE)</f>
        <v>FC142457</v>
      </c>
      <c r="Y498">
        <f>VLOOKUP($A498,Table1[#This Row],COLUMN(Y497), FALSE)</f>
        <v>42326</v>
      </c>
      <c r="Z498" t="str">
        <f>VLOOKUP($A498,Table1[#This Row],COLUMN(Z497), FALSE)</f>
        <v>IN-2015-FC142457-42326</v>
      </c>
      <c r="AA498">
        <f>VLOOKUP($A498,Table1[#This Row],COLUMN(AA497), FALSE)</f>
        <v>2015</v>
      </c>
      <c r="AB498">
        <f>VLOOKUP($A498,Table1[#This Row],COLUMN(AB497), FALSE)</f>
        <v>11</v>
      </c>
      <c r="AC498">
        <f>VLOOKUP($A498,Table1[#This Row],COLUMN(AC497), FALSE)</f>
        <v>4</v>
      </c>
      <c r="AD498">
        <f>VLOOKUP($A498,Table1[#This Row],COLUMN(AD497), FALSE)</f>
        <v>4</v>
      </c>
    </row>
    <row r="499" spans="1:30" ht="15.75">
      <c r="A499" s="54" t="s">
        <v>1295</v>
      </c>
      <c r="B499" s="52">
        <f>VLOOKUP($A499,Table1[#This Row],COLUMN(B498), FALSE)</f>
        <v>42175</v>
      </c>
      <c r="C499" s="52">
        <f>VLOOKUP($A499,Table1[#This Row],COLUMN(C498), FALSE)</f>
        <v>42178</v>
      </c>
      <c r="D499" t="str">
        <f>VLOOKUP($A499,Table1[#This Row],COLUMN(D498), FALSE)</f>
        <v>Tiffany House</v>
      </c>
      <c r="E499" t="str">
        <f>VLOOKUP($A499,Table1[#This Row],COLUMN(E498), FALSE)</f>
        <v>Australia</v>
      </c>
      <c r="F499" t="str">
        <f>VLOOKUP($A499,Table1[#This Row],COLUMN(F498), FALSE)</f>
        <v>Oceania</v>
      </c>
      <c r="G499" t="str">
        <f>VLOOKUP($A499,Table1[#This Row],COLUMN(G498), FALSE)</f>
        <v>Technology</v>
      </c>
      <c r="H499" t="str">
        <f>VLOOKUP($A499,Table1[#This Row],COLUMN(H498), FALSE)</f>
        <v>Phones</v>
      </c>
      <c r="I499">
        <f>VLOOKUP($A499,Table1[#This Row],COLUMN(I498), FALSE)</f>
        <v>1596.50999999999</v>
      </c>
      <c r="J499">
        <f>VLOOKUP($A499,Table1[#This Row],COLUMN(J498), FALSE)</f>
        <v>6</v>
      </c>
      <c r="K499">
        <f>VLOOKUP($A499,Table1[#This Row],COLUMN(K498), FALSE)</f>
        <v>0.1</v>
      </c>
      <c r="L499">
        <f>VLOOKUP($A499,Table1[#This Row],COLUMN(L498), FALSE)</f>
        <v>-53.37</v>
      </c>
      <c r="M499" t="str">
        <f>VLOOKUP($A499,Table1[#This Row],COLUMN(M498), FALSE)</f>
        <v>Medium</v>
      </c>
      <c r="N499">
        <f>VLOOKUP($A499,Table1[#This Row],COLUMN(N498), FALSE)</f>
        <v>0</v>
      </c>
      <c r="O499" t="str">
        <f>VLOOKUP($A499,Table1[#This Row],COLUMN(O498), FALSE)</f>
        <v>Tiffany House</v>
      </c>
      <c r="P499" t="str">
        <f>VLOOKUP($A499,Table1[#This Row],COLUMN(P498), FALSE)</f>
        <v>ID</v>
      </c>
      <c r="Q499" t="str">
        <f>VLOOKUP($A499,Table1[#This Row],COLUMN(Q498), FALSE)</f>
        <v>2015</v>
      </c>
      <c r="R499" t="str">
        <f>VLOOKUP($A499,Table1[#This Row],COLUMN(R498), FALSE)</f>
        <v>MEDIUM</v>
      </c>
      <c r="S499" t="str">
        <f>VLOOKUP($A499,Table1[#This Row],COLUMN(S498), FALSE)</f>
        <v>technology</v>
      </c>
      <c r="T499" t="str">
        <f>VLOOKUP($A499,Table1[#This Row],COLUMN(T498), FALSE)</f>
        <v>42175</v>
      </c>
      <c r="U499" t="str">
        <f>VLOOKUP($A499,Table1[#This Row],COLUMN(U498), FALSE)</f>
        <v>TH212357</v>
      </c>
      <c r="V499" t="str">
        <f>VLOOKUP($A499,Table1[#This Row],COLUMN(V498), FALSE)</f>
        <v>ID</v>
      </c>
      <c r="W499">
        <f>VLOOKUP($A499,Table1[#This Row],COLUMN(W498), FALSE)</f>
        <v>2015</v>
      </c>
      <c r="X499" t="str">
        <f>VLOOKUP($A499,Table1[#This Row],COLUMN(X498), FALSE)</f>
        <v>TH212357</v>
      </c>
      <c r="Y499">
        <f>VLOOKUP($A499,Table1[#This Row],COLUMN(Y498), FALSE)</f>
        <v>42175</v>
      </c>
      <c r="Z499" t="str">
        <f>VLOOKUP($A499,Table1[#This Row],COLUMN(Z498), FALSE)</f>
        <v>ID-2015-TH212357-42175</v>
      </c>
      <c r="AA499">
        <f>VLOOKUP($A499,Table1[#This Row],COLUMN(AA498), FALSE)</f>
        <v>2015</v>
      </c>
      <c r="AB499">
        <f>VLOOKUP($A499,Table1[#This Row],COLUMN(AB498), FALSE)</f>
        <v>6</v>
      </c>
      <c r="AC499">
        <f>VLOOKUP($A499,Table1[#This Row],COLUMN(AC498), FALSE)</f>
        <v>7</v>
      </c>
      <c r="AD499">
        <f>VLOOKUP($A499,Table1[#This Row],COLUMN(AD498), FALSE)</f>
        <v>3</v>
      </c>
    </row>
    <row r="500" spans="1:30" ht="15.75">
      <c r="A500" s="53" t="s">
        <v>1299</v>
      </c>
      <c r="B500" s="52">
        <f>VLOOKUP($A500,Table1[#This Row],COLUMN(B499), FALSE)</f>
        <v>41780</v>
      </c>
      <c r="C500" s="52">
        <f>VLOOKUP($A500,Table1[#This Row],COLUMN(C499), FALSE)</f>
        <v>41784</v>
      </c>
      <c r="D500" t="str">
        <f>VLOOKUP($A500,Table1[#This Row],COLUMN(D499), FALSE)</f>
        <v>Tamara Willingham</v>
      </c>
      <c r="E500" t="str">
        <f>VLOOKUP($A500,Table1[#This Row],COLUMN(E499), FALSE)</f>
        <v>China</v>
      </c>
      <c r="F500" t="str">
        <f>VLOOKUP($A500,Table1[#This Row],COLUMN(F499), FALSE)</f>
        <v>Eastern Asia</v>
      </c>
      <c r="G500" t="str">
        <f>VLOOKUP($A500,Table1[#This Row],COLUMN(G499), FALSE)</f>
        <v>Technology</v>
      </c>
      <c r="H500" t="str">
        <f>VLOOKUP($A500,Table1[#This Row],COLUMN(H499), FALSE)</f>
        <v>Copiers</v>
      </c>
      <c r="I500">
        <f>VLOOKUP($A500,Table1[#This Row],COLUMN(I499), FALSE)</f>
        <v>2018.88</v>
      </c>
      <c r="J500">
        <f>VLOOKUP($A500,Table1[#This Row],COLUMN(J499), FALSE)</f>
        <v>12</v>
      </c>
      <c r="K500">
        <f>VLOOKUP($A500,Table1[#This Row],COLUMN(K499), FALSE)</f>
        <v>0</v>
      </c>
      <c r="L500">
        <f>VLOOKUP($A500,Table1[#This Row],COLUMN(L499), FALSE)</f>
        <v>928.44</v>
      </c>
      <c r="M500" t="str">
        <f>VLOOKUP($A500,Table1[#This Row],COLUMN(M499), FALSE)</f>
        <v>Medium</v>
      </c>
      <c r="N500">
        <f>VLOOKUP($A500,Table1[#This Row],COLUMN(N499), FALSE)</f>
        <v>0</v>
      </c>
      <c r="O500" t="str">
        <f>VLOOKUP($A500,Table1[#This Row],COLUMN(O499), FALSE)</f>
        <v>Tamara Willingham</v>
      </c>
      <c r="P500" t="str">
        <f>VLOOKUP($A500,Table1[#This Row],COLUMN(P499), FALSE)</f>
        <v>IN</v>
      </c>
      <c r="Q500" t="str">
        <f>VLOOKUP($A500,Table1[#This Row],COLUMN(Q499), FALSE)</f>
        <v>2014</v>
      </c>
      <c r="R500" t="str">
        <f>VLOOKUP($A500,Table1[#This Row],COLUMN(R499), FALSE)</f>
        <v>MEDIUM</v>
      </c>
      <c r="S500" t="str">
        <f>VLOOKUP($A500,Table1[#This Row],COLUMN(S499), FALSE)</f>
        <v>technology</v>
      </c>
      <c r="T500" t="str">
        <f>VLOOKUP($A500,Table1[#This Row],COLUMN(T499), FALSE)</f>
        <v>41780</v>
      </c>
      <c r="U500" t="str">
        <f>VLOOKUP($A500,Table1[#This Row],COLUMN(U499), FALSE)</f>
        <v>TW2102527</v>
      </c>
      <c r="V500" t="str">
        <f>VLOOKUP($A500,Table1[#This Row],COLUMN(V499), FALSE)</f>
        <v>IN</v>
      </c>
      <c r="W500">
        <f>VLOOKUP($A500,Table1[#This Row],COLUMN(W499), FALSE)</f>
        <v>2014</v>
      </c>
      <c r="X500" t="str">
        <f>VLOOKUP($A500,Table1[#This Row],COLUMN(X499), FALSE)</f>
        <v>TW2102527</v>
      </c>
      <c r="Y500">
        <f>VLOOKUP($A500,Table1[#This Row],COLUMN(Y499), FALSE)</f>
        <v>41780</v>
      </c>
      <c r="Z500" t="str">
        <f>VLOOKUP($A500,Table1[#This Row],COLUMN(Z499), FALSE)</f>
        <v>IN-2014-TW2102527-41780</v>
      </c>
      <c r="AA500">
        <f>VLOOKUP($A500,Table1[#This Row],COLUMN(AA499), FALSE)</f>
        <v>2014</v>
      </c>
      <c r="AB500">
        <f>VLOOKUP($A500,Table1[#This Row],COLUMN(AB499), FALSE)</f>
        <v>5</v>
      </c>
      <c r="AC500">
        <f>VLOOKUP($A500,Table1[#This Row],COLUMN(AC499), FALSE)</f>
        <v>4</v>
      </c>
      <c r="AD500">
        <f>VLOOKUP($A500,Table1[#This Row],COLUMN(AD499), FALSE)</f>
        <v>4</v>
      </c>
    </row>
    <row r="501" spans="1:30" ht="15.75">
      <c r="A501" s="54" t="s">
        <v>1300</v>
      </c>
      <c r="B501" s="52">
        <f>VLOOKUP($A501,Table1[#This Row],COLUMN(B500), FALSE)</f>
        <v>42280</v>
      </c>
      <c r="C501" s="52">
        <f>VLOOKUP($A501,Table1[#This Row],COLUMN(C500), FALSE)</f>
        <v>42284</v>
      </c>
      <c r="D501" t="str">
        <f>VLOOKUP($A501,Table1[#This Row],COLUMN(D500), FALSE)</f>
        <v>Liz Thompson</v>
      </c>
      <c r="E501" t="str">
        <f>VLOOKUP($A501,Table1[#This Row],COLUMN(E500), FALSE)</f>
        <v>South Africa</v>
      </c>
      <c r="F501" t="str">
        <f>VLOOKUP($A501,Table1[#This Row],COLUMN(F500), FALSE)</f>
        <v>Southern Africa</v>
      </c>
      <c r="G501" t="str">
        <f>VLOOKUP($A501,Table1[#This Row],COLUMN(G500), FALSE)</f>
        <v>Technology</v>
      </c>
      <c r="H501" t="str">
        <f>VLOOKUP($A501,Table1[#This Row],COLUMN(H500), FALSE)</f>
        <v>Chairs</v>
      </c>
      <c r="I501">
        <f>VLOOKUP($A501,Table1[#This Row],COLUMN(I500), FALSE)</f>
        <v>1885.32</v>
      </c>
      <c r="J501">
        <f>VLOOKUP($A501,Table1[#This Row],COLUMN(J500), FALSE)</f>
        <v>6</v>
      </c>
      <c r="K501">
        <f>VLOOKUP($A501,Table1[#This Row],COLUMN(K500), FALSE)</f>
        <v>0</v>
      </c>
      <c r="L501">
        <f>VLOOKUP($A501,Table1[#This Row],COLUMN(L500), FALSE)</f>
        <v>18.72</v>
      </c>
      <c r="M501" t="str">
        <f>VLOOKUP($A501,Table1[#This Row],COLUMN(M500), FALSE)</f>
        <v>High</v>
      </c>
      <c r="N501">
        <f>VLOOKUP($A501,Table1[#This Row],COLUMN(N500), FALSE)</f>
        <v>0</v>
      </c>
      <c r="O501" t="str">
        <f>VLOOKUP($A501,Table1[#This Row],COLUMN(O500), FALSE)</f>
        <v>Liz Thompson</v>
      </c>
      <c r="P501" t="str">
        <f>VLOOKUP($A501,Table1[#This Row],COLUMN(P500), FALSE)</f>
        <v>SF</v>
      </c>
      <c r="Q501" t="str">
        <f>VLOOKUP($A501,Table1[#This Row],COLUMN(Q500), FALSE)</f>
        <v>2015</v>
      </c>
      <c r="R501" t="str">
        <f>VLOOKUP($A501,Table1[#This Row],COLUMN(R500), FALSE)</f>
        <v>HIGH</v>
      </c>
      <c r="S501" t="str">
        <f>VLOOKUP($A501,Table1[#This Row],COLUMN(S500), FALSE)</f>
        <v>technology</v>
      </c>
      <c r="T501" t="str">
        <f>VLOOKUP($A501,Table1[#This Row],COLUMN(T500), FALSE)</f>
        <v>42280</v>
      </c>
      <c r="U501" t="str">
        <f>VLOOKUP($A501,Table1[#This Row],COLUMN(U500), FALSE)</f>
        <v>LT7110117</v>
      </c>
      <c r="V501" t="str">
        <f>VLOOKUP($A501,Table1[#This Row],COLUMN(V500), FALSE)</f>
        <v>SF</v>
      </c>
      <c r="W501">
        <f>VLOOKUP($A501,Table1[#This Row],COLUMN(W500), FALSE)</f>
        <v>2015</v>
      </c>
      <c r="X501" t="str">
        <f>VLOOKUP($A501,Table1[#This Row],COLUMN(X500), FALSE)</f>
        <v>LT7110117</v>
      </c>
      <c r="Y501">
        <f>VLOOKUP($A501,Table1[#This Row],COLUMN(Y500), FALSE)</f>
        <v>42280</v>
      </c>
      <c r="Z501" t="str">
        <f>VLOOKUP($A501,Table1[#This Row],COLUMN(Z500), FALSE)</f>
        <v>SF-2015-LT7110117-42280</v>
      </c>
      <c r="AA501">
        <f>VLOOKUP($A501,Table1[#This Row],COLUMN(AA500), FALSE)</f>
        <v>2015</v>
      </c>
      <c r="AB501">
        <f>VLOOKUP($A501,Table1[#This Row],COLUMN(AB500), FALSE)</f>
        <v>10</v>
      </c>
      <c r="AC501">
        <f>VLOOKUP($A501,Table1[#This Row],COLUMN(AC500), FALSE)</f>
        <v>7</v>
      </c>
      <c r="AD501">
        <f>VLOOKUP($A501,Table1[#This Row],COLUMN(AD500), FALSE)</f>
        <v>4</v>
      </c>
    </row>
    <row r="502" spans="1:30" ht="15.75">
      <c r="A502" s="53" t="s">
        <v>1302</v>
      </c>
      <c r="B502" s="52">
        <f>VLOOKUP($A502,Table1[#This Row],COLUMN(B501), FALSE)</f>
        <v>41268</v>
      </c>
      <c r="C502" s="52">
        <f>VLOOKUP($A502,Table1[#This Row],COLUMN(C501), FALSE)</f>
        <v>41273</v>
      </c>
      <c r="D502" t="str">
        <f>VLOOKUP($A502,Table1[#This Row],COLUMN(D501), FALSE)</f>
        <v>Katherine Nockton</v>
      </c>
      <c r="E502" t="str">
        <f>VLOOKUP($A502,Table1[#This Row],COLUMN(E501), FALSE)</f>
        <v>United Kingdom</v>
      </c>
      <c r="F502" t="str">
        <f>VLOOKUP($A502,Table1[#This Row],COLUMN(F501), FALSE)</f>
        <v>Northern Europe</v>
      </c>
      <c r="G502" t="str">
        <f>VLOOKUP($A502,Table1[#This Row],COLUMN(G501), FALSE)</f>
        <v>Furniture</v>
      </c>
      <c r="H502" t="str">
        <f>VLOOKUP($A502,Table1[#This Row],COLUMN(H501), FALSE)</f>
        <v>Copiers</v>
      </c>
      <c r="I502">
        <f>VLOOKUP($A502,Table1[#This Row],COLUMN(I501), FALSE)</f>
        <v>3119.34</v>
      </c>
      <c r="J502">
        <f>VLOOKUP($A502,Table1[#This Row],COLUMN(J501), FALSE)</f>
        <v>7</v>
      </c>
      <c r="K502">
        <f>VLOOKUP($A502,Table1[#This Row],COLUMN(K501), FALSE)</f>
        <v>0</v>
      </c>
      <c r="L502">
        <f>VLOOKUP($A502,Table1[#This Row],COLUMN(L501), FALSE)</f>
        <v>1528.38</v>
      </c>
      <c r="M502" t="str">
        <f>VLOOKUP($A502,Table1[#This Row],COLUMN(M501), FALSE)</f>
        <v>Medium</v>
      </c>
      <c r="N502">
        <f>VLOOKUP($A502,Table1[#This Row],COLUMN(N501), FALSE)</f>
        <v>0</v>
      </c>
      <c r="O502" t="str">
        <f>VLOOKUP($A502,Table1[#This Row],COLUMN(O501), FALSE)</f>
        <v>Katherine Nockton</v>
      </c>
      <c r="P502" t="str">
        <f>VLOOKUP($A502,Table1[#This Row],COLUMN(P501), FALSE)</f>
        <v>IT</v>
      </c>
      <c r="Q502" t="str">
        <f>VLOOKUP($A502,Table1[#This Row],COLUMN(Q501), FALSE)</f>
        <v>2012</v>
      </c>
      <c r="R502" t="str">
        <f>VLOOKUP($A502,Table1[#This Row],COLUMN(R501), FALSE)</f>
        <v>MEDIUM</v>
      </c>
      <c r="S502" t="str">
        <f>VLOOKUP($A502,Table1[#This Row],COLUMN(S501), FALSE)</f>
        <v>furniture</v>
      </c>
      <c r="T502" t="str">
        <f>VLOOKUP($A502,Table1[#This Row],COLUMN(T501), FALSE)</f>
        <v>41268</v>
      </c>
      <c r="U502" t="str">
        <f>VLOOKUP($A502,Table1[#This Row],COLUMN(U501), FALSE)</f>
        <v>KN16390139</v>
      </c>
      <c r="V502" t="str">
        <f>VLOOKUP($A502,Table1[#This Row],COLUMN(V501), FALSE)</f>
        <v>IT</v>
      </c>
      <c r="W502">
        <f>VLOOKUP($A502,Table1[#This Row],COLUMN(W501), FALSE)</f>
        <v>2012</v>
      </c>
      <c r="X502" t="str">
        <f>VLOOKUP($A502,Table1[#This Row],COLUMN(X501), FALSE)</f>
        <v>KN16390139</v>
      </c>
      <c r="Y502">
        <f>VLOOKUP($A502,Table1[#This Row],COLUMN(Y501), FALSE)</f>
        <v>41268</v>
      </c>
      <c r="Z502" t="str">
        <f>VLOOKUP($A502,Table1[#This Row],COLUMN(Z501), FALSE)</f>
        <v>IT-2012-KN16390139-41268</v>
      </c>
      <c r="AA502">
        <f>VLOOKUP($A502,Table1[#This Row],COLUMN(AA501), FALSE)</f>
        <v>2012</v>
      </c>
      <c r="AB502">
        <f>VLOOKUP($A502,Table1[#This Row],COLUMN(AB501), FALSE)</f>
        <v>12</v>
      </c>
      <c r="AC502">
        <f>VLOOKUP($A502,Table1[#This Row],COLUMN(AC501), FALSE)</f>
        <v>3</v>
      </c>
      <c r="AD502">
        <f>VLOOKUP($A502,Table1[#This Row],COLUMN(AD501), FALSE)</f>
        <v>5</v>
      </c>
    </row>
    <row r="503" spans="1:30" ht="15.75">
      <c r="A503" s="54" t="s">
        <v>1303</v>
      </c>
      <c r="B503" s="52">
        <f>VLOOKUP($A503,Table1[#This Row],COLUMN(B502), FALSE)</f>
        <v>42271</v>
      </c>
      <c r="C503" s="52">
        <f>VLOOKUP($A503,Table1[#This Row],COLUMN(C502), FALSE)</f>
        <v>42278</v>
      </c>
      <c r="D503" t="str">
        <f>VLOOKUP($A503,Table1[#This Row],COLUMN(D502), FALSE)</f>
        <v>Harold Dahlen</v>
      </c>
      <c r="E503" t="str">
        <f>VLOOKUP($A503,Table1[#This Row],COLUMN(E502), FALSE)</f>
        <v>Germany</v>
      </c>
      <c r="F503" t="str">
        <f>VLOOKUP($A503,Table1[#This Row],COLUMN(F502), FALSE)</f>
        <v>Western Europe</v>
      </c>
      <c r="G503" t="str">
        <f>VLOOKUP($A503,Table1[#This Row],COLUMN(G502), FALSE)</f>
        <v>Furniture</v>
      </c>
      <c r="H503" t="str">
        <f>VLOOKUP($A503,Table1[#This Row],COLUMN(H502), FALSE)</f>
        <v>Machines</v>
      </c>
      <c r="I503">
        <f>VLOOKUP($A503,Table1[#This Row],COLUMN(I502), FALSE)</f>
        <v>1964.25</v>
      </c>
      <c r="J503">
        <f>VLOOKUP($A503,Table1[#This Row],COLUMN(J502), FALSE)</f>
        <v>6</v>
      </c>
      <c r="K503">
        <f>VLOOKUP($A503,Table1[#This Row],COLUMN(K502), FALSE)</f>
        <v>0.1</v>
      </c>
      <c r="L503">
        <f>VLOOKUP($A503,Table1[#This Row],COLUMN(L502), FALSE)</f>
        <v>21.689999999999898</v>
      </c>
      <c r="M503" t="str">
        <f>VLOOKUP($A503,Table1[#This Row],COLUMN(M502), FALSE)</f>
        <v>Low</v>
      </c>
      <c r="N503">
        <f>VLOOKUP($A503,Table1[#This Row],COLUMN(N502), FALSE)</f>
        <v>0</v>
      </c>
      <c r="O503" t="str">
        <f>VLOOKUP($A503,Table1[#This Row],COLUMN(O502), FALSE)</f>
        <v>Harold Dahlen</v>
      </c>
      <c r="P503" t="str">
        <f>VLOOKUP($A503,Table1[#This Row],COLUMN(P502), FALSE)</f>
        <v>ES</v>
      </c>
      <c r="Q503" t="str">
        <f>VLOOKUP($A503,Table1[#This Row],COLUMN(Q502), FALSE)</f>
        <v>2015</v>
      </c>
      <c r="R503" t="str">
        <f>VLOOKUP($A503,Table1[#This Row],COLUMN(R502), FALSE)</f>
        <v>LOW</v>
      </c>
      <c r="S503" t="str">
        <f>VLOOKUP($A503,Table1[#This Row],COLUMN(S502), FALSE)</f>
        <v>furniture</v>
      </c>
      <c r="T503" t="str">
        <f>VLOOKUP($A503,Table1[#This Row],COLUMN(T502), FALSE)</f>
        <v>42271</v>
      </c>
      <c r="U503" t="str">
        <f>VLOOKUP($A503,Table1[#This Row],COLUMN(U502), FALSE)</f>
        <v>HD1478548</v>
      </c>
      <c r="V503" t="str">
        <f>VLOOKUP($A503,Table1[#This Row],COLUMN(V502), FALSE)</f>
        <v>ES</v>
      </c>
      <c r="W503">
        <f>VLOOKUP($A503,Table1[#This Row],COLUMN(W502), FALSE)</f>
        <v>2015</v>
      </c>
      <c r="X503" t="str">
        <f>VLOOKUP($A503,Table1[#This Row],COLUMN(X502), FALSE)</f>
        <v>HD1478548</v>
      </c>
      <c r="Y503">
        <f>VLOOKUP($A503,Table1[#This Row],COLUMN(Y502), FALSE)</f>
        <v>42271</v>
      </c>
      <c r="Z503" t="str">
        <f>VLOOKUP($A503,Table1[#This Row],COLUMN(Z502), FALSE)</f>
        <v>ES-2015-HD1478548-42271</v>
      </c>
      <c r="AA503">
        <f>VLOOKUP($A503,Table1[#This Row],COLUMN(AA502), FALSE)</f>
        <v>2015</v>
      </c>
      <c r="AB503">
        <f>VLOOKUP($A503,Table1[#This Row],COLUMN(AB502), FALSE)</f>
        <v>9</v>
      </c>
      <c r="AC503">
        <f>VLOOKUP($A503,Table1[#This Row],COLUMN(AC502), FALSE)</f>
        <v>5</v>
      </c>
      <c r="AD503">
        <f>VLOOKUP($A503,Table1[#This Row],COLUMN(AD502), FALSE)</f>
        <v>7</v>
      </c>
    </row>
    <row r="504" spans="1:30" ht="15.75">
      <c r="A504" s="53" t="s">
        <v>1305</v>
      </c>
      <c r="B504" s="52">
        <f>VLOOKUP($A504,Table1[#This Row],COLUMN(B503), FALSE)</f>
        <v>42242</v>
      </c>
      <c r="C504" s="52">
        <f>VLOOKUP($A504,Table1[#This Row],COLUMN(C503), FALSE)</f>
        <v>42244</v>
      </c>
      <c r="D504" t="str">
        <f>VLOOKUP($A504,Table1[#This Row],COLUMN(D503), FALSE)</f>
        <v>Brad Eason</v>
      </c>
      <c r="E504" t="str">
        <f>VLOOKUP($A504,Table1[#This Row],COLUMN(E503), FALSE)</f>
        <v>Australia</v>
      </c>
      <c r="F504" t="str">
        <f>VLOOKUP($A504,Table1[#This Row],COLUMN(F503), FALSE)</f>
        <v>Oceania</v>
      </c>
      <c r="G504" t="str">
        <f>VLOOKUP($A504,Table1[#This Row],COLUMN(G503), FALSE)</f>
        <v>Furniture</v>
      </c>
      <c r="H504" t="str">
        <f>VLOOKUP($A504,Table1[#This Row],COLUMN(H503), FALSE)</f>
        <v>Bookcases</v>
      </c>
      <c r="I504">
        <f>VLOOKUP($A504,Table1[#This Row],COLUMN(I503), FALSE)</f>
        <v>1653.8039999999901</v>
      </c>
      <c r="J504">
        <f>VLOOKUP($A504,Table1[#This Row],COLUMN(J503), FALSE)</f>
        <v>6</v>
      </c>
      <c r="K504">
        <f>VLOOKUP($A504,Table1[#This Row],COLUMN(K503), FALSE)</f>
        <v>0.4</v>
      </c>
      <c r="L504">
        <f>VLOOKUP($A504,Table1[#This Row],COLUMN(L503), FALSE)</f>
        <v>-689.25599999999895</v>
      </c>
      <c r="M504" t="str">
        <f>VLOOKUP($A504,Table1[#This Row],COLUMN(M503), FALSE)</f>
        <v>High</v>
      </c>
      <c r="N504">
        <f>VLOOKUP($A504,Table1[#This Row],COLUMN(N503), FALSE)</f>
        <v>0</v>
      </c>
      <c r="O504" t="str">
        <f>VLOOKUP($A504,Table1[#This Row],COLUMN(O503), FALSE)</f>
        <v>Brad Eason</v>
      </c>
      <c r="P504" t="str">
        <f>VLOOKUP($A504,Table1[#This Row],COLUMN(P503), FALSE)</f>
        <v>ID</v>
      </c>
      <c r="Q504" t="str">
        <f>VLOOKUP($A504,Table1[#This Row],COLUMN(Q503), FALSE)</f>
        <v>2015</v>
      </c>
      <c r="R504" t="str">
        <f>VLOOKUP($A504,Table1[#This Row],COLUMN(R503), FALSE)</f>
        <v>HIGH</v>
      </c>
      <c r="S504" t="str">
        <f>VLOOKUP($A504,Table1[#This Row],COLUMN(S503), FALSE)</f>
        <v>furniture</v>
      </c>
      <c r="T504" t="str">
        <f>VLOOKUP($A504,Table1[#This Row],COLUMN(T503), FALSE)</f>
        <v>42242</v>
      </c>
      <c r="U504" t="str">
        <f>VLOOKUP($A504,Table1[#This Row],COLUMN(U503), FALSE)</f>
        <v>BE114557</v>
      </c>
      <c r="V504" t="str">
        <f>VLOOKUP($A504,Table1[#This Row],COLUMN(V503), FALSE)</f>
        <v>ID</v>
      </c>
      <c r="W504">
        <f>VLOOKUP($A504,Table1[#This Row],COLUMN(W503), FALSE)</f>
        <v>2015</v>
      </c>
      <c r="X504" t="str">
        <f>VLOOKUP($A504,Table1[#This Row],COLUMN(X503), FALSE)</f>
        <v>BE114557</v>
      </c>
      <c r="Y504">
        <f>VLOOKUP($A504,Table1[#This Row],COLUMN(Y503), FALSE)</f>
        <v>42242</v>
      </c>
      <c r="Z504" t="str">
        <f>VLOOKUP($A504,Table1[#This Row],COLUMN(Z503), FALSE)</f>
        <v>ID-2015-BE114557-42242</v>
      </c>
      <c r="AA504">
        <f>VLOOKUP($A504,Table1[#This Row],COLUMN(AA503), FALSE)</f>
        <v>2015</v>
      </c>
      <c r="AB504">
        <f>VLOOKUP($A504,Table1[#This Row],COLUMN(AB503), FALSE)</f>
        <v>8</v>
      </c>
      <c r="AC504">
        <f>VLOOKUP($A504,Table1[#This Row],COLUMN(AC503), FALSE)</f>
        <v>4</v>
      </c>
      <c r="AD504">
        <f>VLOOKUP($A504,Table1[#This Row],COLUMN(AD503), FALSE)</f>
        <v>2</v>
      </c>
    </row>
    <row r="505" spans="1:30" ht="15.75">
      <c r="A505" s="54" t="s">
        <v>1312</v>
      </c>
      <c r="B505" s="52">
        <f>VLOOKUP($A505,Table1[#This Row],COLUMN(B504), FALSE)</f>
        <v>41543</v>
      </c>
      <c r="C505" s="52">
        <f>VLOOKUP($A505,Table1[#This Row],COLUMN(C504), FALSE)</f>
        <v>41545</v>
      </c>
      <c r="D505" t="str">
        <f>VLOOKUP($A505,Table1[#This Row],COLUMN(D504), FALSE)</f>
        <v>Cyra Reiten</v>
      </c>
      <c r="E505" t="str">
        <f>VLOOKUP($A505,Table1[#This Row],COLUMN(E504), FALSE)</f>
        <v>Guatemala</v>
      </c>
      <c r="F505" t="str">
        <f>VLOOKUP($A505,Table1[#This Row],COLUMN(F504), FALSE)</f>
        <v>Central America</v>
      </c>
      <c r="G505" t="str">
        <f>VLOOKUP($A505,Table1[#This Row],COLUMN(G504), FALSE)</f>
        <v>Technology</v>
      </c>
      <c r="H505" t="str">
        <f>VLOOKUP($A505,Table1[#This Row],COLUMN(H504), FALSE)</f>
        <v>Phones</v>
      </c>
      <c r="I505">
        <f>VLOOKUP($A505,Table1[#This Row],COLUMN(I504), FALSE)</f>
        <v>1902.10816</v>
      </c>
      <c r="J505">
        <f>VLOOKUP($A505,Table1[#This Row],COLUMN(J504), FALSE)</f>
        <v>8</v>
      </c>
      <c r="K505">
        <f>VLOOKUP($A505,Table1[#This Row],COLUMN(K504), FALSE)</f>
        <v>2E-3</v>
      </c>
      <c r="L505">
        <f>VLOOKUP($A505,Table1[#This Row],COLUMN(L504), FALSE)</f>
        <v>872.82816000000003</v>
      </c>
      <c r="M505" t="str">
        <f>VLOOKUP($A505,Table1[#This Row],COLUMN(M504), FALSE)</f>
        <v>Medium</v>
      </c>
      <c r="N505">
        <f>VLOOKUP($A505,Table1[#This Row],COLUMN(N504), FALSE)</f>
        <v>0</v>
      </c>
      <c r="O505" t="str">
        <f>VLOOKUP($A505,Table1[#This Row],COLUMN(O504), FALSE)</f>
        <v>Cyra Reiten</v>
      </c>
      <c r="P505" t="str">
        <f>VLOOKUP($A505,Table1[#This Row],COLUMN(P504), FALSE)</f>
        <v>MX</v>
      </c>
      <c r="Q505" t="str">
        <f>VLOOKUP($A505,Table1[#This Row],COLUMN(Q504), FALSE)</f>
        <v>2013</v>
      </c>
      <c r="R505" t="str">
        <f>VLOOKUP($A505,Table1[#This Row],COLUMN(R504), FALSE)</f>
        <v>MEDIUM</v>
      </c>
      <c r="S505" t="str">
        <f>VLOOKUP($A505,Table1[#This Row],COLUMN(S504), FALSE)</f>
        <v>technology</v>
      </c>
      <c r="T505" t="str">
        <f>VLOOKUP($A505,Table1[#This Row],COLUMN(T504), FALSE)</f>
        <v>41543</v>
      </c>
      <c r="U505" t="str">
        <f>VLOOKUP($A505,Table1[#This Row],COLUMN(U504), FALSE)</f>
        <v>CR1282051</v>
      </c>
      <c r="V505" t="str">
        <f>VLOOKUP($A505,Table1[#This Row],COLUMN(V504), FALSE)</f>
        <v>MX</v>
      </c>
      <c r="W505">
        <f>VLOOKUP($A505,Table1[#This Row],COLUMN(W504), FALSE)</f>
        <v>2013</v>
      </c>
      <c r="X505" t="str">
        <f>VLOOKUP($A505,Table1[#This Row],COLUMN(X504), FALSE)</f>
        <v>CR1282051</v>
      </c>
      <c r="Y505">
        <f>VLOOKUP($A505,Table1[#This Row],COLUMN(Y504), FALSE)</f>
        <v>41543</v>
      </c>
      <c r="Z505" t="str">
        <f>VLOOKUP($A505,Table1[#This Row],COLUMN(Z504), FALSE)</f>
        <v>MX-2013-CR1282051-41543</v>
      </c>
      <c r="AA505">
        <f>VLOOKUP($A505,Table1[#This Row],COLUMN(AA504), FALSE)</f>
        <v>2013</v>
      </c>
      <c r="AB505">
        <f>VLOOKUP($A505,Table1[#This Row],COLUMN(AB504), FALSE)</f>
        <v>9</v>
      </c>
      <c r="AC505">
        <f>VLOOKUP($A505,Table1[#This Row],COLUMN(AC504), FALSE)</f>
        <v>5</v>
      </c>
      <c r="AD505">
        <f>VLOOKUP($A505,Table1[#This Row],COLUMN(AD504), FALSE)</f>
        <v>2</v>
      </c>
    </row>
    <row r="506" spans="1:30" ht="15.75">
      <c r="A506" s="53" t="s">
        <v>1313</v>
      </c>
      <c r="B506" s="52">
        <f>VLOOKUP($A506,Table1[#This Row],COLUMN(B505), FALSE)</f>
        <v>42368</v>
      </c>
      <c r="C506" s="52">
        <f>VLOOKUP($A506,Table1[#This Row],COLUMN(C505), FALSE)</f>
        <v>42371</v>
      </c>
      <c r="D506" t="str">
        <f>VLOOKUP($A506,Table1[#This Row],COLUMN(D505), FALSE)</f>
        <v>Harry Marie</v>
      </c>
      <c r="E506" t="str">
        <f>VLOOKUP($A506,Table1[#This Row],COLUMN(E505), FALSE)</f>
        <v>Switzerland</v>
      </c>
      <c r="F506" t="str">
        <f>VLOOKUP($A506,Table1[#This Row],COLUMN(F505), FALSE)</f>
        <v>Western Europe</v>
      </c>
      <c r="G506" t="str">
        <f>VLOOKUP($A506,Table1[#This Row],COLUMN(G505), FALSE)</f>
        <v>Technology</v>
      </c>
      <c r="H506" t="str">
        <f>VLOOKUP($A506,Table1[#This Row],COLUMN(H505), FALSE)</f>
        <v>Tables</v>
      </c>
      <c r="I506">
        <f>VLOOKUP($A506,Table1[#This Row],COLUMN(I505), FALSE)</f>
        <v>1913.3999999999901</v>
      </c>
      <c r="J506">
        <f>VLOOKUP($A506,Table1[#This Row],COLUMN(J505), FALSE)</f>
        <v>10</v>
      </c>
      <c r="K506">
        <f>VLOOKUP($A506,Table1[#This Row],COLUMN(K505), FALSE)</f>
        <v>0</v>
      </c>
      <c r="L506">
        <f>VLOOKUP($A506,Table1[#This Row],COLUMN(L505), FALSE)</f>
        <v>899.099999999999</v>
      </c>
      <c r="M506" t="str">
        <f>VLOOKUP($A506,Table1[#This Row],COLUMN(M505), FALSE)</f>
        <v>Critical</v>
      </c>
      <c r="N506">
        <f>VLOOKUP($A506,Table1[#This Row],COLUMN(N505), FALSE)</f>
        <v>0</v>
      </c>
      <c r="O506" t="str">
        <f>VLOOKUP($A506,Table1[#This Row],COLUMN(O505), FALSE)</f>
        <v>Harry Marie</v>
      </c>
      <c r="P506" t="str">
        <f>VLOOKUP($A506,Table1[#This Row],COLUMN(P505), FALSE)</f>
        <v>ES</v>
      </c>
      <c r="Q506" t="str">
        <f>VLOOKUP($A506,Table1[#This Row],COLUMN(Q505), FALSE)</f>
        <v>2015</v>
      </c>
      <c r="R506" t="str">
        <f>VLOOKUP($A506,Table1[#This Row],COLUMN(R505), FALSE)</f>
        <v>CRITICAL</v>
      </c>
      <c r="S506" t="str">
        <f>VLOOKUP($A506,Table1[#This Row],COLUMN(S505), FALSE)</f>
        <v>technology</v>
      </c>
      <c r="T506" t="str">
        <f>VLOOKUP($A506,Table1[#This Row],COLUMN(T505), FALSE)</f>
        <v>42368</v>
      </c>
      <c r="U506" t="str">
        <f>VLOOKUP($A506,Table1[#This Row],COLUMN(U505), FALSE)</f>
        <v>HM14860125</v>
      </c>
      <c r="V506" t="str">
        <f>VLOOKUP($A506,Table1[#This Row],COLUMN(V505), FALSE)</f>
        <v>ES</v>
      </c>
      <c r="W506">
        <f>VLOOKUP($A506,Table1[#This Row],COLUMN(W505), FALSE)</f>
        <v>2015</v>
      </c>
      <c r="X506" t="str">
        <f>VLOOKUP($A506,Table1[#This Row],COLUMN(X505), FALSE)</f>
        <v>HM14860125</v>
      </c>
      <c r="Y506">
        <f>VLOOKUP($A506,Table1[#This Row],COLUMN(Y505), FALSE)</f>
        <v>42368</v>
      </c>
      <c r="Z506" t="str">
        <f>VLOOKUP($A506,Table1[#This Row],COLUMN(Z505), FALSE)</f>
        <v>ES-2015-HM14860125-42368</v>
      </c>
      <c r="AA506">
        <f>VLOOKUP($A506,Table1[#This Row],COLUMN(AA505), FALSE)</f>
        <v>2015</v>
      </c>
      <c r="AB506">
        <f>VLOOKUP($A506,Table1[#This Row],COLUMN(AB505), FALSE)</f>
        <v>12</v>
      </c>
      <c r="AC506">
        <f>VLOOKUP($A506,Table1[#This Row],COLUMN(AC505), FALSE)</f>
        <v>4</v>
      </c>
      <c r="AD506">
        <f>VLOOKUP($A506,Table1[#This Row],COLUMN(AD505), FALSE)</f>
        <v>3</v>
      </c>
    </row>
    <row r="507" spans="1:30" ht="15.75">
      <c r="A507" s="54" t="s">
        <v>1319</v>
      </c>
      <c r="B507" s="52">
        <f>VLOOKUP($A507,Table1[#This Row],COLUMN(B506), FALSE)</f>
        <v>42094</v>
      </c>
      <c r="C507" s="52">
        <f>VLOOKUP($A507,Table1[#This Row],COLUMN(C506), FALSE)</f>
        <v>42094</v>
      </c>
      <c r="D507" t="str">
        <f>VLOOKUP($A507,Table1[#This Row],COLUMN(D506), FALSE)</f>
        <v>Charlotte Melton</v>
      </c>
      <c r="E507" t="str">
        <f>VLOOKUP($A507,Table1[#This Row],COLUMN(E506), FALSE)</f>
        <v>France</v>
      </c>
      <c r="F507" t="str">
        <f>VLOOKUP($A507,Table1[#This Row],COLUMN(F506), FALSE)</f>
        <v>Western Europe</v>
      </c>
      <c r="G507" t="str">
        <f>VLOOKUP($A507,Table1[#This Row],COLUMN(G506), FALSE)</f>
        <v>Furniture</v>
      </c>
      <c r="H507" t="str">
        <f>VLOOKUP($A507,Table1[#This Row],COLUMN(H506), FALSE)</f>
        <v>Chairs</v>
      </c>
      <c r="I507">
        <f>VLOOKUP($A507,Table1[#This Row],COLUMN(I506), FALSE)</f>
        <v>2953.5839999999998</v>
      </c>
      <c r="J507">
        <f>VLOOKUP($A507,Table1[#This Row],COLUMN(J506), FALSE)</f>
        <v>8</v>
      </c>
      <c r="K507">
        <f>VLOOKUP($A507,Table1[#This Row],COLUMN(K506), FALSE)</f>
        <v>0.1</v>
      </c>
      <c r="L507">
        <f>VLOOKUP($A507,Table1[#This Row],COLUMN(L506), FALSE)</f>
        <v>754.70399999999904</v>
      </c>
      <c r="M507" t="str">
        <f>VLOOKUP($A507,Table1[#This Row],COLUMN(M506), FALSE)</f>
        <v>Medium</v>
      </c>
      <c r="N507">
        <f>VLOOKUP($A507,Table1[#This Row],COLUMN(N506), FALSE)</f>
        <v>0</v>
      </c>
      <c r="O507" t="str">
        <f>VLOOKUP($A507,Table1[#This Row],COLUMN(O506), FALSE)</f>
        <v>Charlotte Melton</v>
      </c>
      <c r="P507" t="str">
        <f>VLOOKUP($A507,Table1[#This Row],COLUMN(P506), FALSE)</f>
        <v>ES</v>
      </c>
      <c r="Q507" t="str">
        <f>VLOOKUP($A507,Table1[#This Row],COLUMN(Q506), FALSE)</f>
        <v>2015</v>
      </c>
      <c r="R507" t="str">
        <f>VLOOKUP($A507,Table1[#This Row],COLUMN(R506), FALSE)</f>
        <v>MEDIUM</v>
      </c>
      <c r="S507" t="str">
        <f>VLOOKUP($A507,Table1[#This Row],COLUMN(S506), FALSE)</f>
        <v>furniture</v>
      </c>
      <c r="T507" t="str">
        <f>VLOOKUP($A507,Table1[#This Row],COLUMN(T506), FALSE)</f>
        <v>42094</v>
      </c>
      <c r="U507" t="str">
        <f>VLOOKUP($A507,Table1[#This Row],COLUMN(U506), FALSE)</f>
        <v>CM1219045</v>
      </c>
      <c r="V507" t="str">
        <f>VLOOKUP($A507,Table1[#This Row],COLUMN(V506), FALSE)</f>
        <v>ES</v>
      </c>
      <c r="W507">
        <f>VLOOKUP($A507,Table1[#This Row],COLUMN(W506), FALSE)</f>
        <v>2015</v>
      </c>
      <c r="X507" t="str">
        <f>VLOOKUP($A507,Table1[#This Row],COLUMN(X506), FALSE)</f>
        <v>CM1219045</v>
      </c>
      <c r="Y507">
        <f>VLOOKUP($A507,Table1[#This Row],COLUMN(Y506), FALSE)</f>
        <v>42094</v>
      </c>
      <c r="Z507" t="str">
        <f>VLOOKUP($A507,Table1[#This Row],COLUMN(Z506), FALSE)</f>
        <v>ES-2015-CM1219045-42094</v>
      </c>
      <c r="AA507">
        <f>VLOOKUP($A507,Table1[#This Row],COLUMN(AA506), FALSE)</f>
        <v>2015</v>
      </c>
      <c r="AB507">
        <f>VLOOKUP($A507,Table1[#This Row],COLUMN(AB506), FALSE)</f>
        <v>3</v>
      </c>
      <c r="AC507">
        <f>VLOOKUP($A507,Table1[#This Row],COLUMN(AC506), FALSE)</f>
        <v>3</v>
      </c>
      <c r="AD507">
        <f>VLOOKUP($A507,Table1[#This Row],COLUMN(AD506), FALSE)</f>
        <v>0</v>
      </c>
    </row>
    <row r="508" spans="1:30" ht="15.75">
      <c r="A508" s="53" t="s">
        <v>1328</v>
      </c>
      <c r="B508" s="52">
        <f>VLOOKUP($A508,Table1[#This Row],COLUMN(B507), FALSE)</f>
        <v>42245</v>
      </c>
      <c r="C508" s="52">
        <f>VLOOKUP($A508,Table1[#This Row],COLUMN(C507), FALSE)</f>
        <v>42250</v>
      </c>
      <c r="D508" t="str">
        <f>VLOOKUP($A508,Table1[#This Row],COLUMN(D507), FALSE)</f>
        <v>Sarah Brown</v>
      </c>
      <c r="E508" t="str">
        <f>VLOOKUP($A508,Table1[#This Row],COLUMN(E507), FALSE)</f>
        <v>Brazil</v>
      </c>
      <c r="F508" t="str">
        <f>VLOOKUP($A508,Table1[#This Row],COLUMN(F507), FALSE)</f>
        <v>South America</v>
      </c>
      <c r="G508" t="str">
        <f>VLOOKUP($A508,Table1[#This Row],COLUMN(G507), FALSE)</f>
        <v>Office Supplies</v>
      </c>
      <c r="H508" t="str">
        <f>VLOOKUP($A508,Table1[#This Row],COLUMN(H507), FALSE)</f>
        <v>Phones</v>
      </c>
      <c r="I508">
        <f>VLOOKUP($A508,Table1[#This Row],COLUMN(I507), FALSE)</f>
        <v>3044.8</v>
      </c>
      <c r="J508">
        <f>VLOOKUP($A508,Table1[#This Row],COLUMN(J507), FALSE)</f>
        <v>8</v>
      </c>
      <c r="K508">
        <f>VLOOKUP($A508,Table1[#This Row],COLUMN(K507), FALSE)</f>
        <v>0</v>
      </c>
      <c r="L508">
        <f>VLOOKUP($A508,Table1[#This Row],COLUMN(L507), FALSE)</f>
        <v>91.2</v>
      </c>
      <c r="M508" t="str">
        <f>VLOOKUP($A508,Table1[#This Row],COLUMN(M507), FALSE)</f>
        <v>Medium</v>
      </c>
      <c r="N508">
        <f>VLOOKUP($A508,Table1[#This Row],COLUMN(N507), FALSE)</f>
        <v>0</v>
      </c>
      <c r="O508" t="str">
        <f>VLOOKUP($A508,Table1[#This Row],COLUMN(O507), FALSE)</f>
        <v>Sarah Brown</v>
      </c>
      <c r="P508" t="str">
        <f>VLOOKUP($A508,Table1[#This Row],COLUMN(P507), FALSE)</f>
        <v>MX</v>
      </c>
      <c r="Q508" t="str">
        <f>VLOOKUP($A508,Table1[#This Row],COLUMN(Q507), FALSE)</f>
        <v>2015</v>
      </c>
      <c r="R508" t="str">
        <f>VLOOKUP($A508,Table1[#This Row],COLUMN(R507), FALSE)</f>
        <v>MEDIUM</v>
      </c>
      <c r="S508" t="str">
        <f>VLOOKUP($A508,Table1[#This Row],COLUMN(S507), FALSE)</f>
        <v>office supplies</v>
      </c>
      <c r="T508" t="str">
        <f>VLOOKUP($A508,Table1[#This Row],COLUMN(T507), FALSE)</f>
        <v>42245</v>
      </c>
      <c r="U508" t="str">
        <f>VLOOKUP($A508,Table1[#This Row],COLUMN(U507), FALSE)</f>
        <v>SB2018518</v>
      </c>
      <c r="V508" t="str">
        <f>VLOOKUP($A508,Table1[#This Row],COLUMN(V507), FALSE)</f>
        <v>MX</v>
      </c>
      <c r="W508">
        <f>VLOOKUP($A508,Table1[#This Row],COLUMN(W507), FALSE)</f>
        <v>2015</v>
      </c>
      <c r="X508" t="str">
        <f>VLOOKUP($A508,Table1[#This Row],COLUMN(X507), FALSE)</f>
        <v>SB2018518</v>
      </c>
      <c r="Y508">
        <f>VLOOKUP($A508,Table1[#This Row],COLUMN(Y507), FALSE)</f>
        <v>42245</v>
      </c>
      <c r="Z508" t="str">
        <f>VLOOKUP($A508,Table1[#This Row],COLUMN(Z507), FALSE)</f>
        <v>MX-2015-SB2018518-42245</v>
      </c>
      <c r="AA508">
        <f>VLOOKUP($A508,Table1[#This Row],COLUMN(AA507), FALSE)</f>
        <v>2015</v>
      </c>
      <c r="AB508">
        <f>VLOOKUP($A508,Table1[#This Row],COLUMN(AB507), FALSE)</f>
        <v>8</v>
      </c>
      <c r="AC508">
        <f>VLOOKUP($A508,Table1[#This Row],COLUMN(AC507), FALSE)</f>
        <v>7</v>
      </c>
      <c r="AD508">
        <f>VLOOKUP($A508,Table1[#This Row],COLUMN(AD507), FALSE)</f>
        <v>5</v>
      </c>
    </row>
    <row r="509" spans="1:30" ht="15.75">
      <c r="A509" s="54" t="s">
        <v>1331</v>
      </c>
      <c r="B509" s="52">
        <f>VLOOKUP($A509,Table1[#This Row],COLUMN(B508), FALSE)</f>
        <v>42132</v>
      </c>
      <c r="C509" s="52">
        <f>VLOOKUP($A509,Table1[#This Row],COLUMN(C508), FALSE)</f>
        <v>42137</v>
      </c>
      <c r="D509" t="str">
        <f>VLOOKUP($A509,Table1[#This Row],COLUMN(D508), FALSE)</f>
        <v>Jennifer Ferguson</v>
      </c>
      <c r="E509" t="str">
        <f>VLOOKUP($A509,Table1[#This Row],COLUMN(E508), FALSE)</f>
        <v>United Kingdom</v>
      </c>
      <c r="F509" t="str">
        <f>VLOOKUP($A509,Table1[#This Row],COLUMN(F508), FALSE)</f>
        <v>NORTHERN EUROPE</v>
      </c>
      <c r="G509" t="str">
        <f>VLOOKUP($A509,Table1[#This Row],COLUMN(G508), FALSE)</f>
        <v>Technology</v>
      </c>
      <c r="H509" t="str">
        <f>VLOOKUP($A509,Table1[#This Row],COLUMN(H508), FALSE)</f>
        <v>Appliances</v>
      </c>
      <c r="I509">
        <f>VLOOKUP($A509,Table1[#This Row],COLUMN(I508), FALSE)</f>
        <v>2518.9499999999998</v>
      </c>
      <c r="J509">
        <f>VLOOKUP($A509,Table1[#This Row],COLUMN(J508), FALSE)</f>
        <v>7</v>
      </c>
      <c r="K509">
        <f>VLOOKUP($A509,Table1[#This Row],COLUMN(K508), FALSE)</f>
        <v>0</v>
      </c>
      <c r="L509">
        <f>VLOOKUP($A509,Table1[#This Row],COLUMN(L508), FALSE)</f>
        <v>1032.57</v>
      </c>
      <c r="M509" t="str">
        <f>VLOOKUP($A509,Table1[#This Row],COLUMN(M508), FALSE)</f>
        <v>Medium</v>
      </c>
      <c r="N509">
        <f>VLOOKUP($A509,Table1[#This Row],COLUMN(N508), FALSE)</f>
        <v>0</v>
      </c>
      <c r="O509" t="str">
        <f>VLOOKUP($A509,Table1[#This Row],COLUMN(O508), FALSE)</f>
        <v>Jennifer Ferguson</v>
      </c>
      <c r="P509" t="str">
        <f>VLOOKUP($A509,Table1[#This Row],COLUMN(P508), FALSE)</f>
        <v>ES</v>
      </c>
      <c r="Q509" t="str">
        <f>VLOOKUP($A509,Table1[#This Row],COLUMN(Q508), FALSE)</f>
        <v>2015</v>
      </c>
      <c r="R509" t="str">
        <f>VLOOKUP($A509,Table1[#This Row],COLUMN(R508), FALSE)</f>
        <v>MEDIUM</v>
      </c>
      <c r="S509" t="str">
        <f>VLOOKUP($A509,Table1[#This Row],COLUMN(S508), FALSE)</f>
        <v>technology</v>
      </c>
      <c r="T509" t="str">
        <f>VLOOKUP($A509,Table1[#This Row],COLUMN(T508), FALSE)</f>
        <v>42132</v>
      </c>
      <c r="U509" t="str">
        <f>VLOOKUP($A509,Table1[#This Row],COLUMN(U508), FALSE)</f>
        <v>JF15415139</v>
      </c>
      <c r="V509" t="str">
        <f>VLOOKUP($A509,Table1[#This Row],COLUMN(V508), FALSE)</f>
        <v>ES</v>
      </c>
      <c r="W509">
        <f>VLOOKUP($A509,Table1[#This Row],COLUMN(W508), FALSE)</f>
        <v>2015</v>
      </c>
      <c r="X509" t="str">
        <f>VLOOKUP($A509,Table1[#This Row],COLUMN(X508), FALSE)</f>
        <v>JF15415139</v>
      </c>
      <c r="Y509">
        <f>VLOOKUP($A509,Table1[#This Row],COLUMN(Y508), FALSE)</f>
        <v>42132</v>
      </c>
      <c r="Z509" t="str">
        <f>VLOOKUP($A509,Table1[#This Row],COLUMN(Z508), FALSE)</f>
        <v>ES-2015-JF15415139-42132</v>
      </c>
      <c r="AA509">
        <f>VLOOKUP($A509,Table1[#This Row],COLUMN(AA508), FALSE)</f>
        <v>2015</v>
      </c>
      <c r="AB509">
        <f>VLOOKUP($A509,Table1[#This Row],COLUMN(AB508), FALSE)</f>
        <v>5</v>
      </c>
      <c r="AC509">
        <f>VLOOKUP($A509,Table1[#This Row],COLUMN(AC508), FALSE)</f>
        <v>6</v>
      </c>
      <c r="AD509">
        <f>VLOOKUP($A509,Table1[#This Row],COLUMN(AD508), FALSE)</f>
        <v>5</v>
      </c>
    </row>
    <row r="510" spans="1:30" ht="15.75">
      <c r="A510" s="53" t="s">
        <v>1332</v>
      </c>
      <c r="B510" s="52">
        <f>VLOOKUP($A510,Table1[#This Row],COLUMN(B509), FALSE)</f>
        <v>41870</v>
      </c>
      <c r="C510" s="52">
        <f>VLOOKUP($A510,Table1[#This Row],COLUMN(C509), FALSE)</f>
        <v>41871</v>
      </c>
      <c r="D510" t="str">
        <f>VLOOKUP($A510,Table1[#This Row],COLUMN(D509), FALSE)</f>
        <v>Michelle Tran</v>
      </c>
      <c r="E510" t="str">
        <f>VLOOKUP($A510,Table1[#This Row],COLUMN(E509), FALSE)</f>
        <v>Nigeria</v>
      </c>
      <c r="F510" t="str">
        <f>VLOOKUP($A510,Table1[#This Row],COLUMN(F509), FALSE)</f>
        <v>Western Africa</v>
      </c>
      <c r="G510" t="str">
        <f>VLOOKUP($A510,Table1[#This Row],COLUMN(G509), FALSE)</f>
        <v>Furniture</v>
      </c>
      <c r="H510" t="str">
        <f>VLOOKUP($A510,Table1[#This Row],COLUMN(H509), FALSE)</f>
        <v>Bookcases</v>
      </c>
      <c r="I510">
        <f>VLOOKUP($A510,Table1[#This Row],COLUMN(I509), FALSE)</f>
        <v>1669.248</v>
      </c>
      <c r="J510">
        <f>VLOOKUP($A510,Table1[#This Row],COLUMN(J509), FALSE)</f>
        <v>12</v>
      </c>
      <c r="K510">
        <f>VLOOKUP($A510,Table1[#This Row],COLUMN(K509), FALSE)</f>
        <v>0.7</v>
      </c>
      <c r="L510">
        <f>VLOOKUP($A510,Table1[#This Row],COLUMN(L509), FALSE)</f>
        <v>-1558.15199999999</v>
      </c>
      <c r="M510" t="str">
        <f>VLOOKUP($A510,Table1[#This Row],COLUMN(M509), FALSE)</f>
        <v>Medium</v>
      </c>
      <c r="N510">
        <f>VLOOKUP($A510,Table1[#This Row],COLUMN(N509), FALSE)</f>
        <v>0</v>
      </c>
      <c r="O510" t="str">
        <f>VLOOKUP($A510,Table1[#This Row],COLUMN(O509), FALSE)</f>
        <v>Michelle Tran</v>
      </c>
      <c r="P510" t="str">
        <f>VLOOKUP($A510,Table1[#This Row],COLUMN(P509), FALSE)</f>
        <v>NI</v>
      </c>
      <c r="Q510" t="str">
        <f>VLOOKUP($A510,Table1[#This Row],COLUMN(Q509), FALSE)</f>
        <v>2014</v>
      </c>
      <c r="R510" t="str">
        <f>VLOOKUP($A510,Table1[#This Row],COLUMN(R509), FALSE)</f>
        <v>MEDIUM</v>
      </c>
      <c r="S510" t="str">
        <f>VLOOKUP($A510,Table1[#This Row],COLUMN(S509), FALSE)</f>
        <v>furniture</v>
      </c>
      <c r="T510" t="str">
        <f>VLOOKUP($A510,Table1[#This Row],COLUMN(T509), FALSE)</f>
        <v>41870</v>
      </c>
      <c r="U510" t="str">
        <f>VLOOKUP($A510,Table1[#This Row],COLUMN(U509), FALSE)</f>
        <v>MT807095</v>
      </c>
      <c r="V510" t="str">
        <f>VLOOKUP($A510,Table1[#This Row],COLUMN(V509), FALSE)</f>
        <v>NI</v>
      </c>
      <c r="W510">
        <f>VLOOKUP($A510,Table1[#This Row],COLUMN(W509), FALSE)</f>
        <v>2014</v>
      </c>
      <c r="X510" t="str">
        <f>VLOOKUP($A510,Table1[#This Row],COLUMN(X509), FALSE)</f>
        <v>MT807095</v>
      </c>
      <c r="Y510">
        <f>VLOOKUP($A510,Table1[#This Row],COLUMN(Y509), FALSE)</f>
        <v>41870</v>
      </c>
      <c r="Z510" t="str">
        <f>VLOOKUP($A510,Table1[#This Row],COLUMN(Z509), FALSE)</f>
        <v>NI-2014-MT807095-41870</v>
      </c>
      <c r="AA510">
        <f>VLOOKUP($A510,Table1[#This Row],COLUMN(AA509), FALSE)</f>
        <v>2014</v>
      </c>
      <c r="AB510">
        <f>VLOOKUP($A510,Table1[#This Row],COLUMN(AB509), FALSE)</f>
        <v>8</v>
      </c>
      <c r="AC510">
        <f>VLOOKUP($A510,Table1[#This Row],COLUMN(AC509), FALSE)</f>
        <v>3</v>
      </c>
      <c r="AD510">
        <f>VLOOKUP($A510,Table1[#This Row],COLUMN(AD509), FALSE)</f>
        <v>1</v>
      </c>
    </row>
    <row r="511" spans="1:30" ht="15.75">
      <c r="A511" s="54" t="s">
        <v>1334</v>
      </c>
      <c r="B511" s="52">
        <f>VLOOKUP($A511,Table1[#This Row],COLUMN(B510), FALSE)</f>
        <v>41817</v>
      </c>
      <c r="C511" s="52">
        <f>VLOOKUP($A511,Table1[#This Row],COLUMN(C510), FALSE)</f>
        <v>41817</v>
      </c>
      <c r="D511" t="str">
        <f>VLOOKUP($A511,Table1[#This Row],COLUMN(D510), FALSE)</f>
        <v>Erica Smith</v>
      </c>
      <c r="E511" t="str">
        <f>VLOOKUP($A511,Table1[#This Row],COLUMN(E510), FALSE)</f>
        <v>Spain</v>
      </c>
      <c r="F511" t="str">
        <f>VLOOKUP($A511,Table1[#This Row],COLUMN(F510), FALSE)</f>
        <v>Southern Europe</v>
      </c>
      <c r="G511" t="str">
        <f>VLOOKUP($A511,Table1[#This Row],COLUMN(G510), FALSE)</f>
        <v>Furniture</v>
      </c>
      <c r="H511" t="str">
        <f>VLOOKUP($A511,Table1[#This Row],COLUMN(H510), FALSE)</f>
        <v>Copiers</v>
      </c>
      <c r="I511">
        <f>VLOOKUP($A511,Table1[#This Row],COLUMN(I510), FALSE)</f>
        <v>2476.08</v>
      </c>
      <c r="J511">
        <f>VLOOKUP($A511,Table1[#This Row],COLUMN(J510), FALSE)</f>
        <v>6</v>
      </c>
      <c r="K511">
        <f>VLOOKUP($A511,Table1[#This Row],COLUMN(K510), FALSE)</f>
        <v>0</v>
      </c>
      <c r="L511">
        <f>VLOOKUP($A511,Table1[#This Row],COLUMN(L510), FALSE)</f>
        <v>1015.02</v>
      </c>
      <c r="M511" t="str">
        <f>VLOOKUP($A511,Table1[#This Row],COLUMN(M510), FALSE)</f>
        <v>High</v>
      </c>
      <c r="N511">
        <f>VLOOKUP($A511,Table1[#This Row],COLUMN(N510), FALSE)</f>
        <v>0</v>
      </c>
      <c r="O511" t="str">
        <f>VLOOKUP($A511,Table1[#This Row],COLUMN(O510), FALSE)</f>
        <v>Erica Smith</v>
      </c>
      <c r="P511" t="str">
        <f>VLOOKUP($A511,Table1[#This Row],COLUMN(P510), FALSE)</f>
        <v>ES</v>
      </c>
      <c r="Q511" t="str">
        <f>VLOOKUP($A511,Table1[#This Row],COLUMN(Q510), FALSE)</f>
        <v>2014</v>
      </c>
      <c r="R511" t="str">
        <f>VLOOKUP($A511,Table1[#This Row],COLUMN(R510), FALSE)</f>
        <v>HIGH</v>
      </c>
      <c r="S511" t="str">
        <f>VLOOKUP($A511,Table1[#This Row],COLUMN(S510), FALSE)</f>
        <v>furniture</v>
      </c>
      <c r="T511" t="str">
        <f>VLOOKUP($A511,Table1[#This Row],COLUMN(T510), FALSE)</f>
        <v>41817</v>
      </c>
      <c r="U511" t="str">
        <f>VLOOKUP($A511,Table1[#This Row],COLUMN(U510), FALSE)</f>
        <v>ES14020120</v>
      </c>
      <c r="V511" t="str">
        <f>VLOOKUP($A511,Table1[#This Row],COLUMN(V510), FALSE)</f>
        <v>ES</v>
      </c>
      <c r="W511">
        <f>VLOOKUP($A511,Table1[#This Row],COLUMN(W510), FALSE)</f>
        <v>2014</v>
      </c>
      <c r="X511" t="str">
        <f>VLOOKUP($A511,Table1[#This Row],COLUMN(X510), FALSE)</f>
        <v>ES14020120</v>
      </c>
      <c r="Y511">
        <f>VLOOKUP($A511,Table1[#This Row],COLUMN(Y510), FALSE)</f>
        <v>41817</v>
      </c>
      <c r="Z511" t="str">
        <f>VLOOKUP($A511,Table1[#This Row],COLUMN(Z510), FALSE)</f>
        <v>ES-2014-ES14020120-41817</v>
      </c>
      <c r="AA511">
        <f>VLOOKUP($A511,Table1[#This Row],COLUMN(AA510), FALSE)</f>
        <v>2014</v>
      </c>
      <c r="AB511">
        <f>VLOOKUP($A511,Table1[#This Row],COLUMN(AB510), FALSE)</f>
        <v>6</v>
      </c>
      <c r="AC511">
        <f>VLOOKUP($A511,Table1[#This Row],COLUMN(AC510), FALSE)</f>
        <v>6</v>
      </c>
      <c r="AD511">
        <f>VLOOKUP($A511,Table1[#This Row],COLUMN(AD510), FALSE)</f>
        <v>0</v>
      </c>
    </row>
    <row r="512" spans="1:30" ht="15.75">
      <c r="A512" s="53" t="s">
        <v>1349</v>
      </c>
      <c r="B512" s="52">
        <f>VLOOKUP($A512,Table1[#This Row],COLUMN(B511), FALSE)</f>
        <v>42068</v>
      </c>
      <c r="C512" s="52">
        <f>VLOOKUP($A512,Table1[#This Row],COLUMN(C511), FALSE)</f>
        <v>42070</v>
      </c>
      <c r="D512" t="str">
        <f>VLOOKUP($A512,Table1[#This Row],COLUMN(D511), FALSE)</f>
        <v>Eugene Hildebrand</v>
      </c>
      <c r="E512" t="str">
        <f>VLOOKUP($A512,Table1[#This Row],COLUMN(E511), FALSE)</f>
        <v>Turkey</v>
      </c>
      <c r="F512" t="str">
        <f>VLOOKUP($A512,Table1[#This Row],COLUMN(F511), FALSE)</f>
        <v>WESTERN ASIA</v>
      </c>
      <c r="G512" t="str">
        <f>VLOOKUP($A512,Table1[#This Row],COLUMN(G511), FALSE)</f>
        <v>Furniture</v>
      </c>
      <c r="H512" t="str">
        <f>VLOOKUP($A512,Table1[#This Row],COLUMN(H511), FALSE)</f>
        <v>Phones</v>
      </c>
      <c r="I512">
        <f>VLOOKUP($A512,Table1[#This Row],COLUMN(I511), FALSE)</f>
        <v>1136.66399999999</v>
      </c>
      <c r="J512">
        <f>VLOOKUP($A512,Table1[#This Row],COLUMN(J511), FALSE)</f>
        <v>6</v>
      </c>
      <c r="K512">
        <f>VLOOKUP($A512,Table1[#This Row],COLUMN(K511), FALSE)</f>
        <v>0.6</v>
      </c>
      <c r="L512">
        <f>VLOOKUP($A512,Table1[#This Row],COLUMN(L511), FALSE)</f>
        <v>-880.95599999999899</v>
      </c>
      <c r="M512" t="str">
        <f>VLOOKUP($A512,Table1[#This Row],COLUMN(M511), FALSE)</f>
        <v>High</v>
      </c>
      <c r="N512">
        <f>VLOOKUP($A512,Table1[#This Row],COLUMN(N511), FALSE)</f>
        <v>0</v>
      </c>
      <c r="O512" t="str">
        <f>VLOOKUP($A512,Table1[#This Row],COLUMN(O511), FALSE)</f>
        <v>Eugene Hildebrand</v>
      </c>
      <c r="P512" t="str">
        <f>VLOOKUP($A512,Table1[#This Row],COLUMN(P511), FALSE)</f>
        <v>TU</v>
      </c>
      <c r="Q512" t="str">
        <f>VLOOKUP($A512,Table1[#This Row],COLUMN(Q511), FALSE)</f>
        <v>2015</v>
      </c>
      <c r="R512" t="str">
        <f>VLOOKUP($A512,Table1[#This Row],COLUMN(R511), FALSE)</f>
        <v>HIGH</v>
      </c>
      <c r="S512" t="str">
        <f>VLOOKUP($A512,Table1[#This Row],COLUMN(S511), FALSE)</f>
        <v>furniture</v>
      </c>
      <c r="T512" t="str">
        <f>VLOOKUP($A512,Table1[#This Row],COLUMN(T511), FALSE)</f>
        <v>42068</v>
      </c>
      <c r="U512" t="str">
        <f>VLOOKUP($A512,Table1[#This Row],COLUMN(U511), FALSE)</f>
        <v>EH4125134</v>
      </c>
      <c r="V512" t="str">
        <f>VLOOKUP($A512,Table1[#This Row],COLUMN(V511), FALSE)</f>
        <v>TU</v>
      </c>
      <c r="W512">
        <f>VLOOKUP($A512,Table1[#This Row],COLUMN(W511), FALSE)</f>
        <v>2015</v>
      </c>
      <c r="X512" t="str">
        <f>VLOOKUP($A512,Table1[#This Row],COLUMN(X511), FALSE)</f>
        <v>EH4125134</v>
      </c>
      <c r="Y512">
        <f>VLOOKUP($A512,Table1[#This Row],COLUMN(Y511), FALSE)</f>
        <v>42068</v>
      </c>
      <c r="Z512" t="str">
        <f>VLOOKUP($A512,Table1[#This Row],COLUMN(Z511), FALSE)</f>
        <v>TU-2015-EH4125134-42068</v>
      </c>
      <c r="AA512">
        <f>VLOOKUP($A512,Table1[#This Row],COLUMN(AA511), FALSE)</f>
        <v>2015</v>
      </c>
      <c r="AB512">
        <f>VLOOKUP($A512,Table1[#This Row],COLUMN(AB511), FALSE)</f>
        <v>3</v>
      </c>
      <c r="AC512">
        <f>VLOOKUP($A512,Table1[#This Row],COLUMN(AC511), FALSE)</f>
        <v>5</v>
      </c>
      <c r="AD512">
        <f>VLOOKUP($A512,Table1[#This Row],COLUMN(AD511), FALSE)</f>
        <v>2</v>
      </c>
    </row>
    <row r="513" spans="1:30" ht="15.75">
      <c r="A513" s="54" t="s">
        <v>1352</v>
      </c>
      <c r="B513" s="52">
        <f>VLOOKUP($A513,Table1[#This Row],COLUMN(B512), FALSE)</f>
        <v>42157</v>
      </c>
      <c r="C513" s="52">
        <f>VLOOKUP($A513,Table1[#This Row],COLUMN(C512), FALSE)</f>
        <v>42159</v>
      </c>
      <c r="D513" t="str">
        <f>VLOOKUP($A513,Table1[#This Row],COLUMN(D512), FALSE)</f>
        <v>Irene Maddox</v>
      </c>
      <c r="E513" t="str">
        <f>VLOOKUP($A513,Table1[#This Row],COLUMN(E512), FALSE)</f>
        <v>Indonesia</v>
      </c>
      <c r="F513" t="str">
        <f>VLOOKUP($A513,Table1[#This Row],COLUMN(F512), FALSE)</f>
        <v>Southeastern Asia</v>
      </c>
      <c r="G513" t="str">
        <f>VLOOKUP($A513,Table1[#This Row],COLUMN(G512), FALSE)</f>
        <v>Technology</v>
      </c>
      <c r="H513" t="str">
        <f>VLOOKUP($A513,Table1[#This Row],COLUMN(H512), FALSE)</f>
        <v>Chairs</v>
      </c>
      <c r="I513">
        <f>VLOOKUP($A513,Table1[#This Row],COLUMN(I512), FALSE)</f>
        <v>1043.9304</v>
      </c>
      <c r="J513">
        <f>VLOOKUP($A513,Table1[#This Row],COLUMN(J512), FALSE)</f>
        <v>8</v>
      </c>
      <c r="K513">
        <f>VLOOKUP($A513,Table1[#This Row],COLUMN(K512), FALSE)</f>
        <v>0.47</v>
      </c>
      <c r="L513">
        <f>VLOOKUP($A513,Table1[#This Row],COLUMN(L512), FALSE)</f>
        <v>-295.50959999999998</v>
      </c>
      <c r="M513" t="str">
        <f>VLOOKUP($A513,Table1[#This Row],COLUMN(M512), FALSE)</f>
        <v>Medium</v>
      </c>
      <c r="N513">
        <f>VLOOKUP($A513,Table1[#This Row],COLUMN(N512), FALSE)</f>
        <v>0</v>
      </c>
      <c r="O513" t="str">
        <f>VLOOKUP($A513,Table1[#This Row],COLUMN(O512), FALSE)</f>
        <v>Irene Maddox</v>
      </c>
      <c r="P513" t="str">
        <f>VLOOKUP($A513,Table1[#This Row],COLUMN(P512), FALSE)</f>
        <v>IN</v>
      </c>
      <c r="Q513" t="str">
        <f>VLOOKUP($A513,Table1[#This Row],COLUMN(Q512), FALSE)</f>
        <v>2015</v>
      </c>
      <c r="R513" t="str">
        <f>VLOOKUP($A513,Table1[#This Row],COLUMN(R512), FALSE)</f>
        <v>MEDIUM</v>
      </c>
      <c r="S513" t="str">
        <f>VLOOKUP($A513,Table1[#This Row],COLUMN(S512), FALSE)</f>
        <v>technology</v>
      </c>
      <c r="T513" t="str">
        <f>VLOOKUP($A513,Table1[#This Row],COLUMN(T512), FALSE)</f>
        <v>42157</v>
      </c>
      <c r="U513" t="str">
        <f>VLOOKUP($A513,Table1[#This Row],COLUMN(U512), FALSE)</f>
        <v>IM1507059</v>
      </c>
      <c r="V513" t="str">
        <f>VLOOKUP($A513,Table1[#This Row],COLUMN(V512), FALSE)</f>
        <v>IN</v>
      </c>
      <c r="W513">
        <f>VLOOKUP($A513,Table1[#This Row],COLUMN(W512), FALSE)</f>
        <v>2015</v>
      </c>
      <c r="X513" t="str">
        <f>VLOOKUP($A513,Table1[#This Row],COLUMN(X512), FALSE)</f>
        <v>IM1507059</v>
      </c>
      <c r="Y513">
        <f>VLOOKUP($A513,Table1[#This Row],COLUMN(Y512), FALSE)</f>
        <v>42157</v>
      </c>
      <c r="Z513" t="str">
        <f>VLOOKUP($A513,Table1[#This Row],COLUMN(Z512), FALSE)</f>
        <v>IN-2015-IM1507059-42157</v>
      </c>
      <c r="AA513">
        <f>VLOOKUP($A513,Table1[#This Row],COLUMN(AA512), FALSE)</f>
        <v>2015</v>
      </c>
      <c r="AB513">
        <f>VLOOKUP($A513,Table1[#This Row],COLUMN(AB512), FALSE)</f>
        <v>6</v>
      </c>
      <c r="AC513">
        <f>VLOOKUP($A513,Table1[#This Row],COLUMN(AC512), FALSE)</f>
        <v>3</v>
      </c>
      <c r="AD513">
        <f>VLOOKUP($A513,Table1[#This Row],COLUMN(AD512), FALSE)</f>
        <v>2</v>
      </c>
    </row>
    <row r="514" spans="1:30" ht="15.75">
      <c r="A514" s="53" t="s">
        <v>1355</v>
      </c>
      <c r="B514" s="52">
        <f>VLOOKUP($A514,Table1[#This Row],COLUMN(B513), FALSE)</f>
        <v>41795</v>
      </c>
      <c r="C514" s="52">
        <f>VLOOKUP($A514,Table1[#This Row],COLUMN(C513), FALSE)</f>
        <v>41799</v>
      </c>
      <c r="D514" t="str">
        <f>VLOOKUP($A514,Table1[#This Row],COLUMN(D513), FALSE)</f>
        <v>Dianna Arnett</v>
      </c>
      <c r="E514" t="str">
        <f>VLOOKUP($A514,Table1[#This Row],COLUMN(E513), FALSE)</f>
        <v>Honduras</v>
      </c>
      <c r="F514" t="str">
        <f>VLOOKUP($A514,Table1[#This Row],COLUMN(F513), FALSE)</f>
        <v>CENTRAL AMERICA</v>
      </c>
      <c r="G514" t="str">
        <f>VLOOKUP($A514,Table1[#This Row],COLUMN(G513), FALSE)</f>
        <v>Office Supplies</v>
      </c>
      <c r="H514" t="str">
        <f>VLOOKUP($A514,Table1[#This Row],COLUMN(H513), FALSE)</f>
        <v>Copiers</v>
      </c>
      <c r="I514">
        <f>VLOOKUP($A514,Table1[#This Row],COLUMN(I513), FALSE)</f>
        <v>2180.2439999999901</v>
      </c>
      <c r="J514">
        <f>VLOOKUP($A514,Table1[#This Row],COLUMN(J513), FALSE)</f>
        <v>11</v>
      </c>
      <c r="K514">
        <f>VLOOKUP($A514,Table1[#This Row],COLUMN(K513), FALSE)</f>
        <v>0.4</v>
      </c>
      <c r="L514">
        <f>VLOOKUP($A514,Table1[#This Row],COLUMN(L513), FALSE)</f>
        <v>-690.53599999999904</v>
      </c>
      <c r="M514" t="str">
        <f>VLOOKUP($A514,Table1[#This Row],COLUMN(M513), FALSE)</f>
        <v>Medium#</v>
      </c>
      <c r="N514">
        <f>VLOOKUP($A514,Table1[#This Row],COLUMN(N513), FALSE)</f>
        <v>0</v>
      </c>
      <c r="O514" t="str">
        <f>VLOOKUP($A514,Table1[#This Row],COLUMN(O513), FALSE)</f>
        <v>Dianna Arnett</v>
      </c>
      <c r="P514" t="str">
        <f>VLOOKUP($A514,Table1[#This Row],COLUMN(P513), FALSE)</f>
        <v>US</v>
      </c>
      <c r="Q514" t="str">
        <f>VLOOKUP($A514,Table1[#This Row],COLUMN(Q513), FALSE)</f>
        <v>2014</v>
      </c>
      <c r="R514" t="str">
        <f>VLOOKUP($A514,Table1[#This Row],COLUMN(R513), FALSE)</f>
        <v>MEDIUM#</v>
      </c>
      <c r="S514" t="str">
        <f>VLOOKUP($A514,Table1[#This Row],COLUMN(S513), FALSE)</f>
        <v>office supplies</v>
      </c>
      <c r="T514" t="str">
        <f>VLOOKUP($A514,Table1[#This Row],COLUMN(T513), FALSE)</f>
        <v>41795</v>
      </c>
      <c r="U514" t="str">
        <f>VLOOKUP($A514,Table1[#This Row],COLUMN(U513), FALSE)</f>
        <v>DA1345055</v>
      </c>
      <c r="V514" t="str">
        <f>VLOOKUP($A514,Table1[#This Row],COLUMN(V513), FALSE)</f>
        <v>US</v>
      </c>
      <c r="W514">
        <f>VLOOKUP($A514,Table1[#This Row],COLUMN(W513), FALSE)</f>
        <v>2014</v>
      </c>
      <c r="X514" t="str">
        <f>VLOOKUP($A514,Table1[#This Row],COLUMN(X513), FALSE)</f>
        <v>DA1345055</v>
      </c>
      <c r="Y514">
        <f>VLOOKUP($A514,Table1[#This Row],COLUMN(Y513), FALSE)</f>
        <v>41795</v>
      </c>
      <c r="Z514" t="str">
        <f>VLOOKUP($A514,Table1[#This Row],COLUMN(Z513), FALSE)</f>
        <v>US-2014-DA1345055-41795</v>
      </c>
      <c r="AA514">
        <f>VLOOKUP($A514,Table1[#This Row],COLUMN(AA513), FALSE)</f>
        <v>2014</v>
      </c>
      <c r="AB514">
        <f>VLOOKUP($A514,Table1[#This Row],COLUMN(AB513), FALSE)</f>
        <v>6</v>
      </c>
      <c r="AC514">
        <f>VLOOKUP($A514,Table1[#This Row],COLUMN(AC513), FALSE)</f>
        <v>5</v>
      </c>
      <c r="AD514">
        <f>VLOOKUP($A514,Table1[#This Row],COLUMN(AD513), FALSE)</f>
        <v>4</v>
      </c>
    </row>
    <row r="515" spans="1:30" ht="15.75">
      <c r="A515" s="54" t="s">
        <v>1359</v>
      </c>
      <c r="B515" s="52">
        <f>VLOOKUP($A515,Table1[#This Row],COLUMN(B514), FALSE)</f>
        <v>41928</v>
      </c>
      <c r="C515" s="52">
        <f>VLOOKUP($A515,Table1[#This Row],COLUMN(C514), FALSE)</f>
        <v>41930</v>
      </c>
      <c r="D515" t="str">
        <f>VLOOKUP($A515,Table1[#This Row],COLUMN(D514), FALSE)</f>
        <v>Dave Brooks</v>
      </c>
      <c r="E515" t="str">
        <f>VLOOKUP($A515,Table1[#This Row],COLUMN(E514), FALSE)</f>
        <v>France</v>
      </c>
      <c r="F515" t="str">
        <f>VLOOKUP($A515,Table1[#This Row],COLUMN(F514), FALSE)</f>
        <v>Western Europe</v>
      </c>
      <c r="G515" t="str">
        <f>VLOOKUP($A515,Table1[#This Row],COLUMN(G514), FALSE)</f>
        <v>Tecnhology</v>
      </c>
      <c r="H515" t="str">
        <f>VLOOKUP($A515,Table1[#This Row],COLUMN(H514), FALSE)</f>
        <v>Machines</v>
      </c>
      <c r="I515">
        <f>VLOOKUP($A515,Table1[#This Row],COLUMN(I514), FALSE)</f>
        <v>1306.4670000000001</v>
      </c>
      <c r="J515">
        <f>VLOOKUP($A515,Table1[#This Row],COLUMN(J514), FALSE)</f>
        <v>6</v>
      </c>
      <c r="K515">
        <f>VLOOKUP($A515,Table1[#This Row],COLUMN(K514), FALSE)</f>
        <v>0.15</v>
      </c>
      <c r="L515">
        <f>VLOOKUP($A515,Table1[#This Row],COLUMN(L514), FALSE)</f>
        <v>107.486999999999</v>
      </c>
      <c r="M515" t="str">
        <f>VLOOKUP($A515,Table1[#This Row],COLUMN(M514), FALSE)</f>
        <v>High</v>
      </c>
      <c r="N515">
        <f>VLOOKUP($A515,Table1[#This Row],COLUMN(N514), FALSE)</f>
        <v>0</v>
      </c>
      <c r="O515" t="str">
        <f>VLOOKUP($A515,Table1[#This Row],COLUMN(O514), FALSE)</f>
        <v>Dave Brooks</v>
      </c>
      <c r="P515" t="str">
        <f>VLOOKUP($A515,Table1[#This Row],COLUMN(P514), FALSE)</f>
        <v>ES</v>
      </c>
      <c r="Q515" t="str">
        <f>VLOOKUP($A515,Table1[#This Row],COLUMN(Q514), FALSE)</f>
        <v>2014</v>
      </c>
      <c r="R515" t="str">
        <f>VLOOKUP($A515,Table1[#This Row],COLUMN(R514), FALSE)</f>
        <v>HIGH</v>
      </c>
      <c r="S515" t="str">
        <f>VLOOKUP($A515,Table1[#This Row],COLUMN(S514), FALSE)</f>
        <v>tecnhology</v>
      </c>
      <c r="T515" t="str">
        <f>VLOOKUP($A515,Table1[#This Row],COLUMN(T514), FALSE)</f>
        <v>41928</v>
      </c>
      <c r="U515" t="str">
        <f>VLOOKUP($A515,Table1[#This Row],COLUMN(U514), FALSE)</f>
        <v>DB1306045</v>
      </c>
      <c r="V515" t="str">
        <f>VLOOKUP($A515,Table1[#This Row],COLUMN(V514), FALSE)</f>
        <v>ES</v>
      </c>
      <c r="W515">
        <f>VLOOKUP($A515,Table1[#This Row],COLUMN(W514), FALSE)</f>
        <v>2014</v>
      </c>
      <c r="X515" t="str">
        <f>VLOOKUP($A515,Table1[#This Row],COLUMN(X514), FALSE)</f>
        <v>DB1306045</v>
      </c>
      <c r="Y515">
        <f>VLOOKUP($A515,Table1[#This Row],COLUMN(Y514), FALSE)</f>
        <v>41928</v>
      </c>
      <c r="Z515" t="str">
        <f>VLOOKUP($A515,Table1[#This Row],COLUMN(Z514), FALSE)</f>
        <v>ES-2014-DB1306045-41928</v>
      </c>
      <c r="AA515">
        <f>VLOOKUP($A515,Table1[#This Row],COLUMN(AA514), FALSE)</f>
        <v>2014</v>
      </c>
      <c r="AB515">
        <f>VLOOKUP($A515,Table1[#This Row],COLUMN(AB514), FALSE)</f>
        <v>10</v>
      </c>
      <c r="AC515">
        <f>VLOOKUP($A515,Table1[#This Row],COLUMN(AC514), FALSE)</f>
        <v>5</v>
      </c>
      <c r="AD515">
        <f>VLOOKUP($A515,Table1[#This Row],COLUMN(AD514), FALSE)</f>
        <v>2</v>
      </c>
    </row>
    <row r="516" spans="1:30" ht="15.75">
      <c r="A516" s="53" t="s">
        <v>1362</v>
      </c>
      <c r="B516" s="52">
        <f>VLOOKUP($A516,Table1[#This Row],COLUMN(B515), FALSE)</f>
        <v>41588</v>
      </c>
      <c r="C516" s="52">
        <f>VLOOKUP($A516,Table1[#This Row],COLUMN(C515), FALSE)</f>
        <v>41591</v>
      </c>
      <c r="D516" t="str">
        <f>VLOOKUP($A516,Table1[#This Row],COLUMN(D515), FALSE)</f>
        <v>Tamara Chand</v>
      </c>
      <c r="E516" t="str">
        <f>VLOOKUP($A516,Table1[#This Row],COLUMN(E515), FALSE)</f>
        <v>France</v>
      </c>
      <c r="F516" t="str">
        <f>VLOOKUP($A516,Table1[#This Row],COLUMN(F515), FALSE)</f>
        <v>Western Europe</v>
      </c>
      <c r="G516" t="str">
        <f>VLOOKUP($A516,Table1[#This Row],COLUMN(G515), FALSE)</f>
        <v>Furniture</v>
      </c>
      <c r="H516" t="str">
        <f>VLOOKUP($A516,Table1[#This Row],COLUMN(H515), FALSE)</f>
        <v>Storage</v>
      </c>
      <c r="I516">
        <f>VLOOKUP($A516,Table1[#This Row],COLUMN(I515), FALSE)</f>
        <v>2012.049</v>
      </c>
      <c r="J516">
        <f>VLOOKUP($A516,Table1[#This Row],COLUMN(J515), FALSE)</f>
        <v>6</v>
      </c>
      <c r="K516">
        <f>VLOOKUP($A516,Table1[#This Row],COLUMN(K515), FALSE)</f>
        <v>0.35</v>
      </c>
      <c r="L516">
        <f>VLOOKUP($A516,Table1[#This Row],COLUMN(L515), FALSE)</f>
        <v>-1021.67099999999</v>
      </c>
      <c r="M516" t="str">
        <f>VLOOKUP($A516,Table1[#This Row],COLUMN(M515), FALSE)</f>
        <v>Medium</v>
      </c>
      <c r="N516">
        <f>VLOOKUP($A516,Table1[#This Row],COLUMN(N515), FALSE)</f>
        <v>0</v>
      </c>
      <c r="O516" t="str">
        <f>VLOOKUP($A516,Table1[#This Row],COLUMN(O515), FALSE)</f>
        <v>Tamara Chand</v>
      </c>
      <c r="P516" t="str">
        <f>VLOOKUP($A516,Table1[#This Row],COLUMN(P515), FALSE)</f>
        <v>ES</v>
      </c>
      <c r="Q516" t="str">
        <f>VLOOKUP($A516,Table1[#This Row],COLUMN(Q515), FALSE)</f>
        <v>2013</v>
      </c>
      <c r="R516" t="str">
        <f>VLOOKUP($A516,Table1[#This Row],COLUMN(R515), FALSE)</f>
        <v>MEDIUM</v>
      </c>
      <c r="S516" t="str">
        <f>VLOOKUP($A516,Table1[#This Row],COLUMN(S515), FALSE)</f>
        <v>furniture</v>
      </c>
      <c r="T516" t="str">
        <f>VLOOKUP($A516,Table1[#This Row],COLUMN(T515), FALSE)</f>
        <v>41588</v>
      </c>
      <c r="U516" t="str">
        <f>VLOOKUP($A516,Table1[#This Row],COLUMN(U515), FALSE)</f>
        <v>TC2098045</v>
      </c>
      <c r="V516" t="str">
        <f>VLOOKUP($A516,Table1[#This Row],COLUMN(V515), FALSE)</f>
        <v>ES</v>
      </c>
      <c r="W516">
        <f>VLOOKUP($A516,Table1[#This Row],COLUMN(W515), FALSE)</f>
        <v>2013</v>
      </c>
      <c r="X516" t="str">
        <f>VLOOKUP($A516,Table1[#This Row],COLUMN(X515), FALSE)</f>
        <v>TC2098045</v>
      </c>
      <c r="Y516">
        <f>VLOOKUP($A516,Table1[#This Row],COLUMN(Y515), FALSE)</f>
        <v>41588</v>
      </c>
      <c r="Z516" t="str">
        <f>VLOOKUP($A516,Table1[#This Row],COLUMN(Z515), FALSE)</f>
        <v>ES-2013-TC2098045-41588</v>
      </c>
      <c r="AA516">
        <f>VLOOKUP($A516,Table1[#This Row],COLUMN(AA515), FALSE)</f>
        <v>2013</v>
      </c>
      <c r="AB516">
        <f>VLOOKUP($A516,Table1[#This Row],COLUMN(AB515), FALSE)</f>
        <v>11</v>
      </c>
      <c r="AC516">
        <f>VLOOKUP($A516,Table1[#This Row],COLUMN(AC515), FALSE)</f>
        <v>1</v>
      </c>
      <c r="AD516">
        <f>VLOOKUP($A516,Table1[#This Row],COLUMN(AD515), FALSE)</f>
        <v>3</v>
      </c>
    </row>
    <row r="517" spans="1:30" ht="15.75">
      <c r="A517" s="54" t="s">
        <v>1369</v>
      </c>
      <c r="B517" s="52">
        <f>VLOOKUP($A517,Table1[#This Row],COLUMN(B516), FALSE)</f>
        <v>41389</v>
      </c>
      <c r="C517" s="52">
        <f>VLOOKUP($A517,Table1[#This Row],COLUMN(C516), FALSE)</f>
        <v>41394</v>
      </c>
      <c r="D517" t="str">
        <f>VLOOKUP($A517,Table1[#This Row],COLUMN(D516), FALSE)</f>
        <v>Cari MacIntyre</v>
      </c>
      <c r="E517" t="str">
        <f>VLOOKUP($A517,Table1[#This Row],COLUMN(E516), FALSE)</f>
        <v>South Africa</v>
      </c>
      <c r="F517" t="str">
        <f>VLOOKUP($A517,Table1[#This Row],COLUMN(F516), FALSE)</f>
        <v>Southern Africa</v>
      </c>
      <c r="G517" t="str">
        <f>VLOOKUP($A517,Table1[#This Row],COLUMN(G516), FALSE)</f>
        <v>Furniture</v>
      </c>
      <c r="H517" t="str">
        <f>VLOOKUP($A517,Table1[#This Row],COLUMN(H516), FALSE)</f>
        <v>Phones</v>
      </c>
      <c r="I517">
        <f>VLOOKUP($A517,Table1[#This Row],COLUMN(I516), FALSE)</f>
        <v>2182.6799999999998</v>
      </c>
      <c r="J517">
        <f>VLOOKUP($A517,Table1[#This Row],COLUMN(J516), FALSE)</f>
        <v>6</v>
      </c>
      <c r="K517">
        <f>VLOOKUP($A517,Table1[#This Row],COLUMN(K516), FALSE)</f>
        <v>0</v>
      </c>
      <c r="L517">
        <f>VLOOKUP($A517,Table1[#This Row],COLUMN(L516), FALSE)</f>
        <v>327.24</v>
      </c>
      <c r="M517" t="str">
        <f>VLOOKUP($A517,Table1[#This Row],COLUMN(M516), FALSE)</f>
        <v>Medium</v>
      </c>
      <c r="N517">
        <f>VLOOKUP($A517,Table1[#This Row],COLUMN(N516), FALSE)</f>
        <v>0</v>
      </c>
      <c r="O517" t="str">
        <f>VLOOKUP($A517,Table1[#This Row],COLUMN(O516), FALSE)</f>
        <v>Cari Macintyre</v>
      </c>
      <c r="P517" t="str">
        <f>VLOOKUP($A517,Table1[#This Row],COLUMN(P516), FALSE)</f>
        <v>SF</v>
      </c>
      <c r="Q517" t="str">
        <f>VLOOKUP($A517,Table1[#This Row],COLUMN(Q516), FALSE)</f>
        <v>2013</v>
      </c>
      <c r="R517" t="str">
        <f>VLOOKUP($A517,Table1[#This Row],COLUMN(R516), FALSE)</f>
        <v>MEDIUM</v>
      </c>
      <c r="S517" t="str">
        <f>VLOOKUP($A517,Table1[#This Row],COLUMN(S516), FALSE)</f>
        <v>furniture</v>
      </c>
      <c r="T517" t="str">
        <f>VLOOKUP($A517,Table1[#This Row],COLUMN(T516), FALSE)</f>
        <v>41389</v>
      </c>
      <c r="U517" t="str">
        <f>VLOOKUP($A517,Table1[#This Row],COLUMN(U516), FALSE)</f>
        <v>CM1830117</v>
      </c>
      <c r="V517" t="str">
        <f>VLOOKUP($A517,Table1[#This Row],COLUMN(V516), FALSE)</f>
        <v>SF</v>
      </c>
      <c r="W517">
        <f>VLOOKUP($A517,Table1[#This Row],COLUMN(W516), FALSE)</f>
        <v>2013</v>
      </c>
      <c r="X517" t="str">
        <f>VLOOKUP($A517,Table1[#This Row],COLUMN(X516), FALSE)</f>
        <v>CM1830117</v>
      </c>
      <c r="Y517">
        <f>VLOOKUP($A517,Table1[#This Row],COLUMN(Y516), FALSE)</f>
        <v>41389</v>
      </c>
      <c r="Z517" t="str">
        <f>VLOOKUP($A517,Table1[#This Row],COLUMN(Z516), FALSE)</f>
        <v>SF-2013-CM1830117-41389</v>
      </c>
      <c r="AA517">
        <f>VLOOKUP($A517,Table1[#This Row],COLUMN(AA516), FALSE)</f>
        <v>2013</v>
      </c>
      <c r="AB517">
        <f>VLOOKUP($A517,Table1[#This Row],COLUMN(AB516), FALSE)</f>
        <v>4</v>
      </c>
      <c r="AC517">
        <f>VLOOKUP($A517,Table1[#This Row],COLUMN(AC516), FALSE)</f>
        <v>5</v>
      </c>
      <c r="AD517">
        <f>VLOOKUP($A517,Table1[#This Row],COLUMN(AD516), FALSE)</f>
        <v>5</v>
      </c>
    </row>
    <row r="518" spans="1:30" ht="15.75">
      <c r="A518" s="53" t="s">
        <v>1371</v>
      </c>
      <c r="B518" s="52">
        <f>VLOOKUP($A518,Table1[#This Row],COLUMN(B517), FALSE)</f>
        <v>41382</v>
      </c>
      <c r="C518" s="52">
        <f>VLOOKUP($A518,Table1[#This Row],COLUMN(C517), FALSE)</f>
        <v>41385</v>
      </c>
      <c r="D518" t="str">
        <f>VLOOKUP($A518,Table1[#This Row],COLUMN(D517), FALSE)</f>
        <v>Meg O'Connel</v>
      </c>
      <c r="E518" t="str">
        <f>VLOOKUP($A518,Table1[#This Row],COLUMN(E517), FALSE)</f>
        <v>Guatemala</v>
      </c>
      <c r="F518" t="str">
        <f>VLOOKUP($A518,Table1[#This Row],COLUMN(F517), FALSE)</f>
        <v xml:space="preserve"> Central America </v>
      </c>
      <c r="G518" t="str">
        <f>VLOOKUP($A518,Table1[#This Row],COLUMN(G517), FALSE)</f>
        <v>Technology</v>
      </c>
      <c r="H518" t="str">
        <f>VLOOKUP($A518,Table1[#This Row],COLUMN(H517), FALSE)</f>
        <v>Bookcases</v>
      </c>
      <c r="I518">
        <f>VLOOKUP($A518,Table1[#This Row],COLUMN(I517), FALSE)</f>
        <v>1479.36</v>
      </c>
      <c r="J518">
        <f>VLOOKUP($A518,Table1[#This Row],COLUMN(J517), FALSE)</f>
        <v>12</v>
      </c>
      <c r="K518">
        <f>VLOOKUP($A518,Table1[#This Row],COLUMN(K517), FALSE)</f>
        <v>0</v>
      </c>
      <c r="L518">
        <f>VLOOKUP($A518,Table1[#This Row],COLUMN(L517), FALSE)</f>
        <v>103.439999999999</v>
      </c>
      <c r="M518" t="str">
        <f>VLOOKUP($A518,Table1[#This Row],COLUMN(M517), FALSE)</f>
        <v>eMdium</v>
      </c>
      <c r="N518">
        <f>VLOOKUP($A518,Table1[#This Row],COLUMN(N517), FALSE)</f>
        <v>0</v>
      </c>
      <c r="O518" t="str">
        <f>VLOOKUP($A518,Table1[#This Row],COLUMN(O517), FALSE)</f>
        <v>Meg O'Connel</v>
      </c>
      <c r="P518" t="str">
        <f>VLOOKUP($A518,Table1[#This Row],COLUMN(P517), FALSE)</f>
        <v>MX</v>
      </c>
      <c r="Q518" t="str">
        <f>VLOOKUP($A518,Table1[#This Row],COLUMN(Q517), FALSE)</f>
        <v>2013</v>
      </c>
      <c r="R518" t="str">
        <f>VLOOKUP($A518,Table1[#This Row],COLUMN(R517), FALSE)</f>
        <v>EMDIUM</v>
      </c>
      <c r="S518" t="str">
        <f>VLOOKUP($A518,Table1[#This Row],COLUMN(S517), FALSE)</f>
        <v>technology</v>
      </c>
      <c r="T518" t="str">
        <f>VLOOKUP($A518,Table1[#This Row],COLUMN(T517), FALSE)</f>
        <v>41382</v>
      </c>
      <c r="U518" t="str">
        <f>VLOOKUP($A518,Table1[#This Row],COLUMN(U517), FALSE)</f>
        <v>MO1780051</v>
      </c>
      <c r="V518" t="str">
        <f>VLOOKUP($A518,Table1[#This Row],COLUMN(V517), FALSE)</f>
        <v>MX</v>
      </c>
      <c r="W518">
        <f>VLOOKUP($A518,Table1[#This Row],COLUMN(W517), FALSE)</f>
        <v>2013</v>
      </c>
      <c r="X518" t="str">
        <f>VLOOKUP($A518,Table1[#This Row],COLUMN(X517), FALSE)</f>
        <v>MO1780051</v>
      </c>
      <c r="Y518">
        <f>VLOOKUP($A518,Table1[#This Row],COLUMN(Y517), FALSE)</f>
        <v>41382</v>
      </c>
      <c r="Z518" t="str">
        <f>VLOOKUP($A518,Table1[#This Row],COLUMN(Z517), FALSE)</f>
        <v>MX-2013-MO1780051-41382</v>
      </c>
      <c r="AA518">
        <f>VLOOKUP($A518,Table1[#This Row],COLUMN(AA517), FALSE)</f>
        <v>2013</v>
      </c>
      <c r="AB518">
        <f>VLOOKUP($A518,Table1[#This Row],COLUMN(AB517), FALSE)</f>
        <v>4</v>
      </c>
      <c r="AC518">
        <f>VLOOKUP($A518,Table1[#This Row],COLUMN(AC517), FALSE)</f>
        <v>5</v>
      </c>
      <c r="AD518">
        <f>VLOOKUP($A518,Table1[#This Row],COLUMN(AD517), FALSE)</f>
        <v>3</v>
      </c>
    </row>
    <row r="519" spans="1:30" ht="15.75">
      <c r="A519" s="54" t="s">
        <v>1380</v>
      </c>
      <c r="B519" s="52">
        <f>VLOOKUP($A519,Table1[#This Row],COLUMN(B518), FALSE)</f>
        <v>42230</v>
      </c>
      <c r="C519" s="52">
        <f>VLOOKUP($A519,Table1[#This Row],COLUMN(C518), FALSE)</f>
        <v>42234</v>
      </c>
      <c r="D519" t="str">
        <f>VLOOKUP($A519,Table1[#This Row],COLUMN(D518), FALSE)</f>
        <v>Henry Goldwyn</v>
      </c>
      <c r="E519" t="str">
        <f>VLOOKUP($A519,Table1[#This Row],COLUMN(E518), FALSE)</f>
        <v>Pakistan</v>
      </c>
      <c r="F519" t="str">
        <f>VLOOKUP($A519,Table1[#This Row],COLUMN(F518), FALSE)</f>
        <v>Southern Asia</v>
      </c>
      <c r="G519" t="str">
        <f>VLOOKUP($A519,Table1[#This Row],COLUMN(G518), FALSE)</f>
        <v>Office_Supplies</v>
      </c>
      <c r="H519" t="str">
        <f>VLOOKUP($A519,Table1[#This Row],COLUMN(H518), FALSE)</f>
        <v>Tables</v>
      </c>
      <c r="I519">
        <f>VLOOKUP($A519,Table1[#This Row],COLUMN(I518), FALSE)</f>
        <v>1582.11</v>
      </c>
      <c r="J519">
        <f>VLOOKUP($A519,Table1[#This Row],COLUMN(J518), FALSE)</f>
        <v>6</v>
      </c>
      <c r="K519">
        <f>VLOOKUP($A519,Table1[#This Row],COLUMN(K518), FALSE)</f>
        <v>0.5</v>
      </c>
      <c r="L519">
        <f>VLOOKUP($A519,Table1[#This Row],COLUMN(L518), FALSE)</f>
        <v>-886.05</v>
      </c>
      <c r="M519" t="str">
        <f>VLOOKUP($A519,Table1[#This Row],COLUMN(M518), FALSE)</f>
        <v>High</v>
      </c>
      <c r="N519">
        <f>VLOOKUP($A519,Table1[#This Row],COLUMN(N518), FALSE)</f>
        <v>0</v>
      </c>
      <c r="O519" t="str">
        <f>VLOOKUP($A519,Table1[#This Row],COLUMN(O518), FALSE)</f>
        <v>Henry Goldwyn</v>
      </c>
      <c r="P519" t="str">
        <f>VLOOKUP($A519,Table1[#This Row],COLUMN(P518), FALSE)</f>
        <v xml:space="preserve"> I</v>
      </c>
      <c r="Q519" t="str">
        <f>VLOOKUP($A519,Table1[#This Row],COLUMN(Q518), FALSE)</f>
        <v>-201</v>
      </c>
      <c r="R519" t="str">
        <f>VLOOKUP($A519,Table1[#This Row],COLUMN(R518), FALSE)</f>
        <v>HIGH</v>
      </c>
      <c r="S519" t="str">
        <f>VLOOKUP($A519,Table1[#This Row],COLUMN(S518), FALSE)</f>
        <v>office_supplies</v>
      </c>
      <c r="T519" t="str">
        <f>VLOOKUP($A519,Table1[#This Row],COLUMN(T518), FALSE)</f>
        <v xml:space="preserve">2230 </v>
      </c>
      <c r="U519" t="str">
        <f>VLOOKUP($A519,Table1[#This Row],COLUMN(U518), FALSE)</f>
        <v>HG1496597</v>
      </c>
      <c r="V519" t="str">
        <f>VLOOKUP($A519,Table1[#This Row],COLUMN(V518), FALSE)</f>
        <v xml:space="preserve"> ID</v>
      </c>
      <c r="W519">
        <f>VLOOKUP($A519,Table1[#This Row],COLUMN(W518), FALSE)</f>
        <v>2015</v>
      </c>
      <c r="X519" t="str">
        <f>VLOOKUP($A519,Table1[#This Row],COLUMN(X518), FALSE)</f>
        <v>HG1496597</v>
      </c>
      <c r="Y519">
        <f>VLOOKUP($A519,Table1[#This Row],COLUMN(Y518), FALSE)</f>
        <v>42230</v>
      </c>
      <c r="Z519" t="str">
        <f>VLOOKUP($A519,Table1[#This Row],COLUMN(Z518), FALSE)</f>
        <v>ID-2015-HG1496597-42230</v>
      </c>
      <c r="AA519">
        <f>VLOOKUP($A519,Table1[#This Row],COLUMN(AA518), FALSE)</f>
        <v>2015</v>
      </c>
      <c r="AB519">
        <f>VLOOKUP($A519,Table1[#This Row],COLUMN(AB518), FALSE)</f>
        <v>8</v>
      </c>
      <c r="AC519">
        <f>VLOOKUP($A519,Table1[#This Row],COLUMN(AC518), FALSE)</f>
        <v>6</v>
      </c>
      <c r="AD519">
        <f>VLOOKUP($A519,Table1[#This Row],COLUMN(AD518), FALSE)</f>
        <v>4</v>
      </c>
    </row>
    <row r="520" spans="1:30" ht="15.75">
      <c r="A520" s="53" t="s">
        <v>1384</v>
      </c>
      <c r="B520" s="52">
        <f>VLOOKUP($A520,Table1[#This Row],COLUMN(B519), FALSE)</f>
        <v>41885</v>
      </c>
      <c r="C520" s="52">
        <f>VLOOKUP($A520,Table1[#This Row],COLUMN(C519), FALSE)</f>
        <v>41891</v>
      </c>
      <c r="D520" t="str">
        <f>VLOOKUP($A520,Table1[#This Row],COLUMN(D519), FALSE)</f>
        <v>Debra Catini</v>
      </c>
      <c r="E520" t="str">
        <f>VLOOKUP($A520,Table1[#This Row],COLUMN(E519), FALSE)</f>
        <v>Guatemala</v>
      </c>
      <c r="F520" t="str">
        <f>VLOOKUP($A520,Table1[#This Row],COLUMN(F519), FALSE)</f>
        <v>Central America</v>
      </c>
      <c r="G520" t="str">
        <f>VLOOKUP($A520,Table1[#This Row],COLUMN(G519), FALSE)</f>
        <v>Technology</v>
      </c>
      <c r="H520" t="str">
        <f>VLOOKUP($A520,Table1[#This Row],COLUMN(H519), FALSE)</f>
        <v>Appliances</v>
      </c>
      <c r="I520">
        <f>VLOOKUP($A520,Table1[#This Row],COLUMN(I519), FALSE)</f>
        <v>2616.96</v>
      </c>
      <c r="J520">
        <f>VLOOKUP($A520,Table1[#This Row],COLUMN(J519), FALSE)</f>
        <v>6</v>
      </c>
      <c r="K520">
        <f>VLOOKUP($A520,Table1[#This Row],COLUMN(K519), FALSE)</f>
        <v>0</v>
      </c>
      <c r="L520">
        <f>VLOOKUP($A520,Table1[#This Row],COLUMN(L519), FALSE)</f>
        <v>26.16</v>
      </c>
      <c r="M520" t="str">
        <f>VLOOKUP($A520,Table1[#This Row],COLUMN(M519), FALSE)</f>
        <v>Medium</v>
      </c>
      <c r="N520">
        <f>VLOOKUP($A520,Table1[#This Row],COLUMN(N519), FALSE)</f>
        <v>0</v>
      </c>
      <c r="O520" t="str">
        <f>VLOOKUP($A520,Table1[#This Row],COLUMN(O519), FALSE)</f>
        <v>Debra Catini</v>
      </c>
      <c r="P520" t="str">
        <f>VLOOKUP($A520,Table1[#This Row],COLUMN(P519), FALSE)</f>
        <v>MX</v>
      </c>
      <c r="Q520" t="str">
        <f>VLOOKUP($A520,Table1[#This Row],COLUMN(Q519), FALSE)</f>
        <v>2014</v>
      </c>
      <c r="R520" t="str">
        <f>VLOOKUP($A520,Table1[#This Row],COLUMN(R519), FALSE)</f>
        <v>MEDIUM</v>
      </c>
      <c r="S520" t="str">
        <f>VLOOKUP($A520,Table1[#This Row],COLUMN(S519), FALSE)</f>
        <v>technology</v>
      </c>
      <c r="T520" t="str">
        <f>VLOOKUP($A520,Table1[#This Row],COLUMN(T519), FALSE)</f>
        <v>41885</v>
      </c>
      <c r="U520" t="str">
        <f>VLOOKUP($A520,Table1[#This Row],COLUMN(U519), FALSE)</f>
        <v>DC1328551</v>
      </c>
      <c r="V520" t="str">
        <f>VLOOKUP($A520,Table1[#This Row],COLUMN(V519), FALSE)</f>
        <v>MX</v>
      </c>
      <c r="W520">
        <f>VLOOKUP($A520,Table1[#This Row],COLUMN(W519), FALSE)</f>
        <v>2014</v>
      </c>
      <c r="X520" t="str">
        <f>VLOOKUP($A520,Table1[#This Row],COLUMN(X519), FALSE)</f>
        <v>DC1328551</v>
      </c>
      <c r="Y520">
        <f>VLOOKUP($A520,Table1[#This Row],COLUMN(Y519), FALSE)</f>
        <v>41885</v>
      </c>
      <c r="Z520" t="str">
        <f>VLOOKUP($A520,Table1[#This Row],COLUMN(Z519), FALSE)</f>
        <v>MX-2014-DC1328551-41885</v>
      </c>
      <c r="AA520">
        <f>VLOOKUP($A520,Table1[#This Row],COLUMN(AA519), FALSE)</f>
        <v>2014</v>
      </c>
      <c r="AB520">
        <f>VLOOKUP($A520,Table1[#This Row],COLUMN(AB519), FALSE)</f>
        <v>9</v>
      </c>
      <c r="AC520">
        <f>VLOOKUP($A520,Table1[#This Row],COLUMN(AC519), FALSE)</f>
        <v>4</v>
      </c>
      <c r="AD520">
        <f>VLOOKUP($A520,Table1[#This Row],COLUMN(AD519), FALSE)</f>
        <v>6</v>
      </c>
    </row>
    <row r="521" spans="1:30" ht="15.75">
      <c r="A521" s="54" t="s">
        <v>1388</v>
      </c>
      <c r="B521" s="52">
        <f>VLOOKUP($A521,Table1[#This Row],COLUMN(B520), FALSE)</f>
        <v>41814</v>
      </c>
      <c r="C521" s="52">
        <f>VLOOKUP($A521,Table1[#This Row],COLUMN(C520), FALSE)</f>
        <v>41821</v>
      </c>
      <c r="D521" t="str">
        <f>VLOOKUP($A521,Table1[#This Row],COLUMN(D520), FALSE)</f>
        <v>Tiffany House</v>
      </c>
      <c r="E521" t="str">
        <f>VLOOKUP($A521,Table1[#This Row],COLUMN(E520), FALSE)</f>
        <v>Switzerland</v>
      </c>
      <c r="F521" t="str">
        <f>VLOOKUP($A521,Table1[#This Row],COLUMN(F520), FALSE)</f>
        <v>Western Europe</v>
      </c>
      <c r="G521" t="str">
        <f>VLOOKUP($A521,Table1[#This Row],COLUMN(G520), FALSE)</f>
        <v>Technology</v>
      </c>
      <c r="H521" t="str">
        <f>VLOOKUP($A521,Table1[#This Row],COLUMN(H520), FALSE)</f>
        <v>Phones</v>
      </c>
      <c r="I521">
        <f>VLOOKUP($A521,Table1[#This Row],COLUMN(I520), FALSE)</f>
        <v>3421.71</v>
      </c>
      <c r="J521">
        <f>VLOOKUP($A521,Table1[#This Row],COLUMN(J520), FALSE)</f>
        <v>9</v>
      </c>
      <c r="K521">
        <f>VLOOKUP($A521,Table1[#This Row],COLUMN(K520), FALSE)</f>
        <v>0</v>
      </c>
      <c r="L521">
        <f>VLOOKUP($A521,Table1[#This Row],COLUMN(L520), FALSE)</f>
        <v>1060.56</v>
      </c>
      <c r="M521" t="str">
        <f>VLOOKUP($A521,Table1[#This Row],COLUMN(M520), FALSE)</f>
        <v>Medium</v>
      </c>
      <c r="N521">
        <f>VLOOKUP($A521,Table1[#This Row],COLUMN(N520), FALSE)</f>
        <v>0</v>
      </c>
      <c r="O521" t="str">
        <f>VLOOKUP($A521,Table1[#This Row],COLUMN(O520), FALSE)</f>
        <v>Tiffany House</v>
      </c>
      <c r="P521" t="str">
        <f>VLOOKUP($A521,Table1[#This Row],COLUMN(P520), FALSE)</f>
        <v>ES</v>
      </c>
      <c r="Q521" t="str">
        <f>VLOOKUP($A521,Table1[#This Row],COLUMN(Q520), FALSE)</f>
        <v>2014</v>
      </c>
      <c r="R521" t="str">
        <f>VLOOKUP($A521,Table1[#This Row],COLUMN(R520), FALSE)</f>
        <v>MEDIUM</v>
      </c>
      <c r="S521" t="str">
        <f>VLOOKUP($A521,Table1[#This Row],COLUMN(S520), FALSE)</f>
        <v>technology</v>
      </c>
      <c r="T521" t="str">
        <f>VLOOKUP($A521,Table1[#This Row],COLUMN(T520), FALSE)</f>
        <v>41814</v>
      </c>
      <c r="U521" t="str">
        <f>VLOOKUP($A521,Table1[#This Row],COLUMN(U520), FALSE)</f>
        <v>TH21235125</v>
      </c>
      <c r="V521" t="str">
        <f>VLOOKUP($A521,Table1[#This Row],COLUMN(V520), FALSE)</f>
        <v>ES</v>
      </c>
      <c r="W521">
        <f>VLOOKUP($A521,Table1[#This Row],COLUMN(W520), FALSE)</f>
        <v>2014</v>
      </c>
      <c r="X521" t="str">
        <f>VLOOKUP($A521,Table1[#This Row],COLUMN(X520), FALSE)</f>
        <v>TH21235125</v>
      </c>
      <c r="Y521">
        <f>VLOOKUP($A521,Table1[#This Row],COLUMN(Y520), FALSE)</f>
        <v>41814</v>
      </c>
      <c r="Z521" t="str">
        <f>VLOOKUP($A521,Table1[#This Row],COLUMN(Z520), FALSE)</f>
        <v>ES-2014-TH21235125-41814</v>
      </c>
      <c r="AA521">
        <f>VLOOKUP($A521,Table1[#This Row],COLUMN(AA520), FALSE)</f>
        <v>2014</v>
      </c>
      <c r="AB521">
        <f>VLOOKUP($A521,Table1[#This Row],COLUMN(AB520), FALSE)</f>
        <v>6</v>
      </c>
      <c r="AC521">
        <f>VLOOKUP($A521,Table1[#This Row],COLUMN(AC520), FALSE)</f>
        <v>3</v>
      </c>
      <c r="AD521">
        <f>VLOOKUP($A521,Table1[#This Row],COLUMN(AD520), FALSE)</f>
        <v>7</v>
      </c>
    </row>
    <row r="522" spans="1:30" ht="15.75">
      <c r="A522" s="53" t="s">
        <v>1390</v>
      </c>
      <c r="B522" s="52">
        <f>VLOOKUP($A522,Table1[#This Row],COLUMN(B521), FALSE)</f>
        <v>42132</v>
      </c>
      <c r="C522" s="52">
        <f>VLOOKUP($A522,Table1[#This Row],COLUMN(C521), FALSE)</f>
        <v>42134</v>
      </c>
      <c r="D522" t="str">
        <f>VLOOKUP($A522,Table1[#This Row],COLUMN(D521), FALSE)</f>
        <v>Jay Kimmel</v>
      </c>
      <c r="E522" t="str">
        <f>VLOOKUP($A522,Table1[#This Row],COLUMN(E521), FALSE)</f>
        <v>Paraguay</v>
      </c>
      <c r="F522" t="str">
        <f>VLOOKUP($A522,Table1[#This Row],COLUMN(F521), FALSE)</f>
        <v>South America</v>
      </c>
      <c r="G522" t="str">
        <f>VLOOKUP($A522,Table1[#This Row],COLUMN(G521), FALSE)</f>
        <v>Technology</v>
      </c>
      <c r="H522" t="str">
        <f>VLOOKUP($A522,Table1[#This Row],COLUMN(H521), FALSE)</f>
        <v>Copiers</v>
      </c>
      <c r="I522">
        <f>VLOOKUP($A522,Table1[#This Row],COLUMN(I521), FALSE)</f>
        <v>820.08</v>
      </c>
      <c r="J522">
        <f>VLOOKUP($A522,Table1[#This Row],COLUMN(J521), FALSE)</f>
        <v>9</v>
      </c>
      <c r="K522">
        <f>VLOOKUP($A522,Table1[#This Row],COLUMN(K521), FALSE)</f>
        <v>0</v>
      </c>
      <c r="L522">
        <f>VLOOKUP($A522,Table1[#This Row],COLUMN(L521), FALSE)</f>
        <v>98.28</v>
      </c>
      <c r="M522" t="str">
        <f>VLOOKUP($A522,Table1[#This Row],COLUMN(M521), FALSE)</f>
        <v>Critical</v>
      </c>
      <c r="N522">
        <f>VLOOKUP($A522,Table1[#This Row],COLUMN(N521), FALSE)</f>
        <v>0</v>
      </c>
      <c r="O522" t="str">
        <f>VLOOKUP($A522,Table1[#This Row],COLUMN(O521), FALSE)</f>
        <v>Jay Kimmel</v>
      </c>
      <c r="P522" t="str">
        <f>VLOOKUP($A522,Table1[#This Row],COLUMN(P521), FALSE)</f>
        <v>MX</v>
      </c>
      <c r="Q522" t="str">
        <f>VLOOKUP($A522,Table1[#This Row],COLUMN(Q521), FALSE)</f>
        <v>2015</v>
      </c>
      <c r="R522" t="str">
        <f>VLOOKUP($A522,Table1[#This Row],COLUMN(R521), FALSE)</f>
        <v>CRITICAL</v>
      </c>
      <c r="S522" t="str">
        <f>VLOOKUP($A522,Table1[#This Row],COLUMN(S521), FALSE)</f>
        <v>technology</v>
      </c>
      <c r="T522" t="str">
        <f>VLOOKUP($A522,Table1[#This Row],COLUMN(T521), FALSE)</f>
        <v>42132</v>
      </c>
      <c r="U522" t="str">
        <f>VLOOKUP($A522,Table1[#This Row],COLUMN(U521), FALSE)</f>
        <v>JK15370100</v>
      </c>
      <c r="V522" t="str">
        <f>VLOOKUP($A522,Table1[#This Row],COLUMN(V521), FALSE)</f>
        <v>MX</v>
      </c>
      <c r="W522">
        <f>VLOOKUP($A522,Table1[#This Row],COLUMN(W521), FALSE)</f>
        <v>2015</v>
      </c>
      <c r="X522" t="str">
        <f>VLOOKUP($A522,Table1[#This Row],COLUMN(X521), FALSE)</f>
        <v>JK15370100</v>
      </c>
      <c r="Y522">
        <f>VLOOKUP($A522,Table1[#This Row],COLUMN(Y521), FALSE)</f>
        <v>42132</v>
      </c>
      <c r="Z522" t="str">
        <f>VLOOKUP($A522,Table1[#This Row],COLUMN(Z521), FALSE)</f>
        <v>MX-2015-JK15370100-42132</v>
      </c>
      <c r="AA522">
        <f>VLOOKUP($A522,Table1[#This Row],COLUMN(AA521), FALSE)</f>
        <v>2015</v>
      </c>
      <c r="AB522">
        <f>VLOOKUP($A522,Table1[#This Row],COLUMN(AB521), FALSE)</f>
        <v>5</v>
      </c>
      <c r="AC522">
        <f>VLOOKUP($A522,Table1[#This Row],COLUMN(AC521), FALSE)</f>
        <v>6</v>
      </c>
      <c r="AD522">
        <f>VLOOKUP($A522,Table1[#This Row],COLUMN(AD521), FALSE)</f>
        <v>2</v>
      </c>
    </row>
    <row r="523" spans="1:30" ht="15.75">
      <c r="A523" s="54" t="s">
        <v>1360</v>
      </c>
      <c r="B523" s="52">
        <f>VLOOKUP($A523,Table1[#This Row],COLUMN(B522), FALSE)</f>
        <v>42344</v>
      </c>
      <c r="C523" s="52">
        <f>VLOOKUP($A523,Table1[#This Row],COLUMN(C522), FALSE)</f>
        <v>42348</v>
      </c>
      <c r="D523" t="str">
        <f>VLOOKUP($A523,Table1[#This Row],COLUMN(D522), FALSE)</f>
        <v>Alan Barnes</v>
      </c>
      <c r="E523" t="str">
        <f>VLOOKUP($A523,Table1[#This Row],COLUMN(E522), FALSE)</f>
        <v>United States</v>
      </c>
      <c r="F523" t="str">
        <f>VLOOKUP($A523,Table1[#This Row],COLUMN(F522), FALSE)</f>
        <v>Western US</v>
      </c>
      <c r="G523" t="str">
        <f>VLOOKUP($A523,Table1[#This Row],COLUMN(G522), FALSE)</f>
        <v>Office Supplies</v>
      </c>
      <c r="H523" t="str">
        <f>VLOOKUP($A523,Table1[#This Row],COLUMN(H522), FALSE)</f>
        <v>Phones</v>
      </c>
      <c r="I523">
        <f>VLOOKUP($A523,Table1[#This Row],COLUMN(I522), FALSE)</f>
        <v>14.976000000000001</v>
      </c>
      <c r="J523">
        <f>VLOOKUP($A523,Table1[#This Row],COLUMN(J522), FALSE)</f>
        <v>6</v>
      </c>
      <c r="K523">
        <f>VLOOKUP($A523,Table1[#This Row],COLUMN(K522), FALSE)</f>
        <v>0.2</v>
      </c>
      <c r="L523">
        <f>VLOOKUP($A523,Table1[#This Row],COLUMN(L522), FALSE)</f>
        <v>5.4287999999999901</v>
      </c>
      <c r="M523" t="str">
        <f>VLOOKUP($A523,Table1[#This Row],COLUMN(M522), FALSE)</f>
        <v>Medium</v>
      </c>
      <c r="N523">
        <f>VLOOKUP($A523,Table1[#This Row],COLUMN(N522), FALSE)</f>
        <v>0</v>
      </c>
      <c r="O523" t="str">
        <f>VLOOKUP($A523,Table1[#This Row],COLUMN(O522), FALSE)</f>
        <v>Alan Barnes</v>
      </c>
      <c r="P523" t="str">
        <f>VLOOKUP($A523,Table1[#This Row],COLUMN(P522), FALSE)</f>
        <v>CA</v>
      </c>
      <c r="Q523" t="str">
        <f>VLOOKUP($A523,Table1[#This Row],COLUMN(Q522), FALSE)</f>
        <v>2015</v>
      </c>
      <c r="R523" t="str">
        <f>VLOOKUP($A523,Table1[#This Row],COLUMN(R522), FALSE)</f>
        <v>MEDIUM</v>
      </c>
      <c r="S523" t="str">
        <f>VLOOKUP($A523,Table1[#This Row],COLUMN(S522), FALSE)</f>
        <v>office supplies</v>
      </c>
      <c r="T523" t="str">
        <f>VLOOKUP($A523,Table1[#This Row],COLUMN(T522), FALSE)</f>
        <v>42344</v>
      </c>
      <c r="U523" t="str">
        <f>VLOOKUP($A523,Table1[#This Row],COLUMN(U522), FALSE)</f>
        <v>AB10165140</v>
      </c>
      <c r="V523" t="str">
        <f>VLOOKUP($A523,Table1[#This Row],COLUMN(V522), FALSE)</f>
        <v>CA</v>
      </c>
      <c r="W523">
        <f>VLOOKUP($A523,Table1[#This Row],COLUMN(W522), FALSE)</f>
        <v>2015</v>
      </c>
      <c r="X523" t="str">
        <f>VLOOKUP($A523,Table1[#This Row],COLUMN(X522), FALSE)</f>
        <v>AB10165140</v>
      </c>
      <c r="Y523">
        <f>VLOOKUP($A523,Table1[#This Row],COLUMN(Y522), FALSE)</f>
        <v>42344</v>
      </c>
      <c r="Z523" t="str">
        <f>VLOOKUP($A523,Table1[#This Row],COLUMN(Z522), FALSE)</f>
        <v>CA-2015-AB10165140-42344</v>
      </c>
      <c r="AA523">
        <f>VLOOKUP($A523,Table1[#This Row],COLUMN(AA522), FALSE)</f>
        <v>2015</v>
      </c>
      <c r="AB523">
        <f>VLOOKUP($A523,Table1[#This Row],COLUMN(AB522), FALSE)</f>
        <v>12</v>
      </c>
      <c r="AC523">
        <f>VLOOKUP($A523,Table1[#This Row],COLUMN(AC522), FALSE)</f>
        <v>1</v>
      </c>
      <c r="AD523">
        <f>VLOOKUP($A523,Table1[#This Row],COLUMN(AD522), FALSE)</f>
        <v>4</v>
      </c>
    </row>
    <row r="524" spans="1:30" ht="15.75">
      <c r="A524" s="53" t="s">
        <v>1393</v>
      </c>
      <c r="B524" s="52">
        <f>VLOOKUP($A524,Table1[#This Row],COLUMN(B523), FALSE)</f>
        <v>42048</v>
      </c>
      <c r="C524" s="52">
        <f>VLOOKUP($A524,Table1[#This Row],COLUMN(C523), FALSE)</f>
        <v>42049</v>
      </c>
      <c r="D524" t="str">
        <f>VLOOKUP($A524,Table1[#This Row],COLUMN(D523), FALSE)</f>
        <v>Cathy Hwang</v>
      </c>
      <c r="E524" t="str">
        <f>VLOOKUP($A524,Table1[#This Row],COLUMN(E523), FALSE)</f>
        <v>Iran</v>
      </c>
      <c r="F524" t="str">
        <f>VLOOKUP($A524,Table1[#This Row],COLUMN(F523), FALSE)</f>
        <v>Southern Asia</v>
      </c>
      <c r="G524" t="str">
        <f>VLOOKUP($A524,Table1[#This Row],COLUMN(G523), FALSE)</f>
        <v>Furniture</v>
      </c>
      <c r="H524" t="str">
        <f>VLOOKUP($A524,Table1[#This Row],COLUMN(H523), FALSE)</f>
        <v>Phones</v>
      </c>
      <c r="I524">
        <f>VLOOKUP($A524,Table1[#This Row],COLUMN(I523), FALSE)</f>
        <v>1198.56</v>
      </c>
      <c r="J524">
        <f>VLOOKUP($A524,Table1[#This Row],COLUMN(J523), FALSE)</f>
        <v>8</v>
      </c>
      <c r="K524">
        <f>VLOOKUP($A524,Table1[#This Row],COLUMN(K523), FALSE)</f>
        <v>0</v>
      </c>
      <c r="L524">
        <f>VLOOKUP($A524,Table1[#This Row],COLUMN(L523), FALSE)</f>
        <v>359.52</v>
      </c>
      <c r="M524" t="str">
        <f>VLOOKUP($A524,Table1[#This Row],COLUMN(M523), FALSE)</f>
        <v>High</v>
      </c>
      <c r="N524">
        <f>VLOOKUP($A524,Table1[#This Row],COLUMN(N523), FALSE)</f>
        <v>0</v>
      </c>
      <c r="O524" t="str">
        <f>VLOOKUP($A524,Table1[#This Row],COLUMN(O523), FALSE)</f>
        <v>Cathy Hwang</v>
      </c>
      <c r="P524" t="str">
        <f>VLOOKUP($A524,Table1[#This Row],COLUMN(P523), FALSE)</f>
        <v>IR</v>
      </c>
      <c r="Q524" t="str">
        <f>VLOOKUP($A524,Table1[#This Row],COLUMN(Q523), FALSE)</f>
        <v>2015</v>
      </c>
      <c r="R524" t="str">
        <f>VLOOKUP($A524,Table1[#This Row],COLUMN(R523), FALSE)</f>
        <v>HIGH</v>
      </c>
      <c r="S524" t="str">
        <f>VLOOKUP($A524,Table1[#This Row],COLUMN(S523), FALSE)</f>
        <v>furniture</v>
      </c>
      <c r="T524" t="str">
        <f>VLOOKUP($A524,Table1[#This Row],COLUMN(T523), FALSE)</f>
        <v>42048</v>
      </c>
      <c r="U524" t="str">
        <f>VLOOKUP($A524,Table1[#This Row],COLUMN(U523), FALSE)</f>
        <v>CH207060</v>
      </c>
      <c r="V524" t="str">
        <f>VLOOKUP($A524,Table1[#This Row],COLUMN(V523), FALSE)</f>
        <v>IR</v>
      </c>
      <c r="W524">
        <f>VLOOKUP($A524,Table1[#This Row],COLUMN(W523), FALSE)</f>
        <v>2015</v>
      </c>
      <c r="X524" t="str">
        <f>VLOOKUP($A524,Table1[#This Row],COLUMN(X523), FALSE)</f>
        <v>CH207060</v>
      </c>
      <c r="Y524">
        <f>VLOOKUP($A524,Table1[#This Row],COLUMN(Y523), FALSE)</f>
        <v>42048</v>
      </c>
      <c r="Z524" t="str">
        <f>VLOOKUP($A524,Table1[#This Row],COLUMN(Z523), FALSE)</f>
        <v>IR-2015-CH207060-42048</v>
      </c>
      <c r="AA524">
        <f>VLOOKUP($A524,Table1[#This Row],COLUMN(AA523), FALSE)</f>
        <v>2015</v>
      </c>
      <c r="AB524">
        <f>VLOOKUP($A524,Table1[#This Row],COLUMN(AB523), FALSE)</f>
        <v>2</v>
      </c>
      <c r="AC524">
        <f>VLOOKUP($A524,Table1[#This Row],COLUMN(AC523), FALSE)</f>
        <v>6</v>
      </c>
      <c r="AD524">
        <f>VLOOKUP($A524,Table1[#This Row],COLUMN(AD523), FALSE)</f>
        <v>1</v>
      </c>
    </row>
    <row r="525" spans="1:30" ht="15.75">
      <c r="A525" s="54" t="s">
        <v>1408</v>
      </c>
      <c r="B525" s="52">
        <f>VLOOKUP($A525,Table1[#This Row],COLUMN(B524), FALSE)</f>
        <v>42141</v>
      </c>
      <c r="C525" s="52">
        <f>VLOOKUP($A525,Table1[#This Row],COLUMN(C524), FALSE)</f>
        <v>42146</v>
      </c>
      <c r="D525" t="str">
        <f>VLOOKUP($A525,Table1[#This Row],COLUMN(D524), FALSE)</f>
        <v>Denny Ordway</v>
      </c>
      <c r="E525" t="str">
        <f>VLOOKUP($A525,Table1[#This Row],COLUMN(E524), FALSE)</f>
        <v>India</v>
      </c>
      <c r="F525" t="str">
        <f>VLOOKUP($A525,Table1[#This Row],COLUMN(F524), FALSE)</f>
        <v>Southern Asia</v>
      </c>
      <c r="G525" t="str">
        <f>VLOOKUP($A525,Table1[#This Row],COLUMN(G524), FALSE)</f>
        <v>Furniture</v>
      </c>
      <c r="H525" t="str">
        <f>VLOOKUP($A525,Table1[#This Row],COLUMN(H524), FALSE)</f>
        <v>Machines</v>
      </c>
      <c r="I525">
        <f>VLOOKUP($A525,Table1[#This Row],COLUMN(I524), FALSE)</f>
        <v>3094.56</v>
      </c>
      <c r="J525">
        <f>VLOOKUP($A525,Table1[#This Row],COLUMN(J524), FALSE)</f>
        <v>6</v>
      </c>
      <c r="K525">
        <f>VLOOKUP($A525,Table1[#This Row],COLUMN(K524), FALSE)</f>
        <v>0</v>
      </c>
      <c r="L525">
        <f>VLOOKUP($A525,Table1[#This Row],COLUMN(L524), FALSE)</f>
        <v>1423.44</v>
      </c>
      <c r="M525" t="str">
        <f>VLOOKUP($A525,Table1[#This Row],COLUMN(M524), FALSE)</f>
        <v>Medium</v>
      </c>
      <c r="N525">
        <f>VLOOKUP($A525,Table1[#This Row],COLUMN(N524), FALSE)</f>
        <v>0</v>
      </c>
      <c r="O525" t="str">
        <f>VLOOKUP($A525,Table1[#This Row],COLUMN(O524), FALSE)</f>
        <v>Denny Ordway</v>
      </c>
      <c r="P525" t="str">
        <f>VLOOKUP($A525,Table1[#This Row],COLUMN(P524), FALSE)</f>
        <v>IN</v>
      </c>
      <c r="Q525" t="str">
        <f>VLOOKUP($A525,Table1[#This Row],COLUMN(Q524), FALSE)</f>
        <v>2015</v>
      </c>
      <c r="R525" t="str">
        <f>VLOOKUP($A525,Table1[#This Row],COLUMN(R524), FALSE)</f>
        <v>MEDIUM</v>
      </c>
      <c r="S525" t="str">
        <f>VLOOKUP($A525,Table1[#This Row],COLUMN(S524), FALSE)</f>
        <v>furniture</v>
      </c>
      <c r="T525" t="str">
        <f>VLOOKUP($A525,Table1[#This Row],COLUMN(T524), FALSE)</f>
        <v>42141</v>
      </c>
      <c r="U525" t="str">
        <f>VLOOKUP($A525,Table1[#This Row],COLUMN(U524), FALSE)</f>
        <v>DO1343558</v>
      </c>
      <c r="V525" t="str">
        <f>VLOOKUP($A525,Table1[#This Row],COLUMN(V524), FALSE)</f>
        <v>IN</v>
      </c>
      <c r="W525">
        <f>VLOOKUP($A525,Table1[#This Row],COLUMN(W524), FALSE)</f>
        <v>2015</v>
      </c>
      <c r="X525" t="str">
        <f>VLOOKUP($A525,Table1[#This Row],COLUMN(X524), FALSE)</f>
        <v>DO1343558</v>
      </c>
      <c r="Y525">
        <f>VLOOKUP($A525,Table1[#This Row],COLUMN(Y524), FALSE)</f>
        <v>42141</v>
      </c>
      <c r="Z525" t="str">
        <f>VLOOKUP($A525,Table1[#This Row],COLUMN(Z524), FALSE)</f>
        <v>IN-2015-DO1343558-42141</v>
      </c>
      <c r="AA525">
        <f>VLOOKUP($A525,Table1[#This Row],COLUMN(AA524), FALSE)</f>
        <v>2015</v>
      </c>
      <c r="AB525">
        <f>VLOOKUP($A525,Table1[#This Row],COLUMN(AB524), FALSE)</f>
        <v>5</v>
      </c>
      <c r="AC525">
        <f>VLOOKUP($A525,Table1[#This Row],COLUMN(AC524), FALSE)</f>
        <v>1</v>
      </c>
      <c r="AD525">
        <f>VLOOKUP($A525,Table1[#This Row],COLUMN(AD524), FALSE)</f>
        <v>5</v>
      </c>
    </row>
    <row r="526" spans="1:30" ht="15.75">
      <c r="A526" s="53" t="s">
        <v>1410</v>
      </c>
      <c r="B526" s="52">
        <f>VLOOKUP($A526,Table1[#This Row],COLUMN(B525), FALSE)</f>
        <v>41752</v>
      </c>
      <c r="C526" s="52">
        <f>VLOOKUP($A526,Table1[#This Row],COLUMN(C525), FALSE)</f>
        <v>41754</v>
      </c>
      <c r="D526" t="str">
        <f>VLOOKUP($A526,Table1[#This Row],COLUMN(D525), FALSE)</f>
        <v>Susan Gilcrest</v>
      </c>
      <c r="E526" t="str">
        <f>VLOOKUP($A526,Table1[#This Row],COLUMN(E525), FALSE)</f>
        <v>Guatemala</v>
      </c>
      <c r="F526" t="str">
        <f>VLOOKUP($A526,Table1[#This Row],COLUMN(F525), FALSE)</f>
        <v>Central America</v>
      </c>
      <c r="G526" t="str">
        <f>VLOOKUP($A526,Table1[#This Row],COLUMN(G525), FALSE)</f>
        <v>Technology</v>
      </c>
      <c r="H526" t="str">
        <f>VLOOKUP($A526,Table1[#This Row],COLUMN(H525), FALSE)</f>
        <v>Tables</v>
      </c>
      <c r="I526">
        <f>VLOOKUP($A526,Table1[#This Row],COLUMN(I525), FALSE)</f>
        <v>882.03239999999903</v>
      </c>
      <c r="J526">
        <f>VLOOKUP($A526,Table1[#This Row],COLUMN(J525), FALSE)</f>
        <v>9</v>
      </c>
      <c r="K526">
        <f>VLOOKUP($A526,Table1[#This Row],COLUMN(K525), FALSE)</f>
        <v>2E-3</v>
      </c>
      <c r="L526">
        <f>VLOOKUP($A526,Table1[#This Row],COLUMN(L525), FALSE)</f>
        <v>148.35239999999999</v>
      </c>
      <c r="M526" t="str">
        <f>VLOOKUP($A526,Table1[#This Row],COLUMN(M525), FALSE)</f>
        <v>High</v>
      </c>
      <c r="N526">
        <f>VLOOKUP($A526,Table1[#This Row],COLUMN(N525), FALSE)</f>
        <v>0</v>
      </c>
      <c r="O526" t="str">
        <f>VLOOKUP($A526,Table1[#This Row],COLUMN(O525), FALSE)</f>
        <v>Susan Gilcrest</v>
      </c>
      <c r="P526" t="str">
        <f>VLOOKUP($A526,Table1[#This Row],COLUMN(P525), FALSE)</f>
        <v>MX</v>
      </c>
      <c r="Q526" t="str">
        <f>VLOOKUP($A526,Table1[#This Row],COLUMN(Q525), FALSE)</f>
        <v>2014</v>
      </c>
      <c r="R526" t="str">
        <f>VLOOKUP($A526,Table1[#This Row],COLUMN(R525), FALSE)</f>
        <v>HIGH</v>
      </c>
      <c r="S526" t="str">
        <f>VLOOKUP($A526,Table1[#This Row],COLUMN(S525), FALSE)</f>
        <v>technology</v>
      </c>
      <c r="T526" t="str">
        <f>VLOOKUP($A526,Table1[#This Row],COLUMN(T525), FALSE)</f>
        <v>41752</v>
      </c>
      <c r="U526" t="str">
        <f>VLOOKUP($A526,Table1[#This Row],COLUMN(U525), FALSE)</f>
        <v>SG2089051</v>
      </c>
      <c r="V526" t="str">
        <f>VLOOKUP($A526,Table1[#This Row],COLUMN(V525), FALSE)</f>
        <v>MX</v>
      </c>
      <c r="W526">
        <f>VLOOKUP($A526,Table1[#This Row],COLUMN(W525), FALSE)</f>
        <v>2014</v>
      </c>
      <c r="X526" t="str">
        <f>VLOOKUP($A526,Table1[#This Row],COLUMN(X525), FALSE)</f>
        <v>SG2089051</v>
      </c>
      <c r="Y526">
        <f>VLOOKUP($A526,Table1[#This Row],COLUMN(Y525), FALSE)</f>
        <v>41752</v>
      </c>
      <c r="Z526" t="str">
        <f>VLOOKUP($A526,Table1[#This Row],COLUMN(Z525), FALSE)</f>
        <v>MX-2014-SG2089051-41752</v>
      </c>
      <c r="AA526">
        <f>VLOOKUP($A526,Table1[#This Row],COLUMN(AA525), FALSE)</f>
        <v>2014</v>
      </c>
      <c r="AB526">
        <f>VLOOKUP($A526,Table1[#This Row],COLUMN(AB525), FALSE)</f>
        <v>4</v>
      </c>
      <c r="AC526">
        <f>VLOOKUP($A526,Table1[#This Row],COLUMN(AC525), FALSE)</f>
        <v>4</v>
      </c>
      <c r="AD526">
        <f>VLOOKUP($A526,Table1[#This Row],COLUMN(AD525), FALSE)</f>
        <v>2</v>
      </c>
    </row>
    <row r="527" spans="1:30" ht="15.75">
      <c r="A527" s="54" t="s">
        <v>145</v>
      </c>
      <c r="B527" s="52">
        <f>VLOOKUP($A527,Table1[#This Row],COLUMN(B526), FALSE)</f>
        <v>42273</v>
      </c>
      <c r="C527" s="52">
        <f>VLOOKUP($A527,Table1[#This Row],COLUMN(C526), FALSE)</f>
        <v>42275</v>
      </c>
      <c r="D527" t="str">
        <f>VLOOKUP($A527,Table1[#This Row],COLUMN(D526), FALSE)</f>
        <v>Vivek Grady</v>
      </c>
      <c r="E527" t="str">
        <f>VLOOKUP($A527,Table1[#This Row],COLUMN(E526), FALSE)</f>
        <v>India</v>
      </c>
      <c r="F527" t="str">
        <f>VLOOKUP($A527,Table1[#This Row],COLUMN(F526), FALSE)</f>
        <v>Southern Asia</v>
      </c>
      <c r="G527" t="str">
        <f>VLOOKUP($A527,Table1[#This Row],COLUMN(G526), FALSE)</f>
        <v>Furniture</v>
      </c>
      <c r="H527" t="str">
        <f>VLOOKUP($A527,Table1[#This Row],COLUMN(H526), FALSE)</f>
        <v>Copiers</v>
      </c>
      <c r="I527">
        <f>VLOOKUP($A527,Table1[#This Row],COLUMN(I526), FALSE)</f>
        <v>2871.54</v>
      </c>
      <c r="J527">
        <f>VLOOKUP($A527,Table1[#This Row],COLUMN(J526), FALSE)</f>
        <v>7</v>
      </c>
      <c r="K527">
        <f>VLOOKUP($A527,Table1[#This Row],COLUMN(K526), FALSE)</f>
        <v>0</v>
      </c>
      <c r="L527">
        <f>VLOOKUP($A527,Table1[#This Row],COLUMN(L526), FALSE)</f>
        <v>57.33</v>
      </c>
      <c r="M527" t="str">
        <f>VLOOKUP($A527,Table1[#This Row],COLUMN(M526), FALSE)</f>
        <v>Medium</v>
      </c>
      <c r="N527">
        <f>VLOOKUP($A527,Table1[#This Row],COLUMN(N526), FALSE)</f>
        <v>0</v>
      </c>
      <c r="O527" t="str">
        <f>VLOOKUP($A527,Table1[#This Row],COLUMN(O526), FALSE)</f>
        <v>Vivek Grady</v>
      </c>
      <c r="P527" t="str">
        <f>VLOOKUP($A527,Table1[#This Row],COLUMN(P526), FALSE)</f>
        <v>IN</v>
      </c>
      <c r="Q527" t="str">
        <f>VLOOKUP($A527,Table1[#This Row],COLUMN(Q526), FALSE)</f>
        <v>2015</v>
      </c>
      <c r="R527" t="str">
        <f>VLOOKUP($A527,Table1[#This Row],COLUMN(R526), FALSE)</f>
        <v>MEDIUM</v>
      </c>
      <c r="S527" t="str">
        <f>VLOOKUP($A527,Table1[#This Row],COLUMN(S526), FALSE)</f>
        <v>furniture</v>
      </c>
      <c r="T527" t="str">
        <f>VLOOKUP($A527,Table1[#This Row],COLUMN(T526), FALSE)</f>
        <v>42273</v>
      </c>
      <c r="U527" t="str">
        <f>VLOOKUP($A527,Table1[#This Row],COLUMN(U526), FALSE)</f>
        <v>VG2180558</v>
      </c>
      <c r="V527" t="str">
        <f>VLOOKUP($A527,Table1[#This Row],COLUMN(V526), FALSE)</f>
        <v>IN</v>
      </c>
      <c r="W527">
        <f>VLOOKUP($A527,Table1[#This Row],COLUMN(W526), FALSE)</f>
        <v>2015</v>
      </c>
      <c r="X527" t="str">
        <f>VLOOKUP($A527,Table1[#This Row],COLUMN(X526), FALSE)</f>
        <v>VG2180558</v>
      </c>
      <c r="Y527">
        <f>VLOOKUP($A527,Table1[#This Row],COLUMN(Y526), FALSE)</f>
        <v>42273</v>
      </c>
      <c r="Z527" t="str">
        <f>VLOOKUP($A527,Table1[#This Row],COLUMN(Z526), FALSE)</f>
        <v>IN-2015-VG2180558-42273</v>
      </c>
      <c r="AA527">
        <f>VLOOKUP($A527,Table1[#This Row],COLUMN(AA526), FALSE)</f>
        <v>2015</v>
      </c>
      <c r="AB527">
        <f>VLOOKUP($A527,Table1[#This Row],COLUMN(AB526), FALSE)</f>
        <v>9</v>
      </c>
      <c r="AC527">
        <f>VLOOKUP($A527,Table1[#This Row],COLUMN(AC526), FALSE)</f>
        <v>7</v>
      </c>
      <c r="AD527">
        <f>VLOOKUP($A527,Table1[#This Row],COLUMN(AD526), FALSE)</f>
        <v>2</v>
      </c>
    </row>
    <row r="528" spans="1:30" ht="15.75">
      <c r="A528" s="53" t="s">
        <v>1436</v>
      </c>
      <c r="B528" s="52">
        <f>VLOOKUP($A528,Table1[#This Row],COLUMN(B527), FALSE)</f>
        <v>42178</v>
      </c>
      <c r="C528" s="52">
        <f>VLOOKUP($A528,Table1[#This Row],COLUMN(C527), FALSE)</f>
        <v>42178</v>
      </c>
      <c r="D528" t="str">
        <f>VLOOKUP($A528,Table1[#This Row],COLUMN(D527), FALSE)</f>
        <v>Theresa Coyne</v>
      </c>
      <c r="E528" t="str">
        <f>VLOOKUP($A528,Table1[#This Row],COLUMN(E527), FALSE)</f>
        <v>Russia</v>
      </c>
      <c r="F528" t="str">
        <f>VLOOKUP($A528,Table1[#This Row],COLUMN(F527), FALSE)</f>
        <v>Eastern Europe</v>
      </c>
      <c r="G528" t="str">
        <f>VLOOKUP($A528,Table1[#This Row],COLUMN(G527), FALSE)</f>
        <v>Technology</v>
      </c>
      <c r="H528" t="str">
        <f>VLOOKUP($A528,Table1[#This Row],COLUMN(H527), FALSE)</f>
        <v>Machines</v>
      </c>
      <c r="I528">
        <f>VLOOKUP($A528,Table1[#This Row],COLUMN(I527), FALSE)</f>
        <v>827.28</v>
      </c>
      <c r="J528">
        <f>VLOOKUP($A528,Table1[#This Row],COLUMN(J527), FALSE)</f>
        <v>6</v>
      </c>
      <c r="K528">
        <f>VLOOKUP($A528,Table1[#This Row],COLUMN(K527), FALSE)</f>
        <v>0</v>
      </c>
      <c r="L528">
        <f>VLOOKUP($A528,Table1[#This Row],COLUMN(L527), FALSE)</f>
        <v>397.07999999999902</v>
      </c>
      <c r="M528" t="str">
        <f>VLOOKUP($A528,Table1[#This Row],COLUMN(M527), FALSE)</f>
        <v>High</v>
      </c>
      <c r="N528">
        <f>VLOOKUP($A528,Table1[#This Row],COLUMN(N527), FALSE)</f>
        <v>0</v>
      </c>
      <c r="O528" t="str">
        <f>VLOOKUP($A528,Table1[#This Row],COLUMN(O527), FALSE)</f>
        <v>Theresa Coyne</v>
      </c>
      <c r="P528" t="str">
        <f>VLOOKUP($A528,Table1[#This Row],COLUMN(P527), FALSE)</f>
        <v>RS</v>
      </c>
      <c r="Q528" t="str">
        <f>VLOOKUP($A528,Table1[#This Row],COLUMN(Q527), FALSE)</f>
        <v>2015</v>
      </c>
      <c r="R528" t="str">
        <f>VLOOKUP($A528,Table1[#This Row],COLUMN(R527), FALSE)</f>
        <v>HIGH</v>
      </c>
      <c r="S528" t="str">
        <f>VLOOKUP($A528,Table1[#This Row],COLUMN(S527), FALSE)</f>
        <v>technology</v>
      </c>
      <c r="T528" t="str">
        <f>VLOOKUP($A528,Table1[#This Row],COLUMN(T527), FALSE)</f>
        <v>42178</v>
      </c>
      <c r="U528" t="str">
        <f>VLOOKUP($A528,Table1[#This Row],COLUMN(U527), FALSE)</f>
        <v>TC11145108</v>
      </c>
      <c r="V528" t="str">
        <f>VLOOKUP($A528,Table1[#This Row],COLUMN(V527), FALSE)</f>
        <v>RS</v>
      </c>
      <c r="W528">
        <f>VLOOKUP($A528,Table1[#This Row],COLUMN(W527), FALSE)</f>
        <v>2015</v>
      </c>
      <c r="X528" t="str">
        <f>VLOOKUP($A528,Table1[#This Row],COLUMN(X527), FALSE)</f>
        <v>TC11145108</v>
      </c>
      <c r="Y528">
        <f>VLOOKUP($A528,Table1[#This Row],COLUMN(Y527), FALSE)</f>
        <v>42178</v>
      </c>
      <c r="Z528" t="str">
        <f>VLOOKUP($A528,Table1[#This Row],COLUMN(Z527), FALSE)</f>
        <v>RS-2015-TC11145108-42178</v>
      </c>
      <c r="AA528">
        <f>VLOOKUP($A528,Table1[#This Row],COLUMN(AA527), FALSE)</f>
        <v>2015</v>
      </c>
      <c r="AB528">
        <f>VLOOKUP($A528,Table1[#This Row],COLUMN(AB527), FALSE)</f>
        <v>6</v>
      </c>
      <c r="AC528">
        <f>VLOOKUP($A528,Table1[#This Row],COLUMN(AC527), FALSE)</f>
        <v>3</v>
      </c>
      <c r="AD528">
        <f>VLOOKUP($A528,Table1[#This Row],COLUMN(AD527), FALSE)</f>
        <v>0</v>
      </c>
    </row>
    <row r="529" spans="1:30" ht="15.75">
      <c r="A529" s="54" t="s">
        <v>1439</v>
      </c>
      <c r="B529" s="52">
        <f>VLOOKUP($A529,Table1[#This Row],COLUMN(B528), FALSE)</f>
        <v>42182</v>
      </c>
      <c r="C529" s="52">
        <f>VLOOKUP($A529,Table1[#This Row],COLUMN(C528), FALSE)</f>
        <v>42187</v>
      </c>
      <c r="D529" t="str">
        <f>VLOOKUP($A529,Table1[#This Row],COLUMN(D528), FALSE)</f>
        <v>Denise Monton</v>
      </c>
      <c r="E529" t="str">
        <f>VLOOKUP($A529,Table1[#This Row],COLUMN(E528), FALSE)</f>
        <v>India</v>
      </c>
      <c r="F529" t="str">
        <f>VLOOKUP($A529,Table1[#This Row],COLUMN(F528), FALSE)</f>
        <v>Southern Asia</v>
      </c>
      <c r="G529" t="str">
        <f>VLOOKUP($A529,Table1[#This Row],COLUMN(G528), FALSE)</f>
        <v>Technology</v>
      </c>
      <c r="H529" t="str">
        <f>VLOOKUP($A529,Table1[#This Row],COLUMN(H528), FALSE)</f>
        <v>Phones</v>
      </c>
      <c r="I529">
        <f>VLOOKUP($A529,Table1[#This Row],COLUMN(I528), FALSE)</f>
        <v>2098.3200000000002</v>
      </c>
      <c r="J529">
        <f>VLOOKUP($A529,Table1[#This Row],COLUMN(J528), FALSE)</f>
        <v>8</v>
      </c>
      <c r="K529">
        <f>VLOOKUP($A529,Table1[#This Row],COLUMN(K528), FALSE)</f>
        <v>0</v>
      </c>
      <c r="L529">
        <f>VLOOKUP($A529,Table1[#This Row],COLUMN(L528), FALSE)</f>
        <v>860.16</v>
      </c>
      <c r="M529" t="str">
        <f>VLOOKUP($A529,Table1[#This Row],COLUMN(M528), FALSE)</f>
        <v>Medium</v>
      </c>
      <c r="N529">
        <f>VLOOKUP($A529,Table1[#This Row],COLUMN(N528), FALSE)</f>
        <v>0</v>
      </c>
      <c r="O529" t="str">
        <f>VLOOKUP($A529,Table1[#This Row],COLUMN(O528), FALSE)</f>
        <v>Denise Monton</v>
      </c>
      <c r="P529" t="str">
        <f>VLOOKUP($A529,Table1[#This Row],COLUMN(P528), FALSE)</f>
        <v>IN</v>
      </c>
      <c r="Q529" t="str">
        <f>VLOOKUP($A529,Table1[#This Row],COLUMN(Q528), FALSE)</f>
        <v>2015</v>
      </c>
      <c r="R529" t="str">
        <f>VLOOKUP($A529,Table1[#This Row],COLUMN(R528), FALSE)</f>
        <v>MEDIUM</v>
      </c>
      <c r="S529" t="str">
        <f>VLOOKUP($A529,Table1[#This Row],COLUMN(S528), FALSE)</f>
        <v>technology</v>
      </c>
      <c r="T529" t="str">
        <f>VLOOKUP($A529,Table1[#This Row],COLUMN(T528), FALSE)</f>
        <v>42182</v>
      </c>
      <c r="U529" t="str">
        <f>VLOOKUP($A529,Table1[#This Row],COLUMN(U528), FALSE)</f>
        <v>DM1334558</v>
      </c>
      <c r="V529" t="str">
        <f>VLOOKUP($A529,Table1[#This Row],COLUMN(V528), FALSE)</f>
        <v>IN</v>
      </c>
      <c r="W529">
        <f>VLOOKUP($A529,Table1[#This Row],COLUMN(W528), FALSE)</f>
        <v>2015</v>
      </c>
      <c r="X529" t="str">
        <f>VLOOKUP($A529,Table1[#This Row],COLUMN(X528), FALSE)</f>
        <v>DM1334558</v>
      </c>
      <c r="Y529">
        <f>VLOOKUP($A529,Table1[#This Row],COLUMN(Y528), FALSE)</f>
        <v>42182</v>
      </c>
      <c r="Z529" t="str">
        <f>VLOOKUP($A529,Table1[#This Row],COLUMN(Z528), FALSE)</f>
        <v>IN-2015-DM1334558-42182</v>
      </c>
      <c r="AA529">
        <f>VLOOKUP($A529,Table1[#This Row],COLUMN(AA528), FALSE)</f>
        <v>2015</v>
      </c>
      <c r="AB529">
        <f>VLOOKUP($A529,Table1[#This Row],COLUMN(AB528), FALSE)</f>
        <v>6</v>
      </c>
      <c r="AC529">
        <f>VLOOKUP($A529,Table1[#This Row],COLUMN(AC528), FALSE)</f>
        <v>7</v>
      </c>
      <c r="AD529">
        <f>VLOOKUP($A529,Table1[#This Row],COLUMN(AD528), FALSE)</f>
        <v>5</v>
      </c>
    </row>
    <row r="530" spans="1:30" ht="15.75">
      <c r="A530" s="53" t="s">
        <v>1447</v>
      </c>
      <c r="B530" s="52">
        <f>VLOOKUP($A530,Table1[#This Row],COLUMN(B529), FALSE)</f>
        <v>42251</v>
      </c>
      <c r="C530" s="52">
        <f>VLOOKUP($A530,Table1[#This Row],COLUMN(C529), FALSE)</f>
        <v>42255</v>
      </c>
      <c r="D530" t="str">
        <f>VLOOKUP($A530,Table1[#This Row],COLUMN(D529), FALSE)</f>
        <v xml:space="preserve"> Barry Gonzalez </v>
      </c>
      <c r="E530" t="str">
        <f>VLOOKUP($A530,Table1[#This Row],COLUMN(E529), FALSE)</f>
        <v>Italy</v>
      </c>
      <c r="F530" t="str">
        <f>VLOOKUP($A530,Table1[#This Row],COLUMN(F529), FALSE)</f>
        <v>Southern Europe</v>
      </c>
      <c r="G530" t="str">
        <f>VLOOKUP($A530,Table1[#This Row],COLUMN(G529), FALSE)</f>
        <v>Furniture</v>
      </c>
      <c r="H530" t="str">
        <f>VLOOKUP($A530,Table1[#This Row],COLUMN(H529), FALSE)</f>
        <v>Appliances</v>
      </c>
      <c r="I530">
        <f>VLOOKUP($A530,Table1[#This Row],COLUMN(I529), FALSE)</f>
        <v>2927.2799999999902</v>
      </c>
      <c r="J530">
        <f>VLOOKUP($A530,Table1[#This Row],COLUMN(J529), FALSE)</f>
        <v>8</v>
      </c>
      <c r="K530">
        <f>VLOOKUP($A530,Table1[#This Row],COLUMN(K529), FALSE)</f>
        <v>0</v>
      </c>
      <c r="L530">
        <f>VLOOKUP($A530,Table1[#This Row],COLUMN(L529), FALSE)</f>
        <v>146.16</v>
      </c>
      <c r="M530" t="str">
        <f>VLOOKUP($A530,Table1[#This Row],COLUMN(M529), FALSE)</f>
        <v>Medium</v>
      </c>
      <c r="N530">
        <f>VLOOKUP($A530,Table1[#This Row],COLUMN(N529), FALSE)</f>
        <v>0</v>
      </c>
      <c r="O530" t="str">
        <f>VLOOKUP($A530,Table1[#This Row],COLUMN(O529), FALSE)</f>
        <v xml:space="preserve"> Barry Gonzalez </v>
      </c>
      <c r="P530" t="str">
        <f>VLOOKUP($A530,Table1[#This Row],COLUMN(P529), FALSE)</f>
        <v>ES</v>
      </c>
      <c r="Q530" t="str">
        <f>VLOOKUP($A530,Table1[#This Row],COLUMN(Q529), FALSE)</f>
        <v>2015</v>
      </c>
      <c r="R530" t="str">
        <f>VLOOKUP($A530,Table1[#This Row],COLUMN(R529), FALSE)</f>
        <v>MEDIUM</v>
      </c>
      <c r="S530" t="str">
        <f>VLOOKUP($A530,Table1[#This Row],COLUMN(S529), FALSE)</f>
        <v>furniture</v>
      </c>
      <c r="T530" t="str">
        <f>VLOOKUP($A530,Table1[#This Row],COLUMN(T529), FALSE)</f>
        <v>42251</v>
      </c>
      <c r="U530" t="str">
        <f>VLOOKUP($A530,Table1[#This Row],COLUMN(U529), FALSE)</f>
        <v>BG1103564</v>
      </c>
      <c r="V530" t="str">
        <f>VLOOKUP($A530,Table1[#This Row],COLUMN(V529), FALSE)</f>
        <v>ES</v>
      </c>
      <c r="W530">
        <f>VLOOKUP($A530,Table1[#This Row],COLUMN(W529), FALSE)</f>
        <v>2015</v>
      </c>
      <c r="X530" t="str">
        <f>VLOOKUP($A530,Table1[#This Row],COLUMN(X529), FALSE)</f>
        <v>BG1103564</v>
      </c>
      <c r="Y530">
        <f>VLOOKUP($A530,Table1[#This Row],COLUMN(Y529), FALSE)</f>
        <v>42251</v>
      </c>
      <c r="Z530" t="str">
        <f>VLOOKUP($A530,Table1[#This Row],COLUMN(Z529), FALSE)</f>
        <v>ES-2015-BG1103564-42251</v>
      </c>
      <c r="AA530">
        <f>VLOOKUP($A530,Table1[#This Row],COLUMN(AA529), FALSE)</f>
        <v>2015</v>
      </c>
      <c r="AB530">
        <f>VLOOKUP($A530,Table1[#This Row],COLUMN(AB529), FALSE)</f>
        <v>9</v>
      </c>
      <c r="AC530">
        <f>VLOOKUP($A530,Table1[#This Row],COLUMN(AC529), FALSE)</f>
        <v>6</v>
      </c>
      <c r="AD530">
        <f>VLOOKUP($A530,Table1[#This Row],COLUMN(AD529), FALSE)</f>
        <v>4</v>
      </c>
    </row>
    <row r="531" spans="1:30" ht="15.75">
      <c r="A531" s="54" t="s">
        <v>1449</v>
      </c>
      <c r="B531" s="52">
        <f>VLOOKUP($A531,Table1[#This Row],COLUMN(B530), FALSE)</f>
        <v>41439</v>
      </c>
      <c r="C531" s="52" t="str">
        <f>VLOOKUP($A531,Table1[#This Row],COLUMN(C530), FALSE)</f>
        <v>06/18/2013</v>
      </c>
      <c r="D531" t="str">
        <f>VLOOKUP($A531,Table1[#This Row],COLUMN(D530), FALSE)</f>
        <v>Alan Dominguez</v>
      </c>
      <c r="E531" t="str">
        <f>VLOOKUP($A531,Table1[#This Row],COLUMN(E530), FALSE)</f>
        <v>United States</v>
      </c>
      <c r="F531" t="str">
        <f>VLOOKUP($A531,Table1[#This Row],COLUMN(F530), FALSE)</f>
        <v>Eastern US</v>
      </c>
      <c r="G531" t="str">
        <f>VLOOKUP($A531,Table1[#This Row],COLUMN(G530), FALSE)</f>
        <v>Furniture</v>
      </c>
      <c r="H531" t="str">
        <f>VLOOKUP($A531,Table1[#This Row],COLUMN(H530), FALSE)</f>
        <v>Storage</v>
      </c>
      <c r="I531">
        <f>VLOOKUP($A531,Table1[#This Row],COLUMN(I530), FALSE)</f>
        <v>51.072000000000003</v>
      </c>
      <c r="J531">
        <f>VLOOKUP($A531,Table1[#This Row],COLUMN(J530), FALSE)</f>
        <v>6</v>
      </c>
      <c r="K531">
        <f>VLOOKUP($A531,Table1[#This Row],COLUMN(K530), FALSE)</f>
        <v>0.2</v>
      </c>
      <c r="L531">
        <f>VLOOKUP($A531,Table1[#This Row],COLUMN(L530), FALSE)</f>
        <v>5.1071999999999997</v>
      </c>
      <c r="M531" t="str">
        <f>VLOOKUP($A531,Table1[#This Row],COLUMN(M530), FALSE)</f>
        <v>High</v>
      </c>
      <c r="N531">
        <f>VLOOKUP($A531,Table1[#This Row],COLUMN(N530), FALSE)</f>
        <v>0</v>
      </c>
      <c r="O531" t="str">
        <f>VLOOKUP($A531,Table1[#This Row],COLUMN(O530), FALSE)</f>
        <v>Alan Dominguez</v>
      </c>
      <c r="P531" t="str">
        <f>VLOOKUP($A531,Table1[#This Row],COLUMN(P530), FALSE)</f>
        <v>CA</v>
      </c>
      <c r="Q531" t="str">
        <f>VLOOKUP($A531,Table1[#This Row],COLUMN(Q530), FALSE)</f>
        <v>2013</v>
      </c>
      <c r="R531" t="str">
        <f>VLOOKUP($A531,Table1[#This Row],COLUMN(R530), FALSE)</f>
        <v>HIGH</v>
      </c>
      <c r="S531" t="str">
        <f>VLOOKUP($A531,Table1[#This Row],COLUMN(S530), FALSE)</f>
        <v>furniture</v>
      </c>
      <c r="T531" t="str">
        <f>VLOOKUP($A531,Table1[#This Row],COLUMN(T530), FALSE)</f>
        <v>41439</v>
      </c>
      <c r="U531" t="str">
        <f>VLOOKUP($A531,Table1[#This Row],COLUMN(U530), FALSE)</f>
        <v>AD10180140</v>
      </c>
      <c r="V531" t="str">
        <f>VLOOKUP($A531,Table1[#This Row],COLUMN(V530), FALSE)</f>
        <v>CA</v>
      </c>
      <c r="W531">
        <f>VLOOKUP($A531,Table1[#This Row],COLUMN(W530), FALSE)</f>
        <v>2013</v>
      </c>
      <c r="X531" t="str">
        <f>VLOOKUP($A531,Table1[#This Row],COLUMN(X530), FALSE)</f>
        <v>AD10180140</v>
      </c>
      <c r="Y531">
        <f>VLOOKUP($A531,Table1[#This Row],COLUMN(Y530), FALSE)</f>
        <v>41439</v>
      </c>
      <c r="Z531" t="str">
        <f>VLOOKUP($A531,Table1[#This Row],COLUMN(Z530), FALSE)</f>
        <v>CA-2013-AD10180140-41439</v>
      </c>
      <c r="AA531">
        <f>VLOOKUP($A531,Table1[#This Row],COLUMN(AA530), FALSE)</f>
        <v>2013</v>
      </c>
      <c r="AB531">
        <f>VLOOKUP($A531,Table1[#This Row],COLUMN(AB530), FALSE)</f>
        <v>6</v>
      </c>
      <c r="AC531">
        <f>VLOOKUP($A531,Table1[#This Row],COLUMN(AC530), FALSE)</f>
        <v>6</v>
      </c>
      <c r="AD531">
        <f>VLOOKUP($A531,Table1[#This Row],COLUMN(AD530), FALSE)</f>
        <v>4</v>
      </c>
    </row>
    <row r="532" spans="1:30" ht="15.75">
      <c r="A532" s="53" t="s">
        <v>1452</v>
      </c>
      <c r="B532" s="52">
        <f>VLOOKUP($A532,Table1[#This Row],COLUMN(B531), FALSE)</f>
        <v>42022</v>
      </c>
      <c r="C532" s="52">
        <f>VLOOKUP($A532,Table1[#This Row],COLUMN(C531), FALSE)</f>
        <v>42026</v>
      </c>
      <c r="D532" t="str">
        <f>VLOOKUP($A532,Table1[#This Row],COLUMN(D531), FALSE)</f>
        <v>Michael Granlund</v>
      </c>
      <c r="E532" t="str">
        <f>VLOOKUP($A532,Table1[#This Row],COLUMN(E531), FALSE)</f>
        <v>Pakistan</v>
      </c>
      <c r="F532" t="str">
        <f>VLOOKUP($A532,Table1[#This Row],COLUMN(F531), FALSE)</f>
        <v>Southern Asia</v>
      </c>
      <c r="G532" t="str">
        <f>VLOOKUP($A532,Table1[#This Row],COLUMN(G531), FALSE)</f>
        <v>Office Supplies</v>
      </c>
      <c r="H532" t="str">
        <f>VLOOKUP($A532,Table1[#This Row],COLUMN(H531), FALSE)</f>
        <v>Copiers</v>
      </c>
      <c r="I532">
        <f>VLOOKUP($A532,Table1[#This Row],COLUMN(I531), FALSE)</f>
        <v>2117.2199999999998</v>
      </c>
      <c r="J532">
        <f>VLOOKUP($A532,Table1[#This Row],COLUMN(J531), FALSE)</f>
        <v>14</v>
      </c>
      <c r="K532">
        <f>VLOOKUP($A532,Table1[#This Row],COLUMN(K531), FALSE)</f>
        <v>0.5</v>
      </c>
      <c r="L532">
        <f>VLOOKUP($A532,Table1[#This Row],COLUMN(L531), FALSE)</f>
        <v>-1736.27999999999</v>
      </c>
      <c r="M532" t="str">
        <f>VLOOKUP($A532,Table1[#This Row],COLUMN(M531), FALSE)</f>
        <v>High</v>
      </c>
      <c r="N532">
        <f>VLOOKUP($A532,Table1[#This Row],COLUMN(N531), FALSE)</f>
        <v>0</v>
      </c>
      <c r="O532" t="str">
        <f>VLOOKUP($A532,Table1[#This Row],COLUMN(O531), FALSE)</f>
        <v>Michael Granlund</v>
      </c>
      <c r="P532" t="str">
        <f>VLOOKUP($A532,Table1[#This Row],COLUMN(P531), FALSE)</f>
        <v>IN</v>
      </c>
      <c r="Q532" t="str">
        <f>VLOOKUP($A532,Table1[#This Row],COLUMN(Q531), FALSE)</f>
        <v>2015</v>
      </c>
      <c r="R532" t="str">
        <f>VLOOKUP($A532,Table1[#This Row],COLUMN(R531), FALSE)</f>
        <v>HIGH</v>
      </c>
      <c r="S532" t="str">
        <f>VLOOKUP($A532,Table1[#This Row],COLUMN(S531), FALSE)</f>
        <v>office supplies</v>
      </c>
      <c r="T532" t="str">
        <f>VLOOKUP($A532,Table1[#This Row],COLUMN(T531), FALSE)</f>
        <v>42022</v>
      </c>
      <c r="U532" t="str">
        <f>VLOOKUP($A532,Table1[#This Row],COLUMN(U531), FALSE)</f>
        <v>MG1789097</v>
      </c>
      <c r="V532" t="str">
        <f>VLOOKUP($A532,Table1[#This Row],COLUMN(V531), FALSE)</f>
        <v>IN</v>
      </c>
      <c r="W532">
        <f>VLOOKUP($A532,Table1[#This Row],COLUMN(W531), FALSE)</f>
        <v>2015</v>
      </c>
      <c r="X532" t="str">
        <f>VLOOKUP($A532,Table1[#This Row],COLUMN(X531), FALSE)</f>
        <v>MG1789097</v>
      </c>
      <c r="Y532">
        <f>VLOOKUP($A532,Table1[#This Row],COLUMN(Y531), FALSE)</f>
        <v>42022</v>
      </c>
      <c r="Z532" t="str">
        <f>VLOOKUP($A532,Table1[#This Row],COLUMN(Z531), FALSE)</f>
        <v>IN-2015-MG1789097-42022</v>
      </c>
      <c r="AA532">
        <f>VLOOKUP($A532,Table1[#This Row],COLUMN(AA531), FALSE)</f>
        <v>2015</v>
      </c>
      <c r="AB532">
        <f>VLOOKUP($A532,Table1[#This Row],COLUMN(AB531), FALSE)</f>
        <v>1</v>
      </c>
      <c r="AC532">
        <f>VLOOKUP($A532,Table1[#This Row],COLUMN(AC531), FALSE)</f>
        <v>1</v>
      </c>
      <c r="AD532">
        <f>VLOOKUP($A532,Table1[#This Row],COLUMN(AD531), FALSE)</f>
        <v>4</v>
      </c>
    </row>
    <row r="533" spans="1:30" ht="15.75">
      <c r="A533" s="54" t="s">
        <v>1454</v>
      </c>
      <c r="B533" s="52">
        <f>VLOOKUP($A533,Table1[#This Row],COLUMN(B532), FALSE)</f>
        <v>42181</v>
      </c>
      <c r="C533" s="52">
        <f>VLOOKUP($A533,Table1[#This Row],COLUMN(C532), FALSE)</f>
        <v>42186</v>
      </c>
      <c r="D533" t="str">
        <f>VLOOKUP($A533,Table1[#This Row],COLUMN(D532), FALSE)</f>
        <v>Magdelene Morse</v>
      </c>
      <c r="E533" t="str">
        <f>VLOOKUP($A533,Table1[#This Row],COLUMN(E532), FALSE)</f>
        <v>Malaysia</v>
      </c>
      <c r="F533" t="str">
        <f>VLOOKUP($A533,Table1[#This Row],COLUMN(F532), FALSE)</f>
        <v>Southeastern Asia</v>
      </c>
      <c r="G533" t="str">
        <f>VLOOKUP($A533,Table1[#This Row],COLUMN(G532), FALSE)</f>
        <v>Furniture</v>
      </c>
      <c r="H533" t="str">
        <f>VLOOKUP($A533,Table1[#This Row],COLUMN(H532), FALSE)</f>
        <v>Appliances</v>
      </c>
      <c r="I533">
        <f>VLOOKUP($A533,Table1[#This Row],COLUMN(I532), FALSE)</f>
        <v>2747.7</v>
      </c>
      <c r="J533">
        <f>VLOOKUP($A533,Table1[#This Row],COLUMN(J532), FALSE)</f>
        <v>6</v>
      </c>
      <c r="K533">
        <f>VLOOKUP($A533,Table1[#This Row],COLUMN(K532), FALSE)</f>
        <v>0</v>
      </c>
      <c r="L533">
        <f>VLOOKUP($A533,Table1[#This Row],COLUMN(L532), FALSE)</f>
        <v>82.26</v>
      </c>
      <c r="M533" t="str">
        <f>VLOOKUP($A533,Table1[#This Row],COLUMN(M532), FALSE)</f>
        <v>Medium</v>
      </c>
      <c r="N533">
        <f>VLOOKUP($A533,Table1[#This Row],COLUMN(N532), FALSE)</f>
        <v>0</v>
      </c>
      <c r="O533" t="str">
        <f>VLOOKUP($A533,Table1[#This Row],COLUMN(O532), FALSE)</f>
        <v>Magdelene Morse</v>
      </c>
      <c r="P533" t="str">
        <f>VLOOKUP($A533,Table1[#This Row],COLUMN(P532), FALSE)</f>
        <v>ID</v>
      </c>
      <c r="Q533" t="str">
        <f>VLOOKUP($A533,Table1[#This Row],COLUMN(Q532), FALSE)</f>
        <v>2015</v>
      </c>
      <c r="R533" t="str">
        <f>VLOOKUP($A533,Table1[#This Row],COLUMN(R532), FALSE)</f>
        <v>MEDIUM</v>
      </c>
      <c r="S533" t="str">
        <f>VLOOKUP($A533,Table1[#This Row],COLUMN(S532), FALSE)</f>
        <v>furniture</v>
      </c>
      <c r="T533" t="str">
        <f>VLOOKUP($A533,Table1[#This Row],COLUMN(T532), FALSE)</f>
        <v>42181</v>
      </c>
      <c r="U533" t="str">
        <f>VLOOKUP($A533,Table1[#This Row],COLUMN(U532), FALSE)</f>
        <v>MM1726078</v>
      </c>
      <c r="V533" t="str">
        <f>VLOOKUP($A533,Table1[#This Row],COLUMN(V532), FALSE)</f>
        <v>ID</v>
      </c>
      <c r="W533">
        <f>VLOOKUP($A533,Table1[#This Row],COLUMN(W532), FALSE)</f>
        <v>2015</v>
      </c>
      <c r="X533" t="str">
        <f>VLOOKUP($A533,Table1[#This Row],COLUMN(X532), FALSE)</f>
        <v>MM1726078</v>
      </c>
      <c r="Y533">
        <f>VLOOKUP($A533,Table1[#This Row],COLUMN(Y532), FALSE)</f>
        <v>42181</v>
      </c>
      <c r="Z533" t="str">
        <f>VLOOKUP($A533,Table1[#This Row],COLUMN(Z532), FALSE)</f>
        <v>ID-2015-MM1726078-42181</v>
      </c>
      <c r="AA533">
        <f>VLOOKUP($A533,Table1[#This Row],COLUMN(AA532), FALSE)</f>
        <v>2015</v>
      </c>
      <c r="AB533">
        <f>VLOOKUP($A533,Table1[#This Row],COLUMN(AB532), FALSE)</f>
        <v>6</v>
      </c>
      <c r="AC533">
        <f>VLOOKUP($A533,Table1[#This Row],COLUMN(AC532), FALSE)</f>
        <v>6</v>
      </c>
      <c r="AD533">
        <f>VLOOKUP($A533,Table1[#This Row],COLUMN(AD532), FALSE)</f>
        <v>5</v>
      </c>
    </row>
    <row r="534" spans="1:30" ht="15.75">
      <c r="A534" s="53" t="s">
        <v>1456</v>
      </c>
      <c r="B534" s="52">
        <f>VLOOKUP($A534,Table1[#This Row],COLUMN(B533), FALSE)</f>
        <v>41462</v>
      </c>
      <c r="C534" s="52">
        <f>VLOOKUP($A534,Table1[#This Row],COLUMN(C533), FALSE)</f>
        <v>41467</v>
      </c>
      <c r="D534" t="str">
        <f>VLOOKUP($A534,Table1[#This Row],COLUMN(D533), FALSE)</f>
        <v>Christopher Conant</v>
      </c>
      <c r="E534" t="str">
        <f>VLOOKUP($A534,Table1[#This Row],COLUMN(E533), FALSE)</f>
        <v xml:space="preserve"> Bangladesh </v>
      </c>
      <c r="F534" t="str">
        <f>VLOOKUP($A534,Table1[#This Row],COLUMN(F533), FALSE)</f>
        <v>SOUTHERN ASIA</v>
      </c>
      <c r="G534" t="str">
        <f>VLOOKUP($A534,Table1[#This Row],COLUMN(G533), FALSE)</f>
        <v>Technology</v>
      </c>
      <c r="H534" t="str">
        <f>VLOOKUP($A534,Table1[#This Row],COLUMN(H533), FALSE)</f>
        <v>Chairs</v>
      </c>
      <c r="I534">
        <f>VLOOKUP($A534,Table1[#This Row],COLUMN(I533), FALSE)</f>
        <v>1591.56</v>
      </c>
      <c r="J534">
        <f>VLOOKUP($A534,Table1[#This Row],COLUMN(J533), FALSE)</f>
        <v>12</v>
      </c>
      <c r="K534">
        <f>VLOOKUP($A534,Table1[#This Row],COLUMN(K533), FALSE)</f>
        <v>0</v>
      </c>
      <c r="L534">
        <f>VLOOKUP($A534,Table1[#This Row],COLUMN(L533), FALSE)</f>
        <v>79.56</v>
      </c>
      <c r="M534" t="str">
        <f>VLOOKUP($A534,Table1[#This Row],COLUMN(M533), FALSE)</f>
        <v>Medium</v>
      </c>
      <c r="N534">
        <f>VLOOKUP($A534,Table1[#This Row],COLUMN(N533), FALSE)</f>
        <v>0</v>
      </c>
      <c r="O534" t="str">
        <f>VLOOKUP($A534,Table1[#This Row],COLUMN(O533), FALSE)</f>
        <v>Christopher Conant</v>
      </c>
      <c r="P534" t="str">
        <f>VLOOKUP($A534,Table1[#This Row],COLUMN(P533), FALSE)</f>
        <v>IN</v>
      </c>
      <c r="Q534" t="str">
        <f>VLOOKUP($A534,Table1[#This Row],COLUMN(Q533), FALSE)</f>
        <v>2013</v>
      </c>
      <c r="R534" t="str">
        <f>VLOOKUP($A534,Table1[#This Row],COLUMN(R533), FALSE)</f>
        <v>MEDIUM</v>
      </c>
      <c r="S534" t="str">
        <f>VLOOKUP($A534,Table1[#This Row],COLUMN(S533), FALSE)</f>
        <v>technology</v>
      </c>
      <c r="T534" t="str">
        <f>VLOOKUP($A534,Table1[#This Row],COLUMN(T533), FALSE)</f>
        <v>41462</v>
      </c>
      <c r="U534" t="str">
        <f>VLOOKUP($A534,Table1[#This Row],COLUMN(U533), FALSE)</f>
        <v>CC1237011</v>
      </c>
      <c r="V534" t="str">
        <f>VLOOKUP($A534,Table1[#This Row],COLUMN(V533), FALSE)</f>
        <v>IN</v>
      </c>
      <c r="W534">
        <f>VLOOKUP($A534,Table1[#This Row],COLUMN(W533), FALSE)</f>
        <v>2013</v>
      </c>
      <c r="X534" t="str">
        <f>VLOOKUP($A534,Table1[#This Row],COLUMN(X533), FALSE)</f>
        <v>CC1237011</v>
      </c>
      <c r="Y534">
        <f>VLOOKUP($A534,Table1[#This Row],COLUMN(Y533), FALSE)</f>
        <v>41462</v>
      </c>
      <c r="Z534" t="str">
        <f>VLOOKUP($A534,Table1[#This Row],COLUMN(Z533), FALSE)</f>
        <v>IN-2013-CC1237011-41462</v>
      </c>
      <c r="AA534">
        <f>VLOOKUP($A534,Table1[#This Row],COLUMN(AA533), FALSE)</f>
        <v>2013</v>
      </c>
      <c r="AB534">
        <f>VLOOKUP($A534,Table1[#This Row],COLUMN(AB533), FALSE)</f>
        <v>7</v>
      </c>
      <c r="AC534">
        <f>VLOOKUP($A534,Table1[#This Row],COLUMN(AC533), FALSE)</f>
        <v>1</v>
      </c>
      <c r="AD534">
        <f>VLOOKUP($A534,Table1[#This Row],COLUMN(AD533), FALSE)</f>
        <v>5</v>
      </c>
    </row>
    <row r="535" spans="1:30" ht="15.75">
      <c r="A535" s="54" t="s">
        <v>1461</v>
      </c>
      <c r="B535" s="52">
        <f>VLOOKUP($A535,Table1[#This Row],COLUMN(B534), FALSE)</f>
        <v>41615</v>
      </c>
      <c r="C535" s="52">
        <f>VLOOKUP($A535,Table1[#This Row],COLUMN(C534), FALSE)</f>
        <v>41617</v>
      </c>
      <c r="D535" t="str">
        <f>VLOOKUP($A535,Table1[#This Row],COLUMN(D534), FALSE)</f>
        <v>Cassandra Brandow</v>
      </c>
      <c r="E535" t="str">
        <f>VLOOKUP($A535,Table1[#This Row],COLUMN(E534), FALSE)</f>
        <v>Indonesia</v>
      </c>
      <c r="F535" t="str">
        <f>VLOOKUP($A535,Table1[#This Row],COLUMN(F534), FALSE)</f>
        <v>Southeastern Asia</v>
      </c>
      <c r="G535" t="str">
        <f>VLOOKUP($A535,Table1[#This Row],COLUMN(G534), FALSE)</f>
        <v>Office Supplies</v>
      </c>
      <c r="H535" t="str">
        <f>VLOOKUP($A535,Table1[#This Row],COLUMN(H534), FALSE)</f>
        <v>Machines</v>
      </c>
      <c r="I535">
        <f>VLOOKUP($A535,Table1[#This Row],COLUMN(I534), FALSE)</f>
        <v>1053.8676</v>
      </c>
      <c r="J535">
        <f>VLOOKUP($A535,Table1[#This Row],COLUMN(J534), FALSE)</f>
        <v>6</v>
      </c>
      <c r="K535">
        <f>VLOOKUP($A535,Table1[#This Row],COLUMN(K534), FALSE)</f>
        <v>0.17</v>
      </c>
      <c r="L535">
        <f>VLOOKUP($A535,Table1[#This Row],COLUMN(L534), FALSE)</f>
        <v>-152.49239999999901</v>
      </c>
      <c r="M535" t="str">
        <f>VLOOKUP($A535,Table1[#This Row],COLUMN(M534), FALSE)</f>
        <v>High</v>
      </c>
      <c r="N535">
        <f>VLOOKUP($A535,Table1[#This Row],COLUMN(N534), FALSE)</f>
        <v>0</v>
      </c>
      <c r="O535" t="str">
        <f>VLOOKUP($A535,Table1[#This Row],COLUMN(O534), FALSE)</f>
        <v>Cassandra Brandow</v>
      </c>
      <c r="P535" t="str">
        <f>VLOOKUP($A535,Table1[#This Row],COLUMN(P534), FALSE)</f>
        <v>ID</v>
      </c>
      <c r="Q535" t="str">
        <f>VLOOKUP($A535,Table1[#This Row],COLUMN(Q534), FALSE)</f>
        <v>2013</v>
      </c>
      <c r="R535" t="str">
        <f>VLOOKUP($A535,Table1[#This Row],COLUMN(R534), FALSE)</f>
        <v>HIGH</v>
      </c>
      <c r="S535" t="str">
        <f>VLOOKUP($A535,Table1[#This Row],COLUMN(S534), FALSE)</f>
        <v>office supplies</v>
      </c>
      <c r="T535" t="str">
        <f>VLOOKUP($A535,Table1[#This Row],COLUMN(T534), FALSE)</f>
        <v>41615</v>
      </c>
      <c r="U535" t="str">
        <f>VLOOKUP($A535,Table1[#This Row],COLUMN(U534), FALSE)</f>
        <v>CB1202559</v>
      </c>
      <c r="V535" t="str">
        <f>VLOOKUP($A535,Table1[#This Row],COLUMN(V534), FALSE)</f>
        <v>ID</v>
      </c>
      <c r="W535">
        <f>VLOOKUP($A535,Table1[#This Row],COLUMN(W534), FALSE)</f>
        <v>2013</v>
      </c>
      <c r="X535" t="str">
        <f>VLOOKUP($A535,Table1[#This Row],COLUMN(X534), FALSE)</f>
        <v>CB1202559</v>
      </c>
      <c r="Y535">
        <f>VLOOKUP($A535,Table1[#This Row],COLUMN(Y534), FALSE)</f>
        <v>41615</v>
      </c>
      <c r="Z535" t="str">
        <f>VLOOKUP($A535,Table1[#This Row],COLUMN(Z534), FALSE)</f>
        <v>ID-2013-CB1202559-41615</v>
      </c>
      <c r="AA535">
        <f>VLOOKUP($A535,Table1[#This Row],COLUMN(AA534), FALSE)</f>
        <v>2013</v>
      </c>
      <c r="AB535">
        <f>VLOOKUP($A535,Table1[#This Row],COLUMN(AB534), FALSE)</f>
        <v>12</v>
      </c>
      <c r="AC535">
        <f>VLOOKUP($A535,Table1[#This Row],COLUMN(AC534), FALSE)</f>
        <v>7</v>
      </c>
      <c r="AD535">
        <f>VLOOKUP($A535,Table1[#This Row],COLUMN(AD534), FALSE)</f>
        <v>2</v>
      </c>
    </row>
    <row r="536" spans="1:30" ht="15.75">
      <c r="A536" s="53" t="s">
        <v>1465</v>
      </c>
      <c r="B536" s="52">
        <f>VLOOKUP($A536,Table1[#This Row],COLUMN(B535), FALSE)</f>
        <v>41962</v>
      </c>
      <c r="C536" s="52">
        <f>VLOOKUP($A536,Table1[#This Row],COLUMN(C535), FALSE)</f>
        <v>41968</v>
      </c>
      <c r="D536" t="str">
        <f>VLOOKUP($A536,Table1[#This Row],COLUMN(D535), FALSE)</f>
        <v>Shirley Jackson</v>
      </c>
      <c r="E536" t="str">
        <f>VLOOKUP($A536,Table1[#This Row],COLUMN(E535), FALSE)</f>
        <v>Guatemala</v>
      </c>
      <c r="F536" t="str">
        <f>VLOOKUP($A536,Table1[#This Row],COLUMN(F535), FALSE)</f>
        <v>Central America</v>
      </c>
      <c r="G536" t="str">
        <f>VLOOKUP($A536,Table1[#This Row],COLUMN(G535), FALSE)</f>
        <v>Furniture</v>
      </c>
      <c r="H536" t="str">
        <f>VLOOKUP($A536,Table1[#This Row],COLUMN(H535), FALSE)</f>
        <v>Binders</v>
      </c>
      <c r="I536">
        <f>VLOOKUP($A536,Table1[#This Row],COLUMN(I535), FALSE)</f>
        <v>2040.92</v>
      </c>
      <c r="J536">
        <f>VLOOKUP($A536,Table1[#This Row],COLUMN(J535), FALSE)</f>
        <v>7</v>
      </c>
      <c r="K536">
        <f>VLOOKUP($A536,Table1[#This Row],COLUMN(K535), FALSE)</f>
        <v>0</v>
      </c>
      <c r="L536">
        <f>VLOOKUP($A536,Table1[#This Row],COLUMN(L535), FALSE)</f>
        <v>959.14</v>
      </c>
      <c r="M536" t="str">
        <f>VLOOKUP($A536,Table1[#This Row],COLUMN(M535), FALSE)</f>
        <v>Low</v>
      </c>
      <c r="N536">
        <f>VLOOKUP($A536,Table1[#This Row],COLUMN(N535), FALSE)</f>
        <v>0</v>
      </c>
      <c r="O536" t="str">
        <f>VLOOKUP($A536,Table1[#This Row],COLUMN(O535), FALSE)</f>
        <v>Shirley Jackson</v>
      </c>
      <c r="P536" t="str">
        <f>VLOOKUP($A536,Table1[#This Row],COLUMN(P535), FALSE)</f>
        <v>MX</v>
      </c>
      <c r="Q536" t="str">
        <f>VLOOKUP($A536,Table1[#This Row],COLUMN(Q535), FALSE)</f>
        <v>2014</v>
      </c>
      <c r="R536" t="str">
        <f>VLOOKUP($A536,Table1[#This Row],COLUMN(R535), FALSE)</f>
        <v>LOW</v>
      </c>
      <c r="S536" t="str">
        <f>VLOOKUP($A536,Table1[#This Row],COLUMN(S535), FALSE)</f>
        <v>furniture</v>
      </c>
      <c r="T536" t="str">
        <f>VLOOKUP($A536,Table1[#This Row],COLUMN(T535), FALSE)</f>
        <v>41962</v>
      </c>
      <c r="U536" t="str">
        <f>VLOOKUP($A536,Table1[#This Row],COLUMN(U535), FALSE)</f>
        <v>SJ2050051</v>
      </c>
      <c r="V536" t="str">
        <f>VLOOKUP($A536,Table1[#This Row],COLUMN(V535), FALSE)</f>
        <v>MX</v>
      </c>
      <c r="W536">
        <f>VLOOKUP($A536,Table1[#This Row],COLUMN(W535), FALSE)</f>
        <v>2014</v>
      </c>
      <c r="X536" t="str">
        <f>VLOOKUP($A536,Table1[#This Row],COLUMN(X535), FALSE)</f>
        <v>SJ2050051</v>
      </c>
      <c r="Y536">
        <f>VLOOKUP($A536,Table1[#This Row],COLUMN(Y535), FALSE)</f>
        <v>41962</v>
      </c>
      <c r="Z536" t="str">
        <f>VLOOKUP($A536,Table1[#This Row],COLUMN(Z535), FALSE)</f>
        <v>MX-2014-SJ2050051-41962</v>
      </c>
      <c r="AA536">
        <f>VLOOKUP($A536,Table1[#This Row],COLUMN(AA535), FALSE)</f>
        <v>2014</v>
      </c>
      <c r="AB536">
        <f>VLOOKUP($A536,Table1[#This Row],COLUMN(AB535), FALSE)</f>
        <v>11</v>
      </c>
      <c r="AC536">
        <f>VLOOKUP($A536,Table1[#This Row],COLUMN(AC535), FALSE)</f>
        <v>4</v>
      </c>
      <c r="AD536">
        <f>VLOOKUP($A536,Table1[#This Row],COLUMN(AD535), FALSE)</f>
        <v>6</v>
      </c>
    </row>
    <row r="537" spans="1:30" ht="15.75">
      <c r="A537" s="54" t="s">
        <v>1466</v>
      </c>
      <c r="B537" s="52">
        <f>VLOOKUP($A537,Table1[#This Row],COLUMN(B536), FALSE)</f>
        <v>42249</v>
      </c>
      <c r="C537" s="52">
        <f>VLOOKUP($A537,Table1[#This Row],COLUMN(C536), FALSE)</f>
        <v>42251</v>
      </c>
      <c r="D537" t="str">
        <f>VLOOKUP($A537,Table1[#This Row],COLUMN(D536), FALSE)</f>
        <v>Michael Chen</v>
      </c>
      <c r="E537" t="str">
        <f>VLOOKUP($A537,Table1[#This Row],COLUMN(E536), FALSE)</f>
        <v>France</v>
      </c>
      <c r="F537" t="str">
        <f>VLOOKUP($A537,Table1[#This Row],COLUMN(F536), FALSE)</f>
        <v>Western Europe</v>
      </c>
      <c r="G537" t="str">
        <f>VLOOKUP($A537,Table1[#This Row],COLUMN(G536), FALSE)</f>
        <v>Office Suppiles</v>
      </c>
      <c r="H537" t="str">
        <f>VLOOKUP($A537,Table1[#This Row],COLUMN(H536), FALSE)</f>
        <v>Machines</v>
      </c>
      <c r="I537">
        <f>VLOOKUP($A537,Table1[#This Row],COLUMN(I536), FALSE)</f>
        <v>1068.7139999999999</v>
      </c>
      <c r="J537">
        <f>VLOOKUP($A537,Table1[#This Row],COLUMN(J536), FALSE)</f>
        <v>6</v>
      </c>
      <c r="K537">
        <f>VLOOKUP($A537,Table1[#This Row],COLUMN(K536), FALSE)</f>
        <v>0.1</v>
      </c>
      <c r="L537">
        <f>VLOOKUP($A537,Table1[#This Row],COLUMN(L536), FALSE)</f>
        <v>-0.126000000000004</v>
      </c>
      <c r="M537" t="str">
        <f>VLOOKUP($A537,Table1[#This Row],COLUMN(M536), FALSE)</f>
        <v>High</v>
      </c>
      <c r="N537">
        <f>VLOOKUP($A537,Table1[#This Row],COLUMN(N536), FALSE)</f>
        <v>0</v>
      </c>
      <c r="O537" t="str">
        <f>VLOOKUP($A537,Table1[#This Row],COLUMN(O536), FALSE)</f>
        <v>Michael Chen</v>
      </c>
      <c r="P537" t="str">
        <f>VLOOKUP($A537,Table1[#This Row],COLUMN(P536), FALSE)</f>
        <v>IT</v>
      </c>
      <c r="Q537" t="str">
        <f>VLOOKUP($A537,Table1[#This Row],COLUMN(Q536), FALSE)</f>
        <v>2015</v>
      </c>
      <c r="R537" t="str">
        <f>VLOOKUP($A537,Table1[#This Row],COLUMN(R536), FALSE)</f>
        <v>HIGH</v>
      </c>
      <c r="S537" t="str">
        <f>VLOOKUP($A537,Table1[#This Row],COLUMN(S536), FALSE)</f>
        <v>office suppiles</v>
      </c>
      <c r="T537" t="str">
        <f>VLOOKUP($A537,Table1[#This Row],COLUMN(T536), FALSE)</f>
        <v>42249</v>
      </c>
      <c r="U537" t="str">
        <f>VLOOKUP($A537,Table1[#This Row],COLUMN(U536), FALSE)</f>
        <v>MC1784545</v>
      </c>
      <c r="V537" t="str">
        <f>VLOOKUP($A537,Table1[#This Row],COLUMN(V536), FALSE)</f>
        <v>IT</v>
      </c>
      <c r="W537">
        <f>VLOOKUP($A537,Table1[#This Row],COLUMN(W536), FALSE)</f>
        <v>2015</v>
      </c>
      <c r="X537" t="str">
        <f>VLOOKUP($A537,Table1[#This Row],COLUMN(X536), FALSE)</f>
        <v>MC1784545</v>
      </c>
      <c r="Y537">
        <f>VLOOKUP($A537,Table1[#This Row],COLUMN(Y536), FALSE)</f>
        <v>42249</v>
      </c>
      <c r="Z537" t="str">
        <f>VLOOKUP($A537,Table1[#This Row],COLUMN(Z536), FALSE)</f>
        <v>IT-2015-MC1784545-42249</v>
      </c>
      <c r="AA537">
        <f>VLOOKUP($A537,Table1[#This Row],COLUMN(AA536), FALSE)</f>
        <v>2015</v>
      </c>
      <c r="AB537">
        <f>VLOOKUP($A537,Table1[#This Row],COLUMN(AB536), FALSE)</f>
        <v>9</v>
      </c>
      <c r="AC537">
        <f>VLOOKUP($A537,Table1[#This Row],COLUMN(AC536), FALSE)</f>
        <v>4</v>
      </c>
      <c r="AD537">
        <f>VLOOKUP($A537,Table1[#This Row],COLUMN(AD536), FALSE)</f>
        <v>2</v>
      </c>
    </row>
    <row r="538" spans="1:30" ht="15.75">
      <c r="A538" s="53" t="s">
        <v>1475</v>
      </c>
      <c r="B538" s="52">
        <f>VLOOKUP($A538,Table1[#This Row],COLUMN(B537), FALSE)</f>
        <v>41800</v>
      </c>
      <c r="C538" s="52">
        <f>VLOOKUP($A538,Table1[#This Row],COLUMN(C537), FALSE)</f>
        <v>41805</v>
      </c>
      <c r="D538" t="str">
        <f>VLOOKUP($A538,Table1[#This Row],COLUMN(D537), FALSE)</f>
        <v>Vivek Gonzalez</v>
      </c>
      <c r="E538" t="str">
        <f>VLOOKUP($A538,Table1[#This Row],COLUMN(E537), FALSE)</f>
        <v>Argentina</v>
      </c>
      <c r="F538" t="str">
        <f>VLOOKUP($A538,Table1[#This Row],COLUMN(F537), FALSE)</f>
        <v>South America</v>
      </c>
      <c r="G538" t="str">
        <f>VLOOKUP($A538,Table1[#This Row],COLUMN(G537), FALSE)</f>
        <v>Furniture</v>
      </c>
      <c r="H538" t="str">
        <f>VLOOKUP($A538,Table1[#This Row],COLUMN(H537), FALSE)</f>
        <v>Machines</v>
      </c>
      <c r="I538">
        <f>VLOOKUP($A538,Table1[#This Row],COLUMN(I537), FALSE)</f>
        <v>1682.74799999999</v>
      </c>
      <c r="J538">
        <f>VLOOKUP($A538,Table1[#This Row],COLUMN(J537), FALSE)</f>
        <v>9</v>
      </c>
      <c r="K538">
        <f>VLOOKUP($A538,Table1[#This Row],COLUMN(K537), FALSE)</f>
        <v>0.4</v>
      </c>
      <c r="L538">
        <f>VLOOKUP($A538,Table1[#This Row],COLUMN(L537), FALSE)</f>
        <v>-813.49199999999905</v>
      </c>
      <c r="M538" t="str">
        <f>VLOOKUP($A538,Table1[#This Row],COLUMN(M537), FALSE)</f>
        <v>High</v>
      </c>
      <c r="N538">
        <f>VLOOKUP($A538,Table1[#This Row],COLUMN(N537), FALSE)</f>
        <v>0</v>
      </c>
      <c r="O538" t="str">
        <f>VLOOKUP($A538,Table1[#This Row],COLUMN(O537), FALSE)</f>
        <v>Vivek Gonzalez</v>
      </c>
      <c r="P538" t="str">
        <f>VLOOKUP($A538,Table1[#This Row],COLUMN(P537), FALSE)</f>
        <v>US</v>
      </c>
      <c r="Q538" t="str">
        <f>VLOOKUP($A538,Table1[#This Row],COLUMN(Q537), FALSE)</f>
        <v>2014</v>
      </c>
      <c r="R538" t="str">
        <f>VLOOKUP($A538,Table1[#This Row],COLUMN(R537), FALSE)</f>
        <v>HIGH</v>
      </c>
      <c r="S538" t="str">
        <f>VLOOKUP($A538,Table1[#This Row],COLUMN(S537), FALSE)</f>
        <v>furniture</v>
      </c>
      <c r="T538" t="str">
        <f>VLOOKUP($A538,Table1[#This Row],COLUMN(T537), FALSE)</f>
        <v>1800#</v>
      </c>
      <c r="U538" t="str">
        <f>VLOOKUP($A538,Table1[#This Row],COLUMN(U537), FALSE)</f>
        <v>VG217905</v>
      </c>
      <c r="V538" t="str">
        <f>VLOOKUP($A538,Table1[#This Row],COLUMN(V537), FALSE)</f>
        <v>US</v>
      </c>
      <c r="W538">
        <f>VLOOKUP($A538,Table1[#This Row],COLUMN(W537), FALSE)</f>
        <v>2014</v>
      </c>
      <c r="X538" t="str">
        <f>VLOOKUP($A538,Table1[#This Row],COLUMN(X537), FALSE)</f>
        <v>VG217905</v>
      </c>
      <c r="Y538" t="str">
        <f>VLOOKUP($A538,Table1[#This Row],COLUMN(Y537), FALSE)</f>
        <v>41800#</v>
      </c>
      <c r="Z538" t="str">
        <f>VLOOKUP($A538,Table1[#This Row],COLUMN(Z537), FALSE)</f>
        <v>US-2014-VG217905-41800#</v>
      </c>
      <c r="AA538">
        <f>VLOOKUP($A538,Table1[#This Row],COLUMN(AA537), FALSE)</f>
        <v>2014</v>
      </c>
      <c r="AB538">
        <f>VLOOKUP($A538,Table1[#This Row],COLUMN(AB537), FALSE)</f>
        <v>6</v>
      </c>
      <c r="AC538">
        <f>VLOOKUP($A538,Table1[#This Row],COLUMN(AC537), FALSE)</f>
        <v>3</v>
      </c>
      <c r="AD538">
        <f>VLOOKUP($A538,Table1[#This Row],COLUMN(AD537), FALSE)</f>
        <v>5</v>
      </c>
    </row>
    <row r="539" spans="1:30" ht="15.75">
      <c r="A539" s="54" t="s">
        <v>1485</v>
      </c>
      <c r="B539" s="52">
        <f>VLOOKUP($A539,Table1[#This Row],COLUMN(B538), FALSE)</f>
        <v>41999</v>
      </c>
      <c r="C539" s="52">
        <f>VLOOKUP($A539,Table1[#This Row],COLUMN(C538), FALSE)</f>
        <v>42005</v>
      </c>
      <c r="D539" t="str">
        <f>VLOOKUP($A539,Table1[#This Row],COLUMN(D538), FALSE)</f>
        <v>Shahid Shariari</v>
      </c>
      <c r="E539" t="str">
        <f>VLOOKUP($A539,Table1[#This Row],COLUMN(E538), FALSE)</f>
        <v>France</v>
      </c>
      <c r="F539" t="str">
        <f>VLOOKUP($A539,Table1[#This Row],COLUMN(F538), FALSE)</f>
        <v>Western Europe</v>
      </c>
      <c r="G539" t="str">
        <f>VLOOKUP($A539,Table1[#This Row],COLUMN(G538), FALSE)</f>
        <v>Technology</v>
      </c>
      <c r="H539" t="str">
        <f>VLOOKUP($A539,Table1[#This Row],COLUMN(H538), FALSE)</f>
        <v>Bookcases</v>
      </c>
      <c r="I539">
        <f>VLOOKUP($A539,Table1[#This Row],COLUMN(I538), FALSE)</f>
        <v>2764.3274999999999</v>
      </c>
      <c r="J539">
        <f>VLOOKUP($A539,Table1[#This Row],COLUMN(J538), FALSE)</f>
        <v>11</v>
      </c>
      <c r="K539">
        <f>VLOOKUP($A539,Table1[#This Row],COLUMN(K538), FALSE)</f>
        <v>0.15</v>
      </c>
      <c r="L539">
        <f>VLOOKUP($A539,Table1[#This Row],COLUMN(L538), FALSE)</f>
        <v>-195.4425</v>
      </c>
      <c r="M539" t="str">
        <f>VLOOKUP($A539,Table1[#This Row],COLUMN(M538), FALSE)</f>
        <v>Medium</v>
      </c>
      <c r="N539">
        <f>VLOOKUP($A539,Table1[#This Row],COLUMN(N538), FALSE)</f>
        <v>0</v>
      </c>
      <c r="O539" t="str">
        <f>VLOOKUP($A539,Table1[#This Row],COLUMN(O538), FALSE)</f>
        <v>Shahid Shariari</v>
      </c>
      <c r="P539" t="str">
        <f>VLOOKUP($A539,Table1[#This Row],COLUMN(P538), FALSE)</f>
        <v>ES</v>
      </c>
      <c r="Q539" t="str">
        <f>VLOOKUP($A539,Table1[#This Row],COLUMN(Q538), FALSE)</f>
        <v>2014</v>
      </c>
      <c r="R539" t="str">
        <f>VLOOKUP($A539,Table1[#This Row],COLUMN(R538), FALSE)</f>
        <v>MEDIUM</v>
      </c>
      <c r="S539" t="str">
        <f>VLOOKUP($A539,Table1[#This Row],COLUMN(S538), FALSE)</f>
        <v>technology</v>
      </c>
      <c r="T539" t="str">
        <f>VLOOKUP($A539,Table1[#This Row],COLUMN(T538), FALSE)</f>
        <v>41999</v>
      </c>
      <c r="U539" t="str">
        <f>VLOOKUP($A539,Table1[#This Row],COLUMN(U538), FALSE)</f>
        <v>SS2041045</v>
      </c>
      <c r="V539" t="str">
        <f>VLOOKUP($A539,Table1[#This Row],COLUMN(V538), FALSE)</f>
        <v>ES</v>
      </c>
      <c r="W539">
        <f>VLOOKUP($A539,Table1[#This Row],COLUMN(W538), FALSE)</f>
        <v>2014</v>
      </c>
      <c r="X539" t="str">
        <f>VLOOKUP($A539,Table1[#This Row],COLUMN(X538), FALSE)</f>
        <v>SS2041045</v>
      </c>
      <c r="Y539">
        <f>VLOOKUP($A539,Table1[#This Row],COLUMN(Y538), FALSE)</f>
        <v>41999</v>
      </c>
      <c r="Z539" t="str">
        <f>VLOOKUP($A539,Table1[#This Row],COLUMN(Z538), FALSE)</f>
        <v>ES-2014-SS2041045-41999</v>
      </c>
      <c r="AA539">
        <f>VLOOKUP($A539,Table1[#This Row],COLUMN(AA538), FALSE)</f>
        <v>2014</v>
      </c>
      <c r="AB539">
        <f>VLOOKUP($A539,Table1[#This Row],COLUMN(AB538), FALSE)</f>
        <v>12</v>
      </c>
      <c r="AC539">
        <f>VLOOKUP($A539,Table1[#This Row],COLUMN(AC538), FALSE)</f>
        <v>6</v>
      </c>
      <c r="AD539">
        <f>VLOOKUP($A539,Table1[#This Row],COLUMN(AD538), FALSE)</f>
        <v>6</v>
      </c>
    </row>
    <row r="540" spans="1:30" ht="15.75">
      <c r="A540" s="53" t="s">
        <v>1492</v>
      </c>
      <c r="B540" s="52">
        <f>VLOOKUP($A540,Table1[#This Row],COLUMN(B539), FALSE)</f>
        <v>41992</v>
      </c>
      <c r="C540" s="52">
        <f>VLOOKUP($A540,Table1[#This Row],COLUMN(C539), FALSE)</f>
        <v>41994</v>
      </c>
      <c r="D540" t="str">
        <f>VLOOKUP($A540,Table1[#This Row],COLUMN(D539), FALSE)</f>
        <v>Alan Haines</v>
      </c>
      <c r="E540" t="str">
        <f>VLOOKUP($A540,Table1[#This Row],COLUMN(E539), FALSE)</f>
        <v>United States</v>
      </c>
      <c r="F540" t="str">
        <f>VLOOKUP($A540,Table1[#This Row],COLUMN(F539), FALSE)</f>
        <v>Southern US</v>
      </c>
      <c r="G540" t="str">
        <f>VLOOKUP($A540,Table1[#This Row],COLUMN(G539), FALSE)</f>
        <v>Office Supplies</v>
      </c>
      <c r="H540" t="str">
        <f>VLOOKUP($A540,Table1[#This Row],COLUMN(H539), FALSE)</f>
        <v>Chairs</v>
      </c>
      <c r="I540">
        <f>VLOOKUP($A540,Table1[#This Row],COLUMN(I539), FALSE)</f>
        <v>254.05799999999999</v>
      </c>
      <c r="J540">
        <f>VLOOKUP($A540,Table1[#This Row],COLUMN(J539), FALSE)</f>
        <v>7</v>
      </c>
      <c r="K540">
        <f>VLOOKUP($A540,Table1[#This Row],COLUMN(K539), FALSE)</f>
        <v>0.7</v>
      </c>
      <c r="L540">
        <f>VLOOKUP($A540,Table1[#This Row],COLUMN(L539), FALSE)</f>
        <v>-169.37199999999899</v>
      </c>
      <c r="M540" t="str">
        <f>VLOOKUP($A540,Table1[#This Row],COLUMN(M539), FALSE)</f>
        <v>Medium</v>
      </c>
      <c r="N540">
        <f>VLOOKUP($A540,Table1[#This Row],COLUMN(N539), FALSE)</f>
        <v>0</v>
      </c>
      <c r="O540" t="str">
        <f>VLOOKUP($A540,Table1[#This Row],COLUMN(O539), FALSE)</f>
        <v>Alan Haines</v>
      </c>
      <c r="P540" t="str">
        <f>VLOOKUP($A540,Table1[#This Row],COLUMN(P539), FALSE)</f>
        <v>CA</v>
      </c>
      <c r="Q540" t="str">
        <f>VLOOKUP($A540,Table1[#This Row],COLUMN(Q539), FALSE)</f>
        <v>2014</v>
      </c>
      <c r="R540" t="str">
        <f>VLOOKUP($A540,Table1[#This Row],COLUMN(R539), FALSE)</f>
        <v>MEDIUM</v>
      </c>
      <c r="S540" t="str">
        <f>VLOOKUP($A540,Table1[#This Row],COLUMN(S539), FALSE)</f>
        <v>office supplies</v>
      </c>
      <c r="T540" t="str">
        <f>VLOOKUP($A540,Table1[#This Row],COLUMN(T539), FALSE)</f>
        <v>1992#</v>
      </c>
      <c r="U540" t="str">
        <f>VLOOKUP($A540,Table1[#This Row],COLUMN(U539), FALSE)</f>
        <v>AH10195140</v>
      </c>
      <c r="V540" t="str">
        <f>VLOOKUP($A540,Table1[#This Row],COLUMN(V539), FALSE)</f>
        <v>CA</v>
      </c>
      <c r="W540">
        <f>VLOOKUP($A540,Table1[#This Row],COLUMN(W539), FALSE)</f>
        <v>2014</v>
      </c>
      <c r="X540" t="str">
        <f>VLOOKUP($A540,Table1[#This Row],COLUMN(X539), FALSE)</f>
        <v>AH10195140</v>
      </c>
      <c r="Y540" t="str">
        <f>VLOOKUP($A540,Table1[#This Row],COLUMN(Y539), FALSE)</f>
        <v>41992#</v>
      </c>
      <c r="Z540" t="str">
        <f>VLOOKUP($A540,Table1[#This Row],COLUMN(Z539), FALSE)</f>
        <v>CA-2014-AH10195140-41992#</v>
      </c>
      <c r="AA540">
        <f>VLOOKUP($A540,Table1[#This Row],COLUMN(AA539), FALSE)</f>
        <v>2014</v>
      </c>
      <c r="AB540">
        <f>VLOOKUP($A540,Table1[#This Row],COLUMN(AB539), FALSE)</f>
        <v>12</v>
      </c>
      <c r="AC540">
        <f>VLOOKUP($A540,Table1[#This Row],COLUMN(AC539), FALSE)</f>
        <v>6</v>
      </c>
      <c r="AD540">
        <f>VLOOKUP($A540,Table1[#This Row],COLUMN(AD539), FALSE)</f>
        <v>2</v>
      </c>
    </row>
    <row r="541" spans="1:30" ht="15.75">
      <c r="A541" s="54" t="s">
        <v>1499</v>
      </c>
      <c r="B541" s="52">
        <f>VLOOKUP($A541,Table1[#This Row],COLUMN(B540), FALSE)</f>
        <v>41916</v>
      </c>
      <c r="C541" s="52">
        <f>VLOOKUP($A541,Table1[#This Row],COLUMN(C540), FALSE)</f>
        <v>41920</v>
      </c>
      <c r="D541" t="str">
        <f>VLOOKUP($A541,Table1[#This Row],COLUMN(D540), FALSE)</f>
        <v>Peter Fuller</v>
      </c>
      <c r="E541" t="str">
        <f>VLOOKUP($A541,Table1[#This Row],COLUMN(E540), FALSE)</f>
        <v>China</v>
      </c>
      <c r="F541" t="str">
        <f>VLOOKUP($A541,Table1[#This Row],COLUMN(F540), FALSE)</f>
        <v>Eastern Asia</v>
      </c>
      <c r="G541" t="str">
        <f>VLOOKUP($A541,Table1[#This Row],COLUMN(G540), FALSE)</f>
        <v>Furniture</v>
      </c>
      <c r="H541" t="str">
        <f>VLOOKUP($A541,Table1[#This Row],COLUMN(H540), FALSE)</f>
        <v>Bookcases</v>
      </c>
      <c r="I541">
        <f>VLOOKUP($A541,Table1[#This Row],COLUMN(I540), FALSE)</f>
        <v>2819.51999999999</v>
      </c>
      <c r="J541">
        <f>VLOOKUP($A541,Table1[#This Row],COLUMN(J540), FALSE)</f>
        <v>6</v>
      </c>
      <c r="K541">
        <f>VLOOKUP($A541,Table1[#This Row],COLUMN(K540), FALSE)</f>
        <v>0</v>
      </c>
      <c r="L541">
        <f>VLOOKUP($A541,Table1[#This Row],COLUMN(L540), FALSE)</f>
        <v>338.219999999999</v>
      </c>
      <c r="M541" t="str">
        <f>VLOOKUP($A541,Table1[#This Row],COLUMN(M540), FALSE)</f>
        <v>Medium</v>
      </c>
      <c r="N541">
        <f>VLOOKUP($A541,Table1[#This Row],COLUMN(N540), FALSE)</f>
        <v>0</v>
      </c>
      <c r="O541" t="str">
        <f>VLOOKUP($A541,Table1[#This Row],COLUMN(O540), FALSE)</f>
        <v>Peter Fuller</v>
      </c>
      <c r="P541" t="str">
        <f>VLOOKUP($A541,Table1[#This Row],COLUMN(P540), FALSE)</f>
        <v>IN</v>
      </c>
      <c r="Q541" t="str">
        <f>VLOOKUP($A541,Table1[#This Row],COLUMN(Q540), FALSE)</f>
        <v>2014</v>
      </c>
      <c r="R541" t="str">
        <f>VLOOKUP($A541,Table1[#This Row],COLUMN(R540), FALSE)</f>
        <v>MEDIUM</v>
      </c>
      <c r="S541" t="str">
        <f>VLOOKUP($A541,Table1[#This Row],COLUMN(S540), FALSE)</f>
        <v>furniture</v>
      </c>
      <c r="T541" t="str">
        <f>VLOOKUP($A541,Table1[#This Row],COLUMN(T540), FALSE)</f>
        <v>41916</v>
      </c>
      <c r="U541" t="str">
        <f>VLOOKUP($A541,Table1[#This Row],COLUMN(U540), FALSE)</f>
        <v>PF1912027</v>
      </c>
      <c r="V541" t="str">
        <f>VLOOKUP($A541,Table1[#This Row],COLUMN(V540), FALSE)</f>
        <v>IN</v>
      </c>
      <c r="W541">
        <f>VLOOKUP($A541,Table1[#This Row],COLUMN(W540), FALSE)</f>
        <v>2014</v>
      </c>
      <c r="X541" t="str">
        <f>VLOOKUP($A541,Table1[#This Row],COLUMN(X540), FALSE)</f>
        <v>PF1912027</v>
      </c>
      <c r="Y541">
        <f>VLOOKUP($A541,Table1[#This Row],COLUMN(Y540), FALSE)</f>
        <v>41916</v>
      </c>
      <c r="Z541" t="str">
        <f>VLOOKUP($A541,Table1[#This Row],COLUMN(Z540), FALSE)</f>
        <v>IN-2014-PF1912027-41916</v>
      </c>
      <c r="AA541">
        <f>VLOOKUP($A541,Table1[#This Row],COLUMN(AA540), FALSE)</f>
        <v>2014</v>
      </c>
      <c r="AB541">
        <f>VLOOKUP($A541,Table1[#This Row],COLUMN(AB540), FALSE)</f>
        <v>10</v>
      </c>
      <c r="AC541">
        <f>VLOOKUP($A541,Table1[#This Row],COLUMN(AC540), FALSE)</f>
        <v>7</v>
      </c>
      <c r="AD541">
        <f>VLOOKUP($A541,Table1[#This Row],COLUMN(AD540), FALSE)</f>
        <v>4</v>
      </c>
    </row>
    <row r="542" spans="1:30" ht="15.75">
      <c r="A542" s="53" t="s">
        <v>1505</v>
      </c>
      <c r="B542" s="52">
        <f>VLOOKUP($A542,Table1[#This Row],COLUMN(B541), FALSE)</f>
        <v>41129</v>
      </c>
      <c r="C542" s="52">
        <f>VLOOKUP($A542,Table1[#This Row],COLUMN(C541), FALSE)</f>
        <v>41133</v>
      </c>
      <c r="D542" t="str">
        <f>VLOOKUP($A542,Table1[#This Row],COLUMN(D541), FALSE)</f>
        <v>Alan Haines</v>
      </c>
      <c r="E542" t="str">
        <f>VLOOKUP($A542,Table1[#This Row],COLUMN(E541), FALSE)</f>
        <v>Canada</v>
      </c>
      <c r="F542" t="str">
        <f>VLOOKUP($A542,Table1[#This Row],COLUMN(F541), FALSE)</f>
        <v>Canada</v>
      </c>
      <c r="G542" t="str">
        <f>VLOOKUP($A542,Table1[#This Row],COLUMN(G541), FALSE)</f>
        <v>Office Supplies</v>
      </c>
      <c r="H542" t="str">
        <f>VLOOKUP($A542,Table1[#This Row],COLUMN(H541), FALSE)</f>
        <v>Accessories</v>
      </c>
      <c r="I542">
        <f>VLOOKUP($A542,Table1[#This Row],COLUMN(I541), FALSE)</f>
        <v>87.84</v>
      </c>
      <c r="J542">
        <f>VLOOKUP($A542,Table1[#This Row],COLUMN(J541), FALSE)</f>
        <v>6</v>
      </c>
      <c r="K542">
        <f>VLOOKUP($A542,Table1[#This Row],COLUMN(K541), FALSE)</f>
        <v>0</v>
      </c>
      <c r="L542">
        <f>VLOOKUP($A542,Table1[#This Row],COLUMN(L541), FALSE)</f>
        <v>29.6999999999999</v>
      </c>
      <c r="M542" t="str">
        <f>VLOOKUP($A542,Table1[#This Row],COLUMN(M541), FALSE)</f>
        <v>Medium</v>
      </c>
      <c r="N542">
        <f>VLOOKUP($A542,Table1[#This Row],COLUMN(N541), FALSE)</f>
        <v>0</v>
      </c>
      <c r="O542" t="str">
        <f>VLOOKUP($A542,Table1[#This Row],COLUMN(O541), FALSE)</f>
        <v>Alan Haines</v>
      </c>
      <c r="P542" t="str">
        <f>VLOOKUP($A542,Table1[#This Row],COLUMN(P541), FALSE)</f>
        <v>CA</v>
      </c>
      <c r="Q542" t="str">
        <f>VLOOKUP($A542,Table1[#This Row],COLUMN(Q541), FALSE)</f>
        <v>2012</v>
      </c>
      <c r="R542" t="str">
        <f>VLOOKUP($A542,Table1[#This Row],COLUMN(R541), FALSE)</f>
        <v>MEDIUM</v>
      </c>
      <c r="S542" t="str">
        <f>VLOOKUP($A542,Table1[#This Row],COLUMN(S541), FALSE)</f>
        <v>office supplies</v>
      </c>
      <c r="T542" t="str">
        <f>VLOOKUP($A542,Table1[#This Row],COLUMN(T541), FALSE)</f>
        <v>41129</v>
      </c>
      <c r="U542" t="str">
        <f>VLOOKUP($A542,Table1[#This Row],COLUMN(U541), FALSE)</f>
        <v>AH19523</v>
      </c>
      <c r="V542" t="str">
        <f>VLOOKUP($A542,Table1[#This Row],COLUMN(V541), FALSE)</f>
        <v>CA</v>
      </c>
      <c r="W542">
        <f>VLOOKUP($A542,Table1[#This Row],COLUMN(W541), FALSE)</f>
        <v>2012</v>
      </c>
      <c r="X542" t="str">
        <f>VLOOKUP($A542,Table1[#This Row],COLUMN(X541), FALSE)</f>
        <v>AH19523</v>
      </c>
      <c r="Y542">
        <f>VLOOKUP($A542,Table1[#This Row],COLUMN(Y541), FALSE)</f>
        <v>41129</v>
      </c>
      <c r="Z542" t="str">
        <f>VLOOKUP($A542,Table1[#This Row],COLUMN(Z541), FALSE)</f>
        <v>CA-2012-AH19523-41129</v>
      </c>
      <c r="AA542">
        <f>VLOOKUP($A542,Table1[#This Row],COLUMN(AA541), FALSE)</f>
        <v>2012</v>
      </c>
      <c r="AB542">
        <f>VLOOKUP($A542,Table1[#This Row],COLUMN(AB541), FALSE)</f>
        <v>8</v>
      </c>
      <c r="AC542">
        <f>VLOOKUP($A542,Table1[#This Row],COLUMN(AC541), FALSE)</f>
        <v>4</v>
      </c>
      <c r="AD542">
        <f>VLOOKUP($A542,Table1[#This Row],COLUMN(AD541), FALSE)</f>
        <v>4</v>
      </c>
    </row>
    <row r="543" spans="1:30" ht="15.75">
      <c r="A543" s="54" t="s">
        <v>1506</v>
      </c>
      <c r="B543" s="52">
        <f>VLOOKUP($A543,Table1[#This Row],COLUMN(B542), FALSE)</f>
        <v>42355</v>
      </c>
      <c r="C543" s="52">
        <f>VLOOKUP($A543,Table1[#This Row],COLUMN(C542), FALSE)</f>
        <v>42359</v>
      </c>
      <c r="D543" t="str">
        <f>VLOOKUP($A543,Table1[#This Row],COLUMN(D542), FALSE)</f>
        <v>Andy Gerbode</v>
      </c>
      <c r="E543" t="str">
        <f>VLOOKUP($A543,Table1[#This Row],COLUMN(E542), FALSE)</f>
        <v>Mexico</v>
      </c>
      <c r="F543" t="str">
        <f>VLOOKUP($A543,Table1[#This Row],COLUMN(F542), FALSE)</f>
        <v>Central America</v>
      </c>
      <c r="G543" t="str">
        <f>VLOOKUP($A543,Table1[#This Row],COLUMN(G542), FALSE)</f>
        <v>Furniture</v>
      </c>
      <c r="H543" t="str">
        <f>VLOOKUP($A543,Table1[#This Row],COLUMN(H542), FALSE)</f>
        <v>Chairs</v>
      </c>
      <c r="I543">
        <f>VLOOKUP($A543,Table1[#This Row],COLUMN(I542), FALSE)</f>
        <v>1697.5839999999901</v>
      </c>
      <c r="J543">
        <f>VLOOKUP($A543,Table1[#This Row],COLUMN(J542), FALSE)</f>
        <v>7</v>
      </c>
      <c r="K543">
        <f>VLOOKUP($A543,Table1[#This Row],COLUMN(K542), FALSE)</f>
        <v>0.2</v>
      </c>
      <c r="L543">
        <f>VLOOKUP($A543,Table1[#This Row],COLUMN(L542), FALSE)</f>
        <v>-63.755999999999801</v>
      </c>
      <c r="M543" t="str">
        <f>VLOOKUP($A543,Table1[#This Row],COLUMN(M542), FALSE)</f>
        <v>High</v>
      </c>
      <c r="N543">
        <f>VLOOKUP($A543,Table1[#This Row],COLUMN(N542), FALSE)</f>
        <v>0</v>
      </c>
      <c r="O543" t="str">
        <f>VLOOKUP($A543,Table1[#This Row],COLUMN(O542), FALSE)</f>
        <v>Andy Gerbode</v>
      </c>
      <c r="P543" t="str">
        <f>VLOOKUP($A543,Table1[#This Row],COLUMN(P542), FALSE)</f>
        <v>US</v>
      </c>
      <c r="Q543" t="str">
        <f>VLOOKUP($A543,Table1[#This Row],COLUMN(Q542), FALSE)</f>
        <v>2015</v>
      </c>
      <c r="R543" t="str">
        <f>VLOOKUP($A543,Table1[#This Row],COLUMN(R542), FALSE)</f>
        <v>HIGH</v>
      </c>
      <c r="S543" t="str">
        <f>VLOOKUP($A543,Table1[#This Row],COLUMN(S542), FALSE)</f>
        <v>furniture</v>
      </c>
      <c r="T543" t="str">
        <f>VLOOKUP($A543,Table1[#This Row],COLUMN(T542), FALSE)</f>
        <v>42355</v>
      </c>
      <c r="U543" t="str">
        <f>VLOOKUP($A543,Table1[#This Row],COLUMN(U542), FALSE)</f>
        <v>AG1052582</v>
      </c>
      <c r="V543" t="str">
        <f>VLOOKUP($A543,Table1[#This Row],COLUMN(V542), FALSE)</f>
        <v>US</v>
      </c>
      <c r="W543">
        <f>VLOOKUP($A543,Table1[#This Row],COLUMN(W542), FALSE)</f>
        <v>2015</v>
      </c>
      <c r="X543" t="str">
        <f>VLOOKUP($A543,Table1[#This Row],COLUMN(X542), FALSE)</f>
        <v>AG1052582</v>
      </c>
      <c r="Y543">
        <f>VLOOKUP($A543,Table1[#This Row],COLUMN(Y542), FALSE)</f>
        <v>42355</v>
      </c>
      <c r="Z543" t="str">
        <f>VLOOKUP($A543,Table1[#This Row],COLUMN(Z542), FALSE)</f>
        <v>US-2015-AG1052582-42355</v>
      </c>
      <c r="AA543">
        <f>VLOOKUP($A543,Table1[#This Row],COLUMN(AA542), FALSE)</f>
        <v>2015</v>
      </c>
      <c r="AB543">
        <f>VLOOKUP($A543,Table1[#This Row],COLUMN(AB542), FALSE)</f>
        <v>12</v>
      </c>
      <c r="AC543">
        <f>VLOOKUP($A543,Table1[#This Row],COLUMN(AC542), FALSE)</f>
        <v>5</v>
      </c>
      <c r="AD543">
        <f>VLOOKUP($A543,Table1[#This Row],COLUMN(AD542), FALSE)</f>
        <v>4</v>
      </c>
    </row>
    <row r="544" spans="1:30" ht="15.75">
      <c r="A544" s="53" t="s">
        <v>1508</v>
      </c>
      <c r="B544" s="52">
        <f>VLOOKUP($A544,Table1[#This Row],COLUMN(B543), FALSE)</f>
        <v>41930</v>
      </c>
      <c r="C544" s="52">
        <f>VLOOKUP($A544,Table1[#This Row],COLUMN(C543), FALSE)</f>
        <v>41932</v>
      </c>
      <c r="D544" t="str">
        <f>VLOOKUP($A544,Table1[#This Row],COLUMN(D543), FALSE)</f>
        <v>Aaron Bergman</v>
      </c>
      <c r="E544" t="str">
        <f>VLOOKUP($A544,Table1[#This Row],COLUMN(E543), FALSE)</f>
        <v>France</v>
      </c>
      <c r="F544" t="str">
        <f>VLOOKUP($A544,Table1[#This Row],COLUMN(F543), FALSE)</f>
        <v>Western Europe</v>
      </c>
      <c r="G544" t="str">
        <f>VLOOKUP($A544,Table1[#This Row],COLUMN(G543), FALSE)</f>
        <v>Technology</v>
      </c>
      <c r="H544" t="str">
        <f>VLOOKUP($A544,Table1[#This Row],COLUMN(H543), FALSE)</f>
        <v>Chairs</v>
      </c>
      <c r="I544">
        <f>VLOOKUP($A544,Table1[#This Row],COLUMN(I543), FALSE)</f>
        <v>632.04300000000001</v>
      </c>
      <c r="J544">
        <f>VLOOKUP($A544,Table1[#This Row],COLUMN(J543), FALSE)</f>
        <v>6</v>
      </c>
      <c r="K544">
        <f>VLOOKUP($A544,Table1[#This Row],COLUMN(K543), FALSE)</f>
        <v>0.15</v>
      </c>
      <c r="L544">
        <f>VLOOKUP($A544,Table1[#This Row],COLUMN(L543), FALSE)</f>
        <v>7.2629999999999697</v>
      </c>
      <c r="M544" t="str">
        <f>VLOOKUP($A544,Table1[#This Row],COLUMN(M543), FALSE)</f>
        <v>Critical</v>
      </c>
      <c r="N544">
        <f>VLOOKUP($A544,Table1[#This Row],COLUMN(N543), FALSE)</f>
        <v>0</v>
      </c>
      <c r="O544" t="str">
        <f>VLOOKUP($A544,Table1[#This Row],COLUMN(O543), FALSE)</f>
        <v>Aaron Bergman</v>
      </c>
      <c r="P544" t="str">
        <f>VLOOKUP($A544,Table1[#This Row],COLUMN(P543), FALSE)</f>
        <v>ES</v>
      </c>
      <c r="Q544" t="str">
        <f>VLOOKUP($A544,Table1[#This Row],COLUMN(Q543), FALSE)</f>
        <v>2014</v>
      </c>
      <c r="R544" t="str">
        <f>VLOOKUP($A544,Table1[#This Row],COLUMN(R543), FALSE)</f>
        <v>CRITICAL</v>
      </c>
      <c r="S544" t="str">
        <f>VLOOKUP($A544,Table1[#This Row],COLUMN(S543), FALSE)</f>
        <v>technology</v>
      </c>
      <c r="T544" t="str">
        <f>VLOOKUP($A544,Table1[#This Row],COLUMN(T543), FALSE)</f>
        <v>41930</v>
      </c>
      <c r="U544" t="str">
        <f>VLOOKUP($A544,Table1[#This Row],COLUMN(U543), FALSE)</f>
        <v>AB1001545</v>
      </c>
      <c r="V544" t="str">
        <f>VLOOKUP($A544,Table1[#This Row],COLUMN(V543), FALSE)</f>
        <v>ES</v>
      </c>
      <c r="W544">
        <f>VLOOKUP($A544,Table1[#This Row],COLUMN(W543), FALSE)</f>
        <v>2014</v>
      </c>
      <c r="X544" t="str">
        <f>VLOOKUP($A544,Table1[#This Row],COLUMN(X543), FALSE)</f>
        <v>AB1001545</v>
      </c>
      <c r="Y544">
        <f>VLOOKUP($A544,Table1[#This Row],COLUMN(Y543), FALSE)</f>
        <v>41930</v>
      </c>
      <c r="Z544" t="str">
        <f>VLOOKUP($A544,Table1[#This Row],COLUMN(Z543), FALSE)</f>
        <v>ES-2014-AB1001545-41930</v>
      </c>
      <c r="AA544">
        <f>VLOOKUP($A544,Table1[#This Row],COLUMN(AA543), FALSE)</f>
        <v>2014</v>
      </c>
      <c r="AB544">
        <f>VLOOKUP($A544,Table1[#This Row],COLUMN(AB543), FALSE)</f>
        <v>10</v>
      </c>
      <c r="AC544">
        <f>VLOOKUP($A544,Table1[#This Row],COLUMN(AC543), FALSE)</f>
        <v>7</v>
      </c>
      <c r="AD544">
        <f>VLOOKUP($A544,Table1[#This Row],COLUMN(AD543), FALSE)</f>
        <v>2</v>
      </c>
    </row>
    <row r="545" spans="1:30" ht="15.75">
      <c r="A545" s="54" t="s">
        <v>1526</v>
      </c>
      <c r="B545" s="52">
        <f>VLOOKUP($A545,Table1[#This Row],COLUMN(B544), FALSE)</f>
        <v>41172</v>
      </c>
      <c r="C545" s="52">
        <f>VLOOKUP($A545,Table1[#This Row],COLUMN(C544), FALSE)</f>
        <v>41177</v>
      </c>
      <c r="D545" t="str">
        <f>VLOOKUP($A545,Table1[#This Row],COLUMN(D544), FALSE)</f>
        <v>Denny Ordway</v>
      </c>
      <c r="E545" t="str">
        <f>VLOOKUP($A545,Table1[#This Row],COLUMN(E544), FALSE)</f>
        <v>Benin</v>
      </c>
      <c r="F545" t="str">
        <f>VLOOKUP($A545,Table1[#This Row],COLUMN(F544), FALSE)</f>
        <v>Western Africa</v>
      </c>
      <c r="G545" t="str">
        <f>VLOOKUP($A545,Table1[#This Row],COLUMN(G544), FALSE)</f>
        <v>Technology</v>
      </c>
      <c r="H545" t="str">
        <f>VLOOKUP($A545,Table1[#This Row],COLUMN(H544), FALSE)</f>
        <v>Tables</v>
      </c>
      <c r="I545">
        <f>VLOOKUP($A545,Table1[#This Row],COLUMN(I544), FALSE)</f>
        <v>1377.8999999999901</v>
      </c>
      <c r="J545">
        <f>VLOOKUP($A545,Table1[#This Row],COLUMN(J544), FALSE)</f>
        <v>10</v>
      </c>
      <c r="K545">
        <f>VLOOKUP($A545,Table1[#This Row],COLUMN(K544), FALSE)</f>
        <v>0</v>
      </c>
      <c r="L545">
        <f>VLOOKUP($A545,Table1[#This Row],COLUMN(L544), FALSE)</f>
        <v>289.2</v>
      </c>
      <c r="M545" t="str">
        <f>VLOOKUP($A545,Table1[#This Row],COLUMN(M544), FALSE)</f>
        <v>High</v>
      </c>
      <c r="N545">
        <f>VLOOKUP($A545,Table1[#This Row],COLUMN(N544), FALSE)</f>
        <v>0</v>
      </c>
      <c r="O545" t="str">
        <f>VLOOKUP($A545,Table1[#This Row],COLUMN(O544), FALSE)</f>
        <v>Denny Ordway</v>
      </c>
      <c r="P545" t="str">
        <f>VLOOKUP($A545,Table1[#This Row],COLUMN(P544), FALSE)</f>
        <v>BN</v>
      </c>
      <c r="Q545" t="str">
        <f>VLOOKUP($A545,Table1[#This Row],COLUMN(Q544), FALSE)</f>
        <v>2012</v>
      </c>
      <c r="R545" t="str">
        <f>VLOOKUP($A545,Table1[#This Row],COLUMN(R544), FALSE)</f>
        <v>HIGH</v>
      </c>
      <c r="S545" t="str">
        <f>VLOOKUP($A545,Table1[#This Row],COLUMN(S544), FALSE)</f>
        <v>technology</v>
      </c>
      <c r="T545" t="str">
        <f>VLOOKUP($A545,Table1[#This Row],COLUMN(T544), FALSE)</f>
        <v>41172</v>
      </c>
      <c r="U545" t="str">
        <f>VLOOKUP($A545,Table1[#This Row],COLUMN(U544), FALSE)</f>
        <v>DO343515</v>
      </c>
      <c r="V545" t="str">
        <f>VLOOKUP($A545,Table1[#This Row],COLUMN(V544), FALSE)</f>
        <v>BN</v>
      </c>
      <c r="W545">
        <f>VLOOKUP($A545,Table1[#This Row],COLUMN(W544), FALSE)</f>
        <v>2012</v>
      </c>
      <c r="X545" t="str">
        <f>VLOOKUP($A545,Table1[#This Row],COLUMN(X544), FALSE)</f>
        <v>DO343515</v>
      </c>
      <c r="Y545">
        <f>VLOOKUP($A545,Table1[#This Row],COLUMN(Y544), FALSE)</f>
        <v>41172</v>
      </c>
      <c r="Z545" t="str">
        <f>VLOOKUP($A545,Table1[#This Row],COLUMN(Z544), FALSE)</f>
        <v>BN-2012-DO343515-41172</v>
      </c>
      <c r="AA545">
        <f>VLOOKUP($A545,Table1[#This Row],COLUMN(AA544), FALSE)</f>
        <v>2012</v>
      </c>
      <c r="AB545">
        <f>VLOOKUP($A545,Table1[#This Row],COLUMN(AB544), FALSE)</f>
        <v>9</v>
      </c>
      <c r="AC545">
        <f>VLOOKUP($A545,Table1[#This Row],COLUMN(AC544), FALSE)</f>
        <v>5</v>
      </c>
      <c r="AD545">
        <f>VLOOKUP($A545,Table1[#This Row],COLUMN(AD544), FALSE)</f>
        <v>5</v>
      </c>
    </row>
    <row r="546" spans="1:30" ht="15.75">
      <c r="A546" s="53" t="s">
        <v>1528</v>
      </c>
      <c r="B546" s="52">
        <f>VLOOKUP($A546,Table1[#This Row],COLUMN(B545), FALSE)</f>
        <v>41223</v>
      </c>
      <c r="C546" s="52">
        <f>VLOOKUP($A546,Table1[#This Row],COLUMN(C545), FALSE)</f>
        <v>41230</v>
      </c>
      <c r="D546" t="str">
        <f>VLOOKUP($A546,Table1[#This Row],COLUMN(D545), FALSE)</f>
        <v>Neola Schneider</v>
      </c>
      <c r="E546" t="str">
        <f>VLOOKUP($A546,Table1[#This Row],COLUMN(E545), FALSE)</f>
        <v>Mexico</v>
      </c>
      <c r="F546" t="str">
        <f>VLOOKUP($A546,Table1[#This Row],COLUMN(F545), FALSE)</f>
        <v>Central America</v>
      </c>
      <c r="G546" t="str">
        <f>VLOOKUP($A546,Table1[#This Row],COLUMN(G545), FALSE)</f>
        <v>Technology</v>
      </c>
      <c r="H546" t="str">
        <f>VLOOKUP($A546,Table1[#This Row],COLUMN(H545), FALSE)</f>
        <v>Tables</v>
      </c>
      <c r="I546">
        <f>VLOOKUP($A546,Table1[#This Row],COLUMN(I545), FALSE)</f>
        <v>2582.16</v>
      </c>
      <c r="J546">
        <f>VLOOKUP($A546,Table1[#This Row],COLUMN(J545), FALSE)</f>
        <v>6</v>
      </c>
      <c r="K546">
        <f>VLOOKUP($A546,Table1[#This Row],COLUMN(K545), FALSE)</f>
        <v>0</v>
      </c>
      <c r="L546">
        <f>VLOOKUP($A546,Table1[#This Row],COLUMN(L545), FALSE)</f>
        <v>516.36</v>
      </c>
      <c r="M546" t="str">
        <f>VLOOKUP($A546,Table1[#This Row],COLUMN(M545), FALSE)</f>
        <v>Medium</v>
      </c>
      <c r="N546">
        <f>VLOOKUP($A546,Table1[#This Row],COLUMN(N545), FALSE)</f>
        <v>0</v>
      </c>
      <c r="O546" t="str">
        <f>VLOOKUP($A546,Table1[#This Row],COLUMN(O545), FALSE)</f>
        <v>Neola Schneider</v>
      </c>
      <c r="P546" t="str">
        <f>VLOOKUP($A546,Table1[#This Row],COLUMN(P545), FALSE)</f>
        <v>MX</v>
      </c>
      <c r="Q546" t="str">
        <f>VLOOKUP($A546,Table1[#This Row],COLUMN(Q545), FALSE)</f>
        <v>2012</v>
      </c>
      <c r="R546" t="str">
        <f>VLOOKUP($A546,Table1[#This Row],COLUMN(R545), FALSE)</f>
        <v>MEDIUM</v>
      </c>
      <c r="S546" t="str">
        <f>VLOOKUP($A546,Table1[#This Row],COLUMN(S545), FALSE)</f>
        <v>technology</v>
      </c>
      <c r="T546" t="str">
        <f>VLOOKUP($A546,Table1[#This Row],COLUMN(T545), FALSE)</f>
        <v>41223</v>
      </c>
      <c r="U546" t="str">
        <f>VLOOKUP($A546,Table1[#This Row],COLUMN(U545), FALSE)</f>
        <v>NS1850582</v>
      </c>
      <c r="V546" t="str">
        <f>VLOOKUP($A546,Table1[#This Row],COLUMN(V545), FALSE)</f>
        <v>MX</v>
      </c>
      <c r="W546">
        <f>VLOOKUP($A546,Table1[#This Row],COLUMN(W545), FALSE)</f>
        <v>2012</v>
      </c>
      <c r="X546" t="str">
        <f>VLOOKUP($A546,Table1[#This Row],COLUMN(X545), FALSE)</f>
        <v>NS1850582</v>
      </c>
      <c r="Y546">
        <f>VLOOKUP($A546,Table1[#This Row],COLUMN(Y545), FALSE)</f>
        <v>41223</v>
      </c>
      <c r="Z546" t="str">
        <f>VLOOKUP($A546,Table1[#This Row],COLUMN(Z545), FALSE)</f>
        <v>MX-2012-NS1850582-41223</v>
      </c>
      <c r="AA546">
        <f>VLOOKUP($A546,Table1[#This Row],COLUMN(AA545), FALSE)</f>
        <v>2012</v>
      </c>
      <c r="AB546">
        <f>VLOOKUP($A546,Table1[#This Row],COLUMN(AB545), FALSE)</f>
        <v>11</v>
      </c>
      <c r="AC546">
        <f>VLOOKUP($A546,Table1[#This Row],COLUMN(AC545), FALSE)</f>
        <v>7</v>
      </c>
      <c r="AD546">
        <f>VLOOKUP($A546,Table1[#This Row],COLUMN(AD545), FALSE)</f>
        <v>7</v>
      </c>
    </row>
    <row r="547" spans="1:30" ht="15.75">
      <c r="A547" s="54" t="s">
        <v>1530</v>
      </c>
      <c r="B547" s="52">
        <f>VLOOKUP($A547,Table1[#This Row],COLUMN(B546), FALSE)</f>
        <v>41346</v>
      </c>
      <c r="C547" s="52">
        <f>VLOOKUP($A547,Table1[#This Row],COLUMN(C546), FALSE)</f>
        <v>41348</v>
      </c>
      <c r="D547" t="str">
        <f>VLOOKUP($A547,Table1[#This Row],COLUMN(D546), FALSE)</f>
        <v>Tom Stivers</v>
      </c>
      <c r="E547" t="str">
        <f>VLOOKUP($A547,Table1[#This Row],COLUMN(E546), FALSE)</f>
        <v>France</v>
      </c>
      <c r="F547" t="str">
        <f>VLOOKUP($A547,Table1[#This Row],COLUMN(F546), FALSE)</f>
        <v>Western Europe</v>
      </c>
      <c r="G547" t="str">
        <f>VLOOKUP($A547,Table1[#This Row],COLUMN(G546), FALSE)</f>
        <v>Technology</v>
      </c>
      <c r="H547" t="str">
        <f>VLOOKUP($A547,Table1[#This Row],COLUMN(H546), FALSE)</f>
        <v>Phones</v>
      </c>
      <c r="I547">
        <f>VLOOKUP($A547,Table1[#This Row],COLUMN(I546), FALSE)</f>
        <v>1257.4559999999999</v>
      </c>
      <c r="J547">
        <f>VLOOKUP($A547,Table1[#This Row],COLUMN(J546), FALSE)</f>
        <v>8</v>
      </c>
      <c r="K547">
        <f>VLOOKUP($A547,Table1[#This Row],COLUMN(K546), FALSE)</f>
        <v>0.15</v>
      </c>
      <c r="L547">
        <f>VLOOKUP($A547,Table1[#This Row],COLUMN(L546), FALSE)</f>
        <v>-29.664000000000001</v>
      </c>
      <c r="M547" t="str">
        <f>VLOOKUP($A547,Table1[#This Row],COLUMN(M546), FALSE)</f>
        <v>High</v>
      </c>
      <c r="N547">
        <f>VLOOKUP($A547,Table1[#This Row],COLUMN(N546), FALSE)</f>
        <v>0</v>
      </c>
      <c r="O547" t="str">
        <f>VLOOKUP($A547,Table1[#This Row],COLUMN(O546), FALSE)</f>
        <v>Tom Stivers</v>
      </c>
      <c r="P547" t="str">
        <f>VLOOKUP($A547,Table1[#This Row],COLUMN(P546), FALSE)</f>
        <v>IT</v>
      </c>
      <c r="Q547" t="str">
        <f>VLOOKUP($A547,Table1[#This Row],COLUMN(Q546), FALSE)</f>
        <v>2013</v>
      </c>
      <c r="R547" t="str">
        <f>VLOOKUP($A547,Table1[#This Row],COLUMN(R546), FALSE)</f>
        <v>HIGH</v>
      </c>
      <c r="S547" t="str">
        <f>VLOOKUP($A547,Table1[#This Row],COLUMN(S546), FALSE)</f>
        <v>technology</v>
      </c>
      <c r="T547" t="str">
        <f>VLOOKUP($A547,Table1[#This Row],COLUMN(T546), FALSE)</f>
        <v>41346</v>
      </c>
      <c r="U547" t="str">
        <f>VLOOKUP($A547,Table1[#This Row],COLUMN(U546), FALSE)</f>
        <v>TS2143045</v>
      </c>
      <c r="V547" t="str">
        <f>VLOOKUP($A547,Table1[#This Row],COLUMN(V546), FALSE)</f>
        <v>IT</v>
      </c>
      <c r="W547">
        <f>VLOOKUP($A547,Table1[#This Row],COLUMN(W546), FALSE)</f>
        <v>2013</v>
      </c>
      <c r="X547" t="str">
        <f>VLOOKUP($A547,Table1[#This Row],COLUMN(X546), FALSE)</f>
        <v>TS2143045</v>
      </c>
      <c r="Y547">
        <f>VLOOKUP($A547,Table1[#This Row],COLUMN(Y546), FALSE)</f>
        <v>41346</v>
      </c>
      <c r="Z547" t="str">
        <f>VLOOKUP($A547,Table1[#This Row],COLUMN(Z546), FALSE)</f>
        <v>IT-2013-TS2143045-41346</v>
      </c>
      <c r="AA547">
        <f>VLOOKUP($A547,Table1[#This Row],COLUMN(AA546), FALSE)</f>
        <v>2013</v>
      </c>
      <c r="AB547">
        <f>VLOOKUP($A547,Table1[#This Row],COLUMN(AB546), FALSE)</f>
        <v>3</v>
      </c>
      <c r="AC547">
        <f>VLOOKUP($A547,Table1[#This Row],COLUMN(AC546), FALSE)</f>
        <v>4</v>
      </c>
      <c r="AD547">
        <f>VLOOKUP($A547,Table1[#This Row],COLUMN(AD546), FALSE)</f>
        <v>2</v>
      </c>
    </row>
    <row r="548" spans="1:30" ht="15.75">
      <c r="A548" s="53" t="s">
        <v>1531</v>
      </c>
      <c r="B548" s="52">
        <f>VLOOKUP($A548,Table1[#This Row],COLUMN(B547), FALSE)</f>
        <v>42363</v>
      </c>
      <c r="C548" s="52">
        <f>VLOOKUP($A548,Table1[#This Row],COLUMN(C547), FALSE)</f>
        <v>42370</v>
      </c>
      <c r="D548" t="str">
        <f>VLOOKUP($A548,Table1[#This Row],COLUMN(D547), FALSE)</f>
        <v>Alan Hwang</v>
      </c>
      <c r="E548" t="str">
        <f>VLOOKUP($A548,Table1[#This Row],COLUMN(E547), FALSE)</f>
        <v>United States</v>
      </c>
      <c r="F548" t="str">
        <f>VLOOKUP($A548,Table1[#This Row],COLUMN(F547), FALSE)</f>
        <v>Western US</v>
      </c>
      <c r="G548" t="str">
        <f>VLOOKUP($A548,Table1[#This Row],COLUMN(G547), FALSE)</f>
        <v>Office Supplies</v>
      </c>
      <c r="H548" t="str">
        <f>VLOOKUP($A548,Table1[#This Row],COLUMN(H547), FALSE)</f>
        <v>Chairs</v>
      </c>
      <c r="I548">
        <f>VLOOKUP($A548,Table1[#This Row],COLUMN(I547), FALSE)</f>
        <v>1003.62</v>
      </c>
      <c r="J548">
        <f>VLOOKUP($A548,Table1[#This Row],COLUMN(J547), FALSE)</f>
        <v>6</v>
      </c>
      <c r="K548">
        <f>VLOOKUP($A548,Table1[#This Row],COLUMN(K547), FALSE)</f>
        <v>0</v>
      </c>
      <c r="L548">
        <f>VLOOKUP($A548,Table1[#This Row],COLUMN(L547), FALSE)</f>
        <v>0</v>
      </c>
      <c r="M548" t="str">
        <f>VLOOKUP($A548,Table1[#This Row],COLUMN(M547), FALSE)</f>
        <v>Low</v>
      </c>
      <c r="N548">
        <f>VLOOKUP($A548,Table1[#This Row],COLUMN(N547), FALSE)</f>
        <v>0</v>
      </c>
      <c r="O548" t="str">
        <f>VLOOKUP($A548,Table1[#This Row],COLUMN(O547), FALSE)</f>
        <v>Alan Hwang</v>
      </c>
      <c r="P548" t="str">
        <f>VLOOKUP($A548,Table1[#This Row],COLUMN(P547), FALSE)</f>
        <v>CA</v>
      </c>
      <c r="Q548" t="str">
        <f>VLOOKUP($A548,Table1[#This Row],COLUMN(Q547), FALSE)</f>
        <v>2015</v>
      </c>
      <c r="R548" t="str">
        <f>VLOOKUP($A548,Table1[#This Row],COLUMN(R547), FALSE)</f>
        <v>LOW</v>
      </c>
      <c r="S548" t="str">
        <f>VLOOKUP($A548,Table1[#This Row],COLUMN(S547), FALSE)</f>
        <v>office supplies</v>
      </c>
      <c r="T548" t="str">
        <f>VLOOKUP($A548,Table1[#This Row],COLUMN(T547), FALSE)</f>
        <v>42363</v>
      </c>
      <c r="U548" t="str">
        <f>VLOOKUP($A548,Table1[#This Row],COLUMN(U547), FALSE)</f>
        <v>AH10210140</v>
      </c>
      <c r="V548" t="str">
        <f>VLOOKUP($A548,Table1[#This Row],COLUMN(V547), FALSE)</f>
        <v>CA</v>
      </c>
      <c r="W548">
        <f>VLOOKUP($A548,Table1[#This Row],COLUMN(W547), FALSE)</f>
        <v>2015</v>
      </c>
      <c r="X548" t="str">
        <f>VLOOKUP($A548,Table1[#This Row],COLUMN(X547), FALSE)</f>
        <v>AH10210140</v>
      </c>
      <c r="Y548">
        <f>VLOOKUP($A548,Table1[#This Row],COLUMN(Y547), FALSE)</f>
        <v>42363</v>
      </c>
      <c r="Z548" t="str">
        <f>VLOOKUP($A548,Table1[#This Row],COLUMN(Z547), FALSE)</f>
        <v>CA-2015-AH10210140-42363</v>
      </c>
      <c r="AA548">
        <f>VLOOKUP($A548,Table1[#This Row],COLUMN(AA547), FALSE)</f>
        <v>2015</v>
      </c>
      <c r="AB548">
        <f>VLOOKUP($A548,Table1[#This Row],COLUMN(AB547), FALSE)</f>
        <v>12</v>
      </c>
      <c r="AC548">
        <f>VLOOKUP($A548,Table1[#This Row],COLUMN(AC547), FALSE)</f>
        <v>6</v>
      </c>
      <c r="AD548">
        <f>VLOOKUP($A548,Table1[#This Row],COLUMN(AD547), FALSE)</f>
        <v>7</v>
      </c>
    </row>
    <row r="549" spans="1:30" ht="15.75">
      <c r="A549" s="54" t="s">
        <v>1532</v>
      </c>
      <c r="B549" s="52">
        <f>VLOOKUP($A549,Table1[#This Row],COLUMN(B548), FALSE)</f>
        <v>41271</v>
      </c>
      <c r="C549" s="52">
        <f>VLOOKUP($A549,Table1[#This Row],COLUMN(C548), FALSE)</f>
        <v>41273</v>
      </c>
      <c r="D549" t="str">
        <f>VLOOKUP($A549,Table1[#This Row],COLUMN(D548), FALSE)</f>
        <v>Annie Zypern</v>
      </c>
      <c r="E549" t="str">
        <f>VLOOKUP($A549,Table1[#This Row],COLUMN(E548), FALSE)</f>
        <v>Nicaragua</v>
      </c>
      <c r="F549" t="str">
        <f>VLOOKUP($A549,Table1[#This Row],COLUMN(F548), FALSE)</f>
        <v>Central America</v>
      </c>
      <c r="G549" t="str">
        <f>VLOOKUP($A549,Table1[#This Row],COLUMN(G548), FALSE)</f>
        <v>Furniture</v>
      </c>
      <c r="H549" t="str">
        <f>VLOOKUP($A549,Table1[#This Row],COLUMN(H548), FALSE)</f>
        <v>Phones</v>
      </c>
      <c r="I549">
        <f>VLOOKUP($A549,Table1[#This Row],COLUMN(I548), FALSE)</f>
        <v>2429.4399999999901</v>
      </c>
      <c r="J549">
        <f>VLOOKUP($A549,Table1[#This Row],COLUMN(J548), FALSE)</f>
        <v>8</v>
      </c>
      <c r="K549">
        <f>VLOOKUP($A549,Table1[#This Row],COLUMN(K548), FALSE)</f>
        <v>0</v>
      </c>
      <c r="L549">
        <f>VLOOKUP($A549,Table1[#This Row],COLUMN(L548), FALSE)</f>
        <v>534.4</v>
      </c>
      <c r="M549" t="str">
        <f>VLOOKUP($A549,Table1[#This Row],COLUMN(M548), FALSE)</f>
        <v>Medium</v>
      </c>
      <c r="N549">
        <f>VLOOKUP($A549,Table1[#This Row],COLUMN(N548), FALSE)</f>
        <v>0</v>
      </c>
      <c r="O549" t="str">
        <f>VLOOKUP($A549,Table1[#This Row],COLUMN(O548), FALSE)</f>
        <v>Annie Zypern</v>
      </c>
      <c r="P549" t="str">
        <f>VLOOKUP($A549,Table1[#This Row],COLUMN(P548), FALSE)</f>
        <v>MX</v>
      </c>
      <c r="Q549" t="str">
        <f>VLOOKUP($A549,Table1[#This Row],COLUMN(Q548), FALSE)</f>
        <v>2012</v>
      </c>
      <c r="R549" t="str">
        <f>VLOOKUP($A549,Table1[#This Row],COLUMN(R548), FALSE)</f>
        <v>MEDIUM</v>
      </c>
      <c r="S549" t="str">
        <f>VLOOKUP($A549,Table1[#This Row],COLUMN(S548), FALSE)</f>
        <v>furniture</v>
      </c>
      <c r="T549" t="str">
        <f>VLOOKUP($A549,Table1[#This Row],COLUMN(T548), FALSE)</f>
        <v>41271</v>
      </c>
      <c r="U549" t="str">
        <f>VLOOKUP($A549,Table1[#This Row],COLUMN(U548), FALSE)</f>
        <v>AZ1075093</v>
      </c>
      <c r="V549" t="str">
        <f>VLOOKUP($A549,Table1[#This Row],COLUMN(V548), FALSE)</f>
        <v>MX</v>
      </c>
      <c r="W549">
        <f>VLOOKUP($A549,Table1[#This Row],COLUMN(W548), FALSE)</f>
        <v>2012</v>
      </c>
      <c r="X549" t="str">
        <f>VLOOKUP($A549,Table1[#This Row],COLUMN(X548), FALSE)</f>
        <v>AZ1075093</v>
      </c>
      <c r="Y549">
        <f>VLOOKUP($A549,Table1[#This Row],COLUMN(Y548), FALSE)</f>
        <v>41271</v>
      </c>
      <c r="Z549" t="str">
        <f>VLOOKUP($A549,Table1[#This Row],COLUMN(Z548), FALSE)</f>
        <v>MX-2012-AZ1075093-41271</v>
      </c>
      <c r="AA549">
        <f>VLOOKUP($A549,Table1[#This Row],COLUMN(AA548), FALSE)</f>
        <v>2012</v>
      </c>
      <c r="AB549">
        <f>VLOOKUP($A549,Table1[#This Row],COLUMN(AB548), FALSE)</f>
        <v>12</v>
      </c>
      <c r="AC549">
        <f>VLOOKUP($A549,Table1[#This Row],COLUMN(AC548), FALSE)</f>
        <v>6</v>
      </c>
      <c r="AD549">
        <f>VLOOKUP($A549,Table1[#This Row],COLUMN(AD548), FALSE)</f>
        <v>2</v>
      </c>
    </row>
    <row r="550" spans="1:30" ht="15.75">
      <c r="A550" s="53" t="s">
        <v>1534</v>
      </c>
      <c r="B550" s="52">
        <f>VLOOKUP($A550,Table1[#This Row],COLUMN(B549), FALSE)</f>
        <v>42291</v>
      </c>
      <c r="C550" s="52">
        <f>VLOOKUP($A550,Table1[#This Row],COLUMN(C549), FALSE)</f>
        <v>42293</v>
      </c>
      <c r="D550" t="str">
        <f>VLOOKUP($A550,Table1[#This Row],COLUMN(D549), FALSE)</f>
        <v>Alan Hwang</v>
      </c>
      <c r="E550" t="str">
        <f>VLOOKUP($A550,Table1[#This Row],COLUMN(E549), FALSE)</f>
        <v>United States</v>
      </c>
      <c r="F550" t="str">
        <f>VLOOKUP($A550,Table1[#This Row],COLUMN(F549), FALSE)</f>
        <v>Southern US</v>
      </c>
      <c r="G550" t="str">
        <f>VLOOKUP($A550,Table1[#This Row],COLUMN(G549), FALSE)</f>
        <v>Office Supplies</v>
      </c>
      <c r="H550" t="str">
        <f>VLOOKUP($A550,Table1[#This Row],COLUMN(H549), FALSE)</f>
        <v>Phones</v>
      </c>
      <c r="I550">
        <f>VLOOKUP($A550,Table1[#This Row],COLUMN(I549), FALSE)</f>
        <v>348.56</v>
      </c>
      <c r="J550">
        <f>VLOOKUP($A550,Table1[#This Row],COLUMN(J549), FALSE)</f>
        <v>8</v>
      </c>
      <c r="K550">
        <f>VLOOKUP($A550,Table1[#This Row],COLUMN(K549), FALSE)</f>
        <v>0</v>
      </c>
      <c r="L550">
        <f>VLOOKUP($A550,Table1[#This Row],COLUMN(L549), FALSE)</f>
        <v>104.567999999999</v>
      </c>
      <c r="M550" t="str">
        <f>VLOOKUP($A550,Table1[#This Row],COLUMN(M549), FALSE)</f>
        <v>High</v>
      </c>
      <c r="N550">
        <f>VLOOKUP($A550,Table1[#This Row],COLUMN(N549), FALSE)</f>
        <v>0</v>
      </c>
      <c r="O550" t="str">
        <f>VLOOKUP($A550,Table1[#This Row],COLUMN(O549), FALSE)</f>
        <v>Alan Hwang</v>
      </c>
      <c r="P550" t="str">
        <f>VLOOKUP($A550,Table1[#This Row],COLUMN(P549), FALSE)</f>
        <v>US</v>
      </c>
      <c r="Q550" t="str">
        <f>VLOOKUP($A550,Table1[#This Row],COLUMN(Q549), FALSE)</f>
        <v>2015</v>
      </c>
      <c r="R550" t="str">
        <f>VLOOKUP($A550,Table1[#This Row],COLUMN(R549), FALSE)</f>
        <v>HIGH</v>
      </c>
      <c r="S550" t="str">
        <f>VLOOKUP($A550,Table1[#This Row],COLUMN(S549), FALSE)</f>
        <v>office supplies</v>
      </c>
      <c r="T550" t="str">
        <f>VLOOKUP($A550,Table1[#This Row],COLUMN(T549), FALSE)</f>
        <v>42291</v>
      </c>
      <c r="U550" t="str">
        <f>VLOOKUP($A550,Table1[#This Row],COLUMN(U549), FALSE)</f>
        <v>AH10210140</v>
      </c>
      <c r="V550" t="str">
        <f>VLOOKUP($A550,Table1[#This Row],COLUMN(V549), FALSE)</f>
        <v>US</v>
      </c>
      <c r="W550">
        <f>VLOOKUP($A550,Table1[#This Row],COLUMN(W549), FALSE)</f>
        <v>2015</v>
      </c>
      <c r="X550" t="str">
        <f>VLOOKUP($A550,Table1[#This Row],COLUMN(X549), FALSE)</f>
        <v>AH10210140</v>
      </c>
      <c r="Y550">
        <f>VLOOKUP($A550,Table1[#This Row],COLUMN(Y549), FALSE)</f>
        <v>42291</v>
      </c>
      <c r="Z550" t="str">
        <f>VLOOKUP($A550,Table1[#This Row],COLUMN(Z549), FALSE)</f>
        <v>US-2015-AH10210140-42291</v>
      </c>
      <c r="AA550">
        <f>VLOOKUP($A550,Table1[#This Row],COLUMN(AA549), FALSE)</f>
        <v>2015</v>
      </c>
      <c r="AB550">
        <f>VLOOKUP($A550,Table1[#This Row],COLUMN(AB549), FALSE)</f>
        <v>10</v>
      </c>
      <c r="AC550">
        <f>VLOOKUP($A550,Table1[#This Row],COLUMN(AC549), FALSE)</f>
        <v>4</v>
      </c>
      <c r="AD550">
        <f>VLOOKUP($A550,Table1[#This Row],COLUMN(AD549), FALSE)</f>
        <v>2</v>
      </c>
    </row>
    <row r="551" spans="1:30" ht="15.75">
      <c r="A551" s="54" t="s">
        <v>1537</v>
      </c>
      <c r="B551" s="52">
        <f>VLOOKUP($A551,Table1[#This Row],COLUMN(B550), FALSE)</f>
        <v>41956</v>
      </c>
      <c r="C551" s="52">
        <f>VLOOKUP($A551,Table1[#This Row],COLUMN(C550), FALSE)</f>
        <v>41961</v>
      </c>
      <c r="D551" t="str">
        <f>VLOOKUP($A551,Table1[#This Row],COLUMN(D550), FALSE)</f>
        <v>Sung Pak</v>
      </c>
      <c r="E551" t="str">
        <f>VLOOKUP($A551,Table1[#This Row],COLUMN(E550), FALSE)</f>
        <v>France</v>
      </c>
      <c r="F551" t="str">
        <f>VLOOKUP($A551,Table1[#This Row],COLUMN(F550), FALSE)</f>
        <v>Western Europe</v>
      </c>
      <c r="G551" t="str">
        <f>VLOOKUP($A551,Table1[#This Row],COLUMN(G550), FALSE)</f>
        <v>Furniture</v>
      </c>
      <c r="H551" t="str">
        <f>VLOOKUP($A551,Table1[#This Row],COLUMN(H550), FALSE)</f>
        <v>Phones</v>
      </c>
      <c r="I551">
        <f>VLOOKUP($A551,Table1[#This Row],COLUMN(I550), FALSE)</f>
        <v>2891.6999999999898</v>
      </c>
      <c r="J551">
        <f>VLOOKUP($A551,Table1[#This Row],COLUMN(J550), FALSE)</f>
        <v>7</v>
      </c>
      <c r="K551">
        <f>VLOOKUP($A551,Table1[#This Row],COLUMN(K550), FALSE)</f>
        <v>0.1</v>
      </c>
      <c r="L551">
        <f>VLOOKUP($A551,Table1[#This Row],COLUMN(L550), FALSE)</f>
        <v>1188.81</v>
      </c>
      <c r="M551" t="str">
        <f>VLOOKUP($A551,Table1[#This Row],COLUMN(M550), FALSE)</f>
        <v>Medium</v>
      </c>
      <c r="N551">
        <f>VLOOKUP($A551,Table1[#This Row],COLUMN(N550), FALSE)</f>
        <v>0</v>
      </c>
      <c r="O551" t="str">
        <f>VLOOKUP($A551,Table1[#This Row],COLUMN(O550), FALSE)</f>
        <v>Sung Pak</v>
      </c>
      <c r="P551" t="str">
        <f>VLOOKUP($A551,Table1[#This Row],COLUMN(P550), FALSE)</f>
        <v>IT</v>
      </c>
      <c r="Q551" t="str">
        <f>VLOOKUP($A551,Table1[#This Row],COLUMN(Q550), FALSE)</f>
        <v>2014</v>
      </c>
      <c r="R551" t="str">
        <f>VLOOKUP($A551,Table1[#This Row],COLUMN(R550), FALSE)</f>
        <v>MEDIUM</v>
      </c>
      <c r="S551" t="str">
        <f>VLOOKUP($A551,Table1[#This Row],COLUMN(S550), FALSE)</f>
        <v>furniture</v>
      </c>
      <c r="T551" t="str">
        <f>VLOOKUP($A551,Table1[#This Row],COLUMN(T550), FALSE)</f>
        <v>41956</v>
      </c>
      <c r="U551" t="str">
        <f>VLOOKUP($A551,Table1[#This Row],COLUMN(U550), FALSE)</f>
        <v>SP2086045</v>
      </c>
      <c r="V551" t="str">
        <f>VLOOKUP($A551,Table1[#This Row],COLUMN(V550), FALSE)</f>
        <v>IT</v>
      </c>
      <c r="W551">
        <f>VLOOKUP($A551,Table1[#This Row],COLUMN(W550), FALSE)</f>
        <v>2014</v>
      </c>
      <c r="X551" t="str">
        <f>VLOOKUP($A551,Table1[#This Row],COLUMN(X550), FALSE)</f>
        <v>SP2086045</v>
      </c>
      <c r="Y551">
        <f>VLOOKUP($A551,Table1[#This Row],COLUMN(Y550), FALSE)</f>
        <v>41956</v>
      </c>
      <c r="Z551" t="str">
        <f>VLOOKUP($A551,Table1[#This Row],COLUMN(Z550), FALSE)</f>
        <v>IT-2014-SP2086045-41956</v>
      </c>
      <c r="AA551">
        <f>VLOOKUP($A551,Table1[#This Row],COLUMN(AA550), FALSE)</f>
        <v>2014</v>
      </c>
      <c r="AB551">
        <f>VLOOKUP($A551,Table1[#This Row],COLUMN(AB550), FALSE)</f>
        <v>11</v>
      </c>
      <c r="AC551">
        <f>VLOOKUP($A551,Table1[#This Row],COLUMN(AC550), FALSE)</f>
        <v>5</v>
      </c>
      <c r="AD551">
        <f>VLOOKUP($A551,Table1[#This Row],COLUMN(AD550), FALSE)</f>
        <v>5</v>
      </c>
    </row>
    <row r="552" spans="1:30" ht="15.75">
      <c r="A552" s="53" t="s">
        <v>1540</v>
      </c>
      <c r="B552" s="52">
        <f>VLOOKUP($A552,Table1[#This Row],COLUMN(B551), FALSE)</f>
        <v>41501</v>
      </c>
      <c r="C552" s="52">
        <f>VLOOKUP($A552,Table1[#This Row],COLUMN(C551), FALSE)</f>
        <v>41505</v>
      </c>
      <c r="D552" t="str">
        <f>VLOOKUP($A552,Table1[#This Row],COLUMN(D551), FALSE)</f>
        <v>Kalyca Meade</v>
      </c>
      <c r="E552" t="str">
        <f>VLOOKUP($A552,Table1[#This Row],COLUMN(E551), FALSE)</f>
        <v>Australia</v>
      </c>
      <c r="F552" t="str">
        <f>VLOOKUP($A552,Table1[#This Row],COLUMN(F551), FALSE)</f>
        <v>Oceania</v>
      </c>
      <c r="G552" t="str">
        <f>VLOOKUP($A552,Table1[#This Row],COLUMN(G551), FALSE)</f>
        <v>Technology</v>
      </c>
      <c r="H552" t="str">
        <f>VLOOKUP($A552,Table1[#This Row],COLUMN(H551), FALSE)</f>
        <v>Chairs</v>
      </c>
      <c r="I552">
        <f>VLOOKUP($A552,Table1[#This Row],COLUMN(I551), FALSE)</f>
        <v>2042.82</v>
      </c>
      <c r="J552">
        <f>VLOOKUP($A552,Table1[#This Row],COLUMN(J551), FALSE)</f>
        <v>6</v>
      </c>
      <c r="K552">
        <f>VLOOKUP($A552,Table1[#This Row],COLUMN(K551), FALSE)</f>
        <v>0.1</v>
      </c>
      <c r="L552">
        <f>VLOOKUP($A552,Table1[#This Row],COLUMN(L551), FALSE)</f>
        <v>-136.26</v>
      </c>
      <c r="M552" t="str">
        <f>VLOOKUP($A552,Table1[#This Row],COLUMN(M551), FALSE)</f>
        <v>High</v>
      </c>
      <c r="N552">
        <f>VLOOKUP($A552,Table1[#This Row],COLUMN(N551), FALSE)</f>
        <v>0</v>
      </c>
      <c r="O552" t="str">
        <f>VLOOKUP($A552,Table1[#This Row],COLUMN(O551), FALSE)</f>
        <v>Kalyca Meade</v>
      </c>
      <c r="P552" t="str">
        <f>VLOOKUP($A552,Table1[#This Row],COLUMN(P551), FALSE)</f>
        <v>ID</v>
      </c>
      <c r="Q552" t="str">
        <f>VLOOKUP($A552,Table1[#This Row],COLUMN(Q551), FALSE)</f>
        <v>2013</v>
      </c>
      <c r="R552" t="str">
        <f>VLOOKUP($A552,Table1[#This Row],COLUMN(R551), FALSE)</f>
        <v>HIGH</v>
      </c>
      <c r="S552" t="str">
        <f>VLOOKUP($A552,Table1[#This Row],COLUMN(S551), FALSE)</f>
        <v>technology</v>
      </c>
      <c r="T552" t="str">
        <f>VLOOKUP($A552,Table1[#This Row],COLUMN(T551), FALSE)</f>
        <v>41501</v>
      </c>
      <c r="U552" t="str">
        <f>VLOOKUP($A552,Table1[#This Row],COLUMN(U551), FALSE)</f>
        <v>KM162257</v>
      </c>
      <c r="V552" t="str">
        <f>VLOOKUP($A552,Table1[#This Row],COLUMN(V551), FALSE)</f>
        <v>ID</v>
      </c>
      <c r="W552">
        <f>VLOOKUP($A552,Table1[#This Row],COLUMN(W551), FALSE)</f>
        <v>2013</v>
      </c>
      <c r="X552" t="str">
        <f>VLOOKUP($A552,Table1[#This Row],COLUMN(X551), FALSE)</f>
        <v>KM162257</v>
      </c>
      <c r="Y552">
        <f>VLOOKUP($A552,Table1[#This Row],COLUMN(Y551), FALSE)</f>
        <v>41501</v>
      </c>
      <c r="Z552" t="str">
        <f>VLOOKUP($A552,Table1[#This Row],COLUMN(Z551), FALSE)</f>
        <v>ID-2013-KM162257-41501</v>
      </c>
      <c r="AA552">
        <f>VLOOKUP($A552,Table1[#This Row],COLUMN(AA551), FALSE)</f>
        <v>2013</v>
      </c>
      <c r="AB552">
        <f>VLOOKUP($A552,Table1[#This Row],COLUMN(AB551), FALSE)</f>
        <v>8</v>
      </c>
      <c r="AC552">
        <f>VLOOKUP($A552,Table1[#This Row],COLUMN(AC551), FALSE)</f>
        <v>5</v>
      </c>
      <c r="AD552">
        <f>VLOOKUP($A552,Table1[#This Row],COLUMN(AD551), FALSE)</f>
        <v>4</v>
      </c>
    </row>
    <row r="553" spans="1:30" ht="15.75">
      <c r="A553" s="54" t="s">
        <v>1573</v>
      </c>
      <c r="B553" s="52">
        <f>VLOOKUP($A553,Table1[#This Row],COLUMN(B552), FALSE)</f>
        <v>41688</v>
      </c>
      <c r="C553" s="52">
        <f>VLOOKUP($A553,Table1[#This Row],COLUMN(C552), FALSE)</f>
        <v>41695</v>
      </c>
      <c r="D553" t="str">
        <f>VLOOKUP($A553,Table1[#This Row],COLUMN(D552), FALSE)</f>
        <v>Benjamin Venier</v>
      </c>
      <c r="E553" t="str">
        <f>VLOOKUP($A553,Table1[#This Row],COLUMN(E552), FALSE)</f>
        <v>Spain</v>
      </c>
      <c r="F553" t="str">
        <f>VLOOKUP($A553,Table1[#This Row],COLUMN(F552), FALSE)</f>
        <v>Southern Europe</v>
      </c>
      <c r="G553" t="str">
        <f>VLOOKUP($A553,Table1[#This Row],COLUMN(G552), FALSE)</f>
        <v>Technology</v>
      </c>
      <c r="H553" t="str">
        <f>VLOOKUP($A553,Table1[#This Row],COLUMN(H552), FALSE)</f>
        <v>Bookcases</v>
      </c>
      <c r="I553">
        <f>VLOOKUP($A553,Table1[#This Row],COLUMN(I552), FALSE)</f>
        <v>2879.82</v>
      </c>
      <c r="J553">
        <f>VLOOKUP($A553,Table1[#This Row],COLUMN(J552), FALSE)</f>
        <v>9</v>
      </c>
      <c r="K553">
        <f>VLOOKUP($A553,Table1[#This Row],COLUMN(K552), FALSE)</f>
        <v>0</v>
      </c>
      <c r="L553">
        <f>VLOOKUP($A553,Table1[#This Row],COLUMN(L552), FALSE)</f>
        <v>1295.73</v>
      </c>
      <c r="M553" t="str">
        <f>VLOOKUP($A553,Table1[#This Row],COLUMN(M552), FALSE)</f>
        <v>Medium</v>
      </c>
      <c r="N553">
        <f>VLOOKUP($A553,Table1[#This Row],COLUMN(N552), FALSE)</f>
        <v>0</v>
      </c>
      <c r="O553" t="str">
        <f>VLOOKUP($A553,Table1[#This Row],COLUMN(O552), FALSE)</f>
        <v>Benjamin Venier</v>
      </c>
      <c r="P553" t="str">
        <f>VLOOKUP($A553,Table1[#This Row],COLUMN(P552), FALSE)</f>
        <v>ES</v>
      </c>
      <c r="Q553" t="str">
        <f>VLOOKUP($A553,Table1[#This Row],COLUMN(Q552), FALSE)</f>
        <v>2014</v>
      </c>
      <c r="R553" t="str">
        <f>VLOOKUP($A553,Table1[#This Row],COLUMN(R552), FALSE)</f>
        <v>MEDIUM</v>
      </c>
      <c r="S553" t="str">
        <f>VLOOKUP($A553,Table1[#This Row],COLUMN(S552), FALSE)</f>
        <v>technology</v>
      </c>
      <c r="T553" t="str">
        <f>VLOOKUP($A553,Table1[#This Row],COLUMN(T552), FALSE)</f>
        <v>41688</v>
      </c>
      <c r="U553" t="str">
        <f>VLOOKUP($A553,Table1[#This Row],COLUMN(U552), FALSE)</f>
        <v>BV11245120</v>
      </c>
      <c r="V553" t="str">
        <f>VLOOKUP($A553,Table1[#This Row],COLUMN(V552), FALSE)</f>
        <v>ES</v>
      </c>
      <c r="W553">
        <f>VLOOKUP($A553,Table1[#This Row],COLUMN(W552), FALSE)</f>
        <v>2014</v>
      </c>
      <c r="X553" t="str">
        <f>VLOOKUP($A553,Table1[#This Row],COLUMN(X552), FALSE)</f>
        <v>BV11245120</v>
      </c>
      <c r="Y553">
        <f>VLOOKUP($A553,Table1[#This Row],COLUMN(Y552), FALSE)</f>
        <v>41688</v>
      </c>
      <c r="Z553" t="str">
        <f>VLOOKUP($A553,Table1[#This Row],COLUMN(Z552), FALSE)</f>
        <v>ES-2014-BV11245120-41688</v>
      </c>
      <c r="AA553">
        <f>VLOOKUP($A553,Table1[#This Row],COLUMN(AA552), FALSE)</f>
        <v>2014</v>
      </c>
      <c r="AB553">
        <f>VLOOKUP($A553,Table1[#This Row],COLUMN(AB552), FALSE)</f>
        <v>2</v>
      </c>
      <c r="AC553">
        <f>VLOOKUP($A553,Table1[#This Row],COLUMN(AC552), FALSE)</f>
        <v>3</v>
      </c>
      <c r="AD553">
        <f>VLOOKUP($A553,Table1[#This Row],COLUMN(AD552), FALSE)</f>
        <v>7</v>
      </c>
    </row>
    <row r="554" spans="1:30" ht="15.75">
      <c r="A554" s="53" t="s">
        <v>1581</v>
      </c>
      <c r="B554" s="52">
        <f>VLOOKUP($A554,Table1[#This Row],COLUMN(B553), FALSE)</f>
        <v>42276</v>
      </c>
      <c r="C554" s="52">
        <f>VLOOKUP($A554,Table1[#This Row],COLUMN(C553), FALSE)</f>
        <v>42283</v>
      </c>
      <c r="D554" t="str">
        <f>VLOOKUP($A554,Table1[#This Row],COLUMN(D553), FALSE)</f>
        <v>Ken Black</v>
      </c>
      <c r="E554" t="str">
        <f>VLOOKUP($A554,Table1[#This Row],COLUMN(E553), FALSE)</f>
        <v>Germany</v>
      </c>
      <c r="F554" t="str">
        <f>VLOOKUP($A554,Table1[#This Row],COLUMN(F553), FALSE)</f>
        <v>Western Europe</v>
      </c>
      <c r="G554" t="str">
        <f>VLOOKUP($A554,Table1[#This Row],COLUMN(G553), FALSE)</f>
        <v>Technology</v>
      </c>
      <c r="H554" t="str">
        <f>VLOOKUP($A554,Table1[#This Row],COLUMN(H553), FALSE)</f>
        <v>Copiers</v>
      </c>
      <c r="I554">
        <f>VLOOKUP($A554,Table1[#This Row],COLUMN(I553), FALSE)</f>
        <v>2088.2399999999998</v>
      </c>
      <c r="J554">
        <f>VLOOKUP($A554,Table1[#This Row],COLUMN(J553), FALSE)</f>
        <v>8</v>
      </c>
      <c r="K554">
        <f>VLOOKUP($A554,Table1[#This Row],COLUMN(K553), FALSE)</f>
        <v>0</v>
      </c>
      <c r="L554">
        <f>VLOOKUP($A554,Table1[#This Row],COLUMN(L553), FALSE)</f>
        <v>83.52</v>
      </c>
      <c r="M554" t="str">
        <f>VLOOKUP($A554,Table1[#This Row],COLUMN(M553), FALSE)</f>
        <v>Low</v>
      </c>
      <c r="N554">
        <f>VLOOKUP($A554,Table1[#This Row],COLUMN(N553), FALSE)</f>
        <v>0</v>
      </c>
      <c r="O554" t="str">
        <f>VLOOKUP($A554,Table1[#This Row],COLUMN(O553), FALSE)</f>
        <v>Ken Black</v>
      </c>
      <c r="P554" t="str">
        <f>VLOOKUP($A554,Table1[#This Row],COLUMN(P553), FALSE)</f>
        <v>ES</v>
      </c>
      <c r="Q554" t="str">
        <f>VLOOKUP($A554,Table1[#This Row],COLUMN(Q553), FALSE)</f>
        <v>2015</v>
      </c>
      <c r="R554" t="str">
        <f>VLOOKUP($A554,Table1[#This Row],COLUMN(R553), FALSE)</f>
        <v>LOW</v>
      </c>
      <c r="S554" t="str">
        <f>VLOOKUP($A554,Table1[#This Row],COLUMN(S553), FALSE)</f>
        <v>technology</v>
      </c>
      <c r="T554" t="str">
        <f>VLOOKUP($A554,Table1[#This Row],COLUMN(T553), FALSE)</f>
        <v>42276</v>
      </c>
      <c r="U554" t="str">
        <f>VLOOKUP($A554,Table1[#This Row],COLUMN(U553), FALSE)</f>
        <v>KB1658548</v>
      </c>
      <c r="V554" t="str">
        <f>VLOOKUP($A554,Table1[#This Row],COLUMN(V553), FALSE)</f>
        <v>ES</v>
      </c>
      <c r="W554">
        <f>VLOOKUP($A554,Table1[#This Row],COLUMN(W553), FALSE)</f>
        <v>2015</v>
      </c>
      <c r="X554" t="str">
        <f>VLOOKUP($A554,Table1[#This Row],COLUMN(X553), FALSE)</f>
        <v>KB1658548</v>
      </c>
      <c r="Y554">
        <f>VLOOKUP($A554,Table1[#This Row],COLUMN(Y553), FALSE)</f>
        <v>42276</v>
      </c>
      <c r="Z554" t="str">
        <f>VLOOKUP($A554,Table1[#This Row],COLUMN(Z553), FALSE)</f>
        <v>ES-2015-KB1658548-42276</v>
      </c>
      <c r="AA554">
        <f>VLOOKUP($A554,Table1[#This Row],COLUMN(AA553), FALSE)</f>
        <v>2015</v>
      </c>
      <c r="AB554">
        <f>VLOOKUP($A554,Table1[#This Row],COLUMN(AB553), FALSE)</f>
        <v>9</v>
      </c>
      <c r="AC554">
        <f>VLOOKUP($A554,Table1[#This Row],COLUMN(AC553), FALSE)</f>
        <v>3</v>
      </c>
      <c r="AD554">
        <f>VLOOKUP($A554,Table1[#This Row],COLUMN(AD553), FALSE)</f>
        <v>7</v>
      </c>
    </row>
    <row r="555" spans="1:30" ht="15.75">
      <c r="A555" s="54" t="s">
        <v>1582</v>
      </c>
      <c r="B555" s="52">
        <f>VLOOKUP($A555,Table1[#This Row],COLUMN(B554), FALSE)</f>
        <v>42194</v>
      </c>
      <c r="C555" s="52">
        <f>VLOOKUP($A555,Table1[#This Row],COLUMN(C554), FALSE)</f>
        <v>42198</v>
      </c>
      <c r="D555" t="str">
        <f>VLOOKUP($A555,Table1[#This Row],COLUMN(D554), FALSE)</f>
        <v>Eugene Moren</v>
      </c>
      <c r="E555" t="str">
        <f>VLOOKUP($A555,Table1[#This Row],COLUMN(E554), FALSE)</f>
        <v>India</v>
      </c>
      <c r="F555" t="str">
        <f>VLOOKUP($A555,Table1[#This Row],COLUMN(F554), FALSE)</f>
        <v>SOUTHERN ASIA</v>
      </c>
      <c r="G555" t="str">
        <f>VLOOKUP($A555,Table1[#This Row],COLUMN(G554), FALSE)</f>
        <v>Furniture</v>
      </c>
      <c r="H555" t="str">
        <f>VLOOKUP($A555,Table1[#This Row],COLUMN(H554), FALSE)</f>
        <v>Appliances</v>
      </c>
      <c r="I555">
        <f>VLOOKUP($A555,Table1[#This Row],COLUMN(I554), FALSE)</f>
        <v>2194.5300000000002</v>
      </c>
      <c r="J555">
        <f>VLOOKUP($A555,Table1[#This Row],COLUMN(J554), FALSE)</f>
        <v>13</v>
      </c>
      <c r="K555">
        <f>VLOOKUP($A555,Table1[#This Row],COLUMN(K554), FALSE)</f>
        <v>0</v>
      </c>
      <c r="L555">
        <f>VLOOKUP($A555,Table1[#This Row],COLUMN(L554), FALSE)</f>
        <v>438.75</v>
      </c>
      <c r="M555" t="str">
        <f>VLOOKUP($A555,Table1[#This Row],COLUMN(M554), FALSE)</f>
        <v>High</v>
      </c>
      <c r="N555">
        <f>VLOOKUP($A555,Table1[#This Row],COLUMN(N554), FALSE)</f>
        <v>0</v>
      </c>
      <c r="O555" t="str">
        <f>VLOOKUP($A555,Table1[#This Row],COLUMN(O554), FALSE)</f>
        <v>Eugene Moren</v>
      </c>
      <c r="P555" t="str">
        <f>VLOOKUP($A555,Table1[#This Row],COLUMN(P554), FALSE)</f>
        <v>IN</v>
      </c>
      <c r="Q555" t="str">
        <f>VLOOKUP($A555,Table1[#This Row],COLUMN(Q554), FALSE)</f>
        <v>2015</v>
      </c>
      <c r="R555" t="str">
        <f>VLOOKUP($A555,Table1[#This Row],COLUMN(R554), FALSE)</f>
        <v>HIGH</v>
      </c>
      <c r="S555" t="str">
        <f>VLOOKUP($A555,Table1[#This Row],COLUMN(S554), FALSE)</f>
        <v>furniture</v>
      </c>
      <c r="T555" t="str">
        <f>VLOOKUP($A555,Table1[#This Row],COLUMN(T554), FALSE)</f>
        <v>42194</v>
      </c>
      <c r="U555" t="str">
        <f>VLOOKUP($A555,Table1[#This Row],COLUMN(U554), FALSE)</f>
        <v>EM1414058</v>
      </c>
      <c r="V555" t="str">
        <f>VLOOKUP($A555,Table1[#This Row],COLUMN(V554), FALSE)</f>
        <v>IN</v>
      </c>
      <c r="W555">
        <f>VLOOKUP($A555,Table1[#This Row],COLUMN(W554), FALSE)</f>
        <v>2015</v>
      </c>
      <c r="X555" t="str">
        <f>VLOOKUP($A555,Table1[#This Row],COLUMN(X554), FALSE)</f>
        <v>EM1414058</v>
      </c>
      <c r="Y555">
        <f>VLOOKUP($A555,Table1[#This Row],COLUMN(Y554), FALSE)</f>
        <v>42194</v>
      </c>
      <c r="Z555" t="str">
        <f>VLOOKUP($A555,Table1[#This Row],COLUMN(Z554), FALSE)</f>
        <v>IN-2015-EM1414058-42194</v>
      </c>
      <c r="AA555">
        <f>VLOOKUP($A555,Table1[#This Row],COLUMN(AA554), FALSE)</f>
        <v>2015</v>
      </c>
      <c r="AB555">
        <f>VLOOKUP($A555,Table1[#This Row],COLUMN(AB554), FALSE)</f>
        <v>7</v>
      </c>
      <c r="AC555">
        <f>VLOOKUP($A555,Table1[#This Row],COLUMN(AC554), FALSE)</f>
        <v>5</v>
      </c>
      <c r="AD555">
        <f>VLOOKUP($A555,Table1[#This Row],COLUMN(AD554), FALSE)</f>
        <v>4</v>
      </c>
    </row>
    <row r="556" spans="1:30" ht="15.75">
      <c r="A556" s="53" t="s">
        <v>1586</v>
      </c>
      <c r="B556" s="52">
        <f>VLOOKUP($A556,Table1[#This Row],COLUMN(B555), FALSE)</f>
        <v>41783</v>
      </c>
      <c r="C556" s="52">
        <f>VLOOKUP($A556,Table1[#This Row],COLUMN(C555), FALSE)</f>
        <v>41787</v>
      </c>
      <c r="D556" t="str">
        <f>VLOOKUP($A556,Table1[#This Row],COLUMN(D555), FALSE)</f>
        <v>Chad McGuire</v>
      </c>
      <c r="E556" t="str">
        <f>VLOOKUP($A556,Table1[#This Row],COLUMN(E555), FALSE)</f>
        <v>Malaysia</v>
      </c>
      <c r="F556" t="str">
        <f>VLOOKUP($A556,Table1[#This Row],COLUMN(F555), FALSE)</f>
        <v>Southeastern Asia</v>
      </c>
      <c r="G556" t="str">
        <f>VLOOKUP($A556,Table1[#This Row],COLUMN(G555), FALSE)</f>
        <v>Furniture</v>
      </c>
      <c r="H556" t="str">
        <f>VLOOKUP($A556,Table1[#This Row],COLUMN(H555), FALSE)</f>
        <v>Appliances</v>
      </c>
      <c r="I556">
        <f>VLOOKUP($A556,Table1[#This Row],COLUMN(I555), FALSE)</f>
        <v>2761.2</v>
      </c>
      <c r="J556">
        <f>VLOOKUP($A556,Table1[#This Row],COLUMN(J555), FALSE)</f>
        <v>6</v>
      </c>
      <c r="K556">
        <f>VLOOKUP($A556,Table1[#This Row],COLUMN(K555), FALSE)</f>
        <v>0</v>
      </c>
      <c r="L556">
        <f>VLOOKUP($A556,Table1[#This Row],COLUMN(L555), FALSE)</f>
        <v>110.34</v>
      </c>
      <c r="M556" t="str">
        <f>VLOOKUP($A556,Table1[#This Row],COLUMN(M555), FALSE)</f>
        <v>Medium</v>
      </c>
      <c r="N556">
        <f>VLOOKUP($A556,Table1[#This Row],COLUMN(N555), FALSE)</f>
        <v>0</v>
      </c>
      <c r="O556" t="str">
        <f>VLOOKUP($A556,Table1[#This Row],COLUMN(O555), FALSE)</f>
        <v>Chad Mcguire</v>
      </c>
      <c r="P556" t="str">
        <f>VLOOKUP($A556,Table1[#This Row],COLUMN(P555), FALSE)</f>
        <v>IN</v>
      </c>
      <c r="Q556" t="str">
        <f>VLOOKUP($A556,Table1[#This Row],COLUMN(Q555), FALSE)</f>
        <v>2014</v>
      </c>
      <c r="R556" t="str">
        <f>VLOOKUP($A556,Table1[#This Row],COLUMN(R555), FALSE)</f>
        <v>MEDIUM</v>
      </c>
      <c r="S556" t="str">
        <f>VLOOKUP($A556,Table1[#This Row],COLUMN(S555), FALSE)</f>
        <v>furniture</v>
      </c>
      <c r="T556" t="str">
        <f>VLOOKUP($A556,Table1[#This Row],COLUMN(T555), FALSE)</f>
        <v>41783</v>
      </c>
      <c r="U556" t="str">
        <f>VLOOKUP($A556,Table1[#This Row],COLUMN(U555), FALSE)</f>
        <v>CM1211578</v>
      </c>
      <c r="V556" t="str">
        <f>VLOOKUP($A556,Table1[#This Row],COLUMN(V555), FALSE)</f>
        <v>IN</v>
      </c>
      <c r="W556">
        <f>VLOOKUP($A556,Table1[#This Row],COLUMN(W555), FALSE)</f>
        <v>2014</v>
      </c>
      <c r="X556" t="str">
        <f>VLOOKUP($A556,Table1[#This Row],COLUMN(X555), FALSE)</f>
        <v>CM1211578</v>
      </c>
      <c r="Y556">
        <f>VLOOKUP($A556,Table1[#This Row],COLUMN(Y555), FALSE)</f>
        <v>41783</v>
      </c>
      <c r="Z556" t="str">
        <f>VLOOKUP($A556,Table1[#This Row],COLUMN(Z555), FALSE)</f>
        <v>IN-2014-CM1211578-41783</v>
      </c>
      <c r="AA556">
        <f>VLOOKUP($A556,Table1[#This Row],COLUMN(AA555), FALSE)</f>
        <v>2014</v>
      </c>
      <c r="AB556">
        <f>VLOOKUP($A556,Table1[#This Row],COLUMN(AB555), FALSE)</f>
        <v>5</v>
      </c>
      <c r="AC556">
        <f>VLOOKUP($A556,Table1[#This Row],COLUMN(AC555), FALSE)</f>
        <v>7</v>
      </c>
      <c r="AD556">
        <f>VLOOKUP($A556,Table1[#This Row],COLUMN(AD555), FALSE)</f>
        <v>4</v>
      </c>
    </row>
    <row r="557" spans="1:30" ht="15.75">
      <c r="A557" s="54" t="s">
        <v>217</v>
      </c>
      <c r="B557" s="52">
        <f>VLOOKUP($A557,Table1[#This Row],COLUMN(B556), FALSE)</f>
        <v>41537</v>
      </c>
      <c r="C557" s="52">
        <f>VLOOKUP($A557,Table1[#This Row],COLUMN(C556), FALSE)</f>
        <v>41539</v>
      </c>
      <c r="D557" t="str">
        <f>VLOOKUP($A557,Table1[#This Row],COLUMN(D556), FALSE)</f>
        <v>Aimee Bixby</v>
      </c>
      <c r="E557" t="str">
        <f>VLOOKUP($A557,Table1[#This Row],COLUMN(E556), FALSE)</f>
        <v>United Kingdom</v>
      </c>
      <c r="F557" t="str">
        <f>VLOOKUP($A557,Table1[#This Row],COLUMN(F556), FALSE)</f>
        <v>Northern Europe</v>
      </c>
      <c r="G557" t="str">
        <f>VLOOKUP($A557,Table1[#This Row],COLUMN(G556), FALSE)</f>
        <v>Technology</v>
      </c>
      <c r="H557" t="str">
        <f>VLOOKUP($A557,Table1[#This Row],COLUMN(H556), FALSE)</f>
        <v>Phones</v>
      </c>
      <c r="I557">
        <f>VLOOKUP($A557,Table1[#This Row],COLUMN(I556), FALSE)</f>
        <v>1677.1859999999999</v>
      </c>
      <c r="J557">
        <f>VLOOKUP($A557,Table1[#This Row],COLUMN(J556), FALSE)</f>
        <v>6</v>
      </c>
      <c r="K557">
        <f>VLOOKUP($A557,Table1[#This Row],COLUMN(K556), FALSE)</f>
        <v>0.1</v>
      </c>
      <c r="L557">
        <f>VLOOKUP($A557,Table1[#This Row],COLUMN(L556), FALSE)</f>
        <v>521.76599999999996</v>
      </c>
      <c r="M557" t="str">
        <f>VLOOKUP($A557,Table1[#This Row],COLUMN(M556), FALSE)</f>
        <v>High</v>
      </c>
      <c r="N557">
        <f>VLOOKUP($A557,Table1[#This Row],COLUMN(N556), FALSE)</f>
        <v>0</v>
      </c>
      <c r="O557" t="str">
        <f>VLOOKUP($A557,Table1[#This Row],COLUMN(O556), FALSE)</f>
        <v>Aimee Bixby</v>
      </c>
      <c r="P557" t="str">
        <f>VLOOKUP($A557,Table1[#This Row],COLUMN(P556), FALSE)</f>
        <v>ES</v>
      </c>
      <c r="Q557" t="str">
        <f>VLOOKUP($A557,Table1[#This Row],COLUMN(Q556), FALSE)</f>
        <v>2013</v>
      </c>
      <c r="R557" t="str">
        <f>VLOOKUP($A557,Table1[#This Row],COLUMN(R556), FALSE)</f>
        <v>HIGH</v>
      </c>
      <c r="S557" t="str">
        <f>VLOOKUP($A557,Table1[#This Row],COLUMN(S556), FALSE)</f>
        <v>technology</v>
      </c>
      <c r="T557" t="str">
        <f>VLOOKUP($A557,Table1[#This Row],COLUMN(T556), FALSE)</f>
        <v>41537</v>
      </c>
      <c r="U557" t="str">
        <f>VLOOKUP($A557,Table1[#This Row],COLUMN(U556), FALSE)</f>
        <v>AB10150139</v>
      </c>
      <c r="V557" t="str">
        <f>VLOOKUP($A557,Table1[#This Row],COLUMN(V556), FALSE)</f>
        <v>ES</v>
      </c>
      <c r="W557">
        <f>VLOOKUP($A557,Table1[#This Row],COLUMN(W556), FALSE)</f>
        <v>2013</v>
      </c>
      <c r="X557" t="str">
        <f>VLOOKUP($A557,Table1[#This Row],COLUMN(X556), FALSE)</f>
        <v>AB10150139</v>
      </c>
      <c r="Y557">
        <f>VLOOKUP($A557,Table1[#This Row],COLUMN(Y556), FALSE)</f>
        <v>41537</v>
      </c>
      <c r="Z557" t="str">
        <f>VLOOKUP($A557,Table1[#This Row],COLUMN(Z556), FALSE)</f>
        <v>ES-2013-AB10150139-41537</v>
      </c>
      <c r="AA557">
        <f>VLOOKUP($A557,Table1[#This Row],COLUMN(AA556), FALSE)</f>
        <v>2013</v>
      </c>
      <c r="AB557">
        <f>VLOOKUP($A557,Table1[#This Row],COLUMN(AB556), FALSE)</f>
        <v>9</v>
      </c>
      <c r="AC557">
        <f>VLOOKUP($A557,Table1[#This Row],COLUMN(AC556), FALSE)</f>
        <v>6</v>
      </c>
      <c r="AD557">
        <f>VLOOKUP($A557,Table1[#This Row],COLUMN(AD556), FALSE)</f>
        <v>2</v>
      </c>
    </row>
    <row r="558" spans="1:30" ht="15.75">
      <c r="A558" s="53" t="s">
        <v>1601</v>
      </c>
      <c r="B558" s="52">
        <f>VLOOKUP($A558,Table1[#This Row],COLUMN(B557), FALSE)</f>
        <v>41972</v>
      </c>
      <c r="C558" s="52">
        <f>VLOOKUP($A558,Table1[#This Row],COLUMN(C557), FALSE)</f>
        <v>41977</v>
      </c>
      <c r="D558" t="str">
        <f>VLOOKUP($A558,Table1[#This Row],COLUMN(D557), FALSE)</f>
        <v>Alejandro Savely</v>
      </c>
      <c r="E558" t="str">
        <f>VLOOKUP($A558,Table1[#This Row],COLUMN(E557), FALSE)</f>
        <v>Iran</v>
      </c>
      <c r="F558" t="str">
        <f>VLOOKUP($A558,Table1[#This Row],COLUMN(F557), FALSE)</f>
        <v>Suothern Asia</v>
      </c>
      <c r="G558" t="str">
        <f>VLOOKUP($A558,Table1[#This Row],COLUMN(G557), FALSE)</f>
        <v>Technology</v>
      </c>
      <c r="H558" t="str">
        <f>VLOOKUP($A558,Table1[#This Row],COLUMN(H557), FALSE)</f>
        <v>Appliances</v>
      </c>
      <c r="I558">
        <f>VLOOKUP($A558,Table1[#This Row],COLUMN(I557), FALSE)</f>
        <v>1531.2</v>
      </c>
      <c r="J558">
        <f>VLOOKUP($A558,Table1[#This Row],COLUMN(J557), FALSE)</f>
        <v>10</v>
      </c>
      <c r="K558">
        <f>VLOOKUP($A558,Table1[#This Row],COLUMN(K557), FALSE)</f>
        <v>0</v>
      </c>
      <c r="L558">
        <f>VLOOKUP($A558,Table1[#This Row],COLUMN(L557), FALSE)</f>
        <v>45.9</v>
      </c>
      <c r="M558" t="str">
        <f>VLOOKUP($A558,Table1[#This Row],COLUMN(M557), FALSE)</f>
        <v>High</v>
      </c>
      <c r="N558">
        <f>VLOOKUP($A558,Table1[#This Row],COLUMN(N557), FALSE)</f>
        <v>0</v>
      </c>
      <c r="O558" t="str">
        <f>VLOOKUP($A558,Table1[#This Row],COLUMN(O557), FALSE)</f>
        <v>Alejandro Savely</v>
      </c>
      <c r="P558" t="str">
        <f>VLOOKUP($A558,Table1[#This Row],COLUMN(P557), FALSE)</f>
        <v>I-</v>
      </c>
      <c r="Q558" t="str">
        <f>VLOOKUP($A558,Table1[#This Row],COLUMN(Q557), FALSE)</f>
        <v>2014</v>
      </c>
      <c r="R558" t="str">
        <f>VLOOKUP($A558,Table1[#This Row],COLUMN(R557), FALSE)</f>
        <v>HIGH</v>
      </c>
      <c r="S558" t="str">
        <f>VLOOKUP($A558,Table1[#This Row],COLUMN(S557), FALSE)</f>
        <v>technology</v>
      </c>
      <c r="T558" t="str">
        <f>VLOOKUP($A558,Table1[#This Row],COLUMN(T557), FALSE)</f>
        <v>41972</v>
      </c>
      <c r="U558" t="str">
        <f>VLOOKUP($A558,Table1[#This Row],COLUMN(U557), FALSE)</f>
        <v>AS28560</v>
      </c>
      <c r="V558" t="str">
        <f>VLOOKUP($A558,Table1[#This Row],COLUMN(V557), FALSE)</f>
        <v>I</v>
      </c>
      <c r="W558" t="str">
        <f>VLOOKUP($A558,Table1[#This Row],COLUMN(W557), FALSE)</f>
        <v>R2014</v>
      </c>
      <c r="X558" t="str">
        <f>VLOOKUP($A558,Table1[#This Row],COLUMN(X557), FALSE)</f>
        <v>AS28560</v>
      </c>
      <c r="Y558">
        <f>VLOOKUP($A558,Table1[#This Row],COLUMN(Y557), FALSE)</f>
        <v>41972</v>
      </c>
      <c r="Z558" t="str">
        <f>VLOOKUP($A558,Table1[#This Row],COLUMN(Z557), FALSE)</f>
        <v>I-R2014-AS28560-41972</v>
      </c>
      <c r="AA558">
        <f>VLOOKUP($A558,Table1[#This Row],COLUMN(AA557), FALSE)</f>
        <v>2014</v>
      </c>
      <c r="AB558">
        <f>VLOOKUP($A558,Table1[#This Row],COLUMN(AB557), FALSE)</f>
        <v>11</v>
      </c>
      <c r="AC558">
        <f>VLOOKUP($A558,Table1[#This Row],COLUMN(AC557), FALSE)</f>
        <v>7</v>
      </c>
      <c r="AD558">
        <f>VLOOKUP($A558,Table1[#This Row],COLUMN(AD557), FALSE)</f>
        <v>5</v>
      </c>
    </row>
    <row r="559" spans="1:30" ht="15.75">
      <c r="A559" s="54" t="s">
        <v>1606</v>
      </c>
      <c r="B559" s="52">
        <f>VLOOKUP($A559,Table1[#This Row],COLUMN(B558), FALSE)</f>
        <v>41679</v>
      </c>
      <c r="C559" s="52">
        <f>VLOOKUP($A559,Table1[#This Row],COLUMN(C558), FALSE)</f>
        <v>41685</v>
      </c>
      <c r="D559" t="str">
        <f>VLOOKUP($A559,Table1[#This Row],COLUMN(D558), FALSE)</f>
        <v>Stuart Van</v>
      </c>
      <c r="E559" t="str">
        <f>VLOOKUP($A559,Table1[#This Row],COLUMN(E558), FALSE)</f>
        <v>Australia</v>
      </c>
      <c r="F559" t="str">
        <f>VLOOKUP($A559,Table1[#This Row],COLUMN(F558), FALSE)</f>
        <v>Oceania</v>
      </c>
      <c r="G559" t="str">
        <f>VLOOKUP($A559,Table1[#This Row],COLUMN(G558), FALSE)</f>
        <v>Furniture</v>
      </c>
      <c r="H559" t="str">
        <f>VLOOKUP($A559,Table1[#This Row],COLUMN(H558), FALSE)</f>
        <v>Phones</v>
      </c>
      <c r="I559">
        <f>VLOOKUP($A559,Table1[#This Row],COLUMN(I558), FALSE)</f>
        <v>2951.991</v>
      </c>
      <c r="J559">
        <f>VLOOKUP($A559,Table1[#This Row],COLUMN(J558), FALSE)</f>
        <v>9</v>
      </c>
      <c r="K559">
        <f>VLOOKUP($A559,Table1[#This Row],COLUMN(K558), FALSE)</f>
        <v>0.3</v>
      </c>
      <c r="L559">
        <f>VLOOKUP($A559,Table1[#This Row],COLUMN(L558), FALSE)</f>
        <v>-632.79899999999895</v>
      </c>
      <c r="M559" t="str">
        <f>VLOOKUP($A559,Table1[#This Row],COLUMN(M558), FALSE)</f>
        <v>Medium</v>
      </c>
      <c r="N559">
        <f>VLOOKUP($A559,Table1[#This Row],COLUMN(N558), FALSE)</f>
        <v>0</v>
      </c>
      <c r="O559" t="str">
        <f>VLOOKUP($A559,Table1[#This Row],COLUMN(O558), FALSE)</f>
        <v>Stuart Van</v>
      </c>
      <c r="P559" t="str">
        <f>VLOOKUP($A559,Table1[#This Row],COLUMN(P558), FALSE)</f>
        <v>ID</v>
      </c>
      <c r="Q559" t="str">
        <f>VLOOKUP($A559,Table1[#This Row],COLUMN(Q558), FALSE)</f>
        <v>2014</v>
      </c>
      <c r="R559" t="str">
        <f>VLOOKUP($A559,Table1[#This Row],COLUMN(R558), FALSE)</f>
        <v>MEDIUM</v>
      </c>
      <c r="S559" t="str">
        <f>VLOOKUP($A559,Table1[#This Row],COLUMN(S558), FALSE)</f>
        <v>furniture</v>
      </c>
      <c r="T559" t="str">
        <f>VLOOKUP($A559,Table1[#This Row],COLUMN(T558), FALSE)</f>
        <v>41679</v>
      </c>
      <c r="U559" t="str">
        <f>VLOOKUP($A559,Table1[#This Row],COLUMN(U558), FALSE)</f>
        <v>SV208157</v>
      </c>
      <c r="V559" t="str">
        <f>VLOOKUP($A559,Table1[#This Row],COLUMN(V558), FALSE)</f>
        <v>ID</v>
      </c>
      <c r="W559">
        <f>VLOOKUP($A559,Table1[#This Row],COLUMN(W558), FALSE)</f>
        <v>2014</v>
      </c>
      <c r="X559" t="str">
        <f>VLOOKUP($A559,Table1[#This Row],COLUMN(X558), FALSE)</f>
        <v>SV208157</v>
      </c>
      <c r="Y559">
        <f>VLOOKUP($A559,Table1[#This Row],COLUMN(Y558), FALSE)</f>
        <v>41679</v>
      </c>
      <c r="Z559" t="str">
        <f>VLOOKUP($A559,Table1[#This Row],COLUMN(Z558), FALSE)</f>
        <v>ID-2014-SV208157-41679</v>
      </c>
      <c r="AA559">
        <f>VLOOKUP($A559,Table1[#This Row],COLUMN(AA558), FALSE)</f>
        <v>2014</v>
      </c>
      <c r="AB559">
        <f>VLOOKUP($A559,Table1[#This Row],COLUMN(AB558), FALSE)</f>
        <v>2</v>
      </c>
      <c r="AC559">
        <f>VLOOKUP($A559,Table1[#This Row],COLUMN(AC558), FALSE)</f>
        <v>1</v>
      </c>
      <c r="AD559">
        <f>VLOOKUP($A559,Table1[#This Row],COLUMN(AD558), FALSE)</f>
        <v>6</v>
      </c>
    </row>
    <row r="560" spans="1:30" ht="15.75">
      <c r="A560" s="53" t="s">
        <v>1612</v>
      </c>
      <c r="B560" s="52">
        <f>VLOOKUP($A560,Table1[#This Row],COLUMN(B559), FALSE)</f>
        <v>42179</v>
      </c>
      <c r="C560" s="52">
        <f>VLOOKUP($A560,Table1[#This Row],COLUMN(C559), FALSE)</f>
        <v>42185</v>
      </c>
      <c r="D560" t="str">
        <f>VLOOKUP($A560,Table1[#This Row],COLUMN(D559), FALSE)</f>
        <v>Pamela Stobb</v>
      </c>
      <c r="E560" t="str">
        <f>VLOOKUP($A560,Table1[#This Row],COLUMN(E559), FALSE)</f>
        <v>Germany</v>
      </c>
      <c r="F560" t="str">
        <f>VLOOKUP($A560,Table1[#This Row],COLUMN(F559), FALSE)</f>
        <v>Western Europe</v>
      </c>
      <c r="G560" t="str">
        <f>VLOOKUP($A560,Table1[#This Row],COLUMN(G559), FALSE)</f>
        <v>Technology</v>
      </c>
      <c r="H560" t="str">
        <f>VLOOKUP($A560,Table1[#This Row],COLUMN(H559), FALSE)</f>
        <v>Furnishings</v>
      </c>
      <c r="I560">
        <f>VLOOKUP($A560,Table1[#This Row],COLUMN(I559), FALSE)</f>
        <v>3873.24</v>
      </c>
      <c r="J560">
        <f>VLOOKUP($A560,Table1[#This Row],COLUMN(J559), FALSE)</f>
        <v>6</v>
      </c>
      <c r="K560">
        <f>VLOOKUP($A560,Table1[#This Row],COLUMN(K559), FALSE)</f>
        <v>0</v>
      </c>
      <c r="L560">
        <f>VLOOKUP($A560,Table1[#This Row],COLUMN(L559), FALSE)</f>
        <v>890.81999999999903</v>
      </c>
      <c r="M560" t="str">
        <f>VLOOKUP($A560,Table1[#This Row],COLUMN(M559), FALSE)</f>
        <v>Medium</v>
      </c>
      <c r="N560">
        <f>VLOOKUP($A560,Table1[#This Row],COLUMN(N559), FALSE)</f>
        <v>0</v>
      </c>
      <c r="O560" t="str">
        <f>VLOOKUP($A560,Table1[#This Row],COLUMN(O559), FALSE)</f>
        <v>Pamela Stobb</v>
      </c>
      <c r="P560" t="str">
        <f>VLOOKUP($A560,Table1[#This Row],COLUMN(P559), FALSE)</f>
        <v>ES</v>
      </c>
      <c r="Q560" t="str">
        <f>VLOOKUP($A560,Table1[#This Row],COLUMN(Q559), FALSE)</f>
        <v>2015</v>
      </c>
      <c r="R560" t="str">
        <f>VLOOKUP($A560,Table1[#This Row],COLUMN(R559), FALSE)</f>
        <v>MEDIUM</v>
      </c>
      <c r="S560" t="str">
        <f>VLOOKUP($A560,Table1[#This Row],COLUMN(S559), FALSE)</f>
        <v>technology</v>
      </c>
      <c r="T560" t="str">
        <f>VLOOKUP($A560,Table1[#This Row],COLUMN(T559), FALSE)</f>
        <v>42179</v>
      </c>
      <c r="U560" t="str">
        <f>VLOOKUP($A560,Table1[#This Row],COLUMN(U559), FALSE)</f>
        <v>PS1876048</v>
      </c>
      <c r="V560" t="str">
        <f>VLOOKUP($A560,Table1[#This Row],COLUMN(V559), FALSE)</f>
        <v>ES</v>
      </c>
      <c r="W560">
        <f>VLOOKUP($A560,Table1[#This Row],COLUMN(W559), FALSE)</f>
        <v>2015</v>
      </c>
      <c r="X560" t="str">
        <f>VLOOKUP($A560,Table1[#This Row],COLUMN(X559), FALSE)</f>
        <v>PS1876048</v>
      </c>
      <c r="Y560">
        <f>VLOOKUP($A560,Table1[#This Row],COLUMN(Y559), FALSE)</f>
        <v>42179</v>
      </c>
      <c r="Z560" t="str">
        <f>VLOOKUP($A560,Table1[#This Row],COLUMN(Z559), FALSE)</f>
        <v>ES-2015-PS1876048-42179</v>
      </c>
      <c r="AA560">
        <f>VLOOKUP($A560,Table1[#This Row],COLUMN(AA559), FALSE)</f>
        <v>2015</v>
      </c>
      <c r="AB560">
        <f>VLOOKUP($A560,Table1[#This Row],COLUMN(AB559), FALSE)</f>
        <v>6</v>
      </c>
      <c r="AC560">
        <f>VLOOKUP($A560,Table1[#This Row],COLUMN(AC559), FALSE)</f>
        <v>4</v>
      </c>
      <c r="AD560">
        <f>VLOOKUP($A560,Table1[#This Row],COLUMN(AD559), FALSE)</f>
        <v>6</v>
      </c>
    </row>
    <row r="561" spans="1:30" ht="15.75">
      <c r="A561" s="54" t="s">
        <v>1617</v>
      </c>
      <c r="B561" s="52">
        <f>VLOOKUP($A561,Table1[#This Row],COLUMN(B560), FALSE)</f>
        <v>42032</v>
      </c>
      <c r="C561" s="52">
        <f>VLOOKUP($A561,Table1[#This Row],COLUMN(C560), FALSE)</f>
        <v>42034</v>
      </c>
      <c r="D561" t="str">
        <f>VLOOKUP($A561,Table1[#This Row],COLUMN(D560), FALSE)</f>
        <v>Catherine Glotzbach</v>
      </c>
      <c r="E561" t="str">
        <f>VLOOKUP($A561,Table1[#This Row],COLUMN(E560), FALSE)</f>
        <v>new zealand</v>
      </c>
      <c r="F561" t="str">
        <f>VLOOKUP($A561,Table1[#This Row],COLUMN(F560), FALSE)</f>
        <v>Oceania</v>
      </c>
      <c r="G561" t="str">
        <f>VLOOKUP($A561,Table1[#This Row],COLUMN(G560), FALSE)</f>
        <v>Furniture</v>
      </c>
      <c r="H561" t="str">
        <f>VLOOKUP($A561,Table1[#This Row],COLUMN(H560), FALSE)</f>
        <v>Bookcases</v>
      </c>
      <c r="I561">
        <f>VLOOKUP($A561,Table1[#This Row],COLUMN(I560), FALSE)</f>
        <v>759.06</v>
      </c>
      <c r="J561">
        <f>VLOOKUP($A561,Table1[#This Row],COLUMN(J560), FALSE)</f>
        <v>6</v>
      </c>
      <c r="K561">
        <f>VLOOKUP($A561,Table1[#This Row],COLUMN(K560), FALSE)</f>
        <v>0</v>
      </c>
      <c r="L561">
        <f>VLOOKUP($A561,Table1[#This Row],COLUMN(L560), FALSE)</f>
        <v>15.12</v>
      </c>
      <c r="M561" t="str">
        <f>VLOOKUP($A561,Table1[#This Row],COLUMN(M560), FALSE)</f>
        <v>Critical</v>
      </c>
      <c r="N561">
        <f>VLOOKUP($A561,Table1[#This Row],COLUMN(N560), FALSE)</f>
        <v>0</v>
      </c>
      <c r="O561" t="str">
        <f>VLOOKUP($A561,Table1[#This Row],COLUMN(O560), FALSE)</f>
        <v>Catherine Glotzbach</v>
      </c>
      <c r="P561" t="str">
        <f>VLOOKUP($A561,Table1[#This Row],COLUMN(P560), FALSE)</f>
        <v>IN</v>
      </c>
      <c r="Q561" t="str">
        <f>VLOOKUP($A561,Table1[#This Row],COLUMN(Q560), FALSE)</f>
        <v>2015</v>
      </c>
      <c r="R561" t="str">
        <f>VLOOKUP($A561,Table1[#This Row],COLUMN(R560), FALSE)</f>
        <v>CRITICAL</v>
      </c>
      <c r="S561" t="str">
        <f>VLOOKUP($A561,Table1[#This Row],COLUMN(S560), FALSE)</f>
        <v>furniture</v>
      </c>
      <c r="T561" t="str">
        <f>VLOOKUP($A561,Table1[#This Row],COLUMN(T560), FALSE)</f>
        <v>42032</v>
      </c>
      <c r="U561" t="str">
        <f>VLOOKUP($A561,Table1[#This Row],COLUMN(U560), FALSE)</f>
        <v>CG1204092</v>
      </c>
      <c r="V561" t="str">
        <f>VLOOKUP($A561,Table1[#This Row],COLUMN(V560), FALSE)</f>
        <v>IN</v>
      </c>
      <c r="W561">
        <f>VLOOKUP($A561,Table1[#This Row],COLUMN(W560), FALSE)</f>
        <v>2015</v>
      </c>
      <c r="X561" t="str">
        <f>VLOOKUP($A561,Table1[#This Row],COLUMN(X560), FALSE)</f>
        <v>CG1204092</v>
      </c>
      <c r="Y561">
        <f>VLOOKUP($A561,Table1[#This Row],COLUMN(Y560), FALSE)</f>
        <v>42032</v>
      </c>
      <c r="Z561" t="str">
        <f>VLOOKUP($A561,Table1[#This Row],COLUMN(Z560), FALSE)</f>
        <v>IN-2015-CG1204092-42032</v>
      </c>
      <c r="AA561">
        <f>VLOOKUP($A561,Table1[#This Row],COLUMN(AA560), FALSE)</f>
        <v>2015</v>
      </c>
      <c r="AB561">
        <f>VLOOKUP($A561,Table1[#This Row],COLUMN(AB560), FALSE)</f>
        <v>1</v>
      </c>
      <c r="AC561">
        <f>VLOOKUP($A561,Table1[#This Row],COLUMN(AC560), FALSE)</f>
        <v>4</v>
      </c>
      <c r="AD561">
        <f>VLOOKUP($A561,Table1[#This Row],COLUMN(AD560), FALSE)</f>
        <v>2</v>
      </c>
    </row>
    <row r="562" spans="1:30" ht="15.75">
      <c r="A562" s="53" t="s">
        <v>1621</v>
      </c>
      <c r="B562" s="52">
        <f>VLOOKUP($A562,Table1[#This Row],COLUMN(B561), FALSE)</f>
        <v>41132</v>
      </c>
      <c r="C562" s="52">
        <f>VLOOKUP($A562,Table1[#This Row],COLUMN(C561), FALSE)</f>
        <v>41135</v>
      </c>
      <c r="D562" t="str">
        <f>VLOOKUP($A562,Table1[#This Row],COLUMN(D561), FALSE)</f>
        <v>Clay Rozendal</v>
      </c>
      <c r="E562" t="str">
        <f>VLOOKUP($A562,Table1[#This Row],COLUMN(E561), FALSE)</f>
        <v>Vietnam</v>
      </c>
      <c r="F562" t="str">
        <f>VLOOKUP($A562,Table1[#This Row],COLUMN(F561), FALSE)</f>
        <v>Southeastern Asia</v>
      </c>
      <c r="G562" t="str">
        <f>VLOOKUP($A562,Table1[#This Row],COLUMN(G561), FALSE)</f>
        <v>Technology</v>
      </c>
      <c r="H562" t="str">
        <f>VLOOKUP($A562,Table1[#This Row],COLUMN(H561), FALSE)</f>
        <v>Bookcases</v>
      </c>
      <c r="I562">
        <f>VLOOKUP($A562,Table1[#This Row],COLUMN(I561), FALSE)</f>
        <v>1161.1971000000001</v>
      </c>
      <c r="J562">
        <f>VLOOKUP($A562,Table1[#This Row],COLUMN(J561), FALSE)</f>
        <v>7</v>
      </c>
      <c r="K562">
        <f>VLOOKUP($A562,Table1[#This Row],COLUMN(K561), FALSE)</f>
        <v>0.37</v>
      </c>
      <c r="L562">
        <f>VLOOKUP($A562,Table1[#This Row],COLUMN(L561), FALSE)</f>
        <v>-147.52289999999999</v>
      </c>
      <c r="M562" t="str">
        <f>VLOOKUP($A562,Table1[#This Row],COLUMN(M561), FALSE)</f>
        <v>High</v>
      </c>
      <c r="N562">
        <f>VLOOKUP($A562,Table1[#This Row],COLUMN(N561), FALSE)</f>
        <v>0</v>
      </c>
      <c r="O562" t="str">
        <f>VLOOKUP($A562,Table1[#This Row],COLUMN(O561), FALSE)</f>
        <v>Clay Rozendal</v>
      </c>
      <c r="P562" t="str">
        <f>VLOOKUP($A562,Table1[#This Row],COLUMN(P561), FALSE)</f>
        <v>ID</v>
      </c>
      <c r="Q562" t="str">
        <f>VLOOKUP($A562,Table1[#This Row],COLUMN(Q561), FALSE)</f>
        <v>2012</v>
      </c>
      <c r="R562" t="str">
        <f>VLOOKUP($A562,Table1[#This Row],COLUMN(R561), FALSE)</f>
        <v>HIGH</v>
      </c>
      <c r="S562" t="str">
        <f>VLOOKUP($A562,Table1[#This Row],COLUMN(S561), FALSE)</f>
        <v>technology</v>
      </c>
      <c r="T562" t="str">
        <f>VLOOKUP($A562,Table1[#This Row],COLUMN(T561), FALSE)</f>
        <v>41132</v>
      </c>
      <c r="U562" t="str">
        <f>VLOOKUP($A562,Table1[#This Row],COLUMN(U561), FALSE)</f>
        <v>CR12580144</v>
      </c>
      <c r="V562" t="str">
        <f>VLOOKUP($A562,Table1[#This Row],COLUMN(V561), FALSE)</f>
        <v>ID</v>
      </c>
      <c r="W562">
        <f>VLOOKUP($A562,Table1[#This Row],COLUMN(W561), FALSE)</f>
        <v>2012</v>
      </c>
      <c r="X562" t="str">
        <f>VLOOKUP($A562,Table1[#This Row],COLUMN(X561), FALSE)</f>
        <v>CR12580144</v>
      </c>
      <c r="Y562">
        <f>VLOOKUP($A562,Table1[#This Row],COLUMN(Y561), FALSE)</f>
        <v>41132</v>
      </c>
      <c r="Z562" t="str">
        <f>VLOOKUP($A562,Table1[#This Row],COLUMN(Z561), FALSE)</f>
        <v>ID-2012-CR12580144-41132</v>
      </c>
      <c r="AA562">
        <f>VLOOKUP($A562,Table1[#This Row],COLUMN(AA561), FALSE)</f>
        <v>2012</v>
      </c>
      <c r="AB562">
        <f>VLOOKUP($A562,Table1[#This Row],COLUMN(AB561), FALSE)</f>
        <v>8</v>
      </c>
      <c r="AC562">
        <f>VLOOKUP($A562,Table1[#This Row],COLUMN(AC561), FALSE)</f>
        <v>7</v>
      </c>
      <c r="AD562">
        <f>VLOOKUP($A562,Table1[#This Row],COLUMN(AD561), FALSE)</f>
        <v>3</v>
      </c>
    </row>
    <row r="563" spans="1:30" ht="15.75">
      <c r="A563" s="54" t="s">
        <v>1627</v>
      </c>
      <c r="B563" s="52">
        <f>VLOOKUP($A563,Table1[#This Row],COLUMN(B562), FALSE)</f>
        <v>41284</v>
      </c>
      <c r="C563" s="52">
        <f>VLOOKUP($A563,Table1[#This Row],COLUMN(C562), FALSE)</f>
        <v>41554</v>
      </c>
      <c r="D563" t="str">
        <f>VLOOKUP($A563,Table1[#This Row],COLUMN(D562), FALSE)</f>
        <v>Cynthia Arntzen</v>
      </c>
      <c r="E563" t="str">
        <f>VLOOKUP($A563,Table1[#This Row],COLUMN(E562), FALSE)</f>
        <v>India</v>
      </c>
      <c r="F563" t="str">
        <f>VLOOKUP($A563,Table1[#This Row],COLUMN(F562), FALSE)</f>
        <v>Southern Asia</v>
      </c>
      <c r="G563" t="str">
        <f>VLOOKUP($A563,Table1[#This Row],COLUMN(G562), FALSE)</f>
        <v>Furniture</v>
      </c>
      <c r="H563" t="str">
        <f>VLOOKUP($A563,Table1[#This Row],COLUMN(H562), FALSE)</f>
        <v>Copiers</v>
      </c>
      <c r="I563">
        <f>VLOOKUP($A563,Table1[#This Row],COLUMN(I562), FALSE)</f>
        <v>3547.44</v>
      </c>
      <c r="J563">
        <f>VLOOKUP($A563,Table1[#This Row],COLUMN(J562), FALSE)</f>
        <v>8</v>
      </c>
      <c r="K563">
        <f>VLOOKUP($A563,Table1[#This Row],COLUMN(K562), FALSE)</f>
        <v>0</v>
      </c>
      <c r="L563">
        <f>VLOOKUP($A563,Table1[#This Row],COLUMN(L562), FALSE)</f>
        <v>780.24</v>
      </c>
      <c r="M563" t="str">
        <f>VLOOKUP($A563,Table1[#This Row],COLUMN(M562), FALSE)</f>
        <v>Medium</v>
      </c>
      <c r="N563">
        <f>VLOOKUP($A563,Table1[#This Row],COLUMN(N562), FALSE)</f>
        <v>0</v>
      </c>
      <c r="O563" t="str">
        <f>VLOOKUP($A563,Table1[#This Row],COLUMN(O562), FALSE)</f>
        <v>Cynthia Arntzen</v>
      </c>
      <c r="P563" t="str">
        <f>VLOOKUP($A563,Table1[#This Row],COLUMN(P562), FALSE)</f>
        <v>IN</v>
      </c>
      <c r="Q563" t="str">
        <f>VLOOKUP($A563,Table1[#This Row],COLUMN(Q562), FALSE)</f>
        <v>2013</v>
      </c>
      <c r="R563" t="str">
        <f>VLOOKUP($A563,Table1[#This Row],COLUMN(R562), FALSE)</f>
        <v>MEDIUM</v>
      </c>
      <c r="S563" t="str">
        <f>VLOOKUP($A563,Table1[#This Row],COLUMN(S562), FALSE)</f>
        <v>furniture</v>
      </c>
      <c r="T563" t="str">
        <f>VLOOKUP($A563,Table1[#This Row],COLUMN(T562), FALSE)</f>
        <v>41548</v>
      </c>
      <c r="U563" t="str">
        <f>VLOOKUP($A563,Table1[#This Row],COLUMN(U562), FALSE)</f>
        <v>CA1277558</v>
      </c>
      <c r="V563" t="str">
        <f>VLOOKUP($A563,Table1[#This Row],COLUMN(V562), FALSE)</f>
        <v>IN</v>
      </c>
      <c r="W563">
        <f>VLOOKUP($A563,Table1[#This Row],COLUMN(W562), FALSE)</f>
        <v>2013</v>
      </c>
      <c r="X563" t="str">
        <f>VLOOKUP($A563,Table1[#This Row],COLUMN(X562), FALSE)</f>
        <v>CA1277558</v>
      </c>
      <c r="Y563">
        <f>VLOOKUP($A563,Table1[#This Row],COLUMN(Y562), FALSE)</f>
        <v>41548</v>
      </c>
      <c r="Z563" t="str">
        <f>VLOOKUP($A563,Table1[#This Row],COLUMN(Z562), FALSE)</f>
        <v>IN-2013-CA1277558-41548</v>
      </c>
      <c r="AA563">
        <f>VLOOKUP($A563,Table1[#This Row],COLUMN(AA562), FALSE)</f>
        <v>2013</v>
      </c>
      <c r="AB563">
        <f>VLOOKUP($A563,Table1[#This Row],COLUMN(AB562), FALSE)</f>
        <v>1</v>
      </c>
      <c r="AC563">
        <f>VLOOKUP($A563,Table1[#This Row],COLUMN(AC562), FALSE)</f>
        <v>5</v>
      </c>
      <c r="AD563">
        <f>VLOOKUP($A563,Table1[#This Row],COLUMN(AD562), FALSE)</f>
        <v>270</v>
      </c>
    </row>
    <row r="564" spans="1:30" ht="15.75">
      <c r="A564" s="53" t="s">
        <v>1633</v>
      </c>
      <c r="B564" s="52">
        <f>VLOOKUP($A564,Table1[#This Row],COLUMN(B563), FALSE)</f>
        <v>42091</v>
      </c>
      <c r="C564" s="52">
        <f>VLOOKUP($A564,Table1[#This Row],COLUMN(C563), FALSE)</f>
        <v>42093</v>
      </c>
      <c r="D564" t="str">
        <f>VLOOKUP($A564,Table1[#This Row],COLUMN(D563), FALSE)</f>
        <v>Debra Catini</v>
      </c>
      <c r="E564" t="str">
        <f>VLOOKUP($A564,Table1[#This Row],COLUMN(E563), FALSE)</f>
        <v>Mexico</v>
      </c>
      <c r="F564" t="str">
        <f>VLOOKUP($A564,Table1[#This Row],COLUMN(F563), FALSE)</f>
        <v>Central America</v>
      </c>
      <c r="G564" t="str">
        <f>VLOOKUP($A564,Table1[#This Row],COLUMN(G563), FALSE)</f>
        <v>Furniture</v>
      </c>
      <c r="H564" t="str">
        <f>VLOOKUP($A564,Table1[#This Row],COLUMN(H563), FALSE)</f>
        <v>Chairs</v>
      </c>
      <c r="I564">
        <f>VLOOKUP($A564,Table1[#This Row],COLUMN(I563), FALSE)</f>
        <v>1011.69599999999</v>
      </c>
      <c r="J564">
        <f>VLOOKUP($A564,Table1[#This Row],COLUMN(J563), FALSE)</f>
        <v>7</v>
      </c>
      <c r="K564">
        <f>VLOOKUP($A564,Table1[#This Row],COLUMN(K563), FALSE)</f>
        <v>0.2</v>
      </c>
      <c r="L564">
        <f>VLOOKUP($A564,Table1[#This Row],COLUMN(L563), FALSE)</f>
        <v>126.335999999999</v>
      </c>
      <c r="M564" t="str">
        <f>VLOOKUP($A564,Table1[#This Row],COLUMN(M563), FALSE)</f>
        <v>High</v>
      </c>
      <c r="N564">
        <f>VLOOKUP($A564,Table1[#This Row],COLUMN(N563), FALSE)</f>
        <v>0</v>
      </c>
      <c r="O564" t="str">
        <f>VLOOKUP($A564,Table1[#This Row],COLUMN(O563), FALSE)</f>
        <v>Debra Catini</v>
      </c>
      <c r="P564" t="str">
        <f>VLOOKUP($A564,Table1[#This Row],COLUMN(P563), FALSE)</f>
        <v>MX</v>
      </c>
      <c r="Q564" t="str">
        <f>VLOOKUP($A564,Table1[#This Row],COLUMN(Q563), FALSE)</f>
        <v>2015</v>
      </c>
      <c r="R564" t="str">
        <f>VLOOKUP($A564,Table1[#This Row],COLUMN(R563), FALSE)</f>
        <v>HIGH</v>
      </c>
      <c r="S564" t="str">
        <f>VLOOKUP($A564,Table1[#This Row],COLUMN(S563), FALSE)</f>
        <v>furniture</v>
      </c>
      <c r="T564" t="str">
        <f>VLOOKUP($A564,Table1[#This Row],COLUMN(T563), FALSE)</f>
        <v>42091</v>
      </c>
      <c r="U564" t="str">
        <f>VLOOKUP($A564,Table1[#This Row],COLUMN(U563), FALSE)</f>
        <v>DC1328582</v>
      </c>
      <c r="V564" t="str">
        <f>VLOOKUP($A564,Table1[#This Row],COLUMN(V563), FALSE)</f>
        <v>MX</v>
      </c>
      <c r="W564">
        <f>VLOOKUP($A564,Table1[#This Row],COLUMN(W563), FALSE)</f>
        <v>2015</v>
      </c>
      <c r="X564" t="str">
        <f>VLOOKUP($A564,Table1[#This Row],COLUMN(X563), FALSE)</f>
        <v>DC1328582</v>
      </c>
      <c r="Y564">
        <f>VLOOKUP($A564,Table1[#This Row],COLUMN(Y563), FALSE)</f>
        <v>42091</v>
      </c>
      <c r="Z564" t="str">
        <f>VLOOKUP($A564,Table1[#This Row],COLUMN(Z563), FALSE)</f>
        <v>MX-2015-DC1328582-42091</v>
      </c>
      <c r="AA564">
        <f>VLOOKUP($A564,Table1[#This Row],COLUMN(AA563), FALSE)</f>
        <v>2015</v>
      </c>
      <c r="AB564">
        <f>VLOOKUP($A564,Table1[#This Row],COLUMN(AB563), FALSE)</f>
        <v>3</v>
      </c>
      <c r="AC564">
        <f>VLOOKUP($A564,Table1[#This Row],COLUMN(AC563), FALSE)</f>
        <v>7</v>
      </c>
      <c r="AD564">
        <f>VLOOKUP($A564,Table1[#This Row],COLUMN(AD563), FALSE)</f>
        <v>2</v>
      </c>
    </row>
    <row r="565" spans="1:30" ht="15.75">
      <c r="A565" s="54" t="s">
        <v>1634</v>
      </c>
      <c r="B565" s="52">
        <f>VLOOKUP($A565,Table1[#This Row],COLUMN(B564), FALSE)</f>
        <v>42255</v>
      </c>
      <c r="C565" s="52">
        <f>VLOOKUP($A565,Table1[#This Row],COLUMN(C564), FALSE)</f>
        <v>42259</v>
      </c>
      <c r="D565" t="str">
        <f>VLOOKUP($A565,Table1[#This Row],COLUMN(D564), FALSE)</f>
        <v>Joel Eaton</v>
      </c>
      <c r="E565" t="str">
        <f>VLOOKUP($A565,Table1[#This Row],COLUMN(E564), FALSE)</f>
        <v>Cuba</v>
      </c>
      <c r="F565" t="str">
        <f>VLOOKUP($A565,Table1[#This Row],COLUMN(F564), FALSE)</f>
        <v>CARIBBEAN</v>
      </c>
      <c r="G565" t="str">
        <f>VLOOKUP($A565,Table1[#This Row],COLUMN(G564), FALSE)</f>
        <v>Furniture</v>
      </c>
      <c r="H565" t="str">
        <f>VLOOKUP($A565,Table1[#This Row],COLUMN(H564), FALSE)</f>
        <v>Copiers</v>
      </c>
      <c r="I565">
        <f>VLOOKUP($A565,Table1[#This Row],COLUMN(I564), FALSE)</f>
        <v>2419.1999999999998</v>
      </c>
      <c r="J565">
        <f>VLOOKUP($A565,Table1[#This Row],COLUMN(J564), FALSE)</f>
        <v>7</v>
      </c>
      <c r="K565">
        <f>VLOOKUP($A565,Table1[#This Row],COLUMN(K564), FALSE)</f>
        <v>0</v>
      </c>
      <c r="L565">
        <f>VLOOKUP($A565,Table1[#This Row],COLUMN(L564), FALSE)</f>
        <v>411.18</v>
      </c>
      <c r="M565" t="str">
        <f>VLOOKUP($A565,Table1[#This Row],COLUMN(M564), FALSE)</f>
        <v>High</v>
      </c>
      <c r="N565">
        <f>VLOOKUP($A565,Table1[#This Row],COLUMN(N564), FALSE)</f>
        <v>0</v>
      </c>
      <c r="O565" t="str">
        <f>VLOOKUP($A565,Table1[#This Row],COLUMN(O564), FALSE)</f>
        <v>Joel Eaton</v>
      </c>
      <c r="P565" t="str">
        <f>VLOOKUP($A565,Table1[#This Row],COLUMN(P564), FALSE)</f>
        <v>MX</v>
      </c>
      <c r="Q565" t="str">
        <f>VLOOKUP($A565,Table1[#This Row],COLUMN(Q564), FALSE)</f>
        <v>2015</v>
      </c>
      <c r="R565" t="str">
        <f>VLOOKUP($A565,Table1[#This Row],COLUMN(R564), FALSE)</f>
        <v>HIGH</v>
      </c>
      <c r="S565" t="str">
        <f>VLOOKUP($A565,Table1[#This Row],COLUMN(S564), FALSE)</f>
        <v>furniture</v>
      </c>
      <c r="T565" t="str">
        <f>VLOOKUP($A565,Table1[#This Row],COLUMN(T564), FALSE)</f>
        <v>42255</v>
      </c>
      <c r="U565" t="str">
        <f>VLOOKUP($A565,Table1[#This Row],COLUMN(U564), FALSE)</f>
        <v>JE1574531</v>
      </c>
      <c r="V565" t="str">
        <f>VLOOKUP($A565,Table1[#This Row],COLUMN(V564), FALSE)</f>
        <v>MX</v>
      </c>
      <c r="W565">
        <f>VLOOKUP($A565,Table1[#This Row],COLUMN(W564), FALSE)</f>
        <v>2015</v>
      </c>
      <c r="X565" t="str">
        <f>VLOOKUP($A565,Table1[#This Row],COLUMN(X564), FALSE)</f>
        <v>JE1574531</v>
      </c>
      <c r="Y565">
        <f>VLOOKUP($A565,Table1[#This Row],COLUMN(Y564), FALSE)</f>
        <v>42255</v>
      </c>
      <c r="Z565" t="str">
        <f>VLOOKUP($A565,Table1[#This Row],COLUMN(Z564), FALSE)</f>
        <v>MX-2015-JE1574531-42255</v>
      </c>
      <c r="AA565">
        <f>VLOOKUP($A565,Table1[#This Row],COLUMN(AA564), FALSE)</f>
        <v>2015</v>
      </c>
      <c r="AB565">
        <f>VLOOKUP($A565,Table1[#This Row],COLUMN(AB564), FALSE)</f>
        <v>9</v>
      </c>
      <c r="AC565">
        <f>VLOOKUP($A565,Table1[#This Row],COLUMN(AC564), FALSE)</f>
        <v>3</v>
      </c>
      <c r="AD565">
        <f>VLOOKUP($A565,Table1[#This Row],COLUMN(AD564), FALSE)</f>
        <v>4</v>
      </c>
    </row>
    <row r="566" spans="1:30" ht="15.75">
      <c r="A566" s="53" t="s">
        <v>1638</v>
      </c>
      <c r="B566" s="52">
        <f>VLOOKUP($A566,Table1[#This Row],COLUMN(B565), FALSE)</f>
        <v>42294</v>
      </c>
      <c r="C566" s="52">
        <f>VLOOKUP($A566,Table1[#This Row],COLUMN(C565), FALSE)</f>
        <v>42297</v>
      </c>
      <c r="D566" t="str">
        <f>VLOOKUP($A566,Table1[#This Row],COLUMN(D565), FALSE)</f>
        <v>Luke Schmidt</v>
      </c>
      <c r="E566" t="str">
        <f>VLOOKUP($A566,Table1[#This Row],COLUMN(E565), FALSE)</f>
        <v>Martinique</v>
      </c>
      <c r="F566" t="str">
        <f>VLOOKUP($A566,Table1[#This Row],COLUMN(F565), FALSE)</f>
        <v>Caribbean</v>
      </c>
      <c r="G566" t="str">
        <f>VLOOKUP($A566,Table1[#This Row],COLUMN(G565), FALSE)</f>
        <v>Furniture</v>
      </c>
      <c r="H566" t="str">
        <f>VLOOKUP($A566,Table1[#This Row],COLUMN(H565), FALSE)</f>
        <v>Tables</v>
      </c>
      <c r="I566">
        <f>VLOOKUP($A566,Table1[#This Row],COLUMN(I565), FALSE)</f>
        <v>1773.71999999999</v>
      </c>
      <c r="J566">
        <f>VLOOKUP($A566,Table1[#This Row],COLUMN(J565), FALSE)</f>
        <v>6</v>
      </c>
      <c r="K566">
        <f>VLOOKUP($A566,Table1[#This Row],COLUMN(K565), FALSE)</f>
        <v>0</v>
      </c>
      <c r="L566">
        <f>VLOOKUP($A566,Table1[#This Row],COLUMN(L565), FALSE)</f>
        <v>212.76</v>
      </c>
      <c r="M566" t="str">
        <f>VLOOKUP($A566,Table1[#This Row],COLUMN(M565), FALSE)</f>
        <v>High</v>
      </c>
      <c r="N566">
        <f>VLOOKUP($A566,Table1[#This Row],COLUMN(N565), FALSE)</f>
        <v>0</v>
      </c>
      <c r="O566" t="str">
        <f>VLOOKUP($A566,Table1[#This Row],COLUMN(O565), FALSE)</f>
        <v>Luke Schmidt</v>
      </c>
      <c r="P566" t="str">
        <f>VLOOKUP($A566,Table1[#This Row],COLUMN(P565), FALSE)</f>
        <v>MX</v>
      </c>
      <c r="Q566" t="str">
        <f>VLOOKUP($A566,Table1[#This Row],COLUMN(Q565), FALSE)</f>
        <v>2015</v>
      </c>
      <c r="R566" t="str">
        <f>VLOOKUP($A566,Table1[#This Row],COLUMN(R565), FALSE)</f>
        <v>HIGH</v>
      </c>
      <c r="S566" t="str">
        <f>VLOOKUP($A566,Table1[#This Row],COLUMN(S565), FALSE)</f>
        <v>furniture</v>
      </c>
      <c r="T566" t="str">
        <f>VLOOKUP($A566,Table1[#This Row],COLUMN(T565), FALSE)</f>
        <v>42294</v>
      </c>
      <c r="U566" t="str">
        <f>VLOOKUP($A566,Table1[#This Row],COLUMN(U565), FALSE)</f>
        <v>LS1720080</v>
      </c>
      <c r="V566" t="str">
        <f>VLOOKUP($A566,Table1[#This Row],COLUMN(V565), FALSE)</f>
        <v>MX</v>
      </c>
      <c r="W566">
        <f>VLOOKUP($A566,Table1[#This Row],COLUMN(W565), FALSE)</f>
        <v>2015</v>
      </c>
      <c r="X566" t="str">
        <f>VLOOKUP($A566,Table1[#This Row],COLUMN(X565), FALSE)</f>
        <v>LS1720080</v>
      </c>
      <c r="Y566">
        <f>VLOOKUP($A566,Table1[#This Row],COLUMN(Y565), FALSE)</f>
        <v>42294</v>
      </c>
      <c r="Z566" t="str">
        <f>VLOOKUP($A566,Table1[#This Row],COLUMN(Z565), FALSE)</f>
        <v>MX-2015-LS1720080-42294</v>
      </c>
      <c r="AA566">
        <f>VLOOKUP($A566,Table1[#This Row],COLUMN(AA565), FALSE)</f>
        <v>2015</v>
      </c>
      <c r="AB566">
        <f>VLOOKUP($A566,Table1[#This Row],COLUMN(AB565), FALSE)</f>
        <v>10</v>
      </c>
      <c r="AC566">
        <f>VLOOKUP($A566,Table1[#This Row],COLUMN(AC565), FALSE)</f>
        <v>7</v>
      </c>
      <c r="AD566">
        <f>VLOOKUP($A566,Table1[#This Row],COLUMN(AD565), FALSE)</f>
        <v>3</v>
      </c>
    </row>
    <row r="567" spans="1:30" ht="15.75">
      <c r="A567" s="54" t="s">
        <v>764</v>
      </c>
      <c r="B567" s="52">
        <f>VLOOKUP($A567,Table1[#This Row],COLUMN(B566), FALSE)</f>
        <v>41103</v>
      </c>
      <c r="C567" s="52">
        <f>VLOOKUP($A567,Table1[#This Row],COLUMN(C566), FALSE)</f>
        <v>41104</v>
      </c>
      <c r="D567" t="str">
        <f>VLOOKUP($A567,Table1[#This Row],COLUMN(D566), FALSE)</f>
        <v>Melanie Seite</v>
      </c>
      <c r="E567" t="str">
        <f>VLOOKUP($A567,Table1[#This Row],COLUMN(E566), FALSE)</f>
        <v>United Kingdom</v>
      </c>
      <c r="F567" t="str">
        <f>VLOOKUP($A567,Table1[#This Row],COLUMN(F566), FALSE)</f>
        <v>Northern Europe</v>
      </c>
      <c r="G567" t="str">
        <f>VLOOKUP($A567,Table1[#This Row],COLUMN(G566), FALSE)</f>
        <v>Technology</v>
      </c>
      <c r="H567" t="str">
        <f>VLOOKUP($A567,Table1[#This Row],COLUMN(H566), FALSE)</f>
        <v>Copiers</v>
      </c>
      <c r="I567">
        <f>VLOOKUP($A567,Table1[#This Row],COLUMN(I566), FALSE)</f>
        <v>737.91</v>
      </c>
      <c r="J567">
        <f>VLOOKUP($A567,Table1[#This Row],COLUMN(J566), FALSE)</f>
        <v>6</v>
      </c>
      <c r="K567">
        <f>VLOOKUP($A567,Table1[#This Row],COLUMN(K566), FALSE)</f>
        <v>0.1</v>
      </c>
      <c r="L567">
        <f>VLOOKUP($A567,Table1[#This Row],COLUMN(L566), FALSE)</f>
        <v>-8.3699999999999992</v>
      </c>
      <c r="M567" t="str">
        <f>VLOOKUP($A567,Table1[#This Row],COLUMN(M566), FALSE)</f>
        <v>Critical</v>
      </c>
      <c r="N567">
        <f>VLOOKUP($A567,Table1[#This Row],COLUMN(N566), FALSE)</f>
        <v>0</v>
      </c>
      <c r="O567" t="str">
        <f>VLOOKUP($A567,Table1[#This Row],COLUMN(O566), FALSE)</f>
        <v>Melanie Seite</v>
      </c>
      <c r="P567" t="str">
        <f>VLOOKUP($A567,Table1[#This Row],COLUMN(P566), FALSE)</f>
        <v>IT</v>
      </c>
      <c r="Q567" t="str">
        <f>VLOOKUP($A567,Table1[#This Row],COLUMN(Q566), FALSE)</f>
        <v>2012</v>
      </c>
      <c r="R567" t="str">
        <f>VLOOKUP($A567,Table1[#This Row],COLUMN(R566), FALSE)</f>
        <v>CRITICAL</v>
      </c>
      <c r="S567" t="str">
        <f>VLOOKUP($A567,Table1[#This Row],COLUMN(S566), FALSE)</f>
        <v>technology</v>
      </c>
      <c r="T567" t="str">
        <f>VLOOKUP($A567,Table1[#This Row],COLUMN(T566), FALSE)</f>
        <v>41103</v>
      </c>
      <c r="U567" t="str">
        <f>VLOOKUP($A567,Table1[#This Row],COLUMN(U566), FALSE)</f>
        <v>MS17830139</v>
      </c>
      <c r="V567" t="str">
        <f>VLOOKUP($A567,Table1[#This Row],COLUMN(V566), FALSE)</f>
        <v>IT</v>
      </c>
      <c r="W567">
        <f>VLOOKUP($A567,Table1[#This Row],COLUMN(W566), FALSE)</f>
        <v>2012</v>
      </c>
      <c r="X567" t="str">
        <f>VLOOKUP($A567,Table1[#This Row],COLUMN(X566), FALSE)</f>
        <v>MS17830139</v>
      </c>
      <c r="Y567">
        <f>VLOOKUP($A567,Table1[#This Row],COLUMN(Y566), FALSE)</f>
        <v>41103</v>
      </c>
      <c r="Z567" t="str">
        <f>VLOOKUP($A567,Table1[#This Row],COLUMN(Z566), FALSE)</f>
        <v>IT-2012-MS17830139-41103</v>
      </c>
      <c r="AA567">
        <f>VLOOKUP($A567,Table1[#This Row],COLUMN(AA566), FALSE)</f>
        <v>2012</v>
      </c>
      <c r="AB567">
        <f>VLOOKUP($A567,Table1[#This Row],COLUMN(AB566), FALSE)</f>
        <v>7</v>
      </c>
      <c r="AC567">
        <f>VLOOKUP($A567,Table1[#This Row],COLUMN(AC566), FALSE)</f>
        <v>6</v>
      </c>
      <c r="AD567">
        <f>VLOOKUP($A567,Table1[#This Row],COLUMN(AD566), FALSE)</f>
        <v>1</v>
      </c>
    </row>
    <row r="568" spans="1:30" ht="15.75">
      <c r="A568" s="53" t="s">
        <v>1655</v>
      </c>
      <c r="B568" s="52">
        <f>VLOOKUP($A568,Table1[#This Row],COLUMN(B567), FALSE)</f>
        <v>42095</v>
      </c>
      <c r="C568" s="52">
        <f>VLOOKUP($A568,Table1[#This Row],COLUMN(C567), FALSE)</f>
        <v>42099</v>
      </c>
      <c r="D568" t="str">
        <f>VLOOKUP($A568,Table1[#This Row],COLUMN(D567), FALSE)</f>
        <v>Jennifer Ferguson</v>
      </c>
      <c r="E568" t="str">
        <f>VLOOKUP($A568,Table1[#This Row],COLUMN(E567), FALSE)</f>
        <v>China</v>
      </c>
      <c r="F568" t="str">
        <f>VLOOKUP($A568,Table1[#This Row],COLUMN(F567), FALSE)</f>
        <v>Eastern Asia</v>
      </c>
      <c r="G568" t="str">
        <f>VLOOKUP($A568,Table1[#This Row],COLUMN(G567), FALSE)</f>
        <v>Furniture</v>
      </c>
      <c r="H568" t="str">
        <f>VLOOKUP($A568,Table1[#This Row],COLUMN(H567), FALSE)</f>
        <v>Storage</v>
      </c>
      <c r="I568">
        <f>VLOOKUP($A568,Table1[#This Row],COLUMN(I567), FALSE)</f>
        <v>2614.6889999999898</v>
      </c>
      <c r="J568">
        <f>VLOOKUP($A568,Table1[#This Row],COLUMN(J567), FALSE)</f>
        <v>7</v>
      </c>
      <c r="K568">
        <f>VLOOKUP($A568,Table1[#This Row],COLUMN(K567), FALSE)</f>
        <v>0.3</v>
      </c>
      <c r="L568">
        <f>VLOOKUP($A568,Table1[#This Row],COLUMN(L567), FALSE)</f>
        <v>-821.96099999999899</v>
      </c>
      <c r="M568" t="str">
        <f>VLOOKUP($A568,Table1[#This Row],COLUMN(M567), FALSE)</f>
        <v>Medium</v>
      </c>
      <c r="N568">
        <f>VLOOKUP($A568,Table1[#This Row],COLUMN(N567), FALSE)</f>
        <v>0</v>
      </c>
      <c r="O568" t="str">
        <f>VLOOKUP($A568,Table1[#This Row],COLUMN(O567), FALSE)</f>
        <v>Jennifer Ferguson</v>
      </c>
      <c r="P568" t="str">
        <f>VLOOKUP($A568,Table1[#This Row],COLUMN(P567), FALSE)</f>
        <v>IN</v>
      </c>
      <c r="Q568" t="str">
        <f>VLOOKUP($A568,Table1[#This Row],COLUMN(Q567), FALSE)</f>
        <v>2015</v>
      </c>
      <c r="R568" t="str">
        <f>VLOOKUP($A568,Table1[#This Row],COLUMN(R567), FALSE)</f>
        <v>MEDIUM</v>
      </c>
      <c r="S568" t="str">
        <f>VLOOKUP($A568,Table1[#This Row],COLUMN(S567), FALSE)</f>
        <v>furniture</v>
      </c>
      <c r="T568" t="str">
        <f>VLOOKUP($A568,Table1[#This Row],COLUMN(T567), FALSE)</f>
        <v>42095</v>
      </c>
      <c r="U568" t="str">
        <f>VLOOKUP($A568,Table1[#This Row],COLUMN(U567), FALSE)</f>
        <v>JF1541527</v>
      </c>
      <c r="V568" t="str">
        <f>VLOOKUP($A568,Table1[#This Row],COLUMN(V567), FALSE)</f>
        <v>IN</v>
      </c>
      <c r="W568">
        <f>VLOOKUP($A568,Table1[#This Row],COLUMN(W567), FALSE)</f>
        <v>2015</v>
      </c>
      <c r="X568" t="str">
        <f>VLOOKUP($A568,Table1[#This Row],COLUMN(X567), FALSE)</f>
        <v>JF1541527</v>
      </c>
      <c r="Y568">
        <f>VLOOKUP($A568,Table1[#This Row],COLUMN(Y567), FALSE)</f>
        <v>42095</v>
      </c>
      <c r="Z568" t="str">
        <f>VLOOKUP($A568,Table1[#This Row],COLUMN(Z567), FALSE)</f>
        <v>IN-2015-JF1541527-42095</v>
      </c>
      <c r="AA568">
        <f>VLOOKUP($A568,Table1[#This Row],COLUMN(AA567), FALSE)</f>
        <v>2015</v>
      </c>
      <c r="AB568">
        <f>VLOOKUP($A568,Table1[#This Row],COLUMN(AB567), FALSE)</f>
        <v>4</v>
      </c>
      <c r="AC568">
        <f>VLOOKUP($A568,Table1[#This Row],COLUMN(AC567), FALSE)</f>
        <v>4</v>
      </c>
      <c r="AD568">
        <f>VLOOKUP($A568,Table1[#This Row],COLUMN(AD567), FALSE)</f>
        <v>4</v>
      </c>
    </row>
    <row r="569" spans="1:30">
      <c r="A569" s="32"/>
    </row>
    <row r="570" spans="1:30">
      <c r="A570" s="32"/>
    </row>
    <row r="571" spans="1:30">
      <c r="A571" s="32"/>
    </row>
    <row r="572" spans="1:30">
      <c r="A572" s="32"/>
    </row>
    <row r="573" spans="1:30">
      <c r="A573" s="32"/>
    </row>
    <row r="574" spans="1:30">
      <c r="A574" s="32"/>
    </row>
    <row r="575" spans="1:30">
      <c r="A575" s="32"/>
    </row>
    <row r="576" spans="1:30">
      <c r="A576" s="32"/>
    </row>
    <row r="577" spans="1:1">
      <c r="A577" s="32"/>
    </row>
    <row r="578" spans="1:1">
      <c r="A578" s="32"/>
    </row>
    <row r="579" spans="1:1">
      <c r="A579" s="32"/>
    </row>
    <row r="580" spans="1:1">
      <c r="A580" s="32"/>
    </row>
    <row r="581" spans="1:1">
      <c r="A581" s="32"/>
    </row>
    <row r="582" spans="1:1">
      <c r="A582" s="32"/>
    </row>
    <row r="583" spans="1:1">
      <c r="A583" s="32"/>
    </row>
    <row r="584" spans="1:1">
      <c r="A584" s="32"/>
    </row>
    <row r="585" spans="1:1">
      <c r="A585" s="32"/>
    </row>
    <row r="586" spans="1:1">
      <c r="A586" s="32"/>
    </row>
    <row r="587" spans="1:1">
      <c r="A587" s="32"/>
    </row>
    <row r="588" spans="1:1">
      <c r="A588" s="32"/>
    </row>
    <row r="589" spans="1:1">
      <c r="A589" s="32"/>
    </row>
    <row r="590" spans="1:1">
      <c r="A590" s="32"/>
    </row>
    <row r="591" spans="1:1">
      <c r="A591" s="32"/>
    </row>
    <row r="592" spans="1:1">
      <c r="A592" s="32"/>
    </row>
    <row r="593" spans="1:1">
      <c r="A593" s="32"/>
    </row>
    <row r="594" spans="1:1">
      <c r="A594" s="32"/>
    </row>
    <row r="595" spans="1:1">
      <c r="A595" s="32"/>
    </row>
    <row r="596" spans="1:1">
      <c r="A596" s="32"/>
    </row>
    <row r="597" spans="1:1">
      <c r="A597" s="32"/>
    </row>
    <row r="598" spans="1:1">
      <c r="A598" s="32"/>
    </row>
    <row r="599" spans="1:1">
      <c r="A599" s="32"/>
    </row>
    <row r="600" spans="1:1">
      <c r="A600" s="32"/>
    </row>
    <row r="601" spans="1:1">
      <c r="A601" s="32"/>
    </row>
    <row r="602" spans="1:1">
      <c r="A602" s="32"/>
    </row>
    <row r="603" spans="1:1">
      <c r="A603" s="32"/>
    </row>
    <row r="604" spans="1:1">
      <c r="A604" s="32"/>
    </row>
    <row r="605" spans="1:1">
      <c r="A605" s="32"/>
    </row>
    <row r="606" spans="1:1">
      <c r="A606" s="32"/>
    </row>
    <row r="607" spans="1:1">
      <c r="A607" s="32"/>
    </row>
    <row r="608" spans="1:1">
      <c r="A608" s="32"/>
    </row>
    <row r="609" spans="1:1">
      <c r="A609" s="32"/>
    </row>
    <row r="610" spans="1:1">
      <c r="A610" s="32"/>
    </row>
    <row r="611" spans="1:1">
      <c r="A611" s="32"/>
    </row>
    <row r="612" spans="1:1">
      <c r="A612" s="32"/>
    </row>
    <row r="613" spans="1:1">
      <c r="A613" s="32"/>
    </row>
    <row r="614" spans="1:1">
      <c r="A614" s="32"/>
    </row>
    <row r="615" spans="1:1">
      <c r="A615" s="32"/>
    </row>
    <row r="616" spans="1:1">
      <c r="A616" s="32"/>
    </row>
    <row r="617" spans="1:1">
      <c r="A617" s="32"/>
    </row>
    <row r="618" spans="1:1">
      <c r="A618" s="32"/>
    </row>
    <row r="619" spans="1:1">
      <c r="A619" s="32"/>
    </row>
    <row r="620" spans="1:1">
      <c r="A620" s="32"/>
    </row>
    <row r="621" spans="1:1">
      <c r="A621" s="32"/>
    </row>
    <row r="622" spans="1:1">
      <c r="A622" s="32"/>
    </row>
    <row r="623" spans="1:1">
      <c r="A623" s="32"/>
    </row>
    <row r="624" spans="1:1">
      <c r="A624" s="32"/>
    </row>
    <row r="625" spans="1:1">
      <c r="A625" s="32"/>
    </row>
    <row r="626" spans="1:1">
      <c r="A626" s="32"/>
    </row>
    <row r="627" spans="1:1">
      <c r="A627" s="32"/>
    </row>
    <row r="628" spans="1:1">
      <c r="A628" s="32"/>
    </row>
    <row r="629" spans="1:1">
      <c r="A629" s="32"/>
    </row>
    <row r="630" spans="1:1">
      <c r="A630" s="32"/>
    </row>
    <row r="631" spans="1:1">
      <c r="A631" s="32"/>
    </row>
    <row r="632" spans="1:1">
      <c r="A632" s="32"/>
    </row>
    <row r="633" spans="1:1">
      <c r="A633" s="32"/>
    </row>
    <row r="634" spans="1:1">
      <c r="A634" s="32"/>
    </row>
    <row r="635" spans="1:1">
      <c r="A635" s="32"/>
    </row>
    <row r="636" spans="1:1">
      <c r="A636" s="32"/>
    </row>
    <row r="637" spans="1:1">
      <c r="A637" s="32"/>
    </row>
    <row r="638" spans="1:1">
      <c r="A638" s="32"/>
    </row>
    <row r="639" spans="1:1">
      <c r="A639" s="32"/>
    </row>
    <row r="640" spans="1:1">
      <c r="A640" s="32"/>
    </row>
    <row r="641" spans="1:1">
      <c r="A641" s="32"/>
    </row>
    <row r="642" spans="1:1">
      <c r="A642" s="32"/>
    </row>
    <row r="643" spans="1:1">
      <c r="A643" s="32"/>
    </row>
    <row r="644" spans="1:1">
      <c r="A644" s="32"/>
    </row>
    <row r="645" spans="1:1">
      <c r="A645" s="32"/>
    </row>
    <row r="646" spans="1:1">
      <c r="A646" s="32"/>
    </row>
    <row r="647" spans="1:1">
      <c r="A647" s="32"/>
    </row>
    <row r="648" spans="1:1">
      <c r="A648" s="32"/>
    </row>
    <row r="649" spans="1:1">
      <c r="A649" s="32"/>
    </row>
    <row r="650" spans="1:1">
      <c r="A650" s="32"/>
    </row>
    <row r="651" spans="1:1">
      <c r="A651" s="32"/>
    </row>
    <row r="652" spans="1:1">
      <c r="A652" s="32"/>
    </row>
    <row r="653" spans="1:1">
      <c r="A653" s="32"/>
    </row>
    <row r="654" spans="1:1">
      <c r="A654" s="32"/>
    </row>
    <row r="655" spans="1:1">
      <c r="A655" s="32"/>
    </row>
    <row r="656" spans="1:1">
      <c r="A656" s="32"/>
    </row>
    <row r="657" spans="1:1">
      <c r="A657" s="32"/>
    </row>
    <row r="658" spans="1:1">
      <c r="A658" s="32"/>
    </row>
    <row r="659" spans="1:1">
      <c r="A659" s="32"/>
    </row>
    <row r="660" spans="1:1">
      <c r="A660" s="32"/>
    </row>
    <row r="661" spans="1:1">
      <c r="A661" s="32"/>
    </row>
    <row r="662" spans="1:1">
      <c r="A662" s="32"/>
    </row>
    <row r="663" spans="1:1">
      <c r="A663" s="32"/>
    </row>
    <row r="664" spans="1:1">
      <c r="A664" s="32"/>
    </row>
    <row r="665" spans="1:1">
      <c r="A665" s="32"/>
    </row>
    <row r="666" spans="1:1">
      <c r="A666" s="32"/>
    </row>
    <row r="667" spans="1:1">
      <c r="A667" s="32"/>
    </row>
    <row r="668" spans="1:1">
      <c r="A668" s="32"/>
    </row>
    <row r="669" spans="1:1">
      <c r="A669" s="32"/>
    </row>
    <row r="670" spans="1:1">
      <c r="A670" s="32"/>
    </row>
    <row r="671" spans="1:1">
      <c r="A671" s="32"/>
    </row>
    <row r="672" spans="1:1">
      <c r="A672" s="32"/>
    </row>
    <row r="673" spans="1:1">
      <c r="A673" s="32"/>
    </row>
    <row r="674" spans="1:1">
      <c r="A674" s="32"/>
    </row>
    <row r="675" spans="1:1">
      <c r="A675" s="32"/>
    </row>
    <row r="676" spans="1:1">
      <c r="A676" s="32"/>
    </row>
    <row r="677" spans="1:1">
      <c r="A677" s="32"/>
    </row>
    <row r="678" spans="1:1">
      <c r="A678" s="32"/>
    </row>
    <row r="679" spans="1:1">
      <c r="A679" s="32"/>
    </row>
    <row r="680" spans="1:1">
      <c r="A680" s="32"/>
    </row>
    <row r="681" spans="1:1">
      <c r="A681" s="32"/>
    </row>
    <row r="682" spans="1:1">
      <c r="A682" s="32"/>
    </row>
    <row r="683" spans="1:1">
      <c r="A683" s="32"/>
    </row>
    <row r="684" spans="1:1">
      <c r="A684" s="32"/>
    </row>
    <row r="685" spans="1:1">
      <c r="A685" s="32"/>
    </row>
    <row r="686" spans="1:1">
      <c r="A686" s="32"/>
    </row>
    <row r="687" spans="1:1">
      <c r="A687" s="32"/>
    </row>
    <row r="688" spans="1:1">
      <c r="A688" s="32"/>
    </row>
    <row r="689" spans="1:1">
      <c r="A689" s="32"/>
    </row>
    <row r="690" spans="1:1">
      <c r="A690" s="32"/>
    </row>
    <row r="691" spans="1:1">
      <c r="A691" s="32"/>
    </row>
    <row r="692" spans="1:1">
      <c r="A692" s="32"/>
    </row>
    <row r="693" spans="1:1">
      <c r="A693" s="32"/>
    </row>
    <row r="694" spans="1:1">
      <c r="A694" s="32"/>
    </row>
    <row r="695" spans="1:1">
      <c r="A695" s="32"/>
    </row>
    <row r="696" spans="1:1">
      <c r="A696" s="32"/>
    </row>
    <row r="697" spans="1:1">
      <c r="A697" s="32"/>
    </row>
    <row r="698" spans="1:1">
      <c r="A698" s="32"/>
    </row>
    <row r="699" spans="1:1">
      <c r="A699" s="32"/>
    </row>
    <row r="700" spans="1:1">
      <c r="A700" s="32"/>
    </row>
    <row r="701" spans="1:1">
      <c r="A701" s="32"/>
    </row>
    <row r="702" spans="1:1">
      <c r="A702" s="32"/>
    </row>
    <row r="703" spans="1:1">
      <c r="A703" s="32"/>
    </row>
    <row r="704" spans="1:1">
      <c r="A704" s="32"/>
    </row>
    <row r="705" spans="1:1">
      <c r="A705" s="32"/>
    </row>
    <row r="706" spans="1:1">
      <c r="A706" s="32"/>
    </row>
    <row r="707" spans="1:1">
      <c r="A707" s="32"/>
    </row>
    <row r="708" spans="1:1">
      <c r="A708" s="32"/>
    </row>
    <row r="709" spans="1:1">
      <c r="A709" s="32"/>
    </row>
    <row r="710" spans="1:1">
      <c r="A710" s="32"/>
    </row>
    <row r="711" spans="1:1">
      <c r="A711" s="32"/>
    </row>
    <row r="712" spans="1:1">
      <c r="A712" s="32"/>
    </row>
    <row r="713" spans="1:1">
      <c r="A713" s="32"/>
    </row>
    <row r="714" spans="1:1">
      <c r="A714" s="32"/>
    </row>
    <row r="715" spans="1:1">
      <c r="A715" s="32"/>
    </row>
    <row r="716" spans="1:1">
      <c r="A716" s="32"/>
    </row>
    <row r="717" spans="1:1">
      <c r="A717" s="32"/>
    </row>
    <row r="718" spans="1:1">
      <c r="A718" s="32"/>
    </row>
    <row r="719" spans="1:1">
      <c r="A719" s="32"/>
    </row>
    <row r="720" spans="1:1">
      <c r="A720" s="32"/>
    </row>
    <row r="721" spans="1:1">
      <c r="A721" s="32"/>
    </row>
    <row r="722" spans="1:1">
      <c r="A722" s="32"/>
    </row>
    <row r="723" spans="1:1">
      <c r="A723" s="32"/>
    </row>
    <row r="724" spans="1:1">
      <c r="A724" s="32"/>
    </row>
    <row r="725" spans="1:1">
      <c r="A725" s="32"/>
    </row>
    <row r="726" spans="1:1">
      <c r="A726" s="32"/>
    </row>
    <row r="727" spans="1:1">
      <c r="A727" s="32"/>
    </row>
    <row r="728" spans="1:1">
      <c r="A728" s="32"/>
    </row>
    <row r="729" spans="1:1">
      <c r="A729" s="32"/>
    </row>
    <row r="730" spans="1:1">
      <c r="A730" s="32"/>
    </row>
    <row r="731" spans="1:1">
      <c r="A731" s="32"/>
    </row>
    <row r="732" spans="1:1">
      <c r="A732" s="32"/>
    </row>
    <row r="733" spans="1:1">
      <c r="A733" s="32"/>
    </row>
    <row r="734" spans="1:1">
      <c r="A734" s="32"/>
    </row>
    <row r="735" spans="1:1">
      <c r="A735" s="32"/>
    </row>
    <row r="736" spans="1:1">
      <c r="A736" s="32"/>
    </row>
    <row r="737" spans="1:1">
      <c r="A737" s="32"/>
    </row>
    <row r="738" spans="1:1">
      <c r="A738" s="32"/>
    </row>
    <row r="739" spans="1:1">
      <c r="A739" s="32"/>
    </row>
    <row r="740" spans="1:1">
      <c r="A740" s="32"/>
    </row>
    <row r="741" spans="1:1">
      <c r="A741" s="32"/>
    </row>
    <row r="742" spans="1:1">
      <c r="A742" s="32"/>
    </row>
    <row r="743" spans="1:1">
      <c r="A743" s="32"/>
    </row>
    <row r="744" spans="1:1">
      <c r="A744" s="32"/>
    </row>
    <row r="745" spans="1:1">
      <c r="A745" s="32"/>
    </row>
    <row r="746" spans="1:1">
      <c r="A746" s="32"/>
    </row>
    <row r="747" spans="1:1">
      <c r="A747" s="32"/>
    </row>
    <row r="748" spans="1:1">
      <c r="A748" s="32"/>
    </row>
    <row r="749" spans="1:1">
      <c r="A749" s="32"/>
    </row>
    <row r="750" spans="1:1">
      <c r="A750" s="32"/>
    </row>
    <row r="751" spans="1:1">
      <c r="A751" s="32"/>
    </row>
    <row r="752" spans="1:1">
      <c r="A752" s="32"/>
    </row>
    <row r="753" spans="1:1">
      <c r="A753" s="32"/>
    </row>
    <row r="754" spans="1:1">
      <c r="A754" s="32"/>
    </row>
    <row r="755" spans="1:1">
      <c r="A755" s="32"/>
    </row>
    <row r="756" spans="1:1">
      <c r="A756" s="32"/>
    </row>
    <row r="757" spans="1:1">
      <c r="A757" s="32"/>
    </row>
    <row r="758" spans="1:1">
      <c r="A758" s="32"/>
    </row>
    <row r="759" spans="1:1">
      <c r="A759" s="32"/>
    </row>
    <row r="760" spans="1:1">
      <c r="A760" s="32"/>
    </row>
    <row r="761" spans="1:1">
      <c r="A761" s="32"/>
    </row>
    <row r="762" spans="1:1">
      <c r="A762" s="32"/>
    </row>
    <row r="763" spans="1:1">
      <c r="A763" s="32"/>
    </row>
    <row r="764" spans="1:1">
      <c r="A764" s="32"/>
    </row>
    <row r="765" spans="1:1">
      <c r="A765" s="32"/>
    </row>
    <row r="766" spans="1:1">
      <c r="A766" s="32"/>
    </row>
    <row r="767" spans="1:1">
      <c r="A767" s="32"/>
    </row>
    <row r="768" spans="1:1">
      <c r="A768" s="32"/>
    </row>
    <row r="769" spans="1:1">
      <c r="A769" s="32"/>
    </row>
    <row r="770" spans="1:1">
      <c r="A770" s="32"/>
    </row>
    <row r="771" spans="1:1">
      <c r="A771" s="32"/>
    </row>
    <row r="772" spans="1:1">
      <c r="A772" s="32"/>
    </row>
    <row r="773" spans="1:1">
      <c r="A773" s="32"/>
    </row>
    <row r="774" spans="1:1">
      <c r="A774" s="32"/>
    </row>
    <row r="775" spans="1:1">
      <c r="A775" s="32"/>
    </row>
    <row r="776" spans="1:1">
      <c r="A776" s="32"/>
    </row>
    <row r="777" spans="1:1">
      <c r="A777" s="32"/>
    </row>
    <row r="778" spans="1:1">
      <c r="A778" s="32"/>
    </row>
    <row r="779" spans="1:1">
      <c r="A779" s="32"/>
    </row>
    <row r="780" spans="1:1">
      <c r="A780" s="32"/>
    </row>
    <row r="781" spans="1:1">
      <c r="A781" s="32"/>
    </row>
    <row r="782" spans="1:1">
      <c r="A782" s="32"/>
    </row>
    <row r="783" spans="1:1">
      <c r="A783" s="32"/>
    </row>
    <row r="784" spans="1:1">
      <c r="A784" s="32"/>
    </row>
    <row r="785" spans="1:1">
      <c r="A785" s="32"/>
    </row>
    <row r="786" spans="1:1">
      <c r="A786" s="32"/>
    </row>
    <row r="787" spans="1:1">
      <c r="A787" s="32"/>
    </row>
    <row r="788" spans="1:1">
      <c r="A788" s="32"/>
    </row>
    <row r="789" spans="1:1">
      <c r="A789" s="32"/>
    </row>
    <row r="790" spans="1:1">
      <c r="A790" s="32"/>
    </row>
    <row r="791" spans="1:1">
      <c r="A791" s="32"/>
    </row>
    <row r="792" spans="1:1">
      <c r="A792" s="32"/>
    </row>
    <row r="793" spans="1:1">
      <c r="A793" s="32"/>
    </row>
    <row r="794" spans="1:1">
      <c r="A794" s="32"/>
    </row>
    <row r="795" spans="1:1">
      <c r="A795" s="32"/>
    </row>
    <row r="796" spans="1:1">
      <c r="A796" s="32"/>
    </row>
    <row r="797" spans="1:1">
      <c r="A797" s="32"/>
    </row>
    <row r="798" spans="1:1">
      <c r="A798" s="32"/>
    </row>
    <row r="799" spans="1:1">
      <c r="A799" s="32"/>
    </row>
    <row r="800" spans="1:1">
      <c r="A800" s="32"/>
    </row>
    <row r="801" spans="1:1">
      <c r="A801" s="32"/>
    </row>
    <row r="802" spans="1:1">
      <c r="A802" s="32"/>
    </row>
    <row r="803" spans="1:1">
      <c r="A803" s="32"/>
    </row>
    <row r="804" spans="1:1">
      <c r="A804" s="32"/>
    </row>
    <row r="805" spans="1:1">
      <c r="A805" s="32"/>
    </row>
    <row r="806" spans="1:1">
      <c r="A806" s="32"/>
    </row>
    <row r="807" spans="1:1">
      <c r="A807" s="32"/>
    </row>
    <row r="808" spans="1:1">
      <c r="A808" s="32"/>
    </row>
    <row r="809" spans="1:1">
      <c r="A809" s="32"/>
    </row>
    <row r="810" spans="1:1">
      <c r="A810" s="32"/>
    </row>
    <row r="811" spans="1:1">
      <c r="A811" s="32"/>
    </row>
    <row r="812" spans="1:1">
      <c r="A812" s="32"/>
    </row>
    <row r="813" spans="1:1">
      <c r="A813" s="32"/>
    </row>
    <row r="814" spans="1:1">
      <c r="A814" s="32"/>
    </row>
    <row r="815" spans="1:1">
      <c r="A815" s="32"/>
    </row>
    <row r="816" spans="1:1">
      <c r="A816" s="32"/>
    </row>
    <row r="817" spans="1:1">
      <c r="A817" s="32"/>
    </row>
    <row r="818" spans="1:1">
      <c r="A818" s="32"/>
    </row>
    <row r="819" spans="1:1">
      <c r="A819" s="32"/>
    </row>
    <row r="820" spans="1:1">
      <c r="A820" s="32"/>
    </row>
    <row r="821" spans="1:1">
      <c r="A821" s="32"/>
    </row>
    <row r="822" spans="1:1">
      <c r="A822" s="32"/>
    </row>
    <row r="823" spans="1:1">
      <c r="A823" s="32"/>
    </row>
    <row r="824" spans="1:1">
      <c r="A824" s="32"/>
    </row>
    <row r="825" spans="1:1">
      <c r="A825" s="32"/>
    </row>
    <row r="826" spans="1:1">
      <c r="A826" s="32"/>
    </row>
    <row r="827" spans="1:1">
      <c r="A827" s="32"/>
    </row>
    <row r="828" spans="1:1">
      <c r="A828" s="32"/>
    </row>
    <row r="829" spans="1:1">
      <c r="A829" s="32"/>
    </row>
    <row r="830" spans="1:1">
      <c r="A830" s="32"/>
    </row>
    <row r="831" spans="1:1">
      <c r="A831" s="32"/>
    </row>
    <row r="832" spans="1:1">
      <c r="A832" s="32"/>
    </row>
    <row r="833" spans="1:1">
      <c r="A833" s="32"/>
    </row>
    <row r="834" spans="1:1">
      <c r="A834" s="32"/>
    </row>
    <row r="835" spans="1:1">
      <c r="A835" s="32"/>
    </row>
    <row r="836" spans="1:1">
      <c r="A836" s="32"/>
    </row>
    <row r="837" spans="1:1">
      <c r="A837" s="32"/>
    </row>
    <row r="838" spans="1:1">
      <c r="A838" s="32"/>
    </row>
    <row r="839" spans="1:1">
      <c r="A839" s="32"/>
    </row>
    <row r="840" spans="1:1">
      <c r="A840" s="32"/>
    </row>
    <row r="841" spans="1:1">
      <c r="A841" s="32"/>
    </row>
    <row r="842" spans="1:1">
      <c r="A842" s="32"/>
    </row>
    <row r="843" spans="1:1">
      <c r="A843" s="32"/>
    </row>
    <row r="844" spans="1:1">
      <c r="A844" s="32"/>
    </row>
    <row r="845" spans="1:1">
      <c r="A845" s="32"/>
    </row>
    <row r="846" spans="1:1">
      <c r="A846" s="32"/>
    </row>
    <row r="847" spans="1:1">
      <c r="A847" s="32"/>
    </row>
    <row r="848" spans="1:1">
      <c r="A848" s="32"/>
    </row>
    <row r="849" spans="1:1">
      <c r="A849" s="32"/>
    </row>
    <row r="850" spans="1:1">
      <c r="A850" s="32"/>
    </row>
    <row r="851" spans="1:1">
      <c r="A851" s="32"/>
    </row>
    <row r="852" spans="1:1">
      <c r="A852" s="32"/>
    </row>
    <row r="853" spans="1:1">
      <c r="A853" s="32"/>
    </row>
    <row r="854" spans="1:1">
      <c r="A854" s="32"/>
    </row>
    <row r="855" spans="1:1">
      <c r="A855" s="32"/>
    </row>
    <row r="856" spans="1:1">
      <c r="A856" s="32"/>
    </row>
    <row r="857" spans="1:1">
      <c r="A857" s="32"/>
    </row>
    <row r="858" spans="1:1">
      <c r="A858" s="32"/>
    </row>
    <row r="859" spans="1:1">
      <c r="A859" s="32"/>
    </row>
    <row r="860" spans="1:1">
      <c r="A860" s="32"/>
    </row>
    <row r="861" spans="1:1">
      <c r="A861" s="32"/>
    </row>
    <row r="862" spans="1:1">
      <c r="A862" s="32"/>
    </row>
    <row r="863" spans="1:1">
      <c r="A863" s="32"/>
    </row>
    <row r="864" spans="1:1">
      <c r="A864" s="32"/>
    </row>
    <row r="865" spans="1:1">
      <c r="A865" s="32"/>
    </row>
    <row r="866" spans="1:1">
      <c r="A866" s="32"/>
    </row>
    <row r="867" spans="1:1">
      <c r="A867" s="32"/>
    </row>
    <row r="868" spans="1:1">
      <c r="A868" s="32"/>
    </row>
    <row r="869" spans="1:1">
      <c r="A869" s="32"/>
    </row>
    <row r="870" spans="1:1">
      <c r="A870" s="32"/>
    </row>
    <row r="871" spans="1:1">
      <c r="A871" s="32"/>
    </row>
    <row r="872" spans="1:1">
      <c r="A872" s="32"/>
    </row>
    <row r="873" spans="1:1">
      <c r="A873" s="32"/>
    </row>
    <row r="874" spans="1:1">
      <c r="A874" s="32"/>
    </row>
    <row r="875" spans="1:1">
      <c r="A875" s="32"/>
    </row>
    <row r="876" spans="1:1">
      <c r="A876" s="32"/>
    </row>
    <row r="877" spans="1:1">
      <c r="A877" s="32"/>
    </row>
    <row r="878" spans="1:1">
      <c r="A878" s="32"/>
    </row>
    <row r="879" spans="1:1">
      <c r="A879" s="32"/>
    </row>
  </sheetData>
  <conditionalFormatting sqref="A2:A879">
    <cfRule type="duplicateValues" dxfId="7" priority="2"/>
  </conditionalFormatting>
  <conditionalFormatting sqref="I1">
    <cfRule type="containsText" dxfId="6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7691-313A-4328-AD89-77A89D7090B7}">
  <dimension ref="C3:V7"/>
  <sheetViews>
    <sheetView workbookViewId="0">
      <selection activeCell="H11" sqref="H11"/>
    </sheetView>
  </sheetViews>
  <sheetFormatPr defaultRowHeight="15"/>
  <sheetData>
    <row r="3" spans="3:22" ht="18.75"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5"/>
      <c r="T3" s="65"/>
      <c r="U3" s="65"/>
      <c r="V3" s="65"/>
    </row>
    <row r="4" spans="3:22" ht="18.75">
      <c r="C4" s="66" t="s">
        <v>3229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5"/>
      <c r="T4" s="65"/>
      <c r="U4" s="65"/>
      <c r="V4" s="65"/>
    </row>
    <row r="5" spans="3:22" ht="18.75">
      <c r="C5" s="66" t="s">
        <v>3230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  <c r="T5" s="65"/>
      <c r="U5" s="65"/>
      <c r="V5" s="65"/>
    </row>
    <row r="6" spans="3:22" ht="18.75">
      <c r="C6" s="66" t="s">
        <v>3231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5"/>
      <c r="T6" s="65"/>
      <c r="U6" s="65"/>
      <c r="V6" s="65"/>
    </row>
    <row r="7" spans="3:22" ht="18.75"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  <c r="T7" s="65"/>
      <c r="U7" s="65"/>
      <c r="V7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2026-07-26T09:49:49Z</dcterms:modified>
  <cp:category/>
  <cp:contentStatus/>
</cp:coreProperties>
</file>