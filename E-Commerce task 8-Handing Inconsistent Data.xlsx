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664" documentId="8_{8C88C624-D8D3-436F-B17D-02148EF94C35}" xr6:coauthVersionLast="47" xr6:coauthVersionMax="47" xr10:uidLastSave="{218DB3D5-B946-4C00-8732-D69E9F08E042}"/>
  <bookViews>
    <workbookView xWindow="-120" yWindow="-120" windowWidth="20730" windowHeight="11040" firstSheet="2" activeTab="2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5" l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<sst xmlns="http://schemas.openxmlformats.org/spreadsheetml/2006/main" count="14245" uniqueCount="3200">
  <si>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</si>
  <si>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</si>
  <si>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</si>
  <si>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</si>
  <si>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</si>
  <si>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</si>
  <si>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</si>
  <si>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</si>
  <si>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</si>
  <si>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</si>
  <si>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</si>
  <si>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</si>
  <si>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</si>
  <si>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</si>
  <si>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</si>
  <si>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</si>
  <si>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</si>
  <si>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</si>
  <si>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</si>
  <si>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</si>
  <si>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</si>
  <si>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</si>
  <si>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</si>
  <si>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</si>
  <si>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</si>
  <si>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</si>
  <si>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</si>
  <si>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</si>
  <si>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</si>
  <si>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</si>
  <si>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</si>
  <si>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</si>
  <si>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</si>
  <si>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</si>
  <si>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</si>
  <si>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</si>
  <si>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</si>
  <si>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</si>
  <si>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</si>
  <si>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</si>
  <si>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</si>
  <si>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</si>
  <si>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</si>
  <si>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</si>
  <si>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</si>
  <si>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</si>
  <si>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</si>
  <si>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</si>
  <si>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</si>
  <si>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</si>
  <si>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</si>
  <si>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</si>
  <si>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</si>
  <si>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</si>
  <si>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</si>
  <si>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</si>
  <si>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</si>
  <si>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</si>
  <si>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</si>
  <si>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</si>
  <si>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</si>
  <si>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</si>
  <si>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</si>
  <si>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</si>
  <si>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</si>
  <si>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</si>
  <si>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</si>
  <si>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</si>
  <si>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</si>
  <si>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</si>
  <si>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</si>
  <si>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</si>
  <si>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</si>
  <si>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</si>
  <si>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</si>
  <si>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</si>
  <si>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</si>
  <si>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</si>
  <si>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</si>
  <si>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</si>
  <si>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</si>
  <si>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</si>
  <si>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</si>
  <si>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</si>
  <si>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</si>
  <si>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</si>
  <si>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</si>
  <si>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</si>
  <si>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</si>
  <si>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</si>
  <si>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</si>
  <si>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</si>
  <si>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</si>
  <si>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</si>
  <si>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</si>
  <si>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</si>
  <si>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</si>
  <si>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</si>
  <si>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</si>
  <si>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</si>
  <si>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</si>
  <si>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</si>
  <si>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</si>
  <si>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</si>
  <si>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</si>
  <si>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</si>
  <si>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</si>
  <si>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</si>
  <si>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</si>
  <si>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</si>
  <si>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</si>
  <si>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</si>
  <si>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</si>
  <si>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</si>
  <si>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</si>
  <si>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</si>
  <si>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</si>
  <si>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</si>
  <si>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</si>
  <si>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</si>
  <si>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</si>
  <si>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</si>
  <si>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</si>
  <si>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</si>
  <si>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</si>
  <si>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</si>
  <si>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</si>
  <si>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</si>
  <si>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</si>
  <si>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</si>
  <si>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</si>
  <si>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</si>
  <si>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</si>
  <si>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</si>
  <si>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</si>
  <si>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</si>
  <si>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</si>
  <si>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</si>
  <si>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</si>
  <si>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</si>
  <si>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</si>
  <si>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</si>
  <si>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</si>
  <si>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</si>
  <si>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</si>
  <si>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</si>
  <si>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</si>
  <si>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</si>
  <si>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</si>
  <si>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</si>
  <si>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</si>
  <si>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</si>
  <si>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</si>
  <si>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</si>
  <si>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</si>
  <si>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</si>
  <si>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</si>
  <si>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</si>
  <si>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</si>
  <si>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</si>
  <si>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</si>
  <si>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</si>
  <si>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</si>
  <si>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</si>
  <si>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</si>
  <si>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</si>
  <si>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</si>
  <si>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</si>
  <si>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</si>
  <si>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</si>
  <si>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</si>
  <si>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</si>
  <si>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</si>
  <si>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</si>
  <si>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</si>
  <si>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</si>
  <si>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</si>
  <si>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</si>
  <si>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</si>
  <si>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</si>
  <si>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</si>
  <si>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</si>
  <si>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</si>
  <si>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</si>
  <si>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</si>
  <si>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</si>
  <si>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</si>
  <si>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</si>
  <si>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</si>
  <si>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</si>
  <si>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</si>
  <si>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</si>
  <si>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</si>
  <si>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</si>
  <si>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</si>
  <si>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</si>
  <si>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</si>
  <si>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</si>
  <si>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</si>
  <si>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</si>
  <si>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</si>
  <si>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</si>
  <si>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</si>
  <si>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</si>
  <si>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</si>
  <si>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</si>
  <si>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</si>
  <si>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</si>
  <si>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</si>
  <si>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</si>
  <si>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</si>
  <si>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</si>
  <si>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</si>
  <si>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</si>
  <si>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</si>
  <si>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</si>
  <si>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</si>
  <si>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</si>
  <si>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</si>
  <si>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</si>
  <si>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</si>
  <si>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</si>
  <si>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</si>
  <si>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</si>
  <si>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</si>
  <si>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</si>
  <si>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</si>
  <si>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</si>
  <si>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</si>
  <si>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</si>
  <si>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</si>
  <si>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</si>
  <si>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</si>
  <si>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</si>
  <si>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</si>
  <si>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</si>
  <si>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</si>
  <si>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</si>
  <si>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</si>
  <si>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</si>
  <si>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</si>
  <si>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</si>
  <si>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</si>
  <si>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</si>
  <si>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</si>
  <si>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</si>
  <si>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</si>
  <si>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</si>
  <si>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</si>
  <si>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</si>
  <si>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</si>
  <si>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</si>
  <si>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</si>
  <si>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</si>
  <si>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</si>
  <si>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</si>
  <si>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</si>
  <si>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</si>
  <si>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</si>
  <si>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</si>
  <si>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</si>
  <si>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</si>
  <si>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</si>
  <si>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</si>
  <si>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</si>
  <si>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</si>
  <si>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</si>
  <si>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</si>
  <si>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</si>
  <si>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</si>
  <si>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</si>
  <si>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</si>
  <si>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</si>
  <si>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</si>
  <si>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</si>
  <si>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</si>
  <si>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</si>
  <si>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</si>
  <si>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</si>
  <si>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</si>
  <si>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</si>
  <si>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</si>
  <si>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</si>
  <si>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</si>
  <si>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</si>
  <si>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</si>
  <si>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</si>
  <si>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</si>
  <si>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</si>
  <si>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</si>
  <si>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</si>
  <si>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</si>
  <si>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</si>
  <si>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</si>
  <si>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</si>
  <si>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</si>
  <si>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</si>
  <si>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</si>
  <si>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</si>
  <si>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</si>
  <si>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</si>
  <si>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</si>
  <si>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</si>
  <si>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</si>
  <si>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</si>
  <si>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</si>
  <si>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</si>
  <si>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</si>
  <si>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</si>
  <si>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</si>
  <si>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</si>
  <si>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</si>
  <si>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</si>
  <si>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</si>
  <si>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</si>
  <si>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</si>
  <si>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</si>
  <si>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</si>
  <si>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</si>
  <si>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</si>
  <si>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</si>
  <si>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</si>
  <si>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</si>
  <si>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</si>
  <si>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</si>
  <si>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</si>
  <si>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</si>
  <si>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</si>
  <si>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</si>
  <si>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</si>
  <si>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</si>
  <si>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</si>
  <si>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</si>
  <si>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</si>
  <si>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</si>
  <si>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</si>
  <si>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</si>
  <si>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</si>
  <si>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</si>
  <si>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</si>
  <si>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</si>
  <si>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</si>
  <si>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</si>
  <si>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</si>
  <si>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</si>
  <si>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</si>
  <si>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</si>
  <si>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</si>
  <si>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</si>
  <si>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</si>
  <si>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</si>
  <si>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</si>
  <si>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</si>
  <si>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</si>
  <si>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</si>
  <si>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</si>
  <si>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</si>
  <si>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</si>
  <si>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</si>
  <si>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</si>
  <si>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</si>
  <si>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</si>
  <si>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</si>
  <si>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</si>
  <si>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</si>
  <si>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</si>
  <si>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</si>
  <si>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</si>
  <si>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</si>
  <si>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</si>
  <si>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</si>
  <si>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</si>
  <si>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</si>
  <si>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</si>
  <si>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</si>
  <si>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</si>
  <si>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</si>
  <si>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</si>
  <si>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</si>
  <si>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</si>
  <si>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</si>
  <si>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</si>
  <si>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</si>
  <si>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</si>
  <si>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</si>
  <si>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</si>
  <si>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</si>
  <si>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</si>
  <si>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</si>
  <si>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</si>
  <si>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</si>
  <si>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</si>
  <si>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</si>
  <si>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</si>
  <si>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</si>
  <si>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</si>
  <si>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</si>
  <si>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</si>
  <si>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</si>
  <si>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</si>
  <si>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</si>
  <si>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</si>
  <si>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</si>
  <si>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</si>
  <si>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</si>
  <si>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</si>
  <si>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</si>
  <si>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</si>
  <si>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</si>
  <si>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</si>
  <si>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</si>
  <si>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</si>
  <si>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</si>
  <si>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</si>
  <si>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</si>
  <si>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</si>
  <si>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</si>
  <si>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</si>
  <si>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</si>
  <si>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</si>
  <si>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</si>
  <si>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</si>
  <si>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</si>
  <si>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</si>
  <si>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</si>
  <si>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</si>
  <si>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</si>
  <si>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</si>
  <si>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</si>
  <si>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</si>
  <si>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</si>
  <si>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</si>
  <si>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</si>
  <si>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</si>
  <si>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</si>
  <si>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</si>
  <si>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</si>
  <si>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</si>
  <si>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</si>
  <si>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</si>
  <si>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</si>
  <si>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</si>
  <si>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</si>
  <si>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</si>
  <si>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</si>
  <si>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</si>
  <si>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</si>
  <si>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</si>
  <si>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</si>
  <si>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</si>
  <si>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</si>
  <si>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</si>
  <si>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</si>
  <si>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</si>
  <si>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</si>
  <si>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</si>
  <si>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</si>
  <si>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</si>
  <si>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</si>
  <si>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</si>
  <si>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</si>
  <si>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</si>
  <si>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</si>
  <si>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</si>
  <si>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</si>
  <si>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</si>
  <si>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</si>
  <si>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</si>
  <si>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</si>
  <si>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</si>
  <si>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</si>
  <si>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</si>
  <si>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</si>
  <si>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</si>
  <si>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</si>
  <si>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</si>
  <si>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</si>
  <si>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</si>
  <si>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</si>
  <si>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</si>
  <si>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</si>
  <si>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</si>
  <si>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</si>
  <si>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</si>
  <si>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</si>
  <si>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</si>
  <si>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</si>
  <si>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</si>
  <si>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</si>
  <si>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</si>
  <si>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</si>
  <si>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</si>
  <si>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</si>
  <si>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</si>
  <si>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</si>
  <si>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</si>
  <si>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</si>
  <si>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</si>
  <si>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</si>
  <si>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</si>
  <si>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</si>
  <si>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</si>
  <si>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</si>
  <si>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</si>
  <si>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</si>
  <si>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</si>
  <si>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</si>
  <si>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</si>
  <si>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</si>
  <si>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</si>
  <si>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</si>
  <si>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</si>
  <si>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</si>
  <si>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</si>
  <si>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</si>
  <si>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</si>
  <si>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</si>
  <si>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</si>
  <si>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</si>
  <si>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</si>
  <si>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</si>
  <si>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</si>
  <si>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</si>
  <si>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</si>
  <si>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</si>
  <si>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</si>
  <si>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</si>
  <si>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</si>
  <si>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</si>
  <si>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</si>
  <si>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</si>
  <si>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</si>
  <si>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</si>
  <si>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</si>
  <si>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</si>
  <si>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</si>
  <si>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</si>
  <si>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</si>
  <si>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</si>
  <si>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</si>
  <si>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</si>
  <si>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</si>
  <si>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</si>
  <si>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</si>
  <si>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</si>
  <si>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</si>
  <si>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</si>
  <si>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</si>
  <si>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</si>
  <si>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</si>
  <si>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</si>
  <si>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</si>
  <si>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</si>
  <si>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</si>
  <si>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</si>
  <si>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</si>
  <si>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</si>
  <si>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</si>
  <si>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</si>
  <si>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</si>
  <si>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</si>
  <si>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</si>
  <si>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</si>
  <si>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</si>
  <si>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</si>
  <si>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</si>
  <si>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</si>
  <si>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</si>
  <si>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</si>
  <si>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</si>
  <si>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</si>
  <si>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</si>
  <si>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</si>
  <si>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</si>
  <si>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</si>
  <si>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</si>
  <si>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</si>
  <si>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</si>
  <si>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</si>
  <si>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</si>
  <si>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</si>
  <si>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</si>
  <si>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</si>
  <si>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</si>
  <si>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</si>
  <si>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</si>
  <si>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</si>
  <si>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</si>
  <si>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</si>
  <si>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</si>
  <si>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</si>
  <si>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</si>
  <si>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</si>
  <si>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</si>
  <si>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</si>
  <si>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</si>
  <si>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</si>
  <si>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</si>
  <si>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</si>
  <si>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</si>
  <si>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</si>
  <si>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</si>
  <si>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</si>
  <si>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</si>
  <si>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</si>
  <si>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</si>
  <si>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</si>
  <si>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</si>
  <si>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</si>
  <si>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</si>
  <si>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</si>
  <si>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</si>
  <si>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</si>
  <si>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</si>
  <si>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</si>
  <si>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</si>
  <si>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</si>
  <si>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</si>
  <si>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</si>
  <si>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</si>
  <si>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</si>
  <si>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</si>
  <si>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</si>
  <si>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</si>
  <si>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</si>
  <si>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</si>
  <si>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</si>
  <si>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</si>
  <si>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</si>
  <si>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</si>
  <si>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</si>
  <si>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</si>
  <si>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</si>
  <si>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</si>
  <si>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</si>
  <si>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</si>
  <si>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</si>
  <si>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</si>
  <si>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</si>
  <si>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</si>
  <si>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</si>
  <si>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</si>
  <si>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</si>
  <si>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</si>
  <si>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</si>
  <si>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</si>
  <si>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</si>
  <si>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</si>
  <si>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</si>
  <si>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</si>
  <si>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</si>
  <si>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</si>
  <si>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</si>
  <si>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</si>
  <si>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</si>
  <si>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</si>
  <si>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</si>
  <si>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</si>
  <si>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</si>
  <si>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</si>
  <si>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</si>
  <si>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</si>
  <si>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</si>
  <si>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</si>
  <si>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</si>
  <si>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</si>
  <si>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</si>
  <si>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</si>
  <si>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</si>
  <si>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</si>
  <si>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</si>
  <si>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</si>
  <si>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</si>
  <si>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</si>
  <si>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</si>
  <si>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</si>
  <si>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</si>
  <si>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</si>
  <si>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</si>
  <si>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</si>
  <si>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</si>
  <si>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</si>
  <si>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</si>
  <si>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</si>
  <si>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</si>
  <si>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</si>
  <si>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</si>
  <si>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</si>
  <si>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</si>
  <si>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</si>
  <si>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</si>
  <si>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</si>
  <si>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</si>
  <si>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</si>
  <si>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</si>
  <si>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</si>
  <si>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</si>
  <si>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</si>
  <si>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</si>
  <si>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</si>
  <si>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</si>
  <si>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</si>
  <si>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</si>
  <si>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</si>
  <si>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</si>
  <si>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</si>
  <si>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</si>
  <si>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</si>
  <si>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</si>
  <si>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</si>
  <si>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</si>
  <si>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</si>
  <si>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</si>
  <si>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</si>
  <si>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</si>
  <si>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</si>
  <si>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</si>
  <si>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</si>
  <si>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</si>
  <si>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</si>
  <si>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</si>
  <si>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</si>
  <si>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</si>
  <si>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</si>
  <si>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</si>
  <si>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</si>
  <si>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</si>
  <si>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</si>
  <si>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</si>
  <si>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</si>
  <si>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</si>
  <si>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</si>
  <si>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</si>
  <si>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</si>
  <si>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</si>
  <si>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</si>
  <si>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</si>
  <si>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</si>
  <si>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</si>
  <si>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</si>
  <si>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</si>
  <si>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</si>
  <si>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</si>
  <si>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</si>
  <si>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</si>
  <si>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</si>
  <si>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</si>
  <si>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</si>
  <si>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</si>
  <si>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</si>
  <si>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</si>
  <si>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</si>
  <si>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</si>
  <si>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</si>
  <si>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</si>
  <si>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</si>
  <si>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</si>
  <si>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</si>
  <si>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</si>
  <si>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</si>
  <si>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</si>
  <si>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</si>
  <si>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</si>
  <si>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</si>
  <si>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</si>
  <si>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</si>
  <si>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</si>
  <si>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</si>
  <si>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</si>
  <si>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</si>
  <si>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</si>
  <si>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</si>
  <si>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</si>
  <si>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</si>
  <si>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</si>
  <si>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</si>
  <si>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</si>
  <si>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</si>
  <si>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</si>
  <si>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</si>
  <si>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</si>
  <si>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</si>
  <si>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</si>
  <si>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</si>
  <si>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</si>
  <si>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</si>
  <si>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</si>
  <si>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</si>
  <si>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</si>
  <si>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</si>
  <si>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</si>
  <si>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</si>
  <si>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</si>
  <si>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</si>
  <si>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</si>
  <si>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</si>
  <si>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</si>
  <si>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</si>
  <si>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</si>
  <si>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</si>
  <si>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</si>
  <si>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</si>
  <si>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</si>
  <si>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</si>
  <si>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</si>
  <si>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</si>
  <si>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</si>
  <si>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</si>
  <si>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</si>
  <si>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</si>
  <si>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</si>
  <si>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</si>
  <si>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</si>
  <si>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</si>
  <si>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</si>
  <si>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</si>
  <si>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</si>
  <si>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</si>
  <si>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</si>
  <si>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</si>
  <si>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</si>
  <si>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</si>
  <si>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</si>
  <si>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</si>
  <si>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</si>
  <si>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</si>
  <si>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</si>
  <si>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</si>
  <si>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</si>
  <si>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</si>
  <si>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</si>
  <si>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</si>
  <si>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</si>
  <si>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</si>
  <si>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</si>
  <si>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</si>
  <si>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</si>
  <si>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</si>
  <si>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</si>
  <si>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</si>
  <si>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</si>
  <si>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</si>
  <si>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</si>
  <si>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</si>
  <si>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</si>
  <si>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</si>
  <si>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</si>
  <si>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</si>
  <si>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</si>
  <si>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</si>
  <si>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</si>
  <si>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</si>
  <si>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</si>
  <si>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</si>
  <si>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</si>
  <si>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</si>
  <si>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</si>
  <si>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</si>
  <si>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</si>
  <si>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</si>
  <si>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</si>
  <si>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</si>
  <si>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</si>
  <si>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</si>
  <si>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</si>
  <si>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</si>
  <si>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</si>
  <si>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</si>
  <si>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</si>
  <si>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</si>
  <si>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</si>
  <si>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</si>
  <si>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</si>
  <si>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</si>
  <si>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</si>
  <si>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</si>
  <si>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</si>
  <si>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</si>
  <si>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</si>
  <si>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</si>
  <si>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</si>
  <si>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</si>
  <si>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</si>
  <si>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</si>
  <si>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</si>
  <si>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</si>
  <si>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</si>
  <si>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</si>
  <si>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</si>
  <si>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</si>
  <si>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</si>
  <si>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</si>
  <si>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</si>
  <si>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</si>
  <si>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</si>
  <si>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</si>
  <si>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</si>
  <si>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</si>
  <si>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</si>
  <si>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</si>
  <si>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</si>
  <si>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</si>
  <si>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</si>
  <si>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</si>
  <si>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</si>
  <si>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</si>
  <si>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</si>
  <si>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</si>
  <si>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</si>
  <si>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</si>
  <si>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</si>
  <si>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</si>
  <si>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</si>
  <si>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</si>
  <si>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</si>
  <si>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</si>
  <si>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</si>
  <si>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</si>
  <si>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</si>
  <si>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</si>
  <si>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</si>
  <si>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</si>
  <si>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</si>
  <si>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</si>
  <si>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</si>
  <si>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</si>
  <si>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</si>
  <si>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</si>
  <si>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</si>
  <si>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</si>
  <si>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</si>
  <si>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</si>
  <si>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</si>
  <si>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</si>
  <si>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</si>
  <si>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</si>
  <si>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</si>
  <si>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</si>
  <si>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</si>
  <si>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</si>
  <si>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</si>
  <si>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</si>
  <si>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</si>
  <si>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</si>
  <si>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</si>
  <si>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</si>
  <si>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</si>
  <si>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</si>
  <si>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</si>
  <si>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</si>
  <si>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</si>
  <si>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</si>
  <si>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</si>
  <si>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</si>
  <si>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</si>
  <si>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</si>
  <si>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</si>
  <si>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</si>
  <si>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</si>
  <si>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</si>
  <si>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</si>
  <si>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</si>
  <si>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</si>
  <si>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</si>
  <si>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</si>
  <si>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</si>
  <si>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</si>
  <si>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</si>
  <si>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</si>
  <si>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</si>
  <si>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</si>
  <si>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</si>
  <si>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</si>
  <si>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</si>
  <si>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</si>
  <si>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</si>
  <si>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</si>
  <si>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</si>
  <si>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</si>
  <si>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</si>
  <si>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</si>
  <si>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</si>
  <si>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</si>
  <si>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</si>
  <si>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</si>
  <si>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</si>
  <si>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</si>
  <si>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</si>
  <si>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</si>
  <si>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</si>
  <si>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</si>
  <si>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</si>
  <si>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</si>
  <si>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</si>
  <si>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</si>
  <si>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</si>
  <si>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</si>
  <si>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</si>
  <si>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</si>
  <si>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</si>
  <si>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</si>
  <si>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</si>
  <si>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</si>
  <si>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</si>
  <si>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</si>
  <si>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</si>
  <si>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</si>
  <si>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</si>
  <si>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</si>
  <si>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</si>
  <si>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</si>
  <si>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</si>
  <si>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</si>
  <si>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</si>
  <si>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</si>
  <si>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</si>
  <si>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</si>
  <si>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</si>
  <si>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</si>
  <si>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</si>
  <si>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</si>
  <si>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</si>
  <si>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</si>
  <si>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</si>
  <si>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</si>
  <si>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</si>
  <si>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</si>
  <si>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</si>
  <si>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</si>
  <si>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</si>
  <si>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</si>
  <si>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</si>
  <si>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</si>
  <si>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</si>
  <si>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</si>
  <si>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</si>
  <si>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</si>
  <si>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</si>
  <si>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</si>
  <si>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</si>
  <si>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</si>
  <si>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</si>
  <si>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</si>
  <si>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</si>
  <si>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</si>
  <si>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</si>
  <si>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</si>
  <si>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</si>
  <si>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</si>
  <si>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</si>
  <si>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</si>
  <si>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</si>
  <si>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</si>
  <si>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</si>
  <si>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</si>
  <si>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</si>
  <si>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</si>
  <si>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</si>
  <si>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</si>
  <si>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</si>
  <si>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</si>
  <si>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</si>
  <si>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</si>
  <si>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</si>
  <si>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</si>
  <si>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</si>
  <si>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</si>
  <si>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</si>
  <si>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</si>
  <si>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</si>
  <si>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</si>
  <si>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</si>
  <si>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</si>
  <si>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</si>
  <si>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</si>
  <si>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</si>
  <si>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</si>
  <si>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</si>
  <si>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</si>
  <si>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</si>
  <si>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</si>
  <si>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</si>
  <si>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</si>
  <si>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</si>
  <si>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</si>
  <si>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</si>
  <si>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</si>
  <si>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</si>
  <si>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</si>
  <si>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</si>
  <si>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</si>
  <si>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</si>
  <si>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</si>
  <si>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</si>
  <si>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</si>
  <si>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</si>
  <si>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</si>
  <si>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</si>
  <si>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</si>
  <si>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</si>
  <si>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</si>
  <si>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</si>
  <si>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</si>
  <si>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</si>
  <si>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</si>
  <si>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</si>
  <si>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</si>
  <si>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</si>
  <si>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</si>
  <si>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</si>
  <si>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</si>
  <si>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</si>
  <si>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</si>
  <si>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</si>
  <si>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</si>
  <si>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</si>
  <si>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</si>
  <si>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</si>
  <si>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</si>
  <si>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</si>
  <si>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</si>
  <si>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</si>
  <si>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</si>
  <si>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</si>
  <si>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</si>
  <si>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</si>
  <si>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</si>
  <si>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</si>
  <si>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</si>
  <si>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</si>
  <si>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</si>
  <si>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</si>
  <si>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</si>
  <si>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</si>
  <si>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</si>
  <si>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</si>
  <si>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</si>
  <si>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</si>
  <si>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</si>
  <si>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</si>
  <si>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</si>
  <si>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</si>
  <si>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</si>
  <si>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</si>
  <si>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</si>
  <si>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</si>
  <si>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</si>
  <si>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</si>
  <si>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</si>
  <si>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</si>
  <si>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</si>
  <si>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</si>
  <si>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</si>
  <si>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</si>
  <si>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</si>
  <si>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</si>
  <si>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</si>
  <si>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</si>
  <si>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</si>
  <si>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</si>
  <si>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</si>
  <si>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</si>
  <si>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</si>
  <si>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</si>
  <si>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</si>
  <si>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</si>
  <si>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</si>
  <si>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</si>
  <si>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</si>
  <si>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</si>
  <si>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</si>
  <si>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</si>
  <si>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</si>
  <si>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</si>
  <si>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</si>
  <si>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</si>
  <si>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</si>
  <si>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</si>
  <si>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</si>
  <si>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</si>
  <si>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</si>
  <si>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</si>
  <si>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</si>
  <si>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</si>
  <si>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</si>
  <si>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</si>
  <si>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</si>
  <si>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</si>
  <si>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</si>
  <si>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</si>
  <si>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</si>
  <si>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</si>
  <si>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</si>
  <si>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</si>
  <si>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</si>
  <si>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</si>
  <si>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</si>
  <si>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</si>
  <si>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</si>
  <si>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</si>
  <si>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</si>
  <si>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</si>
  <si>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</si>
  <si>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</si>
  <si>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</si>
  <si>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</si>
  <si>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</si>
  <si>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</si>
  <si>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</si>
  <si>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</si>
  <si>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</si>
  <si>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</si>
  <si>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</si>
  <si>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</si>
  <si>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</si>
  <si>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</si>
  <si>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</si>
  <si>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</si>
  <si>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</si>
  <si>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</si>
  <si>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</si>
  <si>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</si>
  <si>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</si>
  <si>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</si>
  <si>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</si>
  <si>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</si>
  <si>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</si>
  <si>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</si>
  <si>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</si>
  <si>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</si>
  <si>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</si>
  <si>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</si>
  <si>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</si>
  <si>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</si>
  <si>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</si>
  <si>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</si>
  <si>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</si>
  <si>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</si>
  <si>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</si>
  <si>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</si>
  <si>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</si>
  <si>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</si>
  <si>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</si>
  <si>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</si>
  <si>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</si>
  <si>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</si>
  <si>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</si>
  <si>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</si>
  <si>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</si>
  <si>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</si>
  <si>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</si>
  <si>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</si>
  <si>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</si>
  <si>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</si>
  <si>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</si>
  <si>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</si>
  <si>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</si>
  <si>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</si>
  <si>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</si>
  <si>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</si>
  <si>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</si>
  <si>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</si>
  <si>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</si>
  <si>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</si>
  <si>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</si>
  <si>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</si>
  <si>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</si>
  <si>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</si>
  <si>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</si>
  <si>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</si>
  <si>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</si>
  <si>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</si>
  <si>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</si>
  <si>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</si>
  <si>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</si>
  <si>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</si>
  <si>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</si>
  <si>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</si>
  <si>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</si>
  <si>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</si>
  <si>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</si>
  <si>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</si>
  <si>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</si>
  <si>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</si>
  <si>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</si>
  <si>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</si>
  <si>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</si>
  <si>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</si>
  <si>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</si>
  <si>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</si>
  <si>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</si>
  <si>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</si>
  <si>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</si>
  <si>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</si>
  <si>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</si>
  <si>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</si>
  <si>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</si>
  <si>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</si>
  <si>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</si>
  <si>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</si>
  <si>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</si>
  <si>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</si>
  <si>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</si>
  <si>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</si>
  <si>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</si>
  <si>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</si>
  <si>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</si>
  <si>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</si>
  <si>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</si>
  <si>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</si>
  <si>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</si>
  <si>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</si>
  <si>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</si>
  <si>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</si>
  <si>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</si>
  <si>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</si>
  <si>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</si>
  <si>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</si>
  <si>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</si>
  <si>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</si>
  <si>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</si>
  <si>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</si>
  <si>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</si>
  <si>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</si>
  <si>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</si>
  <si>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</si>
  <si>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</si>
  <si>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</si>
  <si>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</si>
  <si>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</si>
  <si>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</si>
  <si>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</si>
  <si>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</si>
  <si>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</si>
  <si>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</si>
  <si>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</si>
  <si>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</si>
  <si>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</si>
  <si>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</si>
  <si>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</si>
  <si>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</si>
  <si>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</si>
  <si>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</si>
  <si>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</si>
  <si>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</si>
  <si>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</si>
  <si>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</si>
  <si>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</si>
  <si>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</si>
  <si>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</si>
  <si>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</si>
  <si>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</si>
  <si>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</si>
  <si>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</si>
  <si>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</si>
  <si>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</si>
  <si>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</si>
  <si>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</si>
  <si>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</si>
  <si>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</si>
  <si>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</si>
  <si>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</si>
  <si>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</si>
  <si>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</si>
  <si>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</si>
  <si>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</si>
  <si>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</si>
  <si>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</si>
  <si>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</si>
  <si>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</si>
  <si>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</si>
  <si>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</si>
  <si>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</si>
  <si>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</si>
  <si>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</si>
  <si>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</si>
  <si>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</si>
  <si>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</si>
  <si>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</si>
  <si>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</si>
  <si>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</si>
  <si>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</si>
  <si>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</si>
  <si>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</si>
  <si>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</si>
  <si>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</si>
  <si>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</si>
  <si>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</si>
  <si>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</si>
  <si>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</si>
  <si>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</si>
  <si>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</si>
  <si>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</si>
  <si>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</si>
  <si>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</si>
  <si>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</si>
  <si>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</si>
  <si>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</si>
  <si>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</si>
  <si>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</si>
  <si>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</si>
  <si>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</si>
  <si>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</si>
  <si>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</si>
  <si>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</si>
  <si>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</si>
  <si>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</si>
  <si>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</si>
  <si>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</si>
  <si>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</si>
  <si>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</si>
  <si>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</si>
  <si>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</si>
  <si>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</si>
  <si>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</si>
  <si>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</si>
  <si>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</si>
  <si>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</si>
  <si>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</si>
  <si>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</si>
  <si>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</si>
  <si>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</si>
  <si>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</si>
  <si>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</si>
  <si>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</si>
  <si>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</si>
  <si>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</si>
  <si>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</si>
  <si>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</si>
  <si>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</si>
  <si>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</si>
  <si>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</si>
  <si>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</si>
  <si>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</si>
  <si>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</si>
  <si>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</si>
  <si>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</si>
  <si>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</si>
  <si>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</si>
  <si>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</si>
  <si>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</si>
  <si>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</si>
  <si>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</si>
  <si>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</si>
  <si>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</si>
  <si>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</si>
  <si>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</si>
  <si>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</si>
  <si>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</si>
  <si>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</si>
  <si>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</si>
  <si>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</si>
  <si>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</si>
  <si>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</si>
  <si>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</si>
  <si>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</si>
  <si>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</si>
  <si>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</si>
  <si>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</si>
  <si>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</si>
  <si>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</si>
  <si>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</si>
  <si>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</si>
  <si>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</si>
  <si>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</si>
  <si>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</si>
  <si>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</si>
  <si>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</si>
  <si>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</si>
  <si>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</si>
  <si>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</si>
  <si>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</si>
  <si>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</si>
  <si>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</si>
  <si>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</si>
  <si>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</si>
  <si>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</si>
  <si>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</si>
  <si>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</si>
  <si>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</si>
  <si>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</si>
  <si>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</si>
  <si>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</si>
  <si>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</si>
  <si>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</si>
  <si>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</si>
  <si>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</si>
  <si>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</si>
  <si>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</si>
  <si>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</si>
  <si>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</si>
  <si>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</si>
  <si>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</si>
  <si>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</si>
  <si>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</si>
  <si>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</si>
  <si>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</si>
  <si>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</si>
  <si>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</si>
  <si>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</si>
  <si>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</si>
  <si>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</si>
  <si>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</si>
  <si>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</si>
  <si>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</si>
  <si>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</si>
  <si>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</si>
  <si>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</si>
  <si>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</si>
  <si>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</si>
  <si>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</si>
  <si>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</si>
  <si>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</si>
  <si>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</si>
  <si>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</si>
  <si>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</si>
  <si>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</si>
  <si>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</si>
  <si>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</si>
  <si>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</si>
  <si>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</si>
  <si>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</si>
  <si>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</si>
  <si>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</si>
  <si>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</si>
  <si>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</si>
  <si>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</si>
  <si>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</si>
  <si>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</si>
  <si>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</si>
  <si>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</si>
  <si>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</si>
  <si>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</si>
  <si>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</si>
  <si>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</si>
  <si>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</si>
  <si>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</si>
  <si>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</si>
  <si>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</si>
  <si>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</si>
  <si>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</si>
  <si>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</si>
  <si>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</si>
  <si>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</si>
  <si>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</si>
  <si>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</si>
  <si>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</si>
  <si>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</si>
  <si>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</si>
  <si>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</si>
  <si>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</si>
  <si>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</si>
  <si>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</si>
  <si>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</si>
  <si>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</si>
  <si>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</si>
  <si>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</si>
  <si>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</si>
  <si>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</si>
  <si>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</si>
  <si>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</si>
  <si>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</si>
  <si>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</si>
  <si>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</si>
  <si>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</si>
  <si>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</si>
  <si>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</si>
  <si>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</si>
  <si>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</si>
  <si>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</si>
  <si>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</si>
  <si>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</si>
  <si>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</si>
  <si>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</si>
  <si>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</si>
  <si>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</si>
  <si>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</si>
  <si>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</si>
  <si>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</si>
  <si>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</si>
  <si>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</si>
  <si>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</si>
  <si>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</si>
  <si>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</si>
  <si>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</si>
  <si>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</si>
  <si>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</si>
  <si>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</si>
  <si>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</si>
  <si>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</si>
  <si>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</si>
  <si>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</si>
  <si>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</si>
  <si>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</si>
  <si>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</si>
  <si>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</si>
  <si>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</si>
  <si>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</si>
  <si>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</si>
  <si>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</si>
  <si>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</si>
  <si>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</si>
  <si>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</si>
  <si>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</si>
  <si>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</si>
  <si>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</si>
  <si>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</si>
  <si>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</si>
  <si>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</si>
  <si>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</si>
  <si>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</si>
  <si>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</si>
  <si>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</si>
  <si>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</si>
  <si>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</si>
  <si>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</si>
  <si>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</si>
  <si>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</si>
  <si>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</si>
  <si>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</si>
  <si>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</si>
  <si>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</si>
  <si>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</si>
  <si>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</si>
  <si>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</si>
  <si>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</si>
  <si>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</si>
  <si>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</si>
  <si>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</si>
  <si>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</si>
  <si>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</si>
  <si>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</si>
  <si>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</si>
  <si>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</si>
  <si>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</si>
  <si>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</si>
  <si>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</si>
  <si>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</si>
  <si>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</si>
  <si>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</si>
  <si>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</si>
  <si>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</si>
  <si>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</si>
  <si>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</si>
  <si>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</si>
  <si>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</si>
  <si>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</si>
  <si>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</si>
  <si>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</si>
  <si>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</si>
  <si>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</si>
  <si>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</si>
  <si>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</si>
  <si>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</si>
  <si>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</si>
  <si>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</si>
  <si>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</si>
  <si>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</si>
  <si>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</si>
  <si>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</si>
  <si>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</si>
  <si>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</si>
  <si>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</si>
  <si>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</si>
  <si>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</si>
  <si>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</si>
  <si>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</si>
  <si>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</si>
  <si>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</si>
  <si>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</si>
  <si>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</si>
  <si>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</si>
  <si>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</si>
  <si>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</si>
  <si>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</si>
  <si>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</si>
  <si>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</si>
  <si>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</si>
  <si>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</si>
  <si>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</si>
  <si>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</si>
  <si>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</si>
  <si>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</si>
  <si>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</si>
  <si>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</si>
  <si>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</si>
  <si>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</si>
  <si>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</si>
  <si>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</si>
  <si>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</si>
  <si>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</si>
  <si>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</si>
  <si>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</si>
  <si>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</si>
  <si>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</si>
  <si>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</si>
  <si>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</si>
  <si>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</si>
  <si>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</si>
  <si>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</si>
  <si>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</si>
  <si>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</si>
  <si>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</si>
  <si>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</si>
  <si>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</si>
  <si>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</si>
  <si>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</si>
  <si>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</si>
  <si>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</si>
  <si>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</si>
  <si>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</si>
  <si>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</si>
  <si>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</si>
  <si>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</si>
  <si>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</si>
  <si>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</si>
  <si>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</si>
  <si>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</si>
  <si>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</si>
  <si>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</si>
  <si>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</si>
  <si>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</si>
  <si>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</si>
  <si>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</si>
  <si>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</si>
  <si>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</si>
  <si>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</si>
  <si>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</si>
  <si>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</si>
  <si>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</si>
  <si>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</si>
  <si>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</si>
  <si>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</si>
  <si>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</si>
  <si>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</si>
  <si>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</si>
  <si>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</si>
  <si>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</si>
  <si>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</si>
  <si>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</si>
  <si>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</si>
  <si>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</si>
  <si>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</si>
  <si>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</si>
  <si>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</si>
  <si>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</si>
  <si>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</si>
  <si>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</si>
  <si>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</si>
  <si>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</si>
  <si>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</si>
  <si>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</si>
  <si>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</si>
  <si>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</si>
  <si>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</si>
  <si>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</si>
  <si>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</si>
  <si>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</si>
  <si>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</si>
  <si>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</si>
  <si>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</si>
  <si>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</si>
  <si>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</si>
  <si>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</si>
  <si>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</si>
  <si>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</si>
  <si>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</si>
  <si>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</si>
  <si>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</si>
  <si>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</si>
  <si>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</si>
  <si>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</si>
  <si>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</si>
  <si>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</si>
  <si>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</si>
  <si>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</si>
  <si>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</si>
  <si>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</si>
  <si>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</si>
  <si>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</si>
  <si>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</si>
  <si>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</si>
  <si>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</si>
  <si>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</si>
  <si>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</si>
  <si>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</si>
  <si>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</si>
  <si>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</si>
  <si>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</si>
  <si>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</si>
  <si>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</si>
  <si>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</si>
  <si>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</si>
  <si>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</si>
  <si>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</si>
  <si>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</si>
  <si>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</si>
  <si>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</si>
  <si>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</si>
  <si>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</si>
  <si>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</si>
  <si>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</si>
  <si>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</si>
  <si>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</si>
  <si>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</si>
  <si>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</si>
  <si>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</si>
  <si>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</si>
  <si>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</si>
  <si>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</si>
  <si>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</si>
  <si>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</si>
  <si>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</si>
  <si>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</si>
  <si>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</si>
  <si>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</si>
  <si>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</si>
  <si>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</si>
  <si>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</si>
  <si>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</si>
  <si>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</si>
  <si>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</si>
  <si>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</si>
  <si>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</si>
  <si>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</si>
  <si>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</si>
  <si>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</si>
  <si>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</si>
  <si>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</si>
  <si>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</si>
  <si>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</si>
  <si>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</si>
  <si>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</si>
  <si>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</si>
  <si>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</si>
  <si>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</si>
  <si>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</si>
  <si>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</si>
  <si>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</si>
  <si>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</si>
  <si>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</si>
  <si>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</si>
  <si>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</si>
  <si>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</si>
  <si>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</si>
  <si>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</si>
  <si>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</si>
  <si>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</si>
  <si>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</si>
  <si>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</si>
  <si>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</si>
  <si>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</si>
  <si>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</si>
  <si>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</si>
  <si>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</si>
  <si>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</si>
  <si>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</si>
  <si>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</si>
  <si>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</si>
  <si>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</si>
  <si>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</si>
  <si>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</si>
  <si>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</si>
  <si>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</si>
  <si>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</si>
  <si>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</si>
  <si>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</si>
  <si>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</si>
  <si>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</si>
  <si>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</si>
  <si>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</si>
  <si>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</si>
  <si>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</si>
  <si>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</si>
  <si>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</si>
  <si>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</si>
  <si>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</si>
  <si>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</si>
  <si>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</si>
  <si>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</si>
  <si>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</si>
  <si>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</si>
  <si>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</si>
  <si>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</si>
  <si>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</si>
  <si>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</si>
  <si>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</si>
  <si>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</si>
  <si>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</si>
  <si>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</si>
  <si>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</si>
  <si>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</si>
  <si>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</si>
  <si>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</si>
  <si>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</si>
  <si>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</si>
  <si>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</si>
  <si>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</si>
  <si>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</si>
  <si>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</si>
  <si>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</si>
  <si>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</si>
  <si>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</si>
  <si>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</si>
  <si>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</si>
  <si>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</si>
  <si>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</si>
  <si>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</si>
  <si>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</si>
  <si>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</si>
  <si>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</si>
  <si>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</si>
  <si>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</si>
  <si>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</si>
  <si>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</si>
  <si>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</si>
  <si>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</si>
  <si>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</si>
  <si>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</si>
  <si>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</si>
  <si>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</si>
  <si>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</si>
  <si>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</si>
  <si>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</si>
  <si>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</si>
  <si>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</si>
  <si>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</si>
  <si>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</si>
  <si>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</si>
  <si>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</si>
  <si>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</si>
  <si>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</si>
  <si>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</si>
  <si>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</si>
  <si>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</si>
  <si>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</si>
  <si>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</si>
  <si>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</si>
  <si>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</si>
  <si>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</si>
  <si>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</si>
  <si>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</si>
  <si>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</si>
  <si>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</si>
  <si>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</si>
  <si>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</si>
  <si>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</si>
  <si>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</si>
  <si>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</si>
  <si>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</si>
  <si>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</si>
  <si>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</si>
  <si>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</si>
  <si>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</si>
  <si>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</si>
  <si>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</si>
  <si>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</si>
  <si>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</si>
  <si>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</si>
  <si>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</si>
  <si>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</si>
  <si>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</si>
  <si>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</si>
  <si>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</si>
  <si>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</si>
  <si>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</si>
  <si>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</si>
  <si>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</si>
  <si>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</si>
  <si>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</si>
  <si>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</si>
  <si>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</si>
  <si>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</si>
  <si>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</si>
  <si>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</si>
  <si>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</si>
  <si>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</si>
  <si>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</si>
  <si>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</si>
  <si>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</si>
  <si>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</si>
  <si>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</si>
  <si>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</si>
  <si>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</si>
  <si>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</si>
  <si>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</si>
  <si>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</si>
  <si>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</si>
  <si>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</si>
  <si>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</si>
  <si>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</si>
  <si>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</si>
  <si>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</si>
  <si>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</si>
  <si>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</si>
  <si>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</si>
  <si>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</si>
  <si>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</si>
  <si>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</si>
  <si>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</si>
  <si>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</si>
  <si>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</si>
  <si>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</si>
  <si>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</si>
  <si>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</si>
  <si>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</si>
  <si>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</si>
  <si>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</si>
  <si>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</si>
  <si>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</si>
  <si>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</si>
  <si>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</si>
  <si>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</si>
  <si>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</si>
  <si>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</si>
  <si>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</si>
  <si>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</si>
  <si>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</si>
  <si>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</si>
  <si>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</si>
  <si>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</si>
  <si>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</si>
  <si>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</si>
  <si>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</si>
  <si>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</si>
  <si>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</si>
  <si>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</si>
  <si>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</si>
  <si>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</si>
  <si>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</si>
  <si>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</si>
  <si>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</si>
  <si>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</si>
  <si>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</si>
  <si>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</si>
  <si>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</si>
  <si>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</si>
  <si>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</si>
  <si>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</si>
  <si>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</si>
  <si>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</si>
  <si>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</si>
  <si>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</si>
  <si>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</si>
  <si>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</si>
  <si>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</si>
  <si>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</si>
  <si>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</si>
  <si>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</si>
  <si>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</si>
  <si>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</si>
  <si>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</si>
  <si>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</si>
  <si>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</si>
  <si>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</si>
  <si>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</si>
  <si>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</si>
  <si>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</si>
  <si>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</si>
  <si>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</si>
  <si>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</si>
  <si>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</si>
  <si>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</si>
  <si>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</si>
  <si>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</si>
  <si>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</si>
  <si>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</si>
  <si>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</si>
  <si>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</si>
  <si>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</si>
  <si>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</si>
  <si>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</si>
  <si>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</si>
  <si>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</si>
  <si>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</si>
  <si>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</si>
  <si>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</si>
  <si>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</si>
  <si>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</si>
  <si>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</si>
  <si>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</si>
  <si>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</si>
  <si>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</si>
  <si>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</si>
  <si>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</si>
  <si>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</si>
  <si>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</si>
  <si>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</si>
  <si>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</si>
  <si>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</si>
  <si>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</si>
  <si>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</si>
  <si>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</si>
  <si>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</si>
  <si>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</si>
  <si>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</si>
  <si>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</si>
  <si>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</si>
  <si>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</si>
  <si>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</si>
  <si>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</si>
  <si>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</si>
  <si>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</si>
  <si>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</si>
  <si>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</si>
  <si>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</si>
  <si>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</si>
  <si>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</si>
  <si>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</si>
  <si>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</si>
  <si>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</si>
  <si>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</si>
  <si>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</si>
  <si>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</si>
  <si>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</si>
  <si>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</si>
  <si>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</si>
  <si>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</si>
  <si>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</si>
  <si>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</si>
  <si>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</si>
  <si>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</si>
  <si>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</si>
  <si>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</si>
  <si>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</si>
  <si>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</si>
  <si>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</si>
  <si>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</si>
  <si>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</si>
  <si>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</si>
  <si>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</si>
  <si>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</si>
  <si>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</si>
  <si>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</si>
  <si>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</si>
  <si>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</si>
  <si>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</si>
  <si>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</si>
  <si>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</si>
  <si>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</si>
  <si>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</si>
  <si>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</si>
  <si>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</si>
  <si>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</si>
  <si>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</si>
  <si>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</si>
  <si>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</si>
  <si>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</si>
  <si>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</si>
  <si>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</si>
  <si>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</si>
  <si>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</si>
  <si>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</si>
  <si>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</si>
  <si>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</si>
  <si>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</si>
  <si>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</si>
  <si>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</si>
  <si>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</si>
  <si>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</si>
  <si>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</si>
  <si>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</si>
  <si>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</si>
  <si>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</si>
  <si>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</si>
  <si>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</si>
  <si>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</si>
  <si>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</si>
  <si>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</si>
  <si>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</si>
  <si>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</si>
  <si>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</si>
  <si>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</si>
  <si>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</si>
  <si>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</si>
  <si>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</si>
  <si>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</si>
  <si>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</si>
  <si>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</si>
  <si>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</si>
  <si>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</si>
  <si>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</si>
  <si>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</si>
  <si>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</si>
  <si>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</si>
  <si>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</si>
  <si>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</si>
  <si>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</si>
  <si>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</si>
  <si>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</si>
  <si>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</si>
  <si>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</si>
  <si>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</si>
  <si>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</si>
  <si>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</si>
  <si>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</si>
  <si>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</si>
  <si>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</si>
  <si>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</si>
  <si>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</si>
  <si>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</si>
  <si>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</si>
  <si>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</si>
  <si>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</si>
  <si>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</si>
  <si>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</si>
  <si>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</si>
  <si>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</si>
  <si>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</si>
  <si>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</si>
  <si>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</si>
  <si>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</si>
  <si>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</si>
  <si>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</si>
  <si>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</si>
  <si>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</si>
  <si>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</si>
  <si>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</si>
  <si>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</si>
  <si>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</si>
  <si>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</si>
  <si>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</si>
  <si>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</si>
  <si>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</si>
  <si>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</si>
  <si>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</si>
  <si>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</si>
  <si>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</si>
  <si>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</si>
  <si>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</si>
  <si>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</si>
  <si>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</si>
  <si>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</si>
  <si>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</si>
  <si>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</si>
  <si>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</si>
  <si>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</si>
  <si>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</si>
  <si>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</si>
  <si>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</si>
  <si>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</si>
  <si>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</si>
  <si>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</si>
  <si>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</si>
  <si>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</si>
  <si>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</si>
  <si>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</si>
  <si>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</si>
  <si>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</si>
  <si>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</si>
  <si>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</si>
  <si>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</si>
  <si>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</si>
  <si>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</si>
  <si>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</si>
  <si>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</si>
  <si>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</si>
  <si>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</si>
  <si>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</si>
  <si>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</si>
  <si>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</si>
  <si>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</si>
  <si>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</si>
  <si>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</si>
  <si>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</si>
  <si>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</si>
  <si>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</si>
  <si>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</si>
  <si>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</si>
  <si>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</si>
  <si>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</si>
  <si>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</si>
  <si>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</si>
  <si>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</si>
  <si>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</si>
  <si>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</si>
  <si>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</si>
  <si>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</si>
  <si>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</si>
  <si>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</si>
  <si>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</si>
  <si>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</si>
  <si>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</si>
  <si>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</si>
  <si>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</si>
  <si>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</si>
  <si>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</si>
  <si>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</si>
  <si>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</si>
  <si>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</si>
  <si>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</si>
  <si>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</si>
  <si>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</si>
  <si>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</si>
  <si>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</si>
  <si>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</si>
  <si>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</si>
  <si>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</si>
  <si>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</si>
  <si>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</si>
  <si>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</si>
  <si>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</si>
  <si>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</si>
  <si>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</si>
  <si>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</si>
  <si>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</si>
  <si>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</si>
  <si>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</si>
  <si>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</si>
  <si>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</si>
  <si>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</si>
  <si>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</si>
  <si>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</si>
  <si>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</si>
  <si>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</si>
  <si>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</si>
  <si>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</si>
  <si>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</si>
  <si>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</si>
  <si>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</si>
  <si>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</si>
  <si>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</si>
  <si>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</si>
  <si>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</si>
  <si>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</si>
  <si>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</si>
  <si>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</si>
  <si>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</si>
  <si>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</si>
  <si>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</si>
  <si>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</si>
  <si>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</si>
  <si>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</si>
  <si>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</si>
  <si>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</si>
  <si>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</si>
  <si>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</si>
  <si>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</si>
  <si>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</si>
  <si>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</si>
  <si>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</si>
  <si>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</si>
  <si>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</si>
  <si>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</si>
  <si>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</si>
  <si>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</si>
  <si>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</si>
  <si>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</si>
  <si>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</si>
  <si>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</si>
  <si>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</si>
  <si>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</si>
  <si>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</si>
  <si>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</si>
  <si>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</si>
  <si>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</si>
  <si>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</si>
  <si>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</si>
  <si>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</si>
  <si>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</si>
  <si>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</si>
  <si>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</si>
  <si>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</si>
  <si>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</si>
  <si>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</si>
  <si>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</si>
  <si>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</si>
  <si>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</si>
  <si>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</si>
  <si>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</si>
  <si>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</si>
  <si>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</si>
  <si>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</si>
  <si>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</si>
  <si>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</si>
  <si>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</si>
  <si>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</si>
  <si>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</si>
  <si>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</si>
  <si>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</si>
  <si>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</si>
  <si>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</si>
  <si>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</si>
  <si>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</si>
  <si>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</si>
  <si>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</si>
  <si>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</si>
  <si>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</si>
  <si>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</si>
  <si>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</si>
  <si>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</si>
  <si>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</si>
  <si>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</si>
  <si>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</si>
  <si>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</si>
  <si>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</si>
  <si>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</si>
  <si>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</si>
  <si>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</si>
  <si>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</si>
  <si>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</si>
  <si>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</si>
  <si>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</si>
  <si>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</si>
  <si>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</si>
  <si>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</si>
  <si>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</si>
  <si>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</si>
  <si>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</si>
  <si>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</si>
  <si>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</si>
  <si>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</si>
  <si>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</si>
  <si>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</si>
  <si>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</si>
  <si>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</si>
  <si>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</si>
  <si>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</si>
  <si>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</si>
  <si>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</si>
  <si>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</si>
  <si>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</si>
  <si>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</si>
  <si>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</si>
  <si>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</si>
  <si>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</si>
  <si>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</si>
  <si>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</si>
  <si>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</si>
  <si>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</si>
  <si>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</si>
  <si>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</si>
  <si>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</si>
  <si>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</si>
  <si>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</si>
  <si>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</si>
  <si>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</si>
  <si>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</si>
  <si>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</si>
  <si>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</si>
  <si>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</si>
  <si>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</si>
  <si>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</si>
  <si>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</si>
  <si>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</si>
  <si>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</si>
  <si>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</si>
  <si>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</si>
  <si>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</si>
  <si>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</si>
  <si>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</si>
  <si>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</si>
  <si>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</si>
  <si>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</si>
  <si>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</si>
  <si>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</si>
  <si>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</si>
  <si>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</si>
  <si>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</si>
  <si>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</si>
  <si>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</si>
  <si>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</si>
  <si>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</si>
  <si>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</si>
  <si>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</si>
  <si>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</si>
  <si>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</si>
  <si>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</si>
  <si>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</si>
  <si>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</si>
  <si>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</si>
  <si>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</si>
  <si>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</si>
  <si>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</si>
  <si>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</si>
  <si>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</si>
  <si>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</si>
  <si>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</si>
  <si>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</si>
  <si>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</si>
  <si>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</si>
  <si>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</si>
  <si>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</si>
  <si>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</si>
  <si>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</si>
  <si>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</si>
  <si>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</si>
  <si>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</si>
  <si>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</si>
  <si>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</si>
  <si>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</si>
  <si>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</si>
  <si>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</si>
  <si>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</si>
  <si>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</si>
  <si>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</si>
  <si>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</si>
  <si>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</si>
  <si>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</si>
  <si>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</si>
  <si>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</si>
  <si>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</si>
  <si>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</si>
  <si>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</si>
  <si>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</si>
  <si>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</si>
  <si>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</si>
  <si>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</si>
  <si>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</si>
  <si>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</si>
  <si>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</si>
  <si>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</si>
  <si>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</si>
  <si>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</si>
  <si>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</si>
  <si>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</si>
  <si>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</si>
  <si>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</si>
  <si>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</si>
  <si>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</si>
  <si>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</si>
  <si>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</si>
  <si>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</si>
  <si>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</si>
  <si>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</si>
  <si>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</si>
  <si>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</si>
  <si>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</si>
  <si>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</si>
  <si>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</si>
  <si>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</si>
  <si>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</si>
  <si>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</si>
  <si>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</si>
  <si>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</si>
  <si>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</si>
  <si>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</si>
  <si>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</si>
  <si>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</si>
  <si>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</si>
  <si>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</si>
  <si>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</si>
  <si>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</si>
  <si>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</si>
  <si>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</si>
  <si>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</si>
  <si>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</si>
  <si>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</si>
  <si>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</si>
  <si>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</si>
  <si>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</si>
  <si>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</si>
  <si>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</si>
  <si>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</si>
  <si>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</si>
  <si>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</si>
  <si>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</si>
  <si>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</si>
  <si>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</si>
  <si>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</si>
  <si>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</si>
  <si>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</si>
  <si>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</si>
  <si>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</si>
  <si>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</si>
  <si>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</si>
  <si>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</si>
  <si>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</si>
  <si>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</si>
  <si>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</si>
  <si>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</si>
  <si>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</si>
  <si>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</si>
  <si>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</si>
  <si>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</si>
  <si>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</si>
  <si>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</si>
  <si>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</si>
  <si>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</si>
  <si>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</si>
  <si>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</si>
  <si>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</si>
  <si>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</si>
  <si>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</si>
  <si>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</si>
  <si>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</si>
  <si>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</si>
  <si>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</si>
  <si>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</si>
  <si>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</si>
  <si>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</si>
  <si>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</si>
  <si>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</si>
  <si>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</si>
  <si>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</si>
  <si>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</si>
  <si>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</si>
  <si>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</si>
  <si>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</si>
  <si>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</si>
  <si>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</si>
  <si>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</si>
  <si>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</si>
  <si>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</si>
  <si>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</si>
  <si>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</si>
  <si>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</si>
  <si>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</si>
  <si>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</si>
  <si>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</si>
  <si>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</si>
  <si>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</si>
  <si>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</si>
  <si>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</si>
  <si>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</si>
  <si>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</si>
  <si>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</si>
  <si>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</si>
  <si>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</si>
  <si>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</si>
  <si>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</si>
  <si>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</si>
  <si>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</si>
  <si>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</si>
  <si>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</si>
  <si>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</si>
  <si>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</si>
  <si>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</si>
  <si>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</si>
  <si>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</si>
  <si>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</si>
  <si>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</si>
  <si>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</si>
  <si>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</si>
  <si>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</si>
  <si>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</si>
  <si>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</si>
  <si>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</si>
  <si>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</si>
  <si>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</si>
  <si>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</si>
  <si>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</si>
  <si>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</si>
  <si>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</si>
  <si>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</si>
  <si>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</si>
  <si>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</si>
  <si>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</si>
  <si>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</si>
  <si>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</si>
  <si>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</si>
  <si>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</si>
  <si>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</si>
  <si>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</si>
  <si>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</si>
  <si>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</si>
  <si>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</si>
  <si>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</si>
  <si>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</si>
  <si>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</si>
  <si>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</si>
  <si>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</si>
  <si>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</si>
  <si>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</si>
  <si>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</si>
  <si>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</si>
  <si>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</si>
  <si>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</si>
  <si>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</si>
  <si>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</si>
  <si>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</si>
  <si>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</si>
  <si>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</si>
  <si>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</si>
  <si>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</si>
  <si>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</si>
  <si>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</si>
  <si>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</si>
  <si>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</si>
  <si>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Normal Order</t>
  </si>
  <si>
    <t>JM156557</t>
  </si>
  <si>
    <t>IN</t>
  </si>
  <si>
    <t>AB10015140</t>
  </si>
  <si>
    <t>CA</t>
  </si>
  <si>
    <t>NP1832582</t>
  </si>
  <si>
    <t>US</t>
  </si>
  <si>
    <t>DP131057</t>
  </si>
  <si>
    <t>AH10030140</t>
  </si>
  <si>
    <t>DL128657</t>
  </si>
  <si>
    <t>EB1384045</t>
  </si>
  <si>
    <t>IT</t>
  </si>
  <si>
    <t>SG2047058</t>
  </si>
  <si>
    <t>GP1474058</t>
  </si>
  <si>
    <t>DK13090120</t>
  </si>
  <si>
    <t>EM1420082</t>
  </si>
  <si>
    <t>MX</t>
  </si>
  <si>
    <t>JH158207</t>
  </si>
  <si>
    <t>AB25586</t>
  </si>
  <si>
    <t>MO</t>
  </si>
  <si>
    <t>GP1474085</t>
  </si>
  <si>
    <t>AS10045140</t>
  </si>
  <si>
    <t>LC168857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</si>
  <si>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</si>
  <si>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</si>
  <si>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</si>
  <si>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</si>
  <si>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</si>
  <si>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</si>
  <si>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</si>
  <si>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</si>
  <si>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</si>
  <si>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</si>
  <si>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</si>
  <si>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</si>
  <si>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</si>
  <si>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</si>
  <si>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</si>
  <si>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</si>
  <si>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</si>
  <si>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</si>
  <si>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</si>
  <si>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</si>
  <si>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</si>
  <si>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</si>
  <si>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</si>
  <si>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</si>
  <si>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</si>
  <si>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</si>
  <si>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</si>
  <si>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</si>
  <si>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</si>
  <si>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</si>
  <si>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</si>
  <si>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</si>
  <si>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</si>
  <si>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</si>
  <si>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</si>
  <si>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</si>
  <si>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</si>
  <si>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</si>
  <si>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</si>
  <si>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</si>
  <si>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</si>
  <si>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</si>
  <si>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</si>
  <si>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</si>
  <si>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</si>
  <si>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</si>
  <si>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</si>
  <si>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</si>
  <si>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</si>
  <si>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</si>
  <si>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</si>
  <si>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</si>
  <si>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</si>
  <si>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</si>
  <si>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</si>
  <si>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</si>
  <si>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</si>
  <si>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</si>
  <si>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</si>
  <si>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</si>
  <si>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</si>
  <si>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</si>
  <si>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</si>
  <si>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</si>
  <si>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</si>
  <si>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</si>
  <si>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</si>
  <si>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</si>
  <si>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</si>
  <si>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</si>
  <si>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</si>
  <si>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</si>
  <si>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</si>
  <si>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</si>
  <si>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</si>
  <si>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</si>
  <si>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</si>
  <si>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</si>
  <si>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</si>
  <si>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</si>
  <si>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</si>
  <si>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</si>
  <si>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</si>
  <si>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</si>
  <si>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</si>
  <si>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</si>
  <si>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</si>
  <si>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</si>
  <si>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</si>
  <si>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</si>
  <si>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</si>
  <si>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</si>
  <si>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</si>
  <si>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</si>
  <si>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</si>
  <si>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</si>
  <si>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</si>
  <si>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</si>
  <si>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</si>
  <si>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</si>
  <si>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</si>
  <si>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</si>
  <si>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</si>
  <si>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</si>
  <si>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</si>
  <si>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</si>
  <si>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</si>
  <si>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</si>
  <si>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</si>
  <si>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</si>
  <si>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</si>
  <si>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</si>
  <si>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</si>
  <si>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</si>
  <si>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</si>
  <si>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</si>
  <si>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</si>
  <si>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</si>
  <si>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</si>
  <si>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</si>
  <si>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</si>
  <si>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</si>
  <si>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</si>
  <si>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</si>
  <si>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</si>
  <si>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</si>
  <si>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</si>
  <si>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</si>
  <si>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</si>
  <si>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</si>
  <si>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</si>
  <si>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</si>
  <si>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</si>
  <si>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</si>
  <si>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</si>
  <si>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</si>
  <si>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</si>
  <si>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</si>
  <si>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</si>
  <si>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</si>
  <si>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</si>
  <si>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</si>
  <si>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</si>
  <si>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</si>
  <si>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</si>
  <si>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</si>
  <si>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</si>
  <si>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</si>
  <si>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</si>
  <si>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</si>
  <si>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</si>
  <si>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</si>
  <si>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</si>
  <si>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</si>
  <si>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</si>
  <si>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</si>
  <si>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</si>
  <si>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</si>
  <si>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</si>
  <si>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</si>
  <si>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</si>
  <si>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</si>
  <si>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</si>
  <si>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</si>
  <si>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</si>
  <si>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</si>
  <si>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</si>
  <si>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</si>
  <si>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</si>
  <si>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</si>
  <si>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</si>
  <si>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</si>
  <si>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</si>
  <si>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</si>
  <si>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</si>
  <si>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</si>
  <si>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</si>
  <si>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</si>
  <si>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</si>
  <si>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</si>
  <si>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</si>
  <si>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</si>
  <si>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</si>
  <si>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</si>
  <si>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</si>
  <si>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</si>
  <si>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</si>
  <si>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</si>
  <si>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</si>
  <si>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</si>
  <si>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</si>
  <si>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</si>
  <si>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</si>
  <si>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</si>
  <si>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</si>
  <si>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</si>
  <si>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</si>
  <si>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</si>
  <si>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</si>
  <si>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</si>
  <si>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</si>
  <si>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</si>
  <si>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</si>
  <si>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</si>
  <si>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</si>
  <si>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</si>
  <si>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</si>
  <si>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</si>
  <si>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</si>
  <si>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</si>
  <si>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</si>
  <si>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</si>
  <si>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</si>
  <si>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</si>
  <si>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</si>
  <si>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</si>
  <si>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</si>
  <si>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</si>
  <si>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</si>
  <si>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</si>
  <si>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</si>
  <si>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</si>
  <si>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</si>
  <si>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</si>
  <si>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</si>
  <si>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</si>
  <si>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</si>
  <si>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</si>
  <si>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</si>
  <si>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</si>
  <si>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</si>
  <si>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</si>
  <si>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</si>
  <si>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</si>
  <si>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</si>
  <si>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</si>
  <si>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</si>
  <si>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</si>
  <si>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</si>
  <si>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</si>
  <si>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</si>
  <si>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</si>
  <si>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</si>
  <si>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</si>
  <si>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</si>
  <si>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</si>
  <si>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</si>
  <si>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</si>
  <si>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</si>
  <si>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</si>
  <si>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</si>
  <si>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</si>
  <si>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</si>
  <si>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</si>
  <si>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</si>
  <si>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</si>
  <si>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</si>
  <si>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</si>
  <si>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</si>
  <si>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</si>
  <si>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</si>
  <si>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</si>
  <si>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</si>
  <si>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</si>
  <si>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</si>
  <si>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</si>
  <si>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</si>
  <si>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</si>
  <si>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</si>
  <si>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</si>
  <si>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</si>
  <si>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</si>
  <si>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</si>
  <si>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</si>
  <si>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</si>
  <si>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</si>
  <si>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</si>
  <si>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</si>
  <si>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</si>
  <si>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</si>
  <si>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</si>
  <si>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</si>
  <si>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</si>
  <si>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</si>
  <si>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</si>
  <si>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</si>
  <si>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</si>
  <si>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</si>
  <si>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</si>
  <si>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</si>
  <si>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</si>
  <si>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</si>
  <si>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</si>
  <si>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</si>
  <si>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</si>
  <si>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</si>
  <si>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</si>
  <si>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</si>
  <si>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</si>
  <si>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</si>
  <si>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</si>
  <si>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</si>
  <si>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</si>
  <si>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</si>
  <si>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</si>
  <si>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</si>
  <si>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</si>
  <si>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</si>
  <si>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</si>
  <si>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</si>
  <si>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</si>
  <si>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</si>
  <si>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</si>
  <si>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</si>
  <si>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</si>
  <si>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</si>
  <si>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</si>
  <si>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</si>
  <si>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</si>
  <si>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</si>
  <si>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</si>
  <si>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</si>
  <si>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</si>
  <si>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</si>
  <si>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</si>
  <si>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</si>
  <si>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</si>
  <si>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</si>
  <si>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</si>
  <si>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</si>
  <si>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</si>
  <si>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</si>
  <si>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</si>
  <si>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</si>
  <si>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</si>
  <si>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</si>
  <si>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</si>
  <si>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</si>
  <si>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</si>
  <si>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</si>
  <si>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</si>
  <si>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</si>
  <si>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</si>
  <si>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</si>
  <si>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</si>
  <si>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</si>
  <si>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</si>
  <si>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</si>
  <si>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</si>
  <si>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</si>
  <si>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</si>
  <si>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</si>
  <si>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</si>
  <si>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</si>
  <si>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</si>
  <si>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</si>
  <si>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</si>
  <si>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</si>
  <si>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</si>
  <si>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</si>
  <si>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</si>
  <si>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</si>
  <si>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</si>
  <si>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</si>
  <si>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</si>
  <si>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</si>
  <si>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</si>
  <si>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</si>
  <si>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</si>
  <si>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</si>
  <si>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</si>
  <si>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</si>
  <si>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</si>
  <si>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</si>
  <si>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</si>
  <si>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</si>
  <si>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</si>
  <si>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</si>
  <si>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</si>
  <si>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</si>
  <si>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</si>
  <si>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</si>
  <si>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</si>
  <si>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</si>
  <si>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</si>
  <si>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</si>
  <si>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</si>
  <si>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</si>
  <si>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</si>
  <si>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</si>
  <si>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</si>
  <si>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</si>
  <si>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</si>
  <si>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</si>
  <si>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</si>
  <si>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</si>
  <si>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</si>
  <si>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</si>
  <si>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</si>
  <si>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</si>
  <si>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</si>
  <si>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</si>
  <si>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</si>
  <si>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</si>
  <si>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</si>
  <si>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</si>
  <si>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</si>
  <si>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</si>
  <si>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</si>
  <si>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</si>
  <si>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</si>
  <si>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</si>
  <si>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</si>
  <si>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</si>
  <si>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</si>
  <si>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</si>
  <si>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</si>
  <si>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</si>
  <si>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</si>
  <si>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</si>
  <si>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</si>
  <si>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</si>
  <si>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</si>
  <si>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</si>
  <si>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</si>
  <si>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</si>
  <si>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</si>
  <si>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</si>
  <si>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</si>
  <si>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</si>
  <si>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</si>
  <si>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</si>
  <si>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</si>
  <si>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</si>
  <si>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</si>
  <si>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</si>
  <si>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</si>
  <si>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</si>
  <si>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</si>
  <si>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</si>
  <si>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</si>
  <si>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</si>
  <si>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</si>
  <si>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</si>
  <si>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</si>
  <si>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</si>
  <si>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</si>
  <si>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</si>
  <si>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</si>
  <si>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</si>
  <si>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</si>
  <si>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</si>
  <si>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</si>
  <si>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</si>
  <si>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</si>
  <si>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</si>
  <si>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</si>
  <si>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</si>
  <si>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</si>
  <si>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</si>
  <si>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</si>
  <si>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</si>
  <si>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</si>
  <si>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</si>
  <si>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</si>
  <si>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</si>
  <si>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</si>
  <si>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</si>
  <si>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</si>
  <si>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</si>
  <si>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</si>
  <si>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</si>
  <si>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</si>
  <si>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</si>
  <si>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</si>
  <si>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</si>
  <si>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</si>
  <si>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</si>
  <si>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</si>
  <si>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</si>
  <si>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</si>
  <si>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</si>
  <si>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</si>
  <si>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</si>
  <si>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</si>
  <si>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</si>
  <si>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</si>
  <si>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</si>
  <si>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</si>
  <si>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</si>
  <si>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</si>
  <si>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</si>
  <si>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</si>
  <si>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</si>
  <si>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t>Data issue identified: Order id column contained combined text with hyphens.</t>
  </si>
  <si>
    <t>Text to columns applied: Used custom hyphen delimiter to split messy column data.</t>
  </si>
  <si>
    <t>Flash fill used: Extracted order codes quickly using flash fill shortcut.</t>
  </si>
  <si>
    <t>Trim function executed: Removed extra hidden spaces using trim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</si>
</sst>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0" fillId="0" borderId="12" xfId="0" applyFont="1" applyBorder="1"/>
    <xf numFmtId="0" fontId="0" fillId="0" borderId="13" xfId="0" applyFont="1" applyBorder="1"/>
    <xf numFmtId="0" fontId="0" fillId="0" borderId="15" xfId="0" applyFont="1" applyBorder="1"/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36" borderId="0" xfId="0" applyFill="1"/>
    <xf numFmtId="0" fontId="22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Z879" totalsRowShown="0" headerRowDxfId="6" tableBorderDxfId="5">
  <autoFilter ref="A1:Z879" xr:uid="{EB281310-9DDF-4BF9-AD32-58AF6A5C7148}"/>
  <tableColumns count="26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4"/>
    <tableColumn id="22" xr3:uid="{A9F2C701-5423-4EE2-A657-8E1E24A2C9EC}" name="Country Code" dataDxfId="3"/>
    <tableColumn id="23" xr3:uid="{949AC7A5-EB3F-4489-A095-4357FE79AEB2}" name="Order ID3" dataDxfId="2"/>
    <tableColumn id="24" xr3:uid="{37A4FF73-FA1C-4086-8450-8DFC2FDE0CAE}" name="Order Code2"/>
    <tableColumn id="25" xr3:uid="{0724EB80-B62B-46B8-A2E8-4F62F95C3AC5}" name="ID Number" dataDxfId="1"/>
    <tableColumn id="26" xr3:uid="{AE7EC1B5-8DCE-40DC-898F-BBC00E7512F9}" name="Trimmed Order ID" dataDxfId="0">
      <calculatedColumnFormula>TRIM(A2)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Z879"/>
  <sheetViews>
    <sheetView topLeftCell="S1" workbookViewId="0">
      <selection activeCell="AB4" sqref="AB4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3.28515625" customWidth="1"/>
    <col min="22" max="22" width="26.7109375" style="31" customWidth="1"/>
    <col min="23" max="23" width="21.42578125" style="34" customWidth="1"/>
    <col min="24" max="24" width="17.28515625" customWidth="1"/>
    <col min="25" max="25" width="16.85546875" style="31" customWidth="1"/>
    <col min="26" max="26" width="33.5703125" style="31" customWidth="1"/>
  </cols>
  <sheetData>
    <row r="1" spans="1:26" ht="15.7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2666</v>
      </c>
      <c r="O1" s="27" t="s">
        <v>2667</v>
      </c>
      <c r="P1" s="27" t="s">
        <v>2668</v>
      </c>
      <c r="Q1" s="27" t="s">
        <v>2669</v>
      </c>
      <c r="R1" s="27" t="s">
        <v>2670</v>
      </c>
      <c r="S1" s="27" t="s">
        <v>2671</v>
      </c>
      <c r="T1" s="28" t="s">
        <v>2672</v>
      </c>
      <c r="U1" t="s">
        <v>2673</v>
      </c>
      <c r="V1" s="25" t="s">
        <v>2674</v>
      </c>
      <c r="W1" s="32" t="s">
        <v>2675</v>
      </c>
      <c r="X1" s="29" t="s">
        <v>2676</v>
      </c>
      <c r="Y1" s="29" t="s">
        <v>2677</v>
      </c>
      <c r="Z1" s="29" t="s">
        <v>2678</v>
      </c>
    </row>
    <row r="2" spans="1:26" ht="15.75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2679</v>
      </c>
      <c r="O2" s="8" t="str">
        <f t="shared" ref="O2:O65" si="0">PROPER(D2)</f>
        <v>Jim Mitchum</v>
      </c>
      <c r="P2" s="8" t="str">
        <f t="shared" ref="P2:P65" si="1">LEFT(A2,2)</f>
        <v>IN</v>
      </c>
      <c r="Q2" s="8" t="str">
        <f t="shared" ref="Q2:Q65" si="2">MID(A2,4,4)</f>
        <v>2014</v>
      </c>
      <c r="R2" s="8" t="str">
        <f t="shared" ref="R2:R65" si="3">UPPER(M2)</f>
        <v>CRITICAL</v>
      </c>
      <c r="S2" s="8" t="str">
        <f t="shared" ref="S2:S65" si="4">LOWER(G2)</f>
        <v>technology</v>
      </c>
      <c r="T2" s="18" t="str">
        <f t="shared" ref="T2:T65" si="5">RIGHT(A2,5)</f>
        <v>41818</v>
      </c>
      <c r="U2" s="30" t="s">
        <v>2680</v>
      </c>
      <c r="V2" s="16" t="s">
        <v>2681</v>
      </c>
      <c r="W2" s="33">
        <v>2014</v>
      </c>
      <c r="X2" t="s">
        <v>2680</v>
      </c>
      <c r="Y2" s="31">
        <v>41818</v>
      </c>
      <c r="Z2" s="31" t="str">
        <f t="shared" ref="Z2:Z65" si="6">TRIM(A2)</f>
        <v>IN-2014-JM156557-41818</v>
      </c>
    </row>
    <row r="3" spans="1:26" ht="15.75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2679</v>
      </c>
      <c r="O3" s="13" t="str">
        <f t="shared" si="0"/>
        <v>Aaron Bergman</v>
      </c>
      <c r="P3" s="13" t="str">
        <f t="shared" si="1"/>
        <v>CA</v>
      </c>
      <c r="Q3" s="13" t="str">
        <f t="shared" si="2"/>
        <v>2014</v>
      </c>
      <c r="R3" s="13" t="str">
        <f t="shared" si="3"/>
        <v>HIGH</v>
      </c>
      <c r="S3" s="13" t="str">
        <f t="shared" si="4"/>
        <v>furniture</v>
      </c>
      <c r="T3" s="21" t="str">
        <f t="shared" si="5"/>
        <v>41954</v>
      </c>
      <c r="U3" s="30" t="s">
        <v>2682</v>
      </c>
      <c r="V3" s="19" t="s">
        <v>2683</v>
      </c>
      <c r="W3" s="33">
        <v>2014</v>
      </c>
      <c r="X3" t="s">
        <v>2682</v>
      </c>
      <c r="Y3" s="31">
        <v>41954</v>
      </c>
      <c r="Z3" s="31" t="str">
        <f t="shared" si="6"/>
        <v>CA-2014-AB10015140-41954</v>
      </c>
    </row>
    <row r="4" spans="1:26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2679</v>
      </c>
      <c r="O4" s="8" t="str">
        <f t="shared" si="0"/>
        <v>Aaron Bergman</v>
      </c>
      <c r="P4" s="8" t="str">
        <f t="shared" si="1"/>
        <v>CA</v>
      </c>
      <c r="Q4" s="8" t="str">
        <f t="shared" si="2"/>
        <v>2012</v>
      </c>
      <c r="R4" s="8" t="str">
        <f t="shared" si="3"/>
        <v>LOW</v>
      </c>
      <c r="S4" s="8" t="str">
        <f t="shared" si="4"/>
        <v>office supplies</v>
      </c>
      <c r="T4" s="18" t="str">
        <f t="shared" si="5"/>
        <v>40958</v>
      </c>
      <c r="U4" s="30" t="s">
        <v>2682</v>
      </c>
      <c r="V4" s="16" t="s">
        <v>2683</v>
      </c>
      <c r="W4" s="33">
        <v>2012</v>
      </c>
      <c r="X4" t="s">
        <v>2682</v>
      </c>
      <c r="Y4" s="31">
        <v>40958</v>
      </c>
      <c r="Z4" s="31" t="str">
        <f t="shared" si="6"/>
        <v>CA-2012-AB10015140-40958</v>
      </c>
    </row>
    <row r="5" spans="1:26" ht="15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2679</v>
      </c>
      <c r="O5" s="13" t="str">
        <f t="shared" si="0"/>
        <v>Aaron Bergman</v>
      </c>
      <c r="P5" s="13" t="str">
        <f t="shared" si="1"/>
        <v>CA</v>
      </c>
      <c r="Q5" s="13" t="str">
        <f t="shared" si="2"/>
        <v>2012</v>
      </c>
      <c r="R5" s="13" t="str">
        <f t="shared" si="3"/>
        <v>HIGH</v>
      </c>
      <c r="S5" s="13" t="str">
        <f t="shared" si="4"/>
        <v>office supplies</v>
      </c>
      <c r="T5" s="21" t="str">
        <f t="shared" si="5"/>
        <v>40974</v>
      </c>
      <c r="U5" s="30" t="s">
        <v>2682</v>
      </c>
      <c r="V5" s="19" t="s">
        <v>2683</v>
      </c>
      <c r="W5" s="33">
        <v>2012</v>
      </c>
      <c r="X5" t="s">
        <v>2682</v>
      </c>
      <c r="Y5" s="31">
        <v>40974</v>
      </c>
      <c r="Z5" s="31" t="str">
        <f t="shared" si="6"/>
        <v>CA-2012-AB10015140-40974</v>
      </c>
    </row>
    <row r="6" spans="1:26" ht="15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2679</v>
      </c>
      <c r="O6" s="8" t="str">
        <f t="shared" si="0"/>
        <v>Naresj Patel</v>
      </c>
      <c r="P6" s="8" t="str">
        <f t="shared" si="1"/>
        <v>US</v>
      </c>
      <c r="Q6" s="8" t="str">
        <f t="shared" si="2"/>
        <v>2015</v>
      </c>
      <c r="R6" s="8" t="str">
        <f t="shared" si="3"/>
        <v>CRITICAL</v>
      </c>
      <c r="S6" s="8" t="str">
        <f t="shared" si="4"/>
        <v>technology</v>
      </c>
      <c r="T6" s="18" t="str">
        <f t="shared" si="5"/>
        <v>42216</v>
      </c>
      <c r="U6" s="30" t="s">
        <v>2684</v>
      </c>
      <c r="V6" s="16" t="s">
        <v>2685</v>
      </c>
      <c r="W6" s="33">
        <v>2015</v>
      </c>
      <c r="X6" t="s">
        <v>2684</v>
      </c>
      <c r="Y6" s="31">
        <v>42216</v>
      </c>
      <c r="Z6" s="31" t="str">
        <f t="shared" si="6"/>
        <v>US-2015-NP1832582-42216</v>
      </c>
    </row>
    <row r="7" spans="1:26" ht="15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2679</v>
      </c>
      <c r="O7" s="13" t="str">
        <f t="shared" si="0"/>
        <v>Dave Poirier</v>
      </c>
      <c r="P7" s="13" t="str">
        <f t="shared" si="1"/>
        <v>IN</v>
      </c>
      <c r="Q7" s="13" t="str">
        <f t="shared" si="2"/>
        <v>2012</v>
      </c>
      <c r="R7" s="13" t="str">
        <f t="shared" si="3"/>
        <v>CRITICAL</v>
      </c>
      <c r="S7" s="13" t="str">
        <f t="shared" si="4"/>
        <v>office supplies</v>
      </c>
      <c r="T7" s="21" t="str">
        <f t="shared" si="5"/>
        <v>41215</v>
      </c>
      <c r="U7" s="30" t="s">
        <v>2686</v>
      </c>
      <c r="V7" s="19" t="s">
        <v>2681</v>
      </c>
      <c r="W7" s="33">
        <v>2012</v>
      </c>
      <c r="X7" t="s">
        <v>2686</v>
      </c>
      <c r="Y7" s="31">
        <v>41215</v>
      </c>
      <c r="Z7" s="31" t="str">
        <f t="shared" si="6"/>
        <v>IN-2012-DP131057-41215</v>
      </c>
    </row>
    <row r="8" spans="1:26" ht="15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2679</v>
      </c>
      <c r="O8" s="8" t="str">
        <f t="shared" si="0"/>
        <v>Aaron Hawkins</v>
      </c>
      <c r="P8" s="8" t="str">
        <f t="shared" si="1"/>
        <v>CA</v>
      </c>
      <c r="Q8" s="8" t="str">
        <f t="shared" si="2"/>
        <v>2013</v>
      </c>
      <c r="R8" s="8" t="str">
        <f t="shared" si="3"/>
        <v>MEDIUM</v>
      </c>
      <c r="S8" s="8" t="str">
        <f t="shared" si="4"/>
        <v>office supplies</v>
      </c>
      <c r="T8" s="18" t="str">
        <f t="shared" si="5"/>
        <v>41635</v>
      </c>
      <c r="U8" s="30" t="s">
        <v>2687</v>
      </c>
      <c r="V8" s="16" t="s">
        <v>2683</v>
      </c>
      <c r="W8" s="33">
        <v>2013</v>
      </c>
      <c r="X8" t="s">
        <v>2687</v>
      </c>
      <c r="Y8" s="31">
        <v>41635</v>
      </c>
      <c r="Z8" s="31" t="str">
        <f t="shared" si="6"/>
        <v>CA-2013-AH10030140-41635</v>
      </c>
    </row>
    <row r="9" spans="1:26" ht="15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2679</v>
      </c>
      <c r="O9" s="13" t="str">
        <f t="shared" si="0"/>
        <v>Dan Lawera</v>
      </c>
      <c r="P9" s="13" t="str">
        <f t="shared" si="1"/>
        <v>IN</v>
      </c>
      <c r="Q9" s="13" t="str">
        <f t="shared" si="2"/>
        <v>2012</v>
      </c>
      <c r="R9" s="13" t="str">
        <f t="shared" si="3"/>
        <v>MEDIUM</v>
      </c>
      <c r="S9" s="13" t="str">
        <f t="shared" si="4"/>
        <v>technology</v>
      </c>
      <c r="T9" s="21" t="str">
        <f t="shared" si="5"/>
        <v>40918</v>
      </c>
      <c r="U9" s="30" t="s">
        <v>2688</v>
      </c>
      <c r="V9" s="19" t="s">
        <v>2681</v>
      </c>
      <c r="W9" s="33">
        <v>2012</v>
      </c>
      <c r="X9" t="s">
        <v>2688</v>
      </c>
      <c r="Y9" s="31">
        <v>40918</v>
      </c>
      <c r="Z9" s="31" t="str">
        <f t="shared" si="6"/>
        <v>IN-2012-DL128657-40918</v>
      </c>
    </row>
    <row r="10" spans="1:26" ht="15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2679</v>
      </c>
      <c r="O10" s="8" t="str">
        <f t="shared" si="0"/>
        <v>Elli Sballard</v>
      </c>
      <c r="P10" s="8" t="str">
        <f t="shared" si="1"/>
        <v>IT</v>
      </c>
      <c r="Q10" s="8" t="str">
        <f t="shared" si="2"/>
        <v>2014</v>
      </c>
      <c r="R10" s="8" t="str">
        <f t="shared" si="3"/>
        <v>CRITICAL</v>
      </c>
      <c r="S10" s="8" t="str">
        <f t="shared" si="4"/>
        <v>furniture</v>
      </c>
      <c r="T10" s="18" t="str">
        <f t="shared" si="5"/>
        <v>41706</v>
      </c>
      <c r="U10" s="30" t="s">
        <v>2689</v>
      </c>
      <c r="V10" s="16" t="s">
        <v>2690</v>
      </c>
      <c r="W10" s="33">
        <v>2014</v>
      </c>
      <c r="X10" t="s">
        <v>2689</v>
      </c>
      <c r="Y10" s="31">
        <v>41706</v>
      </c>
      <c r="Z10" s="31" t="str">
        <f t="shared" si="6"/>
        <v>IT-2014-EB1384045-41706</v>
      </c>
    </row>
    <row r="11" spans="1:26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2679</v>
      </c>
      <c r="O11" s="13" t="str">
        <f t="shared" si="0"/>
        <v xml:space="preserve"> Sheri Gordon </v>
      </c>
      <c r="P11" s="13" t="str">
        <f t="shared" si="1"/>
        <v>IN</v>
      </c>
      <c r="Q11" s="13" t="str">
        <f t="shared" si="2"/>
        <v>2013</v>
      </c>
      <c r="R11" s="13" t="str">
        <f t="shared" si="3"/>
        <v>CRITICAL</v>
      </c>
      <c r="S11" s="13" t="str">
        <f t="shared" si="4"/>
        <v>technology</v>
      </c>
      <c r="T11" s="21" t="str">
        <f t="shared" si="5"/>
        <v>41424</v>
      </c>
      <c r="U11" s="30" t="s">
        <v>2691</v>
      </c>
      <c r="V11" s="19" t="s">
        <v>2681</v>
      </c>
      <c r="W11" s="33">
        <v>2013</v>
      </c>
      <c r="X11" t="s">
        <v>2691</v>
      </c>
      <c r="Y11" s="31">
        <v>41424</v>
      </c>
      <c r="Z11" s="31" t="str">
        <f t="shared" si="6"/>
        <v>IN-2013-SG2047058-41424</v>
      </c>
    </row>
    <row r="12" spans="1:26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2679</v>
      </c>
      <c r="O12" s="8" t="str">
        <f t="shared" si="0"/>
        <v>Guy Phonely</v>
      </c>
      <c r="P12" s="8" t="str">
        <f t="shared" si="1"/>
        <v>IN</v>
      </c>
      <c r="Q12" s="8" t="str">
        <f t="shared" si="2"/>
        <v>2013</v>
      </c>
      <c r="R12" s="8" t="str">
        <f t="shared" si="3"/>
        <v>CRITICAL</v>
      </c>
      <c r="S12" s="8" t="str">
        <f t="shared" si="4"/>
        <v xml:space="preserve"> furniture </v>
      </c>
      <c r="T12" s="18" t="str">
        <f t="shared" si="5"/>
        <v>41419</v>
      </c>
      <c r="U12" s="30" t="s">
        <v>2692</v>
      </c>
      <c r="V12" s="16" t="s">
        <v>2681</v>
      </c>
      <c r="W12" s="33">
        <v>2013</v>
      </c>
      <c r="X12" t="s">
        <v>2692</v>
      </c>
      <c r="Y12" s="31">
        <v>41419</v>
      </c>
      <c r="Z12" s="31" t="str">
        <f t="shared" si="6"/>
        <v>IN-2013-GP1474058-41419</v>
      </c>
    </row>
    <row r="13" spans="1:26" ht="15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2679</v>
      </c>
      <c r="O13" s="13" t="str">
        <f t="shared" si="0"/>
        <v>Dave Kipp</v>
      </c>
      <c r="P13" s="13" t="str">
        <f t="shared" si="1"/>
        <v>IT</v>
      </c>
      <c r="Q13" s="13" t="str">
        <f t="shared" si="2"/>
        <v>2015</v>
      </c>
      <c r="R13" s="13" t="str">
        <f t="shared" si="3"/>
        <v>HIGH</v>
      </c>
      <c r="S13" s="13" t="str">
        <f t="shared" si="4"/>
        <v>furniture</v>
      </c>
      <c r="T13" s="21" t="str">
        <f t="shared" si="5"/>
        <v>42345</v>
      </c>
      <c r="U13" s="30" t="s">
        <v>2693</v>
      </c>
      <c r="V13" s="19" t="s">
        <v>2690</v>
      </c>
      <c r="W13" s="33">
        <v>2015</v>
      </c>
      <c r="X13" t="s">
        <v>2693</v>
      </c>
      <c r="Y13" s="31">
        <v>42345</v>
      </c>
      <c r="Z13" s="31" t="str">
        <f t="shared" si="6"/>
        <v>IT-2015-DK13090120-42345</v>
      </c>
    </row>
    <row r="14" spans="1:26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2679</v>
      </c>
      <c r="O14" s="8" t="str">
        <f t="shared" si="0"/>
        <v>Evan Minnotte</v>
      </c>
      <c r="P14" s="8" t="str">
        <f t="shared" si="1"/>
        <v>MX</v>
      </c>
      <c r="Q14" s="8" t="str">
        <f t="shared" si="2"/>
        <v>2015</v>
      </c>
      <c r="R14" s="8" t="str">
        <f t="shared" si="3"/>
        <v>CRITICAL</v>
      </c>
      <c r="S14" s="8" t="str">
        <f t="shared" si="4"/>
        <v>technology</v>
      </c>
      <c r="T14" s="18" t="str">
        <f t="shared" si="5"/>
        <v>42328</v>
      </c>
      <c r="U14" s="30" t="s">
        <v>2694</v>
      </c>
      <c r="V14" s="16" t="s">
        <v>2695</v>
      </c>
      <c r="W14" s="33">
        <v>2015</v>
      </c>
      <c r="X14" t="s">
        <v>2694</v>
      </c>
      <c r="Y14" s="31">
        <v>42328</v>
      </c>
      <c r="Z14" s="31" t="str">
        <f t="shared" si="6"/>
        <v>MX-2015-EM1420082-42328</v>
      </c>
    </row>
    <row r="15" spans="1:26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2679</v>
      </c>
      <c r="O15" s="13" t="str">
        <f t="shared" si="0"/>
        <v>John Huston</v>
      </c>
      <c r="P15" s="13" t="str">
        <f t="shared" si="1"/>
        <v>IN</v>
      </c>
      <c r="Q15" s="13" t="str">
        <f t="shared" si="2"/>
        <v>2015</v>
      </c>
      <c r="R15" s="13" t="str">
        <f t="shared" si="3"/>
        <v>CRITIACL</v>
      </c>
      <c r="S15" s="13" t="str">
        <f t="shared" si="4"/>
        <v>technology</v>
      </c>
      <c r="T15" s="21" t="str">
        <f t="shared" si="5"/>
        <v>42140</v>
      </c>
      <c r="U15" s="30" t="s">
        <v>2696</v>
      </c>
      <c r="V15" s="19" t="s">
        <v>2681</v>
      </c>
      <c r="W15" s="33">
        <v>2015</v>
      </c>
      <c r="X15" t="s">
        <v>2696</v>
      </c>
      <c r="Y15" s="31">
        <v>42140</v>
      </c>
      <c r="Z15" s="31" t="str">
        <f t="shared" si="6"/>
        <v>IN-2015-JH158207-42140</v>
      </c>
    </row>
    <row r="16" spans="1:26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2679</v>
      </c>
      <c r="O16" s="8" t="str">
        <f t="shared" si="0"/>
        <v>Alejandro Ballentine</v>
      </c>
      <c r="P16" s="8" t="str">
        <f t="shared" si="1"/>
        <v>MO</v>
      </c>
      <c r="Q16" s="8" t="str">
        <f t="shared" si="2"/>
        <v>2014</v>
      </c>
      <c r="R16" s="8" t="str">
        <f t="shared" si="3"/>
        <v>MEDIUM</v>
      </c>
      <c r="S16" s="8" t="str">
        <f t="shared" si="4"/>
        <v>office supplies</v>
      </c>
      <c r="T16" s="18" t="str">
        <f t="shared" si="5"/>
        <v>41966</v>
      </c>
      <c r="U16" s="30" t="s">
        <v>2697</v>
      </c>
      <c r="V16" s="16" t="s">
        <v>2698</v>
      </c>
      <c r="W16" s="33">
        <v>2014</v>
      </c>
      <c r="X16" t="s">
        <v>2697</v>
      </c>
      <c r="Y16" s="31">
        <v>41966</v>
      </c>
      <c r="Z16" s="31" t="str">
        <f t="shared" si="6"/>
        <v>MO-2014-AB25586-41966</v>
      </c>
    </row>
    <row r="17" spans="1:26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2679</v>
      </c>
      <c r="O17" s="13" t="str">
        <f t="shared" si="0"/>
        <v>Guy Phonely</v>
      </c>
      <c r="P17" s="13" t="str">
        <f t="shared" si="1"/>
        <v>IN</v>
      </c>
      <c r="Q17" s="13" t="str">
        <f t="shared" si="2"/>
        <v>2013</v>
      </c>
      <c r="R17" s="13" t="str">
        <f t="shared" si="3"/>
        <v>CRITICAL</v>
      </c>
      <c r="S17" s="13" t="str">
        <f t="shared" si="4"/>
        <v>technology</v>
      </c>
      <c r="T17" s="21" t="str">
        <f t="shared" si="5"/>
        <v>41419</v>
      </c>
      <c r="U17" s="30" t="s">
        <v>2699</v>
      </c>
      <c r="V17" s="19" t="s">
        <v>2681</v>
      </c>
      <c r="W17" s="33">
        <v>2013</v>
      </c>
      <c r="X17" t="s">
        <v>2699</v>
      </c>
      <c r="Y17" s="31">
        <v>41419</v>
      </c>
      <c r="Z17" s="31" t="str">
        <f t="shared" si="6"/>
        <v>IN-2013-GP1474085-41419</v>
      </c>
    </row>
    <row r="18" spans="1:26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2679</v>
      </c>
      <c r="O18" s="8" t="str">
        <f t="shared" si="0"/>
        <v>Aaron Smayling</v>
      </c>
      <c r="P18" s="8" t="str">
        <f t="shared" si="1"/>
        <v>CA</v>
      </c>
      <c r="Q18" s="8" t="str">
        <f t="shared" si="2"/>
        <v>2015</v>
      </c>
      <c r="R18" s="8" t="str">
        <f t="shared" si="3"/>
        <v>MEDIUM</v>
      </c>
      <c r="S18" s="8" t="str">
        <f t="shared" si="4"/>
        <v>furniture</v>
      </c>
      <c r="T18" s="18" t="str">
        <f t="shared" si="5"/>
        <v>42281</v>
      </c>
      <c r="U18" s="30" t="s">
        <v>2700</v>
      </c>
      <c r="V18" s="16" t="s">
        <v>2683</v>
      </c>
      <c r="W18" s="33">
        <v>2015</v>
      </c>
      <c r="X18" t="s">
        <v>2700</v>
      </c>
      <c r="Y18" s="31">
        <v>42281</v>
      </c>
      <c r="Z18" s="31" t="str">
        <f t="shared" si="6"/>
        <v>CA-2015-AS10045140-42281</v>
      </c>
    </row>
    <row r="19" spans="1:26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2679</v>
      </c>
      <c r="O19" s="13" t="str">
        <f t="shared" si="0"/>
        <v>Lena Creighton</v>
      </c>
      <c r="P19" s="13" t="str">
        <f t="shared" si="1"/>
        <v>IN</v>
      </c>
      <c r="Q19" s="13" t="str">
        <f t="shared" si="2"/>
        <v>2014</v>
      </c>
      <c r="R19" s="13" t="str">
        <f t="shared" si="3"/>
        <v>CRITICAL</v>
      </c>
      <c r="S19" s="13" t="str">
        <f t="shared" si="4"/>
        <v>technology</v>
      </c>
      <c r="T19" s="21" t="str">
        <f t="shared" si="5"/>
        <v>41747</v>
      </c>
      <c r="U19" s="30" t="s">
        <v>2701</v>
      </c>
      <c r="V19" s="19" t="s">
        <v>2681</v>
      </c>
      <c r="W19" s="33">
        <v>2014</v>
      </c>
      <c r="X19" t="s">
        <v>2701</v>
      </c>
      <c r="Y19" s="31">
        <v>41747</v>
      </c>
      <c r="Z19" s="31" t="str">
        <f t="shared" si="6"/>
        <v>IN-2014-LC168857-41747</v>
      </c>
    </row>
    <row r="20" spans="1:26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2679</v>
      </c>
      <c r="O20" s="8" t="str">
        <f t="shared" si="0"/>
        <v>Aaron Smayling</v>
      </c>
      <c r="P20" s="8" t="str">
        <f t="shared" si="1"/>
        <v>CA</v>
      </c>
      <c r="Q20" s="8" t="str">
        <f t="shared" si="2"/>
        <v>2015</v>
      </c>
      <c r="R20" s="8" t="str">
        <f t="shared" si="3"/>
        <v>HIGH</v>
      </c>
      <c r="S20" s="8" t="str">
        <f t="shared" si="4"/>
        <v>office supplies</v>
      </c>
      <c r="T20" s="18" t="str">
        <f t="shared" si="5"/>
        <v>42007</v>
      </c>
      <c r="U20" s="30" t="s">
        <v>2700</v>
      </c>
      <c r="V20" s="16" t="s">
        <v>2683</v>
      </c>
      <c r="W20" s="33">
        <v>2015</v>
      </c>
      <c r="X20" t="s">
        <v>2700</v>
      </c>
      <c r="Y20" s="31">
        <v>42007</v>
      </c>
      <c r="Z20" s="31" t="str">
        <f t="shared" si="6"/>
        <v>CA-2015-AS10045140-42007</v>
      </c>
    </row>
    <row r="21" spans="1:26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2679</v>
      </c>
      <c r="O21" s="13" t="str">
        <f t="shared" si="0"/>
        <v>Vivek Sundaresam</v>
      </c>
      <c r="P21" s="13" t="str">
        <f t="shared" si="1"/>
        <v>IN</v>
      </c>
      <c r="Q21" s="13" t="str">
        <f t="shared" si="2"/>
        <v>2014</v>
      </c>
      <c r="R21" s="13" t="str">
        <f t="shared" si="3"/>
        <v>CRITICAL</v>
      </c>
      <c r="S21" s="13" t="str">
        <f t="shared" si="4"/>
        <v>furniture</v>
      </c>
      <c r="T21" s="21" t="str">
        <f t="shared" si="5"/>
        <v>41790</v>
      </c>
      <c r="U21" s="30" t="s">
        <v>2702</v>
      </c>
      <c r="V21" s="19" t="s">
        <v>2681</v>
      </c>
      <c r="W21" s="33">
        <v>2014</v>
      </c>
      <c r="X21" t="s">
        <v>2702</v>
      </c>
      <c r="Y21" s="31">
        <v>41790</v>
      </c>
      <c r="Z21" s="31" t="str">
        <f t="shared" si="6"/>
        <v>IN-2014-VS2182027-41790</v>
      </c>
    </row>
    <row r="22" spans="1:26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2679</v>
      </c>
      <c r="O22" s="8" t="str">
        <f t="shared" si="0"/>
        <v>Adam Bellavance</v>
      </c>
      <c r="P22" s="8" t="str">
        <f t="shared" si="1"/>
        <v>CA</v>
      </c>
      <c r="Q22" s="8" t="str">
        <f t="shared" si="2"/>
        <v>2014</v>
      </c>
      <c r="R22" s="8" t="str">
        <f t="shared" si="3"/>
        <v>CRITICAL</v>
      </c>
      <c r="S22" s="8" t="str">
        <f t="shared" si="4"/>
        <v>office supplies</v>
      </c>
      <c r="T22" s="18" t="str">
        <f t="shared" si="5"/>
        <v>41884</v>
      </c>
      <c r="U22" s="30" t="s">
        <v>2703</v>
      </c>
      <c r="V22" s="16" t="s">
        <v>2683</v>
      </c>
      <c r="W22" s="33">
        <v>2014</v>
      </c>
      <c r="X22" t="s">
        <v>2703</v>
      </c>
      <c r="Y22" s="31">
        <v>41884</v>
      </c>
      <c r="Z22" s="31" t="str">
        <f t="shared" si="6"/>
        <v>CA-2014-AB10060140-41884</v>
      </c>
    </row>
    <row r="23" spans="1:26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2679</v>
      </c>
      <c r="O23" s="13" t="str">
        <f t="shared" si="0"/>
        <v>Jason Klamczynski</v>
      </c>
      <c r="P23" s="13" t="str">
        <f t="shared" si="1"/>
        <v>ID</v>
      </c>
      <c r="Q23" s="13" t="str">
        <f t="shared" si="2"/>
        <v>2014</v>
      </c>
      <c r="R23" s="13" t="str">
        <f t="shared" si="3"/>
        <v>CRITICAL</v>
      </c>
      <c r="S23" s="13" t="str">
        <f t="shared" si="4"/>
        <v>technology</v>
      </c>
      <c r="T23" s="21" t="str">
        <f t="shared" si="5"/>
        <v>41984</v>
      </c>
      <c r="U23" s="30" t="s">
        <v>2704</v>
      </c>
      <c r="V23" s="19" t="s">
        <v>2705</v>
      </c>
      <c r="W23" s="33">
        <v>2014</v>
      </c>
      <c r="X23" t="s">
        <v>2704</v>
      </c>
      <c r="Y23" s="31">
        <v>41984</v>
      </c>
      <c r="Z23" s="31" t="str">
        <f t="shared" si="6"/>
        <v>ID-2014-JK153257-41984</v>
      </c>
    </row>
    <row r="24" spans="1:26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2679</v>
      </c>
      <c r="O24" s="8" t="str">
        <f t="shared" si="0"/>
        <v>Don Weiss</v>
      </c>
      <c r="P24" s="8" t="str">
        <f t="shared" si="1"/>
        <v>IN</v>
      </c>
      <c r="Q24" s="8" t="str">
        <f t="shared" si="2"/>
        <v>2015</v>
      </c>
      <c r="R24" s="8" t="str">
        <f t="shared" si="3"/>
        <v>CRITICAL</v>
      </c>
      <c r="S24" s="8" t="str">
        <f t="shared" si="4"/>
        <v>technology</v>
      </c>
      <c r="T24" s="18" t="str">
        <f t="shared" si="5"/>
        <v>42357</v>
      </c>
      <c r="U24" s="30" t="s">
        <v>2706</v>
      </c>
      <c r="V24" s="16" t="s">
        <v>2681</v>
      </c>
      <c r="W24" s="33">
        <v>2015</v>
      </c>
      <c r="X24" t="s">
        <v>2706</v>
      </c>
      <c r="Y24" s="31">
        <v>42357</v>
      </c>
      <c r="Z24" s="31" t="str">
        <f t="shared" si="6"/>
        <v>IN-2015-DW1354078-42357</v>
      </c>
    </row>
    <row r="25" spans="1:26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2679</v>
      </c>
      <c r="O25" s="13" t="str">
        <f t="shared" si="0"/>
        <v>Adam Bellavance</v>
      </c>
      <c r="P25" s="13" t="str">
        <f t="shared" si="1"/>
        <v>CA</v>
      </c>
      <c r="Q25" s="13" t="str">
        <f t="shared" si="2"/>
        <v>2015</v>
      </c>
      <c r="R25" s="13" t="str">
        <f t="shared" si="3"/>
        <v>LOW</v>
      </c>
      <c r="S25" s="13" t="str">
        <f t="shared" si="4"/>
        <v>furniture</v>
      </c>
      <c r="T25" s="21" t="str">
        <f t="shared" si="5"/>
        <v>42315</v>
      </c>
      <c r="U25" s="30" t="s">
        <v>2703</v>
      </c>
      <c r="V25" s="19" t="s">
        <v>2683</v>
      </c>
      <c r="W25" s="33">
        <v>2015</v>
      </c>
      <c r="X25" t="s">
        <v>2703</v>
      </c>
      <c r="Y25" s="31">
        <v>42315</v>
      </c>
      <c r="Z25" s="31" t="str">
        <f t="shared" si="6"/>
        <v>CA-2015-AB10060140-42315</v>
      </c>
    </row>
    <row r="26" spans="1:26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2679</v>
      </c>
      <c r="O26" s="8" t="str">
        <f t="shared" si="0"/>
        <v>Adam Bellavance</v>
      </c>
      <c r="P26" s="8" t="str">
        <f t="shared" si="1"/>
        <v>US</v>
      </c>
      <c r="Q26" s="8" t="str">
        <f t="shared" si="2"/>
        <v>2014</v>
      </c>
      <c r="R26" s="8" t="str">
        <f t="shared" si="3"/>
        <v>MEDIUM</v>
      </c>
      <c r="S26" s="8" t="str">
        <f t="shared" si="4"/>
        <v>office supplies</v>
      </c>
      <c r="T26" s="18" t="str">
        <f t="shared" si="5"/>
        <v>41712</v>
      </c>
      <c r="U26" s="30" t="s">
        <v>2703</v>
      </c>
      <c r="V26" s="16" t="s">
        <v>2685</v>
      </c>
      <c r="W26" s="33">
        <v>2014</v>
      </c>
      <c r="X26" t="s">
        <v>2703</v>
      </c>
      <c r="Y26" s="31">
        <v>41712</v>
      </c>
      <c r="Z26" s="31" t="str">
        <f t="shared" si="6"/>
        <v>US-2014-AB10060140-41712</v>
      </c>
    </row>
    <row r="27" spans="1:26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2679</v>
      </c>
      <c r="O27" s="13" t="str">
        <f t="shared" si="0"/>
        <v>Adam Bellavance</v>
      </c>
      <c r="P27" s="13" t="str">
        <f t="shared" si="1"/>
        <v>CA</v>
      </c>
      <c r="Q27" s="13" t="str">
        <f t="shared" si="2"/>
        <v>2014</v>
      </c>
      <c r="R27" s="13" t="str">
        <f t="shared" si="3"/>
        <v>CRITICAL</v>
      </c>
      <c r="S27" s="13" t="str">
        <f t="shared" si="4"/>
        <v>office supplies</v>
      </c>
      <c r="T27" s="21" t="str">
        <f t="shared" si="5"/>
        <v>41884</v>
      </c>
      <c r="U27" s="30" t="s">
        <v>2703</v>
      </c>
      <c r="V27" s="19" t="s">
        <v>2683</v>
      </c>
      <c r="W27" s="33">
        <v>2014</v>
      </c>
      <c r="X27" t="s">
        <v>2703</v>
      </c>
      <c r="Y27" s="31">
        <v>41884</v>
      </c>
      <c r="Z27" s="31" t="str">
        <f t="shared" si="6"/>
        <v>CA-2014-AB10060140-41884</v>
      </c>
    </row>
    <row r="28" spans="1:26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2679</v>
      </c>
      <c r="O28" s="8" t="str">
        <f t="shared" si="0"/>
        <v>Lisa Hazard</v>
      </c>
      <c r="P28" s="8" t="str">
        <f t="shared" si="1"/>
        <v>IN</v>
      </c>
      <c r="Q28" s="8" t="str">
        <f t="shared" si="2"/>
        <v>2013</v>
      </c>
      <c r="R28" s="8" t="str">
        <f t="shared" si="3"/>
        <v>CRITICAL</v>
      </c>
      <c r="S28" s="8" t="str">
        <f t="shared" si="4"/>
        <v>technology</v>
      </c>
      <c r="T28" s="18" t="str">
        <f t="shared" si="5"/>
        <v>41572</v>
      </c>
      <c r="U28" s="30" t="s">
        <v>2707</v>
      </c>
      <c r="V28" s="16" t="s">
        <v>2681</v>
      </c>
      <c r="W28" s="33">
        <v>2013</v>
      </c>
      <c r="X28" t="s">
        <v>2707</v>
      </c>
      <c r="Y28" s="31">
        <v>41572</v>
      </c>
      <c r="Z28" s="31" t="str">
        <f t="shared" si="6"/>
        <v>IN-2013-LH1702027-41572</v>
      </c>
    </row>
    <row r="29" spans="1:26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2679</v>
      </c>
      <c r="O29" s="13" t="str">
        <f t="shared" si="0"/>
        <v>Adam Bellavance</v>
      </c>
      <c r="P29" s="13" t="str">
        <f t="shared" si="1"/>
        <v>US</v>
      </c>
      <c r="Q29" s="13" t="str">
        <f t="shared" si="2"/>
        <v>2014</v>
      </c>
      <c r="R29" s="13" t="str">
        <f t="shared" si="3"/>
        <v>MEDIUM</v>
      </c>
      <c r="S29" s="13" t="str">
        <f t="shared" si="4"/>
        <v>furniture</v>
      </c>
      <c r="T29" s="21" t="str">
        <f t="shared" si="5"/>
        <v>41712</v>
      </c>
      <c r="U29" s="30" t="s">
        <v>2703</v>
      </c>
      <c r="V29" s="19" t="s">
        <v>2685</v>
      </c>
      <c r="W29" s="33">
        <v>2014</v>
      </c>
      <c r="X29" t="s">
        <v>2703</v>
      </c>
      <c r="Y29" s="31">
        <v>41712</v>
      </c>
      <c r="Z29" s="31" t="str">
        <f t="shared" si="6"/>
        <v>US-2014-AB10060140-41712</v>
      </c>
    </row>
    <row r="30" spans="1:26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2679</v>
      </c>
      <c r="O30" s="8" t="str">
        <f t="shared" si="0"/>
        <v>Roland Fjeld</v>
      </c>
      <c r="P30" s="8" t="str">
        <f t="shared" si="1"/>
        <v>IN</v>
      </c>
      <c r="Q30" s="8" t="str">
        <f t="shared" si="2"/>
        <v>2014</v>
      </c>
      <c r="R30" s="8" t="str">
        <f t="shared" si="3"/>
        <v>HIGH</v>
      </c>
      <c r="S30" s="8" t="str">
        <f t="shared" si="4"/>
        <v>technology</v>
      </c>
      <c r="T30" s="18" t="str">
        <f t="shared" si="5"/>
        <v>41709</v>
      </c>
      <c r="U30" s="30" t="s">
        <v>2708</v>
      </c>
      <c r="V30" s="16" t="s">
        <v>2681</v>
      </c>
      <c r="W30" s="33">
        <v>2014</v>
      </c>
      <c r="X30" t="s">
        <v>2708</v>
      </c>
      <c r="Y30" s="31">
        <v>41709</v>
      </c>
      <c r="Z30" s="31" t="str">
        <f t="shared" si="6"/>
        <v>IN-2014-RF197357-41709</v>
      </c>
    </row>
    <row r="31" spans="1:26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2679</v>
      </c>
      <c r="O31" s="13" t="str">
        <f t="shared" si="0"/>
        <v>John Huston</v>
      </c>
      <c r="P31" s="13" t="str">
        <f t="shared" si="1"/>
        <v>ES</v>
      </c>
      <c r="Q31" s="13" t="str">
        <f t="shared" si="2"/>
        <v>2013</v>
      </c>
      <c r="R31" s="13" t="str">
        <f t="shared" si="3"/>
        <v>HIGH#</v>
      </c>
      <c r="S31" s="13" t="str">
        <f t="shared" si="4"/>
        <v>technology</v>
      </c>
      <c r="T31" s="21" t="str">
        <f t="shared" si="5"/>
        <v>1306#</v>
      </c>
      <c r="U31" s="30" t="s">
        <v>2709</v>
      </c>
      <c r="V31" s="19" t="s">
        <v>2710</v>
      </c>
      <c r="W31" s="33">
        <v>2013</v>
      </c>
      <c r="X31" t="s">
        <v>2709</v>
      </c>
      <c r="Y31" s="31" t="s">
        <v>2711</v>
      </c>
      <c r="Z31" s="31" t="str">
        <f t="shared" si="6"/>
        <v>ES-2013-JH1582048-41306#</v>
      </c>
    </row>
    <row r="32" spans="1:26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2679</v>
      </c>
      <c r="O32" s="8" t="str">
        <f t="shared" si="0"/>
        <v>Adam Bellavance</v>
      </c>
      <c r="P32" s="8" t="str">
        <f t="shared" si="1"/>
        <v xml:space="preserve"> U</v>
      </c>
      <c r="Q32" s="8" t="str">
        <f t="shared" si="2"/>
        <v>-201</v>
      </c>
      <c r="R32" s="8" t="str">
        <f t="shared" si="3"/>
        <v>MEDIUM</v>
      </c>
      <c r="S32" s="8" t="str">
        <f t="shared" si="4"/>
        <v>office supplies</v>
      </c>
      <c r="T32" s="18" t="str">
        <f t="shared" si="5"/>
        <v xml:space="preserve">1712 </v>
      </c>
      <c r="U32" s="30" t="s">
        <v>2703</v>
      </c>
      <c r="V32" s="16" t="s">
        <v>2712</v>
      </c>
      <c r="W32" s="33">
        <v>2014</v>
      </c>
      <c r="X32" t="s">
        <v>2703</v>
      </c>
      <c r="Y32" s="31">
        <v>41712</v>
      </c>
      <c r="Z32" s="31" t="str">
        <f t="shared" si="6"/>
        <v>US-2014-AB10060140-41712</v>
      </c>
    </row>
    <row r="33" spans="1:26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2679</v>
      </c>
      <c r="O33" s="13" t="str">
        <f t="shared" si="0"/>
        <v>Adam Bellavance</v>
      </c>
      <c r="P33" s="13" t="str">
        <f t="shared" si="1"/>
        <v>CA</v>
      </c>
      <c r="Q33" s="13" t="str">
        <f t="shared" si="2"/>
        <v>2014</v>
      </c>
      <c r="R33" s="13" t="str">
        <f t="shared" si="3"/>
        <v>MEDIUM</v>
      </c>
      <c r="S33" s="13" t="str">
        <f t="shared" si="4"/>
        <v>office supplies</v>
      </c>
      <c r="T33" s="21" t="str">
        <f t="shared" si="5"/>
        <v>41881</v>
      </c>
      <c r="U33" s="30" t="s">
        <v>2703</v>
      </c>
      <c r="V33" s="19" t="s">
        <v>2683</v>
      </c>
      <c r="W33" s="33">
        <v>2014</v>
      </c>
      <c r="X33" t="s">
        <v>2703</v>
      </c>
      <c r="Y33" s="31">
        <v>41881</v>
      </c>
      <c r="Z33" s="31" t="str">
        <f t="shared" si="6"/>
        <v>CA-2014-AB10060140-41881</v>
      </c>
    </row>
    <row r="34" spans="1:26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2679</v>
      </c>
      <c r="O34" s="8" t="str">
        <f t="shared" si="0"/>
        <v>Bill Eplett</v>
      </c>
      <c r="P34" s="8" t="str">
        <f t="shared" si="1"/>
        <v>MX</v>
      </c>
      <c r="Q34" s="8" t="str">
        <f t="shared" si="2"/>
        <v>2015</v>
      </c>
      <c r="R34" s="8" t="str">
        <f t="shared" si="3"/>
        <v>HIGH</v>
      </c>
      <c r="S34" s="8" t="str">
        <f t="shared" si="4"/>
        <v>office supplies</v>
      </c>
      <c r="T34" s="18" t="str">
        <f t="shared" si="5"/>
        <v>42082</v>
      </c>
      <c r="U34" s="30" t="s">
        <v>2713</v>
      </c>
      <c r="V34" s="16" t="s">
        <v>2695</v>
      </c>
      <c r="W34" s="33">
        <v>2015</v>
      </c>
      <c r="X34" t="s">
        <v>2713</v>
      </c>
      <c r="Y34" s="31">
        <v>42082</v>
      </c>
      <c r="Z34" s="31" t="str">
        <f t="shared" si="6"/>
        <v>MX-2015-BE1133582-42082</v>
      </c>
    </row>
    <row r="35" spans="1:26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2679</v>
      </c>
      <c r="O35" s="13" t="str">
        <f t="shared" si="0"/>
        <v>Adam Bellavance</v>
      </c>
      <c r="P35" s="13" t="str">
        <f t="shared" si="1"/>
        <v>CA</v>
      </c>
      <c r="Q35" s="13" t="str">
        <f t="shared" si="2"/>
        <v>2013</v>
      </c>
      <c r="R35" s="13" t="str">
        <f t="shared" si="3"/>
        <v>MEDIUM</v>
      </c>
      <c r="S35" s="13" t="str">
        <f t="shared" si="4"/>
        <v>office supplies</v>
      </c>
      <c r="T35" s="21" t="str">
        <f t="shared" si="5"/>
        <v>41535</v>
      </c>
      <c r="U35" s="30" t="s">
        <v>2703</v>
      </c>
      <c r="V35" s="19" t="s">
        <v>2683</v>
      </c>
      <c r="W35" s="33">
        <v>2013</v>
      </c>
      <c r="X35" t="s">
        <v>2703</v>
      </c>
      <c r="Y35" s="31">
        <v>41535</v>
      </c>
      <c r="Z35" s="31" t="str">
        <f t="shared" si="6"/>
        <v>CA-2013-AB10060140-41535</v>
      </c>
    </row>
    <row r="36" spans="1:26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2679</v>
      </c>
      <c r="O36" s="8" t="str">
        <f t="shared" si="0"/>
        <v>Rob Lucas</v>
      </c>
      <c r="P36" s="8" t="str">
        <f t="shared" si="1"/>
        <v>ID</v>
      </c>
      <c r="Q36" s="8" t="str">
        <f t="shared" si="2"/>
        <v>2014</v>
      </c>
      <c r="R36" s="8" t="str">
        <f t="shared" si="3"/>
        <v>MEDIUM</v>
      </c>
      <c r="S36" s="8" t="str">
        <f t="shared" si="4"/>
        <v>furniture</v>
      </c>
      <c r="T36" s="18" t="str">
        <f t="shared" si="5"/>
        <v>41641</v>
      </c>
      <c r="U36" s="30" t="s">
        <v>2714</v>
      </c>
      <c r="V36" s="16" t="s">
        <v>2705</v>
      </c>
      <c r="W36" s="33">
        <v>2014</v>
      </c>
      <c r="X36" t="s">
        <v>2714</v>
      </c>
      <c r="Y36" s="31">
        <v>41641</v>
      </c>
      <c r="Z36" s="31" t="str">
        <f t="shared" si="6"/>
        <v>ID-2014-RL196157-41641</v>
      </c>
    </row>
    <row r="37" spans="1:26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2679</v>
      </c>
      <c r="O37" s="13" t="str">
        <f t="shared" si="0"/>
        <v>Adam Bellavance</v>
      </c>
      <c r="P37" s="13" t="str">
        <f t="shared" si="1"/>
        <v>CA</v>
      </c>
      <c r="Q37" s="13" t="str">
        <f t="shared" si="2"/>
        <v>2014</v>
      </c>
      <c r="R37" s="13" t="str">
        <f t="shared" si="3"/>
        <v>CRITICAL</v>
      </c>
      <c r="S37" s="13" t="str">
        <f t="shared" si="4"/>
        <v>office supplies</v>
      </c>
      <c r="T37" s="21" t="str">
        <f t="shared" si="5"/>
        <v>41884</v>
      </c>
      <c r="U37" s="30" t="s">
        <v>2703</v>
      </c>
      <c r="V37" s="19" t="s">
        <v>2683</v>
      </c>
      <c r="W37" s="33">
        <v>2014</v>
      </c>
      <c r="X37" t="s">
        <v>2703</v>
      </c>
      <c r="Y37" s="31">
        <v>41884</v>
      </c>
      <c r="Z37" s="31" t="str">
        <f t="shared" si="6"/>
        <v>CA-2014-AB10060140-41884</v>
      </c>
    </row>
    <row r="38" spans="1:26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2679</v>
      </c>
      <c r="O38" s="8" t="str">
        <f t="shared" si="0"/>
        <v>Bart Watters</v>
      </c>
      <c r="P38" s="8" t="str">
        <f t="shared" si="1"/>
        <v>IN</v>
      </c>
      <c r="Q38" s="8" t="str">
        <f t="shared" si="2"/>
        <v>2012</v>
      </c>
      <c r="R38" s="8" t="str">
        <f t="shared" si="3"/>
        <v>HIGH</v>
      </c>
      <c r="S38" s="8" t="str">
        <f t="shared" si="4"/>
        <v>furniture</v>
      </c>
      <c r="T38" s="18" t="str">
        <f t="shared" si="5"/>
        <v>41076</v>
      </c>
      <c r="U38" s="30" t="s">
        <v>2715</v>
      </c>
      <c r="V38" s="16" t="s">
        <v>2681</v>
      </c>
      <c r="W38" s="33">
        <v>2012</v>
      </c>
      <c r="X38" t="s">
        <v>2715</v>
      </c>
      <c r="Y38" s="31">
        <v>41076</v>
      </c>
      <c r="Z38" s="31" t="str">
        <f t="shared" si="6"/>
        <v>IN-2012-BW1111027-41076</v>
      </c>
    </row>
    <row r="39" spans="1:26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2679</v>
      </c>
      <c r="O39" s="13" t="str">
        <f t="shared" si="0"/>
        <v>Jill Matthias</v>
      </c>
      <c r="P39" s="13" t="str">
        <f t="shared" si="1"/>
        <v>MX</v>
      </c>
      <c r="Q39" s="13" t="str">
        <f t="shared" si="2"/>
        <v>2012</v>
      </c>
      <c r="R39" s="13" t="str">
        <f t="shared" si="3"/>
        <v>HIGH</v>
      </c>
      <c r="S39" s="13" t="str">
        <f t="shared" si="4"/>
        <v>technology</v>
      </c>
      <c r="T39" s="21" t="str">
        <f t="shared" si="5"/>
        <v>41045</v>
      </c>
      <c r="U39" s="30" t="s">
        <v>2716</v>
      </c>
      <c r="V39" s="19" t="s">
        <v>2695</v>
      </c>
      <c r="W39" s="33">
        <v>2012</v>
      </c>
      <c r="X39" t="s">
        <v>2716</v>
      </c>
      <c r="Y39" s="31">
        <v>41045</v>
      </c>
      <c r="Z39" s="31" t="str">
        <f t="shared" si="6"/>
        <v>MX-2012-JM1558082-41045</v>
      </c>
    </row>
    <row r="40" spans="1:26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2679</v>
      </c>
      <c r="O40" s="8" t="str">
        <f t="shared" si="0"/>
        <v>Adam Bellavance</v>
      </c>
      <c r="P40" s="8" t="str">
        <f t="shared" si="1"/>
        <v>CA</v>
      </c>
      <c r="Q40" s="8" t="str">
        <f t="shared" si="2"/>
        <v>2015</v>
      </c>
      <c r="R40" s="8" t="str">
        <f t="shared" si="3"/>
        <v>HIGH</v>
      </c>
      <c r="S40" s="8" t="str">
        <f t="shared" si="4"/>
        <v>office supplies</v>
      </c>
      <c r="T40" s="18" t="str">
        <f t="shared" si="5"/>
        <v>42314</v>
      </c>
      <c r="U40" s="30" t="s">
        <v>2703</v>
      </c>
      <c r="V40" s="16" t="s">
        <v>2683</v>
      </c>
      <c r="W40" s="33">
        <v>2015</v>
      </c>
      <c r="X40" t="s">
        <v>2703</v>
      </c>
      <c r="Y40" s="31">
        <v>42314</v>
      </c>
      <c r="Z40" s="31" t="str">
        <f t="shared" si="6"/>
        <v>CA-2015-AB10060140-42314</v>
      </c>
    </row>
    <row r="41" spans="1:26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2679</v>
      </c>
      <c r="O41" s="13" t="str">
        <f t="shared" si="0"/>
        <v>Adam Hart</v>
      </c>
      <c r="P41" s="13" t="str">
        <f t="shared" si="1"/>
        <v>CA</v>
      </c>
      <c r="Q41" s="13" t="str">
        <f t="shared" si="2"/>
        <v>2015</v>
      </c>
      <c r="R41" s="13" t="str">
        <f t="shared" si="3"/>
        <v>CRITICAL</v>
      </c>
      <c r="S41" s="13" t="str">
        <f t="shared" si="4"/>
        <v>furniture</v>
      </c>
      <c r="T41" s="21" t="str">
        <f t="shared" si="5"/>
        <v>42301</v>
      </c>
      <c r="U41" s="30" t="s">
        <v>2717</v>
      </c>
      <c r="V41" s="19" t="s">
        <v>2683</v>
      </c>
      <c r="W41" s="33">
        <v>2015</v>
      </c>
      <c r="X41" t="s">
        <v>2717</v>
      </c>
      <c r="Y41" s="31">
        <v>42301</v>
      </c>
      <c r="Z41" s="31" t="str">
        <f t="shared" si="6"/>
        <v>CA-2015-AH10075140-42301</v>
      </c>
    </row>
    <row r="42" spans="1:26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2679</v>
      </c>
      <c r="O42" s="8" t="str">
        <f t="shared" si="0"/>
        <v>Alex Grayson</v>
      </c>
      <c r="P42" s="8" t="str">
        <f t="shared" si="1"/>
        <v>IN</v>
      </c>
      <c r="Q42" s="8" t="str">
        <f t="shared" si="2"/>
        <v>2015</v>
      </c>
      <c r="R42" s="8" t="str">
        <f t="shared" si="3"/>
        <v>CRITICAL</v>
      </c>
      <c r="S42" s="8" t="str">
        <f t="shared" si="4"/>
        <v>office supplies</v>
      </c>
      <c r="T42" s="18" t="str">
        <f t="shared" si="5"/>
        <v>42197</v>
      </c>
      <c r="U42" s="30" t="s">
        <v>2718</v>
      </c>
      <c r="V42" s="16" t="s">
        <v>2681</v>
      </c>
      <c r="W42" s="33">
        <v>2015</v>
      </c>
      <c r="X42" t="s">
        <v>2718</v>
      </c>
      <c r="Y42" s="31">
        <v>42197</v>
      </c>
      <c r="Z42" s="31" t="str">
        <f t="shared" si="6"/>
        <v>IN-2015-AG1033059-42197</v>
      </c>
    </row>
    <row r="43" spans="1:26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2679</v>
      </c>
      <c r="O43" s="13" t="str">
        <f t="shared" si="0"/>
        <v>Daam Hart</v>
      </c>
      <c r="P43" s="13" t="str">
        <f t="shared" si="1"/>
        <v>CA</v>
      </c>
      <c r="Q43" s="13" t="str">
        <f t="shared" si="2"/>
        <v>2015</v>
      </c>
      <c r="R43" s="13" t="str">
        <f t="shared" si="3"/>
        <v>CRITICAL</v>
      </c>
      <c r="S43" s="13" t="str">
        <f t="shared" si="4"/>
        <v>furniture</v>
      </c>
      <c r="T43" s="21" t="str">
        <f t="shared" si="5"/>
        <v>42301</v>
      </c>
      <c r="U43" s="30" t="s">
        <v>2717</v>
      </c>
      <c r="V43" s="19" t="s">
        <v>2683</v>
      </c>
      <c r="W43" s="33">
        <v>2015</v>
      </c>
      <c r="X43" t="s">
        <v>2717</v>
      </c>
      <c r="Y43" s="31">
        <v>42301</v>
      </c>
      <c r="Z43" s="31" t="str">
        <f t="shared" si="6"/>
        <v>CA-2015-AH10075140-42301</v>
      </c>
    </row>
    <row r="44" spans="1:26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2679</v>
      </c>
      <c r="O44" s="8" t="str">
        <f t="shared" si="0"/>
        <v>Neil Franzã¶Sisch</v>
      </c>
      <c r="P44" s="8" t="str">
        <f t="shared" si="1"/>
        <v>ES</v>
      </c>
      <c r="Q44" s="8" t="str">
        <f t="shared" si="2"/>
        <v>2015</v>
      </c>
      <c r="R44" s="8" t="str">
        <f t="shared" si="3"/>
        <v>CRITICAL</v>
      </c>
      <c r="S44" s="8" t="str">
        <f t="shared" si="4"/>
        <v>office supplies</v>
      </c>
      <c r="T44" s="18" t="str">
        <f t="shared" si="5"/>
        <v>42248</v>
      </c>
      <c r="U44" s="30" t="s">
        <v>2719</v>
      </c>
      <c r="V44" s="16" t="s">
        <v>2710</v>
      </c>
      <c r="W44" s="33">
        <v>2015</v>
      </c>
      <c r="X44" t="s">
        <v>2719</v>
      </c>
      <c r="Y44" s="31">
        <v>42248</v>
      </c>
      <c r="Z44" s="31" t="str">
        <f t="shared" si="6"/>
        <v>ES-2015-NF1847548-42248</v>
      </c>
    </row>
    <row r="45" spans="1:26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2679</v>
      </c>
      <c r="O45" s="13" t="str">
        <f t="shared" si="0"/>
        <v>Adam Hart</v>
      </c>
      <c r="P45" s="13" t="str">
        <f t="shared" si="1"/>
        <v>CA</v>
      </c>
      <c r="Q45" s="13" t="str">
        <f t="shared" si="2"/>
        <v>2015</v>
      </c>
      <c r="R45" s="13" t="str">
        <f t="shared" si="3"/>
        <v>CRITICAL</v>
      </c>
      <c r="S45" s="13" t="str">
        <f t="shared" si="4"/>
        <v>furniture</v>
      </c>
      <c r="T45" s="21" t="str">
        <f t="shared" si="5"/>
        <v>42301</v>
      </c>
      <c r="U45" s="30" t="s">
        <v>2717</v>
      </c>
      <c r="V45" s="19" t="s">
        <v>2683</v>
      </c>
      <c r="W45" s="33">
        <v>2015</v>
      </c>
      <c r="X45" t="s">
        <v>2717</v>
      </c>
      <c r="Y45" s="31">
        <v>42301</v>
      </c>
      <c r="Z45" s="31" t="str">
        <f t="shared" si="6"/>
        <v>CA-2015-AH10075140-42301</v>
      </c>
    </row>
    <row r="46" spans="1:26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2679</v>
      </c>
      <c r="O46" s="8" t="str">
        <f t="shared" si="0"/>
        <v>Nathan Amutz</v>
      </c>
      <c r="P46" s="8" t="str">
        <f t="shared" si="1"/>
        <v>IN</v>
      </c>
      <c r="Q46" s="8" t="str">
        <f t="shared" si="2"/>
        <v>2014</v>
      </c>
      <c r="R46" s="8" t="str">
        <f t="shared" si="3"/>
        <v xml:space="preserve"> CRITICAL </v>
      </c>
      <c r="S46" s="8" t="str">
        <f t="shared" si="4"/>
        <v>technology</v>
      </c>
      <c r="T46" s="18" t="str">
        <f t="shared" si="5"/>
        <v>41800</v>
      </c>
      <c r="U46" s="30" t="s">
        <v>2720</v>
      </c>
      <c r="V46" s="16" t="s">
        <v>2681</v>
      </c>
      <c r="W46" s="33">
        <v>2014</v>
      </c>
      <c r="X46" t="s">
        <v>2720</v>
      </c>
      <c r="Y46" s="31">
        <v>41800</v>
      </c>
      <c r="Z46" s="31" t="str">
        <f t="shared" si="6"/>
        <v>IN-2014-NM1844527-41800</v>
      </c>
    </row>
    <row r="47" spans="1:26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2679</v>
      </c>
      <c r="O47" s="13" t="str">
        <f t="shared" si="0"/>
        <v>Adam Hart</v>
      </c>
      <c r="P47" s="13" t="str">
        <f t="shared" si="1"/>
        <v>CA</v>
      </c>
      <c r="Q47" s="13" t="str">
        <f t="shared" si="2"/>
        <v>2014</v>
      </c>
      <c r="R47" s="13" t="str">
        <f t="shared" si="3"/>
        <v>CRITICAL</v>
      </c>
      <c r="S47" s="13" t="str">
        <f t="shared" si="4"/>
        <v>office supplies</v>
      </c>
      <c r="T47" s="21" t="str">
        <f t="shared" si="5"/>
        <v>41817</v>
      </c>
      <c r="U47" s="30" t="s">
        <v>2717</v>
      </c>
      <c r="V47" s="19" t="s">
        <v>2683</v>
      </c>
      <c r="W47" s="33">
        <v>2014</v>
      </c>
      <c r="X47" t="s">
        <v>2717</v>
      </c>
      <c r="Y47" s="31">
        <v>41817</v>
      </c>
      <c r="Z47" s="31" t="str">
        <f t="shared" si="6"/>
        <v>CA-2014-AH10075140-41817</v>
      </c>
    </row>
    <row r="48" spans="1:26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2679</v>
      </c>
      <c r="O48" s="8" t="str">
        <f t="shared" si="0"/>
        <v>Ken Black</v>
      </c>
      <c r="P48" s="8" t="str">
        <f t="shared" si="1"/>
        <v>IN</v>
      </c>
      <c r="Q48" s="8" t="str">
        <f t="shared" si="2"/>
        <v>2013</v>
      </c>
      <c r="R48" s="8" t="str">
        <f t="shared" si="3"/>
        <v>HIGH</v>
      </c>
      <c r="S48" s="8" t="str">
        <f t="shared" si="4"/>
        <v>technology</v>
      </c>
      <c r="T48" s="18" t="str">
        <f t="shared" si="5"/>
        <v>1488#</v>
      </c>
      <c r="U48" s="30" t="s">
        <v>2721</v>
      </c>
      <c r="V48" s="16" t="s">
        <v>2681</v>
      </c>
      <c r="W48" s="33">
        <v>2013</v>
      </c>
      <c r="X48" t="s">
        <v>2721</v>
      </c>
      <c r="Y48" s="31" t="s">
        <v>2722</v>
      </c>
      <c r="Z48" s="31" t="str">
        <f t="shared" si="6"/>
        <v>IN-2013-KB1658527-41488#</v>
      </c>
    </row>
    <row r="49" spans="1:26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2679</v>
      </c>
      <c r="O49" s="13" t="str">
        <f t="shared" si="0"/>
        <v>Logan Haushalter</v>
      </c>
      <c r="P49" s="13" t="str">
        <f t="shared" si="1"/>
        <v>ES</v>
      </c>
      <c r="Q49" s="13" t="str">
        <f t="shared" si="2"/>
        <v>2013</v>
      </c>
      <c r="R49" s="13" t="str">
        <f t="shared" si="3"/>
        <v>HIGH</v>
      </c>
      <c r="S49" s="13" t="str">
        <f t="shared" si="4"/>
        <v>office supplies</v>
      </c>
      <c r="T49" s="21" t="str">
        <f t="shared" si="5"/>
        <v>41444</v>
      </c>
      <c r="U49" s="30" t="s">
        <v>2723</v>
      </c>
      <c r="V49" s="19" t="s">
        <v>2710</v>
      </c>
      <c r="W49" s="33">
        <v>2013</v>
      </c>
      <c r="X49" t="s">
        <v>2723</v>
      </c>
      <c r="Y49" s="31">
        <v>41444</v>
      </c>
      <c r="Z49" s="31" t="str">
        <f t="shared" si="6"/>
        <v>ES-2013-LH1715545-41444</v>
      </c>
    </row>
    <row r="50" spans="1:26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2679</v>
      </c>
      <c r="O50" s="8" t="str">
        <f t="shared" si="0"/>
        <v>Adam Hart</v>
      </c>
      <c r="P50" s="8" t="str">
        <f t="shared" si="1"/>
        <v>CA</v>
      </c>
      <c r="Q50" s="8" t="str">
        <f t="shared" si="2"/>
        <v>2015</v>
      </c>
      <c r="R50" s="8" t="str">
        <f t="shared" si="3"/>
        <v>HIGH</v>
      </c>
      <c r="S50" s="8" t="str">
        <f t="shared" si="4"/>
        <v>office supplies</v>
      </c>
      <c r="T50" s="18" t="str">
        <f t="shared" si="5"/>
        <v>42101</v>
      </c>
      <c r="U50" s="30" t="s">
        <v>2724</v>
      </c>
      <c r="V50" s="16" t="s">
        <v>2683</v>
      </c>
      <c r="W50" s="33">
        <v>2015</v>
      </c>
      <c r="X50" t="s">
        <v>2724</v>
      </c>
      <c r="Y50" s="31">
        <v>42101</v>
      </c>
      <c r="Z50" s="31" t="str">
        <f t="shared" si="6"/>
        <v>CA-2015-AH1007523-42101</v>
      </c>
    </row>
    <row r="51" spans="1:26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2679</v>
      </c>
      <c r="O51" s="13" t="str">
        <f t="shared" si="0"/>
        <v>Sean Christensen</v>
      </c>
      <c r="P51" s="13" t="str">
        <f t="shared" si="1"/>
        <v>ES</v>
      </c>
      <c r="Q51" s="13" t="str">
        <f t="shared" si="2"/>
        <v>2014</v>
      </c>
      <c r="R51" s="13" t="str">
        <f t="shared" si="3"/>
        <v>CRITICAL</v>
      </c>
      <c r="S51" s="13" t="str">
        <f t="shared" si="4"/>
        <v>furniture</v>
      </c>
      <c r="T51" s="21" t="str">
        <f t="shared" si="5"/>
        <v>41909</v>
      </c>
      <c r="U51" s="30" t="s">
        <v>2725</v>
      </c>
      <c r="V51" s="19" t="s">
        <v>2710</v>
      </c>
      <c r="W51" s="33">
        <v>2014</v>
      </c>
      <c r="X51" t="s">
        <v>2725</v>
      </c>
      <c r="Y51" s="31">
        <v>41909</v>
      </c>
      <c r="Z51" s="31" t="str">
        <f t="shared" si="6"/>
        <v>ES-2014-SC20305120-41909</v>
      </c>
    </row>
    <row r="52" spans="1:26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2679</v>
      </c>
      <c r="O52" s="8" t="str">
        <f t="shared" si="0"/>
        <v>Bruce Geld</v>
      </c>
      <c r="P52" s="8" t="str">
        <f t="shared" si="1"/>
        <v>IN</v>
      </c>
      <c r="Q52" s="8" t="str">
        <f t="shared" si="2"/>
        <v>2012</v>
      </c>
      <c r="R52" s="8" t="str">
        <f t="shared" si="3"/>
        <v>HIGH</v>
      </c>
      <c r="S52" s="8" t="str">
        <f t="shared" si="4"/>
        <v>technology</v>
      </c>
      <c r="T52" s="18" t="str">
        <f t="shared" si="5"/>
        <v>41108</v>
      </c>
      <c r="U52" s="30" t="s">
        <v>2726</v>
      </c>
      <c r="V52" s="16" t="s">
        <v>2681</v>
      </c>
      <c r="W52" s="33">
        <v>2012</v>
      </c>
      <c r="X52" t="s">
        <v>2726</v>
      </c>
      <c r="Y52" s="31">
        <v>41108</v>
      </c>
      <c r="Z52" s="31" t="str">
        <f t="shared" si="6"/>
        <v>IN-2012-BG1174078-41108</v>
      </c>
    </row>
    <row r="53" spans="1:26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2679</v>
      </c>
      <c r="O53" s="13" t="str">
        <f t="shared" si="0"/>
        <v>Anne Pryor</v>
      </c>
      <c r="P53" s="13" t="str">
        <f t="shared" si="1"/>
        <v>IN</v>
      </c>
      <c r="Q53" s="13" t="str">
        <f t="shared" si="2"/>
        <v>2015</v>
      </c>
      <c r="R53" s="13" t="str">
        <f t="shared" si="3"/>
        <v>HIGH</v>
      </c>
      <c r="S53" s="13" t="str">
        <f t="shared" si="4"/>
        <v>technology</v>
      </c>
      <c r="T53" s="21" t="str">
        <f t="shared" si="5"/>
        <v>42284</v>
      </c>
      <c r="U53" s="30" t="s">
        <v>2727</v>
      </c>
      <c r="V53" s="19" t="s">
        <v>2681</v>
      </c>
      <c r="W53" s="33">
        <v>2015</v>
      </c>
      <c r="X53" t="s">
        <v>2727</v>
      </c>
      <c r="Y53" s="31">
        <v>42284</v>
      </c>
      <c r="Z53" s="31" t="str">
        <f t="shared" si="6"/>
        <v>IN-2015-AP1072058-42284</v>
      </c>
    </row>
    <row r="54" spans="1:26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2679</v>
      </c>
      <c r="O54" s="8" t="str">
        <f t="shared" si="0"/>
        <v>Tamara Willingham</v>
      </c>
      <c r="P54" s="8" t="str">
        <f t="shared" si="1"/>
        <v>IT</v>
      </c>
      <c r="Q54" s="8" t="str">
        <f t="shared" si="2"/>
        <v>2012</v>
      </c>
      <c r="R54" s="8" t="str">
        <f t="shared" si="3"/>
        <v>CRITICAL</v>
      </c>
      <c r="S54" s="8" t="str">
        <f t="shared" si="4"/>
        <v>furniture#</v>
      </c>
      <c r="T54" s="18" t="str">
        <f t="shared" si="5"/>
        <v>41172</v>
      </c>
      <c r="U54" s="30" t="s">
        <v>2728</v>
      </c>
      <c r="V54" s="16" t="s">
        <v>2690</v>
      </c>
      <c r="W54" s="33">
        <v>2012</v>
      </c>
      <c r="X54" t="s">
        <v>2728</v>
      </c>
      <c r="Y54" s="31">
        <v>41172</v>
      </c>
      <c r="Z54" s="31" t="str">
        <f t="shared" si="6"/>
        <v>IT-2012-TW2102545-41172</v>
      </c>
    </row>
    <row r="55" spans="1:26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2679</v>
      </c>
      <c r="O55" s="13" t="str">
        <f t="shared" si="0"/>
        <v>Randy Bradley</v>
      </c>
      <c r="P55" s="13" t="str">
        <f t="shared" si="1"/>
        <v>IT</v>
      </c>
      <c r="Q55" s="13" t="str">
        <f t="shared" si="2"/>
        <v>2012</v>
      </c>
      <c r="R55" s="13" t="str">
        <f t="shared" si="3"/>
        <v>HIGH</v>
      </c>
      <c r="S55" s="13" t="str">
        <f t="shared" si="4"/>
        <v>furniture</v>
      </c>
      <c r="T55" s="21" t="str">
        <f t="shared" si="5"/>
        <v>41080</v>
      </c>
      <c r="U55" s="30" t="s">
        <v>2729</v>
      </c>
      <c r="V55" s="19" t="s">
        <v>2690</v>
      </c>
      <c r="W55" s="33">
        <v>2012</v>
      </c>
      <c r="X55" t="s">
        <v>2729</v>
      </c>
      <c r="Y55" s="31">
        <v>41080</v>
      </c>
      <c r="Z55" s="31" t="str">
        <f t="shared" si="6"/>
        <v>IT-2012-RB1933045-41080</v>
      </c>
    </row>
    <row r="56" spans="1:26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2679</v>
      </c>
      <c r="O56" s="8" t="str">
        <f t="shared" si="0"/>
        <v>Adam Hart</v>
      </c>
      <c r="P56" s="8" t="str">
        <f t="shared" si="1"/>
        <v>CA</v>
      </c>
      <c r="Q56" s="8" t="str">
        <f t="shared" si="2"/>
        <v>2015</v>
      </c>
      <c r="R56" s="8" t="str">
        <f t="shared" si="3"/>
        <v>MEDIUM</v>
      </c>
      <c r="S56" s="8" t="str">
        <f t="shared" si="4"/>
        <v>office_supplies</v>
      </c>
      <c r="T56" s="18" t="str">
        <f t="shared" si="5"/>
        <v>42273</v>
      </c>
      <c r="U56" s="30" t="s">
        <v>2717</v>
      </c>
      <c r="V56" s="16" t="s">
        <v>2683</v>
      </c>
      <c r="W56" s="33">
        <v>2015</v>
      </c>
      <c r="X56" t="s">
        <v>2717</v>
      </c>
      <c r="Y56" s="31">
        <v>42273</v>
      </c>
      <c r="Z56" s="31" t="str">
        <f t="shared" si="6"/>
        <v>CA-2015-AH10075140-42273</v>
      </c>
    </row>
    <row r="57" spans="1:26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2679</v>
      </c>
      <c r="O57" s="13" t="str">
        <f t="shared" si="0"/>
        <v>Adam Bellavance</v>
      </c>
      <c r="P57" s="13" t="str">
        <f t="shared" si="1"/>
        <v>SF</v>
      </c>
      <c r="Q57" s="13" t="str">
        <f t="shared" si="2"/>
        <v>2015</v>
      </c>
      <c r="R57" s="13" t="str">
        <f t="shared" si="3"/>
        <v>CRITICAL</v>
      </c>
      <c r="S57" s="13" t="str">
        <f t="shared" si="4"/>
        <v>office supplies</v>
      </c>
      <c r="T57" s="21" t="str">
        <f t="shared" si="5"/>
        <v>42334</v>
      </c>
      <c r="U57" s="30" t="s">
        <v>2730</v>
      </c>
      <c r="V57" s="19" t="s">
        <v>2731</v>
      </c>
      <c r="W57" s="33">
        <v>2015</v>
      </c>
      <c r="X57" t="s">
        <v>2730</v>
      </c>
      <c r="Y57" s="31">
        <v>42334</v>
      </c>
      <c r="Z57" s="31" t="str">
        <f t="shared" si="6"/>
        <v>SF-2015-AB10060117-42334</v>
      </c>
    </row>
    <row r="58" spans="1:26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2679</v>
      </c>
      <c r="O58" s="8" t="str">
        <f t="shared" si="0"/>
        <v>Adam Hart</v>
      </c>
      <c r="P58" s="8" t="str">
        <f t="shared" si="1"/>
        <v>CA</v>
      </c>
      <c r="Q58" s="8" t="str">
        <f t="shared" si="2"/>
        <v>2014</v>
      </c>
      <c r="R58" s="8" t="str">
        <f t="shared" si="3"/>
        <v>CRITICAL</v>
      </c>
      <c r="S58" s="8" t="str">
        <f t="shared" si="4"/>
        <v>office supplies</v>
      </c>
      <c r="T58" s="18" t="str">
        <f t="shared" si="5"/>
        <v>41817</v>
      </c>
      <c r="U58" s="30" t="s">
        <v>2717</v>
      </c>
      <c r="V58" s="16" t="s">
        <v>2683</v>
      </c>
      <c r="W58" s="33">
        <v>2014</v>
      </c>
      <c r="X58" t="s">
        <v>2717</v>
      </c>
      <c r="Y58" s="31">
        <v>41817</v>
      </c>
      <c r="Z58" s="31" t="str">
        <f t="shared" si="6"/>
        <v>CA-2014-AH10075140-41817</v>
      </c>
    </row>
    <row r="59" spans="1:26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2679</v>
      </c>
      <c r="O59" s="13" t="str">
        <f t="shared" si="0"/>
        <v>John Lee</v>
      </c>
      <c r="P59" s="13" t="str">
        <f t="shared" si="1"/>
        <v>AJ</v>
      </c>
      <c r="Q59" s="13" t="str">
        <f t="shared" si="2"/>
        <v>2014</v>
      </c>
      <c r="R59" s="13" t="str">
        <f t="shared" si="3"/>
        <v>HIGH</v>
      </c>
      <c r="S59" s="13" t="str">
        <f t="shared" si="4"/>
        <v>furniture</v>
      </c>
      <c r="T59" s="21" t="str">
        <f t="shared" si="5"/>
        <v>41662</v>
      </c>
      <c r="U59" s="30" t="s">
        <v>2732</v>
      </c>
      <c r="V59" s="19" t="s">
        <v>2733</v>
      </c>
      <c r="W59" s="33">
        <v>2014</v>
      </c>
      <c r="X59" t="s">
        <v>2732</v>
      </c>
      <c r="Y59" s="31">
        <v>41662</v>
      </c>
      <c r="Z59" s="31" t="str">
        <f t="shared" si="6"/>
        <v>AJ-2014-JL58359-41662</v>
      </c>
    </row>
    <row r="60" spans="1:26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2679</v>
      </c>
      <c r="O60" s="8" t="str">
        <f t="shared" si="0"/>
        <v>Corinna Mitchell</v>
      </c>
      <c r="P60" s="8" t="str">
        <f t="shared" si="1"/>
        <v>IT</v>
      </c>
      <c r="Q60" s="8" t="str">
        <f t="shared" si="2"/>
        <v>2012</v>
      </c>
      <c r="R60" s="8" t="str">
        <f t="shared" si="3"/>
        <v>CRITICAL</v>
      </c>
      <c r="S60" s="8" t="str">
        <f t="shared" si="4"/>
        <v>technology</v>
      </c>
      <c r="T60" s="18" t="str">
        <f t="shared" si="5"/>
        <v>41218</v>
      </c>
      <c r="U60" s="30" t="s">
        <v>2734</v>
      </c>
      <c r="V60" s="16" t="s">
        <v>2690</v>
      </c>
      <c r="W60" s="33">
        <v>2012</v>
      </c>
      <c r="X60" t="s">
        <v>2734</v>
      </c>
      <c r="Y60" s="31">
        <v>41218</v>
      </c>
      <c r="Z60" s="31" t="str">
        <f t="shared" si="6"/>
        <v>IT-2012-CM1265545-41218</v>
      </c>
    </row>
    <row r="61" spans="1:26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2679</v>
      </c>
      <c r="O61" s="13" t="str">
        <f t="shared" si="0"/>
        <v>Adam Hart</v>
      </c>
      <c r="P61" s="13" t="str">
        <f t="shared" si="1"/>
        <v>CA</v>
      </c>
      <c r="Q61" s="13" t="str">
        <f t="shared" si="2"/>
        <v>2015</v>
      </c>
      <c r="R61" s="13" t="str">
        <f t="shared" si="3"/>
        <v>MEDIUM</v>
      </c>
      <c r="S61" s="13" t="str">
        <f t="shared" si="4"/>
        <v>office supplies</v>
      </c>
      <c r="T61" s="21" t="str">
        <f t="shared" si="5"/>
        <v>42335</v>
      </c>
      <c r="U61" s="30" t="s">
        <v>2717</v>
      </c>
      <c r="V61" s="19" t="s">
        <v>2683</v>
      </c>
      <c r="W61" s="33">
        <v>2015</v>
      </c>
      <c r="X61" t="s">
        <v>2717</v>
      </c>
      <c r="Y61" s="31">
        <v>42335</v>
      </c>
      <c r="Z61" s="31" t="str">
        <f t="shared" si="6"/>
        <v>CA-2015-AH10075140-42335</v>
      </c>
    </row>
    <row r="62" spans="1:26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2679</v>
      </c>
      <c r="O62" s="8" t="str">
        <f t="shared" si="0"/>
        <v>Adam Hart</v>
      </c>
      <c r="P62" s="8" t="str">
        <f t="shared" si="1"/>
        <v>CA</v>
      </c>
      <c r="Q62" s="8" t="str">
        <f t="shared" si="2"/>
        <v>2015</v>
      </c>
      <c r="R62" s="8" t="str">
        <f t="shared" si="3"/>
        <v>CRITICAL</v>
      </c>
      <c r="S62" s="8" t="str">
        <f t="shared" si="4"/>
        <v>office supplies</v>
      </c>
      <c r="T62" s="18" t="str">
        <f t="shared" si="5"/>
        <v>42301</v>
      </c>
      <c r="U62" s="30" t="s">
        <v>2717</v>
      </c>
      <c r="V62" s="16" t="s">
        <v>2683</v>
      </c>
      <c r="W62" s="33">
        <v>2015</v>
      </c>
      <c r="X62" t="s">
        <v>2717</v>
      </c>
      <c r="Y62" s="31">
        <v>42301</v>
      </c>
      <c r="Z62" s="31" t="str">
        <f t="shared" si="6"/>
        <v>CA-2015-AH10075140-42301</v>
      </c>
    </row>
    <row r="63" spans="1:26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2679</v>
      </c>
      <c r="O63" s="13" t="str">
        <f t="shared" si="0"/>
        <v>James Lanier</v>
      </c>
      <c r="P63" s="13" t="str">
        <f t="shared" si="1"/>
        <v>MX</v>
      </c>
      <c r="Q63" s="13" t="str">
        <f t="shared" si="2"/>
        <v>2014</v>
      </c>
      <c r="R63" s="13" t="str">
        <f t="shared" si="3"/>
        <v>CRITICAL</v>
      </c>
      <c r="S63" s="13" t="str">
        <f t="shared" si="4"/>
        <v>furniture</v>
      </c>
      <c r="T63" s="21" t="str">
        <f t="shared" si="5"/>
        <v>41903</v>
      </c>
      <c r="U63" s="30" t="s">
        <v>2735</v>
      </c>
      <c r="V63" s="19" t="s">
        <v>2695</v>
      </c>
      <c r="W63" s="33">
        <v>2014</v>
      </c>
      <c r="X63" t="s">
        <v>2735</v>
      </c>
      <c r="Y63" s="31">
        <v>41903</v>
      </c>
      <c r="Z63" s="31" t="str">
        <f t="shared" si="6"/>
        <v>MX-2014-JL1517518-41903</v>
      </c>
    </row>
    <row r="64" spans="1:26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2679</v>
      </c>
      <c r="O64" s="8" t="str">
        <f t="shared" si="0"/>
        <v>Adam Hart</v>
      </c>
      <c r="P64" s="8" t="str">
        <f t="shared" si="1"/>
        <v>CA</v>
      </c>
      <c r="Q64" s="8" t="str">
        <f t="shared" si="2"/>
        <v>2012</v>
      </c>
      <c r="R64" s="8" t="str">
        <f t="shared" si="3"/>
        <v>MEDIUM</v>
      </c>
      <c r="S64" s="8" t="str">
        <f t="shared" si="4"/>
        <v>office supplies</v>
      </c>
      <c r="T64" s="18" t="str">
        <f t="shared" si="5"/>
        <v>41228</v>
      </c>
      <c r="U64" s="30" t="s">
        <v>2717</v>
      </c>
      <c r="V64" s="16" t="s">
        <v>2683</v>
      </c>
      <c r="W64" s="33">
        <v>2012</v>
      </c>
      <c r="X64" t="s">
        <v>2717</v>
      </c>
      <c r="Y64" s="31">
        <v>41228</v>
      </c>
      <c r="Z64" s="31" t="str">
        <f t="shared" si="6"/>
        <v>CA-2012-AH10075140-41228</v>
      </c>
    </row>
    <row r="65" spans="1:26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2679</v>
      </c>
      <c r="O65" s="13" t="str">
        <f t="shared" si="0"/>
        <v>Adam Hart</v>
      </c>
      <c r="P65" s="13" t="str">
        <f t="shared" si="1"/>
        <v>CA</v>
      </c>
      <c r="Q65" s="13" t="str">
        <f t="shared" si="2"/>
        <v>2015</v>
      </c>
      <c r="R65" s="13" t="str">
        <f t="shared" si="3"/>
        <v>MEDIUM</v>
      </c>
      <c r="S65" s="13" t="str">
        <f t="shared" si="4"/>
        <v>office supplies</v>
      </c>
      <c r="T65" s="21" t="str">
        <f t="shared" si="5"/>
        <v>42273</v>
      </c>
      <c r="U65" s="30" t="s">
        <v>2717</v>
      </c>
      <c r="V65" s="19" t="s">
        <v>2683</v>
      </c>
      <c r="W65" s="33">
        <v>2015</v>
      </c>
      <c r="X65" t="s">
        <v>2717</v>
      </c>
      <c r="Y65" s="31">
        <v>42273</v>
      </c>
      <c r="Z65" s="31" t="str">
        <f t="shared" si="6"/>
        <v>CA-2015-AH10075140-42273</v>
      </c>
    </row>
    <row r="66" spans="1:26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2679</v>
      </c>
      <c r="O66" s="8" t="str">
        <f t="shared" ref="O66:O129" si="7">PROPER(D66)</f>
        <v>Chuck Sachs</v>
      </c>
      <c r="P66" s="8" t="str">
        <f t="shared" ref="P66:P129" si="8">LEFT(A66,2)</f>
        <v>MX</v>
      </c>
      <c r="Q66" s="8" t="str">
        <f t="shared" ref="Q66:Q129" si="9">MID(A66,4,4)</f>
        <v>2015</v>
      </c>
      <c r="R66" s="8" t="str">
        <f t="shared" ref="R66:R129" si="10">UPPER(M66)</f>
        <v>CRITICAL</v>
      </c>
      <c r="S66" s="8" t="str">
        <f t="shared" ref="S66:S129" si="11">LOWER(G66)</f>
        <v>technology</v>
      </c>
      <c r="T66" s="18" t="str">
        <f t="shared" ref="T66:T129" si="12">RIGHT(A66,5)</f>
        <v>42259</v>
      </c>
      <c r="U66" s="30" t="s">
        <v>2736</v>
      </c>
      <c r="V66" s="16" t="s">
        <v>2695</v>
      </c>
      <c r="W66" s="33">
        <v>2015</v>
      </c>
      <c r="X66" t="s">
        <v>2736</v>
      </c>
      <c r="Y66" s="31">
        <v>42259</v>
      </c>
      <c r="Z66" s="31" t="str">
        <f t="shared" ref="Z66:Z129" si="13">TRIM(A66)</f>
        <v>MX-2015-CS1246093-42259</v>
      </c>
    </row>
    <row r="67" spans="1:26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2679</v>
      </c>
      <c r="O67" s="13" t="str">
        <f t="shared" si="7"/>
        <v>Helen Andreada</v>
      </c>
      <c r="P67" s="13" t="str">
        <f t="shared" si="8"/>
        <v>IN</v>
      </c>
      <c r="Q67" s="13" t="str">
        <f t="shared" si="9"/>
        <v>2015</v>
      </c>
      <c r="R67" s="13" t="str">
        <f t="shared" si="10"/>
        <v>CRITICAL</v>
      </c>
      <c r="S67" s="13" t="str">
        <f t="shared" si="11"/>
        <v>technology</v>
      </c>
      <c r="T67" s="21" t="str">
        <f t="shared" si="12"/>
        <v>42111</v>
      </c>
      <c r="U67" s="30" t="s">
        <v>2737</v>
      </c>
      <c r="V67" s="19" t="s">
        <v>2681</v>
      </c>
      <c r="W67" s="33">
        <v>2015</v>
      </c>
      <c r="X67" t="s">
        <v>2737</v>
      </c>
      <c r="Y67" s="31">
        <v>42111</v>
      </c>
      <c r="Z67" s="31" t="str">
        <f t="shared" si="13"/>
        <v>IN-2015-HA1492027-42111</v>
      </c>
    </row>
    <row r="68" spans="1:26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2679</v>
      </c>
      <c r="O68" s="8" t="str">
        <f t="shared" si="7"/>
        <v>Brosina Hoffman</v>
      </c>
      <c r="P68" s="8" t="str">
        <f t="shared" si="8"/>
        <v>ES</v>
      </c>
      <c r="Q68" s="8" t="str">
        <f t="shared" si="9"/>
        <v>2013</v>
      </c>
      <c r="R68" s="8" t="str">
        <f t="shared" si="10"/>
        <v>HIGH</v>
      </c>
      <c r="S68" s="8" t="str">
        <f t="shared" si="11"/>
        <v>technology</v>
      </c>
      <c r="T68" s="18" t="str">
        <f t="shared" si="12"/>
        <v>41478</v>
      </c>
      <c r="U68" s="30" t="s">
        <v>2738</v>
      </c>
      <c r="V68" s="16" t="s">
        <v>2710</v>
      </c>
      <c r="W68" s="33">
        <v>2013</v>
      </c>
      <c r="X68" t="s">
        <v>2738</v>
      </c>
      <c r="Y68" s="31">
        <v>41478</v>
      </c>
      <c r="Z68" s="31" t="str">
        <f t="shared" si="13"/>
        <v>ES-2013-BH1171048-41478</v>
      </c>
    </row>
    <row r="69" spans="1:26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2679</v>
      </c>
      <c r="O69" s="13" t="str">
        <f t="shared" si="7"/>
        <v>Sung Chung</v>
      </c>
      <c r="P69" s="13" t="str">
        <f t="shared" si="8"/>
        <v>ES</v>
      </c>
      <c r="Q69" s="13" t="str">
        <f t="shared" si="9"/>
        <v>2012</v>
      </c>
      <c r="R69" s="13" t="str">
        <f t="shared" si="10"/>
        <v>HIGH</v>
      </c>
      <c r="S69" s="13" t="str">
        <f t="shared" si="11"/>
        <v>furniture</v>
      </c>
      <c r="T69" s="21" t="str">
        <f t="shared" si="12"/>
        <v>41070</v>
      </c>
      <c r="U69" s="30" t="s">
        <v>2739</v>
      </c>
      <c r="V69" s="19" t="s">
        <v>2710</v>
      </c>
      <c r="W69" s="33">
        <v>2012</v>
      </c>
      <c r="X69" t="s">
        <v>2739</v>
      </c>
      <c r="Y69" s="31">
        <v>41070</v>
      </c>
      <c r="Z69" s="31" t="str">
        <f t="shared" si="13"/>
        <v>ES-2012-SC208458-41070</v>
      </c>
    </row>
    <row r="70" spans="1:26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2679</v>
      </c>
      <c r="O70" s="8" t="str">
        <f t="shared" si="7"/>
        <v>Tony Molinari</v>
      </c>
      <c r="P70" s="8" t="str">
        <f t="shared" si="8"/>
        <v>MX</v>
      </c>
      <c r="Q70" s="8" t="str">
        <f t="shared" si="9"/>
        <v>2015</v>
      </c>
      <c r="R70" s="8" t="str">
        <f t="shared" si="10"/>
        <v>HIGH</v>
      </c>
      <c r="S70" s="8" t="str">
        <f t="shared" si="11"/>
        <v>technology</v>
      </c>
      <c r="T70" s="18" t="str">
        <f t="shared" si="12"/>
        <v>42329</v>
      </c>
      <c r="U70" s="30" t="s">
        <v>2740</v>
      </c>
      <c r="V70" s="16" t="s">
        <v>2695</v>
      </c>
      <c r="W70" s="33">
        <v>2015</v>
      </c>
      <c r="X70" t="s">
        <v>2740</v>
      </c>
      <c r="Y70" s="31">
        <v>42329</v>
      </c>
      <c r="Z70" s="31" t="str">
        <f t="shared" si="13"/>
        <v>MX-2015-TM2149031-42329</v>
      </c>
    </row>
    <row r="71" spans="1:26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2679</v>
      </c>
      <c r="O71" s="13" t="str">
        <f t="shared" si="7"/>
        <v>Bryan Mills</v>
      </c>
      <c r="P71" s="13" t="str">
        <f t="shared" si="8"/>
        <v>MX</v>
      </c>
      <c r="Q71" s="13" t="str">
        <f t="shared" si="9"/>
        <v>2014</v>
      </c>
      <c r="R71" s="13" t="str">
        <f t="shared" si="10"/>
        <v>HIGH</v>
      </c>
      <c r="S71" s="13" t="str">
        <f t="shared" si="11"/>
        <v>technology</v>
      </c>
      <c r="T71" s="21" t="str">
        <f t="shared" si="12"/>
        <v>41976</v>
      </c>
      <c r="U71" s="30" t="s">
        <v>2741</v>
      </c>
      <c r="V71" s="19" t="s">
        <v>2695</v>
      </c>
      <c r="W71" s="33">
        <v>2014</v>
      </c>
      <c r="X71" t="s">
        <v>2741</v>
      </c>
      <c r="Y71" s="31">
        <v>41976</v>
      </c>
      <c r="Z71" s="31" t="str">
        <f t="shared" si="13"/>
        <v>MX-2014-BM1178582-41976</v>
      </c>
    </row>
    <row r="72" spans="1:26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2679</v>
      </c>
      <c r="O72" s="8" t="str">
        <f t="shared" si="7"/>
        <v>Adam Shillingsburg</v>
      </c>
      <c r="P72" s="8" t="str">
        <f t="shared" si="8"/>
        <v>CA</v>
      </c>
      <c r="Q72" s="8" t="str">
        <f t="shared" si="9"/>
        <v>2015</v>
      </c>
      <c r="R72" s="8" t="str">
        <f t="shared" si="10"/>
        <v>CRITICAL</v>
      </c>
      <c r="S72" s="8" t="str">
        <f t="shared" si="11"/>
        <v>office supplies</v>
      </c>
      <c r="T72" s="18" t="str">
        <f t="shared" si="12"/>
        <v>42264</v>
      </c>
      <c r="U72" s="30" t="s">
        <v>2742</v>
      </c>
      <c r="V72" s="16" t="s">
        <v>2683</v>
      </c>
      <c r="W72" s="33">
        <v>2015</v>
      </c>
      <c r="X72" t="s">
        <v>2742</v>
      </c>
      <c r="Y72" s="31">
        <v>42264</v>
      </c>
      <c r="Z72" s="31" t="str">
        <f t="shared" si="13"/>
        <v>CA-2015-AS10090140-42264</v>
      </c>
    </row>
    <row r="73" spans="1:26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2679</v>
      </c>
      <c r="O73" s="13" t="str">
        <f t="shared" si="7"/>
        <v>Chad Cunningham</v>
      </c>
      <c r="P73" s="13" t="str">
        <f t="shared" si="8"/>
        <v>MX</v>
      </c>
      <c r="Q73" s="13" t="str">
        <f t="shared" si="9"/>
        <v>2015</v>
      </c>
      <c r="R73" s="13" t="str">
        <f t="shared" si="10"/>
        <v>HIGH</v>
      </c>
      <c r="S73" s="13" t="str">
        <f t="shared" si="11"/>
        <v>technology</v>
      </c>
      <c r="T73" s="21" t="str">
        <f t="shared" si="12"/>
        <v>42245</v>
      </c>
      <c r="U73" s="30" t="s">
        <v>2743</v>
      </c>
      <c r="V73" s="19" t="s">
        <v>2695</v>
      </c>
      <c r="W73" s="33">
        <v>2015</v>
      </c>
      <c r="X73" t="s">
        <v>2743</v>
      </c>
      <c r="Y73" s="31">
        <v>42245</v>
      </c>
      <c r="Z73" s="31" t="str">
        <f t="shared" si="13"/>
        <v>MX-2015-CC1210082-42245</v>
      </c>
    </row>
    <row r="74" spans="1:26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2679</v>
      </c>
      <c r="O74" s="8" t="str">
        <f t="shared" si="7"/>
        <v>Mike Vittorini</v>
      </c>
      <c r="P74" s="8" t="str">
        <f t="shared" si="8"/>
        <v>SF</v>
      </c>
      <c r="Q74" s="8" t="str">
        <f t="shared" si="9"/>
        <v>2015</v>
      </c>
      <c r="R74" s="8" t="str">
        <f t="shared" si="10"/>
        <v>MEDIUM</v>
      </c>
      <c r="S74" s="8" t="str">
        <f t="shared" si="11"/>
        <v xml:space="preserve"> technology </v>
      </c>
      <c r="T74" s="18" t="str">
        <f t="shared" si="12"/>
        <v>42362</v>
      </c>
      <c r="U74" s="30" t="s">
        <v>2744</v>
      </c>
      <c r="V74" s="16" t="s">
        <v>2731</v>
      </c>
      <c r="W74" s="33">
        <v>2015</v>
      </c>
      <c r="X74" t="s">
        <v>2744</v>
      </c>
      <c r="Y74" s="31">
        <v>42362</v>
      </c>
      <c r="Z74" s="31" t="str">
        <f t="shared" si="13"/>
        <v>SF-2015-MV8190117-42362</v>
      </c>
    </row>
    <row r="75" spans="1:26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2679</v>
      </c>
      <c r="O75" s="13" t="str">
        <f t="shared" si="7"/>
        <v>Filia Mcadams</v>
      </c>
      <c r="P75" s="13" t="str">
        <f t="shared" si="8"/>
        <v>US</v>
      </c>
      <c r="Q75" s="13" t="str">
        <f t="shared" si="9"/>
        <v>2015</v>
      </c>
      <c r="R75" s="13" t="str">
        <f t="shared" si="10"/>
        <v>CRITICAL</v>
      </c>
      <c r="S75" s="13" t="str">
        <f t="shared" si="11"/>
        <v>technology</v>
      </c>
      <c r="T75" s="21" t="str">
        <f t="shared" si="12"/>
        <v>42115</v>
      </c>
      <c r="U75" s="30" t="s">
        <v>2745</v>
      </c>
      <c r="V75" s="19" t="s">
        <v>2685</v>
      </c>
      <c r="W75" s="33">
        <v>2015</v>
      </c>
      <c r="X75" t="s">
        <v>2745</v>
      </c>
      <c r="Y75" s="31">
        <v>42115</v>
      </c>
      <c r="Z75" s="31" t="str">
        <f t="shared" si="13"/>
        <v>US-2015-FM1421551-42115</v>
      </c>
    </row>
    <row r="76" spans="1:26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2679</v>
      </c>
      <c r="O76" s="8" t="str">
        <f t="shared" si="7"/>
        <v>Neil Franzã¶Sisch</v>
      </c>
      <c r="P76" s="8" t="str">
        <f t="shared" si="8"/>
        <v>ES</v>
      </c>
      <c r="Q76" s="8" t="str">
        <f t="shared" si="9"/>
        <v>2015</v>
      </c>
      <c r="R76" s="8" t="str">
        <f t="shared" si="10"/>
        <v>CRITICAL</v>
      </c>
      <c r="S76" s="8" t="str">
        <f t="shared" si="11"/>
        <v>technology</v>
      </c>
      <c r="T76" s="18" t="str">
        <f t="shared" si="12"/>
        <v>42248</v>
      </c>
      <c r="U76" s="30" t="s">
        <v>2719</v>
      </c>
      <c r="V76" s="16" t="s">
        <v>2710</v>
      </c>
      <c r="W76" s="33">
        <v>2015</v>
      </c>
      <c r="X76" t="s">
        <v>2719</v>
      </c>
      <c r="Y76" s="31">
        <v>42248</v>
      </c>
      <c r="Z76" s="31" t="str">
        <f t="shared" si="13"/>
        <v>ES-2015-NF1847548-42248</v>
      </c>
    </row>
    <row r="77" spans="1:26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2679</v>
      </c>
      <c r="O77" s="13" t="str">
        <f t="shared" si="7"/>
        <v>Keith Dawkins</v>
      </c>
      <c r="P77" s="13" t="str">
        <f t="shared" si="8"/>
        <v>IN</v>
      </c>
      <c r="Q77" s="13" t="str">
        <f t="shared" si="9"/>
        <v>2015</v>
      </c>
      <c r="R77" s="13" t="str">
        <f t="shared" si="10"/>
        <v>LOW</v>
      </c>
      <c r="S77" s="13" t="str">
        <f t="shared" si="11"/>
        <v>furniture</v>
      </c>
      <c r="T77" s="21" t="str">
        <f t="shared" si="12"/>
        <v>42175</v>
      </c>
      <c r="U77" s="30" t="s">
        <v>2746</v>
      </c>
      <c r="V77" s="19" t="s">
        <v>2681</v>
      </c>
      <c r="W77" s="33">
        <v>2015</v>
      </c>
      <c r="X77" t="s">
        <v>2746</v>
      </c>
      <c r="Y77" s="31">
        <v>42175</v>
      </c>
      <c r="Z77" s="31" t="str">
        <f t="shared" si="13"/>
        <v>IN-2015-KD1649527-42175</v>
      </c>
    </row>
    <row r="78" spans="1:26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2679</v>
      </c>
      <c r="O78" s="8" t="str">
        <f t="shared" si="7"/>
        <v>Chuck Sachs</v>
      </c>
      <c r="P78" s="8" t="str">
        <f t="shared" si="8"/>
        <v>MX</v>
      </c>
      <c r="Q78" s="8" t="str">
        <f t="shared" si="9"/>
        <v>2015</v>
      </c>
      <c r="R78" s="8" t="str">
        <f t="shared" si="10"/>
        <v>CRITICAL</v>
      </c>
      <c r="S78" s="8" t="str">
        <f t="shared" si="11"/>
        <v>technology</v>
      </c>
      <c r="T78" s="18" t="str">
        <f t="shared" si="12"/>
        <v>42259</v>
      </c>
      <c r="U78" s="30" t="s">
        <v>2736</v>
      </c>
      <c r="V78" s="16" t="s">
        <v>2695</v>
      </c>
      <c r="W78" s="33">
        <v>2015</v>
      </c>
      <c r="X78" t="s">
        <v>2736</v>
      </c>
      <c r="Y78" s="31">
        <v>42259</v>
      </c>
      <c r="Z78" s="31" t="str">
        <f t="shared" si="13"/>
        <v>MX-2015-CS1246093-42259</v>
      </c>
    </row>
    <row r="79" spans="1:26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2679</v>
      </c>
      <c r="O79" s="13" t="str">
        <f t="shared" si="7"/>
        <v>Adam Shillingsburg</v>
      </c>
      <c r="P79" s="13" t="str">
        <f t="shared" si="8"/>
        <v>CA</v>
      </c>
      <c r="Q79" s="13" t="str">
        <f t="shared" si="9"/>
        <v>2015</v>
      </c>
      <c r="R79" s="13" t="str">
        <f t="shared" si="10"/>
        <v>CRITICAL</v>
      </c>
      <c r="S79" s="13" t="str">
        <f t="shared" si="11"/>
        <v>furniture</v>
      </c>
      <c r="T79" s="21" t="str">
        <f t="shared" si="12"/>
        <v>42264</v>
      </c>
      <c r="U79" s="30" t="s">
        <v>2742</v>
      </c>
      <c r="V79" s="19" t="s">
        <v>2683</v>
      </c>
      <c r="W79" s="33">
        <v>2015</v>
      </c>
      <c r="X79" t="s">
        <v>2742</v>
      </c>
      <c r="Y79" s="31">
        <v>42264</v>
      </c>
      <c r="Z79" s="31" t="str">
        <f t="shared" si="13"/>
        <v>CA-2015-AS10090140-42264</v>
      </c>
    </row>
    <row r="80" spans="1:26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2679</v>
      </c>
      <c r="O80" s="8" t="str">
        <f t="shared" si="7"/>
        <v>Elizabeth Moffitt</v>
      </c>
      <c r="P80" s="8" t="str">
        <f t="shared" si="8"/>
        <v>IN</v>
      </c>
      <c r="Q80" s="8" t="str">
        <f t="shared" si="9"/>
        <v>2014</v>
      </c>
      <c r="R80" s="8" t="str">
        <f t="shared" si="10"/>
        <v>CRITICAL</v>
      </c>
      <c r="S80" s="8" t="str">
        <f t="shared" si="11"/>
        <v>technology#</v>
      </c>
      <c r="T80" s="18" t="str">
        <f t="shared" si="12"/>
        <v>41850</v>
      </c>
      <c r="U80" s="30" t="s">
        <v>2747</v>
      </c>
      <c r="V80" s="16" t="s">
        <v>2681</v>
      </c>
      <c r="W80" s="33">
        <v>2014</v>
      </c>
      <c r="X80" t="s">
        <v>2747</v>
      </c>
      <c r="Y80" s="31">
        <v>41850</v>
      </c>
      <c r="Z80" s="31" t="str">
        <f t="shared" si="13"/>
        <v>IN-2014-EM1382566-41850</v>
      </c>
    </row>
    <row r="81" spans="1:26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2679</v>
      </c>
      <c r="O81" s="13" t="str">
        <f t="shared" si="7"/>
        <v>Adam Shillingsburg</v>
      </c>
      <c r="P81" s="13" t="str">
        <f t="shared" si="8"/>
        <v>US</v>
      </c>
      <c r="Q81" s="13" t="str">
        <f t="shared" si="9"/>
        <v>2015</v>
      </c>
      <c r="R81" s="13" t="str">
        <f t="shared" si="10"/>
        <v>MEDIUM</v>
      </c>
      <c r="S81" s="13" t="str">
        <f t="shared" si="11"/>
        <v>office supplies</v>
      </c>
      <c r="T81" s="21" t="str">
        <f t="shared" si="12"/>
        <v>42341</v>
      </c>
      <c r="U81" s="30" t="s">
        <v>2742</v>
      </c>
      <c r="V81" s="19" t="s">
        <v>2685</v>
      </c>
      <c r="W81" s="33">
        <v>2015</v>
      </c>
      <c r="X81" t="s">
        <v>2742</v>
      </c>
      <c r="Y81" s="31">
        <v>42341</v>
      </c>
      <c r="Z81" s="31" t="str">
        <f t="shared" si="13"/>
        <v>US-2015-AS10090140-42341</v>
      </c>
    </row>
    <row r="82" spans="1:26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2679</v>
      </c>
      <c r="O82" s="8" t="str">
        <f t="shared" si="7"/>
        <v>Christine Abelman</v>
      </c>
      <c r="P82" s="8" t="str">
        <f t="shared" si="8"/>
        <v>IT</v>
      </c>
      <c r="Q82" s="8" t="str">
        <f t="shared" si="9"/>
        <v>2015</v>
      </c>
      <c r="R82" s="8" t="str">
        <f t="shared" si="10"/>
        <v>CRITICAL</v>
      </c>
      <c r="S82" s="8" t="str">
        <f t="shared" si="11"/>
        <v>technology</v>
      </c>
      <c r="T82" s="18" t="str">
        <f t="shared" si="12"/>
        <v>42223</v>
      </c>
      <c r="U82" s="30" t="s">
        <v>2748</v>
      </c>
      <c r="V82" s="16" t="s">
        <v>2690</v>
      </c>
      <c r="W82" s="33">
        <v>2015</v>
      </c>
      <c r="X82" t="s">
        <v>2748</v>
      </c>
      <c r="Y82" s="31">
        <v>42223</v>
      </c>
      <c r="Z82" s="31" t="str">
        <f t="shared" si="13"/>
        <v>IT-2015-CA1231045-42223</v>
      </c>
    </row>
    <row r="83" spans="1:26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2679</v>
      </c>
      <c r="O83" s="13" t="str">
        <f t="shared" si="7"/>
        <v>Adam Shillingsburg</v>
      </c>
      <c r="P83" s="13" t="str">
        <f t="shared" si="8"/>
        <v>CA</v>
      </c>
      <c r="Q83" s="13" t="str">
        <f t="shared" si="9"/>
        <v>2015</v>
      </c>
      <c r="R83" s="13" t="str">
        <f t="shared" si="10"/>
        <v>HIGH</v>
      </c>
      <c r="S83" s="13" t="str">
        <f t="shared" si="11"/>
        <v>office supplies</v>
      </c>
      <c r="T83" s="21" t="str">
        <f t="shared" si="12"/>
        <v>42096</v>
      </c>
      <c r="U83" s="30" t="s">
        <v>2742</v>
      </c>
      <c r="V83" s="19" t="s">
        <v>2683</v>
      </c>
      <c r="W83" s="33">
        <v>2015</v>
      </c>
      <c r="X83" t="s">
        <v>2742</v>
      </c>
      <c r="Y83" s="31">
        <v>42096</v>
      </c>
      <c r="Z83" s="31" t="str">
        <f t="shared" si="13"/>
        <v>CA-2015-AS10090140-42096</v>
      </c>
    </row>
    <row r="84" spans="1:26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2679</v>
      </c>
      <c r="O84" s="8" t="str">
        <f t="shared" si="7"/>
        <v>Adam Shillingsburg</v>
      </c>
      <c r="P84" s="8" t="str">
        <f t="shared" si="8"/>
        <v>CA</v>
      </c>
      <c r="Q84" s="8" t="str">
        <f t="shared" si="9"/>
        <v>2012</v>
      </c>
      <c r="R84" s="8" t="str">
        <f t="shared" si="10"/>
        <v>HIGH</v>
      </c>
      <c r="S84" s="8" t="str">
        <f t="shared" si="11"/>
        <v>office supplies</v>
      </c>
      <c r="T84" s="18" t="str">
        <f t="shared" si="12"/>
        <v>41266</v>
      </c>
      <c r="U84" s="30" t="s">
        <v>2742</v>
      </c>
      <c r="V84" s="16" t="s">
        <v>2683</v>
      </c>
      <c r="W84" s="33">
        <v>2012</v>
      </c>
      <c r="X84" t="s">
        <v>2742</v>
      </c>
      <c r="Y84" s="31">
        <v>41266</v>
      </c>
      <c r="Z84" s="31" t="str">
        <f t="shared" si="13"/>
        <v>CA-2012-AS10090140-41266</v>
      </c>
    </row>
    <row r="85" spans="1:26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2679</v>
      </c>
      <c r="O85" s="13" t="str">
        <f t="shared" si="7"/>
        <v>Adam Shillingsburg</v>
      </c>
      <c r="P85" s="13" t="str">
        <f t="shared" si="8"/>
        <v>CA</v>
      </c>
      <c r="Q85" s="13" t="str">
        <f t="shared" si="9"/>
        <v>2013</v>
      </c>
      <c r="R85" s="13" t="str">
        <f t="shared" si="10"/>
        <v>MEDIUM</v>
      </c>
      <c r="S85" s="13" t="str">
        <f t="shared" si="11"/>
        <v>office supplies</v>
      </c>
      <c r="T85" s="21" t="str">
        <f t="shared" si="12"/>
        <v>41587</v>
      </c>
      <c r="U85" s="30" t="s">
        <v>2742</v>
      </c>
      <c r="V85" s="19" t="s">
        <v>2683</v>
      </c>
      <c r="W85" s="33">
        <v>2013</v>
      </c>
      <c r="X85" t="s">
        <v>2742</v>
      </c>
      <c r="Y85" s="31">
        <v>41587</v>
      </c>
      <c r="Z85" s="31" t="str">
        <f t="shared" si="13"/>
        <v>CA-2013-AS10090140-41587</v>
      </c>
    </row>
    <row r="86" spans="1:26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2679</v>
      </c>
      <c r="O86" s="8" t="str">
        <f t="shared" si="7"/>
        <v>Adam Shillingsburg</v>
      </c>
      <c r="P86" s="8" t="str">
        <f t="shared" si="8"/>
        <v>CA</v>
      </c>
      <c r="Q86" s="8" t="str">
        <f t="shared" si="9"/>
        <v>2014</v>
      </c>
      <c r="R86" s="8" t="str">
        <f t="shared" si="10"/>
        <v>HIGH</v>
      </c>
      <c r="S86" s="8" t="str">
        <f t="shared" si="11"/>
        <v>office supplies</v>
      </c>
      <c r="T86" s="18" t="str">
        <f t="shared" si="12"/>
        <v>41812</v>
      </c>
      <c r="U86" s="30" t="s">
        <v>2742</v>
      </c>
      <c r="V86" s="16" t="s">
        <v>2683</v>
      </c>
      <c r="W86" s="33">
        <v>2014</v>
      </c>
      <c r="X86" t="s">
        <v>2742</v>
      </c>
      <c r="Y86" s="31">
        <v>41812</v>
      </c>
      <c r="Z86" s="31" t="str">
        <f t="shared" si="13"/>
        <v>CA-2014-AS10090140-41812</v>
      </c>
    </row>
    <row r="87" spans="1:26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2679</v>
      </c>
      <c r="O87" s="13" t="str">
        <f t="shared" si="7"/>
        <v>Adam Shillingsburg</v>
      </c>
      <c r="P87" s="13" t="str">
        <f t="shared" si="8"/>
        <v>CA</v>
      </c>
      <c r="Q87" s="13" t="str">
        <f t="shared" si="9"/>
        <v>2014</v>
      </c>
      <c r="R87" s="13" t="str">
        <f t="shared" si="10"/>
        <v>MEDIUM</v>
      </c>
      <c r="S87" s="13" t="str">
        <f t="shared" si="11"/>
        <v>office supplies</v>
      </c>
      <c r="T87" s="21" t="str">
        <f t="shared" si="12"/>
        <v>41762</v>
      </c>
      <c r="U87" s="30" t="s">
        <v>2742</v>
      </c>
      <c r="V87" s="19" t="s">
        <v>2683</v>
      </c>
      <c r="W87" s="33">
        <v>2014</v>
      </c>
      <c r="X87" t="s">
        <v>2742</v>
      </c>
      <c r="Y87" s="31">
        <v>41762</v>
      </c>
      <c r="Z87" s="31" t="str">
        <f t="shared" si="13"/>
        <v>CA-2014-AS10090140-41762</v>
      </c>
    </row>
    <row r="88" spans="1:26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2679</v>
      </c>
      <c r="O88" s="8" t="str">
        <f t="shared" si="7"/>
        <v>Pete Kriz</v>
      </c>
      <c r="P88" s="8" t="str">
        <f t="shared" si="8"/>
        <v>ID</v>
      </c>
      <c r="Q88" s="8" t="str">
        <f t="shared" si="9"/>
        <v>2014</v>
      </c>
      <c r="R88" s="8" t="str">
        <f t="shared" si="10"/>
        <v>HIGH</v>
      </c>
      <c r="S88" s="8" t="str">
        <f t="shared" si="11"/>
        <v>furniture</v>
      </c>
      <c r="T88" s="18" t="str">
        <f t="shared" si="12"/>
        <v>41691</v>
      </c>
      <c r="U88" s="30" t="s">
        <v>2749</v>
      </c>
      <c r="V88" s="16" t="s">
        <v>2705</v>
      </c>
      <c r="W88" s="33">
        <v>2014</v>
      </c>
      <c r="X88" t="s">
        <v>2749</v>
      </c>
      <c r="Y88" s="31">
        <v>41691</v>
      </c>
      <c r="Z88" s="31" t="str">
        <f t="shared" si="13"/>
        <v>ID-2014-PK190757-41691</v>
      </c>
    </row>
    <row r="89" spans="1:26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2679</v>
      </c>
      <c r="O89" s="13" t="str">
        <f t="shared" si="7"/>
        <v>Adam Shillingsburg</v>
      </c>
      <c r="P89" s="13" t="str">
        <f t="shared" si="8"/>
        <v>CA</v>
      </c>
      <c r="Q89" s="13" t="str">
        <f t="shared" si="9"/>
        <v>2014</v>
      </c>
      <c r="R89" s="13" t="str">
        <f t="shared" si="10"/>
        <v>HIGH</v>
      </c>
      <c r="S89" s="13" t="str">
        <f t="shared" si="11"/>
        <v>office supplies</v>
      </c>
      <c r="T89" s="21" t="str">
        <f t="shared" si="12"/>
        <v>41894</v>
      </c>
      <c r="U89" s="30" t="s">
        <v>2742</v>
      </c>
      <c r="V89" s="19" t="s">
        <v>2683</v>
      </c>
      <c r="W89" s="33">
        <v>2014</v>
      </c>
      <c r="X89" t="s">
        <v>2742</v>
      </c>
      <c r="Y89" s="31">
        <v>41894</v>
      </c>
      <c r="Z89" s="31" t="str">
        <f t="shared" si="13"/>
        <v>CA-2014-AS10090140-41894</v>
      </c>
    </row>
    <row r="90" spans="1:26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2679</v>
      </c>
      <c r="O90" s="8" t="str">
        <f t="shared" si="7"/>
        <v>Shirley Jackson</v>
      </c>
      <c r="P90" s="8" t="str">
        <f t="shared" si="8"/>
        <v>ES</v>
      </c>
      <c r="Q90" s="8" t="str">
        <f t="shared" si="9"/>
        <v>2013</v>
      </c>
      <c r="R90" s="8" t="str">
        <f t="shared" si="10"/>
        <v>MEDIUM</v>
      </c>
      <c r="S90" s="8" t="str">
        <f t="shared" si="11"/>
        <v>furniture</v>
      </c>
      <c r="T90" s="18" t="str">
        <f t="shared" si="12"/>
        <v>41443</v>
      </c>
      <c r="U90" s="30" t="s">
        <v>2750</v>
      </c>
      <c r="V90" s="16" t="s">
        <v>2710</v>
      </c>
      <c r="W90" s="33">
        <v>2013</v>
      </c>
      <c r="X90" t="s">
        <v>2750</v>
      </c>
      <c r="Y90" s="31">
        <v>41443</v>
      </c>
      <c r="Z90" s="31" t="str">
        <f t="shared" si="13"/>
        <v>ES-2013-SJ2050045-41443</v>
      </c>
    </row>
    <row r="91" spans="1:26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2679</v>
      </c>
      <c r="O91" s="13" t="str">
        <f t="shared" si="7"/>
        <v>Adam Shillingsburg</v>
      </c>
      <c r="P91" s="13" t="str">
        <f t="shared" si="8"/>
        <v>CA</v>
      </c>
      <c r="Q91" s="13" t="str">
        <f t="shared" si="9"/>
        <v>2014</v>
      </c>
      <c r="R91" s="13" t="str">
        <f t="shared" si="10"/>
        <v>MEDIUM</v>
      </c>
      <c r="S91" s="13" t="str">
        <f t="shared" si="11"/>
        <v>office supplies</v>
      </c>
      <c r="T91" s="21" t="str">
        <f t="shared" si="12"/>
        <v>41762</v>
      </c>
      <c r="U91" s="30" t="s">
        <v>2742</v>
      </c>
      <c r="V91" s="19" t="s">
        <v>2683</v>
      </c>
      <c r="W91" s="33">
        <v>2014</v>
      </c>
      <c r="X91" t="s">
        <v>2742</v>
      </c>
      <c r="Y91" s="31">
        <v>41762</v>
      </c>
      <c r="Z91" s="31" t="str">
        <f t="shared" si="13"/>
        <v>CA-2014-AS10090140-41762</v>
      </c>
    </row>
    <row r="92" spans="1:26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2679</v>
      </c>
      <c r="O92" s="8" t="str">
        <f t="shared" si="7"/>
        <v>Adam Shillingsburg</v>
      </c>
      <c r="P92" s="8" t="str">
        <f t="shared" si="8"/>
        <v>CA</v>
      </c>
      <c r="Q92" s="8" t="str">
        <f t="shared" si="9"/>
        <v>2015</v>
      </c>
      <c r="R92" s="8" t="str">
        <f t="shared" si="10"/>
        <v>CRITICAL</v>
      </c>
      <c r="S92" s="8" t="str">
        <f t="shared" si="11"/>
        <v>office supplies</v>
      </c>
      <c r="T92" s="18" t="str">
        <f t="shared" si="12"/>
        <v>42264</v>
      </c>
      <c r="U92" s="30" t="s">
        <v>2742</v>
      </c>
      <c r="V92" s="16" t="s">
        <v>2683</v>
      </c>
      <c r="W92" s="33">
        <v>2015</v>
      </c>
      <c r="X92" t="s">
        <v>2742</v>
      </c>
      <c r="Y92" s="31">
        <v>42264</v>
      </c>
      <c r="Z92" s="31" t="str">
        <f t="shared" si="13"/>
        <v>CA-2015-AS10090140-42264</v>
      </c>
    </row>
    <row r="93" spans="1:26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2679</v>
      </c>
      <c r="O93" s="13" t="str">
        <f t="shared" si="7"/>
        <v>Adam Shillingsburg</v>
      </c>
      <c r="P93" s="13" t="str">
        <f t="shared" si="8"/>
        <v>CA</v>
      </c>
      <c r="Q93" s="13" t="str">
        <f t="shared" si="9"/>
        <v>2013</v>
      </c>
      <c r="R93" s="13" t="str">
        <f t="shared" si="10"/>
        <v>MEDIUM</v>
      </c>
      <c r="S93" s="13" t="str">
        <f t="shared" si="11"/>
        <v>office supplies</v>
      </c>
      <c r="T93" s="21" t="str">
        <f t="shared" si="12"/>
        <v>41587</v>
      </c>
      <c r="U93" s="30" t="s">
        <v>2742</v>
      </c>
      <c r="V93" s="19" t="s">
        <v>2683</v>
      </c>
      <c r="W93" s="33">
        <v>2013</v>
      </c>
      <c r="X93" t="s">
        <v>2742</v>
      </c>
      <c r="Y93" s="31">
        <v>41587</v>
      </c>
      <c r="Z93" s="31" t="str">
        <f t="shared" si="13"/>
        <v>CA-2013-AS10090140-41587</v>
      </c>
    </row>
    <row r="94" spans="1:26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2679</v>
      </c>
      <c r="O94" s="8" t="str">
        <f t="shared" si="7"/>
        <v>Barry Gonzalez</v>
      </c>
      <c r="P94" s="8" t="str">
        <f t="shared" si="8"/>
        <v>ES</v>
      </c>
      <c r="Q94" s="8" t="str">
        <f t="shared" si="9"/>
        <v>2013</v>
      </c>
      <c r="R94" s="8" t="str">
        <f t="shared" si="10"/>
        <v>CRITICAL</v>
      </c>
      <c r="S94" s="8" t="str">
        <f t="shared" si="11"/>
        <v>technology</v>
      </c>
      <c r="T94" s="18" t="str">
        <f t="shared" si="12"/>
        <v>41468</v>
      </c>
      <c r="U94" s="30" t="s">
        <v>2751</v>
      </c>
      <c r="V94" s="16" t="s">
        <v>2710</v>
      </c>
      <c r="W94" s="33">
        <v>2013</v>
      </c>
      <c r="X94" t="s">
        <v>2751</v>
      </c>
      <c r="Y94" s="31">
        <v>41468</v>
      </c>
      <c r="Z94" s="31" t="str">
        <f t="shared" si="13"/>
        <v>ES-2013-BG1103544-41468</v>
      </c>
    </row>
    <row r="95" spans="1:26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2679</v>
      </c>
      <c r="O95" s="13" t="str">
        <f t="shared" si="7"/>
        <v>Helen Wasserman</v>
      </c>
      <c r="P95" s="13" t="str">
        <f t="shared" si="8"/>
        <v>ES</v>
      </c>
      <c r="Q95" s="13" t="str">
        <f t="shared" si="9"/>
        <v>2015</v>
      </c>
      <c r="R95" s="13" t="str">
        <f t="shared" si="10"/>
        <v>CRITICAL</v>
      </c>
      <c r="S95" s="13" t="str">
        <f t="shared" si="11"/>
        <v>furniture</v>
      </c>
      <c r="T95" s="21" t="str">
        <f t="shared" si="12"/>
        <v>42335</v>
      </c>
      <c r="U95" s="30" t="s">
        <v>2752</v>
      </c>
      <c r="V95" s="19" t="s">
        <v>2710</v>
      </c>
      <c r="W95" s="33">
        <v>2015</v>
      </c>
      <c r="X95" t="s">
        <v>2752</v>
      </c>
      <c r="Y95" s="31">
        <v>42335</v>
      </c>
      <c r="Z95" s="31" t="str">
        <f t="shared" si="13"/>
        <v>ES-2015-HW1493545-42335</v>
      </c>
    </row>
    <row r="96" spans="1:26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2679</v>
      </c>
      <c r="O96" s="8" t="str">
        <f t="shared" si="7"/>
        <v>Vivek Grady</v>
      </c>
      <c r="P96" s="8" t="str">
        <f t="shared" si="8"/>
        <v>IN</v>
      </c>
      <c r="Q96" s="8" t="str">
        <f t="shared" si="9"/>
        <v>2014</v>
      </c>
      <c r="R96" s="8" t="str">
        <f t="shared" si="10"/>
        <v>CRITICAL</v>
      </c>
      <c r="S96" s="8" t="str">
        <f t="shared" si="11"/>
        <v>furniture</v>
      </c>
      <c r="T96" s="18" t="str">
        <f t="shared" si="12"/>
        <v>41996</v>
      </c>
      <c r="U96" s="30" t="s">
        <v>2753</v>
      </c>
      <c r="V96" s="16" t="s">
        <v>2681</v>
      </c>
      <c r="W96" s="33">
        <v>2014</v>
      </c>
      <c r="X96" t="s">
        <v>2753</v>
      </c>
      <c r="Y96" s="31">
        <v>41996</v>
      </c>
      <c r="Z96" s="31" t="str">
        <f t="shared" si="13"/>
        <v>IN-2014-VG2180527-41996</v>
      </c>
    </row>
    <row r="97" spans="1:26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2679</v>
      </c>
      <c r="O97" s="13" t="str">
        <f t="shared" si="7"/>
        <v>Julia Dunbar</v>
      </c>
      <c r="P97" s="13" t="str">
        <f t="shared" si="8"/>
        <v>GH</v>
      </c>
      <c r="Q97" s="13" t="str">
        <f t="shared" si="9"/>
        <v>2015</v>
      </c>
      <c r="R97" s="13" t="str">
        <f t="shared" si="10"/>
        <v>CRITICAL</v>
      </c>
      <c r="S97" s="13" t="str">
        <f t="shared" si="11"/>
        <v>office supplies</v>
      </c>
      <c r="T97" s="21" t="str">
        <f t="shared" si="12"/>
        <v>42172</v>
      </c>
      <c r="U97" s="30" t="s">
        <v>2754</v>
      </c>
      <c r="V97" s="19" t="s">
        <v>2755</v>
      </c>
      <c r="W97" s="33">
        <v>2015</v>
      </c>
      <c r="X97" t="s">
        <v>2754</v>
      </c>
      <c r="Y97" s="31">
        <v>42172</v>
      </c>
      <c r="Z97" s="31" t="str">
        <f t="shared" si="13"/>
        <v>GH-2015-JD606049-42172</v>
      </c>
    </row>
    <row r="98" spans="1:26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2679</v>
      </c>
      <c r="O98" s="8" t="str">
        <f t="shared" si="7"/>
        <v>Maureen Gastineau</v>
      </c>
      <c r="P98" s="8" t="str">
        <f t="shared" si="8"/>
        <v>ID</v>
      </c>
      <c r="Q98" s="8" t="str">
        <f t="shared" si="9"/>
        <v>2015</v>
      </c>
      <c r="R98" s="8" t="str">
        <f t="shared" si="10"/>
        <v>HIGH</v>
      </c>
      <c r="S98" s="8" t="str">
        <f t="shared" si="11"/>
        <v>furniture</v>
      </c>
      <c r="T98" s="18" t="str">
        <f t="shared" si="12"/>
        <v>42078</v>
      </c>
      <c r="U98" s="30" t="s">
        <v>2756</v>
      </c>
      <c r="V98" s="16" t="s">
        <v>2705</v>
      </c>
      <c r="W98" s="33">
        <v>2015</v>
      </c>
      <c r="X98" t="s">
        <v>2756</v>
      </c>
      <c r="Y98" s="31">
        <v>42078</v>
      </c>
      <c r="Z98" s="31" t="str">
        <f t="shared" si="13"/>
        <v>ID-2015-MG17680144-42078</v>
      </c>
    </row>
    <row r="99" spans="1:26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2679</v>
      </c>
      <c r="O99" s="13" t="str">
        <f t="shared" si="7"/>
        <v>Christina Demoss</v>
      </c>
      <c r="P99" s="13" t="str">
        <f t="shared" si="8"/>
        <v>IN</v>
      </c>
      <c r="Q99" s="13" t="str">
        <f t="shared" si="9"/>
        <v>2015</v>
      </c>
      <c r="R99" s="13" t="str">
        <f t="shared" si="10"/>
        <v>MEDIUM</v>
      </c>
      <c r="S99" s="13" t="str">
        <f t="shared" si="11"/>
        <v>furniture</v>
      </c>
      <c r="T99" s="21" t="str">
        <f t="shared" si="12"/>
        <v>42197</v>
      </c>
      <c r="U99" s="30" t="s">
        <v>2757</v>
      </c>
      <c r="V99" s="19" t="s">
        <v>2681</v>
      </c>
      <c r="W99" s="33">
        <v>2015</v>
      </c>
      <c r="X99" t="s">
        <v>2757</v>
      </c>
      <c r="Y99" s="31">
        <v>42197</v>
      </c>
      <c r="Z99" s="31" t="str">
        <f t="shared" si="13"/>
        <v>IN-2015-CD1228058-42197</v>
      </c>
    </row>
    <row r="100" spans="1:26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2679</v>
      </c>
      <c r="O100" s="8" t="str">
        <f t="shared" si="7"/>
        <v>Brad Norvell</v>
      </c>
      <c r="P100" s="8" t="str">
        <f t="shared" si="8"/>
        <v>ID</v>
      </c>
      <c r="Q100" s="8" t="str">
        <f t="shared" si="9"/>
        <v>2013</v>
      </c>
      <c r="R100" s="8" t="str">
        <f t="shared" si="10"/>
        <v>MEDIUM</v>
      </c>
      <c r="S100" s="8" t="str">
        <f t="shared" si="11"/>
        <v>technology</v>
      </c>
      <c r="T100" s="18" t="str">
        <f t="shared" si="12"/>
        <v>41633</v>
      </c>
      <c r="U100" s="30" t="s">
        <v>2758</v>
      </c>
      <c r="V100" s="16" t="s">
        <v>2705</v>
      </c>
      <c r="W100" s="33">
        <v>2013</v>
      </c>
      <c r="X100" t="s">
        <v>2758</v>
      </c>
      <c r="Y100" s="31">
        <v>41633</v>
      </c>
      <c r="Z100" s="31" t="str">
        <f t="shared" si="13"/>
        <v>ID-2013-BN11470130-41633</v>
      </c>
    </row>
    <row r="101" spans="1:26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2679</v>
      </c>
      <c r="O101" s="13" t="str">
        <f t="shared" si="7"/>
        <v>Erin Mull#</v>
      </c>
      <c r="P101" s="13" t="str">
        <f t="shared" si="8"/>
        <v>ES</v>
      </c>
      <c r="Q101" s="13" t="str">
        <f t="shared" si="9"/>
        <v>2014</v>
      </c>
      <c r="R101" s="13" t="str">
        <f t="shared" si="10"/>
        <v>HIGH</v>
      </c>
      <c r="S101" s="13" t="str">
        <f t="shared" si="11"/>
        <v>technology</v>
      </c>
      <c r="T101" s="21" t="str">
        <f t="shared" si="12"/>
        <v>41775</v>
      </c>
      <c r="U101" s="30" t="s">
        <v>2759</v>
      </c>
      <c r="V101" s="19" t="s">
        <v>2710</v>
      </c>
      <c r="W101" s="33">
        <v>2014</v>
      </c>
      <c r="X101" t="s">
        <v>2759</v>
      </c>
      <c r="Y101" s="31">
        <v>41775</v>
      </c>
      <c r="Z101" s="31" t="str">
        <f t="shared" si="13"/>
        <v>ES-2014-EM1406548-41775</v>
      </c>
    </row>
    <row r="102" spans="1:26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2679</v>
      </c>
      <c r="O102" s="8" t="str">
        <f t="shared" si="7"/>
        <v>Chloris Kastensmidt</v>
      </c>
      <c r="P102" s="8" t="str">
        <f t="shared" si="8"/>
        <v>ES</v>
      </c>
      <c r="Q102" s="8" t="str">
        <f t="shared" si="9"/>
        <v>2013</v>
      </c>
      <c r="R102" s="8" t="str">
        <f t="shared" si="10"/>
        <v>CRTIICAL</v>
      </c>
      <c r="S102" s="8" t="str">
        <f t="shared" si="11"/>
        <v>technology</v>
      </c>
      <c r="T102" s="18" t="str">
        <f t="shared" si="12"/>
        <v>41422</v>
      </c>
      <c r="U102" s="30" t="s">
        <v>2760</v>
      </c>
      <c r="V102" s="16" t="s">
        <v>2710</v>
      </c>
      <c r="W102" s="33">
        <v>2013</v>
      </c>
      <c r="X102" t="s">
        <v>2760</v>
      </c>
      <c r="Y102" s="31">
        <v>41422</v>
      </c>
      <c r="Z102" s="31" t="str">
        <f t="shared" si="13"/>
        <v>ES-2013-CK1220564-41422</v>
      </c>
    </row>
    <row r="103" spans="1:26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2679</v>
      </c>
      <c r="O103" s="13" t="str">
        <f t="shared" si="7"/>
        <v>Clay Cheatham</v>
      </c>
      <c r="P103" s="13" t="str">
        <f t="shared" si="8"/>
        <v>UP</v>
      </c>
      <c r="Q103" s="13" t="str">
        <f t="shared" si="9"/>
        <v>2012</v>
      </c>
      <c r="R103" s="13" t="str">
        <f t="shared" si="10"/>
        <v>CRITICAL</v>
      </c>
      <c r="S103" s="13" t="str">
        <f t="shared" si="11"/>
        <v>furniture</v>
      </c>
      <c r="T103" s="21" t="str">
        <f t="shared" si="12"/>
        <v>41062</v>
      </c>
      <c r="U103" s="30" t="s">
        <v>2761</v>
      </c>
      <c r="V103" s="19" t="s">
        <v>2762</v>
      </c>
      <c r="W103" s="33">
        <v>2012</v>
      </c>
      <c r="X103" t="s">
        <v>2761</v>
      </c>
      <c r="Y103" s="31">
        <v>41062</v>
      </c>
      <c r="Z103" s="31" t="str">
        <f t="shared" si="13"/>
        <v>UP-2012-CC2550137-41062</v>
      </c>
    </row>
    <row r="104" spans="1:26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2679</v>
      </c>
      <c r="O104" s="8" t="str">
        <f t="shared" si="7"/>
        <v>Melanie Seite</v>
      </c>
      <c r="P104" s="8" t="str">
        <f t="shared" si="8"/>
        <v>IT</v>
      </c>
      <c r="Q104" s="8" t="str">
        <f t="shared" si="9"/>
        <v>2012</v>
      </c>
      <c r="R104" s="8" t="str">
        <f t="shared" si="10"/>
        <v>CRITICAL</v>
      </c>
      <c r="S104" s="8" t="str">
        <f t="shared" si="11"/>
        <v>technology</v>
      </c>
      <c r="T104" s="18" t="str">
        <f t="shared" si="12"/>
        <v>41103</v>
      </c>
      <c r="U104" s="30" t="s">
        <v>2763</v>
      </c>
      <c r="V104" s="16" t="s">
        <v>2690</v>
      </c>
      <c r="W104" s="33">
        <v>2012</v>
      </c>
      <c r="X104" t="s">
        <v>2763</v>
      </c>
      <c r="Y104" s="31">
        <v>41103</v>
      </c>
      <c r="Z104" s="31" t="str">
        <f t="shared" si="13"/>
        <v>IT-2012-MS17830139-41103</v>
      </c>
    </row>
    <row r="105" spans="1:26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2679</v>
      </c>
      <c r="O105" s="13" t="str">
        <f t="shared" si="7"/>
        <v>Greg Tran</v>
      </c>
      <c r="P105" s="13" t="str">
        <f t="shared" si="8"/>
        <v>ES</v>
      </c>
      <c r="Q105" s="13" t="str">
        <f t="shared" si="9"/>
        <v>2012</v>
      </c>
      <c r="R105" s="13" t="str">
        <f t="shared" si="10"/>
        <v>LOW</v>
      </c>
      <c r="S105" s="13" t="str">
        <f t="shared" si="11"/>
        <v>furniture</v>
      </c>
      <c r="T105" s="21" t="str">
        <f t="shared" si="12"/>
        <v>41198</v>
      </c>
      <c r="U105" s="30" t="s">
        <v>2764</v>
      </c>
      <c r="V105" s="19" t="s">
        <v>2710</v>
      </c>
      <c r="W105" s="33">
        <v>2012</v>
      </c>
      <c r="X105" t="s">
        <v>2764</v>
      </c>
      <c r="Y105" s="31">
        <v>41198</v>
      </c>
      <c r="Z105" s="31" t="str">
        <f t="shared" si="13"/>
        <v>ES-2012-GT14710120-41198</v>
      </c>
    </row>
    <row r="106" spans="1:26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2679</v>
      </c>
      <c r="O106" s="8" t="str">
        <f t="shared" si="7"/>
        <v>John Castell</v>
      </c>
      <c r="P106" s="8" t="str">
        <f t="shared" si="8"/>
        <v>IN</v>
      </c>
      <c r="Q106" s="8" t="str">
        <f t="shared" si="9"/>
        <v>2013</v>
      </c>
      <c r="R106" s="8" t="str">
        <f t="shared" si="10"/>
        <v>CRITICAL</v>
      </c>
      <c r="S106" s="8" t="str">
        <f t="shared" si="11"/>
        <v>furniture</v>
      </c>
      <c r="T106" s="18" t="str">
        <f t="shared" si="12"/>
        <v>41310</v>
      </c>
      <c r="U106" s="30" t="s">
        <v>2765</v>
      </c>
      <c r="V106" s="16" t="s">
        <v>2681</v>
      </c>
      <c r="W106" s="33">
        <v>2013</v>
      </c>
      <c r="X106" t="s">
        <v>2765</v>
      </c>
      <c r="Y106" s="31">
        <v>41310</v>
      </c>
      <c r="Z106" s="31" t="str">
        <f t="shared" si="13"/>
        <v>IN-2013-JC157757-41310</v>
      </c>
    </row>
    <row r="107" spans="1:26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2679</v>
      </c>
      <c r="O107" s="13" t="str">
        <f t="shared" si="7"/>
        <v>Mitch Gastineau</v>
      </c>
      <c r="P107" s="13" t="str">
        <f t="shared" si="8"/>
        <v>IN</v>
      </c>
      <c r="Q107" s="13" t="str">
        <f t="shared" si="9"/>
        <v>2012</v>
      </c>
      <c r="R107" s="13" t="str">
        <f t="shared" si="10"/>
        <v>HIGH</v>
      </c>
      <c r="S107" s="13" t="str">
        <f t="shared" si="11"/>
        <v>technology</v>
      </c>
      <c r="T107" s="21" t="str">
        <f t="shared" si="12"/>
        <v>40962</v>
      </c>
      <c r="U107" s="30" t="s">
        <v>2766</v>
      </c>
      <c r="V107" s="19" t="s">
        <v>2681</v>
      </c>
      <c r="W107" s="33">
        <v>2012</v>
      </c>
      <c r="X107" t="s">
        <v>2766</v>
      </c>
      <c r="Y107" s="31">
        <v>40962</v>
      </c>
      <c r="Z107" s="31" t="str">
        <f t="shared" si="13"/>
        <v>IN-2012-MG1820558-40962</v>
      </c>
    </row>
    <row r="108" spans="1:26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2679</v>
      </c>
      <c r="O108" s="8" t="str">
        <f t="shared" si="7"/>
        <v>Adam Shillingsburg</v>
      </c>
      <c r="P108" s="8" t="str">
        <f t="shared" si="8"/>
        <v>CA</v>
      </c>
      <c r="Q108" s="8" t="str">
        <f t="shared" si="9"/>
        <v>2012</v>
      </c>
      <c r="R108" s="8" t="str">
        <f t="shared" si="10"/>
        <v>MEDIUM</v>
      </c>
      <c r="S108" s="8" t="str">
        <f t="shared" si="11"/>
        <v>office supplies</v>
      </c>
      <c r="T108" s="18" t="str">
        <f t="shared" si="12"/>
        <v>41173</v>
      </c>
      <c r="U108" s="30" t="s">
        <v>2742</v>
      </c>
      <c r="V108" s="16" t="s">
        <v>2683</v>
      </c>
      <c r="W108" s="33">
        <v>2012</v>
      </c>
      <c r="X108" t="s">
        <v>2742</v>
      </c>
      <c r="Y108" s="31">
        <v>41173</v>
      </c>
      <c r="Z108" s="31" t="str">
        <f t="shared" si="13"/>
        <v>CA-2012-AS10090140-41173</v>
      </c>
    </row>
    <row r="109" spans="1:26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2679</v>
      </c>
      <c r="O109" s="13" t="str">
        <f t="shared" si="7"/>
        <v>Patrick Bzostek</v>
      </c>
      <c r="P109" s="13" t="str">
        <f t="shared" si="8"/>
        <v>MX</v>
      </c>
      <c r="Q109" s="13" t="str">
        <f t="shared" si="9"/>
        <v>2014</v>
      </c>
      <c r="R109" s="13" t="str">
        <f t="shared" si="10"/>
        <v>LOW</v>
      </c>
      <c r="S109" s="13" t="str">
        <f t="shared" si="11"/>
        <v>technology</v>
      </c>
      <c r="T109" s="21" t="str">
        <f t="shared" si="12"/>
        <v>41942</v>
      </c>
      <c r="U109" s="30" t="s">
        <v>2767</v>
      </c>
      <c r="V109" s="19" t="s">
        <v>2695</v>
      </c>
      <c r="W109" s="33">
        <v>2014</v>
      </c>
      <c r="X109" t="s">
        <v>2767</v>
      </c>
      <c r="Y109" s="31">
        <v>41942</v>
      </c>
      <c r="Z109" s="31" t="str">
        <f t="shared" si="13"/>
        <v>MX-2014-PB1880593-41942</v>
      </c>
    </row>
    <row r="110" spans="1:26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2679</v>
      </c>
      <c r="O110" s="8" t="str">
        <f t="shared" si="7"/>
        <v>Benjamin Patterson</v>
      </c>
      <c r="P110" s="8" t="str">
        <f t="shared" si="8"/>
        <v>CM</v>
      </c>
      <c r="Q110" s="8" t="str">
        <f t="shared" si="9"/>
        <v>2013</v>
      </c>
      <c r="R110" s="8" t="str">
        <f t="shared" si="10"/>
        <v>CRITICAL</v>
      </c>
      <c r="S110" s="8" t="str">
        <f t="shared" si="11"/>
        <v>technology</v>
      </c>
      <c r="T110" s="18" t="str">
        <f t="shared" si="12"/>
        <v>41621</v>
      </c>
      <c r="U110" s="30" t="s">
        <v>2768</v>
      </c>
      <c r="V110" s="16" t="s">
        <v>2769</v>
      </c>
      <c r="W110" s="33">
        <v>2013</v>
      </c>
      <c r="X110" t="s">
        <v>2768</v>
      </c>
      <c r="Y110" s="31">
        <v>41621</v>
      </c>
      <c r="Z110" s="31" t="str">
        <f t="shared" si="13"/>
        <v>CM-2013-BP123022-41621</v>
      </c>
    </row>
    <row r="111" spans="1:26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2679</v>
      </c>
      <c r="O111" s="13" t="str">
        <f t="shared" si="7"/>
        <v>Adam Shillingsburg</v>
      </c>
      <c r="P111" s="13" t="str">
        <f t="shared" si="8"/>
        <v>CA</v>
      </c>
      <c r="Q111" s="13" t="str">
        <f t="shared" si="9"/>
        <v>2012</v>
      </c>
      <c r="R111" s="13" t="str">
        <f t="shared" si="10"/>
        <v>MEDIUM</v>
      </c>
      <c r="S111" s="13" t="str">
        <f t="shared" si="11"/>
        <v>office supplies</v>
      </c>
      <c r="T111" s="21" t="str">
        <f t="shared" si="12"/>
        <v>1173#</v>
      </c>
      <c r="U111" s="30" t="s">
        <v>2742</v>
      </c>
      <c r="V111" s="19" t="s">
        <v>2683</v>
      </c>
      <c r="W111" s="33">
        <v>2012</v>
      </c>
      <c r="X111" t="s">
        <v>2742</v>
      </c>
      <c r="Y111" s="31" t="s">
        <v>2770</v>
      </c>
      <c r="Z111" s="31" t="str">
        <f t="shared" si="13"/>
        <v>CA-2012-AS10090140-41173#</v>
      </c>
    </row>
    <row r="112" spans="1:26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2679</v>
      </c>
      <c r="O112" s="8" t="str">
        <f t="shared" si="7"/>
        <v>Dennis Bolton</v>
      </c>
      <c r="P112" s="8" t="str">
        <f t="shared" si="8"/>
        <v>ZA</v>
      </c>
      <c r="Q112" s="8" t="str">
        <f t="shared" si="9"/>
        <v>2012</v>
      </c>
      <c r="R112" s="8" t="str">
        <f t="shared" si="10"/>
        <v>CRITICAL</v>
      </c>
      <c r="S112" s="8" t="str">
        <f t="shared" si="11"/>
        <v>furniture</v>
      </c>
      <c r="T112" s="18" t="str">
        <f t="shared" si="12"/>
        <v>41159</v>
      </c>
      <c r="U112" s="30" t="s">
        <v>2771</v>
      </c>
      <c r="V112" s="16" t="s">
        <v>2772</v>
      </c>
      <c r="W112" s="33">
        <v>2012</v>
      </c>
      <c r="X112" t="s">
        <v>2771</v>
      </c>
      <c r="Y112" s="31">
        <v>41159</v>
      </c>
      <c r="Z112" s="31" t="str">
        <f t="shared" si="13"/>
        <v>ZA-2012-DB3360146-41159</v>
      </c>
    </row>
    <row r="113" spans="1:26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2679</v>
      </c>
      <c r="O113" s="13" t="str">
        <f t="shared" si="7"/>
        <v>Neil Franzã¶Sisch</v>
      </c>
      <c r="P113" s="13" t="str">
        <f t="shared" si="8"/>
        <v>IN</v>
      </c>
      <c r="Q113" s="13" t="str">
        <f t="shared" si="9"/>
        <v>2014</v>
      </c>
      <c r="R113" s="13" t="str">
        <f t="shared" si="10"/>
        <v>CRITICAL</v>
      </c>
      <c r="S113" s="13" t="str">
        <f t="shared" si="11"/>
        <v>office supplies</v>
      </c>
      <c r="T113" s="21" t="str">
        <f t="shared" si="12"/>
        <v>41741</v>
      </c>
      <c r="U113" s="30" t="s">
        <v>2773</v>
      </c>
      <c r="V113" s="19" t="s">
        <v>2681</v>
      </c>
      <c r="W113" s="33">
        <v>2014</v>
      </c>
      <c r="X113" t="s">
        <v>2773</v>
      </c>
      <c r="Y113" s="31">
        <v>41741</v>
      </c>
      <c r="Z113" s="31" t="str">
        <f t="shared" si="13"/>
        <v>IN-2014-NF1847527-41741</v>
      </c>
    </row>
    <row r="114" spans="1:26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2679</v>
      </c>
      <c r="O114" s="8" t="str">
        <f t="shared" si="7"/>
        <v>Liz Carlisle</v>
      </c>
      <c r="P114" s="8" t="str">
        <f t="shared" si="8"/>
        <v>ID</v>
      </c>
      <c r="Q114" s="8" t="str">
        <f t="shared" si="9"/>
        <v>2013</v>
      </c>
      <c r="R114" s="8" t="str">
        <f t="shared" si="10"/>
        <v>CRITICAL</v>
      </c>
      <c r="S114" s="8" t="str">
        <f t="shared" si="11"/>
        <v>furniture</v>
      </c>
      <c r="T114" s="18" t="str">
        <f t="shared" si="12"/>
        <v>41560</v>
      </c>
      <c r="U114" s="30" t="s">
        <v>2774</v>
      </c>
      <c r="V114" s="16" t="s">
        <v>2705</v>
      </c>
      <c r="W114" s="33">
        <v>2013</v>
      </c>
      <c r="X114" t="s">
        <v>2774</v>
      </c>
      <c r="Y114" s="31">
        <v>41560</v>
      </c>
      <c r="Z114" s="31" t="str">
        <f t="shared" si="13"/>
        <v>ID-2013-LC1705092-41560</v>
      </c>
    </row>
    <row r="115" spans="1:26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2679</v>
      </c>
      <c r="O115" s="13" t="str">
        <f t="shared" si="7"/>
        <v>Ruben Ausman</v>
      </c>
      <c r="P115" s="13" t="str">
        <f t="shared" si="8"/>
        <v>IN</v>
      </c>
      <c r="Q115" s="13" t="str">
        <f t="shared" si="9"/>
        <v>2015</v>
      </c>
      <c r="R115" s="13" t="str">
        <f t="shared" si="10"/>
        <v>HIGH</v>
      </c>
      <c r="S115" s="13" t="str">
        <f t="shared" si="11"/>
        <v>furniture</v>
      </c>
      <c r="T115" s="21" t="str">
        <f t="shared" si="12"/>
        <v>42034</v>
      </c>
      <c r="U115" s="30" t="s">
        <v>2775</v>
      </c>
      <c r="V115" s="19" t="s">
        <v>2681</v>
      </c>
      <c r="W115" s="33">
        <v>2015</v>
      </c>
      <c r="X115" t="s">
        <v>2775</v>
      </c>
      <c r="Y115" s="31">
        <v>42034</v>
      </c>
      <c r="Z115" s="31" t="str">
        <f t="shared" si="13"/>
        <v>IN-2015-RA1988527-42034</v>
      </c>
    </row>
    <row r="116" spans="1:26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2679</v>
      </c>
      <c r="O116" s="8" t="str">
        <f t="shared" si="7"/>
        <v>Adrian Barton</v>
      </c>
      <c r="P116" s="8" t="str">
        <f t="shared" si="8"/>
        <v>CA</v>
      </c>
      <c r="Q116" s="8" t="str">
        <f t="shared" si="9"/>
        <v>2015</v>
      </c>
      <c r="R116" s="8" t="str">
        <f t="shared" si="10"/>
        <v>HIGH</v>
      </c>
      <c r="S116" s="8" t="str">
        <f t="shared" si="11"/>
        <v>technology</v>
      </c>
      <c r="T116" s="18" t="str">
        <f t="shared" si="12"/>
        <v>42161</v>
      </c>
      <c r="U116" s="30" t="s">
        <v>2776</v>
      </c>
      <c r="V116" s="16" t="s">
        <v>2683</v>
      </c>
      <c r="W116" s="33">
        <v>2015</v>
      </c>
      <c r="X116" t="s">
        <v>2776</v>
      </c>
      <c r="Y116" s="31">
        <v>42161</v>
      </c>
      <c r="Z116" s="31" t="str">
        <f t="shared" si="13"/>
        <v>CA-2015-AB10105140-42161</v>
      </c>
    </row>
    <row r="117" spans="1:26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2679</v>
      </c>
      <c r="O117" s="13" t="str">
        <f t="shared" si="7"/>
        <v>Eric Murdock</v>
      </c>
      <c r="P117" s="13" t="str">
        <f t="shared" si="8"/>
        <v>ID</v>
      </c>
      <c r="Q117" s="13" t="str">
        <f t="shared" si="9"/>
        <v>2014</v>
      </c>
      <c r="R117" s="13" t="str">
        <f t="shared" si="10"/>
        <v>HIGH</v>
      </c>
      <c r="S117" s="13" t="str">
        <f t="shared" si="11"/>
        <v>office supplies</v>
      </c>
      <c r="T117" s="21" t="str">
        <f t="shared" si="12"/>
        <v>41901</v>
      </c>
      <c r="U117" s="30" t="s">
        <v>2777</v>
      </c>
      <c r="V117" s="19" t="s">
        <v>2705</v>
      </c>
      <c r="W117" s="33">
        <v>2014</v>
      </c>
      <c r="X117" t="s">
        <v>2777</v>
      </c>
      <c r="Y117" s="31">
        <v>41901</v>
      </c>
      <c r="Z117" s="31" t="str">
        <f t="shared" si="13"/>
        <v>ID-2014-EM1396058-41901</v>
      </c>
    </row>
    <row r="118" spans="1:26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2679</v>
      </c>
      <c r="O118" s="8" t="str">
        <f t="shared" si="7"/>
        <v>Adrian Barton</v>
      </c>
      <c r="P118" s="8" t="str">
        <f t="shared" si="8"/>
        <v>CA</v>
      </c>
      <c r="Q118" s="8" t="str">
        <f t="shared" si="9"/>
        <v>2012</v>
      </c>
      <c r="R118" s="8" t="str">
        <f t="shared" si="10"/>
        <v>MEDIUM</v>
      </c>
      <c r="S118" s="8" t="str">
        <f t="shared" si="11"/>
        <v>office supplies</v>
      </c>
      <c r="T118" s="18" t="str">
        <f t="shared" si="12"/>
        <v>41262</v>
      </c>
      <c r="U118" s="30" t="s">
        <v>2776</v>
      </c>
      <c r="V118" s="16" t="s">
        <v>2683</v>
      </c>
      <c r="W118" s="33">
        <v>2012</v>
      </c>
      <c r="X118" t="s">
        <v>2776</v>
      </c>
      <c r="Y118" s="31">
        <v>41262</v>
      </c>
      <c r="Z118" s="31" t="str">
        <f t="shared" si="13"/>
        <v>CA-2012-AB10105140-41262</v>
      </c>
    </row>
    <row r="119" spans="1:26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2679</v>
      </c>
      <c r="O119" s="13" t="str">
        <f t="shared" si="7"/>
        <v>Adrian Barton</v>
      </c>
      <c r="P119" s="13" t="str">
        <f t="shared" si="8"/>
        <v>CA</v>
      </c>
      <c r="Q119" s="13" t="str">
        <f t="shared" si="9"/>
        <v>2015</v>
      </c>
      <c r="R119" s="13" t="str">
        <f t="shared" si="10"/>
        <v>MEDIUM</v>
      </c>
      <c r="S119" s="13" t="str">
        <f t="shared" si="11"/>
        <v>technology</v>
      </c>
      <c r="T119" s="21" t="str">
        <f t="shared" si="12"/>
        <v>42143</v>
      </c>
      <c r="U119" s="30" t="s">
        <v>2776</v>
      </c>
      <c r="V119" s="19" t="s">
        <v>2683</v>
      </c>
      <c r="W119" s="33">
        <v>2015</v>
      </c>
      <c r="X119" t="s">
        <v>2776</v>
      </c>
      <c r="Y119" s="31">
        <v>42143</v>
      </c>
      <c r="Z119" s="31" t="str">
        <f t="shared" si="13"/>
        <v>CA-2015-AB10105140-42143</v>
      </c>
    </row>
    <row r="120" spans="1:26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2679</v>
      </c>
      <c r="O120" s="8" t="str">
        <f t="shared" si="7"/>
        <v>Stewart Visinsky</v>
      </c>
      <c r="P120" s="8" t="str">
        <f t="shared" si="8"/>
        <v>ES</v>
      </c>
      <c r="Q120" s="8" t="str">
        <f t="shared" si="9"/>
        <v>2014</v>
      </c>
      <c r="R120" s="8" t="str">
        <f t="shared" si="10"/>
        <v>HIGH</v>
      </c>
      <c r="S120" s="8" t="str">
        <f t="shared" si="11"/>
        <v>technology</v>
      </c>
      <c r="T120" s="18" t="str">
        <f t="shared" si="12"/>
        <v>41807</v>
      </c>
      <c r="U120" s="30" t="s">
        <v>2778</v>
      </c>
      <c r="V120" s="16" t="s">
        <v>2710</v>
      </c>
      <c r="W120" s="33">
        <v>2014</v>
      </c>
      <c r="X120" t="s">
        <v>2778</v>
      </c>
      <c r="Y120" s="31">
        <v>41807</v>
      </c>
      <c r="Z120" s="31" t="str">
        <f t="shared" si="13"/>
        <v>ES-2014-SV2078545-41807</v>
      </c>
    </row>
    <row r="121" spans="1:26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2679</v>
      </c>
      <c r="O121" s="13" t="str">
        <f t="shared" si="7"/>
        <v>Chad Sievert</v>
      </c>
      <c r="P121" s="13" t="str">
        <f t="shared" si="8"/>
        <v>IN</v>
      </c>
      <c r="Q121" s="13" t="str">
        <f t="shared" si="9"/>
        <v>2015</v>
      </c>
      <c r="R121" s="13" t="str">
        <f t="shared" si="10"/>
        <v>HIGH</v>
      </c>
      <c r="S121" s="13" t="str">
        <f t="shared" si="11"/>
        <v>furniture</v>
      </c>
      <c r="T121" s="21" t="str">
        <f t="shared" si="12"/>
        <v>42266</v>
      </c>
      <c r="U121" s="30" t="s">
        <v>2779</v>
      </c>
      <c r="V121" s="19" t="s">
        <v>2681</v>
      </c>
      <c r="W121" s="33">
        <v>2015</v>
      </c>
      <c r="X121" t="s">
        <v>2779</v>
      </c>
      <c r="Y121" s="31">
        <v>42266</v>
      </c>
      <c r="Z121" s="31" t="str">
        <f t="shared" si="13"/>
        <v>IN-2015-CS121307-42266</v>
      </c>
    </row>
    <row r="122" spans="1:26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2679</v>
      </c>
      <c r="O122" s="8" t="str">
        <f t="shared" si="7"/>
        <v>Maureen Gastineau</v>
      </c>
      <c r="P122" s="8" t="str">
        <f t="shared" si="8"/>
        <v>IR</v>
      </c>
      <c r="Q122" s="8" t="str">
        <f t="shared" si="9"/>
        <v>2015</v>
      </c>
      <c r="R122" s="8" t="str">
        <f t="shared" si="10"/>
        <v>CRITICAL</v>
      </c>
      <c r="S122" s="8" t="str">
        <f t="shared" si="11"/>
        <v>furniture</v>
      </c>
      <c r="T122" s="18" t="str">
        <f t="shared" si="12"/>
        <v>42109</v>
      </c>
      <c r="U122" s="30" t="s">
        <v>2780</v>
      </c>
      <c r="V122" s="16" t="s">
        <v>2781</v>
      </c>
      <c r="W122" s="33">
        <v>2015</v>
      </c>
      <c r="X122" t="s">
        <v>2780</v>
      </c>
      <c r="Y122" s="31">
        <v>42109</v>
      </c>
      <c r="Z122" s="31" t="str">
        <f t="shared" si="13"/>
        <v>IR-2015-MG768060-42109</v>
      </c>
    </row>
    <row r="123" spans="1:26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2679</v>
      </c>
      <c r="O123" s="13" t="str">
        <f t="shared" si="7"/>
        <v>Adrian Barton</v>
      </c>
      <c r="P123" s="13" t="str">
        <f t="shared" si="8"/>
        <v>CA</v>
      </c>
      <c r="Q123" s="13" t="str">
        <f t="shared" si="9"/>
        <v>2013</v>
      </c>
      <c r="R123" s="13" t="str">
        <f t="shared" si="10"/>
        <v>MEDIUM</v>
      </c>
      <c r="S123" s="13" t="str">
        <f t="shared" si="11"/>
        <v>technology</v>
      </c>
      <c r="T123" s="21" t="str">
        <f t="shared" si="12"/>
        <v>41585</v>
      </c>
      <c r="U123" s="30" t="s">
        <v>2776</v>
      </c>
      <c r="V123" s="19" t="s">
        <v>2683</v>
      </c>
      <c r="W123" s="33">
        <v>2013</v>
      </c>
      <c r="X123" t="s">
        <v>2776</v>
      </c>
      <c r="Y123" s="31">
        <v>41585</v>
      </c>
      <c r="Z123" s="31" t="str">
        <f t="shared" si="13"/>
        <v>CA-2013-AB10105140-41585</v>
      </c>
    </row>
    <row r="124" spans="1:26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2679</v>
      </c>
      <c r="O124" s="8" t="str">
        <f t="shared" si="7"/>
        <v>Cindy Chapman</v>
      </c>
      <c r="P124" s="8" t="str">
        <f t="shared" si="8"/>
        <v>IN</v>
      </c>
      <c r="Q124" s="8" t="str">
        <f t="shared" si="9"/>
        <v>2015</v>
      </c>
      <c r="R124" s="8" t="str">
        <f t="shared" si="10"/>
        <v>HIGH</v>
      </c>
      <c r="S124" s="8" t="str">
        <f t="shared" si="11"/>
        <v>technology</v>
      </c>
      <c r="T124" s="18" t="str">
        <f t="shared" si="12"/>
        <v>42129</v>
      </c>
      <c r="U124" s="30" t="s">
        <v>2782</v>
      </c>
      <c r="V124" s="16" t="s">
        <v>2681</v>
      </c>
      <c r="W124" s="33">
        <v>2015</v>
      </c>
      <c r="X124" t="s">
        <v>2782</v>
      </c>
      <c r="Y124" s="31">
        <v>42129</v>
      </c>
      <c r="Z124" s="31" t="str">
        <f t="shared" si="13"/>
        <v>IN-2015-CC1247558-42129</v>
      </c>
    </row>
    <row r="125" spans="1:26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2679</v>
      </c>
      <c r="O125" s="13" t="str">
        <f t="shared" si="7"/>
        <v>Sara Luxemburg</v>
      </c>
      <c r="P125" s="13" t="str">
        <f t="shared" si="8"/>
        <v>US</v>
      </c>
      <c r="Q125" s="13" t="str">
        <f t="shared" si="9"/>
        <v>2013</v>
      </c>
      <c r="R125" s="13" t="str">
        <f t="shared" si="10"/>
        <v>CRITICAL</v>
      </c>
      <c r="S125" s="13" t="str">
        <f t="shared" si="11"/>
        <v>furniture</v>
      </c>
      <c r="T125" s="21" t="str">
        <f t="shared" si="12"/>
        <v>41422</v>
      </c>
      <c r="U125" s="30" t="s">
        <v>2783</v>
      </c>
      <c r="V125" s="19" t="s">
        <v>2685</v>
      </c>
      <c r="W125" s="33">
        <v>2013</v>
      </c>
      <c r="X125" t="s">
        <v>2783</v>
      </c>
      <c r="Y125" s="31">
        <v>41422</v>
      </c>
      <c r="Z125" s="31" t="str">
        <f t="shared" si="13"/>
        <v>US-2013-SL2015582-41422</v>
      </c>
    </row>
    <row r="126" spans="1:26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2679</v>
      </c>
      <c r="O126" s="8" t="str">
        <f t="shared" si="7"/>
        <v>Nat Carroll</v>
      </c>
      <c r="P126" s="8" t="str">
        <f t="shared" si="8"/>
        <v>LI</v>
      </c>
      <c r="Q126" s="8" t="str">
        <f t="shared" si="9"/>
        <v>2015</v>
      </c>
      <c r="R126" s="8" t="str">
        <f t="shared" si="10"/>
        <v>CRITICAL</v>
      </c>
      <c r="S126" s="8" t="str">
        <f t="shared" si="11"/>
        <v>technology</v>
      </c>
      <c r="T126" s="18" t="str">
        <f t="shared" si="12"/>
        <v>42143</v>
      </c>
      <c r="U126" s="30" t="s">
        <v>2784</v>
      </c>
      <c r="V126" s="16" t="s">
        <v>2785</v>
      </c>
      <c r="W126" s="33">
        <v>2015</v>
      </c>
      <c r="X126" t="s">
        <v>2784</v>
      </c>
      <c r="Y126" s="31">
        <v>42143</v>
      </c>
      <c r="Z126" s="31" t="str">
        <f t="shared" si="13"/>
        <v>LI-2015-NC834073-42143</v>
      </c>
    </row>
    <row r="127" spans="1:26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2679</v>
      </c>
      <c r="O127" s="13" t="str">
        <f t="shared" si="7"/>
        <v>Paul Stevenson</v>
      </c>
      <c r="P127" s="13" t="str">
        <f t="shared" si="8"/>
        <v>MX</v>
      </c>
      <c r="Q127" s="13" t="str">
        <f t="shared" si="9"/>
        <v>2015</v>
      </c>
      <c r="R127" s="13" t="str">
        <f t="shared" si="10"/>
        <v>CRITICAL</v>
      </c>
      <c r="S127" s="13" t="str">
        <f t="shared" si="11"/>
        <v>office supplies</v>
      </c>
      <c r="T127" s="21" t="str">
        <f t="shared" si="12"/>
        <v>42109</v>
      </c>
      <c r="U127" s="30" t="s">
        <v>2786</v>
      </c>
      <c r="V127" s="19" t="s">
        <v>2695</v>
      </c>
      <c r="W127" s="33">
        <v>2015</v>
      </c>
      <c r="X127" t="s">
        <v>2786</v>
      </c>
      <c r="Y127" s="31">
        <v>42109</v>
      </c>
      <c r="Z127" s="31" t="str">
        <f t="shared" si="13"/>
        <v>MX-2015-PS1897028-42109</v>
      </c>
    </row>
    <row r="128" spans="1:26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2679</v>
      </c>
      <c r="O128" s="8" t="str">
        <f t="shared" si="7"/>
        <v>Cassandra Brandow</v>
      </c>
      <c r="P128" s="8" t="str">
        <f t="shared" si="8"/>
        <v>PL</v>
      </c>
      <c r="Q128" s="8" t="str">
        <f t="shared" si="9"/>
        <v>2015</v>
      </c>
      <c r="R128" s="8" t="str">
        <f t="shared" si="10"/>
        <v>HIGH</v>
      </c>
      <c r="S128" s="8" t="str">
        <f t="shared" si="11"/>
        <v>technology</v>
      </c>
      <c r="T128" s="18" t="str">
        <f t="shared" si="12"/>
        <v>42347</v>
      </c>
      <c r="U128" s="30" t="s">
        <v>2787</v>
      </c>
      <c r="V128" s="16" t="s">
        <v>2788</v>
      </c>
      <c r="W128" s="33">
        <v>2015</v>
      </c>
      <c r="X128" t="s">
        <v>2787</v>
      </c>
      <c r="Y128" s="31">
        <v>42347</v>
      </c>
      <c r="Z128" s="31" t="str">
        <f t="shared" si="13"/>
        <v>PL-2015-CB2025103-42347</v>
      </c>
    </row>
    <row r="129" spans="1:26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2679</v>
      </c>
      <c r="O129" s="13" t="str">
        <f t="shared" si="7"/>
        <v>Sample Company A</v>
      </c>
      <c r="P129" s="13" t="str">
        <f t="shared" si="8"/>
        <v>IN</v>
      </c>
      <c r="Q129" s="13" t="str">
        <f t="shared" si="9"/>
        <v>2012</v>
      </c>
      <c r="R129" s="13" t="str">
        <f t="shared" si="10"/>
        <v>HIGH</v>
      </c>
      <c r="S129" s="13" t="str">
        <f t="shared" si="11"/>
        <v>technology</v>
      </c>
      <c r="T129" s="21" t="str">
        <f t="shared" si="12"/>
        <v>41249</v>
      </c>
      <c r="U129" s="30" t="s">
        <v>2789</v>
      </c>
      <c r="V129" s="19" t="s">
        <v>2681</v>
      </c>
      <c r="W129" s="33">
        <v>2012</v>
      </c>
      <c r="X129" t="s">
        <v>2789</v>
      </c>
      <c r="Y129" s="31">
        <v>41249</v>
      </c>
      <c r="Z129" s="31" t="str">
        <f t="shared" si="13"/>
        <v>IN-2012-SC200507-41249</v>
      </c>
    </row>
    <row r="130" spans="1:26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2679</v>
      </c>
      <c r="O130" s="8" t="str">
        <f t="shared" ref="O130:O193" si="14">PROPER(D130)</f>
        <v>Anne Mcfarland</v>
      </c>
      <c r="P130" s="8" t="str">
        <f t="shared" ref="P130:P193" si="15">LEFT(A130,2)</f>
        <v>IT</v>
      </c>
      <c r="Q130" s="8" t="str">
        <f t="shared" ref="Q130:Q193" si="16">MID(A130,4,4)</f>
        <v>2014</v>
      </c>
      <c r="R130" s="8" t="str">
        <f t="shared" ref="R130:R193" si="17">UPPER(M130)</f>
        <v>MEDIUM</v>
      </c>
      <c r="S130" s="8" t="str">
        <f t="shared" ref="S130:S193" si="18">LOWER(G130)</f>
        <v>furniture</v>
      </c>
      <c r="T130" s="18" t="str">
        <f t="shared" ref="T130:T193" si="19">RIGHT(A130,5)</f>
        <v>41892</v>
      </c>
      <c r="U130" s="30" t="s">
        <v>2790</v>
      </c>
      <c r="V130" s="16" t="s">
        <v>2690</v>
      </c>
      <c r="W130" s="33">
        <v>2014</v>
      </c>
      <c r="X130" t="s">
        <v>2790</v>
      </c>
      <c r="Y130" s="31">
        <v>41892</v>
      </c>
      <c r="Z130" s="31" t="str">
        <f t="shared" ref="Z130:Z193" si="20">TRIM(A130)</f>
        <v>IT-2014-AM10705125-41892</v>
      </c>
    </row>
    <row r="131" spans="1:26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2679</v>
      </c>
      <c r="O131" s="13" t="str">
        <f t="shared" si="14"/>
        <v>Toby Carlisle</v>
      </c>
      <c r="P131" s="13" t="str">
        <f t="shared" si="15"/>
        <v>IN</v>
      </c>
      <c r="Q131" s="13" t="str">
        <f t="shared" si="16"/>
        <v>2014</v>
      </c>
      <c r="R131" s="13" t="str">
        <f t="shared" si="17"/>
        <v>HIGH</v>
      </c>
      <c r="S131" s="13" t="str">
        <f t="shared" si="18"/>
        <v>office supplies</v>
      </c>
      <c r="T131" s="21" t="str">
        <f t="shared" si="19"/>
        <v>41962</v>
      </c>
      <c r="U131" s="30" t="s">
        <v>2791</v>
      </c>
      <c r="V131" s="19" t="s">
        <v>2681</v>
      </c>
      <c r="W131" s="33">
        <v>2014</v>
      </c>
      <c r="X131" t="s">
        <v>2791</v>
      </c>
      <c r="Y131" s="31">
        <v>41962</v>
      </c>
      <c r="Z131" s="31" t="str">
        <f t="shared" si="20"/>
        <v>IN-2014-TC21295130-41962</v>
      </c>
    </row>
    <row r="132" spans="1:26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2679</v>
      </c>
      <c r="O132" s="8" t="str">
        <f t="shared" si="14"/>
        <v>Natalie Fritzler</v>
      </c>
      <c r="P132" s="8" t="str">
        <f t="shared" si="15"/>
        <v>IN</v>
      </c>
      <c r="Q132" s="8" t="str">
        <f t="shared" si="16"/>
        <v>2015</v>
      </c>
      <c r="R132" s="8" t="str">
        <f t="shared" si="17"/>
        <v>HIGH</v>
      </c>
      <c r="S132" s="8" t="str">
        <f t="shared" si="18"/>
        <v>technology</v>
      </c>
      <c r="T132" s="18" t="str">
        <f t="shared" si="19"/>
        <v>42279</v>
      </c>
      <c r="U132" s="30" t="s">
        <v>2792</v>
      </c>
      <c r="V132" s="16" t="s">
        <v>2681</v>
      </c>
      <c r="W132" s="33">
        <v>2015</v>
      </c>
      <c r="X132" t="s">
        <v>2792</v>
      </c>
      <c r="Y132" s="31">
        <v>42279</v>
      </c>
      <c r="Z132" s="31" t="str">
        <f t="shared" si="20"/>
        <v>IN-2015-NF1838511-42279</v>
      </c>
    </row>
    <row r="133" spans="1:26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2679</v>
      </c>
      <c r="O133" s="13" t="str">
        <f t="shared" si="14"/>
        <v>Adam Shillingsburg</v>
      </c>
      <c r="P133" s="13" t="str">
        <f t="shared" si="15"/>
        <v>ES</v>
      </c>
      <c r="Q133" s="13" t="str">
        <f t="shared" si="16"/>
        <v>2015</v>
      </c>
      <c r="R133" s="13" t="str">
        <f t="shared" si="17"/>
        <v>HIGH</v>
      </c>
      <c r="S133" s="13" t="str">
        <f t="shared" si="18"/>
        <v>office supplies</v>
      </c>
      <c r="T133" s="21" t="str">
        <f t="shared" si="19"/>
        <v>42062</v>
      </c>
      <c r="U133" s="30" t="s">
        <v>2793</v>
      </c>
      <c r="V133" s="19" t="s">
        <v>2710</v>
      </c>
      <c r="W133" s="33">
        <v>2015</v>
      </c>
      <c r="X133" t="s">
        <v>2793</v>
      </c>
      <c r="Y133" s="31">
        <v>42062</v>
      </c>
      <c r="Z133" s="31" t="str">
        <f t="shared" si="20"/>
        <v>ES-2015-AS10090139-42062</v>
      </c>
    </row>
    <row r="134" spans="1:26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2679</v>
      </c>
      <c r="O134" s="8" t="str">
        <f t="shared" si="14"/>
        <v>Larry Tron</v>
      </c>
      <c r="P134" s="8" t="str">
        <f t="shared" si="15"/>
        <v>IN</v>
      </c>
      <c r="Q134" s="8" t="str">
        <f t="shared" si="16"/>
        <v>2015</v>
      </c>
      <c r="R134" s="8" t="str">
        <f t="shared" si="17"/>
        <v>LOW</v>
      </c>
      <c r="S134" s="8" t="str">
        <f t="shared" si="18"/>
        <v>furniture</v>
      </c>
      <c r="T134" s="18" t="str">
        <f t="shared" si="19"/>
        <v>42133</v>
      </c>
      <c r="U134" s="30" t="s">
        <v>2794</v>
      </c>
      <c r="V134" s="16" t="s">
        <v>2681</v>
      </c>
      <c r="W134" s="33">
        <v>2015</v>
      </c>
      <c r="X134" t="s">
        <v>2794</v>
      </c>
      <c r="Y134" s="31">
        <v>42133</v>
      </c>
      <c r="Z134" s="31" t="str">
        <f t="shared" si="20"/>
        <v>IN-2015-LT1676558-42133</v>
      </c>
    </row>
    <row r="135" spans="1:26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2679</v>
      </c>
      <c r="O135" s="13" t="str">
        <f t="shared" si="14"/>
        <v>Benjamin Patterson</v>
      </c>
      <c r="P135" s="13" t="str">
        <f t="shared" si="15"/>
        <v>ES</v>
      </c>
      <c r="Q135" s="13" t="str">
        <f t="shared" si="16"/>
        <v>2013</v>
      </c>
      <c r="R135" s="13" t="str">
        <f t="shared" si="17"/>
        <v>HIGH</v>
      </c>
      <c r="S135" s="13" t="str">
        <f t="shared" si="18"/>
        <v>office supplies</v>
      </c>
      <c r="T135" s="21" t="str">
        <f t="shared" si="19"/>
        <v>41411</v>
      </c>
      <c r="U135" s="30" t="s">
        <v>2795</v>
      </c>
      <c r="V135" s="19" t="s">
        <v>2710</v>
      </c>
      <c r="W135" s="33">
        <v>2013</v>
      </c>
      <c r="X135" t="s">
        <v>2795</v>
      </c>
      <c r="Y135" s="31">
        <v>41411</v>
      </c>
      <c r="Z135" s="31" t="str">
        <f t="shared" si="20"/>
        <v>ES-2013-BP11230120-41411</v>
      </c>
    </row>
    <row r="136" spans="1:26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2679</v>
      </c>
      <c r="O136" s="8" t="str">
        <f t="shared" si="14"/>
        <v>Don Miller</v>
      </c>
      <c r="P136" s="8" t="str">
        <f t="shared" si="15"/>
        <v>IN</v>
      </c>
      <c r="Q136" s="8" t="str">
        <f t="shared" si="16"/>
        <v>2012</v>
      </c>
      <c r="R136" s="8" t="str">
        <f t="shared" si="17"/>
        <v>CRITICAL</v>
      </c>
      <c r="S136" s="8" t="str">
        <f t="shared" si="18"/>
        <v>technology</v>
      </c>
      <c r="T136" s="18" t="str">
        <f t="shared" si="19"/>
        <v>41123</v>
      </c>
      <c r="U136" s="30" t="s">
        <v>2796</v>
      </c>
      <c r="V136" s="16" t="s">
        <v>2681</v>
      </c>
      <c r="W136" s="33">
        <v>2012</v>
      </c>
      <c r="X136" t="s">
        <v>2796</v>
      </c>
      <c r="Y136" s="31">
        <v>41123</v>
      </c>
      <c r="Z136" s="31" t="str">
        <f t="shared" si="20"/>
        <v>IN-2012-DM1352558-41123</v>
      </c>
    </row>
    <row r="137" spans="1:26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2679</v>
      </c>
      <c r="O137" s="13" t="str">
        <f t="shared" si="14"/>
        <v>Toby Swindell</v>
      </c>
      <c r="P137" s="13" t="str">
        <f t="shared" si="15"/>
        <v>MX</v>
      </c>
      <c r="Q137" s="13" t="str">
        <f t="shared" si="16"/>
        <v>2014</v>
      </c>
      <c r="R137" s="13" t="str">
        <f t="shared" si="17"/>
        <v>HIGH</v>
      </c>
      <c r="S137" s="13" t="str">
        <f t="shared" si="18"/>
        <v>technology</v>
      </c>
      <c r="T137" s="21" t="str">
        <f t="shared" si="19"/>
        <v>41956</v>
      </c>
      <c r="U137" s="30" t="s">
        <v>2797</v>
      </c>
      <c r="V137" s="19" t="s">
        <v>2695</v>
      </c>
      <c r="W137" s="33">
        <v>2014</v>
      </c>
      <c r="X137" t="s">
        <v>2797</v>
      </c>
      <c r="Y137" s="31">
        <v>41956</v>
      </c>
      <c r="Z137" s="31" t="str">
        <f t="shared" si="20"/>
        <v>MX-2014-TS2134018-41956</v>
      </c>
    </row>
    <row r="138" spans="1:26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2679</v>
      </c>
      <c r="O138" s="8" t="str">
        <f t="shared" si="14"/>
        <v>Adrian Barton</v>
      </c>
      <c r="P138" s="8" t="str">
        <f t="shared" si="15"/>
        <v>CA</v>
      </c>
      <c r="Q138" s="8" t="str">
        <f t="shared" si="16"/>
        <v>2013</v>
      </c>
      <c r="R138" s="8" t="str">
        <f t="shared" si="17"/>
        <v>MEDIUM</v>
      </c>
      <c r="S138" s="8" t="str">
        <f t="shared" si="18"/>
        <v>office supplies</v>
      </c>
      <c r="T138" s="18" t="str">
        <f t="shared" si="19"/>
        <v>41585</v>
      </c>
      <c r="U138" s="30" t="s">
        <v>2776</v>
      </c>
      <c r="V138" s="16" t="s">
        <v>2683</v>
      </c>
      <c r="W138" s="33">
        <v>2013</v>
      </c>
      <c r="X138" t="s">
        <v>2776</v>
      </c>
      <c r="Y138" s="31">
        <v>41585</v>
      </c>
      <c r="Z138" s="31" t="str">
        <f t="shared" si="20"/>
        <v>CA-2013-AB10105140-41585</v>
      </c>
    </row>
    <row r="139" spans="1:26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2679</v>
      </c>
      <c r="O139" s="13" t="str">
        <f t="shared" si="14"/>
        <v>Adrian Barton</v>
      </c>
      <c r="P139" s="13" t="str">
        <f t="shared" si="15"/>
        <v>CA</v>
      </c>
      <c r="Q139" s="13" t="str">
        <f t="shared" si="16"/>
        <v>2015</v>
      </c>
      <c r="R139" s="13" t="str">
        <f t="shared" si="17"/>
        <v>LOW</v>
      </c>
      <c r="S139" s="13" t="str">
        <f t="shared" si="18"/>
        <v>technology</v>
      </c>
      <c r="T139" s="21" t="str">
        <f t="shared" si="19"/>
        <v>42267</v>
      </c>
      <c r="U139" s="30" t="s">
        <v>2776</v>
      </c>
      <c r="V139" s="19" t="s">
        <v>2683</v>
      </c>
      <c r="W139" s="33">
        <v>2015</v>
      </c>
      <c r="X139" t="s">
        <v>2776</v>
      </c>
      <c r="Y139" s="31">
        <v>42267</v>
      </c>
      <c r="Z139" s="31" t="str">
        <f t="shared" si="20"/>
        <v>CA-2015-AB10105140-42267</v>
      </c>
    </row>
    <row r="140" spans="1:26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2679</v>
      </c>
      <c r="O140" s="8" t="str">
        <f t="shared" si="14"/>
        <v>Jennifer Braxton</v>
      </c>
      <c r="P140" s="8" t="str">
        <f t="shared" si="15"/>
        <v>MX</v>
      </c>
      <c r="Q140" s="8" t="str">
        <f t="shared" si="16"/>
        <v>2015</v>
      </c>
      <c r="R140" s="8" t="str">
        <f t="shared" si="17"/>
        <v>HIGH</v>
      </c>
      <c r="S140" s="8" t="str">
        <f t="shared" si="18"/>
        <v>technology</v>
      </c>
      <c r="T140" s="18" t="str">
        <f t="shared" si="19"/>
        <v>42263</v>
      </c>
      <c r="U140" s="30" t="s">
        <v>2798</v>
      </c>
      <c r="V140" s="16" t="s">
        <v>2695</v>
      </c>
      <c r="W140" s="33">
        <v>2015</v>
      </c>
      <c r="X140" t="s">
        <v>2798</v>
      </c>
      <c r="Y140" s="31">
        <v>42263</v>
      </c>
      <c r="Z140" s="31" t="str">
        <f t="shared" si="20"/>
        <v>MX-2015-JB1540051-42263</v>
      </c>
    </row>
    <row r="141" spans="1:26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2679</v>
      </c>
      <c r="O141" s="13" t="str">
        <f t="shared" si="14"/>
        <v>Sarah Foster</v>
      </c>
      <c r="P141" s="13" t="str">
        <f t="shared" si="15"/>
        <v>MX</v>
      </c>
      <c r="Q141" s="13" t="str">
        <f t="shared" si="16"/>
        <v>2015</v>
      </c>
      <c r="R141" s="13" t="str">
        <f t="shared" si="17"/>
        <v>CRITICAL#</v>
      </c>
      <c r="S141" s="13" t="str">
        <f t="shared" si="18"/>
        <v>technology</v>
      </c>
      <c r="T141" s="21" t="str">
        <f t="shared" si="19"/>
        <v>42255</v>
      </c>
      <c r="U141" s="30" t="s">
        <v>2799</v>
      </c>
      <c r="V141" s="19" t="s">
        <v>2695</v>
      </c>
      <c r="W141" s="33">
        <v>2015</v>
      </c>
      <c r="X141" t="s">
        <v>2799</v>
      </c>
      <c r="Y141" s="31">
        <v>42255</v>
      </c>
      <c r="Z141" s="31" t="str">
        <f t="shared" si="20"/>
        <v>MX-2015-SF2020039-42255</v>
      </c>
    </row>
    <row r="142" spans="1:26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2679</v>
      </c>
      <c r="O142" s="8" t="str">
        <f t="shared" si="14"/>
        <v>Keith Herrera</v>
      </c>
      <c r="P142" s="8" t="str">
        <f t="shared" si="15"/>
        <v>ID</v>
      </c>
      <c r="Q142" s="8" t="str">
        <f t="shared" si="16"/>
        <v>2015</v>
      </c>
      <c r="R142" s="8" t="str">
        <f t="shared" si="17"/>
        <v>HIGH</v>
      </c>
      <c r="S142" s="8" t="str">
        <f t="shared" si="18"/>
        <v>furniture</v>
      </c>
      <c r="T142" s="18" t="str">
        <f t="shared" si="19"/>
        <v>2052#</v>
      </c>
      <c r="U142" s="30" t="s">
        <v>2800</v>
      </c>
      <c r="V142" s="16" t="s">
        <v>2705</v>
      </c>
      <c r="W142" s="33">
        <v>2015</v>
      </c>
      <c r="X142" t="s">
        <v>2800</v>
      </c>
      <c r="Y142" s="31" t="s">
        <v>2801</v>
      </c>
      <c r="Z142" s="31" t="str">
        <f t="shared" si="20"/>
        <v>ID-2015-KH16510102-42052#</v>
      </c>
    </row>
    <row r="143" spans="1:26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2679</v>
      </c>
      <c r="O143" s="13" t="str">
        <f t="shared" si="14"/>
        <v>Denise Leinenbach</v>
      </c>
      <c r="P143" s="13" t="str">
        <f t="shared" si="15"/>
        <v>IN</v>
      </c>
      <c r="Q143" s="13" t="str">
        <f t="shared" si="16"/>
        <v>2013</v>
      </c>
      <c r="R143" s="13" t="str">
        <f t="shared" si="17"/>
        <v>MEDIUM</v>
      </c>
      <c r="S143" s="13" t="str">
        <f t="shared" si="18"/>
        <v>technology</v>
      </c>
      <c r="T143" s="21" t="str">
        <f t="shared" si="19"/>
        <v>41328</v>
      </c>
      <c r="U143" s="30" t="s">
        <v>2802</v>
      </c>
      <c r="V143" s="19" t="s">
        <v>2681</v>
      </c>
      <c r="W143" s="33">
        <v>2013</v>
      </c>
      <c r="X143" t="s">
        <v>2802</v>
      </c>
      <c r="Y143" s="31">
        <v>41328</v>
      </c>
      <c r="Z143" s="31" t="str">
        <f t="shared" si="20"/>
        <v>IN-2013-DL1333058-41328</v>
      </c>
    </row>
    <row r="144" spans="1:26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2679</v>
      </c>
      <c r="O144" s="8" t="str">
        <f t="shared" si="14"/>
        <v>Susan Vittorini</v>
      </c>
      <c r="P144" s="8" t="str">
        <f t="shared" si="15"/>
        <v>IN</v>
      </c>
      <c r="Q144" s="8" t="str">
        <f t="shared" si="16"/>
        <v>2013</v>
      </c>
      <c r="R144" s="8" t="str">
        <f t="shared" si="17"/>
        <v>CRITICAL</v>
      </c>
      <c r="S144" s="8" t="str">
        <f t="shared" si="18"/>
        <v>office supplies</v>
      </c>
      <c r="T144" s="18" t="str">
        <f t="shared" si="19"/>
        <v>41620</v>
      </c>
      <c r="U144" s="30" t="s">
        <v>2803</v>
      </c>
      <c r="V144" s="16" t="s">
        <v>2681</v>
      </c>
      <c r="W144" s="33">
        <v>2013</v>
      </c>
      <c r="X144" t="s">
        <v>2803</v>
      </c>
      <c r="Y144" s="31">
        <v>41620</v>
      </c>
      <c r="Z144" s="31" t="str">
        <f t="shared" si="20"/>
        <v>IN-2013-SV2093527-41620</v>
      </c>
    </row>
    <row r="145" spans="1:26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2679</v>
      </c>
      <c r="O145" s="13" t="str">
        <f t="shared" si="14"/>
        <v>Jim Epp</v>
      </c>
      <c r="P145" s="13" t="str">
        <f t="shared" si="15"/>
        <v>IN</v>
      </c>
      <c r="Q145" s="13" t="str">
        <f t="shared" si="16"/>
        <v>2014</v>
      </c>
      <c r="R145" s="13" t="str">
        <f t="shared" si="17"/>
        <v>CRITICAL</v>
      </c>
      <c r="S145" s="13" t="str">
        <f t="shared" si="18"/>
        <v>technology</v>
      </c>
      <c r="T145" s="21" t="str">
        <f t="shared" si="19"/>
        <v>41895</v>
      </c>
      <c r="U145" s="30" t="s">
        <v>2804</v>
      </c>
      <c r="V145" s="19" t="s">
        <v>2681</v>
      </c>
      <c r="W145" s="33">
        <v>2014</v>
      </c>
      <c r="X145" t="s">
        <v>2804</v>
      </c>
      <c r="Y145" s="31">
        <v>41895</v>
      </c>
      <c r="Z145" s="31" t="str">
        <f t="shared" si="20"/>
        <v>IN-2014-JE1561058-41895</v>
      </c>
    </row>
    <row r="146" spans="1:26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2679</v>
      </c>
      <c r="O146" s="8" t="str">
        <f t="shared" si="14"/>
        <v>Gary Hwang</v>
      </c>
      <c r="P146" s="8" t="str">
        <f t="shared" si="15"/>
        <v>IN</v>
      </c>
      <c r="Q146" s="8" t="str">
        <f t="shared" si="16"/>
        <v>2014</v>
      </c>
      <c r="R146" s="8" t="str">
        <f t="shared" si="17"/>
        <v>MEDIUM</v>
      </c>
      <c r="S146" s="8" t="str">
        <f t="shared" si="18"/>
        <v>furniture</v>
      </c>
      <c r="T146" s="18" t="str">
        <f t="shared" si="19"/>
        <v>41845</v>
      </c>
      <c r="U146" s="30" t="s">
        <v>2805</v>
      </c>
      <c r="V146" s="16" t="s">
        <v>2681</v>
      </c>
      <c r="W146" s="33">
        <v>2014</v>
      </c>
      <c r="X146" t="s">
        <v>2805</v>
      </c>
      <c r="Y146" s="31">
        <v>41845</v>
      </c>
      <c r="Z146" s="31" t="str">
        <f t="shared" si="20"/>
        <v>IN-2014-GH1442527-41845</v>
      </c>
    </row>
    <row r="147" spans="1:26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2679</v>
      </c>
      <c r="O147" s="13" t="str">
        <f t="shared" si="14"/>
        <v>Adrian Barton</v>
      </c>
      <c r="P147" s="13" t="str">
        <f t="shared" si="15"/>
        <v>CA</v>
      </c>
      <c r="Q147" s="13" t="str">
        <f t="shared" si="16"/>
        <v>2013</v>
      </c>
      <c r="R147" s="13" t="str">
        <f t="shared" si="17"/>
        <v>MEDIUM</v>
      </c>
      <c r="S147" s="13" t="str">
        <f t="shared" si="18"/>
        <v>furniture</v>
      </c>
      <c r="T147" s="21" t="str">
        <f t="shared" si="19"/>
        <v>41585</v>
      </c>
      <c r="U147" s="30" t="s">
        <v>2776</v>
      </c>
      <c r="V147" s="19" t="s">
        <v>2683</v>
      </c>
      <c r="W147" s="33">
        <v>2013</v>
      </c>
      <c r="X147" t="s">
        <v>2776</v>
      </c>
      <c r="Y147" s="31">
        <v>41585</v>
      </c>
      <c r="Z147" s="31" t="str">
        <f t="shared" si="20"/>
        <v>CA-2013-AB10105140-41585</v>
      </c>
    </row>
    <row r="148" spans="1:26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2679</v>
      </c>
      <c r="O148" s="8" t="str">
        <f t="shared" si="14"/>
        <v>Adrian Barton#</v>
      </c>
      <c r="P148" s="8" t="str">
        <f t="shared" si="15"/>
        <v>CA</v>
      </c>
      <c r="Q148" s="8" t="str">
        <f t="shared" si="16"/>
        <v>2014</v>
      </c>
      <c r="R148" s="8" t="str">
        <f t="shared" si="17"/>
        <v>MEDIUM</v>
      </c>
      <c r="S148" s="8" t="str">
        <f t="shared" si="18"/>
        <v>office supplies</v>
      </c>
      <c r="T148" s="18" t="str">
        <f t="shared" si="19"/>
        <v>41672</v>
      </c>
      <c r="U148" s="30" t="s">
        <v>2776</v>
      </c>
      <c r="V148" s="16" t="s">
        <v>2683</v>
      </c>
      <c r="W148" s="33">
        <v>2014</v>
      </c>
      <c r="X148" t="s">
        <v>2776</v>
      </c>
      <c r="Y148" s="31">
        <v>41672</v>
      </c>
      <c r="Z148" s="31" t="str">
        <f t="shared" si="20"/>
        <v>CA-2014-AB10105140-41672</v>
      </c>
    </row>
    <row r="149" spans="1:26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2679</v>
      </c>
      <c r="O149" s="13" t="str">
        <f t="shared" si="14"/>
        <v>Scott Williamson</v>
      </c>
      <c r="P149" s="13" t="str">
        <f t="shared" si="15"/>
        <v>IN</v>
      </c>
      <c r="Q149" s="13" t="str">
        <f t="shared" si="16"/>
        <v>2015</v>
      </c>
      <c r="R149" s="13" t="str">
        <f t="shared" si="17"/>
        <v>CRITICAL</v>
      </c>
      <c r="S149" s="13" t="str">
        <f t="shared" si="18"/>
        <v>furniture</v>
      </c>
      <c r="T149" s="21" t="str">
        <f t="shared" si="19"/>
        <v>42125</v>
      </c>
      <c r="U149" s="30" t="s">
        <v>2806</v>
      </c>
      <c r="V149" s="19" t="s">
        <v>2681</v>
      </c>
      <c r="W149" s="33">
        <v>2015</v>
      </c>
      <c r="X149" t="s">
        <v>2806</v>
      </c>
      <c r="Y149" s="31">
        <v>42125</v>
      </c>
      <c r="Z149" s="31" t="str">
        <f t="shared" si="20"/>
        <v>IN-2015-SW2027558-42125</v>
      </c>
    </row>
    <row r="150" spans="1:26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2679</v>
      </c>
      <c r="O150" s="8" t="str">
        <f t="shared" si="14"/>
        <v>Peter Mceve</v>
      </c>
      <c r="P150" s="8" t="str">
        <f t="shared" si="15"/>
        <v>IR</v>
      </c>
      <c r="Q150" s="8" t="str">
        <f t="shared" si="16"/>
        <v>2012</v>
      </c>
      <c r="R150" s="8" t="str">
        <f t="shared" si="17"/>
        <v>CRITICAL</v>
      </c>
      <c r="S150" s="8" t="str">
        <f t="shared" si="18"/>
        <v>technology</v>
      </c>
      <c r="T150" s="18" t="str">
        <f t="shared" si="19"/>
        <v>40978</v>
      </c>
      <c r="U150" s="30" t="s">
        <v>2807</v>
      </c>
      <c r="V150" s="16" t="s">
        <v>2781</v>
      </c>
      <c r="W150" s="33">
        <v>2012</v>
      </c>
      <c r="X150" t="s">
        <v>2807</v>
      </c>
      <c r="Y150" s="31">
        <v>40978</v>
      </c>
      <c r="Z150" s="31" t="str">
        <f t="shared" si="20"/>
        <v>IR-2012-PM913560-40978</v>
      </c>
    </row>
    <row r="151" spans="1:26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2679</v>
      </c>
      <c r="O151" s="13" t="str">
        <f t="shared" si="14"/>
        <v>Sung Chung</v>
      </c>
      <c r="P151" s="13" t="str">
        <f t="shared" si="15"/>
        <v>IN</v>
      </c>
      <c r="Q151" s="13" t="str">
        <f t="shared" si="16"/>
        <v>2013</v>
      </c>
      <c r="R151" s="13" t="str">
        <f t="shared" si="17"/>
        <v>HIGH</v>
      </c>
      <c r="S151" s="13" t="str">
        <f t="shared" si="18"/>
        <v>technology</v>
      </c>
      <c r="T151" s="21" t="str">
        <f t="shared" si="19"/>
        <v>41445</v>
      </c>
      <c r="U151" s="30" t="s">
        <v>2808</v>
      </c>
      <c r="V151" s="19" t="s">
        <v>2681</v>
      </c>
      <c r="W151" s="33">
        <v>2013</v>
      </c>
      <c r="X151" t="s">
        <v>2808</v>
      </c>
      <c r="Y151" s="31">
        <v>41445</v>
      </c>
      <c r="Z151" s="31" t="str">
        <f t="shared" si="20"/>
        <v>IN-2013-SC2084527-41445</v>
      </c>
    </row>
    <row r="152" spans="1:26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2679</v>
      </c>
      <c r="O152" s="8" t="str">
        <f t="shared" si="14"/>
        <v>Craig Reiter</v>
      </c>
      <c r="P152" s="8" t="str">
        <f t="shared" si="15"/>
        <v>MX</v>
      </c>
      <c r="Q152" s="8" t="str">
        <f t="shared" si="16"/>
        <v>2014</v>
      </c>
      <c r="R152" s="8" t="str">
        <f t="shared" si="17"/>
        <v>MEDIUM</v>
      </c>
      <c r="S152" s="8" t="str">
        <f t="shared" si="18"/>
        <v>furniture</v>
      </c>
      <c r="T152" s="18" t="str">
        <f t="shared" si="19"/>
        <v>41993</v>
      </c>
      <c r="U152" s="30" t="s">
        <v>2809</v>
      </c>
      <c r="V152" s="16" t="s">
        <v>2695</v>
      </c>
      <c r="W152" s="33">
        <v>2014</v>
      </c>
      <c r="X152" t="s">
        <v>2809</v>
      </c>
      <c r="Y152" s="31">
        <v>41993</v>
      </c>
      <c r="Z152" s="31" t="str">
        <f t="shared" si="20"/>
        <v>MX-2014-CR1273028-41993</v>
      </c>
    </row>
    <row r="153" spans="1:26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2679</v>
      </c>
      <c r="O153" s="13" t="str">
        <f t="shared" si="14"/>
        <v>Aaron Hawkins#</v>
      </c>
      <c r="P153" s="13" t="str">
        <f t="shared" si="15"/>
        <v>ES</v>
      </c>
      <c r="Q153" s="13" t="str">
        <f t="shared" si="16"/>
        <v>2015</v>
      </c>
      <c r="R153" s="13" t="str">
        <f t="shared" si="17"/>
        <v>CRITICAL</v>
      </c>
      <c r="S153" s="13" t="str">
        <f t="shared" si="18"/>
        <v>furniture</v>
      </c>
      <c r="T153" s="21" t="str">
        <f t="shared" si="19"/>
        <v>42203</v>
      </c>
      <c r="U153" s="30" t="s">
        <v>2810</v>
      </c>
      <c r="V153" s="19" t="s">
        <v>2710</v>
      </c>
      <c r="W153" s="33">
        <v>2015</v>
      </c>
      <c r="X153" t="s">
        <v>2810</v>
      </c>
      <c r="Y153" s="31">
        <v>42203</v>
      </c>
      <c r="Z153" s="31" t="str">
        <f t="shared" si="20"/>
        <v>ES-2015-AH100308-42203</v>
      </c>
    </row>
    <row r="154" spans="1:26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2679</v>
      </c>
      <c r="O154" s="8" t="str">
        <f t="shared" si="14"/>
        <v>Anna Gayman</v>
      </c>
      <c r="P154" s="8" t="str">
        <f t="shared" si="15"/>
        <v>AU</v>
      </c>
      <c r="Q154" s="8" t="str">
        <f t="shared" si="16"/>
        <v>2012</v>
      </c>
      <c r="R154" s="8" t="str">
        <f t="shared" si="17"/>
        <v>CRITICAL</v>
      </c>
      <c r="S154" s="8" t="str">
        <f t="shared" si="18"/>
        <v>furniture</v>
      </c>
      <c r="T154" s="18" t="str">
        <f t="shared" si="19"/>
        <v>41153</v>
      </c>
      <c r="U154" s="30" t="s">
        <v>2811</v>
      </c>
      <c r="V154" s="16" t="s">
        <v>2812</v>
      </c>
      <c r="W154" s="33">
        <v>2012</v>
      </c>
      <c r="X154" t="s">
        <v>2811</v>
      </c>
      <c r="Y154" s="31">
        <v>41153</v>
      </c>
      <c r="Z154" s="31" t="str">
        <f t="shared" si="20"/>
        <v>AU-2012-AG6758-41153</v>
      </c>
    </row>
    <row r="155" spans="1:26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2679</v>
      </c>
      <c r="O155" s="13" t="str">
        <f t="shared" si="14"/>
        <v>Steven Ward</v>
      </c>
      <c r="P155" s="13" t="str">
        <f t="shared" si="15"/>
        <v>ES</v>
      </c>
      <c r="Q155" s="13" t="str">
        <f t="shared" si="16"/>
        <v>2014</v>
      </c>
      <c r="R155" s="13" t="str">
        <f t="shared" si="17"/>
        <v>HIGH</v>
      </c>
      <c r="S155" s="13" t="str">
        <f t="shared" si="18"/>
        <v>furniture</v>
      </c>
      <c r="T155" s="21" t="str">
        <f t="shared" si="19"/>
        <v>41852</v>
      </c>
      <c r="U155" s="30" t="s">
        <v>2813</v>
      </c>
      <c r="V155" s="19" t="s">
        <v>2710</v>
      </c>
      <c r="W155" s="33">
        <v>2014</v>
      </c>
      <c r="X155" t="s">
        <v>2813</v>
      </c>
      <c r="Y155" s="31">
        <v>41852</v>
      </c>
      <c r="Z155" s="31" t="str">
        <f t="shared" si="20"/>
        <v>ES-2014-SW2075545-41852</v>
      </c>
    </row>
    <row r="156" spans="1:26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2679</v>
      </c>
      <c r="O156" s="8" t="str">
        <f t="shared" si="14"/>
        <v>Mike Pelletier</v>
      </c>
      <c r="P156" s="8" t="str">
        <f t="shared" si="15"/>
        <v>IN</v>
      </c>
      <c r="Q156" s="8" t="str">
        <f t="shared" si="16"/>
        <v>2015</v>
      </c>
      <c r="R156" s="8" t="str">
        <f t="shared" si="17"/>
        <v>MEDIUM</v>
      </c>
      <c r="S156" s="8" t="str">
        <f t="shared" si="18"/>
        <v>office supplies</v>
      </c>
      <c r="T156" s="18" t="str">
        <f t="shared" si="19"/>
        <v>42328</v>
      </c>
      <c r="U156" s="30" t="s">
        <v>2814</v>
      </c>
      <c r="V156" s="16" t="s">
        <v>2681</v>
      </c>
      <c r="W156" s="33">
        <v>2015</v>
      </c>
      <c r="X156" t="s">
        <v>2814</v>
      </c>
      <c r="Y156" s="31">
        <v>42328</v>
      </c>
      <c r="Z156" s="31" t="str">
        <f t="shared" si="20"/>
        <v>IN-2015-MP18175144-42328</v>
      </c>
    </row>
    <row r="157" spans="1:26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2679</v>
      </c>
      <c r="O157" s="13" t="str">
        <f t="shared" si="14"/>
        <v>Marc Crier</v>
      </c>
      <c r="P157" s="13" t="str">
        <f t="shared" si="15"/>
        <v>UP</v>
      </c>
      <c r="Q157" s="13" t="str">
        <f t="shared" si="16"/>
        <v>2014</v>
      </c>
      <c r="R157" s="13" t="str">
        <f t="shared" si="17"/>
        <v>MEDIUM</v>
      </c>
      <c r="S157" s="13" t="str">
        <f t="shared" si="18"/>
        <v>technology</v>
      </c>
      <c r="T157" s="21" t="str">
        <f t="shared" si="19"/>
        <v>41997</v>
      </c>
      <c r="U157" s="30" t="s">
        <v>2815</v>
      </c>
      <c r="V157" s="19" t="s">
        <v>2762</v>
      </c>
      <c r="W157" s="33">
        <v>2014</v>
      </c>
      <c r="X157" t="s">
        <v>2815</v>
      </c>
      <c r="Y157" s="31">
        <v>41997</v>
      </c>
      <c r="Z157" s="31" t="str">
        <f t="shared" si="20"/>
        <v>UP-2014-MC7275137-41997</v>
      </c>
    </row>
    <row r="158" spans="1:26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2679</v>
      </c>
      <c r="O158" s="8" t="str">
        <f t="shared" si="14"/>
        <v>Adrian Barton</v>
      </c>
      <c r="P158" s="8" t="str">
        <f t="shared" si="15"/>
        <v>CA</v>
      </c>
      <c r="Q158" s="8" t="str">
        <f t="shared" si="16"/>
        <v>2015</v>
      </c>
      <c r="R158" s="8" t="str">
        <f t="shared" si="17"/>
        <v xml:space="preserve"> HIGH </v>
      </c>
      <c r="S158" s="8" t="str">
        <f t="shared" si="18"/>
        <v>office supplies</v>
      </c>
      <c r="T158" s="18" t="str">
        <f t="shared" si="19"/>
        <v>42139</v>
      </c>
      <c r="U158" s="30" t="s">
        <v>2816</v>
      </c>
      <c r="V158" s="16" t="s">
        <v>2683</v>
      </c>
      <c r="W158" s="33">
        <v>2015</v>
      </c>
      <c r="X158" t="s">
        <v>2816</v>
      </c>
      <c r="Y158" s="31">
        <v>42139</v>
      </c>
      <c r="Z158" s="31" t="str">
        <f t="shared" si="20"/>
        <v>CA-2015-AB10523-42139</v>
      </c>
    </row>
    <row r="159" spans="1:26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2679</v>
      </c>
      <c r="O159" s="13" t="str">
        <f t="shared" si="14"/>
        <v>Ed Jacobs</v>
      </c>
      <c r="P159" s="13" t="str">
        <f t="shared" si="15"/>
        <v>IN</v>
      </c>
      <c r="Q159" s="13" t="str">
        <f t="shared" si="16"/>
        <v>2013</v>
      </c>
      <c r="R159" s="13" t="str">
        <f t="shared" si="17"/>
        <v>HIGH</v>
      </c>
      <c r="S159" s="13" t="str">
        <f t="shared" si="18"/>
        <v>furniture</v>
      </c>
      <c r="T159" s="21" t="str">
        <f t="shared" si="19"/>
        <v>41608</v>
      </c>
      <c r="U159" s="30" t="s">
        <v>2817</v>
      </c>
      <c r="V159" s="19" t="s">
        <v>2681</v>
      </c>
      <c r="W159" s="33">
        <v>2013</v>
      </c>
      <c r="X159" t="s">
        <v>2817</v>
      </c>
      <c r="Y159" s="31">
        <v>41608</v>
      </c>
      <c r="Z159" s="31" t="str">
        <f t="shared" si="20"/>
        <v>IN-2013-EJ13720113-41608</v>
      </c>
    </row>
    <row r="160" spans="1:26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2679</v>
      </c>
      <c r="O160" s="8" t="str">
        <f t="shared" si="14"/>
        <v>Adrian Barton</v>
      </c>
      <c r="P160" s="8" t="str">
        <f t="shared" si="15"/>
        <v>CA</v>
      </c>
      <c r="Q160" s="8" t="str">
        <f t="shared" si="16"/>
        <v>2013</v>
      </c>
      <c r="R160" s="8" t="str">
        <f t="shared" si="17"/>
        <v>MDEIUM</v>
      </c>
      <c r="S160" s="8" t="str">
        <f t="shared" si="18"/>
        <v>office_supplies</v>
      </c>
      <c r="T160" s="18" t="str">
        <f t="shared" si="19"/>
        <v>41585</v>
      </c>
      <c r="U160" s="30" t="s">
        <v>2776</v>
      </c>
      <c r="V160" s="16" t="s">
        <v>2683</v>
      </c>
      <c r="W160" s="33">
        <v>2013</v>
      </c>
      <c r="X160" t="s">
        <v>2776</v>
      </c>
      <c r="Y160" s="31">
        <v>41585</v>
      </c>
      <c r="Z160" s="31" t="str">
        <f t="shared" si="20"/>
        <v>CA-2013-AB10105140-41585</v>
      </c>
    </row>
    <row r="161" spans="1:26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2679</v>
      </c>
      <c r="O161" s="13" t="str">
        <f t="shared" si="14"/>
        <v>Adrian Barton</v>
      </c>
      <c r="P161" s="13" t="str">
        <f t="shared" si="15"/>
        <v>CA</v>
      </c>
      <c r="Q161" s="13" t="str">
        <f t="shared" si="16"/>
        <v>2015</v>
      </c>
      <c r="R161" s="13" t="str">
        <f t="shared" si="17"/>
        <v>MEDIUM</v>
      </c>
      <c r="S161" s="13" t="str">
        <f t="shared" si="18"/>
        <v>office supplies</v>
      </c>
      <c r="T161" s="21" t="str">
        <f t="shared" si="19"/>
        <v>42328</v>
      </c>
      <c r="U161" s="30" t="s">
        <v>2776</v>
      </c>
      <c r="V161" s="19" t="s">
        <v>2683</v>
      </c>
      <c r="W161" s="33">
        <v>2015</v>
      </c>
      <c r="X161" t="s">
        <v>2776</v>
      </c>
      <c r="Y161" s="31">
        <v>42328</v>
      </c>
      <c r="Z161" s="31" t="str">
        <f t="shared" si="20"/>
        <v>CA-2015-AB10105140-42328</v>
      </c>
    </row>
    <row r="162" spans="1:26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2679</v>
      </c>
      <c r="O162" s="8" t="str">
        <f t="shared" si="14"/>
        <v>Adrian Barton</v>
      </c>
      <c r="P162" s="8" t="str">
        <f t="shared" si="15"/>
        <v>CA</v>
      </c>
      <c r="Q162" s="8" t="str">
        <f t="shared" si="16"/>
        <v>2012</v>
      </c>
      <c r="R162" s="8" t="str">
        <f t="shared" si="17"/>
        <v>MEDIUM</v>
      </c>
      <c r="S162" s="8" t="str">
        <f t="shared" si="18"/>
        <v>office supplies</v>
      </c>
      <c r="T162" s="18" t="str">
        <f t="shared" si="19"/>
        <v>41262</v>
      </c>
      <c r="U162" s="30" t="s">
        <v>2776</v>
      </c>
      <c r="V162" s="16" t="s">
        <v>2683</v>
      </c>
      <c r="W162" s="33">
        <v>2012</v>
      </c>
      <c r="X162" t="s">
        <v>2776</v>
      </c>
      <c r="Y162" s="31">
        <v>41262</v>
      </c>
      <c r="Z162" s="31" t="str">
        <f t="shared" si="20"/>
        <v>CA-2012-AB10105140-41262</v>
      </c>
    </row>
    <row r="163" spans="1:26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2679</v>
      </c>
      <c r="O163" s="13" t="str">
        <f t="shared" si="14"/>
        <v>Adrian Hane</v>
      </c>
      <c r="P163" s="13" t="str">
        <f t="shared" si="15"/>
        <v>CA</v>
      </c>
      <c r="Q163" s="13" t="str">
        <f t="shared" si="16"/>
        <v>2015</v>
      </c>
      <c r="R163" s="13" t="str">
        <f t="shared" si="17"/>
        <v>HIGH</v>
      </c>
      <c r="S163" s="13" t="str">
        <f t="shared" si="18"/>
        <v>office supplies</v>
      </c>
      <c r="T163" s="21" t="str">
        <f t="shared" si="19"/>
        <v>42103</v>
      </c>
      <c r="U163" s="30" t="s">
        <v>2818</v>
      </c>
      <c r="V163" s="19" t="s">
        <v>2683</v>
      </c>
      <c r="W163" s="33">
        <v>2015</v>
      </c>
      <c r="X163" t="s">
        <v>2818</v>
      </c>
      <c r="Y163" s="31">
        <v>42103</v>
      </c>
      <c r="Z163" s="31" t="str">
        <f t="shared" si="20"/>
        <v>CA-2015-AH10120140-42103</v>
      </c>
    </row>
    <row r="164" spans="1:26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2679</v>
      </c>
      <c r="O164" s="8" t="str">
        <f t="shared" si="14"/>
        <v>Randy Bradley</v>
      </c>
      <c r="P164" s="8" t="str">
        <f t="shared" si="15"/>
        <v>IT</v>
      </c>
      <c r="Q164" s="8" t="str">
        <f t="shared" si="16"/>
        <v>2012</v>
      </c>
      <c r="R164" s="8" t="str">
        <f t="shared" si="17"/>
        <v>HIGH</v>
      </c>
      <c r="S164" s="8" t="str">
        <f t="shared" si="18"/>
        <v>furniture</v>
      </c>
      <c r="T164" s="18" t="str">
        <f t="shared" si="19"/>
        <v>41077</v>
      </c>
      <c r="U164" s="30" t="s">
        <v>2819</v>
      </c>
      <c r="V164" s="16" t="s">
        <v>2690</v>
      </c>
      <c r="W164" s="33">
        <v>2012</v>
      </c>
      <c r="X164" t="s">
        <v>2819</v>
      </c>
      <c r="Y164" s="31">
        <v>41077</v>
      </c>
      <c r="Z164" s="31" t="str">
        <f t="shared" si="20"/>
        <v>IT-2012-RB19330120-41077</v>
      </c>
    </row>
    <row r="165" spans="1:26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2679</v>
      </c>
      <c r="O165" s="13" t="str">
        <f t="shared" si="14"/>
        <v>Laurel Workman</v>
      </c>
      <c r="P165" s="13" t="str">
        <f t="shared" si="15"/>
        <v>IN</v>
      </c>
      <c r="Q165" s="13" t="str">
        <f t="shared" si="16"/>
        <v>2013</v>
      </c>
      <c r="R165" s="13" t="str">
        <f t="shared" si="17"/>
        <v>CRITICAL</v>
      </c>
      <c r="S165" s="13" t="str">
        <f t="shared" si="18"/>
        <v>technology</v>
      </c>
      <c r="T165" s="21" t="str">
        <f t="shared" si="19"/>
        <v>41376</v>
      </c>
      <c r="U165" s="30" t="s">
        <v>2820</v>
      </c>
      <c r="V165" s="19" t="s">
        <v>2681</v>
      </c>
      <c r="W165" s="33">
        <v>2013</v>
      </c>
      <c r="X165" t="s">
        <v>2820</v>
      </c>
      <c r="Y165" s="31">
        <v>41376</v>
      </c>
      <c r="Z165" s="31" t="str">
        <f t="shared" si="20"/>
        <v>IN-2013-LW1682558-41376</v>
      </c>
    </row>
    <row r="166" spans="1:26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2679</v>
      </c>
      <c r="O166" s="8" t="str">
        <f t="shared" si="14"/>
        <v>Muhammed Yedwab</v>
      </c>
      <c r="P166" s="8" t="str">
        <f t="shared" si="15"/>
        <v>MX</v>
      </c>
      <c r="Q166" s="8" t="str">
        <f t="shared" si="16"/>
        <v>2015</v>
      </c>
      <c r="R166" s="8" t="str">
        <f t="shared" si="17"/>
        <v>CRITICAL</v>
      </c>
      <c r="S166" s="8" t="str">
        <f t="shared" si="18"/>
        <v>furniture</v>
      </c>
      <c r="T166" s="18" t="str">
        <f t="shared" si="19"/>
        <v>42355</v>
      </c>
      <c r="U166" s="30" t="s">
        <v>2821</v>
      </c>
      <c r="V166" s="16" t="s">
        <v>2695</v>
      </c>
      <c r="W166" s="33">
        <v>2015</v>
      </c>
      <c r="X166" t="s">
        <v>2821</v>
      </c>
      <c r="Y166" s="31">
        <v>42355</v>
      </c>
      <c r="Z166" s="31" t="str">
        <f t="shared" si="20"/>
        <v>MX-2015-MY1829593-42355</v>
      </c>
    </row>
    <row r="167" spans="1:26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2679</v>
      </c>
      <c r="O167" s="13" t="str">
        <f t="shared" si="14"/>
        <v>Brian Stugart</v>
      </c>
      <c r="P167" s="13" t="str">
        <f t="shared" si="15"/>
        <v>ES</v>
      </c>
      <c r="Q167" s="13" t="str">
        <f t="shared" si="16"/>
        <v>2014</v>
      </c>
      <c r="R167" s="13" t="str">
        <f t="shared" si="17"/>
        <v>MEDIUM</v>
      </c>
      <c r="S167" s="13" t="str">
        <f t="shared" si="18"/>
        <v>technology</v>
      </c>
      <c r="T167" s="21" t="str">
        <f t="shared" si="19"/>
        <v>41734</v>
      </c>
      <c r="U167" s="30" t="s">
        <v>2822</v>
      </c>
      <c r="V167" s="19" t="s">
        <v>2710</v>
      </c>
      <c r="W167" s="33">
        <v>2014</v>
      </c>
      <c r="X167" t="s">
        <v>2822</v>
      </c>
      <c r="Y167" s="31">
        <v>41734</v>
      </c>
      <c r="Z167" s="31" t="str">
        <f t="shared" si="20"/>
        <v>ES-2014-BS1166545-41734</v>
      </c>
    </row>
    <row r="168" spans="1:26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2679</v>
      </c>
      <c r="O168" s="8" t="str">
        <f t="shared" si="14"/>
        <v>Joe Kamberova</v>
      </c>
      <c r="P168" s="8" t="str">
        <f t="shared" si="15"/>
        <v>RS</v>
      </c>
      <c r="Q168" s="8" t="str">
        <f t="shared" si="16"/>
        <v>2012</v>
      </c>
      <c r="R168" s="8" t="str">
        <f t="shared" si="17"/>
        <v>HIGH</v>
      </c>
      <c r="S168" s="8" t="str">
        <f t="shared" si="18"/>
        <v>furniture</v>
      </c>
      <c r="T168" s="18" t="str">
        <f t="shared" si="19"/>
        <v>41150</v>
      </c>
      <c r="U168" s="30" t="s">
        <v>2823</v>
      </c>
      <c r="V168" s="16" t="s">
        <v>2824</v>
      </c>
      <c r="W168" s="33">
        <v>2012</v>
      </c>
      <c r="X168" t="s">
        <v>2823</v>
      </c>
      <c r="Y168" s="31">
        <v>41150</v>
      </c>
      <c r="Z168" s="31" t="str">
        <f t="shared" si="20"/>
        <v>RS-2012-JK5730108-41150</v>
      </c>
    </row>
    <row r="169" spans="1:26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2679</v>
      </c>
      <c r="O169" s="13" t="str">
        <f t="shared" si="14"/>
        <v>Henia Zydlo</v>
      </c>
      <c r="P169" s="13" t="str">
        <f t="shared" si="15"/>
        <v>ES</v>
      </c>
      <c r="Q169" s="13" t="str">
        <f t="shared" si="16"/>
        <v>2013</v>
      </c>
      <c r="R169" s="13" t="str">
        <f t="shared" si="17"/>
        <v>CRITICAL</v>
      </c>
      <c r="S169" s="13" t="str">
        <f t="shared" si="18"/>
        <v>technology</v>
      </c>
      <c r="T169" s="21" t="str">
        <f t="shared" si="19"/>
        <v>41612</v>
      </c>
      <c r="U169" s="30" t="s">
        <v>2825</v>
      </c>
      <c r="V169" s="19" t="s">
        <v>2710</v>
      </c>
      <c r="W169" s="33">
        <v>2013</v>
      </c>
      <c r="X169" t="s">
        <v>2825</v>
      </c>
      <c r="Y169" s="31">
        <v>41612</v>
      </c>
      <c r="Z169" s="31" t="str">
        <f t="shared" si="20"/>
        <v>ES-2013-HZ1495045-41612</v>
      </c>
    </row>
    <row r="170" spans="1:26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2679</v>
      </c>
      <c r="O170" s="8" t="str">
        <f t="shared" si="14"/>
        <v>Theresa Coyne</v>
      </c>
      <c r="P170" s="8" t="str">
        <f t="shared" si="15"/>
        <v>MX</v>
      </c>
      <c r="Q170" s="8" t="str">
        <f t="shared" si="16"/>
        <v>2013</v>
      </c>
      <c r="R170" s="8" t="str">
        <f t="shared" si="17"/>
        <v>HIGH</v>
      </c>
      <c r="S170" s="8" t="str">
        <f t="shared" si="18"/>
        <v>technology</v>
      </c>
      <c r="T170" s="18" t="str">
        <f t="shared" si="19"/>
        <v>41446</v>
      </c>
      <c r="U170" s="30" t="s">
        <v>2826</v>
      </c>
      <c r="V170" s="16" t="s">
        <v>2695</v>
      </c>
      <c r="W170" s="33">
        <v>2013</v>
      </c>
      <c r="X170" t="s">
        <v>2826</v>
      </c>
      <c r="Y170" s="31">
        <v>41446</v>
      </c>
      <c r="Z170" s="31" t="str">
        <f t="shared" si="20"/>
        <v>MX-2013-TC2114582-41446</v>
      </c>
    </row>
    <row r="171" spans="1:26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2679</v>
      </c>
      <c r="O171" s="13" t="str">
        <f t="shared" si="14"/>
        <v>Deirdre Greer</v>
      </c>
      <c r="P171" s="13" t="str">
        <f t="shared" si="15"/>
        <v>MX</v>
      </c>
      <c r="Q171" s="13" t="str">
        <f t="shared" si="16"/>
        <v>2013</v>
      </c>
      <c r="R171" s="13" t="str">
        <f t="shared" si="17"/>
        <v>MEDIUM</v>
      </c>
      <c r="S171" s="13" t="str">
        <f t="shared" si="18"/>
        <v>office supplies</v>
      </c>
      <c r="T171" s="21" t="str">
        <f t="shared" si="19"/>
        <v>41417</v>
      </c>
      <c r="U171" s="30" t="s">
        <v>2827</v>
      </c>
      <c r="V171" s="19" t="s">
        <v>2695</v>
      </c>
      <c r="W171" s="33">
        <v>2013</v>
      </c>
      <c r="X171" t="s">
        <v>2827</v>
      </c>
      <c r="Y171" s="31">
        <v>41417</v>
      </c>
      <c r="Z171" s="31" t="str">
        <f t="shared" si="20"/>
        <v>MX-2013-DG1330082-41417</v>
      </c>
    </row>
    <row r="172" spans="1:26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2679</v>
      </c>
      <c r="O172" s="8" t="str">
        <f t="shared" si="14"/>
        <v>Dorris Liebe</v>
      </c>
      <c r="P172" s="8" t="str">
        <f t="shared" si="15"/>
        <v>ES</v>
      </c>
      <c r="Q172" s="8" t="str">
        <f t="shared" si="16"/>
        <v>2013</v>
      </c>
      <c r="R172" s="8" t="str">
        <f t="shared" si="17"/>
        <v>HIGH</v>
      </c>
      <c r="S172" s="8" t="str">
        <f t="shared" si="18"/>
        <v>technology</v>
      </c>
      <c r="T172" s="18" t="str">
        <f t="shared" si="19"/>
        <v>41440</v>
      </c>
      <c r="U172" s="30" t="s">
        <v>2828</v>
      </c>
      <c r="V172" s="16" t="s">
        <v>2710</v>
      </c>
      <c r="W172" s="33">
        <v>2013</v>
      </c>
      <c r="X172" t="s">
        <v>2828</v>
      </c>
      <c r="Y172" s="31">
        <v>41440</v>
      </c>
      <c r="Z172" s="31" t="str">
        <f t="shared" si="20"/>
        <v>ES-2013-Dl1360045-41440</v>
      </c>
    </row>
    <row r="173" spans="1:26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2679</v>
      </c>
      <c r="O173" s="13" t="str">
        <f t="shared" si="14"/>
        <v>Adrian Hane</v>
      </c>
      <c r="P173" s="13" t="str">
        <f t="shared" si="15"/>
        <v>CA</v>
      </c>
      <c r="Q173" s="13" t="str">
        <f t="shared" si="16"/>
        <v>2014</v>
      </c>
      <c r="R173" s="13" t="str">
        <f t="shared" si="17"/>
        <v>MEDIUM</v>
      </c>
      <c r="S173" s="13" t="str">
        <f t="shared" si="18"/>
        <v>technology</v>
      </c>
      <c r="T173" s="21" t="str">
        <f t="shared" si="19"/>
        <v>41929</v>
      </c>
      <c r="U173" s="30" t="s">
        <v>2818</v>
      </c>
      <c r="V173" s="19" t="s">
        <v>2683</v>
      </c>
      <c r="W173" s="33">
        <v>2014</v>
      </c>
      <c r="X173" t="s">
        <v>2818</v>
      </c>
      <c r="Y173" s="31">
        <v>41929</v>
      </c>
      <c r="Z173" s="31" t="str">
        <f t="shared" si="20"/>
        <v>CA-2014-AH10120140-41929</v>
      </c>
    </row>
    <row r="174" spans="1:26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2679</v>
      </c>
      <c r="O174" s="8" t="str">
        <f t="shared" si="14"/>
        <v>Jim Radford</v>
      </c>
      <c r="P174" s="8" t="str">
        <f t="shared" si="15"/>
        <v>IT</v>
      </c>
      <c r="Q174" s="8" t="str">
        <f t="shared" si="16"/>
        <v>2012</v>
      </c>
      <c r="R174" s="8" t="str">
        <f t="shared" si="17"/>
        <v>HIGH</v>
      </c>
      <c r="S174" s="8" t="str">
        <f t="shared" si="18"/>
        <v>office supplies</v>
      </c>
      <c r="T174" s="18" t="str">
        <f t="shared" si="19"/>
        <v>41238</v>
      </c>
      <c r="U174" s="30" t="s">
        <v>2829</v>
      </c>
      <c r="V174" s="16" t="s">
        <v>2690</v>
      </c>
      <c r="W174" s="33">
        <v>2012</v>
      </c>
      <c r="X174" t="s">
        <v>2829</v>
      </c>
      <c r="Y174" s="31">
        <v>41238</v>
      </c>
      <c r="Z174" s="31" t="str">
        <f t="shared" si="20"/>
        <v>IT-2012-JR1567048-41238</v>
      </c>
    </row>
    <row r="175" spans="1:26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2679</v>
      </c>
      <c r="O175" s="13" t="str">
        <f t="shared" si="14"/>
        <v>Frank Merwin</v>
      </c>
      <c r="P175" s="13" t="str">
        <f t="shared" si="15"/>
        <v>MX</v>
      </c>
      <c r="Q175" s="13" t="str">
        <f t="shared" si="16"/>
        <v>2012</v>
      </c>
      <c r="R175" s="13" t="str">
        <f t="shared" si="17"/>
        <v>HIGH</v>
      </c>
      <c r="S175" s="13" t="str">
        <f t="shared" si="18"/>
        <v>furniture</v>
      </c>
      <c r="T175" s="21" t="str">
        <f t="shared" si="19"/>
        <v>41216</v>
      </c>
      <c r="U175" s="30" t="s">
        <v>2830</v>
      </c>
      <c r="V175" s="19" t="s">
        <v>2695</v>
      </c>
      <c r="W175" s="33">
        <v>2012</v>
      </c>
      <c r="X175" t="s">
        <v>2830</v>
      </c>
      <c r="Y175" s="31">
        <v>41216</v>
      </c>
      <c r="Z175" s="31" t="str">
        <f t="shared" si="20"/>
        <v>MX-2012-FM1429065-41216</v>
      </c>
    </row>
    <row r="176" spans="1:26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2679</v>
      </c>
      <c r="O176" s="8" t="str">
        <f t="shared" si="14"/>
        <v>Clytie Kelty</v>
      </c>
      <c r="P176" s="8" t="str">
        <f t="shared" si="15"/>
        <v>IN</v>
      </c>
      <c r="Q176" s="8" t="str">
        <f t="shared" si="16"/>
        <v>2014</v>
      </c>
      <c r="R176" s="8" t="str">
        <f t="shared" si="17"/>
        <v>CRITICAL</v>
      </c>
      <c r="S176" s="8" t="str">
        <f t="shared" si="18"/>
        <v>furniture</v>
      </c>
      <c r="T176" s="18" t="str">
        <f t="shared" si="19"/>
        <v>41929</v>
      </c>
      <c r="U176" s="30" t="s">
        <v>2831</v>
      </c>
      <c r="V176" s="16" t="s">
        <v>2681</v>
      </c>
      <c r="W176" s="33">
        <v>2014</v>
      </c>
      <c r="X176" t="s">
        <v>2831</v>
      </c>
      <c r="Y176" s="31">
        <v>41929</v>
      </c>
      <c r="Z176" s="31" t="str">
        <f t="shared" si="20"/>
        <v>IN-2014-CK1259592-41929</v>
      </c>
    </row>
    <row r="177" spans="1:26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2679</v>
      </c>
      <c r="O177" s="13" t="str">
        <f t="shared" si="14"/>
        <v>Gary Mcgarr</v>
      </c>
      <c r="P177" s="13" t="str">
        <f t="shared" si="15"/>
        <v>IN</v>
      </c>
      <c r="Q177" s="13" t="str">
        <f t="shared" si="16"/>
        <v>2014</v>
      </c>
      <c r="R177" s="13" t="str">
        <f t="shared" si="17"/>
        <v>MEDIUM</v>
      </c>
      <c r="S177" s="13" t="str">
        <f t="shared" si="18"/>
        <v>technology</v>
      </c>
      <c r="T177" s="21" t="str">
        <f t="shared" si="19"/>
        <v>41795</v>
      </c>
      <c r="U177" s="30" t="s">
        <v>2832</v>
      </c>
      <c r="V177" s="19" t="s">
        <v>2681</v>
      </c>
      <c r="W177" s="33">
        <v>2014</v>
      </c>
      <c r="X177" t="s">
        <v>2832</v>
      </c>
      <c r="Y177" s="31">
        <v>41795</v>
      </c>
      <c r="Z177" s="31" t="str">
        <f t="shared" si="20"/>
        <v>IN-2014-GM1444027-41795</v>
      </c>
    </row>
    <row r="178" spans="1:26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2679</v>
      </c>
      <c r="O178" s="8" t="str">
        <f t="shared" si="14"/>
        <v>Adrian Hane</v>
      </c>
      <c r="P178" s="8" t="str">
        <f t="shared" si="15"/>
        <v>CA</v>
      </c>
      <c r="Q178" s="8" t="str">
        <f t="shared" si="16"/>
        <v>2014</v>
      </c>
      <c r="R178" s="8" t="str">
        <f t="shared" si="17"/>
        <v>MEDIUM</v>
      </c>
      <c r="S178" s="8" t="str">
        <f t="shared" si="18"/>
        <v>office supplies</v>
      </c>
      <c r="T178" s="18" t="str">
        <f t="shared" si="19"/>
        <v>41992</v>
      </c>
      <c r="U178" s="30" t="s">
        <v>2818</v>
      </c>
      <c r="V178" s="16" t="s">
        <v>2683</v>
      </c>
      <c r="W178" s="33">
        <v>2014</v>
      </c>
      <c r="X178" t="s">
        <v>2818</v>
      </c>
      <c r="Y178" s="31">
        <v>41992</v>
      </c>
      <c r="Z178" s="31" t="str">
        <f t="shared" si="20"/>
        <v>CA-2014-AH10120140-41992</v>
      </c>
    </row>
    <row r="179" spans="1:26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2679</v>
      </c>
      <c r="O179" s="13" t="str">
        <f t="shared" si="14"/>
        <v>Adrian Hane</v>
      </c>
      <c r="P179" s="13" t="str">
        <f t="shared" si="15"/>
        <v>CA</v>
      </c>
      <c r="Q179" s="13" t="str">
        <f t="shared" si="16"/>
        <v>2015</v>
      </c>
      <c r="R179" s="13" t="str">
        <f t="shared" si="17"/>
        <v>MEDIUM</v>
      </c>
      <c r="S179" s="13" t="str">
        <f t="shared" si="18"/>
        <v>office supplies</v>
      </c>
      <c r="T179" s="21" t="str">
        <f t="shared" si="19"/>
        <v>42188</v>
      </c>
      <c r="U179" s="30" t="s">
        <v>2818</v>
      </c>
      <c r="V179" s="19" t="s">
        <v>2683</v>
      </c>
      <c r="W179" s="33">
        <v>2015</v>
      </c>
      <c r="X179" t="s">
        <v>2818</v>
      </c>
      <c r="Y179" s="31">
        <v>42188</v>
      </c>
      <c r="Z179" s="31" t="str">
        <f t="shared" si="20"/>
        <v>CA-2015-AH10120140-42188</v>
      </c>
    </row>
    <row r="180" spans="1:26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2679</v>
      </c>
      <c r="O180" s="8" t="str">
        <f t="shared" si="14"/>
        <v>Magdelene Morse</v>
      </c>
      <c r="P180" s="8" t="str">
        <f t="shared" si="15"/>
        <v>IN</v>
      </c>
      <c r="Q180" s="8" t="str">
        <f t="shared" si="16"/>
        <v>2014</v>
      </c>
      <c r="R180" s="8" t="str">
        <f t="shared" si="17"/>
        <v>CRITICAL</v>
      </c>
      <c r="S180" s="8" t="str">
        <f t="shared" si="18"/>
        <v>technology</v>
      </c>
      <c r="T180" s="18" t="str">
        <f t="shared" si="19"/>
        <v>41933</v>
      </c>
      <c r="U180" s="30" t="s">
        <v>2833</v>
      </c>
      <c r="V180" s="16" t="s">
        <v>2681</v>
      </c>
      <c r="W180" s="33">
        <v>2014</v>
      </c>
      <c r="X180" t="s">
        <v>2833</v>
      </c>
      <c r="Y180" s="31">
        <v>41933</v>
      </c>
      <c r="Z180" s="31" t="str">
        <f t="shared" si="20"/>
        <v>IN-2014-MM1726027-41933</v>
      </c>
    </row>
    <row r="181" spans="1:26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2679</v>
      </c>
      <c r="O181" s="13" t="str">
        <f t="shared" si="14"/>
        <v>Maria Etezadi</v>
      </c>
      <c r="P181" s="13" t="str">
        <f t="shared" si="15"/>
        <v>ES</v>
      </c>
      <c r="Q181" s="13" t="str">
        <f t="shared" si="16"/>
        <v>2015</v>
      </c>
      <c r="R181" s="13" t="str">
        <f t="shared" si="17"/>
        <v>CRITICAL</v>
      </c>
      <c r="S181" s="13" t="str">
        <f t="shared" si="18"/>
        <v>furniture</v>
      </c>
      <c r="T181" s="21" t="str">
        <f t="shared" si="19"/>
        <v>42227</v>
      </c>
      <c r="U181" s="30" t="s">
        <v>2834</v>
      </c>
      <c r="V181" s="19" t="s">
        <v>2710</v>
      </c>
      <c r="W181" s="33">
        <v>2015</v>
      </c>
      <c r="X181" t="s">
        <v>2834</v>
      </c>
      <c r="Y181" s="31">
        <v>42227</v>
      </c>
      <c r="Z181" s="31" t="str">
        <f t="shared" si="20"/>
        <v>ES-2015-ME17320139-42227</v>
      </c>
    </row>
    <row r="182" spans="1:26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2679</v>
      </c>
      <c r="O182" s="8" t="str">
        <f t="shared" si="14"/>
        <v>Pauline Chand</v>
      </c>
      <c r="P182" s="8" t="str">
        <f t="shared" si="15"/>
        <v>IN</v>
      </c>
      <c r="Q182" s="8" t="str">
        <f t="shared" si="16"/>
        <v>2013</v>
      </c>
      <c r="R182" s="8" t="str">
        <f t="shared" si="17"/>
        <v>HIGH</v>
      </c>
      <c r="S182" s="8" t="str">
        <f t="shared" si="18"/>
        <v>technology</v>
      </c>
      <c r="T182" s="18" t="str">
        <f t="shared" si="19"/>
        <v>41416</v>
      </c>
      <c r="U182" s="30" t="s">
        <v>2835</v>
      </c>
      <c r="V182" s="16" t="s">
        <v>2681</v>
      </c>
      <c r="W182" s="33">
        <v>2013</v>
      </c>
      <c r="X182" t="s">
        <v>2835</v>
      </c>
      <c r="Y182" s="31">
        <v>41416</v>
      </c>
      <c r="Z182" s="31" t="str">
        <f t="shared" si="20"/>
        <v>IN-2013-PC1900078-41416</v>
      </c>
    </row>
    <row r="183" spans="1:26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2679</v>
      </c>
      <c r="O183" s="13" t="str">
        <f t="shared" si="14"/>
        <v>Dennis Kane</v>
      </c>
      <c r="P183" s="13" t="str">
        <f t="shared" si="15"/>
        <v>CG</v>
      </c>
      <c r="Q183" s="13" t="str">
        <f t="shared" si="16"/>
        <v>2015</v>
      </c>
      <c r="R183" s="13" t="str">
        <f t="shared" si="17"/>
        <v>CRITICAL</v>
      </c>
      <c r="S183" s="13" t="str">
        <f t="shared" si="18"/>
        <v>technology</v>
      </c>
      <c r="T183" s="21" t="str">
        <f t="shared" si="19"/>
        <v>42228</v>
      </c>
      <c r="U183" s="30" t="s">
        <v>2836</v>
      </c>
      <c r="V183" s="19" t="s">
        <v>2837</v>
      </c>
      <c r="W183" s="33">
        <v>2015</v>
      </c>
      <c r="X183" t="s">
        <v>2836</v>
      </c>
      <c r="Y183" s="31">
        <v>42228</v>
      </c>
      <c r="Z183" s="31" t="str">
        <f t="shared" si="20"/>
        <v>CG-2015-DK337533-42228</v>
      </c>
    </row>
    <row r="184" spans="1:26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2679</v>
      </c>
      <c r="O184" s="8" t="str">
        <f t="shared" si="14"/>
        <v>Adam Hart</v>
      </c>
      <c r="P184" s="8" t="str">
        <f t="shared" si="15"/>
        <v xml:space="preserve"> I</v>
      </c>
      <c r="Q184" s="8" t="str">
        <f t="shared" si="16"/>
        <v>-201</v>
      </c>
      <c r="R184" s="8" t="str">
        <f t="shared" si="17"/>
        <v>MEDUIM</v>
      </c>
      <c r="S184" s="8" t="str">
        <f t="shared" si="18"/>
        <v>office supplies</v>
      </c>
      <c r="T184" s="18" t="str">
        <f t="shared" si="19"/>
        <v xml:space="preserve">2367 </v>
      </c>
      <c r="U184" s="30" t="s">
        <v>2838</v>
      </c>
      <c r="V184" s="16" t="s">
        <v>2839</v>
      </c>
      <c r="W184" s="33">
        <v>2015</v>
      </c>
      <c r="X184" t="s">
        <v>2838</v>
      </c>
      <c r="Y184" s="31">
        <v>42367</v>
      </c>
      <c r="Z184" s="31" t="str">
        <f t="shared" si="20"/>
        <v>ID-2015-AH100757-42367</v>
      </c>
    </row>
    <row r="185" spans="1:26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2679</v>
      </c>
      <c r="O185" s="13" t="str">
        <f t="shared" si="14"/>
        <v>Vivek Sundaresam</v>
      </c>
      <c r="P185" s="13" t="str">
        <f t="shared" si="15"/>
        <v>IN</v>
      </c>
      <c r="Q185" s="13" t="str">
        <f t="shared" si="16"/>
        <v>2012</v>
      </c>
      <c r="R185" s="13" t="str">
        <f t="shared" si="17"/>
        <v>HIGH</v>
      </c>
      <c r="S185" s="13" t="str">
        <f t="shared" si="18"/>
        <v>office supplies</v>
      </c>
      <c r="T185" s="21" t="str">
        <f t="shared" si="19"/>
        <v>41006</v>
      </c>
      <c r="U185" s="30" t="s">
        <v>2840</v>
      </c>
      <c r="V185" s="19" t="s">
        <v>2681</v>
      </c>
      <c r="W185" s="33">
        <v>2012</v>
      </c>
      <c r="X185" t="s">
        <v>2840</v>
      </c>
      <c r="Y185" s="31">
        <v>41006</v>
      </c>
      <c r="Z185" s="31" t="str">
        <f t="shared" si="20"/>
        <v>IN-2012-VS218207-41006</v>
      </c>
    </row>
    <row r="186" spans="1:26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2679</v>
      </c>
      <c r="O186" s="8" t="str">
        <f t="shared" si="14"/>
        <v>Jim Radford</v>
      </c>
      <c r="P186" s="8" t="str">
        <f t="shared" si="15"/>
        <v>IN</v>
      </c>
      <c r="Q186" s="8" t="str">
        <f t="shared" si="16"/>
        <v>2013</v>
      </c>
      <c r="R186" s="8" t="str">
        <f t="shared" si="17"/>
        <v>HIGH</v>
      </c>
      <c r="S186" s="8" t="str">
        <f t="shared" si="18"/>
        <v>technology</v>
      </c>
      <c r="T186" s="18" t="str">
        <f t="shared" si="19"/>
        <v>41597</v>
      </c>
      <c r="U186" s="30" t="s">
        <v>2841</v>
      </c>
      <c r="V186" s="16" t="s">
        <v>2681</v>
      </c>
      <c r="W186" s="33">
        <v>2013</v>
      </c>
      <c r="X186" t="s">
        <v>2841</v>
      </c>
      <c r="Y186" s="31">
        <v>41597</v>
      </c>
      <c r="Z186" s="31" t="str">
        <f t="shared" si="20"/>
        <v>IN-2013-JR1567027-41597</v>
      </c>
    </row>
    <row r="187" spans="1:26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2679</v>
      </c>
      <c r="O187" s="13" t="str">
        <f t="shared" si="14"/>
        <v>Adrian Shami</v>
      </c>
      <c r="P187" s="13" t="str">
        <f t="shared" si="15"/>
        <v>CA</v>
      </c>
      <c r="Q187" s="13" t="str">
        <f t="shared" si="16"/>
        <v>2015</v>
      </c>
      <c r="R187" s="13" t="str">
        <f t="shared" si="17"/>
        <v>MEDIUM</v>
      </c>
      <c r="S187" s="13" t="str">
        <f t="shared" si="18"/>
        <v>office supplies</v>
      </c>
      <c r="T187" s="21" t="str">
        <f t="shared" si="19"/>
        <v>42328</v>
      </c>
      <c r="U187" s="30" t="s">
        <v>2842</v>
      </c>
      <c r="V187" s="19" t="s">
        <v>2683</v>
      </c>
      <c r="W187" s="33">
        <v>2015</v>
      </c>
      <c r="X187" t="s">
        <v>2842</v>
      </c>
      <c r="Y187" s="31">
        <v>42328</v>
      </c>
      <c r="Z187" s="31" t="str">
        <f t="shared" si="20"/>
        <v>CA-2015-AS10135140-42328</v>
      </c>
    </row>
    <row r="188" spans="1:26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2679</v>
      </c>
      <c r="O188" s="8" t="str">
        <f t="shared" si="14"/>
        <v>Eric Barreto</v>
      </c>
      <c r="P188" s="8" t="str">
        <f t="shared" si="15"/>
        <v>ES</v>
      </c>
      <c r="Q188" s="8" t="str">
        <f t="shared" si="16"/>
        <v>2014</v>
      </c>
      <c r="R188" s="8" t="str">
        <f t="shared" si="17"/>
        <v>HIGH</v>
      </c>
      <c r="S188" s="8" t="str">
        <f t="shared" si="18"/>
        <v>technology</v>
      </c>
      <c r="T188" s="18" t="str">
        <f t="shared" si="19"/>
        <v>41962</v>
      </c>
      <c r="U188" s="30" t="s">
        <v>2843</v>
      </c>
      <c r="V188" s="16" t="s">
        <v>2710</v>
      </c>
      <c r="W188" s="33">
        <v>2014</v>
      </c>
      <c r="X188" t="s">
        <v>2843</v>
      </c>
      <c r="Y188" s="31">
        <v>41962</v>
      </c>
      <c r="Z188" s="31" t="str">
        <f t="shared" si="20"/>
        <v>ES-2014-EB13930139-41962</v>
      </c>
    </row>
    <row r="189" spans="1:26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2679</v>
      </c>
      <c r="O189" s="13" t="str">
        <f t="shared" si="14"/>
        <v>Mark Van Huff</v>
      </c>
      <c r="P189" s="13" t="str">
        <f t="shared" si="15"/>
        <v>IT</v>
      </c>
      <c r="Q189" s="13" t="str">
        <f t="shared" si="16"/>
        <v>2014</v>
      </c>
      <c r="R189" s="13" t="str">
        <f t="shared" si="17"/>
        <v>CRITICAL</v>
      </c>
      <c r="S189" s="13" t="str">
        <f t="shared" si="18"/>
        <v>office supplies</v>
      </c>
      <c r="T189" s="21" t="str">
        <f t="shared" si="19"/>
        <v>41717</v>
      </c>
      <c r="U189" s="30" t="s">
        <v>2844</v>
      </c>
      <c r="V189" s="19" t="s">
        <v>2690</v>
      </c>
      <c r="W189" s="33">
        <v>2014</v>
      </c>
      <c r="X189" t="s">
        <v>2844</v>
      </c>
      <c r="Y189" s="31">
        <v>41717</v>
      </c>
      <c r="Z189" s="31" t="str">
        <f t="shared" si="20"/>
        <v>IT-2014-MV1748545-41717</v>
      </c>
    </row>
    <row r="190" spans="1:26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2679</v>
      </c>
      <c r="O190" s="8" t="str">
        <f t="shared" si="14"/>
        <v>Aimee Bixby</v>
      </c>
      <c r="P190" s="8" t="str">
        <f t="shared" si="15"/>
        <v>CA</v>
      </c>
      <c r="Q190" s="8" t="str">
        <f t="shared" si="16"/>
        <v>2012</v>
      </c>
      <c r="R190" s="8" t="str">
        <f t="shared" si="17"/>
        <v>MEDIUM</v>
      </c>
      <c r="S190" s="8" t="str">
        <f t="shared" si="18"/>
        <v>technology</v>
      </c>
      <c r="T190" s="18" t="str">
        <f t="shared" si="19"/>
        <v>40972</v>
      </c>
      <c r="U190" s="30" t="s">
        <v>2845</v>
      </c>
      <c r="V190" s="16" t="s">
        <v>2683</v>
      </c>
      <c r="W190" s="33">
        <v>2012</v>
      </c>
      <c r="X190" t="s">
        <v>2845</v>
      </c>
      <c r="Y190" s="31">
        <v>40972</v>
      </c>
      <c r="Z190" s="31" t="str">
        <f t="shared" si="20"/>
        <v>CA-2012-AB10150140-40972</v>
      </c>
    </row>
    <row r="191" spans="1:26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2679</v>
      </c>
      <c r="O191" s="13" t="str">
        <f t="shared" si="14"/>
        <v>Aimee Bixby</v>
      </c>
      <c r="P191" s="13" t="str">
        <f t="shared" si="15"/>
        <v>CA</v>
      </c>
      <c r="Q191" s="13" t="str">
        <f t="shared" si="16"/>
        <v>2012</v>
      </c>
      <c r="R191" s="13" t="str">
        <f t="shared" si="17"/>
        <v>MEDIUM</v>
      </c>
      <c r="S191" s="13" t="str">
        <f t="shared" si="18"/>
        <v>office supplies</v>
      </c>
      <c r="T191" s="21" t="str">
        <f t="shared" si="19"/>
        <v>40972</v>
      </c>
      <c r="U191" s="30" t="s">
        <v>2845</v>
      </c>
      <c r="V191" s="19" t="s">
        <v>2683</v>
      </c>
      <c r="W191" s="33">
        <v>2012</v>
      </c>
      <c r="X191" t="s">
        <v>2845</v>
      </c>
      <c r="Y191" s="31">
        <v>40972</v>
      </c>
      <c r="Z191" s="31" t="str">
        <f t="shared" si="20"/>
        <v>CA-2012-AB10150140-40972</v>
      </c>
    </row>
    <row r="192" spans="1:26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2679</v>
      </c>
      <c r="O192" s="8" t="str">
        <f t="shared" si="14"/>
        <v>Alan Hwang</v>
      </c>
      <c r="P192" s="8" t="str">
        <f t="shared" si="15"/>
        <v>MX</v>
      </c>
      <c r="Q192" s="8" t="str">
        <f t="shared" si="16"/>
        <v>2014</v>
      </c>
      <c r="R192" s="8" t="str">
        <f t="shared" si="17"/>
        <v xml:space="preserve"> HIGH </v>
      </c>
      <c r="S192" s="8" t="str">
        <f t="shared" si="18"/>
        <v>office supplies</v>
      </c>
      <c r="T192" s="18" t="str">
        <f t="shared" si="19"/>
        <v>41745</v>
      </c>
      <c r="U192" s="30" t="s">
        <v>2846</v>
      </c>
      <c r="V192" s="16" t="s">
        <v>2695</v>
      </c>
      <c r="W192" s="33">
        <v>2014</v>
      </c>
      <c r="X192" t="s">
        <v>2846</v>
      </c>
      <c r="Y192" s="31">
        <v>41745</v>
      </c>
      <c r="Z192" s="31" t="str">
        <f t="shared" si="20"/>
        <v>MX-2014-AH1021018-41745</v>
      </c>
    </row>
    <row r="193" spans="1:26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2679</v>
      </c>
      <c r="O193" s="13" t="str">
        <f t="shared" si="14"/>
        <v>Troy Staebel</v>
      </c>
      <c r="P193" s="13" t="str">
        <f t="shared" si="15"/>
        <v>IT</v>
      </c>
      <c r="Q193" s="13" t="str">
        <f t="shared" si="16"/>
        <v>2015</v>
      </c>
      <c r="R193" s="13" t="str">
        <f t="shared" si="17"/>
        <v>HIGH</v>
      </c>
      <c r="S193" s="13" t="str">
        <f t="shared" si="18"/>
        <v xml:space="preserve"> office supplies </v>
      </c>
      <c r="T193" s="21" t="str">
        <f t="shared" si="19"/>
        <v>42173</v>
      </c>
      <c r="U193" s="30" t="s">
        <v>2847</v>
      </c>
      <c r="V193" s="19" t="s">
        <v>2690</v>
      </c>
      <c r="W193" s="33">
        <v>2015</v>
      </c>
      <c r="X193" t="s">
        <v>2847</v>
      </c>
      <c r="Y193" s="31">
        <v>42173</v>
      </c>
      <c r="Z193" s="31" t="str">
        <f t="shared" si="20"/>
        <v>IT-2015-TS21610139-42173</v>
      </c>
    </row>
    <row r="194" spans="1:26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2679</v>
      </c>
      <c r="O194" s="8" t="str">
        <f t="shared" ref="O194:O257" si="21">PROPER(D194)</f>
        <v>Liz Carlisle</v>
      </c>
      <c r="P194" s="8" t="str">
        <f t="shared" ref="P194:P257" si="22">LEFT(A194,2)</f>
        <v>MX</v>
      </c>
      <c r="Q194" s="8" t="str">
        <f t="shared" ref="Q194:Q257" si="23">MID(A194,4,4)</f>
        <v>2014</v>
      </c>
      <c r="R194" s="8" t="str">
        <f t="shared" ref="R194:R257" si="24">UPPER(M194)</f>
        <v>MEDIUM</v>
      </c>
      <c r="S194" s="8" t="str">
        <f t="shared" ref="S194:S257" si="25">LOWER(G194)</f>
        <v>technology</v>
      </c>
      <c r="T194" s="18" t="str">
        <f t="shared" ref="T194:T257" si="26">RIGHT(A194,5)</f>
        <v>41643</v>
      </c>
      <c r="U194" s="30" t="s">
        <v>2848</v>
      </c>
      <c r="V194" s="16" t="s">
        <v>2695</v>
      </c>
      <c r="W194" s="33">
        <v>2014</v>
      </c>
      <c r="X194" t="s">
        <v>2848</v>
      </c>
      <c r="Y194" s="31">
        <v>41643</v>
      </c>
      <c r="Z194" s="31" t="str">
        <f t="shared" ref="Z194:Z257" si="27">TRIM(A194)</f>
        <v>MX-2014-LC1705051-41643</v>
      </c>
    </row>
    <row r="195" spans="1:26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2679</v>
      </c>
      <c r="O195" s="13" t="str">
        <f t="shared" si="21"/>
        <v>Stefanie Holloman</v>
      </c>
      <c r="P195" s="13" t="str">
        <f t="shared" si="22"/>
        <v>ES</v>
      </c>
      <c r="Q195" s="13" t="str">
        <f t="shared" si="23"/>
        <v>2013</v>
      </c>
      <c r="R195" s="13" t="str">
        <f t="shared" si="24"/>
        <v>MEDIUM</v>
      </c>
      <c r="S195" s="13" t="str">
        <f t="shared" si="25"/>
        <v>furniture</v>
      </c>
      <c r="T195" s="21" t="str">
        <f t="shared" si="26"/>
        <v>41516</v>
      </c>
      <c r="U195" s="30" t="s">
        <v>2849</v>
      </c>
      <c r="V195" s="19" t="s">
        <v>2710</v>
      </c>
      <c r="W195" s="33">
        <v>2013</v>
      </c>
      <c r="X195" t="s">
        <v>2849</v>
      </c>
      <c r="Y195" s="31">
        <v>41516</v>
      </c>
      <c r="Z195" s="31" t="str">
        <f t="shared" si="27"/>
        <v>ES-2013-SH2063548-41516</v>
      </c>
    </row>
    <row r="196" spans="1:26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2679</v>
      </c>
      <c r="O196" s="8" t="str">
        <f t="shared" si="21"/>
        <v>Daniel Raglin</v>
      </c>
      <c r="P196" s="8" t="str">
        <f t="shared" si="22"/>
        <v>IN</v>
      </c>
      <c r="Q196" s="8" t="str">
        <f t="shared" si="23"/>
        <v>2015</v>
      </c>
      <c r="R196" s="8" t="str">
        <f t="shared" si="24"/>
        <v>HIGH</v>
      </c>
      <c r="S196" s="8" t="str">
        <f t="shared" si="25"/>
        <v>furniture</v>
      </c>
      <c r="T196" s="18" t="str">
        <f t="shared" si="26"/>
        <v>42152</v>
      </c>
      <c r="U196" s="30" t="s">
        <v>2850</v>
      </c>
      <c r="V196" s="16" t="s">
        <v>2681</v>
      </c>
      <c r="W196" s="33">
        <v>2015</v>
      </c>
      <c r="X196" t="s">
        <v>2850</v>
      </c>
      <c r="Y196" s="31">
        <v>42152</v>
      </c>
      <c r="Z196" s="31" t="str">
        <f t="shared" si="27"/>
        <v>IN-2015-DR1294058-42152</v>
      </c>
    </row>
    <row r="197" spans="1:26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2679</v>
      </c>
      <c r="O197" s="13" t="str">
        <f t="shared" si="21"/>
        <v>Ionia Mcgrath</v>
      </c>
      <c r="P197" s="13" t="str">
        <f t="shared" si="22"/>
        <v>CF</v>
      </c>
      <c r="Q197" s="13" t="str">
        <f t="shared" si="23"/>
        <v>2012</v>
      </c>
      <c r="R197" s="13" t="str">
        <f t="shared" si="24"/>
        <v>HIGH</v>
      </c>
      <c r="S197" s="13" t="str">
        <f t="shared" si="25"/>
        <v>furniture</v>
      </c>
      <c r="T197" s="21" t="str">
        <f t="shared" si="26"/>
        <v>41224</v>
      </c>
      <c r="U197" s="30" t="s">
        <v>2851</v>
      </c>
      <c r="V197" s="19" t="s">
        <v>2852</v>
      </c>
      <c r="W197" s="33">
        <v>2012</v>
      </c>
      <c r="X197" t="s">
        <v>2851</v>
      </c>
      <c r="Y197" s="31">
        <v>41224</v>
      </c>
      <c r="Z197" s="31" t="str">
        <f t="shared" si="27"/>
        <v>CF-2012-IM5055106-41224</v>
      </c>
    </row>
    <row r="198" spans="1:26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2679</v>
      </c>
      <c r="O198" s="8" t="str">
        <f t="shared" si="21"/>
        <v>Vivek Grady</v>
      </c>
      <c r="P198" s="8" t="str">
        <f t="shared" si="22"/>
        <v>ID</v>
      </c>
      <c r="Q198" s="8" t="str">
        <f t="shared" si="23"/>
        <v>2014</v>
      </c>
      <c r="R198" s="8" t="str">
        <f t="shared" si="24"/>
        <v>HIGH</v>
      </c>
      <c r="S198" s="8" t="str">
        <f t="shared" si="25"/>
        <v>furniture</v>
      </c>
      <c r="T198" s="18" t="str">
        <f t="shared" si="26"/>
        <v>41790</v>
      </c>
      <c r="U198" s="30" t="s">
        <v>2753</v>
      </c>
      <c r="V198" s="16" t="s">
        <v>2705</v>
      </c>
      <c r="W198" s="33">
        <v>2014</v>
      </c>
      <c r="X198" t="s">
        <v>2753</v>
      </c>
      <c r="Y198" s="31">
        <v>41790</v>
      </c>
      <c r="Z198" s="31" t="str">
        <f t="shared" si="27"/>
        <v>ID-2014-VG2180527-41790</v>
      </c>
    </row>
    <row r="199" spans="1:26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2679</v>
      </c>
      <c r="O199" s="13" t="str">
        <f t="shared" si="21"/>
        <v>Aimee Bixby</v>
      </c>
      <c r="P199" s="13" t="str">
        <f t="shared" si="22"/>
        <v>CA</v>
      </c>
      <c r="Q199" s="13" t="str">
        <f t="shared" si="23"/>
        <v>2012</v>
      </c>
      <c r="R199" s="13" t="str">
        <f t="shared" si="24"/>
        <v>MEDIUM</v>
      </c>
      <c r="S199" s="13" t="str">
        <f t="shared" si="25"/>
        <v>office supplies</v>
      </c>
      <c r="T199" s="21" t="str">
        <f t="shared" si="26"/>
        <v>40972</v>
      </c>
      <c r="U199" s="30" t="s">
        <v>2845</v>
      </c>
      <c r="V199" s="19" t="s">
        <v>2683</v>
      </c>
      <c r="W199" s="33">
        <v>2012</v>
      </c>
      <c r="X199" t="s">
        <v>2845</v>
      </c>
      <c r="Y199" s="31">
        <v>40972</v>
      </c>
      <c r="Z199" s="31" t="str">
        <f t="shared" si="27"/>
        <v>CA-2012-AB10150140-40972</v>
      </c>
    </row>
    <row r="200" spans="1:26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2679</v>
      </c>
      <c r="O200" s="8" t="str">
        <f t="shared" si="21"/>
        <v>Darren Koutras</v>
      </c>
      <c r="P200" s="8" t="str">
        <f t="shared" si="22"/>
        <v xml:space="preserve"> M</v>
      </c>
      <c r="Q200" s="8" t="str">
        <f t="shared" si="23"/>
        <v>-201</v>
      </c>
      <c r="R200" s="8" t="str">
        <f t="shared" si="24"/>
        <v>HIGH</v>
      </c>
      <c r="S200" s="8" t="str">
        <f t="shared" si="25"/>
        <v>office supplies</v>
      </c>
      <c r="T200" s="18" t="str">
        <f t="shared" si="26"/>
        <v xml:space="preserve">1339 </v>
      </c>
      <c r="U200" s="30" t="s">
        <v>2853</v>
      </c>
      <c r="V200" s="16" t="s">
        <v>2854</v>
      </c>
      <c r="W200" s="33">
        <v>2013</v>
      </c>
      <c r="X200" t="s">
        <v>2853</v>
      </c>
      <c r="Y200" s="31">
        <v>41339</v>
      </c>
      <c r="Z200" s="31" t="str">
        <f t="shared" si="27"/>
        <v>MX-2013-DK1298539-41339</v>
      </c>
    </row>
    <row r="201" spans="1:26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2679</v>
      </c>
      <c r="O201" s="13" t="str">
        <f t="shared" si="21"/>
        <v>Aimee Bixby</v>
      </c>
      <c r="P201" s="13" t="str">
        <f t="shared" si="22"/>
        <v>CA</v>
      </c>
      <c r="Q201" s="13" t="str">
        <f t="shared" si="23"/>
        <v>2015</v>
      </c>
      <c r="R201" s="13" t="str">
        <f t="shared" si="24"/>
        <v>MEDIUM</v>
      </c>
      <c r="S201" s="13" t="str">
        <f t="shared" si="25"/>
        <v>office supplies</v>
      </c>
      <c r="T201" s="21" t="str">
        <f t="shared" si="26"/>
        <v>42328</v>
      </c>
      <c r="U201" s="30" t="s">
        <v>2845</v>
      </c>
      <c r="V201" s="19" t="s">
        <v>2683</v>
      </c>
      <c r="W201" s="33">
        <v>2015</v>
      </c>
      <c r="X201" t="s">
        <v>2845</v>
      </c>
      <c r="Y201" s="31">
        <v>42328</v>
      </c>
      <c r="Z201" s="31" t="str">
        <f t="shared" si="27"/>
        <v>CA-2015-AB10150140-42328</v>
      </c>
    </row>
    <row r="202" spans="1:26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2679</v>
      </c>
      <c r="O202" s="8" t="str">
        <f t="shared" si="21"/>
        <v>Rick Wilson</v>
      </c>
      <c r="P202" s="8" t="str">
        <f t="shared" si="22"/>
        <v>ES</v>
      </c>
      <c r="Q202" s="8" t="str">
        <f t="shared" si="23"/>
        <v>2015</v>
      </c>
      <c r="R202" s="8" t="str">
        <f t="shared" si="24"/>
        <v>MEDIUM</v>
      </c>
      <c r="S202" s="8" t="str">
        <f t="shared" si="25"/>
        <v>technology</v>
      </c>
      <c r="T202" s="18" t="str">
        <f t="shared" si="26"/>
        <v>42222</v>
      </c>
      <c r="U202" s="30" t="s">
        <v>2855</v>
      </c>
      <c r="V202" s="16" t="s">
        <v>2710</v>
      </c>
      <c r="W202" s="33">
        <v>2015</v>
      </c>
      <c r="X202" t="s">
        <v>2855</v>
      </c>
      <c r="Y202" s="31">
        <v>42222</v>
      </c>
      <c r="Z202" s="31" t="str">
        <f t="shared" si="27"/>
        <v>ES-2015-RW1954096-42222</v>
      </c>
    </row>
    <row r="203" spans="1:26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2679</v>
      </c>
      <c r="O203" s="13" t="str">
        <f t="shared" si="21"/>
        <v>Evan Henry</v>
      </c>
      <c r="P203" s="13" t="str">
        <f t="shared" si="22"/>
        <v>IZ</v>
      </c>
      <c r="Q203" s="13" t="str">
        <f t="shared" si="23"/>
        <v>2015</v>
      </c>
      <c r="R203" s="13" t="str">
        <f t="shared" si="24"/>
        <v>HIGH</v>
      </c>
      <c r="S203" s="13" t="str">
        <f t="shared" si="25"/>
        <v>furniture</v>
      </c>
      <c r="T203" s="21" t="str">
        <f t="shared" si="26"/>
        <v>42173</v>
      </c>
      <c r="U203" s="30" t="s">
        <v>2856</v>
      </c>
      <c r="V203" s="19" t="s">
        <v>2857</v>
      </c>
      <c r="W203" s="33">
        <v>2015</v>
      </c>
      <c r="X203" t="s">
        <v>2856</v>
      </c>
      <c r="Y203" s="31">
        <v>42173</v>
      </c>
      <c r="Z203" s="31" t="str">
        <f t="shared" si="27"/>
        <v>IZ-2015-EH418561-42173</v>
      </c>
    </row>
    <row r="204" spans="1:26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2679</v>
      </c>
      <c r="O204" s="8" t="str">
        <f t="shared" si="21"/>
        <v>Marina Lichtenstein</v>
      </c>
      <c r="P204" s="8" t="str">
        <f t="shared" si="22"/>
        <v>IN</v>
      </c>
      <c r="Q204" s="8" t="str">
        <f t="shared" si="23"/>
        <v>2015</v>
      </c>
      <c r="R204" s="8" t="str">
        <f t="shared" si="24"/>
        <v>HIGH</v>
      </c>
      <c r="S204" s="8" t="str">
        <f t="shared" si="25"/>
        <v>furniture</v>
      </c>
      <c r="T204" s="18" t="str">
        <f t="shared" si="26"/>
        <v>42369</v>
      </c>
      <c r="U204" s="30" t="s">
        <v>2858</v>
      </c>
      <c r="V204" s="16" t="s">
        <v>2681</v>
      </c>
      <c r="W204" s="33">
        <v>2015</v>
      </c>
      <c r="X204" t="s">
        <v>2858</v>
      </c>
      <c r="Y204" s="31">
        <v>42369</v>
      </c>
      <c r="Z204" s="31" t="str">
        <f t="shared" si="27"/>
        <v>IN-2015-ML1739559-42369</v>
      </c>
    </row>
    <row r="205" spans="1:26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2679</v>
      </c>
      <c r="O205" s="13" t="str">
        <f t="shared" si="21"/>
        <v>Kean Nguyen</v>
      </c>
      <c r="P205" s="13" t="str">
        <f t="shared" si="22"/>
        <v>IN</v>
      </c>
      <c r="Q205" s="13" t="str">
        <f t="shared" si="23"/>
        <v>2015</v>
      </c>
      <c r="R205" s="13" t="str">
        <f t="shared" si="24"/>
        <v>MEDIUM</v>
      </c>
      <c r="S205" s="13" t="str">
        <f t="shared" si="25"/>
        <v>technology</v>
      </c>
      <c r="T205" s="21" t="str">
        <f t="shared" si="26"/>
        <v>42332</v>
      </c>
      <c r="U205" s="30" t="s">
        <v>2859</v>
      </c>
      <c r="V205" s="19" t="s">
        <v>2681</v>
      </c>
      <c r="W205" s="33">
        <v>2015</v>
      </c>
      <c r="X205" t="s">
        <v>2859</v>
      </c>
      <c r="Y205" s="31">
        <v>42332</v>
      </c>
      <c r="Z205" s="31" t="str">
        <f t="shared" si="27"/>
        <v>IN-2015-KN164507-42332</v>
      </c>
    </row>
    <row r="206" spans="1:26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2679</v>
      </c>
      <c r="O206" s="8" t="str">
        <f t="shared" si="21"/>
        <v>Cyma Kinney</v>
      </c>
      <c r="P206" s="8" t="str">
        <f t="shared" si="22"/>
        <v>ES</v>
      </c>
      <c r="Q206" s="8" t="str">
        <f t="shared" si="23"/>
        <v>2015</v>
      </c>
      <c r="R206" s="8" t="str">
        <f t="shared" si="24"/>
        <v>CRITICAL</v>
      </c>
      <c r="S206" s="8" t="str">
        <f t="shared" si="25"/>
        <v>technology</v>
      </c>
      <c r="T206" s="18" t="str">
        <f t="shared" si="26"/>
        <v>42312</v>
      </c>
      <c r="U206" s="30" t="s">
        <v>2860</v>
      </c>
      <c r="V206" s="16" t="s">
        <v>2710</v>
      </c>
      <c r="W206" s="33">
        <v>2015</v>
      </c>
      <c r="X206" t="s">
        <v>2860</v>
      </c>
      <c r="Y206" s="31">
        <v>42312</v>
      </c>
      <c r="Z206" s="31" t="str">
        <f t="shared" si="27"/>
        <v>ES-2015-CK1276045-42312</v>
      </c>
    </row>
    <row r="207" spans="1:26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2679</v>
      </c>
      <c r="O207" s="13" t="str">
        <f t="shared" si="21"/>
        <v>Phillip Breyer</v>
      </c>
      <c r="P207" s="13" t="str">
        <f t="shared" si="22"/>
        <v>IN</v>
      </c>
      <c r="Q207" s="13" t="str">
        <f t="shared" si="23"/>
        <v>2015</v>
      </c>
      <c r="R207" s="13" t="str">
        <f t="shared" si="24"/>
        <v>MEDIUM</v>
      </c>
      <c r="S207" s="13" t="str">
        <f t="shared" si="25"/>
        <v>office supplies</v>
      </c>
      <c r="T207" s="21" t="str">
        <f t="shared" si="26"/>
        <v>42248</v>
      </c>
      <c r="U207" s="30" t="s">
        <v>2861</v>
      </c>
      <c r="V207" s="19" t="s">
        <v>2681</v>
      </c>
      <c r="W207" s="33">
        <v>2015</v>
      </c>
      <c r="X207" t="s">
        <v>2861</v>
      </c>
      <c r="Y207" s="31">
        <v>42248</v>
      </c>
      <c r="Z207" s="31" t="str">
        <f t="shared" si="27"/>
        <v>IN-2015-PB192107-42248</v>
      </c>
    </row>
    <row r="208" spans="1:26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2679</v>
      </c>
      <c r="O208" s="8" t="str">
        <f t="shared" si="21"/>
        <v>Andrew Allen</v>
      </c>
      <c r="P208" s="8" t="str">
        <f t="shared" si="22"/>
        <v>MX</v>
      </c>
      <c r="Q208" s="8" t="str">
        <f t="shared" si="23"/>
        <v>2015</v>
      </c>
      <c r="R208" s="8" t="str">
        <f t="shared" si="24"/>
        <v>MEDIUM</v>
      </c>
      <c r="S208" s="8" t="str">
        <f t="shared" si="25"/>
        <v>office supplies</v>
      </c>
      <c r="T208" s="18" t="str">
        <f t="shared" si="26"/>
        <v>42111</v>
      </c>
      <c r="U208" s="30" t="s">
        <v>2862</v>
      </c>
      <c r="V208" s="16" t="s">
        <v>2695</v>
      </c>
      <c r="W208" s="33">
        <v>2015</v>
      </c>
      <c r="X208" t="s">
        <v>2862</v>
      </c>
      <c r="Y208" s="31">
        <v>42111</v>
      </c>
      <c r="Z208" s="31" t="str">
        <f t="shared" si="27"/>
        <v>MX-2015-AA1048031-42111</v>
      </c>
    </row>
    <row r="209" spans="1:26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2679</v>
      </c>
      <c r="O209" s="13" t="str">
        <f t="shared" si="21"/>
        <v>Ellis Ballard</v>
      </c>
      <c r="P209" s="13" t="str">
        <f t="shared" si="22"/>
        <v>IT</v>
      </c>
      <c r="Q209" s="13" t="str">
        <f t="shared" si="23"/>
        <v>2014</v>
      </c>
      <c r="R209" s="13" t="str">
        <f t="shared" si="24"/>
        <v>CRITICAL</v>
      </c>
      <c r="S209" s="13" t="str">
        <f t="shared" si="25"/>
        <v>technology</v>
      </c>
      <c r="T209" s="21" t="str">
        <f t="shared" si="26"/>
        <v>41706</v>
      </c>
      <c r="U209" s="30" t="s">
        <v>2689</v>
      </c>
      <c r="V209" s="19" t="s">
        <v>2690</v>
      </c>
      <c r="W209" s="33">
        <v>2014</v>
      </c>
      <c r="X209" t="s">
        <v>2689</v>
      </c>
      <c r="Y209" s="31">
        <v>41706</v>
      </c>
      <c r="Z209" s="31" t="str">
        <f t="shared" si="27"/>
        <v>IT-2014-EB1384045-41706</v>
      </c>
    </row>
    <row r="210" spans="1:26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2679</v>
      </c>
      <c r="O210" s="8" t="str">
        <f t="shared" si="21"/>
        <v>Rose O'Brian</v>
      </c>
      <c r="P210" s="8" t="str">
        <f t="shared" si="22"/>
        <v>AG</v>
      </c>
      <c r="Q210" s="8" t="str">
        <f t="shared" si="23"/>
        <v>2012</v>
      </c>
      <c r="R210" s="8" t="str">
        <f t="shared" si="24"/>
        <v>CRITICAL</v>
      </c>
      <c r="S210" s="8" t="str">
        <f t="shared" si="25"/>
        <v>technology</v>
      </c>
      <c r="T210" s="18" t="str">
        <f t="shared" si="26"/>
        <v>40964</v>
      </c>
      <c r="U210" s="30" t="s">
        <v>2863</v>
      </c>
      <c r="V210" s="16" t="s">
        <v>2864</v>
      </c>
      <c r="W210" s="33">
        <v>2012</v>
      </c>
      <c r="X210" t="s">
        <v>2863</v>
      </c>
      <c r="Y210" s="31">
        <v>40964</v>
      </c>
      <c r="Z210" s="31" t="str">
        <f t="shared" si="27"/>
        <v>AG-2012-RO97803-40964</v>
      </c>
    </row>
    <row r="211" spans="1:26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2679</v>
      </c>
      <c r="O211" s="13" t="str">
        <f t="shared" si="21"/>
        <v>Alan Barnes</v>
      </c>
      <c r="P211" s="13" t="str">
        <f t="shared" si="22"/>
        <v>CA</v>
      </c>
      <c r="Q211" s="13" t="str">
        <f t="shared" si="23"/>
        <v>2013</v>
      </c>
      <c r="R211" s="13" t="str">
        <f t="shared" si="24"/>
        <v>MEDIUM</v>
      </c>
      <c r="S211" s="13" t="str">
        <f t="shared" si="25"/>
        <v>technology</v>
      </c>
      <c r="T211" s="21" t="str">
        <f t="shared" si="26"/>
        <v>41361</v>
      </c>
      <c r="U211" s="30" t="s">
        <v>2865</v>
      </c>
      <c r="V211" s="19" t="s">
        <v>2683</v>
      </c>
      <c r="W211" s="33">
        <v>2013</v>
      </c>
      <c r="X211" t="s">
        <v>2865</v>
      </c>
      <c r="Y211" s="31">
        <v>41361</v>
      </c>
      <c r="Z211" s="31" t="str">
        <f t="shared" si="27"/>
        <v>CA-2013-AB10165140-41361</v>
      </c>
    </row>
    <row r="212" spans="1:26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2679</v>
      </c>
      <c r="O212" s="8" t="str">
        <f t="shared" si="21"/>
        <v>Mathew Reese</v>
      </c>
      <c r="P212" s="8" t="str">
        <f t="shared" si="22"/>
        <v>IN</v>
      </c>
      <c r="Q212" s="8" t="str">
        <f t="shared" si="23"/>
        <v>2015</v>
      </c>
      <c r="R212" s="8" t="str">
        <f t="shared" si="24"/>
        <v>MEDIUM</v>
      </c>
      <c r="S212" s="8" t="str">
        <f t="shared" si="25"/>
        <v>furniture</v>
      </c>
      <c r="T212" s="18" t="str">
        <f t="shared" si="26"/>
        <v>42263</v>
      </c>
      <c r="U212" s="30" t="s">
        <v>2866</v>
      </c>
      <c r="V212" s="16" t="s">
        <v>2681</v>
      </c>
      <c r="W212" s="33">
        <v>2015</v>
      </c>
      <c r="X212" t="s">
        <v>2866</v>
      </c>
      <c r="Y212" s="31">
        <v>42263</v>
      </c>
      <c r="Z212" s="31" t="str">
        <f t="shared" si="27"/>
        <v>IN-2015-MR175457-42263</v>
      </c>
    </row>
    <row r="213" spans="1:26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2679</v>
      </c>
      <c r="O213" s="13" t="str">
        <f t="shared" si="21"/>
        <v>Amy Hunt</v>
      </c>
      <c r="P213" s="13" t="str">
        <f t="shared" si="22"/>
        <v>MX</v>
      </c>
      <c r="Q213" s="13" t="str">
        <f t="shared" si="23"/>
        <v>2014</v>
      </c>
      <c r="R213" s="13" t="str">
        <f t="shared" si="24"/>
        <v>HIGH</v>
      </c>
      <c r="S213" s="13" t="str">
        <f t="shared" si="25"/>
        <v>technology</v>
      </c>
      <c r="T213" s="21" t="str">
        <f t="shared" si="26"/>
        <v>42004</v>
      </c>
      <c r="U213" s="30" t="s">
        <v>2867</v>
      </c>
      <c r="V213" s="19" t="s">
        <v>2695</v>
      </c>
      <c r="W213" s="33">
        <v>2014</v>
      </c>
      <c r="X213" t="s">
        <v>2867</v>
      </c>
      <c r="Y213" s="31">
        <v>42004</v>
      </c>
      <c r="Z213" s="31" t="str">
        <f t="shared" si="27"/>
        <v>MX-2014-AH1046593-42004</v>
      </c>
    </row>
    <row r="214" spans="1:26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2679</v>
      </c>
      <c r="O214" s="8" t="str">
        <f t="shared" si="21"/>
        <v>Mitch Webber</v>
      </c>
      <c r="P214" s="8" t="str">
        <f t="shared" si="22"/>
        <v>SA</v>
      </c>
      <c r="Q214" s="8" t="str">
        <f t="shared" si="23"/>
        <v>2015</v>
      </c>
      <c r="R214" s="8" t="str">
        <f t="shared" si="24"/>
        <v>LOW</v>
      </c>
      <c r="S214" s="8" t="str">
        <f t="shared" si="25"/>
        <v>technology</v>
      </c>
      <c r="T214" s="18" t="str">
        <f t="shared" si="26"/>
        <v>42105</v>
      </c>
      <c r="U214" s="30" t="s">
        <v>2868</v>
      </c>
      <c r="V214" s="16" t="s">
        <v>2869</v>
      </c>
      <c r="W214" s="33">
        <v>2015</v>
      </c>
      <c r="X214" t="s">
        <v>2868</v>
      </c>
      <c r="Y214" s="31">
        <v>42105</v>
      </c>
      <c r="Z214" s="31" t="str">
        <f t="shared" si="27"/>
        <v>SA-2015-MW8220110-42105</v>
      </c>
    </row>
    <row r="215" spans="1:26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2679</v>
      </c>
      <c r="O215" s="13" t="str">
        <f t="shared" si="21"/>
        <v>Alan Hwang</v>
      </c>
      <c r="P215" s="13" t="str">
        <f t="shared" si="22"/>
        <v>EG</v>
      </c>
      <c r="Q215" s="13" t="str">
        <f t="shared" si="23"/>
        <v>2013</v>
      </c>
      <c r="R215" s="13" t="str">
        <f t="shared" si="24"/>
        <v>MEDIUM</v>
      </c>
      <c r="S215" s="13" t="str">
        <f t="shared" si="25"/>
        <v>office_supplies</v>
      </c>
      <c r="T215" s="21" t="str">
        <f t="shared" si="26"/>
        <v>41489</v>
      </c>
      <c r="U215" s="30" t="s">
        <v>2870</v>
      </c>
      <c r="V215" s="19" t="s">
        <v>2871</v>
      </c>
      <c r="W215" s="33">
        <v>2013</v>
      </c>
      <c r="X215" t="s">
        <v>2870</v>
      </c>
      <c r="Y215" s="31">
        <v>41489</v>
      </c>
      <c r="Z215" s="31" t="str">
        <f t="shared" si="27"/>
        <v>EG-2013-AH21038-41489</v>
      </c>
    </row>
    <row r="216" spans="1:26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2679</v>
      </c>
      <c r="O216" s="8" t="str">
        <f t="shared" si="21"/>
        <v>Maris Laware</v>
      </c>
      <c r="P216" s="8" t="str">
        <f t="shared" si="22"/>
        <v>IN</v>
      </c>
      <c r="Q216" s="8" t="str">
        <f t="shared" si="23"/>
        <v>2012</v>
      </c>
      <c r="R216" s="8" t="str">
        <f t="shared" si="24"/>
        <v>HIGH</v>
      </c>
      <c r="S216" s="8" t="str">
        <f t="shared" si="25"/>
        <v xml:space="preserve"> office supplies </v>
      </c>
      <c r="T216" s="18" t="str">
        <f t="shared" si="26"/>
        <v>41255</v>
      </c>
      <c r="U216" s="30" t="s">
        <v>2872</v>
      </c>
      <c r="V216" s="16" t="s">
        <v>2681</v>
      </c>
      <c r="W216" s="33">
        <v>2012</v>
      </c>
      <c r="X216" t="s">
        <v>2872</v>
      </c>
      <c r="Y216" s="31">
        <v>41255</v>
      </c>
      <c r="Z216" s="31" t="str">
        <f t="shared" si="27"/>
        <v>IN-2012-ML1741027-41255</v>
      </c>
    </row>
    <row r="217" spans="1:26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2679</v>
      </c>
      <c r="O217" s="13" t="str">
        <f t="shared" si="21"/>
        <v>Alan Barnes#</v>
      </c>
      <c r="P217" s="13" t="str">
        <f t="shared" si="22"/>
        <v>CA</v>
      </c>
      <c r="Q217" s="13" t="str">
        <f t="shared" si="23"/>
        <v>2015</v>
      </c>
      <c r="R217" s="13" t="str">
        <f t="shared" si="24"/>
        <v>MEDIUM</v>
      </c>
      <c r="S217" s="13" t="str">
        <f t="shared" si="25"/>
        <v>office supplies</v>
      </c>
      <c r="T217" s="21" t="str">
        <f t="shared" si="26"/>
        <v>42109</v>
      </c>
      <c r="U217" s="30" t="s">
        <v>2865</v>
      </c>
      <c r="V217" s="19" t="s">
        <v>2683</v>
      </c>
      <c r="W217" s="33">
        <v>2015</v>
      </c>
      <c r="X217" t="s">
        <v>2865</v>
      </c>
      <c r="Y217" s="31">
        <v>42109</v>
      </c>
      <c r="Z217" s="31" t="str">
        <f t="shared" si="27"/>
        <v>CA-2015-AB10165140-42109</v>
      </c>
    </row>
    <row r="218" spans="1:26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2679</v>
      </c>
      <c r="O218" s="8" t="str">
        <f t="shared" si="21"/>
        <v>Alan Barnes</v>
      </c>
      <c r="P218" s="8" t="str">
        <f t="shared" si="22"/>
        <v>CA</v>
      </c>
      <c r="Q218" s="8" t="str">
        <f t="shared" si="23"/>
        <v>2013</v>
      </c>
      <c r="R218" s="8" t="str">
        <f t="shared" si="24"/>
        <v>MEDIUM</v>
      </c>
      <c r="S218" s="8" t="str">
        <f t="shared" si="25"/>
        <v>office supplies</v>
      </c>
      <c r="T218" s="18" t="str">
        <f t="shared" si="26"/>
        <v>41450</v>
      </c>
      <c r="U218" s="30" t="s">
        <v>2865</v>
      </c>
      <c r="V218" s="16" t="s">
        <v>2683</v>
      </c>
      <c r="W218" s="33">
        <v>2013</v>
      </c>
      <c r="X218" t="s">
        <v>2865</v>
      </c>
      <c r="Y218" s="31">
        <v>41450</v>
      </c>
      <c r="Z218" s="31" t="str">
        <f t="shared" si="27"/>
        <v>CA-2013-AB10165140-41450</v>
      </c>
    </row>
    <row r="219" spans="1:26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2679</v>
      </c>
      <c r="O219" s="13" t="str">
        <f t="shared" si="21"/>
        <v>Matt Collins</v>
      </c>
      <c r="P219" s="13" t="str">
        <f t="shared" si="22"/>
        <v>SA</v>
      </c>
      <c r="Q219" s="13" t="str">
        <f t="shared" si="23"/>
        <v>2015</v>
      </c>
      <c r="R219" s="13" t="str">
        <f t="shared" si="24"/>
        <v>CRITICAL</v>
      </c>
      <c r="S219" s="13" t="str">
        <f t="shared" si="25"/>
        <v>technology</v>
      </c>
      <c r="T219" s="21" t="str">
        <f t="shared" si="26"/>
        <v>42326</v>
      </c>
      <c r="U219" s="30" t="s">
        <v>2873</v>
      </c>
      <c r="V219" s="19" t="s">
        <v>2869</v>
      </c>
      <c r="W219" s="33">
        <v>2015</v>
      </c>
      <c r="X219" t="s">
        <v>2873</v>
      </c>
      <c r="Y219" s="31">
        <v>42326</v>
      </c>
      <c r="Z219" s="31" t="str">
        <f t="shared" si="27"/>
        <v>SA-2015-MC7575110-42326</v>
      </c>
    </row>
    <row r="220" spans="1:26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2679</v>
      </c>
      <c r="O220" s="8" t="str">
        <f t="shared" si="21"/>
        <v>Scott Williamson</v>
      </c>
      <c r="P220" s="8" t="str">
        <f t="shared" si="22"/>
        <v>IT</v>
      </c>
      <c r="Q220" s="8" t="str">
        <f t="shared" si="23"/>
        <v>2015</v>
      </c>
      <c r="R220" s="8" t="str">
        <f t="shared" si="24"/>
        <v>CRITICAL</v>
      </c>
      <c r="S220" s="8" t="str">
        <f t="shared" si="25"/>
        <v>technology</v>
      </c>
      <c r="T220" s="18" t="str">
        <f t="shared" si="26"/>
        <v>42277</v>
      </c>
      <c r="U220" s="30" t="s">
        <v>2874</v>
      </c>
      <c r="V220" s="16" t="s">
        <v>2690</v>
      </c>
      <c r="W220" s="33">
        <v>2015</v>
      </c>
      <c r="X220" t="s">
        <v>2874</v>
      </c>
      <c r="Y220" s="31">
        <v>42277</v>
      </c>
      <c r="Z220" s="31" t="str">
        <f t="shared" si="27"/>
        <v>IT-2015-SW2027564-42277</v>
      </c>
    </row>
    <row r="221" spans="1:26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2679</v>
      </c>
      <c r="O221" s="13" t="str">
        <f t="shared" si="21"/>
        <v>Alan Barnes</v>
      </c>
      <c r="P221" s="13" t="str">
        <f t="shared" si="22"/>
        <v>CA</v>
      </c>
      <c r="Q221" s="13" t="str">
        <f t="shared" si="23"/>
        <v>2015</v>
      </c>
      <c r="R221" s="13" t="str">
        <f t="shared" si="24"/>
        <v>MEDIUM</v>
      </c>
      <c r="S221" s="13" t="str">
        <f t="shared" si="25"/>
        <v>furniture</v>
      </c>
      <c r="T221" s="21" t="str">
        <f t="shared" si="26"/>
        <v>42094</v>
      </c>
      <c r="U221" s="30" t="s">
        <v>2865</v>
      </c>
      <c r="V221" s="19" t="s">
        <v>2683</v>
      </c>
      <c r="W221" s="33">
        <v>2015</v>
      </c>
      <c r="X221" t="s">
        <v>2865</v>
      </c>
      <c r="Y221" s="31">
        <v>42094</v>
      </c>
      <c r="Z221" s="31" t="str">
        <f t="shared" si="27"/>
        <v>CA-2015-AB10165140-42094</v>
      </c>
    </row>
    <row r="222" spans="1:26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2679</v>
      </c>
      <c r="O222" s="8" t="str">
        <f t="shared" si="21"/>
        <v>Paul Stevenson</v>
      </c>
      <c r="P222" s="8" t="str">
        <f t="shared" si="22"/>
        <v>ID</v>
      </c>
      <c r="Q222" s="8" t="str">
        <f t="shared" si="23"/>
        <v>2012</v>
      </c>
      <c r="R222" s="8" t="str">
        <f t="shared" si="24"/>
        <v>CRITICAL</v>
      </c>
      <c r="S222" s="8" t="str">
        <f t="shared" si="25"/>
        <v>office supplies</v>
      </c>
      <c r="T222" s="18" t="str">
        <f t="shared" si="26"/>
        <v>40967</v>
      </c>
      <c r="U222" s="30" t="s">
        <v>2875</v>
      </c>
      <c r="V222" s="16" t="s">
        <v>2705</v>
      </c>
      <c r="W222" s="33">
        <v>2012</v>
      </c>
      <c r="X222" t="s">
        <v>2875</v>
      </c>
      <c r="Y222" s="31">
        <v>40967</v>
      </c>
      <c r="Z222" s="31" t="str">
        <f t="shared" si="27"/>
        <v>ID-2012-PS18970118-40967</v>
      </c>
    </row>
    <row r="223" spans="1:26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2679</v>
      </c>
      <c r="O223" s="13" t="str">
        <f t="shared" si="21"/>
        <v>Quincy Jones</v>
      </c>
      <c r="P223" s="13" t="str">
        <f t="shared" si="22"/>
        <v xml:space="preserve"> E</v>
      </c>
      <c r="Q223" s="13" t="str">
        <f t="shared" si="23"/>
        <v>-201</v>
      </c>
      <c r="R223" s="13" t="str">
        <f t="shared" si="24"/>
        <v>HIGH</v>
      </c>
      <c r="S223" s="13" t="str">
        <f t="shared" si="25"/>
        <v>office supplies</v>
      </c>
      <c r="T223" s="21" t="str">
        <f t="shared" si="26"/>
        <v xml:space="preserve">1793 </v>
      </c>
      <c r="U223" s="30" t="s">
        <v>2876</v>
      </c>
      <c r="V223" s="19" t="s">
        <v>2877</v>
      </c>
      <c r="W223" s="33">
        <v>2014</v>
      </c>
      <c r="X223" t="s">
        <v>2876</v>
      </c>
      <c r="Y223" s="31">
        <v>41793</v>
      </c>
      <c r="Z223" s="31" t="str">
        <f t="shared" si="27"/>
        <v>ES-2014-QJ1925564-41793</v>
      </c>
    </row>
    <row r="224" spans="1:26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2679</v>
      </c>
      <c r="O224" s="8" t="str">
        <f t="shared" si="21"/>
        <v>Cari Schnelling</v>
      </c>
      <c r="P224" s="8" t="str">
        <f t="shared" si="22"/>
        <v>ES</v>
      </c>
      <c r="Q224" s="8" t="str">
        <f t="shared" si="23"/>
        <v>2015</v>
      </c>
      <c r="R224" s="8" t="str">
        <f t="shared" si="24"/>
        <v>CRITICAL</v>
      </c>
      <c r="S224" s="8" t="str">
        <f t="shared" si="25"/>
        <v>technology</v>
      </c>
      <c r="T224" s="18" t="str">
        <f t="shared" si="26"/>
        <v>42292</v>
      </c>
      <c r="U224" s="30" t="s">
        <v>2878</v>
      </c>
      <c r="V224" s="16" t="s">
        <v>2710</v>
      </c>
      <c r="W224" s="33">
        <v>2015</v>
      </c>
      <c r="X224" t="s">
        <v>2878</v>
      </c>
      <c r="Y224" s="31">
        <v>42292</v>
      </c>
      <c r="Z224" s="31" t="str">
        <f t="shared" si="27"/>
        <v>ES-2015-CS118608-42292</v>
      </c>
    </row>
    <row r="225" spans="1:26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2679</v>
      </c>
      <c r="O225" s="13" t="str">
        <f t="shared" si="21"/>
        <v>Michelle Tran</v>
      </c>
      <c r="P225" s="13" t="str">
        <f t="shared" si="22"/>
        <v>ES</v>
      </c>
      <c r="Q225" s="13" t="str">
        <f t="shared" si="23"/>
        <v>2015</v>
      </c>
      <c r="R225" s="13" t="str">
        <f t="shared" si="24"/>
        <v>CRITICAL</v>
      </c>
      <c r="S225" s="13" t="str">
        <f t="shared" si="25"/>
        <v>furniture</v>
      </c>
      <c r="T225" s="21" t="str">
        <f t="shared" si="26"/>
        <v>42176</v>
      </c>
      <c r="U225" s="30" t="s">
        <v>2879</v>
      </c>
      <c r="V225" s="19" t="s">
        <v>2710</v>
      </c>
      <c r="W225" s="33">
        <v>2015</v>
      </c>
      <c r="X225" t="s">
        <v>2879</v>
      </c>
      <c r="Y225" s="31">
        <v>42176</v>
      </c>
      <c r="Z225" s="31" t="str">
        <f t="shared" si="27"/>
        <v>ES-2015-MT1807045-42176</v>
      </c>
    </row>
    <row r="226" spans="1:26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2679</v>
      </c>
      <c r="O226" s="8" t="str">
        <f t="shared" si="21"/>
        <v>Ann Blume</v>
      </c>
      <c r="P226" s="8" t="str">
        <f t="shared" si="22"/>
        <v>EN</v>
      </c>
      <c r="Q226" s="8" t="str">
        <f t="shared" si="23"/>
        <v>2012</v>
      </c>
      <c r="R226" s="8" t="str">
        <f t="shared" si="24"/>
        <v>MEDIUM</v>
      </c>
      <c r="S226" s="8" t="str">
        <f t="shared" si="25"/>
        <v>technology</v>
      </c>
      <c r="T226" s="18" t="str">
        <f t="shared" si="26"/>
        <v>40932</v>
      </c>
      <c r="U226" s="30" t="s">
        <v>2880</v>
      </c>
      <c r="V226" s="16" t="s">
        <v>2881</v>
      </c>
      <c r="W226" s="33">
        <v>2012</v>
      </c>
      <c r="X226" t="s">
        <v>2880</v>
      </c>
      <c r="Y226" s="31">
        <v>40932</v>
      </c>
      <c r="Z226" s="31" t="str">
        <f t="shared" si="27"/>
        <v>EN-2012-AB60042-40932</v>
      </c>
    </row>
    <row r="227" spans="1:26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2679</v>
      </c>
      <c r="O227" s="13" t="str">
        <f t="shared" si="21"/>
        <v>Paul Stevenson</v>
      </c>
      <c r="P227" s="13" t="str">
        <f t="shared" si="22"/>
        <v>IN</v>
      </c>
      <c r="Q227" s="13" t="str">
        <f t="shared" si="23"/>
        <v>2015</v>
      </c>
      <c r="R227" s="13" t="str">
        <f t="shared" si="24"/>
        <v>MEDIUM</v>
      </c>
      <c r="S227" s="13" t="str">
        <f t="shared" si="25"/>
        <v>furniture</v>
      </c>
      <c r="T227" s="21" t="str">
        <f t="shared" si="26"/>
        <v>42342</v>
      </c>
      <c r="U227" s="30" t="s">
        <v>2882</v>
      </c>
      <c r="V227" s="19" t="s">
        <v>2681</v>
      </c>
      <c r="W227" s="33">
        <v>2015</v>
      </c>
      <c r="X227" t="s">
        <v>2882</v>
      </c>
      <c r="Y227" s="31">
        <v>42342</v>
      </c>
      <c r="Z227" s="31" t="str">
        <f t="shared" si="27"/>
        <v>IN-2015-PS189707-42342</v>
      </c>
    </row>
    <row r="228" spans="1:26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2679</v>
      </c>
      <c r="O228" s="8" t="str">
        <f t="shared" si="21"/>
        <v>Erica Bern</v>
      </c>
      <c r="P228" s="8" t="str">
        <f t="shared" si="22"/>
        <v>ES</v>
      </c>
      <c r="Q228" s="8" t="str">
        <f t="shared" si="23"/>
        <v>2014</v>
      </c>
      <c r="R228" s="8" t="str">
        <f t="shared" si="24"/>
        <v>LOW</v>
      </c>
      <c r="S228" s="8" t="str">
        <f t="shared" si="25"/>
        <v>technology</v>
      </c>
      <c r="T228" s="18" t="str">
        <f t="shared" si="26"/>
        <v>41818</v>
      </c>
      <c r="U228" s="30" t="s">
        <v>2883</v>
      </c>
      <c r="V228" s="16" t="s">
        <v>2710</v>
      </c>
      <c r="W228" s="33">
        <v>2014</v>
      </c>
      <c r="X228" t="s">
        <v>2883</v>
      </c>
      <c r="Y228" s="31">
        <v>41818</v>
      </c>
      <c r="Z228" s="31" t="str">
        <f t="shared" si="27"/>
        <v>ES-2014-EB13975139-41818</v>
      </c>
    </row>
    <row r="229" spans="1:26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2679</v>
      </c>
      <c r="O229" s="13" t="str">
        <f t="shared" si="21"/>
        <v>Art Ferguson</v>
      </c>
      <c r="P229" s="13" t="str">
        <f t="shared" si="22"/>
        <v>MX</v>
      </c>
      <c r="Q229" s="13" t="str">
        <f t="shared" si="23"/>
        <v>2013</v>
      </c>
      <c r="R229" s="13" t="str">
        <f t="shared" si="24"/>
        <v>CRITICAL</v>
      </c>
      <c r="S229" s="13" t="str">
        <f t="shared" si="25"/>
        <v>technology</v>
      </c>
      <c r="T229" s="21" t="str">
        <f t="shared" si="26"/>
        <v>41418</v>
      </c>
      <c r="U229" s="30" t="s">
        <v>2884</v>
      </c>
      <c r="V229" s="19" t="s">
        <v>2695</v>
      </c>
      <c r="W229" s="33">
        <v>2013</v>
      </c>
      <c r="X229" t="s">
        <v>2884</v>
      </c>
      <c r="Y229" s="31">
        <v>41418</v>
      </c>
      <c r="Z229" s="31" t="str">
        <f t="shared" si="27"/>
        <v>MX-2013-AF1087018-41418</v>
      </c>
    </row>
    <row r="230" spans="1:26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2679</v>
      </c>
      <c r="O230" s="8" t="str">
        <f t="shared" si="21"/>
        <v>Craig Carroll</v>
      </c>
      <c r="P230" s="8" t="str">
        <f t="shared" si="22"/>
        <v>IN</v>
      </c>
      <c r="Q230" s="8" t="str">
        <f t="shared" si="23"/>
        <v>2013</v>
      </c>
      <c r="R230" s="8" t="str">
        <f t="shared" si="24"/>
        <v>HIGH</v>
      </c>
      <c r="S230" s="8" t="str">
        <f t="shared" si="25"/>
        <v>technology</v>
      </c>
      <c r="T230" s="18" t="str">
        <f t="shared" si="26"/>
        <v>41619</v>
      </c>
      <c r="U230" s="30" t="s">
        <v>2885</v>
      </c>
      <c r="V230" s="16" t="s">
        <v>2681</v>
      </c>
      <c r="W230" s="33">
        <v>2013</v>
      </c>
      <c r="X230" t="s">
        <v>2885</v>
      </c>
      <c r="Y230" s="31">
        <v>41619</v>
      </c>
      <c r="Z230" s="31" t="str">
        <f t="shared" si="27"/>
        <v>IN-2013-CC1268558-41619</v>
      </c>
    </row>
    <row r="231" spans="1:26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2679</v>
      </c>
      <c r="O231" s="13" t="str">
        <f t="shared" si="21"/>
        <v>Alan Barnes</v>
      </c>
      <c r="P231" s="13" t="str">
        <f t="shared" si="22"/>
        <v>CA</v>
      </c>
      <c r="Q231" s="13" t="str">
        <f t="shared" si="23"/>
        <v>2015</v>
      </c>
      <c r="R231" s="13" t="str">
        <f t="shared" si="24"/>
        <v>MEDIUM</v>
      </c>
      <c r="S231" s="13" t="str">
        <f t="shared" si="25"/>
        <v xml:space="preserve"> office supplies </v>
      </c>
      <c r="T231" s="21" t="str">
        <f t="shared" si="26"/>
        <v>42344</v>
      </c>
      <c r="U231" s="30" t="s">
        <v>2865</v>
      </c>
      <c r="V231" s="19" t="s">
        <v>2683</v>
      </c>
      <c r="W231" s="33">
        <v>2015</v>
      </c>
      <c r="X231" t="s">
        <v>2865</v>
      </c>
      <c r="Y231" s="31">
        <v>42344</v>
      </c>
      <c r="Z231" s="31" t="str">
        <f t="shared" si="27"/>
        <v>CA-2015-AB10165140-42344</v>
      </c>
    </row>
    <row r="232" spans="1:26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2679</v>
      </c>
      <c r="O232" s="8" t="str">
        <f t="shared" si="21"/>
        <v>Alan Barnes</v>
      </c>
      <c r="P232" s="8" t="str">
        <f t="shared" si="22"/>
        <v>CA</v>
      </c>
      <c r="Q232" s="8" t="str">
        <f t="shared" si="23"/>
        <v>2013</v>
      </c>
      <c r="R232" s="8" t="str">
        <f t="shared" si="24"/>
        <v>MEDIUM</v>
      </c>
      <c r="S232" s="8" t="str">
        <f t="shared" si="25"/>
        <v>office supplies</v>
      </c>
      <c r="T232" s="18" t="str">
        <f t="shared" si="26"/>
        <v>41450</v>
      </c>
      <c r="U232" s="30" t="s">
        <v>2865</v>
      </c>
      <c r="V232" s="16" t="s">
        <v>2683</v>
      </c>
      <c r="W232" s="33">
        <v>2013</v>
      </c>
      <c r="X232" t="s">
        <v>2865</v>
      </c>
      <c r="Y232" s="31">
        <v>41450</v>
      </c>
      <c r="Z232" s="31" t="str">
        <f t="shared" si="27"/>
        <v>CA-2013-AB10165140-41450</v>
      </c>
    </row>
    <row r="233" spans="1:26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2679</v>
      </c>
      <c r="O233" s="13" t="str">
        <f t="shared" si="21"/>
        <v>Lena Creighton</v>
      </c>
      <c r="P233" s="13" t="str">
        <f t="shared" si="22"/>
        <v>MX</v>
      </c>
      <c r="Q233" s="13" t="str">
        <f t="shared" si="23"/>
        <v>2015</v>
      </c>
      <c r="R233" s="13" t="str">
        <f t="shared" si="24"/>
        <v>HIGH</v>
      </c>
      <c r="S233" s="13" t="str">
        <f t="shared" si="25"/>
        <v>furniture</v>
      </c>
      <c r="T233" s="21" t="str">
        <f t="shared" si="26"/>
        <v>42329</v>
      </c>
      <c r="U233" s="30" t="s">
        <v>2886</v>
      </c>
      <c r="V233" s="19" t="s">
        <v>2695</v>
      </c>
      <c r="W233" s="33">
        <v>2015</v>
      </c>
      <c r="X233" t="s">
        <v>2886</v>
      </c>
      <c r="Y233" s="31">
        <v>42329</v>
      </c>
      <c r="Z233" s="31" t="str">
        <f t="shared" si="27"/>
        <v>MX-2015-LC1688582-42329</v>
      </c>
    </row>
    <row r="234" spans="1:26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2679</v>
      </c>
      <c r="O234" s="8" t="str">
        <f t="shared" si="21"/>
        <v>Sean Wendt</v>
      </c>
      <c r="P234" s="8" t="str">
        <f t="shared" si="22"/>
        <v>IN</v>
      </c>
      <c r="Q234" s="8" t="str">
        <f t="shared" si="23"/>
        <v>2012</v>
      </c>
      <c r="R234" s="8" t="str">
        <f t="shared" si="24"/>
        <v>MEDIUM</v>
      </c>
      <c r="S234" s="8" t="str">
        <f t="shared" si="25"/>
        <v>technology</v>
      </c>
      <c r="T234" s="18" t="str">
        <f t="shared" si="26"/>
        <v>41067</v>
      </c>
      <c r="U234" s="30" t="s">
        <v>2887</v>
      </c>
      <c r="V234" s="16" t="s">
        <v>2681</v>
      </c>
      <c r="W234" s="33">
        <v>2012</v>
      </c>
      <c r="X234" t="s">
        <v>2887</v>
      </c>
      <c r="Y234" s="31">
        <v>41067</v>
      </c>
      <c r="Z234" s="31" t="str">
        <f t="shared" si="27"/>
        <v>IN-2012-SW2035059-41067</v>
      </c>
    </row>
    <row r="235" spans="1:26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2679</v>
      </c>
      <c r="O235" s="13" t="str">
        <f t="shared" si="21"/>
        <v>Cari Sayre</v>
      </c>
      <c r="P235" s="13" t="str">
        <f t="shared" si="22"/>
        <v>IN</v>
      </c>
      <c r="Q235" s="13" t="str">
        <f t="shared" si="23"/>
        <v>2013</v>
      </c>
      <c r="R235" s="13" t="str">
        <f t="shared" si="24"/>
        <v>CRITICAL</v>
      </c>
      <c r="S235" s="13" t="str">
        <f t="shared" si="25"/>
        <v>technology</v>
      </c>
      <c r="T235" s="21" t="str">
        <f t="shared" si="26"/>
        <v>41517</v>
      </c>
      <c r="U235" s="30" t="s">
        <v>2888</v>
      </c>
      <c r="V235" s="19" t="s">
        <v>2681</v>
      </c>
      <c r="W235" s="33">
        <v>2013</v>
      </c>
      <c r="X235" t="s">
        <v>2888</v>
      </c>
      <c r="Y235" s="31">
        <v>41517</v>
      </c>
      <c r="Z235" s="31" t="str">
        <f t="shared" si="27"/>
        <v>IN-2013-CS1184527-41517</v>
      </c>
    </row>
    <row r="236" spans="1:26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2679</v>
      </c>
      <c r="O236" s="8" t="str">
        <f t="shared" si="21"/>
        <v>Craig Reiter</v>
      </c>
      <c r="P236" s="8" t="str">
        <f t="shared" si="22"/>
        <v>US</v>
      </c>
      <c r="Q236" s="8" t="str">
        <f t="shared" si="23"/>
        <v>2014</v>
      </c>
      <c r="R236" s="8" t="str">
        <f t="shared" si="24"/>
        <v>CRITICAL</v>
      </c>
      <c r="S236" s="8" t="str">
        <f t="shared" si="25"/>
        <v>furniture</v>
      </c>
      <c r="T236" s="18" t="str">
        <f t="shared" si="26"/>
        <v>41993</v>
      </c>
      <c r="U236" s="30" t="s">
        <v>2889</v>
      </c>
      <c r="V236" s="16" t="s">
        <v>2685</v>
      </c>
      <c r="W236" s="33">
        <v>2014</v>
      </c>
      <c r="X236" t="s">
        <v>2889</v>
      </c>
      <c r="Y236" s="31">
        <v>41993</v>
      </c>
      <c r="Z236" s="31" t="str">
        <f t="shared" si="27"/>
        <v>US-2014-CR1273018-41993</v>
      </c>
    </row>
    <row r="237" spans="1:26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2679</v>
      </c>
      <c r="O237" s="13" t="str">
        <f t="shared" si="21"/>
        <v>Steven Ward</v>
      </c>
      <c r="P237" s="13" t="str">
        <f t="shared" si="22"/>
        <v>IN</v>
      </c>
      <c r="Q237" s="13" t="str">
        <f t="shared" si="23"/>
        <v>2013</v>
      </c>
      <c r="R237" s="13" t="str">
        <f t="shared" si="24"/>
        <v>MEDIUM</v>
      </c>
      <c r="S237" s="13" t="str">
        <f t="shared" si="25"/>
        <v>technology</v>
      </c>
      <c r="T237" s="21" t="str">
        <f t="shared" si="26"/>
        <v>41502</v>
      </c>
      <c r="U237" s="30" t="s">
        <v>2890</v>
      </c>
      <c r="V237" s="19" t="s">
        <v>2681</v>
      </c>
      <c r="W237" s="33">
        <v>2013</v>
      </c>
      <c r="X237" t="s">
        <v>2890</v>
      </c>
      <c r="Y237" s="31">
        <v>41502</v>
      </c>
      <c r="Z237" s="31" t="str">
        <f t="shared" si="27"/>
        <v>IN-2013-SW207557-41502</v>
      </c>
    </row>
    <row r="238" spans="1:26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2679</v>
      </c>
      <c r="O238" s="8" t="str">
        <f t="shared" si="21"/>
        <v>Alan Barnes</v>
      </c>
      <c r="P238" s="8" t="str">
        <f t="shared" si="22"/>
        <v>CA</v>
      </c>
      <c r="Q238" s="8" t="str">
        <f t="shared" si="23"/>
        <v>2015</v>
      </c>
      <c r="R238" s="8" t="str">
        <f t="shared" si="24"/>
        <v>MEDIUM</v>
      </c>
      <c r="S238" s="8" t="str">
        <f t="shared" si="25"/>
        <v>offcie supplies</v>
      </c>
      <c r="T238" s="18" t="str">
        <f t="shared" si="26"/>
        <v>42109</v>
      </c>
      <c r="U238" s="30" t="s">
        <v>2865</v>
      </c>
      <c r="V238" s="16" t="s">
        <v>2683</v>
      </c>
      <c r="W238" s="33">
        <v>2015</v>
      </c>
      <c r="X238" t="s">
        <v>2865</v>
      </c>
      <c r="Y238" s="31">
        <v>42109</v>
      </c>
      <c r="Z238" s="31" t="str">
        <f t="shared" si="27"/>
        <v>CA-2015-AB10165140-42109</v>
      </c>
    </row>
    <row r="239" spans="1:26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2679</v>
      </c>
      <c r="O239" s="13" t="str">
        <f t="shared" si="21"/>
        <v>Mark Haberlin</v>
      </c>
      <c r="P239" s="13" t="str">
        <f t="shared" si="22"/>
        <v>CG</v>
      </c>
      <c r="Q239" s="13" t="str">
        <f t="shared" si="23"/>
        <v>2015</v>
      </c>
      <c r="R239" s="13" t="str">
        <f t="shared" si="24"/>
        <v>LOW</v>
      </c>
      <c r="S239" s="13" t="str">
        <f t="shared" si="25"/>
        <v>furniture</v>
      </c>
      <c r="T239" s="21" t="str">
        <f t="shared" si="26"/>
        <v>42218</v>
      </c>
      <c r="U239" s="30" t="s">
        <v>2891</v>
      </c>
      <c r="V239" s="19" t="s">
        <v>2837</v>
      </c>
      <c r="W239" s="33">
        <v>2015</v>
      </c>
      <c r="X239" t="s">
        <v>2891</v>
      </c>
      <c r="Y239" s="31">
        <v>42218</v>
      </c>
      <c r="Z239" s="31" t="str">
        <f t="shared" si="27"/>
        <v>CG-2015-MH744033-42218</v>
      </c>
    </row>
    <row r="240" spans="1:26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2679</v>
      </c>
      <c r="O240" s="8" t="str">
        <f t="shared" si="21"/>
        <v>Michael Chen</v>
      </c>
      <c r="P240" s="8" t="str">
        <f t="shared" si="22"/>
        <v>IN</v>
      </c>
      <c r="Q240" s="8" t="str">
        <f t="shared" si="23"/>
        <v>2014</v>
      </c>
      <c r="R240" s="8" t="str">
        <f t="shared" si="24"/>
        <v>IHGH</v>
      </c>
      <c r="S240" s="8" t="str">
        <f t="shared" si="25"/>
        <v>furniture</v>
      </c>
      <c r="T240" s="18" t="str">
        <f t="shared" si="26"/>
        <v>41971</v>
      </c>
      <c r="U240" s="30" t="s">
        <v>2892</v>
      </c>
      <c r="V240" s="16" t="s">
        <v>2681</v>
      </c>
      <c r="W240" s="33">
        <v>2014</v>
      </c>
      <c r="X240" t="s">
        <v>2892</v>
      </c>
      <c r="Y240" s="31">
        <v>41971</v>
      </c>
      <c r="Z240" s="31" t="str">
        <f t="shared" si="27"/>
        <v>IN-2014-MC1784558-41971</v>
      </c>
    </row>
    <row r="241" spans="1:26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2679</v>
      </c>
      <c r="O241" s="13" t="str">
        <f t="shared" si="21"/>
        <v>Cari Sayre</v>
      </c>
      <c r="P241" s="13" t="str">
        <f t="shared" si="22"/>
        <v>IN</v>
      </c>
      <c r="Q241" s="13" t="str">
        <f t="shared" si="23"/>
        <v>2012</v>
      </c>
      <c r="R241" s="13" t="str">
        <f t="shared" si="24"/>
        <v>MEDIUM</v>
      </c>
      <c r="S241" s="13" t="str">
        <f t="shared" si="25"/>
        <v>furniture</v>
      </c>
      <c r="T241" s="21" t="str">
        <f t="shared" si="26"/>
        <v>41139</v>
      </c>
      <c r="U241" s="30" t="s">
        <v>2888</v>
      </c>
      <c r="V241" s="19" t="s">
        <v>2681</v>
      </c>
      <c r="W241" s="33">
        <v>2012</v>
      </c>
      <c r="X241" t="s">
        <v>2888</v>
      </c>
      <c r="Y241" s="31">
        <v>41139</v>
      </c>
      <c r="Z241" s="31" t="str">
        <f t="shared" si="27"/>
        <v>IN-2012-CS1184527-41139</v>
      </c>
    </row>
    <row r="242" spans="1:26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2679</v>
      </c>
      <c r="O242" s="8" t="str">
        <f t="shared" si="21"/>
        <v>Pauline Webber</v>
      </c>
      <c r="P242" s="8" t="str">
        <f t="shared" si="22"/>
        <v>ES</v>
      </c>
      <c r="Q242" s="8" t="str">
        <f t="shared" si="23"/>
        <v>2015</v>
      </c>
      <c r="R242" s="8" t="str">
        <f t="shared" si="24"/>
        <v>MEDIUM</v>
      </c>
      <c r="S242" s="8" t="str">
        <f t="shared" si="25"/>
        <v>furniture</v>
      </c>
      <c r="T242" s="18" t="str">
        <f t="shared" si="26"/>
        <v>42076</v>
      </c>
      <c r="U242" s="30" t="s">
        <v>2893</v>
      </c>
      <c r="V242" s="16" t="s">
        <v>2710</v>
      </c>
      <c r="W242" s="33">
        <v>2015</v>
      </c>
      <c r="X242" t="s">
        <v>2893</v>
      </c>
      <c r="Y242" s="31">
        <v>42076</v>
      </c>
      <c r="Z242" s="31" t="str">
        <f t="shared" si="27"/>
        <v>ES-2015-PW19030139-42076</v>
      </c>
    </row>
    <row r="243" spans="1:26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2679</v>
      </c>
      <c r="O243" s="13" t="str">
        <f t="shared" si="21"/>
        <v>Alan Dominguez</v>
      </c>
      <c r="P243" s="13" t="str">
        <f t="shared" si="22"/>
        <v>CA</v>
      </c>
      <c r="Q243" s="13" t="str">
        <f t="shared" si="23"/>
        <v>2015</v>
      </c>
      <c r="R243" s="13" t="str">
        <f t="shared" si="24"/>
        <v>MEDIUM</v>
      </c>
      <c r="S243" s="13" t="str">
        <f t="shared" si="25"/>
        <v>technology</v>
      </c>
      <c r="T243" s="21" t="str">
        <f t="shared" si="26"/>
        <v>42027</v>
      </c>
      <c r="U243" s="30" t="s">
        <v>2894</v>
      </c>
      <c r="V243" s="19" t="s">
        <v>2683</v>
      </c>
      <c r="W243" s="33">
        <v>2015</v>
      </c>
      <c r="X243" t="s">
        <v>2894</v>
      </c>
      <c r="Y243" s="31">
        <v>42027</v>
      </c>
      <c r="Z243" s="31" t="str">
        <f t="shared" si="27"/>
        <v>CA-2015-AD10180140-42027</v>
      </c>
    </row>
    <row r="244" spans="1:26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2679</v>
      </c>
      <c r="O244" s="8" t="str">
        <f t="shared" si="21"/>
        <v>Thomas Brumley</v>
      </c>
      <c r="P244" s="8" t="str">
        <f t="shared" si="22"/>
        <v>IN</v>
      </c>
      <c r="Q244" s="8" t="str">
        <f t="shared" si="23"/>
        <v>2013</v>
      </c>
      <c r="R244" s="8" t="str">
        <f t="shared" si="24"/>
        <v>MEDIUM</v>
      </c>
      <c r="S244" s="8" t="str">
        <f t="shared" si="25"/>
        <v>technology</v>
      </c>
      <c r="T244" s="18" t="str">
        <f t="shared" si="26"/>
        <v>41552</v>
      </c>
      <c r="U244" s="30" t="s">
        <v>2895</v>
      </c>
      <c r="V244" s="16" t="s">
        <v>2681</v>
      </c>
      <c r="W244" s="33">
        <v>2013</v>
      </c>
      <c r="X244" t="s">
        <v>2895</v>
      </c>
      <c r="Y244" s="31">
        <v>41552</v>
      </c>
      <c r="Z244" s="31" t="str">
        <f t="shared" si="27"/>
        <v>IN-2013-TB2119058-41552</v>
      </c>
    </row>
    <row r="245" spans="1:26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2679</v>
      </c>
      <c r="O245" s="13" t="str">
        <f t="shared" si="21"/>
        <v>Karen Daniels</v>
      </c>
      <c r="P245" s="13" t="str">
        <f t="shared" si="22"/>
        <v>ID</v>
      </c>
      <c r="Q245" s="13" t="str">
        <f t="shared" si="23"/>
        <v>2015</v>
      </c>
      <c r="R245" s="13" t="str">
        <f t="shared" si="24"/>
        <v>HIGH</v>
      </c>
      <c r="S245" s="13" t="str">
        <f t="shared" si="25"/>
        <v>technology</v>
      </c>
      <c r="T245" s="21" t="str">
        <f t="shared" si="26"/>
        <v>42306</v>
      </c>
      <c r="U245" s="30" t="s">
        <v>2896</v>
      </c>
      <c r="V245" s="19" t="s">
        <v>2705</v>
      </c>
      <c r="W245" s="33">
        <v>2015</v>
      </c>
      <c r="X245" t="s">
        <v>2896</v>
      </c>
      <c r="Y245" s="31">
        <v>42306</v>
      </c>
      <c r="Z245" s="31" t="str">
        <f t="shared" si="27"/>
        <v>ID-2015-KD1627059-42306</v>
      </c>
    </row>
    <row r="246" spans="1:26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2679</v>
      </c>
      <c r="O246" s="8" t="str">
        <f t="shared" si="21"/>
        <v>Aaron Hawkins</v>
      </c>
      <c r="P246" s="8" t="str">
        <f t="shared" si="22"/>
        <v>MX</v>
      </c>
      <c r="Q246" s="8" t="str">
        <f t="shared" si="23"/>
        <v>2012</v>
      </c>
      <c r="R246" s="8" t="str">
        <f t="shared" si="24"/>
        <v>HIGH</v>
      </c>
      <c r="S246" s="8" t="str">
        <f t="shared" si="25"/>
        <v>furniture</v>
      </c>
      <c r="T246" s="18" t="str">
        <f t="shared" si="26"/>
        <v>41251</v>
      </c>
      <c r="U246" s="30" t="s">
        <v>2897</v>
      </c>
      <c r="V246" s="16" t="s">
        <v>2695</v>
      </c>
      <c r="W246" s="33">
        <v>2012</v>
      </c>
      <c r="X246" t="s">
        <v>2897</v>
      </c>
      <c r="Y246" s="31">
        <v>41251</v>
      </c>
      <c r="Z246" s="31" t="str">
        <f t="shared" si="27"/>
        <v>MX-2012-AH1003082-41251</v>
      </c>
    </row>
    <row r="247" spans="1:26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2679</v>
      </c>
      <c r="O247" s="13" t="str">
        <f t="shared" si="21"/>
        <v>Victoria Pisteka</v>
      </c>
      <c r="P247" s="13" t="str">
        <f t="shared" si="22"/>
        <v>ES</v>
      </c>
      <c r="Q247" s="13" t="str">
        <f t="shared" si="23"/>
        <v>2014</v>
      </c>
      <c r="R247" s="13" t="str">
        <f t="shared" si="24"/>
        <v>HIGH</v>
      </c>
      <c r="S247" s="13" t="str">
        <f t="shared" si="25"/>
        <v>office supplies</v>
      </c>
      <c r="T247" s="21" t="str">
        <f t="shared" si="26"/>
        <v>41990</v>
      </c>
      <c r="U247" s="30" t="s">
        <v>2898</v>
      </c>
      <c r="V247" s="19" t="s">
        <v>2710</v>
      </c>
      <c r="W247" s="33">
        <v>2014</v>
      </c>
      <c r="X247" t="s">
        <v>2898</v>
      </c>
      <c r="Y247" s="31">
        <v>41990</v>
      </c>
      <c r="Z247" s="31" t="str">
        <f t="shared" si="27"/>
        <v>ES-2014-VP21760120-41990</v>
      </c>
    </row>
    <row r="248" spans="1:26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2679</v>
      </c>
      <c r="O248" s="8" t="str">
        <f t="shared" si="21"/>
        <v>Lena Radford</v>
      </c>
      <c r="P248" s="8" t="str">
        <f t="shared" si="22"/>
        <v>IN</v>
      </c>
      <c r="Q248" s="8" t="str">
        <f t="shared" si="23"/>
        <v>2014</v>
      </c>
      <c r="R248" s="8" t="str">
        <f t="shared" si="24"/>
        <v>HIGH</v>
      </c>
      <c r="S248" s="8" t="str">
        <f t="shared" si="25"/>
        <v>technology</v>
      </c>
      <c r="T248" s="18" t="str">
        <f t="shared" si="26"/>
        <v>41899</v>
      </c>
      <c r="U248" s="30" t="s">
        <v>2899</v>
      </c>
      <c r="V248" s="16" t="s">
        <v>2681</v>
      </c>
      <c r="W248" s="33">
        <v>2014</v>
      </c>
      <c r="X248" t="s">
        <v>2899</v>
      </c>
      <c r="Y248" s="31">
        <v>41899</v>
      </c>
      <c r="Z248" s="31" t="str">
        <f t="shared" si="27"/>
        <v>IN-2014-LR1691558-41899</v>
      </c>
    </row>
    <row r="249" spans="1:26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2679</v>
      </c>
      <c r="O249" s="13" t="str">
        <f t="shared" si="21"/>
        <v>Harold Dahlen</v>
      </c>
      <c r="P249" s="13" t="str">
        <f t="shared" si="22"/>
        <v>IN</v>
      </c>
      <c r="Q249" s="13" t="str">
        <f t="shared" si="23"/>
        <v>2014</v>
      </c>
      <c r="R249" s="13" t="str">
        <f t="shared" si="24"/>
        <v>CRITICAL</v>
      </c>
      <c r="S249" s="13" t="str">
        <f t="shared" si="25"/>
        <v>technology</v>
      </c>
      <c r="T249" s="21" t="str">
        <f t="shared" si="26"/>
        <v>41923</v>
      </c>
      <c r="U249" s="30" t="s">
        <v>2900</v>
      </c>
      <c r="V249" s="19" t="s">
        <v>2681</v>
      </c>
      <c r="W249" s="33">
        <v>2014</v>
      </c>
      <c r="X249" t="s">
        <v>2900</v>
      </c>
      <c r="Y249" s="31">
        <v>41923</v>
      </c>
      <c r="Z249" s="31" t="str">
        <f t="shared" si="27"/>
        <v>IN-2014-HD1478527-41923</v>
      </c>
    </row>
    <row r="250" spans="1:26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2679</v>
      </c>
      <c r="O250" s="8" t="str">
        <f t="shared" si="21"/>
        <v>Theone Pippenger</v>
      </c>
      <c r="P250" s="8" t="str">
        <f t="shared" si="22"/>
        <v>ID</v>
      </c>
      <c r="Q250" s="8" t="str">
        <f t="shared" si="23"/>
        <v>2013</v>
      </c>
      <c r="R250" s="8" t="str">
        <f t="shared" si="24"/>
        <v>HIGH</v>
      </c>
      <c r="S250" s="8" t="str">
        <f t="shared" si="25"/>
        <v>furniture</v>
      </c>
      <c r="T250" s="18" t="str">
        <f t="shared" si="26"/>
        <v>41389</v>
      </c>
      <c r="U250" s="30" t="s">
        <v>2901</v>
      </c>
      <c r="V250" s="16" t="s">
        <v>2705</v>
      </c>
      <c r="W250" s="33">
        <v>2013</v>
      </c>
      <c r="X250" t="s">
        <v>2901</v>
      </c>
      <c r="Y250" s="31">
        <v>41389</v>
      </c>
      <c r="Z250" s="31" t="str">
        <f t="shared" si="27"/>
        <v>ID-2013-TP2113027-41389</v>
      </c>
    </row>
    <row r="251" spans="1:26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2679</v>
      </c>
      <c r="O251" s="13" t="str">
        <f t="shared" si="21"/>
        <v>Janet Lee</v>
      </c>
      <c r="P251" s="13" t="str">
        <f t="shared" si="22"/>
        <v>MX</v>
      </c>
      <c r="Q251" s="13" t="str">
        <f t="shared" si="23"/>
        <v>2013</v>
      </c>
      <c r="R251" s="13" t="str">
        <f t="shared" si="24"/>
        <v>HIGH</v>
      </c>
      <c r="S251" s="13" t="str">
        <f t="shared" si="25"/>
        <v>office supplies</v>
      </c>
      <c r="T251" s="21" t="str">
        <f t="shared" si="26"/>
        <v>41606</v>
      </c>
      <c r="U251" s="30" t="s">
        <v>2902</v>
      </c>
      <c r="V251" s="19" t="s">
        <v>2695</v>
      </c>
      <c r="W251" s="33">
        <v>2013</v>
      </c>
      <c r="X251" t="s">
        <v>2902</v>
      </c>
      <c r="Y251" s="31">
        <v>41606</v>
      </c>
      <c r="Z251" s="31" t="str">
        <f t="shared" si="27"/>
        <v>MX-2013-JL1523536-41606</v>
      </c>
    </row>
    <row r="252" spans="1:26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2679</v>
      </c>
      <c r="O252" s="8" t="str">
        <f t="shared" si="21"/>
        <v>Ralph Kennedy</v>
      </c>
      <c r="P252" s="8" t="str">
        <f t="shared" si="22"/>
        <v>MX</v>
      </c>
      <c r="Q252" s="8" t="str">
        <f t="shared" si="23"/>
        <v>2015</v>
      </c>
      <c r="R252" s="8" t="str">
        <f t="shared" si="24"/>
        <v>MEDIUM</v>
      </c>
      <c r="S252" s="8" t="str">
        <f t="shared" si="25"/>
        <v>furniture</v>
      </c>
      <c r="T252" s="18" t="str">
        <f t="shared" si="26"/>
        <v>42181</v>
      </c>
      <c r="U252" s="30" t="s">
        <v>2903</v>
      </c>
      <c r="V252" s="16" t="s">
        <v>2695</v>
      </c>
      <c r="W252" s="33">
        <v>2015</v>
      </c>
      <c r="X252" t="s">
        <v>2903</v>
      </c>
      <c r="Y252" s="31">
        <v>42181</v>
      </c>
      <c r="Z252" s="31" t="str">
        <f t="shared" si="27"/>
        <v>MX-2015-RK1930018-42181</v>
      </c>
    </row>
    <row r="253" spans="1:26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2679</v>
      </c>
      <c r="O253" s="13" t="str">
        <f t="shared" si="21"/>
        <v>Craig Carreira</v>
      </c>
      <c r="P253" s="13" t="str">
        <f t="shared" si="22"/>
        <v>ES</v>
      </c>
      <c r="Q253" s="13" t="str">
        <f t="shared" si="23"/>
        <v>2013</v>
      </c>
      <c r="R253" s="13" t="str">
        <f t="shared" si="24"/>
        <v>HIGH</v>
      </c>
      <c r="S253" s="13" t="str">
        <f t="shared" si="25"/>
        <v>technology</v>
      </c>
      <c r="T253" s="21" t="str">
        <f t="shared" si="26"/>
        <v>41534</v>
      </c>
      <c r="U253" s="30" t="s">
        <v>2904</v>
      </c>
      <c r="V253" s="19" t="s">
        <v>2710</v>
      </c>
      <c r="W253" s="33">
        <v>2013</v>
      </c>
      <c r="X253" t="s">
        <v>2904</v>
      </c>
      <c r="Y253" s="31">
        <v>41534</v>
      </c>
      <c r="Z253" s="31" t="str">
        <f t="shared" si="27"/>
        <v>ES-2013-CC1267064-41534</v>
      </c>
    </row>
    <row r="254" spans="1:26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2679</v>
      </c>
      <c r="O254" s="8" t="str">
        <f t="shared" si="21"/>
        <v>Alan Dominguez</v>
      </c>
      <c r="P254" s="8" t="str">
        <f t="shared" si="22"/>
        <v xml:space="preserve"> C</v>
      </c>
      <c r="Q254" s="8" t="str">
        <f t="shared" si="23"/>
        <v>-201</v>
      </c>
      <c r="R254" s="8" t="str">
        <f t="shared" si="24"/>
        <v>MEDIUM</v>
      </c>
      <c r="S254" s="8" t="str">
        <f t="shared" si="25"/>
        <v>technology</v>
      </c>
      <c r="T254" s="18" t="str">
        <f t="shared" si="26"/>
        <v xml:space="preserve">2322 </v>
      </c>
      <c r="U254" s="30" t="s">
        <v>2894</v>
      </c>
      <c r="V254" s="16" t="s">
        <v>2905</v>
      </c>
      <c r="W254" s="33">
        <v>2015</v>
      </c>
      <c r="X254" t="s">
        <v>2894</v>
      </c>
      <c r="Y254" s="31">
        <v>42322</v>
      </c>
      <c r="Z254" s="31" t="str">
        <f t="shared" si="27"/>
        <v>CA-2015-AD10180140-42322</v>
      </c>
    </row>
    <row r="255" spans="1:26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2679</v>
      </c>
      <c r="O255" s="13" t="str">
        <f t="shared" si="21"/>
        <v>Alan Dominguez</v>
      </c>
      <c r="P255" s="13" t="str">
        <f t="shared" si="22"/>
        <v>CA</v>
      </c>
      <c r="Q255" s="13" t="str">
        <f t="shared" si="23"/>
        <v>2015</v>
      </c>
      <c r="R255" s="13" t="str">
        <f t="shared" si="24"/>
        <v>MEDIUM</v>
      </c>
      <c r="S255" s="13" t="str">
        <f t="shared" si="25"/>
        <v>office supplies</v>
      </c>
      <c r="T255" s="21" t="str">
        <f t="shared" si="26"/>
        <v>42027</v>
      </c>
      <c r="U255" s="30" t="s">
        <v>2894</v>
      </c>
      <c r="V255" s="19" t="s">
        <v>2683</v>
      </c>
      <c r="W255" s="33">
        <v>2015</v>
      </c>
      <c r="X255" t="s">
        <v>2894</v>
      </c>
      <c r="Y255" s="31">
        <v>42027</v>
      </c>
      <c r="Z255" s="31" t="str">
        <f t="shared" si="27"/>
        <v>CA-2015-AD10180140-42027</v>
      </c>
    </row>
    <row r="256" spans="1:26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2679</v>
      </c>
      <c r="O256" s="8" t="str">
        <f t="shared" si="21"/>
        <v>Alan Dominguez</v>
      </c>
      <c r="P256" s="8" t="str">
        <f t="shared" si="22"/>
        <v>CA</v>
      </c>
      <c r="Q256" s="8" t="str">
        <f t="shared" si="23"/>
        <v>2015</v>
      </c>
      <c r="R256" s="8" t="str">
        <f t="shared" si="24"/>
        <v>MEDIUM</v>
      </c>
      <c r="S256" s="8" t="str">
        <f t="shared" si="25"/>
        <v>office supplies</v>
      </c>
      <c r="T256" s="18" t="str">
        <f t="shared" si="26"/>
        <v>42340</v>
      </c>
      <c r="U256" s="30" t="s">
        <v>2894</v>
      </c>
      <c r="V256" s="16" t="s">
        <v>2683</v>
      </c>
      <c r="W256" s="33">
        <v>2015</v>
      </c>
      <c r="X256" t="s">
        <v>2894</v>
      </c>
      <c r="Y256" s="31">
        <v>42340</v>
      </c>
      <c r="Z256" s="31" t="str">
        <f t="shared" si="27"/>
        <v>CA-2015-AD10180140-42340</v>
      </c>
    </row>
    <row r="257" spans="1:26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2679</v>
      </c>
      <c r="O257" s="13" t="str">
        <f t="shared" si="21"/>
        <v>Penelope Sewall</v>
      </c>
      <c r="P257" s="13" t="str">
        <f t="shared" si="22"/>
        <v>MX</v>
      </c>
      <c r="Q257" s="13" t="str">
        <f t="shared" si="23"/>
        <v>2015</v>
      </c>
      <c r="R257" s="13" t="str">
        <f t="shared" si="24"/>
        <v>HIGH</v>
      </c>
      <c r="S257" s="13" t="str">
        <f t="shared" si="25"/>
        <v>technology</v>
      </c>
      <c r="T257" s="21" t="str">
        <f t="shared" si="26"/>
        <v>42335</v>
      </c>
      <c r="U257" s="30" t="s">
        <v>2906</v>
      </c>
      <c r="V257" s="19" t="s">
        <v>2695</v>
      </c>
      <c r="W257" s="33">
        <v>2015</v>
      </c>
      <c r="X257" t="s">
        <v>2906</v>
      </c>
      <c r="Y257" s="31">
        <v>42335</v>
      </c>
      <c r="Z257" s="31" t="str">
        <f t="shared" si="27"/>
        <v>MX-2015-PS1904518-42335</v>
      </c>
    </row>
    <row r="258" spans="1:26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2679</v>
      </c>
      <c r="O258" s="8" t="str">
        <f t="shared" ref="O258:O321" si="28">PROPER(D258)</f>
        <v>Alan Dominguez</v>
      </c>
      <c r="P258" s="8" t="str">
        <f t="shared" ref="P258:P321" si="29">LEFT(A258,2)</f>
        <v xml:space="preserve"> C</v>
      </c>
      <c r="Q258" s="8" t="str">
        <f t="shared" ref="Q258:Q321" si="30">MID(A258,4,4)</f>
        <v>-201</v>
      </c>
      <c r="R258" s="8" t="str">
        <f t="shared" ref="R258:R321" si="31">UPPER(M258)</f>
        <v>MEDIUM</v>
      </c>
      <c r="S258" s="8" t="str">
        <f t="shared" ref="S258:S321" si="32">LOWER(G258)</f>
        <v>office supplies</v>
      </c>
      <c r="T258" s="18" t="str">
        <f t="shared" ref="T258:T321" si="33">RIGHT(A258,5)</f>
        <v xml:space="preserve">1231 </v>
      </c>
      <c r="U258" s="30" t="s">
        <v>2894</v>
      </c>
      <c r="V258" s="16" t="s">
        <v>2905</v>
      </c>
      <c r="W258" s="33">
        <v>2012</v>
      </c>
      <c r="X258" t="s">
        <v>2894</v>
      </c>
      <c r="Y258" s="31">
        <v>41231</v>
      </c>
      <c r="Z258" s="31" t="str">
        <f t="shared" ref="Z258:Z321" si="34">TRIM(A258)</f>
        <v>CA-2012-AD10180140-41231</v>
      </c>
    </row>
    <row r="259" spans="1:26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2679</v>
      </c>
      <c r="O259" s="13" t="str">
        <f t="shared" si="28"/>
        <v>Bill Tyler</v>
      </c>
      <c r="P259" s="13" t="str">
        <f t="shared" si="29"/>
        <v>ES</v>
      </c>
      <c r="Q259" s="13" t="str">
        <f t="shared" si="30"/>
        <v>2013</v>
      </c>
      <c r="R259" s="13" t="str">
        <f t="shared" si="31"/>
        <v>HIGH</v>
      </c>
      <c r="S259" s="13" t="str">
        <f t="shared" si="32"/>
        <v>technology</v>
      </c>
      <c r="T259" s="21" t="str">
        <f t="shared" si="33"/>
        <v>41625</v>
      </c>
      <c r="U259" s="30" t="s">
        <v>2907</v>
      </c>
      <c r="V259" s="19" t="s">
        <v>2710</v>
      </c>
      <c r="W259" s="33">
        <v>2013</v>
      </c>
      <c r="X259" t="s">
        <v>2907</v>
      </c>
      <c r="Y259" s="31">
        <v>41625</v>
      </c>
      <c r="Z259" s="31" t="str">
        <f t="shared" si="34"/>
        <v>ES-2013-BT11391539-41625</v>
      </c>
    </row>
    <row r="260" spans="1:26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2679</v>
      </c>
      <c r="O260" s="8" t="str">
        <f t="shared" si="28"/>
        <v>Mitch Gastineau</v>
      </c>
      <c r="P260" s="8" t="str">
        <f t="shared" si="29"/>
        <v>MX</v>
      </c>
      <c r="Q260" s="8" t="str">
        <f t="shared" si="30"/>
        <v>2015</v>
      </c>
      <c r="R260" s="8" t="str">
        <f t="shared" si="31"/>
        <v>HIGH</v>
      </c>
      <c r="S260" s="8" t="str">
        <f t="shared" si="32"/>
        <v>furniture</v>
      </c>
      <c r="T260" s="18" t="str">
        <f t="shared" si="33"/>
        <v>42140</v>
      </c>
      <c r="U260" s="30" t="s">
        <v>2908</v>
      </c>
      <c r="V260" s="16" t="s">
        <v>2695</v>
      </c>
      <c r="W260" s="33">
        <v>2015</v>
      </c>
      <c r="X260" t="s">
        <v>2908</v>
      </c>
      <c r="Y260" s="31">
        <v>42140</v>
      </c>
      <c r="Z260" s="31" t="str">
        <f t="shared" si="34"/>
        <v>MX-2015-MG1820518-42140</v>
      </c>
    </row>
    <row r="261" spans="1:26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2679</v>
      </c>
      <c r="O261" s="13" t="str">
        <f t="shared" si="28"/>
        <v>Alan Dominguez</v>
      </c>
      <c r="P261" s="13" t="str">
        <f t="shared" si="29"/>
        <v>CA</v>
      </c>
      <c r="Q261" s="13" t="str">
        <f t="shared" si="30"/>
        <v>2013</v>
      </c>
      <c r="R261" s="13" t="str">
        <f t="shared" si="31"/>
        <v>MEDIUM</v>
      </c>
      <c r="S261" s="13" t="str">
        <f t="shared" si="32"/>
        <v>office supplies</v>
      </c>
      <c r="T261" s="21" t="str">
        <f t="shared" si="33"/>
        <v>41459</v>
      </c>
      <c r="U261" s="30" t="s">
        <v>2894</v>
      </c>
      <c r="V261" s="19" t="s">
        <v>2683</v>
      </c>
      <c r="W261" s="33">
        <v>2013</v>
      </c>
      <c r="X261" t="s">
        <v>2894</v>
      </c>
      <c r="Y261" s="31">
        <v>41459</v>
      </c>
      <c r="Z261" s="31" t="str">
        <f t="shared" si="34"/>
        <v>CA-2013-AD10180140-41459</v>
      </c>
    </row>
    <row r="262" spans="1:26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2679</v>
      </c>
      <c r="O262" s="8" t="str">
        <f t="shared" si="28"/>
        <v>Natalie Webber</v>
      </c>
      <c r="P262" s="8" t="str">
        <f t="shared" si="29"/>
        <v>MX</v>
      </c>
      <c r="Q262" s="8" t="str">
        <f t="shared" si="30"/>
        <v>2013</v>
      </c>
      <c r="R262" s="8" t="str">
        <f t="shared" si="31"/>
        <v>CRITIACL</v>
      </c>
      <c r="S262" s="8" t="str">
        <f t="shared" si="32"/>
        <v>technology</v>
      </c>
      <c r="T262" s="18" t="str">
        <f t="shared" si="33"/>
        <v>41584</v>
      </c>
      <c r="U262" s="30" t="s">
        <v>2909</v>
      </c>
      <c r="V262" s="16" t="s">
        <v>2695</v>
      </c>
      <c r="W262" s="33">
        <v>2013</v>
      </c>
      <c r="X262" t="s">
        <v>2909</v>
      </c>
      <c r="Y262" s="31">
        <v>41584</v>
      </c>
      <c r="Z262" s="31" t="str">
        <f t="shared" si="34"/>
        <v>MX-2013-NW1840082-41584</v>
      </c>
    </row>
    <row r="263" spans="1:26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2679</v>
      </c>
      <c r="O263" s="13" t="str">
        <f t="shared" si="28"/>
        <v>Alan Haines</v>
      </c>
      <c r="P263" s="13" t="str">
        <f t="shared" si="29"/>
        <v>CA</v>
      </c>
      <c r="Q263" s="13" t="str">
        <f t="shared" si="30"/>
        <v>2014</v>
      </c>
      <c r="R263" s="13" t="str">
        <f t="shared" si="31"/>
        <v>MEDIUM</v>
      </c>
      <c r="S263" s="13" t="str">
        <f t="shared" si="32"/>
        <v>office supplies</v>
      </c>
      <c r="T263" s="21" t="str">
        <f t="shared" si="33"/>
        <v>41992</v>
      </c>
      <c r="U263" s="30" t="s">
        <v>2910</v>
      </c>
      <c r="V263" s="19" t="s">
        <v>2683</v>
      </c>
      <c r="W263" s="33">
        <v>2014</v>
      </c>
      <c r="X263" t="s">
        <v>2910</v>
      </c>
      <c r="Y263" s="31">
        <v>41992</v>
      </c>
      <c r="Z263" s="31" t="str">
        <f t="shared" si="34"/>
        <v>CA-2014-AH10195140-41992</v>
      </c>
    </row>
    <row r="264" spans="1:26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2679</v>
      </c>
      <c r="O264" s="8" t="str">
        <f t="shared" si="28"/>
        <v>Alejandro Grove#</v>
      </c>
      <c r="P264" s="8" t="str">
        <f t="shared" si="29"/>
        <v>EZ</v>
      </c>
      <c r="Q264" s="8" t="str">
        <f t="shared" si="30"/>
        <v>2015</v>
      </c>
      <c r="R264" s="8" t="str">
        <f t="shared" si="31"/>
        <v>CRITICAL</v>
      </c>
      <c r="S264" s="8" t="str">
        <f t="shared" si="32"/>
        <v>furniture</v>
      </c>
      <c r="T264" s="18" t="str">
        <f t="shared" si="33"/>
        <v>42249</v>
      </c>
      <c r="U264" s="30" t="s">
        <v>2911</v>
      </c>
      <c r="V264" s="16" t="s">
        <v>2912</v>
      </c>
      <c r="W264" s="33">
        <v>2015</v>
      </c>
      <c r="X264" t="s">
        <v>2911</v>
      </c>
      <c r="Y264" s="31">
        <v>42249</v>
      </c>
      <c r="Z264" s="31" t="str">
        <f t="shared" si="34"/>
        <v>EZ-2015-AG27032-42249</v>
      </c>
    </row>
    <row r="265" spans="1:26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2679</v>
      </c>
      <c r="O265" s="13" t="str">
        <f t="shared" si="28"/>
        <v>Filia Mcadams</v>
      </c>
      <c r="P265" s="13" t="str">
        <f t="shared" si="29"/>
        <v>IT</v>
      </c>
      <c r="Q265" s="13" t="str">
        <f t="shared" si="30"/>
        <v>2015</v>
      </c>
      <c r="R265" s="13" t="str">
        <f t="shared" si="31"/>
        <v>HIGH</v>
      </c>
      <c r="S265" s="13" t="str">
        <f t="shared" si="32"/>
        <v>office supplies</v>
      </c>
      <c r="T265" s="21" t="str">
        <f t="shared" si="33"/>
        <v>42271</v>
      </c>
      <c r="U265" s="30" t="s">
        <v>2913</v>
      </c>
      <c r="V265" s="19" t="s">
        <v>2690</v>
      </c>
      <c r="W265" s="33">
        <v>2015</v>
      </c>
      <c r="X265" t="s">
        <v>2913</v>
      </c>
      <c r="Y265" s="31">
        <v>42271</v>
      </c>
      <c r="Z265" s="31" t="str">
        <f t="shared" si="34"/>
        <v>IT-2015-FM1421545-42271</v>
      </c>
    </row>
    <row r="266" spans="1:26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2679</v>
      </c>
      <c r="O266" s="8" t="str">
        <f t="shared" si="28"/>
        <v>Alan Haines</v>
      </c>
      <c r="P266" s="8" t="str">
        <f t="shared" si="29"/>
        <v>CA</v>
      </c>
      <c r="Q266" s="8" t="str">
        <f t="shared" si="30"/>
        <v>2014</v>
      </c>
      <c r="R266" s="8" t="str">
        <f t="shared" si="31"/>
        <v>MEDIUM</v>
      </c>
      <c r="S266" s="8" t="str">
        <f t="shared" si="32"/>
        <v>office supplies</v>
      </c>
      <c r="T266" s="18" t="str">
        <f t="shared" si="33"/>
        <v>41992</v>
      </c>
      <c r="U266" s="30" t="s">
        <v>2910</v>
      </c>
      <c r="V266" s="16" t="s">
        <v>2683</v>
      </c>
      <c r="W266" s="33">
        <v>2014</v>
      </c>
      <c r="X266" t="s">
        <v>2910</v>
      </c>
      <c r="Y266" s="31">
        <v>41992</v>
      </c>
      <c r="Z266" s="31" t="str">
        <f t="shared" si="34"/>
        <v>CA-2014-AH10195140-41992</v>
      </c>
    </row>
    <row r="267" spans="1:26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2679</v>
      </c>
      <c r="O267" s="13" t="str">
        <f t="shared" si="28"/>
        <v>Nancy Lomonaco</v>
      </c>
      <c r="P267" s="13" t="str">
        <f t="shared" si="29"/>
        <v>IN</v>
      </c>
      <c r="Q267" s="13" t="str">
        <f t="shared" si="30"/>
        <v>2013</v>
      </c>
      <c r="R267" s="13" t="str">
        <f t="shared" si="31"/>
        <v>LOW</v>
      </c>
      <c r="S267" s="13" t="str">
        <f t="shared" si="32"/>
        <v>technology</v>
      </c>
      <c r="T267" s="21" t="str">
        <f t="shared" si="33"/>
        <v>41586</v>
      </c>
      <c r="U267" s="30" t="s">
        <v>2914</v>
      </c>
      <c r="V267" s="19" t="s">
        <v>2681</v>
      </c>
      <c r="W267" s="33">
        <v>2013</v>
      </c>
      <c r="X267" t="s">
        <v>2914</v>
      </c>
      <c r="Y267" s="31">
        <v>41586</v>
      </c>
      <c r="Z267" s="31" t="str">
        <f t="shared" si="34"/>
        <v>IN-2013-NL1831027-41586</v>
      </c>
    </row>
    <row r="268" spans="1:26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2679</v>
      </c>
      <c r="O268" s="8" t="str">
        <f t="shared" si="28"/>
        <v>Alan Haines</v>
      </c>
      <c r="P268" s="8" t="str">
        <f t="shared" si="29"/>
        <v>CA</v>
      </c>
      <c r="Q268" s="8" t="str">
        <f t="shared" si="30"/>
        <v>2013</v>
      </c>
      <c r="R268" s="8" t="str">
        <f t="shared" si="31"/>
        <v>HIGH</v>
      </c>
      <c r="S268" s="8" t="str">
        <f t="shared" si="32"/>
        <v>furniture</v>
      </c>
      <c r="T268" s="18" t="str">
        <f t="shared" si="33"/>
        <v>41338</v>
      </c>
      <c r="U268" s="30" t="s">
        <v>2910</v>
      </c>
      <c r="V268" s="16" t="s">
        <v>2683</v>
      </c>
      <c r="W268" s="33">
        <v>2013</v>
      </c>
      <c r="X268" t="s">
        <v>2910</v>
      </c>
      <c r="Y268" s="31">
        <v>41338</v>
      </c>
      <c r="Z268" s="31" t="str">
        <f t="shared" si="34"/>
        <v>CA-2013-AH10195140-41338</v>
      </c>
    </row>
    <row r="269" spans="1:26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2679</v>
      </c>
      <c r="O269" s="13" t="str">
        <f t="shared" si="28"/>
        <v>Alan Haines</v>
      </c>
      <c r="P269" s="13" t="str">
        <f t="shared" si="29"/>
        <v>CA</v>
      </c>
      <c r="Q269" s="13" t="str">
        <f t="shared" si="30"/>
        <v>2015</v>
      </c>
      <c r="R269" s="13" t="str">
        <f t="shared" si="31"/>
        <v>CRITICAL</v>
      </c>
      <c r="S269" s="13" t="str">
        <f t="shared" si="32"/>
        <v>office supplies</v>
      </c>
      <c r="T269" s="21" t="str">
        <f t="shared" si="33"/>
        <v>42314</v>
      </c>
      <c r="U269" s="30" t="s">
        <v>2910</v>
      </c>
      <c r="V269" s="19" t="s">
        <v>2683</v>
      </c>
      <c r="W269" s="33">
        <v>2015</v>
      </c>
      <c r="X269" t="s">
        <v>2910</v>
      </c>
      <c r="Y269" s="31">
        <v>42314</v>
      </c>
      <c r="Z269" s="31" t="str">
        <f t="shared" si="34"/>
        <v>CA-2015-AH10195140-42314</v>
      </c>
    </row>
    <row r="270" spans="1:26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2679</v>
      </c>
      <c r="O270" s="8" t="str">
        <f t="shared" si="28"/>
        <v>Brian Dahlen</v>
      </c>
      <c r="P270" s="8" t="str">
        <f t="shared" si="29"/>
        <v>ID</v>
      </c>
      <c r="Q270" s="8" t="str">
        <f t="shared" si="30"/>
        <v>2015</v>
      </c>
      <c r="R270" s="8" t="str">
        <f t="shared" si="31"/>
        <v>HIGH</v>
      </c>
      <c r="S270" s="8" t="str">
        <f t="shared" si="32"/>
        <v>furniture</v>
      </c>
      <c r="T270" s="18" t="str">
        <f t="shared" si="33"/>
        <v>42103</v>
      </c>
      <c r="U270" s="30" t="s">
        <v>2915</v>
      </c>
      <c r="V270" s="16" t="s">
        <v>2705</v>
      </c>
      <c r="W270" s="33">
        <v>2015</v>
      </c>
      <c r="X270" t="s">
        <v>2915</v>
      </c>
      <c r="Y270" s="31">
        <v>42103</v>
      </c>
      <c r="Z270" s="31" t="str">
        <f t="shared" si="34"/>
        <v>ID-2015-BD116057-42103</v>
      </c>
    </row>
    <row r="271" spans="1:26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2679</v>
      </c>
      <c r="O271" s="13" t="str">
        <f t="shared" si="28"/>
        <v>Sonia Cooley</v>
      </c>
      <c r="P271" s="13" t="str">
        <f t="shared" si="29"/>
        <v>US</v>
      </c>
      <c r="Q271" s="13" t="str">
        <f t="shared" si="30"/>
        <v>2015</v>
      </c>
      <c r="R271" s="13" t="str">
        <f t="shared" si="31"/>
        <v>CRITICAL</v>
      </c>
      <c r="S271" s="13" t="str">
        <f t="shared" si="32"/>
        <v>furniture</v>
      </c>
      <c r="T271" s="21" t="str">
        <f t="shared" si="33"/>
        <v>42342</v>
      </c>
      <c r="U271" s="30" t="s">
        <v>2916</v>
      </c>
      <c r="V271" s="19" t="s">
        <v>2685</v>
      </c>
      <c r="W271" s="33">
        <v>2015</v>
      </c>
      <c r="X271" t="s">
        <v>2916</v>
      </c>
      <c r="Y271" s="31">
        <v>42342</v>
      </c>
      <c r="Z271" s="31" t="str">
        <f t="shared" si="34"/>
        <v>US-2015-SC2057582-42342</v>
      </c>
    </row>
    <row r="272" spans="1:26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2679</v>
      </c>
      <c r="O272" s="8" t="str">
        <f t="shared" si="28"/>
        <v>Alan Hwang</v>
      </c>
      <c r="P272" s="8" t="str">
        <f t="shared" si="29"/>
        <v>CA</v>
      </c>
      <c r="Q272" s="8" t="str">
        <f t="shared" si="30"/>
        <v>2015</v>
      </c>
      <c r="R272" s="8" t="str">
        <f t="shared" si="31"/>
        <v>MEDIUM</v>
      </c>
      <c r="S272" s="8" t="str">
        <f t="shared" si="32"/>
        <v>office supplies</v>
      </c>
      <c r="T272" s="18" t="str">
        <f t="shared" si="33"/>
        <v>42250</v>
      </c>
      <c r="U272" s="30" t="s">
        <v>2917</v>
      </c>
      <c r="V272" s="16" t="s">
        <v>2683</v>
      </c>
      <c r="W272" s="33">
        <v>2015</v>
      </c>
      <c r="X272" t="s">
        <v>2917</v>
      </c>
      <c r="Y272" s="31">
        <v>42250</v>
      </c>
      <c r="Z272" s="31" t="str">
        <f t="shared" si="34"/>
        <v>CA-2015-AH10210140-42250</v>
      </c>
    </row>
    <row r="273" spans="1:26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2679</v>
      </c>
      <c r="O273" s="13" t="str">
        <f t="shared" si="28"/>
        <v>Bill Shonely</v>
      </c>
      <c r="P273" s="13" t="str">
        <f t="shared" si="29"/>
        <v>MX</v>
      </c>
      <c r="Q273" s="13" t="str">
        <f t="shared" si="30"/>
        <v>2015</v>
      </c>
      <c r="R273" s="13" t="str">
        <f t="shared" si="31"/>
        <v>HIGH</v>
      </c>
      <c r="S273" s="13" t="str">
        <f t="shared" si="32"/>
        <v>technology</v>
      </c>
      <c r="T273" s="21" t="str">
        <f t="shared" si="33"/>
        <v>42199</v>
      </c>
      <c r="U273" s="30" t="s">
        <v>2918</v>
      </c>
      <c r="V273" s="19" t="s">
        <v>2695</v>
      </c>
      <c r="W273" s="33">
        <v>2015</v>
      </c>
      <c r="X273" t="s">
        <v>2918</v>
      </c>
      <c r="Y273" s="31">
        <v>42199</v>
      </c>
      <c r="Z273" s="31" t="str">
        <f t="shared" si="34"/>
        <v>MX-2015-BS1136518-42199</v>
      </c>
    </row>
    <row r="274" spans="1:26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2679</v>
      </c>
      <c r="O274" s="8" t="str">
        <f t="shared" si="28"/>
        <v>Kunst Miller</v>
      </c>
      <c r="P274" s="8" t="str">
        <f t="shared" si="29"/>
        <v>IR</v>
      </c>
      <c r="Q274" s="8" t="str">
        <f t="shared" si="30"/>
        <v>2013</v>
      </c>
      <c r="R274" s="8" t="str">
        <f t="shared" si="31"/>
        <v>HIGH</v>
      </c>
      <c r="S274" s="8" t="str">
        <f t="shared" si="32"/>
        <v>furniture</v>
      </c>
      <c r="T274" s="18" t="str">
        <f t="shared" si="33"/>
        <v>41389</v>
      </c>
      <c r="U274" s="30" t="s">
        <v>2919</v>
      </c>
      <c r="V274" s="16" t="s">
        <v>2781</v>
      </c>
      <c r="W274" s="33">
        <v>2013</v>
      </c>
      <c r="X274" t="s">
        <v>2919</v>
      </c>
      <c r="Y274" s="31">
        <v>41389</v>
      </c>
      <c r="Z274" s="31" t="str">
        <f t="shared" si="34"/>
        <v>IR-2013-KM672060-41389</v>
      </c>
    </row>
    <row r="275" spans="1:26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2679</v>
      </c>
      <c r="O275" s="13" t="str">
        <f t="shared" si="28"/>
        <v>Barbara Fisher</v>
      </c>
      <c r="P275" s="13" t="str">
        <f t="shared" si="29"/>
        <v>IN</v>
      </c>
      <c r="Q275" s="13" t="str">
        <f t="shared" si="30"/>
        <v>2012</v>
      </c>
      <c r="R275" s="13" t="str">
        <f t="shared" si="31"/>
        <v>MEDIUM</v>
      </c>
      <c r="S275" s="13" t="str">
        <f t="shared" si="32"/>
        <v>technology</v>
      </c>
      <c r="T275" s="21" t="str">
        <f t="shared" si="33"/>
        <v>41128</v>
      </c>
      <c r="U275" s="30" t="s">
        <v>2920</v>
      </c>
      <c r="V275" s="19" t="s">
        <v>2681</v>
      </c>
      <c r="W275" s="33">
        <v>2012</v>
      </c>
      <c r="X275" t="s">
        <v>2920</v>
      </c>
      <c r="Y275" s="31">
        <v>41128</v>
      </c>
      <c r="Z275" s="31" t="str">
        <f t="shared" si="34"/>
        <v>IN-2012-BF1097527-41128</v>
      </c>
    </row>
    <row r="276" spans="1:26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2679</v>
      </c>
      <c r="O276" s="8" t="str">
        <f t="shared" si="28"/>
        <v>Michelle Moray</v>
      </c>
      <c r="P276" s="8" t="str">
        <f t="shared" si="29"/>
        <v>ES</v>
      </c>
      <c r="Q276" s="8" t="str">
        <f t="shared" si="30"/>
        <v>2012</v>
      </c>
      <c r="R276" s="8" t="str">
        <f t="shared" si="31"/>
        <v>MEDIUM</v>
      </c>
      <c r="S276" s="8" t="str">
        <f t="shared" si="32"/>
        <v>technology</v>
      </c>
      <c r="T276" s="18" t="str">
        <f t="shared" si="33"/>
        <v>41259</v>
      </c>
      <c r="U276" s="30" t="s">
        <v>2921</v>
      </c>
      <c r="V276" s="16" t="s">
        <v>2710</v>
      </c>
      <c r="W276" s="33">
        <v>2012</v>
      </c>
      <c r="X276" t="s">
        <v>2921</v>
      </c>
      <c r="Y276" s="31">
        <v>41259</v>
      </c>
      <c r="Z276" s="31" t="str">
        <f t="shared" si="34"/>
        <v>ES-2012-MM1805548-41259</v>
      </c>
    </row>
    <row r="277" spans="1:26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2679</v>
      </c>
      <c r="O277" s="13" t="str">
        <f t="shared" si="28"/>
        <v>Nathan Cano</v>
      </c>
      <c r="P277" s="13" t="str">
        <f t="shared" si="29"/>
        <v>UP</v>
      </c>
      <c r="Q277" s="13" t="str">
        <f t="shared" si="30"/>
        <v>2013</v>
      </c>
      <c r="R277" s="13" t="str">
        <f t="shared" si="31"/>
        <v>CRITICAL</v>
      </c>
      <c r="S277" s="13" t="str">
        <f t="shared" si="32"/>
        <v xml:space="preserve"> technology </v>
      </c>
      <c r="T277" s="21" t="str">
        <f t="shared" si="33"/>
        <v>41583</v>
      </c>
      <c r="U277" s="30" t="s">
        <v>2922</v>
      </c>
      <c r="V277" s="19" t="s">
        <v>2762</v>
      </c>
      <c r="W277" s="33">
        <v>2013</v>
      </c>
      <c r="X277" t="s">
        <v>2922</v>
      </c>
      <c r="Y277" s="31">
        <v>41583</v>
      </c>
      <c r="Z277" s="31" t="str">
        <f t="shared" si="34"/>
        <v>UP-2013-NC8415137-41583</v>
      </c>
    </row>
    <row r="278" spans="1:26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2679</v>
      </c>
      <c r="O278" s="8" t="str">
        <f t="shared" si="28"/>
        <v>Georgia Rosenberg</v>
      </c>
      <c r="P278" s="8" t="str">
        <f t="shared" si="29"/>
        <v>ES</v>
      </c>
      <c r="Q278" s="8" t="str">
        <f t="shared" si="30"/>
        <v>2013</v>
      </c>
      <c r="R278" s="8" t="str">
        <f t="shared" si="31"/>
        <v>MEDIUM</v>
      </c>
      <c r="S278" s="8" t="str">
        <f t="shared" si="32"/>
        <v>technology</v>
      </c>
      <c r="T278" s="18" t="str">
        <f t="shared" si="33"/>
        <v>41280</v>
      </c>
      <c r="U278" s="30" t="s">
        <v>2923</v>
      </c>
      <c r="V278" s="16" t="s">
        <v>2710</v>
      </c>
      <c r="W278" s="33">
        <v>2013</v>
      </c>
      <c r="X278" t="s">
        <v>2923</v>
      </c>
      <c r="Y278" s="31">
        <v>41280</v>
      </c>
      <c r="Z278" s="31" t="str">
        <f t="shared" si="34"/>
        <v>ES-2013-GR1456096-41280</v>
      </c>
    </row>
    <row r="279" spans="1:26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2679</v>
      </c>
      <c r="O279" s="13" t="str">
        <f t="shared" si="28"/>
        <v>Alan Hwang</v>
      </c>
      <c r="P279" s="13" t="str">
        <f t="shared" si="29"/>
        <v>CA</v>
      </c>
      <c r="Q279" s="13" t="str">
        <f t="shared" si="30"/>
        <v>2015</v>
      </c>
      <c r="R279" s="13" t="str">
        <f t="shared" si="31"/>
        <v>MEDIUM</v>
      </c>
      <c r="S279" s="13" t="str">
        <f t="shared" si="32"/>
        <v>office supplies</v>
      </c>
      <c r="T279" s="21" t="str">
        <f t="shared" si="33"/>
        <v>42072</v>
      </c>
      <c r="U279" s="30" t="s">
        <v>2917</v>
      </c>
      <c r="V279" s="19" t="s">
        <v>2683</v>
      </c>
      <c r="W279" s="33">
        <v>2015</v>
      </c>
      <c r="X279" t="s">
        <v>2917</v>
      </c>
      <c r="Y279" s="31">
        <v>42072</v>
      </c>
      <c r="Z279" s="31" t="str">
        <f t="shared" si="34"/>
        <v>CA-2015-AH10210140-42072</v>
      </c>
    </row>
    <row r="280" spans="1:26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2679</v>
      </c>
      <c r="O280" s="8" t="str">
        <f t="shared" si="28"/>
        <v>Alan Hwang</v>
      </c>
      <c r="P280" s="8" t="str">
        <f t="shared" si="29"/>
        <v>CA</v>
      </c>
      <c r="Q280" s="8" t="str">
        <f t="shared" si="30"/>
        <v>2013</v>
      </c>
      <c r="R280" s="8" t="str">
        <f t="shared" si="31"/>
        <v>MEDIUM</v>
      </c>
      <c r="S280" s="8" t="str">
        <f t="shared" si="32"/>
        <v>technology</v>
      </c>
      <c r="T280" s="18" t="str">
        <f t="shared" si="33"/>
        <v>41588</v>
      </c>
      <c r="U280" s="30" t="s">
        <v>2917</v>
      </c>
      <c r="V280" s="16" t="s">
        <v>2683</v>
      </c>
      <c r="W280" s="33">
        <v>2013</v>
      </c>
      <c r="X280" t="s">
        <v>2917</v>
      </c>
      <c r="Y280" s="31">
        <v>41588</v>
      </c>
      <c r="Z280" s="31" t="str">
        <f t="shared" si="34"/>
        <v>CA-2013-AH10210140-41588</v>
      </c>
    </row>
    <row r="281" spans="1:26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2679</v>
      </c>
      <c r="O281" s="13" t="str">
        <f t="shared" si="28"/>
        <v>Andy Yotov</v>
      </c>
      <c r="P281" s="13" t="str">
        <f t="shared" si="29"/>
        <v>ES</v>
      </c>
      <c r="Q281" s="13" t="str">
        <f t="shared" si="30"/>
        <v>2013</v>
      </c>
      <c r="R281" s="13" t="str">
        <f t="shared" si="31"/>
        <v>MEDIUM</v>
      </c>
      <c r="S281" s="13" t="str">
        <f t="shared" si="32"/>
        <v>technology</v>
      </c>
      <c r="T281" s="21" t="str">
        <f t="shared" si="33"/>
        <v>41430</v>
      </c>
      <c r="U281" s="30" t="s">
        <v>2924</v>
      </c>
      <c r="V281" s="19" t="s">
        <v>2710</v>
      </c>
      <c r="W281" s="33">
        <v>2013</v>
      </c>
      <c r="X281" t="s">
        <v>2924</v>
      </c>
      <c r="Y281" s="31">
        <v>41430</v>
      </c>
      <c r="Z281" s="31" t="str">
        <f t="shared" si="34"/>
        <v>ES-2013-AY10555139-41430</v>
      </c>
    </row>
    <row r="282" spans="1:26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2679</v>
      </c>
      <c r="O282" s="8" t="str">
        <f t="shared" si="28"/>
        <v>Christine Phan</v>
      </c>
      <c r="P282" s="8" t="str">
        <f t="shared" si="29"/>
        <v>MX</v>
      </c>
      <c r="Q282" s="8" t="str">
        <f t="shared" si="30"/>
        <v>2014</v>
      </c>
      <c r="R282" s="8" t="str">
        <f t="shared" si="31"/>
        <v>HIGH</v>
      </c>
      <c r="S282" s="8" t="str">
        <f t="shared" si="32"/>
        <v>office supplies</v>
      </c>
      <c r="T282" s="18" t="str">
        <f t="shared" si="33"/>
        <v>41762</v>
      </c>
      <c r="U282" s="30" t="s">
        <v>2925</v>
      </c>
      <c r="V282" s="16" t="s">
        <v>2695</v>
      </c>
      <c r="W282" s="33">
        <v>2014</v>
      </c>
      <c r="X282" t="s">
        <v>2925</v>
      </c>
      <c r="Y282" s="31">
        <v>41762</v>
      </c>
      <c r="Z282" s="31" t="str">
        <f t="shared" si="34"/>
        <v>MX-2014-CP1234036-41762</v>
      </c>
    </row>
    <row r="283" spans="1:26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2679</v>
      </c>
      <c r="O283" s="13" t="str">
        <f t="shared" si="28"/>
        <v>Mark Packer</v>
      </c>
      <c r="P283" s="13" t="str">
        <f t="shared" si="29"/>
        <v>MX</v>
      </c>
      <c r="Q283" s="13" t="str">
        <f t="shared" si="30"/>
        <v>2014</v>
      </c>
      <c r="R283" s="13" t="str">
        <f t="shared" si="31"/>
        <v>HIGH</v>
      </c>
      <c r="S283" s="13" t="str">
        <f t="shared" si="32"/>
        <v>technology</v>
      </c>
      <c r="T283" s="21" t="str">
        <f t="shared" si="33"/>
        <v>41914</v>
      </c>
      <c r="U283" s="30" t="s">
        <v>2926</v>
      </c>
      <c r="V283" s="19" t="s">
        <v>2695</v>
      </c>
      <c r="W283" s="33">
        <v>2014</v>
      </c>
      <c r="X283" t="s">
        <v>2926</v>
      </c>
      <c r="Y283" s="31">
        <v>41914</v>
      </c>
      <c r="Z283" s="31" t="str">
        <f t="shared" si="34"/>
        <v>MX-2014-MP1747093-41914</v>
      </c>
    </row>
    <row r="284" spans="1:26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2679</v>
      </c>
      <c r="O284" s="8" t="str">
        <f t="shared" si="28"/>
        <v>Pauline Johnson</v>
      </c>
      <c r="P284" s="8" t="str">
        <f t="shared" si="29"/>
        <v>ES</v>
      </c>
      <c r="Q284" s="8" t="str">
        <f t="shared" si="30"/>
        <v>2012</v>
      </c>
      <c r="R284" s="8" t="str">
        <f t="shared" si="31"/>
        <v>HIGH</v>
      </c>
      <c r="S284" s="8" t="str">
        <f t="shared" si="32"/>
        <v>furniture</v>
      </c>
      <c r="T284" s="18" t="str">
        <f t="shared" si="33"/>
        <v>41257</v>
      </c>
      <c r="U284" s="30" t="s">
        <v>2927</v>
      </c>
      <c r="V284" s="16" t="s">
        <v>2710</v>
      </c>
      <c r="W284" s="33">
        <v>2012</v>
      </c>
      <c r="X284" t="s">
        <v>2927</v>
      </c>
      <c r="Y284" s="31">
        <v>41257</v>
      </c>
      <c r="Z284" s="31" t="str">
        <f t="shared" si="34"/>
        <v>ES-2012-PJ19015139-41257</v>
      </c>
    </row>
    <row r="285" spans="1:26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2679</v>
      </c>
      <c r="O285" s="13" t="str">
        <f t="shared" si="28"/>
        <v>Nathan Cano</v>
      </c>
      <c r="P285" s="13" t="str">
        <f t="shared" si="29"/>
        <v>MX</v>
      </c>
      <c r="Q285" s="13" t="str">
        <f t="shared" si="30"/>
        <v>2013</v>
      </c>
      <c r="R285" s="13" t="str">
        <f t="shared" si="31"/>
        <v>MEDIUM</v>
      </c>
      <c r="S285" s="13" t="str">
        <f t="shared" si="32"/>
        <v>technology</v>
      </c>
      <c r="T285" s="21" t="str">
        <f t="shared" si="33"/>
        <v>41572</v>
      </c>
      <c r="U285" s="30" t="s">
        <v>2928</v>
      </c>
      <c r="V285" s="19" t="s">
        <v>2695</v>
      </c>
      <c r="W285" s="33">
        <v>2013</v>
      </c>
      <c r="X285" t="s">
        <v>2928</v>
      </c>
      <c r="Y285" s="31">
        <v>41572</v>
      </c>
      <c r="Z285" s="31" t="str">
        <f t="shared" si="34"/>
        <v>MX-2013-NC1841593-41572</v>
      </c>
    </row>
    <row r="286" spans="1:26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2679</v>
      </c>
      <c r="O286" s="8" t="str">
        <f t="shared" si="28"/>
        <v>Laurel Workman</v>
      </c>
      <c r="P286" s="8" t="str">
        <f t="shared" si="29"/>
        <v>ES</v>
      </c>
      <c r="Q286" s="8" t="str">
        <f t="shared" si="30"/>
        <v>2015</v>
      </c>
      <c r="R286" s="8" t="str">
        <f t="shared" si="31"/>
        <v>HIGH</v>
      </c>
      <c r="S286" s="8" t="str">
        <f t="shared" si="32"/>
        <v>furniture</v>
      </c>
      <c r="T286" s="18" t="str">
        <f t="shared" si="33"/>
        <v>42258</v>
      </c>
      <c r="U286" s="30" t="s">
        <v>2929</v>
      </c>
      <c r="V286" s="16" t="s">
        <v>2710</v>
      </c>
      <c r="W286" s="33">
        <v>2015</v>
      </c>
      <c r="X286" t="s">
        <v>2929</v>
      </c>
      <c r="Y286" s="31">
        <v>42258</v>
      </c>
      <c r="Z286" s="31" t="str">
        <f t="shared" si="34"/>
        <v>ES-2015-LW1682545-42258</v>
      </c>
    </row>
    <row r="287" spans="1:26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2679</v>
      </c>
      <c r="O287" s="13" t="str">
        <f t="shared" si="28"/>
        <v>Alan Hwang</v>
      </c>
      <c r="P287" s="13" t="str">
        <f t="shared" si="29"/>
        <v>CA</v>
      </c>
      <c r="Q287" s="13" t="str">
        <f t="shared" si="30"/>
        <v>2013</v>
      </c>
      <c r="R287" s="13" t="str">
        <f t="shared" si="31"/>
        <v>MEDIUM</v>
      </c>
      <c r="S287" s="13" t="str">
        <f t="shared" si="32"/>
        <v>office supplies</v>
      </c>
      <c r="T287" s="21" t="str">
        <f t="shared" si="33"/>
        <v>41615</v>
      </c>
      <c r="U287" s="30" t="s">
        <v>2917</v>
      </c>
      <c r="V287" s="19" t="s">
        <v>2683</v>
      </c>
      <c r="W287" s="33">
        <v>2013</v>
      </c>
      <c r="X287" t="s">
        <v>2917</v>
      </c>
      <c r="Y287" s="31">
        <v>41615</v>
      </c>
      <c r="Z287" s="31" t="str">
        <f t="shared" si="34"/>
        <v>CA-2013-AH10210140-41615</v>
      </c>
    </row>
    <row r="288" spans="1:26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2679</v>
      </c>
      <c r="O288" s="8" t="str">
        <f t="shared" si="28"/>
        <v>Cari Sayre</v>
      </c>
      <c r="P288" s="8" t="str">
        <f t="shared" si="29"/>
        <v>MX</v>
      </c>
      <c r="Q288" s="8" t="str">
        <f t="shared" si="30"/>
        <v>2012</v>
      </c>
      <c r="R288" s="8" t="str">
        <f t="shared" si="31"/>
        <v>HIGH</v>
      </c>
      <c r="S288" s="8" t="str">
        <f t="shared" si="32"/>
        <v>office supplies</v>
      </c>
      <c r="T288" s="18" t="str">
        <f t="shared" si="33"/>
        <v>41216</v>
      </c>
      <c r="U288" s="30" t="s">
        <v>2930</v>
      </c>
      <c r="V288" s="16" t="s">
        <v>2695</v>
      </c>
      <c r="W288" s="33">
        <v>2012</v>
      </c>
      <c r="X288" t="s">
        <v>2930</v>
      </c>
      <c r="Y288" s="31">
        <v>41216</v>
      </c>
      <c r="Z288" s="31" t="str">
        <f t="shared" si="34"/>
        <v>MX-2012-CS1184516-41216</v>
      </c>
    </row>
    <row r="289" spans="1:26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2679</v>
      </c>
      <c r="O289" s="13" t="str">
        <f t="shared" si="28"/>
        <v>Kimberly Carter</v>
      </c>
      <c r="P289" s="13" t="str">
        <f t="shared" si="29"/>
        <v>IT</v>
      </c>
      <c r="Q289" s="13" t="str">
        <f t="shared" si="30"/>
        <v>2014</v>
      </c>
      <c r="R289" s="13" t="str">
        <f t="shared" si="31"/>
        <v>CRITICAL</v>
      </c>
      <c r="S289" s="13" t="str">
        <f t="shared" si="32"/>
        <v>technology</v>
      </c>
      <c r="T289" s="21" t="str">
        <f t="shared" si="33"/>
        <v>41882</v>
      </c>
      <c r="U289" s="30" t="s">
        <v>2931</v>
      </c>
      <c r="V289" s="19" t="s">
        <v>2690</v>
      </c>
      <c r="W289" s="33">
        <v>2014</v>
      </c>
      <c r="X289" t="s">
        <v>2931</v>
      </c>
      <c r="Y289" s="31">
        <v>41882</v>
      </c>
      <c r="Z289" s="31" t="str">
        <f t="shared" si="34"/>
        <v>IT-2014-KC1667548-41882</v>
      </c>
    </row>
    <row r="290" spans="1:26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2679</v>
      </c>
      <c r="O290" s="8" t="str">
        <f t="shared" si="28"/>
        <v>Alan Hwang</v>
      </c>
      <c r="P290" s="8" t="str">
        <f t="shared" si="29"/>
        <v>CA</v>
      </c>
      <c r="Q290" s="8" t="str">
        <f t="shared" si="30"/>
        <v>2012</v>
      </c>
      <c r="R290" s="8" t="str">
        <f t="shared" si="31"/>
        <v>MEDIUM</v>
      </c>
      <c r="S290" s="8" t="str">
        <f t="shared" si="32"/>
        <v>office supplies</v>
      </c>
      <c r="T290" s="18" t="str">
        <f t="shared" si="33"/>
        <v>41241</v>
      </c>
      <c r="U290" s="30" t="s">
        <v>2917</v>
      </c>
      <c r="V290" s="16" t="s">
        <v>2683</v>
      </c>
      <c r="W290" s="33">
        <v>2012</v>
      </c>
      <c r="X290" t="s">
        <v>2917</v>
      </c>
      <c r="Y290" s="31">
        <v>41241</v>
      </c>
      <c r="Z290" s="31" t="str">
        <f t="shared" si="34"/>
        <v>CA-2012-AH10210140-41241</v>
      </c>
    </row>
    <row r="291" spans="1:26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2679</v>
      </c>
      <c r="O291" s="13" t="str">
        <f t="shared" si="28"/>
        <v>Parhena Norris</v>
      </c>
      <c r="P291" s="13" t="str">
        <f t="shared" si="29"/>
        <v>IN</v>
      </c>
      <c r="Q291" s="13" t="str">
        <f t="shared" si="30"/>
        <v>2013</v>
      </c>
      <c r="R291" s="13" t="str">
        <f t="shared" si="31"/>
        <v>HIGH</v>
      </c>
      <c r="S291" s="13" t="str">
        <f t="shared" si="32"/>
        <v>furniture</v>
      </c>
      <c r="T291" s="21" t="str">
        <f t="shared" si="33"/>
        <v>41527</v>
      </c>
      <c r="U291" s="30" t="s">
        <v>2932</v>
      </c>
      <c r="V291" s="19" t="s">
        <v>2681</v>
      </c>
      <c r="W291" s="33">
        <v>2013</v>
      </c>
      <c r="X291" t="s">
        <v>2932</v>
      </c>
      <c r="Y291" s="31">
        <v>41527</v>
      </c>
      <c r="Z291" s="31" t="str">
        <f t="shared" si="34"/>
        <v>IN-2013-PN1877527-41527</v>
      </c>
    </row>
    <row r="292" spans="1:26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2679</v>
      </c>
      <c r="O292" s="8" t="str">
        <f t="shared" si="28"/>
        <v>Eugene Hildebrand</v>
      </c>
      <c r="P292" s="8" t="str">
        <f t="shared" si="29"/>
        <v>IN</v>
      </c>
      <c r="Q292" s="8" t="str">
        <f t="shared" si="30"/>
        <v>2014</v>
      </c>
      <c r="R292" s="8" t="str">
        <f t="shared" si="31"/>
        <v>HIGH</v>
      </c>
      <c r="S292" s="8" t="str">
        <f t="shared" si="32"/>
        <v>technology</v>
      </c>
      <c r="T292" s="18" t="str">
        <f t="shared" si="33"/>
        <v>41936</v>
      </c>
      <c r="U292" s="30" t="s">
        <v>2933</v>
      </c>
      <c r="V292" s="16" t="s">
        <v>2681</v>
      </c>
      <c r="W292" s="33">
        <v>2014</v>
      </c>
      <c r="X292" t="s">
        <v>2933</v>
      </c>
      <c r="Y292" s="31">
        <v>41936</v>
      </c>
      <c r="Z292" s="31" t="str">
        <f t="shared" si="34"/>
        <v>IN-2014-EH1412578-41936</v>
      </c>
    </row>
    <row r="293" spans="1:26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2679</v>
      </c>
      <c r="O293" s="13" t="str">
        <f t="shared" si="28"/>
        <v>Arthur Gainer</v>
      </c>
      <c r="P293" s="13" t="str">
        <f t="shared" si="29"/>
        <v xml:space="preserve"> E</v>
      </c>
      <c r="Q293" s="13" t="str">
        <f t="shared" si="30"/>
        <v>-201</v>
      </c>
      <c r="R293" s="13" t="str">
        <f t="shared" si="31"/>
        <v>HIGH</v>
      </c>
      <c r="S293" s="13" t="str">
        <f t="shared" si="32"/>
        <v>technology</v>
      </c>
      <c r="T293" s="21" t="str">
        <f t="shared" si="33"/>
        <v xml:space="preserve">1801 </v>
      </c>
      <c r="U293" s="30" t="s">
        <v>2934</v>
      </c>
      <c r="V293" s="19" t="s">
        <v>2877</v>
      </c>
      <c r="W293" s="33">
        <v>2014</v>
      </c>
      <c r="X293" t="s">
        <v>2934</v>
      </c>
      <c r="Y293" s="31">
        <v>41801</v>
      </c>
      <c r="Z293" s="31" t="str">
        <f t="shared" si="34"/>
        <v>ES-2014-AG1090045-41801</v>
      </c>
    </row>
    <row r="294" spans="1:26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2679</v>
      </c>
      <c r="O294" s="8" t="str">
        <f t="shared" si="28"/>
        <v>Alan Hwang</v>
      </c>
      <c r="P294" s="8" t="str">
        <f t="shared" si="29"/>
        <v>CA</v>
      </c>
      <c r="Q294" s="8" t="str">
        <f t="shared" si="30"/>
        <v>2014</v>
      </c>
      <c r="R294" s="8" t="str">
        <f t="shared" si="31"/>
        <v>MEDIUM</v>
      </c>
      <c r="S294" s="8" t="str">
        <f t="shared" si="32"/>
        <v>office supplies</v>
      </c>
      <c r="T294" s="18" t="str">
        <f t="shared" si="33"/>
        <v>41690</v>
      </c>
      <c r="U294" s="30" t="s">
        <v>2917</v>
      </c>
      <c r="V294" s="16" t="s">
        <v>2683</v>
      </c>
      <c r="W294" s="33">
        <v>2014</v>
      </c>
      <c r="X294" t="s">
        <v>2917</v>
      </c>
      <c r="Y294" s="31">
        <v>41690</v>
      </c>
      <c r="Z294" s="31" t="str">
        <f t="shared" si="34"/>
        <v>CA-2014-AH10210140-41690</v>
      </c>
    </row>
    <row r="295" spans="1:26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2679</v>
      </c>
      <c r="O295" s="13" t="str">
        <f t="shared" si="28"/>
        <v>Brosina Hoffman</v>
      </c>
      <c r="P295" s="13" t="str">
        <f t="shared" si="29"/>
        <v>MX</v>
      </c>
      <c r="Q295" s="13" t="str">
        <f t="shared" si="30"/>
        <v>2014</v>
      </c>
      <c r="R295" s="13" t="str">
        <f t="shared" si="31"/>
        <v>HIGH</v>
      </c>
      <c r="S295" s="13" t="str">
        <f t="shared" si="32"/>
        <v>technology</v>
      </c>
      <c r="T295" s="21" t="str">
        <f t="shared" si="33"/>
        <v>41930</v>
      </c>
      <c r="U295" s="30" t="s">
        <v>2935</v>
      </c>
      <c r="V295" s="19" t="s">
        <v>2695</v>
      </c>
      <c r="W295" s="33">
        <v>2014</v>
      </c>
      <c r="X295" t="s">
        <v>2935</v>
      </c>
      <c r="Y295" s="31">
        <v>41930</v>
      </c>
      <c r="Z295" s="31" t="str">
        <f t="shared" si="34"/>
        <v>MX-2014-BH1171039-41930</v>
      </c>
    </row>
    <row r="296" spans="1:26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2679</v>
      </c>
      <c r="O296" s="8" t="str">
        <f t="shared" si="28"/>
        <v>Stuart Calhoun</v>
      </c>
      <c r="P296" s="8" t="str">
        <f t="shared" si="29"/>
        <v>IN</v>
      </c>
      <c r="Q296" s="8" t="str">
        <f t="shared" si="30"/>
        <v>2013</v>
      </c>
      <c r="R296" s="8" t="str">
        <f t="shared" si="31"/>
        <v>HIGH</v>
      </c>
      <c r="S296" s="8" t="str">
        <f t="shared" si="32"/>
        <v>furniture</v>
      </c>
      <c r="T296" s="18" t="str">
        <f t="shared" si="33"/>
        <v>41310</v>
      </c>
      <c r="U296" s="30" t="s">
        <v>2936</v>
      </c>
      <c r="V296" s="16" t="s">
        <v>2681</v>
      </c>
      <c r="W296" s="33">
        <v>2013</v>
      </c>
      <c r="X296" t="s">
        <v>2936</v>
      </c>
      <c r="Y296" s="31">
        <v>41310</v>
      </c>
      <c r="Z296" s="31" t="str">
        <f t="shared" si="34"/>
        <v>IN-2013-SC2080058-41310</v>
      </c>
    </row>
    <row r="297" spans="1:26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2679</v>
      </c>
      <c r="O297" s="13" t="str">
        <f t="shared" si="28"/>
        <v>Alan Hwang</v>
      </c>
      <c r="P297" s="13" t="str">
        <f t="shared" si="29"/>
        <v>CA</v>
      </c>
      <c r="Q297" s="13" t="str">
        <f t="shared" si="30"/>
        <v>2013</v>
      </c>
      <c r="R297" s="13" t="str">
        <f t="shared" si="31"/>
        <v>MEDIUM</v>
      </c>
      <c r="S297" s="13" t="str">
        <f t="shared" si="32"/>
        <v>office supplies</v>
      </c>
      <c r="T297" s="21" t="str">
        <f t="shared" si="33"/>
        <v>41615</v>
      </c>
      <c r="U297" s="30" t="s">
        <v>2917</v>
      </c>
      <c r="V297" s="19" t="s">
        <v>2683</v>
      </c>
      <c r="W297" s="33">
        <v>2013</v>
      </c>
      <c r="X297" t="s">
        <v>2917</v>
      </c>
      <c r="Y297" s="31">
        <v>41615</v>
      </c>
      <c r="Z297" s="31" t="str">
        <f t="shared" si="34"/>
        <v>CA-2013-AH10210140-41615</v>
      </c>
    </row>
    <row r="298" spans="1:26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2679</v>
      </c>
      <c r="O298" s="8" t="str">
        <f t="shared" si="28"/>
        <v>Arthur Prichep</v>
      </c>
      <c r="P298" s="8" t="str">
        <f t="shared" si="29"/>
        <v>IN</v>
      </c>
      <c r="Q298" s="8" t="str">
        <f t="shared" si="30"/>
        <v>2015</v>
      </c>
      <c r="R298" s="8" t="str">
        <f t="shared" si="31"/>
        <v>HIGH</v>
      </c>
      <c r="S298" s="8" t="str">
        <f t="shared" si="32"/>
        <v>technology</v>
      </c>
      <c r="T298" s="18" t="str">
        <f t="shared" si="33"/>
        <v>42244</v>
      </c>
      <c r="U298" s="30" t="s">
        <v>2937</v>
      </c>
      <c r="V298" s="16" t="s">
        <v>2681</v>
      </c>
      <c r="W298" s="33">
        <v>2015</v>
      </c>
      <c r="X298" t="s">
        <v>2937</v>
      </c>
      <c r="Y298" s="31">
        <v>42244</v>
      </c>
      <c r="Z298" s="31" t="str">
        <f t="shared" si="34"/>
        <v>IN-2015-AP1091527-42244</v>
      </c>
    </row>
    <row r="299" spans="1:26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2679</v>
      </c>
      <c r="O299" s="13" t="str">
        <f t="shared" si="28"/>
        <v>Alan Hwang</v>
      </c>
      <c r="P299" s="13" t="str">
        <f t="shared" si="29"/>
        <v>CA</v>
      </c>
      <c r="Q299" s="13" t="str">
        <f t="shared" si="30"/>
        <v>2015</v>
      </c>
      <c r="R299" s="13" t="str">
        <f t="shared" si="31"/>
        <v>MEDIUM</v>
      </c>
      <c r="S299" s="13" t="str">
        <f t="shared" si="32"/>
        <v>office supplies</v>
      </c>
      <c r="T299" s="21" t="str">
        <f t="shared" si="33"/>
        <v>42072</v>
      </c>
      <c r="U299" s="30" t="s">
        <v>2917</v>
      </c>
      <c r="V299" s="19" t="s">
        <v>2683</v>
      </c>
      <c r="W299" s="33">
        <v>2015</v>
      </c>
      <c r="X299" t="s">
        <v>2917</v>
      </c>
      <c r="Y299" s="31">
        <v>42072</v>
      </c>
      <c r="Z299" s="31" t="str">
        <f t="shared" si="34"/>
        <v>CA-2015-AH10210140-42072</v>
      </c>
    </row>
    <row r="300" spans="1:26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2679</v>
      </c>
      <c r="O300" s="8" t="str">
        <f t="shared" si="28"/>
        <v>Mike Pelletier</v>
      </c>
      <c r="P300" s="8" t="str">
        <f t="shared" si="29"/>
        <v>IT</v>
      </c>
      <c r="Q300" s="8" t="str">
        <f t="shared" si="30"/>
        <v>2012</v>
      </c>
      <c r="R300" s="8" t="str">
        <f t="shared" si="31"/>
        <v>CRITICAL</v>
      </c>
      <c r="S300" s="8" t="str">
        <f t="shared" si="32"/>
        <v>furniture</v>
      </c>
      <c r="T300" s="18" t="str">
        <f t="shared" si="33"/>
        <v>41040</v>
      </c>
      <c r="U300" s="30" t="s">
        <v>2938</v>
      </c>
      <c r="V300" s="16" t="s">
        <v>2690</v>
      </c>
      <c r="W300" s="33">
        <v>2012</v>
      </c>
      <c r="X300" t="s">
        <v>2938</v>
      </c>
      <c r="Y300" s="31">
        <v>41040</v>
      </c>
      <c r="Z300" s="31" t="str">
        <f t="shared" si="34"/>
        <v>IT-2012-MP1817545-41040</v>
      </c>
    </row>
    <row r="301" spans="1:26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2679</v>
      </c>
      <c r="O301" s="13" t="str">
        <f t="shared" si="28"/>
        <v>Tonja Turnell</v>
      </c>
      <c r="P301" s="13" t="str">
        <f t="shared" si="29"/>
        <v>AL</v>
      </c>
      <c r="Q301" s="13" t="str">
        <f t="shared" si="30"/>
        <v>2014</v>
      </c>
      <c r="R301" s="13" t="str">
        <f t="shared" si="31"/>
        <v>CRITICAL</v>
      </c>
      <c r="S301" s="13" t="str">
        <f t="shared" si="32"/>
        <v>technology</v>
      </c>
      <c r="T301" s="21" t="str">
        <f t="shared" si="33"/>
        <v>41863</v>
      </c>
      <c r="U301" s="30" t="s">
        <v>2939</v>
      </c>
      <c r="V301" s="19" t="s">
        <v>2940</v>
      </c>
      <c r="W301" s="33">
        <v>2014</v>
      </c>
      <c r="X301" t="s">
        <v>2939</v>
      </c>
      <c r="Y301" s="31">
        <v>41863</v>
      </c>
      <c r="Z301" s="31" t="str">
        <f t="shared" si="34"/>
        <v>AL-2014-TT114602-41863</v>
      </c>
    </row>
    <row r="302" spans="1:26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2679</v>
      </c>
      <c r="O302" s="8" t="str">
        <f t="shared" si="28"/>
        <v>Rick Reed</v>
      </c>
      <c r="P302" s="8" t="str">
        <f t="shared" si="29"/>
        <v>IN</v>
      </c>
      <c r="Q302" s="8" t="str">
        <f t="shared" si="30"/>
        <v>2015</v>
      </c>
      <c r="R302" s="8" t="str">
        <f t="shared" si="31"/>
        <v>CRITICAL</v>
      </c>
      <c r="S302" s="8" t="str">
        <f t="shared" si="32"/>
        <v>technology</v>
      </c>
      <c r="T302" s="18" t="str">
        <f t="shared" si="33"/>
        <v>42035</v>
      </c>
      <c r="U302" s="30" t="s">
        <v>2941</v>
      </c>
      <c r="V302" s="16" t="s">
        <v>2681</v>
      </c>
      <c r="W302" s="33">
        <v>2015</v>
      </c>
      <c r="X302" t="s">
        <v>2941</v>
      </c>
      <c r="Y302" s="31">
        <v>42035</v>
      </c>
      <c r="Z302" s="31" t="str">
        <f t="shared" si="34"/>
        <v>IN-2015-RR1952527-42035</v>
      </c>
    </row>
    <row r="303" spans="1:26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2679</v>
      </c>
      <c r="O303" s="13" t="str">
        <f t="shared" si="28"/>
        <v>Toby Ritter</v>
      </c>
      <c r="P303" s="13" t="str">
        <f t="shared" si="29"/>
        <v>TZ</v>
      </c>
      <c r="Q303" s="13" t="str">
        <f t="shared" si="30"/>
        <v>2012</v>
      </c>
      <c r="R303" s="13" t="str">
        <f t="shared" si="31"/>
        <v>CRITICAL</v>
      </c>
      <c r="S303" s="13" t="str">
        <f t="shared" si="32"/>
        <v>technology</v>
      </c>
      <c r="T303" s="21" t="str">
        <f t="shared" si="33"/>
        <v>41031</v>
      </c>
      <c r="U303" s="30" t="s">
        <v>2942</v>
      </c>
      <c r="V303" s="19" t="s">
        <v>2943</v>
      </c>
      <c r="W303" s="33">
        <v>2012</v>
      </c>
      <c r="X303" t="s">
        <v>2942</v>
      </c>
      <c r="Y303" s="31">
        <v>41031</v>
      </c>
      <c r="Z303" s="31" t="str">
        <f t="shared" si="34"/>
        <v>TZ-2012-TR11325129-41031</v>
      </c>
    </row>
    <row r="304" spans="1:26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2679</v>
      </c>
      <c r="O304" s="8" t="str">
        <f t="shared" si="28"/>
        <v>Shaun Chance</v>
      </c>
      <c r="P304" s="8" t="str">
        <f t="shared" si="29"/>
        <v>MX</v>
      </c>
      <c r="Q304" s="8" t="str">
        <f t="shared" si="30"/>
        <v>2014</v>
      </c>
      <c r="R304" s="8" t="str">
        <f t="shared" si="31"/>
        <v xml:space="preserve"> HIGH </v>
      </c>
      <c r="S304" s="8" t="str">
        <f t="shared" si="32"/>
        <v>technology</v>
      </c>
      <c r="T304" s="18" t="str">
        <f t="shared" si="33"/>
        <v>41877</v>
      </c>
      <c r="U304" s="30" t="s">
        <v>2944</v>
      </c>
      <c r="V304" s="16" t="s">
        <v>2695</v>
      </c>
      <c r="W304" s="33">
        <v>2014</v>
      </c>
      <c r="X304" t="s">
        <v>2944</v>
      </c>
      <c r="Y304" s="31">
        <v>41877</v>
      </c>
      <c r="Z304" s="31" t="str">
        <f t="shared" si="34"/>
        <v>MX-2014-SC2044082-41877</v>
      </c>
    </row>
    <row r="305" spans="1:26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2679</v>
      </c>
      <c r="O305" s="13" t="str">
        <f t="shared" si="28"/>
        <v>Bill Eplett</v>
      </c>
      <c r="P305" s="13" t="str">
        <f t="shared" si="29"/>
        <v>ES</v>
      </c>
      <c r="Q305" s="13" t="str">
        <f t="shared" si="30"/>
        <v>2013</v>
      </c>
      <c r="R305" s="13" t="str">
        <f t="shared" si="31"/>
        <v>MEDIUM</v>
      </c>
      <c r="S305" s="13" t="str">
        <f t="shared" si="32"/>
        <v>technology</v>
      </c>
      <c r="T305" s="21" t="str">
        <f t="shared" si="33"/>
        <v>41340</v>
      </c>
      <c r="U305" s="30" t="s">
        <v>2945</v>
      </c>
      <c r="V305" s="19" t="s">
        <v>2710</v>
      </c>
      <c r="W305" s="33">
        <v>2013</v>
      </c>
      <c r="X305" t="s">
        <v>2945</v>
      </c>
      <c r="Y305" s="31">
        <v>41340</v>
      </c>
      <c r="Z305" s="31" t="str">
        <f t="shared" si="34"/>
        <v>ES-2013-BE11335139-41340</v>
      </c>
    </row>
    <row r="306" spans="1:26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2679</v>
      </c>
      <c r="O306" s="8" t="str">
        <f t="shared" si="28"/>
        <v>Joni Blumstein</v>
      </c>
      <c r="P306" s="8" t="str">
        <f t="shared" si="29"/>
        <v>IT</v>
      </c>
      <c r="Q306" s="8" t="str">
        <f t="shared" si="30"/>
        <v>2014</v>
      </c>
      <c r="R306" s="8" t="str">
        <f t="shared" si="31"/>
        <v>MEDIUM</v>
      </c>
      <c r="S306" s="8" t="str">
        <f t="shared" si="32"/>
        <v>technology</v>
      </c>
      <c r="T306" s="18" t="str">
        <f t="shared" si="33"/>
        <v>-1789</v>
      </c>
      <c r="U306" s="30" t="s">
        <v>2946</v>
      </c>
      <c r="V306" s="16" t="s">
        <v>2690</v>
      </c>
      <c r="W306" s="33">
        <v>2014</v>
      </c>
      <c r="X306" t="s">
        <v>2946</v>
      </c>
      <c r="Y306" s="31">
        <v>1789</v>
      </c>
      <c r="Z306" s="31" t="str">
        <f t="shared" si="34"/>
        <v>IT-2014-JB15925484-1789</v>
      </c>
    </row>
    <row r="307" spans="1:26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2679</v>
      </c>
      <c r="O307" s="13" t="str">
        <f t="shared" si="28"/>
        <v>Tamara Willingham</v>
      </c>
      <c r="P307" s="13" t="str">
        <f t="shared" si="29"/>
        <v>ES</v>
      </c>
      <c r="Q307" s="13" t="str">
        <f t="shared" si="30"/>
        <v>2014</v>
      </c>
      <c r="R307" s="13" t="str">
        <f t="shared" si="31"/>
        <v>MEDIUM</v>
      </c>
      <c r="S307" s="13" t="str">
        <f t="shared" si="32"/>
        <v>technology</v>
      </c>
      <c r="T307" s="21" t="str">
        <f t="shared" si="33"/>
        <v>41807</v>
      </c>
      <c r="U307" s="30" t="s">
        <v>2947</v>
      </c>
      <c r="V307" s="19" t="s">
        <v>2710</v>
      </c>
      <c r="W307" s="33">
        <v>2014</v>
      </c>
      <c r="X307" t="s">
        <v>2947</v>
      </c>
      <c r="Y307" s="31">
        <v>41807</v>
      </c>
      <c r="Z307" s="31" t="str">
        <f t="shared" si="34"/>
        <v>ES-2014-TW21025139-41807</v>
      </c>
    </row>
    <row r="308" spans="1:26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2679</v>
      </c>
      <c r="O308" s="8" t="str">
        <f t="shared" si="28"/>
        <v>Lena Radford</v>
      </c>
      <c r="P308" s="8" t="str">
        <f t="shared" si="29"/>
        <v>ES</v>
      </c>
      <c r="Q308" s="8" t="str">
        <f t="shared" si="30"/>
        <v>2013</v>
      </c>
      <c r="R308" s="8" t="str">
        <f t="shared" si="31"/>
        <v>MEDIUM</v>
      </c>
      <c r="S308" s="8" t="str">
        <f t="shared" si="32"/>
        <v>office supplies</v>
      </c>
      <c r="T308" s="18" t="str">
        <f t="shared" si="33"/>
        <v>41537</v>
      </c>
      <c r="U308" s="30" t="s">
        <v>2948</v>
      </c>
      <c r="V308" s="16" t="s">
        <v>2710</v>
      </c>
      <c r="W308" s="33">
        <v>2013</v>
      </c>
      <c r="X308" t="s">
        <v>2948</v>
      </c>
      <c r="Y308" s="31">
        <v>41537</v>
      </c>
      <c r="Z308" s="31" t="str">
        <f t="shared" si="34"/>
        <v>ES-2013-LR1691544-41537</v>
      </c>
    </row>
    <row r="309" spans="1:26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2679</v>
      </c>
      <c r="O309" s="13" t="str">
        <f t="shared" si="28"/>
        <v>Alan Schoenberger</v>
      </c>
      <c r="P309" s="13" t="str">
        <f t="shared" si="29"/>
        <v>CA</v>
      </c>
      <c r="Q309" s="13" t="str">
        <f t="shared" si="30"/>
        <v>2015</v>
      </c>
      <c r="R309" s="13" t="str">
        <f t="shared" si="31"/>
        <v>MEDIUM</v>
      </c>
      <c r="S309" s="13" t="str">
        <f t="shared" si="32"/>
        <v>office supplies</v>
      </c>
      <c r="T309" s="21" t="str">
        <f t="shared" si="33"/>
        <v>42265</v>
      </c>
      <c r="U309" s="30" t="s">
        <v>2949</v>
      </c>
      <c r="V309" s="19" t="s">
        <v>2683</v>
      </c>
      <c r="W309" s="33">
        <v>2015</v>
      </c>
      <c r="X309" t="s">
        <v>2949</v>
      </c>
      <c r="Y309" s="31">
        <v>42265</v>
      </c>
      <c r="Z309" s="31" t="str">
        <f t="shared" si="34"/>
        <v>CA-2015-AS10225140-42265</v>
      </c>
    </row>
    <row r="310" spans="1:26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2679</v>
      </c>
      <c r="O310" s="8" t="str">
        <f t="shared" si="28"/>
        <v>Frank Olsen</v>
      </c>
      <c r="P310" s="8" t="str">
        <f t="shared" si="29"/>
        <v>ES</v>
      </c>
      <c r="Q310" s="8" t="str">
        <f t="shared" si="30"/>
        <v>2012</v>
      </c>
      <c r="R310" s="8" t="str">
        <f t="shared" si="31"/>
        <v>HIGH</v>
      </c>
      <c r="S310" s="8" t="str">
        <f t="shared" si="32"/>
        <v>office supplies</v>
      </c>
      <c r="T310" s="18" t="str">
        <f t="shared" si="33"/>
        <v>41141</v>
      </c>
      <c r="U310" s="30" t="s">
        <v>2950</v>
      </c>
      <c r="V310" s="16" t="s">
        <v>2710</v>
      </c>
      <c r="W310" s="33">
        <v>2012</v>
      </c>
      <c r="X310" t="s">
        <v>2950</v>
      </c>
      <c r="Y310" s="31">
        <v>41141</v>
      </c>
      <c r="Z310" s="31" t="str">
        <f t="shared" si="34"/>
        <v>ES-2012-FO1430545-41141</v>
      </c>
    </row>
    <row r="311" spans="1:26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2679</v>
      </c>
      <c r="O311" s="13" t="str">
        <f t="shared" si="28"/>
        <v>Clytie Kelty</v>
      </c>
      <c r="P311" s="13" t="str">
        <f t="shared" si="29"/>
        <v>IN</v>
      </c>
      <c r="Q311" s="13" t="str">
        <f t="shared" si="30"/>
        <v>2014</v>
      </c>
      <c r="R311" s="13" t="str">
        <f t="shared" si="31"/>
        <v>CRITICAL</v>
      </c>
      <c r="S311" s="13" t="str">
        <f t="shared" si="32"/>
        <v>technology</v>
      </c>
      <c r="T311" s="21" t="str">
        <f t="shared" si="33"/>
        <v>41929</v>
      </c>
      <c r="U311" s="30" t="s">
        <v>2831</v>
      </c>
      <c r="V311" s="19" t="s">
        <v>2681</v>
      </c>
      <c r="W311" s="33">
        <v>2014</v>
      </c>
      <c r="X311" t="s">
        <v>2831</v>
      </c>
      <c r="Y311" s="31">
        <v>41929</v>
      </c>
      <c r="Z311" s="31" t="str">
        <f t="shared" si="34"/>
        <v>IN-2014-CK1259592-41929</v>
      </c>
    </row>
    <row r="312" spans="1:26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2679</v>
      </c>
      <c r="O312" s="8" t="str">
        <f t="shared" si="28"/>
        <v>Roy Phan</v>
      </c>
      <c r="P312" s="8" t="str">
        <f t="shared" si="29"/>
        <v>ID</v>
      </c>
      <c r="Q312" s="8" t="str">
        <f t="shared" si="30"/>
        <v>2015</v>
      </c>
      <c r="R312" s="8" t="str">
        <f t="shared" si="31"/>
        <v>MEDIUM</v>
      </c>
      <c r="S312" s="8" t="str">
        <f t="shared" si="32"/>
        <v>technology</v>
      </c>
      <c r="T312" s="18" t="str">
        <f t="shared" si="33"/>
        <v>42348</v>
      </c>
      <c r="U312" s="30" t="s">
        <v>2951</v>
      </c>
      <c r="V312" s="16" t="s">
        <v>2705</v>
      </c>
      <c r="W312" s="33">
        <v>2015</v>
      </c>
      <c r="X312" t="s">
        <v>2951</v>
      </c>
      <c r="Y312" s="31">
        <v>42348</v>
      </c>
      <c r="Z312" s="31" t="str">
        <f t="shared" si="34"/>
        <v>ID-2015-RP19855130-42348</v>
      </c>
    </row>
    <row r="313" spans="1:26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 t="shared" si="28"/>
        <v>Craig Reiter</v>
      </c>
      <c r="P313" s="13" t="str">
        <f t="shared" si="29"/>
        <v>IN</v>
      </c>
      <c r="Q313" s="13" t="str">
        <f t="shared" si="30"/>
        <v>2014</v>
      </c>
      <c r="R313" s="13" t="str">
        <f t="shared" si="31"/>
        <v>MEDIUM</v>
      </c>
      <c r="S313" s="13" t="str">
        <f t="shared" si="32"/>
        <v>technology</v>
      </c>
      <c r="T313" s="21" t="str">
        <f t="shared" si="33"/>
        <v>41929</v>
      </c>
      <c r="U313" s="30" t="s">
        <v>2952</v>
      </c>
      <c r="V313" s="19" t="s">
        <v>2681</v>
      </c>
      <c r="W313" s="33">
        <v>2014</v>
      </c>
      <c r="X313" t="s">
        <v>2952</v>
      </c>
      <c r="Y313" s="31">
        <v>41929</v>
      </c>
      <c r="Z313" s="31" t="str">
        <f t="shared" si="34"/>
        <v>IN-2014-CR127307-41929</v>
      </c>
    </row>
    <row r="314" spans="1:26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 t="shared" si="28"/>
        <v>Peter Fuller</v>
      </c>
      <c r="P314" s="8" t="str">
        <f t="shared" si="29"/>
        <v>IN</v>
      </c>
      <c r="Q314" s="8" t="str">
        <f t="shared" si="30"/>
        <v>2014</v>
      </c>
      <c r="R314" s="8" t="str">
        <f t="shared" si="31"/>
        <v>CRITICAL</v>
      </c>
      <c r="S314" s="8" t="str">
        <f t="shared" si="32"/>
        <v>office supplies</v>
      </c>
      <c r="T314" s="18" t="str">
        <f t="shared" si="33"/>
        <v>41796</v>
      </c>
      <c r="U314" s="30" t="s">
        <v>2953</v>
      </c>
      <c r="V314" s="16" t="s">
        <v>2681</v>
      </c>
      <c r="W314" s="33">
        <v>2014</v>
      </c>
      <c r="X314" t="s">
        <v>2953</v>
      </c>
      <c r="Y314" s="31">
        <v>41796</v>
      </c>
      <c r="Z314" s="31" t="str">
        <f t="shared" si="34"/>
        <v>IN-2014-PF1912027-41796</v>
      </c>
    </row>
    <row r="315" spans="1:26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 t="shared" si="28"/>
        <v>Ritsa Hightower</v>
      </c>
      <c r="P315" s="13" t="str">
        <f t="shared" si="29"/>
        <v>TZ</v>
      </c>
      <c r="Q315" s="13" t="str">
        <f t="shared" si="30"/>
        <v>2015</v>
      </c>
      <c r="R315" s="13" t="str">
        <f t="shared" si="31"/>
        <v>HIGH</v>
      </c>
      <c r="S315" s="13" t="str">
        <f t="shared" si="32"/>
        <v>office supplies</v>
      </c>
      <c r="T315" s="21" t="str">
        <f t="shared" si="33"/>
        <v>42343</v>
      </c>
      <c r="U315" s="30" t="s">
        <v>2954</v>
      </c>
      <c r="V315" s="19" t="s">
        <v>2943</v>
      </c>
      <c r="W315" s="33">
        <v>2015</v>
      </c>
      <c r="X315" t="s">
        <v>2954</v>
      </c>
      <c r="Y315" s="31">
        <v>42343</v>
      </c>
      <c r="Z315" s="31" t="str">
        <f t="shared" si="34"/>
        <v>TZ-2015-RH9555129-42343</v>
      </c>
    </row>
    <row r="316" spans="1:26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 t="shared" si="28"/>
        <v>Jason Klamczynski</v>
      </c>
      <c r="P316" s="8" t="str">
        <f t="shared" si="29"/>
        <v>IN</v>
      </c>
      <c r="Q316" s="8" t="str">
        <f t="shared" si="30"/>
        <v>2012</v>
      </c>
      <c r="R316" s="8" t="str">
        <f t="shared" si="31"/>
        <v>CRITICAL</v>
      </c>
      <c r="S316" s="8" t="str">
        <f t="shared" si="32"/>
        <v>furniture</v>
      </c>
      <c r="T316" s="18" t="str">
        <f t="shared" si="33"/>
        <v>41030</v>
      </c>
      <c r="U316" s="30" t="s">
        <v>2955</v>
      </c>
      <c r="V316" s="16" t="s">
        <v>2681</v>
      </c>
      <c r="W316" s="33">
        <v>2012</v>
      </c>
      <c r="X316" t="s">
        <v>2955</v>
      </c>
      <c r="Y316" s="31">
        <v>41030</v>
      </c>
      <c r="Z316" s="31" t="str">
        <f t="shared" si="34"/>
        <v>IN-2012-JK1532527-41030</v>
      </c>
    </row>
    <row r="317" spans="1:26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 t="shared" si="28"/>
        <v>Valerie Dominguez</v>
      </c>
      <c r="P317" s="13" t="str">
        <f t="shared" si="29"/>
        <v>MX</v>
      </c>
      <c r="Q317" s="13" t="str">
        <f t="shared" si="30"/>
        <v>2015</v>
      </c>
      <c r="R317" s="13" t="str">
        <f t="shared" si="31"/>
        <v>CRITICAL</v>
      </c>
      <c r="S317" s="13" t="str">
        <f t="shared" si="32"/>
        <v>furniture</v>
      </c>
      <c r="T317" s="21" t="str">
        <f t="shared" si="33"/>
        <v>42252</v>
      </c>
      <c r="U317" s="30" t="s">
        <v>2956</v>
      </c>
      <c r="V317" s="19" t="s">
        <v>2695</v>
      </c>
      <c r="W317" s="33">
        <v>2015</v>
      </c>
      <c r="X317" t="s">
        <v>2956</v>
      </c>
      <c r="Y317" s="31">
        <v>42252</v>
      </c>
      <c r="Z317" s="31" t="str">
        <f t="shared" si="34"/>
        <v>MX-2015-VD2167039-42252</v>
      </c>
    </row>
    <row r="318" spans="1:26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 t="shared" si="28"/>
        <v>Aaron Hawkins</v>
      </c>
      <c r="P318" s="8" t="str">
        <f t="shared" si="29"/>
        <v>CA</v>
      </c>
      <c r="Q318" s="8" t="str">
        <f t="shared" si="30"/>
        <v>2012</v>
      </c>
      <c r="R318" s="8" t="str">
        <f t="shared" si="31"/>
        <v>CRITICAL</v>
      </c>
      <c r="S318" s="8" t="str">
        <f t="shared" si="32"/>
        <v>office supplies</v>
      </c>
      <c r="T318" s="18" t="str">
        <f t="shared" si="33"/>
        <v>41020</v>
      </c>
      <c r="U318" s="30" t="s">
        <v>2687</v>
      </c>
      <c r="V318" s="16" t="s">
        <v>2683</v>
      </c>
      <c r="W318" s="33">
        <v>2012</v>
      </c>
      <c r="X318" t="s">
        <v>2687</v>
      </c>
      <c r="Y318" s="31">
        <v>41020</v>
      </c>
      <c r="Z318" s="31" t="str">
        <f t="shared" si="34"/>
        <v>CA-2012-AH10030140-41020</v>
      </c>
    </row>
    <row r="319" spans="1:26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 t="shared" si="28"/>
        <v>Bill Shonely</v>
      </c>
      <c r="P319" s="13" t="str">
        <f t="shared" si="29"/>
        <v>ES</v>
      </c>
      <c r="Q319" s="13" t="str">
        <f t="shared" si="30"/>
        <v>2013</v>
      </c>
      <c r="R319" s="13" t="str">
        <f t="shared" si="31"/>
        <v>CRITICAL</v>
      </c>
      <c r="S319" s="13" t="str">
        <f t="shared" si="32"/>
        <v>technology</v>
      </c>
      <c r="T319" s="21" t="str">
        <f t="shared" si="33"/>
        <v>41472</v>
      </c>
      <c r="U319" s="30" t="s">
        <v>2957</v>
      </c>
      <c r="V319" s="19" t="s">
        <v>2710</v>
      </c>
      <c r="W319" s="33">
        <v>2013</v>
      </c>
      <c r="X319" t="s">
        <v>2957</v>
      </c>
      <c r="Y319" s="31">
        <v>41472</v>
      </c>
      <c r="Z319" s="31" t="str">
        <f t="shared" si="34"/>
        <v>ES-2013-BS1136545-41472</v>
      </c>
    </row>
    <row r="320" spans="1:26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 t="shared" si="28"/>
        <v>Aaron Hawkins</v>
      </c>
      <c r="P320" s="8" t="str">
        <f t="shared" si="29"/>
        <v>CA</v>
      </c>
      <c r="Q320" s="8" t="str">
        <f t="shared" si="30"/>
        <v>2013</v>
      </c>
      <c r="R320" s="8" t="str">
        <f t="shared" si="31"/>
        <v>MEDIUM</v>
      </c>
      <c r="S320" s="8" t="str">
        <f t="shared" si="32"/>
        <v>technology</v>
      </c>
      <c r="T320" s="18" t="str">
        <f t="shared" si="33"/>
        <v>41635</v>
      </c>
      <c r="U320" s="30" t="s">
        <v>2958</v>
      </c>
      <c r="V320" s="16" t="s">
        <v>2683</v>
      </c>
      <c r="W320" s="33">
        <v>2013</v>
      </c>
      <c r="X320" t="s">
        <v>2958</v>
      </c>
      <c r="Y320" s="31">
        <v>41635</v>
      </c>
      <c r="Z320" s="31" t="str">
        <f t="shared" si="34"/>
        <v>CA-2013-AH1003014-041635</v>
      </c>
    </row>
    <row r="321" spans="1:26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 t="shared" si="28"/>
        <v>Aaron Hawkins</v>
      </c>
      <c r="P321" s="13" t="str">
        <f t="shared" si="29"/>
        <v>CG</v>
      </c>
      <c r="Q321" s="13" t="str">
        <f t="shared" si="30"/>
        <v>2012</v>
      </c>
      <c r="R321" s="13" t="str">
        <f t="shared" si="31"/>
        <v>HIGH</v>
      </c>
      <c r="S321" s="13" t="str">
        <f t="shared" si="32"/>
        <v>technoolgy</v>
      </c>
      <c r="T321" s="21" t="str">
        <f t="shared" si="33"/>
        <v>41165</v>
      </c>
      <c r="U321" s="30" t="s">
        <v>2959</v>
      </c>
      <c r="V321" s="19" t="s">
        <v>2837</v>
      </c>
      <c r="W321" s="33">
        <v>2012</v>
      </c>
      <c r="X321" t="s">
        <v>2959</v>
      </c>
      <c r="Y321" s="31">
        <v>41165</v>
      </c>
      <c r="Z321" s="31" t="str">
        <f t="shared" si="34"/>
        <v>CG-2012-AH1003033-41165</v>
      </c>
    </row>
    <row r="322" spans="1:26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 t="shared" ref="O322:O385" si="35">PROPER(D322)</f>
        <v>Aaron Hawkins</v>
      </c>
      <c r="P322" s="8" t="str">
        <f t="shared" ref="P322:P385" si="36">LEFT(A322,2)</f>
        <v>CA</v>
      </c>
      <c r="Q322" s="8" t="str">
        <f t="shared" ref="Q322:Q385" si="37">MID(A322,4,4)</f>
        <v>2012</v>
      </c>
      <c r="R322" s="8" t="str">
        <f t="shared" ref="R322:R385" si="38">UPPER(M322)</f>
        <v>MEDIUM</v>
      </c>
      <c r="S322" s="8" t="str">
        <f t="shared" ref="S322:S385" si="39">LOWER(G322)</f>
        <v>furniture</v>
      </c>
      <c r="T322" s="18" t="str">
        <f t="shared" ref="T322:T385" si="40">RIGHT(A322,5)</f>
        <v>41041</v>
      </c>
      <c r="U322" s="30" t="s">
        <v>2687</v>
      </c>
      <c r="V322" s="16" t="s">
        <v>2683</v>
      </c>
      <c r="W322" s="33">
        <v>2012</v>
      </c>
      <c r="X322" t="s">
        <v>2687</v>
      </c>
      <c r="Y322" s="31">
        <v>41041</v>
      </c>
      <c r="Z322" s="31" t="str">
        <f t="shared" ref="Z322:Z385" si="41">TRIM(A322)</f>
        <v>CA-2012-AH10030140-41041</v>
      </c>
    </row>
    <row r="323" spans="1:26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 t="shared" si="35"/>
        <v>Joy Bell-</v>
      </c>
      <c r="P323" s="13" t="str">
        <f t="shared" si="36"/>
        <v>ID</v>
      </c>
      <c r="Q323" s="13" t="str">
        <f t="shared" si="37"/>
        <v>2014</v>
      </c>
      <c r="R323" s="13" t="str">
        <f t="shared" si="38"/>
        <v>HIGH</v>
      </c>
      <c r="S323" s="13" t="str">
        <f t="shared" si="39"/>
        <v>technology</v>
      </c>
      <c r="T323" s="21" t="str">
        <f t="shared" si="40"/>
        <v>41873</v>
      </c>
      <c r="U323" s="30" t="s">
        <v>2960</v>
      </c>
      <c r="V323" s="19" t="s">
        <v>2705</v>
      </c>
      <c r="W323" s="33">
        <v>2014</v>
      </c>
      <c r="X323" t="s">
        <v>2960</v>
      </c>
      <c r="Y323" s="31">
        <v>41873</v>
      </c>
      <c r="Z323" s="31" t="str">
        <f t="shared" si="41"/>
        <v>ID-2014-JB1600059-41873</v>
      </c>
    </row>
    <row r="324" spans="1:26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 t="shared" si="35"/>
        <v>Barry Franz</v>
      </c>
      <c r="P324" s="8" t="str">
        <f t="shared" si="36"/>
        <v>IN</v>
      </c>
      <c r="Q324" s="8" t="str">
        <f t="shared" si="37"/>
        <v>2015</v>
      </c>
      <c r="R324" s="8" t="str">
        <f t="shared" si="38"/>
        <v>HIGH</v>
      </c>
      <c r="S324" s="8" t="str">
        <f t="shared" si="39"/>
        <v>technology</v>
      </c>
      <c r="T324" s="18" t="str">
        <f t="shared" si="40"/>
        <v>42319</v>
      </c>
      <c r="U324" s="30" t="s">
        <v>2961</v>
      </c>
      <c r="V324" s="16" t="s">
        <v>2681</v>
      </c>
      <c r="W324" s="33">
        <v>2015</v>
      </c>
      <c r="X324" t="s">
        <v>2961</v>
      </c>
      <c r="Y324" s="31">
        <v>42319</v>
      </c>
      <c r="Z324" s="31" t="str">
        <f t="shared" si="41"/>
        <v>IN-2015-BF1100558-42319</v>
      </c>
    </row>
    <row r="325" spans="1:26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 t="shared" si="35"/>
        <v>Vivek Grady</v>
      </c>
      <c r="P325" s="13" t="str">
        <f t="shared" si="36"/>
        <v>IN</v>
      </c>
      <c r="Q325" s="13" t="str">
        <f t="shared" si="37"/>
        <v>2015</v>
      </c>
      <c r="R325" s="13" t="str">
        <f t="shared" si="38"/>
        <v>MEDIUM</v>
      </c>
      <c r="S325" s="13" t="str">
        <f t="shared" si="39"/>
        <v>furniture</v>
      </c>
      <c r="T325" s="21" t="str">
        <f t="shared" si="40"/>
        <v>42273</v>
      </c>
      <c r="U325" s="30" t="s">
        <v>2962</v>
      </c>
      <c r="V325" s="19" t="s">
        <v>2681</v>
      </c>
      <c r="W325" s="33">
        <v>2015</v>
      </c>
      <c r="X325" t="s">
        <v>2962</v>
      </c>
      <c r="Y325" s="31">
        <v>42273</v>
      </c>
      <c r="Z325" s="31" t="str">
        <f t="shared" si="41"/>
        <v>IN-2015-VG2180558-42273</v>
      </c>
    </row>
    <row r="326" spans="1:26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 t="shared" si="35"/>
        <v>Greg Tran</v>
      </c>
      <c r="P326" s="8" t="str">
        <f t="shared" si="36"/>
        <v>ES</v>
      </c>
      <c r="Q326" s="8" t="str">
        <f t="shared" si="37"/>
        <v>2013</v>
      </c>
      <c r="R326" s="8" t="str">
        <f t="shared" si="38"/>
        <v>HIGH</v>
      </c>
      <c r="S326" s="8" t="str">
        <f t="shared" si="39"/>
        <v>technology</v>
      </c>
      <c r="T326" s="18" t="str">
        <f t="shared" si="40"/>
        <v>41621</v>
      </c>
      <c r="U326" s="30" t="s">
        <v>2963</v>
      </c>
      <c r="V326" s="16" t="s">
        <v>2710</v>
      </c>
      <c r="W326" s="33">
        <v>2013</v>
      </c>
      <c r="X326" t="s">
        <v>2963</v>
      </c>
      <c r="Y326" s="31">
        <v>41621</v>
      </c>
      <c r="Z326" s="31" t="str">
        <f t="shared" si="41"/>
        <v>ES-2013-GT14710139-41621</v>
      </c>
    </row>
    <row r="327" spans="1:26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 t="shared" si="35"/>
        <v>Zuschuss Carroll</v>
      </c>
      <c r="P327" s="13" t="str">
        <f t="shared" si="36"/>
        <v>IT</v>
      </c>
      <c r="Q327" s="13" t="str">
        <f t="shared" si="37"/>
        <v>2012</v>
      </c>
      <c r="R327" s="13" t="str">
        <f t="shared" si="38"/>
        <v>CRITICAL</v>
      </c>
      <c r="S327" s="13" t="str">
        <f t="shared" si="39"/>
        <v>office supplies</v>
      </c>
      <c r="T327" s="21" t="str">
        <f t="shared" si="40"/>
        <v>41174</v>
      </c>
      <c r="U327" s="30" t="s">
        <v>2964</v>
      </c>
      <c r="V327" s="19" t="s">
        <v>2690</v>
      </c>
      <c r="W327" s="33">
        <v>2012</v>
      </c>
      <c r="X327" t="s">
        <v>2964</v>
      </c>
      <c r="Y327" s="31">
        <v>41174</v>
      </c>
      <c r="Z327" s="31" t="str">
        <f t="shared" si="41"/>
        <v>IT-2012-ZC2191048-41174</v>
      </c>
    </row>
    <row r="328" spans="1:26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 t="shared" si="35"/>
        <v>Arthur Prichep</v>
      </c>
      <c r="P328" s="8" t="str">
        <f t="shared" si="36"/>
        <v>IN</v>
      </c>
      <c r="Q328" s="8" t="str">
        <f t="shared" si="37"/>
        <v>2015</v>
      </c>
      <c r="R328" s="8" t="str">
        <f t="shared" si="38"/>
        <v>HIGH</v>
      </c>
      <c r="S328" s="8" t="str">
        <f t="shared" si="39"/>
        <v>furniture</v>
      </c>
      <c r="T328" s="18" t="str">
        <f t="shared" si="40"/>
        <v>42244</v>
      </c>
      <c r="U328" s="30" t="s">
        <v>2937</v>
      </c>
      <c r="V328" s="16" t="s">
        <v>2681</v>
      </c>
      <c r="W328" s="33">
        <v>2015</v>
      </c>
      <c r="X328" t="s">
        <v>2937</v>
      </c>
      <c r="Y328" s="31">
        <v>42244</v>
      </c>
      <c r="Z328" s="31" t="str">
        <f t="shared" si="41"/>
        <v>IN-2015-AP1091527-42244</v>
      </c>
    </row>
    <row r="329" spans="1:26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 t="shared" si="35"/>
        <v>John Huston</v>
      </c>
      <c r="P329" s="13" t="str">
        <f t="shared" si="36"/>
        <v>MX</v>
      </c>
      <c r="Q329" s="13" t="str">
        <f t="shared" si="37"/>
        <v>2015</v>
      </c>
      <c r="R329" s="13" t="str">
        <f t="shared" si="38"/>
        <v>HIGH</v>
      </c>
      <c r="S329" s="13" t="str">
        <f t="shared" si="39"/>
        <v>furniture</v>
      </c>
      <c r="T329" s="21" t="str">
        <f t="shared" si="40"/>
        <v>42356</v>
      </c>
      <c r="U329" s="30" t="s">
        <v>2965</v>
      </c>
      <c r="V329" s="19" t="s">
        <v>2695</v>
      </c>
      <c r="W329" s="33">
        <v>2015</v>
      </c>
      <c r="X329" t="s">
        <v>2965</v>
      </c>
      <c r="Y329" s="31">
        <v>42356</v>
      </c>
      <c r="Z329" s="31" t="str">
        <f t="shared" si="41"/>
        <v>MX-2015-JH15820141-42356</v>
      </c>
    </row>
    <row r="330" spans="1:26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 t="shared" si="35"/>
        <v>Trudy Glocke</v>
      </c>
      <c r="P330" s="8" t="str">
        <f t="shared" si="36"/>
        <v>IR</v>
      </c>
      <c r="Q330" s="8" t="str">
        <f t="shared" si="37"/>
        <v>2015</v>
      </c>
      <c r="R330" s="8" t="str">
        <f t="shared" si="38"/>
        <v>CRITICAL</v>
      </c>
      <c r="S330" s="8" t="str">
        <f t="shared" si="39"/>
        <v>technology</v>
      </c>
      <c r="T330" s="18" t="str">
        <f t="shared" si="40"/>
        <v>42265</v>
      </c>
      <c r="U330" s="30" t="s">
        <v>2966</v>
      </c>
      <c r="V330" s="16" t="s">
        <v>2781</v>
      </c>
      <c r="W330" s="33">
        <v>2015</v>
      </c>
      <c r="X330" t="s">
        <v>2966</v>
      </c>
      <c r="Y330" s="31">
        <v>42265</v>
      </c>
      <c r="Z330" s="31" t="str">
        <f t="shared" si="41"/>
        <v>IR-2015-TG1164060-42265</v>
      </c>
    </row>
    <row r="331" spans="1:26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 t="shared" si="35"/>
        <v>Mitch Webber</v>
      </c>
      <c r="P331" s="13" t="str">
        <f t="shared" si="36"/>
        <v>IN</v>
      </c>
      <c r="Q331" s="13" t="str">
        <f t="shared" si="37"/>
        <v>2015</v>
      </c>
      <c r="R331" s="13" t="str">
        <f t="shared" si="38"/>
        <v>HIGH</v>
      </c>
      <c r="S331" s="13" t="str">
        <f t="shared" si="39"/>
        <v>office supplies</v>
      </c>
      <c r="T331" s="21" t="str">
        <f t="shared" si="40"/>
        <v>42221</v>
      </c>
      <c r="U331" s="30" t="s">
        <v>2967</v>
      </c>
      <c r="V331" s="19" t="s">
        <v>2681</v>
      </c>
      <c r="W331" s="33">
        <v>2015</v>
      </c>
      <c r="X331" t="s">
        <v>2967</v>
      </c>
      <c r="Y331" s="31">
        <v>42221</v>
      </c>
      <c r="Z331" s="31" t="str">
        <f t="shared" si="41"/>
        <v>IN-2015-MW182207-42221</v>
      </c>
    </row>
    <row r="332" spans="1:26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 t="shared" si="35"/>
        <v>Aaron Hawkins</v>
      </c>
      <c r="P332" s="8" t="str">
        <f t="shared" si="36"/>
        <v>CA</v>
      </c>
      <c r="Q332" s="8" t="str">
        <f t="shared" si="37"/>
        <v>2015</v>
      </c>
      <c r="R332" s="8" t="str">
        <f t="shared" si="38"/>
        <v>MEDIUM</v>
      </c>
      <c r="S332" s="8" t="str">
        <f t="shared" si="39"/>
        <v>office supplies</v>
      </c>
      <c r="T332" s="18" t="str">
        <f t="shared" si="40"/>
        <v>42357</v>
      </c>
      <c r="U332" s="30" t="s">
        <v>2687</v>
      </c>
      <c r="V332" s="16" t="s">
        <v>2683</v>
      </c>
      <c r="W332" s="33">
        <v>2015</v>
      </c>
      <c r="X332" t="s">
        <v>2687</v>
      </c>
      <c r="Y332" s="31">
        <v>42357</v>
      </c>
      <c r="Z332" s="31" t="str">
        <f t="shared" si="41"/>
        <v>CA-2015-AH10030140-42357</v>
      </c>
    </row>
    <row r="333" spans="1:26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 t="shared" si="35"/>
        <v>Michael Stewart</v>
      </c>
      <c r="P333" s="13" t="str">
        <f t="shared" si="36"/>
        <v>ES</v>
      </c>
      <c r="Q333" s="13" t="str">
        <f t="shared" si="37"/>
        <v>2015</v>
      </c>
      <c r="R333" s="13" t="str">
        <f t="shared" si="38"/>
        <v>MEDIUM</v>
      </c>
      <c r="S333" s="13" t="str">
        <f t="shared" si="39"/>
        <v>technology</v>
      </c>
      <c r="T333" s="21" t="str">
        <f t="shared" si="40"/>
        <v>42227</v>
      </c>
      <c r="U333" s="30" t="s">
        <v>2968</v>
      </c>
      <c r="V333" s="19" t="s">
        <v>2710</v>
      </c>
      <c r="W333" s="33">
        <v>2015</v>
      </c>
      <c r="X333" t="s">
        <v>2968</v>
      </c>
      <c r="Y333" s="31">
        <v>42227</v>
      </c>
      <c r="Z333" s="31" t="str">
        <f t="shared" si="41"/>
        <v>ES-2015-MS1798048-42227</v>
      </c>
    </row>
    <row r="334" spans="1:26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 t="shared" si="35"/>
        <v>Kimberly Carter</v>
      </c>
      <c r="P334" s="8" t="str">
        <f t="shared" si="36"/>
        <v>IT</v>
      </c>
      <c r="Q334" s="8" t="str">
        <f t="shared" si="37"/>
        <v>2014</v>
      </c>
      <c r="R334" s="8" t="str">
        <f t="shared" si="38"/>
        <v>CRITICAL</v>
      </c>
      <c r="S334" s="8" t="str">
        <f t="shared" si="39"/>
        <v>technology</v>
      </c>
      <c r="T334" s="18" t="str">
        <f t="shared" si="40"/>
        <v>41882</v>
      </c>
      <c r="U334" s="30" t="s">
        <v>2931</v>
      </c>
      <c r="V334" s="16" t="s">
        <v>2690</v>
      </c>
      <c r="W334" s="33">
        <v>2014</v>
      </c>
      <c r="X334" t="s">
        <v>2931</v>
      </c>
      <c r="Y334" s="31">
        <v>41882</v>
      </c>
      <c r="Z334" s="31" t="str">
        <f t="shared" si="41"/>
        <v>IT-2014-KC1667548-41882</v>
      </c>
    </row>
    <row r="335" spans="1:26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 t="shared" si="35"/>
        <v>Denny Blanton</v>
      </c>
      <c r="P335" s="13" t="str">
        <f t="shared" si="36"/>
        <v>IN</v>
      </c>
      <c r="Q335" s="13" t="str">
        <f t="shared" si="37"/>
        <v>2015</v>
      </c>
      <c r="R335" s="13" t="str">
        <f t="shared" si="38"/>
        <v>HIGH</v>
      </c>
      <c r="S335" s="13" t="str">
        <f t="shared" si="39"/>
        <v>furniture</v>
      </c>
      <c r="T335" s="21" t="str">
        <f t="shared" si="40"/>
        <v>42022</v>
      </c>
      <c r="U335" s="30" t="s">
        <v>2969</v>
      </c>
      <c r="V335" s="19" t="s">
        <v>2681</v>
      </c>
      <c r="W335" s="33">
        <v>2015</v>
      </c>
      <c r="X335" t="s">
        <v>2969</v>
      </c>
      <c r="Y335" s="31">
        <v>42022</v>
      </c>
      <c r="Z335" s="31" t="str">
        <f t="shared" si="41"/>
        <v>IN-2015-DB1340527-42022</v>
      </c>
    </row>
    <row r="336" spans="1:26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 t="shared" si="35"/>
        <v>Alan Schoenberger</v>
      </c>
      <c r="P336" s="8" t="str">
        <f t="shared" si="36"/>
        <v>IN</v>
      </c>
      <c r="Q336" s="8" t="str">
        <f t="shared" si="37"/>
        <v>2014</v>
      </c>
      <c r="R336" s="8" t="str">
        <f t="shared" si="38"/>
        <v>HIGH</v>
      </c>
      <c r="S336" s="8" t="str">
        <f t="shared" si="39"/>
        <v>furniture</v>
      </c>
      <c r="T336" s="18" t="str">
        <f t="shared" si="40"/>
        <v>47197</v>
      </c>
      <c r="U336" s="30" t="s">
        <v>2970</v>
      </c>
      <c r="V336" s="16" t="s">
        <v>2681</v>
      </c>
      <c r="W336" s="33">
        <v>2014</v>
      </c>
      <c r="X336" t="s">
        <v>2970</v>
      </c>
      <c r="Y336" s="31">
        <v>47197</v>
      </c>
      <c r="Z336" s="31" t="str">
        <f t="shared" si="41"/>
        <v>IN-2014-AS1022527-47197</v>
      </c>
    </row>
    <row r="337" spans="1:26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 t="shared" si="35"/>
        <v>Shui Tom</v>
      </c>
      <c r="P337" s="13" t="str">
        <f t="shared" si="36"/>
        <v>MX</v>
      </c>
      <c r="Q337" s="13" t="str">
        <f t="shared" si="37"/>
        <v>2012</v>
      </c>
      <c r="R337" s="13" t="str">
        <f t="shared" si="38"/>
        <v>MEDIUM</v>
      </c>
      <c r="S337" s="13" t="str">
        <f t="shared" si="39"/>
        <v>office supplies</v>
      </c>
      <c r="T337" s="21" t="str">
        <f t="shared" si="40"/>
        <v>41234</v>
      </c>
      <c r="U337" s="30" t="s">
        <v>2971</v>
      </c>
      <c r="V337" s="19" t="s">
        <v>2695</v>
      </c>
      <c r="W337" s="33">
        <v>2012</v>
      </c>
      <c r="X337" t="s">
        <v>2971</v>
      </c>
      <c r="Y337" s="31">
        <v>41234</v>
      </c>
      <c r="Z337" s="31" t="str">
        <f t="shared" si="41"/>
        <v>MX-2012-ST2053093-41234</v>
      </c>
    </row>
    <row r="338" spans="1:26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 t="shared" si="35"/>
        <v>Sam Zeldin</v>
      </c>
      <c r="P338" s="8" t="str">
        <f t="shared" si="36"/>
        <v>IN</v>
      </c>
      <c r="Q338" s="8" t="str">
        <f t="shared" si="37"/>
        <v>2012</v>
      </c>
      <c r="R338" s="8" t="str">
        <f t="shared" si="38"/>
        <v>MEDIUM#</v>
      </c>
      <c r="S338" s="8" t="str">
        <f t="shared" si="39"/>
        <v>technology</v>
      </c>
      <c r="T338" s="18" t="str">
        <f t="shared" si="40"/>
        <v>41221</v>
      </c>
      <c r="U338" s="30" t="s">
        <v>2972</v>
      </c>
      <c r="V338" s="16" t="s">
        <v>2681</v>
      </c>
      <c r="W338" s="33">
        <v>2012</v>
      </c>
      <c r="X338" t="s">
        <v>2972</v>
      </c>
      <c r="Y338" s="31">
        <v>41221</v>
      </c>
      <c r="Z338" s="31" t="str">
        <f t="shared" si="41"/>
        <v>IN-2012-SZ2003527-41221</v>
      </c>
    </row>
    <row r="339" spans="1:26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 t="shared" si="35"/>
        <v>Dave Poirier</v>
      </c>
      <c r="P339" s="13" t="str">
        <f t="shared" si="36"/>
        <v>MO</v>
      </c>
      <c r="Q339" s="13" t="str">
        <f t="shared" si="37"/>
        <v>2015</v>
      </c>
      <c r="R339" s="13" t="str">
        <f t="shared" si="38"/>
        <v>MEDIUM</v>
      </c>
      <c r="S339" s="13" t="str">
        <f t="shared" si="39"/>
        <v>technology</v>
      </c>
      <c r="T339" s="21" t="str">
        <f t="shared" si="40"/>
        <v>42305</v>
      </c>
      <c r="U339" s="30" t="s">
        <v>2973</v>
      </c>
      <c r="V339" s="19" t="s">
        <v>2698</v>
      </c>
      <c r="W339" s="33">
        <v>2015</v>
      </c>
      <c r="X339" t="s">
        <v>2973</v>
      </c>
      <c r="Y339" s="31">
        <v>42305</v>
      </c>
      <c r="Z339" s="31" t="str">
        <f t="shared" si="41"/>
        <v>MO-2015-DP310586-42305</v>
      </c>
    </row>
    <row r="340" spans="1:26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 t="shared" si="35"/>
        <v xml:space="preserve"> Aaron Smayling </v>
      </c>
      <c r="P340" s="8" t="str">
        <f t="shared" si="36"/>
        <v>US</v>
      </c>
      <c r="Q340" s="8" t="str">
        <f t="shared" si="37"/>
        <v>2015</v>
      </c>
      <c r="R340" s="8" t="str">
        <f t="shared" si="38"/>
        <v>HIGH</v>
      </c>
      <c r="S340" s="8" t="str">
        <f t="shared" si="39"/>
        <v>office supplies</v>
      </c>
      <c r="T340" s="18" t="str">
        <f t="shared" si="40"/>
        <v>42252</v>
      </c>
      <c r="U340" s="30" t="s">
        <v>2700</v>
      </c>
      <c r="V340" s="16" t="s">
        <v>2685</v>
      </c>
      <c r="W340" s="33">
        <v>2015</v>
      </c>
      <c r="X340" t="s">
        <v>2700</v>
      </c>
      <c r="Y340" s="31">
        <v>42252</v>
      </c>
      <c r="Z340" s="31" t="str">
        <f t="shared" si="41"/>
        <v>US-2015-AS10045140-42252</v>
      </c>
    </row>
    <row r="341" spans="1:26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 t="shared" si="35"/>
        <v>Berenike Kampe</v>
      </c>
      <c r="P341" s="13" t="str">
        <f t="shared" si="36"/>
        <v>IN</v>
      </c>
      <c r="Q341" s="13" t="str">
        <f t="shared" si="37"/>
        <v>2014</v>
      </c>
      <c r="R341" s="13" t="str">
        <f t="shared" si="38"/>
        <v>MEDIUM</v>
      </c>
      <c r="S341" s="13" t="str">
        <f t="shared" si="39"/>
        <v>furniture</v>
      </c>
      <c r="T341" s="21" t="str">
        <f t="shared" si="40"/>
        <v>41940</v>
      </c>
      <c r="U341" s="30" t="s">
        <v>2974</v>
      </c>
      <c r="V341" s="19" t="s">
        <v>2681</v>
      </c>
      <c r="W341" s="33">
        <v>2014</v>
      </c>
      <c r="X341" t="s">
        <v>2974</v>
      </c>
      <c r="Y341" s="31">
        <v>41940</v>
      </c>
      <c r="Z341" s="31" t="str">
        <f t="shared" si="41"/>
        <v>IN-2014-BK1126011-41940</v>
      </c>
    </row>
    <row r="342" spans="1:26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 t="shared" si="35"/>
        <v>Steve Chapman</v>
      </c>
      <c r="P342" s="8" t="str">
        <f t="shared" si="36"/>
        <v>ID</v>
      </c>
      <c r="Q342" s="8" t="str">
        <f t="shared" si="37"/>
        <v>2014</v>
      </c>
      <c r="R342" s="8" t="str">
        <f t="shared" si="38"/>
        <v>HIGH</v>
      </c>
      <c r="S342" s="8" t="str">
        <f t="shared" si="39"/>
        <v>furniture</v>
      </c>
      <c r="T342" s="18" t="str">
        <f t="shared" si="40"/>
        <v>41667</v>
      </c>
      <c r="U342" s="30" t="s">
        <v>2975</v>
      </c>
      <c r="V342" s="16" t="s">
        <v>2705</v>
      </c>
      <c r="W342" s="33">
        <v>2014</v>
      </c>
      <c r="X342" t="s">
        <v>2975</v>
      </c>
      <c r="Y342" s="31">
        <v>41667</v>
      </c>
      <c r="Z342" s="31" t="str">
        <f t="shared" si="41"/>
        <v>ID-2014-SC20695102-41667</v>
      </c>
    </row>
    <row r="343" spans="1:26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 t="shared" si="35"/>
        <v>Nick Zandusky</v>
      </c>
      <c r="P343" s="13" t="str">
        <f t="shared" si="36"/>
        <v>IN</v>
      </c>
      <c r="Q343" s="13" t="str">
        <f t="shared" si="37"/>
        <v>2013</v>
      </c>
      <c r="R343" s="13" t="str">
        <f t="shared" si="38"/>
        <v>MEDIUM</v>
      </c>
      <c r="S343" s="13" t="str">
        <f t="shared" si="39"/>
        <v>furniture</v>
      </c>
      <c r="T343" s="21" t="str">
        <f t="shared" si="40"/>
        <v>41606</v>
      </c>
      <c r="U343" s="30" t="s">
        <v>2976</v>
      </c>
      <c r="V343" s="19" t="s">
        <v>2681</v>
      </c>
      <c r="W343" s="33">
        <v>2013</v>
      </c>
      <c r="X343" t="s">
        <v>2976</v>
      </c>
      <c r="Y343" s="31">
        <v>41606</v>
      </c>
      <c r="Z343" s="31" t="str">
        <f t="shared" si="41"/>
        <v>IN-2013-NZ185657-41606</v>
      </c>
    </row>
    <row r="344" spans="1:26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 t="shared" si="35"/>
        <v>Paul Macintyre</v>
      </c>
      <c r="P344" s="8" t="str">
        <f t="shared" si="36"/>
        <v>IT</v>
      </c>
      <c r="Q344" s="8" t="str">
        <f t="shared" si="37"/>
        <v>2013</v>
      </c>
      <c r="R344" s="8" t="str">
        <f t="shared" si="38"/>
        <v>CRITICAL</v>
      </c>
      <c r="S344" s="8" t="str">
        <f t="shared" si="39"/>
        <v>technology</v>
      </c>
      <c r="T344" s="18" t="str">
        <f t="shared" si="40"/>
        <v>41546</v>
      </c>
      <c r="U344" s="30" t="s">
        <v>2977</v>
      </c>
      <c r="V344" s="16" t="s">
        <v>2690</v>
      </c>
      <c r="W344" s="33">
        <v>2013</v>
      </c>
      <c r="X344" t="s">
        <v>2977</v>
      </c>
      <c r="Y344" s="31">
        <v>41546</v>
      </c>
      <c r="Z344" s="31" t="str">
        <f t="shared" si="41"/>
        <v>IT-2013-PM1984045-41546</v>
      </c>
    </row>
    <row r="345" spans="1:26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 t="shared" si="35"/>
        <v>Maria Zettner</v>
      </c>
      <c r="P345" s="13" t="str">
        <f t="shared" si="36"/>
        <v>ES</v>
      </c>
      <c r="Q345" s="13" t="str">
        <f t="shared" si="37"/>
        <v>2014</v>
      </c>
      <c r="R345" s="13" t="str">
        <f t="shared" si="38"/>
        <v>HIGH</v>
      </c>
      <c r="S345" s="13" t="str">
        <f t="shared" si="39"/>
        <v>office supplies</v>
      </c>
      <c r="T345" s="21" t="str">
        <f t="shared" si="40"/>
        <v>41885</v>
      </c>
      <c r="U345" s="30" t="s">
        <v>2978</v>
      </c>
      <c r="V345" s="19" t="s">
        <v>2710</v>
      </c>
      <c r="W345" s="33">
        <v>2014</v>
      </c>
      <c r="X345" t="s">
        <v>2978</v>
      </c>
      <c r="Y345" s="31">
        <v>41885</v>
      </c>
      <c r="Z345" s="31" t="str">
        <f t="shared" si="41"/>
        <v>ES-2014-MZ1733545-41885</v>
      </c>
    </row>
    <row r="346" spans="1:26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 t="shared" si="35"/>
        <v>Rick Wilson</v>
      </c>
      <c r="P346" s="8" t="str">
        <f t="shared" si="36"/>
        <v>IN</v>
      </c>
      <c r="Q346" s="8" t="str">
        <f t="shared" si="37"/>
        <v>2015</v>
      </c>
      <c r="R346" s="8" t="str">
        <f t="shared" si="38"/>
        <v>LOW</v>
      </c>
      <c r="S346" s="8" t="str">
        <f t="shared" si="39"/>
        <v>technology</v>
      </c>
      <c r="T346" s="18" t="str">
        <f t="shared" si="40"/>
        <v>42327</v>
      </c>
      <c r="U346" s="30" t="s">
        <v>2979</v>
      </c>
      <c r="V346" s="16" t="s">
        <v>2681</v>
      </c>
      <c r="W346" s="33">
        <v>2015</v>
      </c>
      <c r="X346" t="s">
        <v>2979</v>
      </c>
      <c r="Y346" s="31">
        <v>42327</v>
      </c>
      <c r="Z346" s="31" t="str">
        <f t="shared" si="41"/>
        <v>IN-2015-RW195407-42327</v>
      </c>
    </row>
    <row r="347" spans="1:26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 t="shared" si="35"/>
        <v>Aaron Smayling</v>
      </c>
      <c r="P347" s="13" t="str">
        <f t="shared" si="36"/>
        <v>US</v>
      </c>
      <c r="Q347" s="13" t="str">
        <f t="shared" si="37"/>
        <v>2012</v>
      </c>
      <c r="R347" s="13" t="str">
        <f t="shared" si="38"/>
        <v>MEDIUM</v>
      </c>
      <c r="S347" s="13" t="str">
        <f t="shared" si="39"/>
        <v>office supplies</v>
      </c>
      <c r="T347" s="21" t="str">
        <f t="shared" si="40"/>
        <v>41116</v>
      </c>
      <c r="U347" s="30" t="s">
        <v>2700</v>
      </c>
      <c r="V347" s="19" t="s">
        <v>2685</v>
      </c>
      <c r="W347" s="33">
        <v>2012</v>
      </c>
      <c r="X347" t="s">
        <v>2700</v>
      </c>
      <c r="Y347" s="31">
        <v>41116</v>
      </c>
      <c r="Z347" s="31" t="str">
        <f t="shared" si="41"/>
        <v>US-2012-AS10045140-41116</v>
      </c>
    </row>
    <row r="348" spans="1:26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 t="shared" si="35"/>
        <v>Dave Brooks</v>
      </c>
      <c r="P348" s="8" t="str">
        <f t="shared" si="36"/>
        <v>IN</v>
      </c>
      <c r="Q348" s="8" t="str">
        <f t="shared" si="37"/>
        <v>2014</v>
      </c>
      <c r="R348" s="8" t="str">
        <f t="shared" si="38"/>
        <v>HIGH</v>
      </c>
      <c r="S348" s="8" t="str">
        <f t="shared" si="39"/>
        <v>office supplies</v>
      </c>
      <c r="T348" s="18" t="str">
        <f t="shared" si="40"/>
        <v>41999</v>
      </c>
      <c r="U348" s="30" t="s">
        <v>2980</v>
      </c>
      <c r="V348" s="16" t="s">
        <v>2681</v>
      </c>
      <c r="W348" s="33">
        <v>2014</v>
      </c>
      <c r="X348" t="s">
        <v>2980</v>
      </c>
      <c r="Y348" s="31">
        <v>41999</v>
      </c>
      <c r="Z348" s="31" t="str">
        <f t="shared" si="41"/>
        <v>IN-2014-DB130607-41999</v>
      </c>
    </row>
    <row r="349" spans="1:26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 t="shared" si="35"/>
        <v>Valerie Mitchum</v>
      </c>
      <c r="P349" s="13" t="str">
        <f t="shared" si="36"/>
        <v>IT</v>
      </c>
      <c r="Q349" s="13" t="str">
        <f t="shared" si="37"/>
        <v>2014</v>
      </c>
      <c r="R349" s="13" t="str">
        <f t="shared" si="38"/>
        <v>HIGH</v>
      </c>
      <c r="S349" s="13" t="str">
        <f t="shared" si="39"/>
        <v>furniture</v>
      </c>
      <c r="T349" s="21" t="str">
        <f t="shared" si="40"/>
        <v>41711</v>
      </c>
      <c r="U349" s="30" t="s">
        <v>2981</v>
      </c>
      <c r="V349" s="19" t="s">
        <v>2690</v>
      </c>
      <c r="W349" s="33">
        <v>2014</v>
      </c>
      <c r="X349" t="s">
        <v>2981</v>
      </c>
      <c r="Y349" s="31">
        <v>41711</v>
      </c>
      <c r="Z349" s="31" t="str">
        <f t="shared" si="41"/>
        <v>IT-2014-VM2168591-41711</v>
      </c>
    </row>
    <row r="350" spans="1:26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 t="shared" si="35"/>
        <v>Don Miller</v>
      </c>
      <c r="P350" s="8" t="str">
        <f t="shared" si="36"/>
        <v>ES</v>
      </c>
      <c r="Q350" s="8" t="str">
        <f t="shared" si="37"/>
        <v>2013</v>
      </c>
      <c r="R350" s="8" t="str">
        <f t="shared" si="38"/>
        <v>HIGH</v>
      </c>
      <c r="S350" s="8" t="str">
        <f t="shared" si="39"/>
        <v>technology</v>
      </c>
      <c r="T350" s="18" t="str">
        <f t="shared" si="40"/>
        <v>41369</v>
      </c>
      <c r="U350" s="30" t="s">
        <v>2982</v>
      </c>
      <c r="V350" s="16" t="s">
        <v>2710</v>
      </c>
      <c r="W350" s="33">
        <v>2013</v>
      </c>
      <c r="X350" t="s">
        <v>2982</v>
      </c>
      <c r="Y350" s="31">
        <v>41369</v>
      </c>
      <c r="Z350" s="31" t="str">
        <f t="shared" si="41"/>
        <v>ES-2013-DM1352548-41369</v>
      </c>
    </row>
    <row r="351" spans="1:26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 t="shared" si="35"/>
        <v>Odella Nelson</v>
      </c>
      <c r="P351" s="13" t="str">
        <f t="shared" si="36"/>
        <v>IT</v>
      </c>
      <c r="Q351" s="13" t="str">
        <f t="shared" si="37"/>
        <v>2012</v>
      </c>
      <c r="R351" s="13" t="str">
        <f t="shared" si="38"/>
        <v>MEDIUM</v>
      </c>
      <c r="S351" s="13" t="str">
        <f t="shared" si="39"/>
        <v>furniture</v>
      </c>
      <c r="T351" s="21" t="str">
        <f t="shared" si="40"/>
        <v>40955</v>
      </c>
      <c r="U351" s="30" t="s">
        <v>2983</v>
      </c>
      <c r="V351" s="19" t="s">
        <v>2690</v>
      </c>
      <c r="W351" s="33">
        <v>2012</v>
      </c>
      <c r="X351" t="s">
        <v>2983</v>
      </c>
      <c r="Y351" s="31">
        <v>40955</v>
      </c>
      <c r="Z351" s="31" t="str">
        <f t="shared" si="41"/>
        <v>IT-2012-ON1871545-40955</v>
      </c>
    </row>
    <row r="352" spans="1:26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 t="shared" si="35"/>
        <v>Chad Mcguire</v>
      </c>
      <c r="P352" s="8" t="str">
        <f t="shared" si="36"/>
        <v>IN</v>
      </c>
      <c r="Q352" s="8" t="str">
        <f t="shared" si="37"/>
        <v>2014</v>
      </c>
      <c r="R352" s="8" t="str">
        <f t="shared" si="38"/>
        <v>HIGH</v>
      </c>
      <c r="S352" s="8" t="str">
        <f t="shared" si="39"/>
        <v>technology</v>
      </c>
      <c r="T352" s="18" t="str">
        <f t="shared" si="40"/>
        <v>41913</v>
      </c>
      <c r="U352" s="30" t="s">
        <v>2984</v>
      </c>
      <c r="V352" s="16" t="s">
        <v>2681</v>
      </c>
      <c r="W352" s="33">
        <v>2014</v>
      </c>
      <c r="X352" t="s">
        <v>2984</v>
      </c>
      <c r="Y352" s="31">
        <v>41913</v>
      </c>
      <c r="Z352" s="31" t="str">
        <f t="shared" si="41"/>
        <v>IN-2014-CM121157-41913</v>
      </c>
    </row>
    <row r="353" spans="1:26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 t="shared" si="35"/>
        <v>Adam Bellavance</v>
      </c>
      <c r="P353" s="13" t="str">
        <f t="shared" si="36"/>
        <v>CA</v>
      </c>
      <c r="Q353" s="13" t="str">
        <f t="shared" si="37"/>
        <v>2015</v>
      </c>
      <c r="R353" s="13" t="str">
        <f t="shared" si="38"/>
        <v>LOW</v>
      </c>
      <c r="S353" s="13" t="str">
        <f t="shared" si="39"/>
        <v>furniture</v>
      </c>
      <c r="T353" s="21" t="str">
        <f t="shared" si="40"/>
        <v>42315</v>
      </c>
      <c r="U353" s="30" t="s">
        <v>2703</v>
      </c>
      <c r="V353" s="19" t="s">
        <v>2683</v>
      </c>
      <c r="W353" s="33">
        <v>2015</v>
      </c>
      <c r="X353" t="s">
        <v>2703</v>
      </c>
      <c r="Y353" s="31">
        <v>42315</v>
      </c>
      <c r="Z353" s="31" t="str">
        <f t="shared" si="41"/>
        <v>CA-2015-AB10060140-42315</v>
      </c>
    </row>
    <row r="354" spans="1:26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 t="shared" si="35"/>
        <v>Rachel Payne</v>
      </c>
      <c r="P354" s="8" t="str">
        <f t="shared" si="36"/>
        <v>IT</v>
      </c>
      <c r="Q354" s="8" t="str">
        <f t="shared" si="37"/>
        <v>2015</v>
      </c>
      <c r="R354" s="8" t="str">
        <f t="shared" si="38"/>
        <v>CRITICAL</v>
      </c>
      <c r="S354" s="8" t="str">
        <f t="shared" si="39"/>
        <v>technology</v>
      </c>
      <c r="T354" s="18" t="str">
        <f t="shared" si="40"/>
        <v>42081</v>
      </c>
      <c r="U354" s="30" t="s">
        <v>2985</v>
      </c>
      <c r="V354" s="16" t="s">
        <v>2690</v>
      </c>
      <c r="W354" s="33">
        <v>2015</v>
      </c>
      <c r="X354" t="s">
        <v>2985</v>
      </c>
      <c r="Y354" s="31">
        <v>42081</v>
      </c>
      <c r="Z354" s="31" t="str">
        <f t="shared" si="41"/>
        <v>IT-2015-RP1927045-42081</v>
      </c>
    </row>
    <row r="355" spans="1:26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 t="shared" si="35"/>
        <v>Gary Mcgarr</v>
      </c>
      <c r="P355" s="13" t="str">
        <f t="shared" si="36"/>
        <v>MX</v>
      </c>
      <c r="Q355" s="13" t="str">
        <f t="shared" si="37"/>
        <v>2015</v>
      </c>
      <c r="R355" s="13" t="str">
        <f t="shared" si="38"/>
        <v>CRITICAL</v>
      </c>
      <c r="S355" s="13" t="str">
        <f t="shared" si="39"/>
        <v>technology</v>
      </c>
      <c r="T355" s="21" t="str">
        <f t="shared" si="40"/>
        <v>2265#</v>
      </c>
      <c r="U355" s="30" t="s">
        <v>2986</v>
      </c>
      <c r="V355" s="19" t="s">
        <v>2695</v>
      </c>
      <c r="W355" s="33">
        <v>2015</v>
      </c>
      <c r="X355" t="s">
        <v>2986</v>
      </c>
      <c r="Y355" s="31" t="s">
        <v>2987</v>
      </c>
      <c r="Z355" s="31" t="str">
        <f t="shared" si="41"/>
        <v>MX-2015-GM1444037-42265#</v>
      </c>
    </row>
    <row r="356" spans="1:26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 t="shared" si="35"/>
        <v>Julie Kriz</v>
      </c>
      <c r="P356" s="8" t="str">
        <f t="shared" si="36"/>
        <v>IN</v>
      </c>
      <c r="Q356" s="8" t="str">
        <f t="shared" si="37"/>
        <v>2015</v>
      </c>
      <c r="R356" s="8" t="str">
        <f t="shared" si="38"/>
        <v>HIGH</v>
      </c>
      <c r="S356" s="8" t="str">
        <f t="shared" si="39"/>
        <v>furniture</v>
      </c>
      <c r="T356" s="18" t="str">
        <f t="shared" si="40"/>
        <v>42204</v>
      </c>
      <c r="U356" s="30" t="s">
        <v>2988</v>
      </c>
      <c r="V356" s="16" t="s">
        <v>2681</v>
      </c>
      <c r="W356" s="33">
        <v>2015</v>
      </c>
      <c r="X356" t="s">
        <v>2988</v>
      </c>
      <c r="Y356" s="31">
        <v>42204</v>
      </c>
      <c r="Z356" s="31" t="str">
        <f t="shared" si="41"/>
        <v>IN-2015-JK1612059-42204</v>
      </c>
    </row>
    <row r="357" spans="1:26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 t="shared" si="35"/>
        <v>Evan Minnotte</v>
      </c>
      <c r="P357" s="13" t="str">
        <f t="shared" si="36"/>
        <v>ID</v>
      </c>
      <c r="Q357" s="13" t="str">
        <f t="shared" si="37"/>
        <v>2013</v>
      </c>
      <c r="R357" s="13" t="str">
        <f t="shared" si="38"/>
        <v>HIGH</v>
      </c>
      <c r="S357" s="13" t="str">
        <f t="shared" si="39"/>
        <v>technology</v>
      </c>
      <c r="T357" s="21" t="str">
        <f t="shared" si="40"/>
        <v>41502</v>
      </c>
      <c r="U357" s="30" t="s">
        <v>2989</v>
      </c>
      <c r="V357" s="19" t="s">
        <v>2705</v>
      </c>
      <c r="W357" s="33">
        <v>2013</v>
      </c>
      <c r="X357" t="s">
        <v>2989</v>
      </c>
      <c r="Y357" s="31">
        <v>41502</v>
      </c>
      <c r="Z357" s="31" t="str">
        <f t="shared" si="41"/>
        <v>ID-2013-EM14200130-41502</v>
      </c>
    </row>
    <row r="358" spans="1:26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 t="shared" si="35"/>
        <v>Paul Macintyre</v>
      </c>
      <c r="P358" s="8" t="str">
        <f t="shared" si="36"/>
        <v>IN</v>
      </c>
      <c r="Q358" s="8" t="str">
        <f t="shared" si="37"/>
        <v>2013</v>
      </c>
      <c r="R358" s="8" t="str">
        <f t="shared" si="38"/>
        <v>HIGH</v>
      </c>
      <c r="S358" s="8" t="str">
        <f t="shared" si="39"/>
        <v>furniture</v>
      </c>
      <c r="T358" s="18" t="str">
        <f t="shared" si="40"/>
        <v>41284</v>
      </c>
      <c r="U358" s="30" t="s">
        <v>2990</v>
      </c>
      <c r="V358" s="16" t="s">
        <v>2681</v>
      </c>
      <c r="W358" s="33">
        <v>2013</v>
      </c>
      <c r="X358" t="s">
        <v>2990</v>
      </c>
      <c r="Y358" s="31">
        <v>41284</v>
      </c>
      <c r="Z358" s="31" t="str">
        <f t="shared" si="41"/>
        <v>IN-2013-PM1894059-41284</v>
      </c>
    </row>
    <row r="359" spans="1:26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 t="shared" si="35"/>
        <v>Paul Van Hugh</v>
      </c>
      <c r="P359" s="13" t="str">
        <f t="shared" si="36"/>
        <v>MX</v>
      </c>
      <c r="Q359" s="13" t="str">
        <f t="shared" si="37"/>
        <v>2013</v>
      </c>
      <c r="R359" s="13" t="str">
        <f t="shared" si="38"/>
        <v>HIGH</v>
      </c>
      <c r="S359" s="13" t="str">
        <f t="shared" si="39"/>
        <v>technology</v>
      </c>
      <c r="T359" s="21" t="str">
        <f t="shared" si="40"/>
        <v>41614</v>
      </c>
      <c r="U359" s="30" t="s">
        <v>2991</v>
      </c>
      <c r="V359" s="19" t="s">
        <v>2695</v>
      </c>
      <c r="W359" s="33">
        <v>2013</v>
      </c>
      <c r="X359" t="s">
        <v>2991</v>
      </c>
      <c r="Y359" s="31">
        <v>41614</v>
      </c>
      <c r="Z359" s="31" t="str">
        <f t="shared" si="41"/>
        <v>MX-2013-PV1898518-41614</v>
      </c>
    </row>
    <row r="360" spans="1:26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 t="shared" si="35"/>
        <v>Sally Matthias</v>
      </c>
      <c r="P360" s="8" t="str">
        <f t="shared" si="36"/>
        <v>SO</v>
      </c>
      <c r="Q360" s="8" t="str">
        <f t="shared" si="37"/>
        <v>2015</v>
      </c>
      <c r="R360" s="8" t="str">
        <f t="shared" si="38"/>
        <v>HIGH</v>
      </c>
      <c r="S360" s="8" t="str">
        <f t="shared" si="39"/>
        <v>technology</v>
      </c>
      <c r="T360" s="18" t="str">
        <f t="shared" si="40"/>
        <v>42265</v>
      </c>
      <c r="U360" s="30" t="s">
        <v>2992</v>
      </c>
      <c r="V360" s="16" t="s">
        <v>2993</v>
      </c>
      <c r="W360" s="33">
        <v>2015</v>
      </c>
      <c r="X360" t="s">
        <v>2992</v>
      </c>
      <c r="Y360" s="31">
        <v>42265</v>
      </c>
      <c r="Z360" s="31" t="str">
        <f t="shared" si="41"/>
        <v>SO-2015-SM10005116-42265</v>
      </c>
    </row>
    <row r="361" spans="1:26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 t="shared" si="35"/>
        <v>Katharine Harms</v>
      </c>
      <c r="P361" s="13" t="str">
        <f t="shared" si="36"/>
        <v>IN</v>
      </c>
      <c r="Q361" s="13" t="str">
        <f t="shared" si="37"/>
        <v>2013</v>
      </c>
      <c r="R361" s="13" t="str">
        <f t="shared" si="38"/>
        <v>HIGH</v>
      </c>
      <c r="S361" s="13" t="str">
        <f t="shared" si="39"/>
        <v>office supplies</v>
      </c>
      <c r="T361" s="21" t="str">
        <f t="shared" si="40"/>
        <v>41489</v>
      </c>
      <c r="U361" s="30" t="s">
        <v>2994</v>
      </c>
      <c r="V361" s="19" t="s">
        <v>2681</v>
      </c>
      <c r="W361" s="33">
        <v>2013</v>
      </c>
      <c r="X361" t="s">
        <v>2994</v>
      </c>
      <c r="Y361" s="31">
        <v>41489</v>
      </c>
      <c r="Z361" s="31" t="str">
        <f t="shared" si="41"/>
        <v>IN-2013-KH1633059-41489</v>
      </c>
    </row>
    <row r="362" spans="1:26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 t="shared" si="35"/>
        <v>Corey Roper</v>
      </c>
      <c r="P362" s="8" t="str">
        <f t="shared" si="36"/>
        <v>ID</v>
      </c>
      <c r="Q362" s="8" t="str">
        <f t="shared" si="37"/>
        <v>2014</v>
      </c>
      <c r="R362" s="8" t="str">
        <f t="shared" si="38"/>
        <v>HIGH</v>
      </c>
      <c r="S362" s="8" t="str">
        <f t="shared" si="39"/>
        <v>furniture</v>
      </c>
      <c r="T362" s="18" t="str">
        <f t="shared" si="40"/>
        <v>41878</v>
      </c>
      <c r="U362" s="30" t="s">
        <v>2995</v>
      </c>
      <c r="V362" s="16" t="s">
        <v>2705</v>
      </c>
      <c r="W362" s="33">
        <v>2014</v>
      </c>
      <c r="X362" t="s">
        <v>2995</v>
      </c>
      <c r="Y362" s="31">
        <v>41878</v>
      </c>
      <c r="Z362" s="31" t="str">
        <f t="shared" si="41"/>
        <v>ID-2014-CR126257-41878</v>
      </c>
    </row>
    <row r="363" spans="1:26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 t="shared" si="35"/>
        <v>Dave Brooks</v>
      </c>
      <c r="P363" s="13" t="str">
        <f t="shared" si="36"/>
        <v>ES</v>
      </c>
      <c r="Q363" s="13" t="str">
        <f t="shared" si="37"/>
        <v>2012</v>
      </c>
      <c r="R363" s="13" t="str">
        <f t="shared" si="38"/>
        <v>CRITICAL</v>
      </c>
      <c r="S363" s="13" t="str">
        <f t="shared" si="39"/>
        <v>technology</v>
      </c>
      <c r="T363" s="21" t="str">
        <f t="shared" si="40"/>
        <v>41171</v>
      </c>
      <c r="U363" s="30" t="s">
        <v>2996</v>
      </c>
      <c r="V363" s="19" t="s">
        <v>2710</v>
      </c>
      <c r="W363" s="33">
        <v>2012</v>
      </c>
      <c r="X363" t="s">
        <v>2996</v>
      </c>
      <c r="Y363" s="31">
        <v>41171</v>
      </c>
      <c r="Z363" s="31" t="str">
        <f t="shared" si="41"/>
        <v>ES-2012-DB1306048-41171</v>
      </c>
    </row>
    <row r="364" spans="1:26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 t="shared" si="35"/>
        <v>Dario Medina</v>
      </c>
      <c r="P364" s="8" t="str">
        <f t="shared" si="36"/>
        <v>MX</v>
      </c>
      <c r="Q364" s="8" t="str">
        <f t="shared" si="37"/>
        <v>2015</v>
      </c>
      <c r="R364" s="8" t="str">
        <f t="shared" si="38"/>
        <v>HIGH</v>
      </c>
      <c r="S364" s="8" t="str">
        <f t="shared" si="39"/>
        <v>furniture</v>
      </c>
      <c r="T364" s="18" t="str">
        <f t="shared" si="40"/>
        <v>42103</v>
      </c>
      <c r="U364" s="30" t="s">
        <v>2997</v>
      </c>
      <c r="V364" s="16" t="s">
        <v>2695</v>
      </c>
      <c r="W364" s="33">
        <v>2015</v>
      </c>
      <c r="X364" t="s">
        <v>2997</v>
      </c>
      <c r="Y364" s="31">
        <v>42103</v>
      </c>
      <c r="Z364" s="31" t="str">
        <f t="shared" si="41"/>
        <v>MX-2015-DM1295551-42103</v>
      </c>
    </row>
    <row r="365" spans="1:26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 t="shared" si="35"/>
        <v>Sean O'Donnell</v>
      </c>
      <c r="P365" s="13" t="str">
        <f t="shared" si="36"/>
        <v>IN</v>
      </c>
      <c r="Q365" s="13" t="str">
        <f t="shared" si="37"/>
        <v>2014</v>
      </c>
      <c r="R365" s="13" t="str">
        <f t="shared" si="38"/>
        <v>HIGH</v>
      </c>
      <c r="S365" s="13" t="str">
        <f t="shared" si="39"/>
        <v>office supplies</v>
      </c>
      <c r="T365" s="21" t="str">
        <f t="shared" si="40"/>
        <v>41914</v>
      </c>
      <c r="U365" s="30" t="s">
        <v>2998</v>
      </c>
      <c r="V365" s="19" t="s">
        <v>2681</v>
      </c>
      <c r="W365" s="33">
        <v>2014</v>
      </c>
      <c r="X365" t="s">
        <v>2998</v>
      </c>
      <c r="Y365" s="31">
        <v>41914</v>
      </c>
      <c r="Z365" s="31" t="str">
        <f t="shared" si="41"/>
        <v>IN-2014-SO2033527-41914</v>
      </c>
    </row>
    <row r="366" spans="1:26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 t="shared" si="35"/>
        <v>Liz Carlisle</v>
      </c>
      <c r="P366" s="8" t="str">
        <f t="shared" si="36"/>
        <v>SA</v>
      </c>
      <c r="Q366" s="8" t="str">
        <f t="shared" si="37"/>
        <v>2015</v>
      </c>
      <c r="R366" s="8" t="str">
        <f t="shared" si="38"/>
        <v>MEDIUM</v>
      </c>
      <c r="S366" s="8" t="str">
        <f t="shared" si="39"/>
        <v>technology</v>
      </c>
      <c r="T366" s="18" t="str">
        <f t="shared" si="40"/>
        <v>42236</v>
      </c>
      <c r="U366" s="30" t="s">
        <v>2999</v>
      </c>
      <c r="V366" s="16" t="s">
        <v>2869</v>
      </c>
      <c r="W366" s="33">
        <v>2015</v>
      </c>
      <c r="X366" t="s">
        <v>2999</v>
      </c>
      <c r="Y366" s="31">
        <v>42236</v>
      </c>
      <c r="Z366" s="31" t="str">
        <f t="shared" si="41"/>
        <v>SA-2015-LC7050110-42236</v>
      </c>
    </row>
    <row r="367" spans="1:26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 t="shared" si="35"/>
        <v>Alan Dominguez</v>
      </c>
      <c r="P367" s="13" t="str">
        <f t="shared" si="36"/>
        <v>ID</v>
      </c>
      <c r="Q367" s="13" t="str">
        <f t="shared" si="37"/>
        <v>2014</v>
      </c>
      <c r="R367" s="13" t="str">
        <f t="shared" si="38"/>
        <v>HIGH</v>
      </c>
      <c r="S367" s="13" t="str">
        <f t="shared" si="39"/>
        <v>furniture</v>
      </c>
      <c r="T367" s="21" t="str">
        <f t="shared" si="40"/>
        <v>41801</v>
      </c>
      <c r="U367" s="30" t="s">
        <v>3000</v>
      </c>
      <c r="V367" s="19" t="s">
        <v>2705</v>
      </c>
      <c r="W367" s="33">
        <v>2014</v>
      </c>
      <c r="X367" t="s">
        <v>3000</v>
      </c>
      <c r="Y367" s="31">
        <v>41801</v>
      </c>
      <c r="Z367" s="31" t="str">
        <f t="shared" si="41"/>
        <v>ID-2014-AD1018059-41801</v>
      </c>
    </row>
    <row r="368" spans="1:26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 t="shared" si="35"/>
        <v>Becky Pak#</v>
      </c>
      <c r="P368" s="8" t="str">
        <f t="shared" si="36"/>
        <v>ES</v>
      </c>
      <c r="Q368" s="8" t="str">
        <f t="shared" si="37"/>
        <v>2012</v>
      </c>
      <c r="R368" s="8" t="str">
        <f t="shared" si="38"/>
        <v>MEDIUM</v>
      </c>
      <c r="S368" s="8" t="str">
        <f t="shared" si="39"/>
        <v>technology</v>
      </c>
      <c r="T368" s="18" t="str">
        <f t="shared" si="40"/>
        <v>41130</v>
      </c>
      <c r="U368" s="30" t="s">
        <v>3001</v>
      </c>
      <c r="V368" s="16" t="s">
        <v>2710</v>
      </c>
      <c r="W368" s="33">
        <v>2012</v>
      </c>
      <c r="X368" t="s">
        <v>3001</v>
      </c>
      <c r="Y368" s="31">
        <v>41130</v>
      </c>
      <c r="Z368" s="31" t="str">
        <f t="shared" si="41"/>
        <v>ES-2012-BP11155139-41130</v>
      </c>
    </row>
    <row r="369" spans="1:26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 t="shared" si="35"/>
        <v>Jason Fortune-</v>
      </c>
      <c r="P369" s="13" t="str">
        <f t="shared" si="36"/>
        <v>ES</v>
      </c>
      <c r="Q369" s="13" t="str">
        <f t="shared" si="37"/>
        <v>2014</v>
      </c>
      <c r="R369" s="13" t="str">
        <f t="shared" si="38"/>
        <v>CRITICAL</v>
      </c>
      <c r="S369" s="13" t="str">
        <f t="shared" si="39"/>
        <v>technology</v>
      </c>
      <c r="T369" s="21" t="str">
        <f t="shared" si="40"/>
        <v>41924</v>
      </c>
      <c r="U369" s="30" t="s">
        <v>3002</v>
      </c>
      <c r="V369" s="19" t="s">
        <v>2710</v>
      </c>
      <c r="W369" s="33">
        <v>2014</v>
      </c>
      <c r="X369" t="s">
        <v>3002</v>
      </c>
      <c r="Y369" s="31">
        <v>41924</v>
      </c>
      <c r="Z369" s="31" t="str">
        <f t="shared" si="41"/>
        <v>ES-2014-JF15295120-41924</v>
      </c>
    </row>
    <row r="370" spans="1:26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 t="shared" si="35"/>
        <v>Don Jones</v>
      </c>
      <c r="P370" s="8" t="str">
        <f t="shared" si="36"/>
        <v>UP</v>
      </c>
      <c r="Q370" s="8" t="str">
        <f t="shared" si="37"/>
        <v>2015</v>
      </c>
      <c r="R370" s="8" t="str">
        <f t="shared" si="38"/>
        <v>CRITICAL</v>
      </c>
      <c r="S370" s="8" t="str">
        <f t="shared" si="39"/>
        <v>office supplies</v>
      </c>
      <c r="T370" s="18" t="str">
        <f t="shared" si="40"/>
        <v>42202</v>
      </c>
      <c r="U370" s="30" t="s">
        <v>3003</v>
      </c>
      <c r="V370" s="16" t="s">
        <v>2762</v>
      </c>
      <c r="W370" s="33">
        <v>2015</v>
      </c>
      <c r="X370" t="s">
        <v>3003</v>
      </c>
      <c r="Y370" s="31">
        <v>42202</v>
      </c>
      <c r="Z370" s="31" t="str">
        <f t="shared" si="41"/>
        <v>UP-2015-DJ3510137-42202</v>
      </c>
    </row>
    <row r="371" spans="1:26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 t="shared" si="35"/>
        <v>Monica Federle</v>
      </c>
      <c r="P371" s="13" t="str">
        <f t="shared" si="36"/>
        <v>ES</v>
      </c>
      <c r="Q371" s="13" t="str">
        <f t="shared" si="37"/>
        <v>2015</v>
      </c>
      <c r="R371" s="13" t="str">
        <f t="shared" si="38"/>
        <v>LOW</v>
      </c>
      <c r="S371" s="13" t="str">
        <f t="shared" si="39"/>
        <v>technology</v>
      </c>
      <c r="T371" s="21" t="str">
        <f t="shared" si="40"/>
        <v>42330</v>
      </c>
      <c r="U371" s="30" t="s">
        <v>3004</v>
      </c>
      <c r="V371" s="19" t="s">
        <v>2710</v>
      </c>
      <c r="W371" s="33">
        <v>2015</v>
      </c>
      <c r="X371" t="s">
        <v>3004</v>
      </c>
      <c r="Y371" s="31">
        <v>42330</v>
      </c>
      <c r="Z371" s="31" t="str">
        <f t="shared" si="41"/>
        <v>ES-2015-MF1825045-42330</v>
      </c>
    </row>
    <row r="372" spans="1:26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 t="shared" si="35"/>
        <v>Eugene Hildebrand</v>
      </c>
      <c r="P372" s="8" t="str">
        <f t="shared" si="36"/>
        <v>ES</v>
      </c>
      <c r="Q372" s="8" t="str">
        <f t="shared" si="37"/>
        <v>2015</v>
      </c>
      <c r="R372" s="8" t="str">
        <f t="shared" si="38"/>
        <v>MEDIUM</v>
      </c>
      <c r="S372" s="8" t="str">
        <f t="shared" si="39"/>
        <v>technology</v>
      </c>
      <c r="T372" s="18" t="str">
        <f t="shared" si="40"/>
        <v>42245</v>
      </c>
      <c r="U372" s="30" t="s">
        <v>3005</v>
      </c>
      <c r="V372" s="16" t="s">
        <v>2710</v>
      </c>
      <c r="W372" s="33">
        <v>2015</v>
      </c>
      <c r="X372" t="s">
        <v>3005</v>
      </c>
      <c r="Y372" s="31">
        <v>42245</v>
      </c>
      <c r="Z372" s="31" t="str">
        <f t="shared" si="41"/>
        <v>ES-2015-EH1412545-42245</v>
      </c>
    </row>
    <row r="373" spans="1:26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 t="shared" si="35"/>
        <v>Barry Franz</v>
      </c>
      <c r="P373" s="13" t="str">
        <f t="shared" si="36"/>
        <v>IN</v>
      </c>
      <c r="Q373" s="13" t="str">
        <f t="shared" si="37"/>
        <v>2015</v>
      </c>
      <c r="R373" s="13" t="str">
        <f t="shared" si="38"/>
        <v>HIGH</v>
      </c>
      <c r="S373" s="13" t="str">
        <f t="shared" si="39"/>
        <v>office supplies</v>
      </c>
      <c r="T373" s="21" t="str">
        <f t="shared" si="40"/>
        <v>42319</v>
      </c>
      <c r="U373" s="30" t="s">
        <v>2961</v>
      </c>
      <c r="V373" s="19" t="s">
        <v>2681</v>
      </c>
      <c r="W373" s="33">
        <v>2015</v>
      </c>
      <c r="X373" t="s">
        <v>2961</v>
      </c>
      <c r="Y373" s="31">
        <v>42319</v>
      </c>
      <c r="Z373" s="31" t="str">
        <f t="shared" si="41"/>
        <v>IN-2015-BF1100558-42319</v>
      </c>
    </row>
    <row r="374" spans="1:26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 t="shared" si="35"/>
        <v>Alice Mccarthy</v>
      </c>
      <c r="P374" s="8" t="str">
        <f t="shared" si="36"/>
        <v>ES</v>
      </c>
      <c r="Q374" s="8" t="str">
        <f t="shared" si="37"/>
        <v>2012</v>
      </c>
      <c r="R374" s="8" t="str">
        <f t="shared" si="38"/>
        <v>MEDIUM</v>
      </c>
      <c r="S374" s="8" t="str">
        <f t="shared" si="39"/>
        <v>technology</v>
      </c>
      <c r="T374" s="18" t="str">
        <f t="shared" si="40"/>
        <v>41136</v>
      </c>
      <c r="U374" s="30" t="s">
        <v>3006</v>
      </c>
      <c r="V374" s="16" t="s">
        <v>2710</v>
      </c>
      <c r="W374" s="33">
        <v>2012</v>
      </c>
      <c r="X374" t="s">
        <v>3006</v>
      </c>
      <c r="Y374" s="31">
        <v>41136</v>
      </c>
      <c r="Z374" s="31" t="str">
        <f t="shared" si="41"/>
        <v>ES-2012-AM10360139-41136</v>
      </c>
    </row>
    <row r="375" spans="1:26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 t="shared" si="35"/>
        <v>Daniel Raglin</v>
      </c>
      <c r="P375" s="13" t="str">
        <f t="shared" si="36"/>
        <v>IN</v>
      </c>
      <c r="Q375" s="13" t="str">
        <f t="shared" si="37"/>
        <v>2012</v>
      </c>
      <c r="R375" s="13" t="str">
        <f t="shared" si="38"/>
        <v>MEDIUM</v>
      </c>
      <c r="S375" s="13" t="str">
        <f t="shared" si="39"/>
        <v>office supplies</v>
      </c>
      <c r="T375" s="21" t="str">
        <f t="shared" si="40"/>
        <v>41066</v>
      </c>
      <c r="U375" s="30" t="s">
        <v>3007</v>
      </c>
      <c r="V375" s="19" t="s">
        <v>2681</v>
      </c>
      <c r="W375" s="33">
        <v>2012</v>
      </c>
      <c r="X375" t="s">
        <v>3007</v>
      </c>
      <c r="Y375" s="31">
        <v>41066</v>
      </c>
      <c r="Z375" s="31" t="str">
        <f t="shared" si="41"/>
        <v>IN-2012-DR129407-41066</v>
      </c>
    </row>
    <row r="376" spans="1:26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 t="shared" si="35"/>
        <v>Nona Balk</v>
      </c>
      <c r="P376" s="8" t="str">
        <f t="shared" si="36"/>
        <v>ES</v>
      </c>
      <c r="Q376" s="8" t="str">
        <f t="shared" si="37"/>
        <v>2012</v>
      </c>
      <c r="R376" s="8" t="str">
        <f t="shared" si="38"/>
        <v>CRITICAL</v>
      </c>
      <c r="S376" s="8" t="str">
        <f t="shared" si="39"/>
        <v>office supplies</v>
      </c>
      <c r="T376" s="18" t="str">
        <f t="shared" si="40"/>
        <v>41194</v>
      </c>
      <c r="U376" s="30" t="s">
        <v>3008</v>
      </c>
      <c r="V376" s="16" t="s">
        <v>2710</v>
      </c>
      <c r="W376" s="33">
        <v>2012</v>
      </c>
      <c r="X376" t="s">
        <v>3008</v>
      </c>
      <c r="Y376" s="31">
        <v>41194</v>
      </c>
      <c r="Z376" s="31" t="str">
        <f t="shared" si="41"/>
        <v>ES-2012-NB1865548-41194</v>
      </c>
    </row>
    <row r="377" spans="1:26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 t="shared" si="35"/>
        <v>Larry Hughes</v>
      </c>
      <c r="P377" s="13" t="str">
        <f t="shared" si="36"/>
        <v>US</v>
      </c>
      <c r="Q377" s="13" t="str">
        <f t="shared" si="37"/>
        <v>2012</v>
      </c>
      <c r="R377" s="13" t="str">
        <f t="shared" si="38"/>
        <v>HIGH</v>
      </c>
      <c r="S377" s="13" t="str">
        <f t="shared" si="39"/>
        <v>technology</v>
      </c>
      <c r="T377" s="21" t="str">
        <f t="shared" si="40"/>
        <v>41129</v>
      </c>
      <c r="U377" s="30" t="s">
        <v>3009</v>
      </c>
      <c r="V377" s="19" t="s">
        <v>2685</v>
      </c>
      <c r="W377" s="33">
        <v>2012</v>
      </c>
      <c r="X377" t="s">
        <v>3009</v>
      </c>
      <c r="Y377" s="31">
        <v>41129</v>
      </c>
      <c r="Z377" s="31" t="str">
        <f t="shared" si="41"/>
        <v>US-2012-LH1675036-41129</v>
      </c>
    </row>
    <row r="378" spans="1:26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 t="shared" si="35"/>
        <v>Dave Kipp</v>
      </c>
      <c r="P378" s="8" t="str">
        <f t="shared" si="36"/>
        <v>IN</v>
      </c>
      <c r="Q378" s="8" t="str">
        <f t="shared" si="37"/>
        <v>2015</v>
      </c>
      <c r="R378" s="8" t="str">
        <f t="shared" si="38"/>
        <v>HIGH</v>
      </c>
      <c r="S378" s="8" t="str">
        <f t="shared" si="39"/>
        <v>technology</v>
      </c>
      <c r="T378" s="18" t="str">
        <f t="shared" si="40"/>
        <v>42308</v>
      </c>
      <c r="U378" s="30" t="s">
        <v>3010</v>
      </c>
      <c r="V378" s="16" t="s">
        <v>2681</v>
      </c>
      <c r="W378" s="33">
        <v>2015</v>
      </c>
      <c r="X378" t="s">
        <v>3010</v>
      </c>
      <c r="Y378" s="31">
        <v>42308</v>
      </c>
      <c r="Z378" s="31" t="str">
        <f t="shared" si="41"/>
        <v>IN-2015-DK1309027-42308</v>
      </c>
    </row>
    <row r="379" spans="1:26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 t="shared" si="35"/>
        <v>Ellis Ballard</v>
      </c>
      <c r="P379" s="13" t="str">
        <f t="shared" si="36"/>
        <v>ES</v>
      </c>
      <c r="Q379" s="13" t="str">
        <f t="shared" si="37"/>
        <v>2013</v>
      </c>
      <c r="R379" s="13" t="str">
        <f t="shared" si="38"/>
        <v>MEDIUM</v>
      </c>
      <c r="S379" s="13" t="str">
        <f t="shared" si="39"/>
        <v>office supplies</v>
      </c>
      <c r="T379" s="21" t="str">
        <f t="shared" si="40"/>
        <v>41487</v>
      </c>
      <c r="U379" s="30" t="s">
        <v>3011</v>
      </c>
      <c r="V379" s="19" t="s">
        <v>2710</v>
      </c>
      <c r="W379" s="33">
        <v>2013</v>
      </c>
      <c r="X379" t="s">
        <v>3011</v>
      </c>
      <c r="Y379" s="31">
        <v>41487</v>
      </c>
      <c r="Z379" s="31" t="str">
        <f t="shared" si="41"/>
        <v>ES-2013-EB13840139-41487</v>
      </c>
    </row>
    <row r="380" spans="1:26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 t="shared" si="35"/>
        <v>Adam Hart</v>
      </c>
      <c r="P380" s="8" t="str">
        <f t="shared" si="36"/>
        <v>CA</v>
      </c>
      <c r="Q380" s="8" t="str">
        <f t="shared" si="37"/>
        <v>2014</v>
      </c>
      <c r="R380" s="8" t="str">
        <f t="shared" si="38"/>
        <v>MEDIUM</v>
      </c>
      <c r="S380" s="8" t="str">
        <f t="shared" si="39"/>
        <v>office supplies</v>
      </c>
      <c r="T380" s="18" t="str">
        <f t="shared" si="40"/>
        <v>41991</v>
      </c>
      <c r="U380" s="30" t="s">
        <v>2717</v>
      </c>
      <c r="V380" s="16" t="s">
        <v>2683</v>
      </c>
      <c r="W380" s="33">
        <v>2014</v>
      </c>
      <c r="X380" t="s">
        <v>2717</v>
      </c>
      <c r="Y380" s="31">
        <v>41991</v>
      </c>
      <c r="Z380" s="31" t="str">
        <f t="shared" si="41"/>
        <v>CA-2014-AH10075140-41991</v>
      </c>
    </row>
    <row r="381" spans="1:26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 t="shared" si="35"/>
        <v>Maxwell Schwartz</v>
      </c>
      <c r="P381" s="13" t="str">
        <f t="shared" si="36"/>
        <v>ES</v>
      </c>
      <c r="Q381" s="13" t="str">
        <f t="shared" si="37"/>
        <v>2015</v>
      </c>
      <c r="R381" s="13" t="str">
        <f t="shared" si="38"/>
        <v>HIGH</v>
      </c>
      <c r="S381" s="13" t="str">
        <f t="shared" si="39"/>
        <v>furniture</v>
      </c>
      <c r="T381" s="21" t="str">
        <f t="shared" si="40"/>
        <v>42275</v>
      </c>
      <c r="U381" s="30" t="s">
        <v>3012</v>
      </c>
      <c r="V381" s="19" t="s">
        <v>2710</v>
      </c>
      <c r="W381" s="33">
        <v>2015</v>
      </c>
      <c r="X381" t="s">
        <v>3012</v>
      </c>
      <c r="Y381" s="31">
        <v>42275</v>
      </c>
      <c r="Z381" s="31" t="str">
        <f t="shared" si="41"/>
        <v>ES-2015-MS17770139-42275</v>
      </c>
    </row>
    <row r="382" spans="1:26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 t="shared" si="35"/>
        <v>Julie Creighton</v>
      </c>
      <c r="P382" s="8" t="str">
        <f t="shared" si="36"/>
        <v>LH</v>
      </c>
      <c r="Q382" s="8" t="str">
        <f t="shared" si="37"/>
        <v>2015</v>
      </c>
      <c r="R382" s="8" t="str">
        <f t="shared" si="38"/>
        <v>HIGH</v>
      </c>
      <c r="S382" s="8" t="str">
        <f t="shared" si="39"/>
        <v>furniture</v>
      </c>
      <c r="T382" s="18" t="str">
        <f t="shared" si="40"/>
        <v>42032</v>
      </c>
      <c r="U382" s="30" t="s">
        <v>3013</v>
      </c>
      <c r="V382" s="16" t="s">
        <v>3014</v>
      </c>
      <c r="W382" s="33">
        <v>2015</v>
      </c>
      <c r="X382" t="s">
        <v>3013</v>
      </c>
      <c r="Y382" s="31">
        <v>42032</v>
      </c>
      <c r="Z382" s="31" t="str">
        <f t="shared" si="41"/>
        <v>LH-2015-JC610575-42032</v>
      </c>
    </row>
    <row r="383" spans="1:26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 t="shared" si="35"/>
        <v>George Ebll</v>
      </c>
      <c r="P383" s="13" t="str">
        <f t="shared" si="36"/>
        <v>IN</v>
      </c>
      <c r="Q383" s="13" t="str">
        <f t="shared" si="37"/>
        <v>2015</v>
      </c>
      <c r="R383" s="13" t="str">
        <f t="shared" si="38"/>
        <v>MEDIUM</v>
      </c>
      <c r="S383" s="13" t="str">
        <f t="shared" si="39"/>
        <v>technology</v>
      </c>
      <c r="T383" s="21" t="str">
        <f t="shared" si="40"/>
        <v>42260</v>
      </c>
      <c r="U383" s="30" t="s">
        <v>3015</v>
      </c>
      <c r="V383" s="19" t="s">
        <v>2681</v>
      </c>
      <c r="W383" s="33">
        <v>2015</v>
      </c>
      <c r="X383" t="s">
        <v>3015</v>
      </c>
      <c r="Y383" s="31">
        <v>42260</v>
      </c>
      <c r="Z383" s="31" t="str">
        <f t="shared" si="41"/>
        <v>IN-2015-GB145307-42260</v>
      </c>
    </row>
    <row r="384" spans="1:26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 t="shared" si="35"/>
        <v>Justin Hirsh</v>
      </c>
      <c r="P384" s="8" t="str">
        <f t="shared" si="36"/>
        <v>US</v>
      </c>
      <c r="Q384" s="8" t="str">
        <f t="shared" si="37"/>
        <v>2012</v>
      </c>
      <c r="R384" s="8" t="str">
        <f t="shared" si="38"/>
        <v>HIGH</v>
      </c>
      <c r="S384" s="8" t="str">
        <f t="shared" si="39"/>
        <v>technology</v>
      </c>
      <c r="T384" s="18" t="str">
        <f t="shared" si="40"/>
        <v>41264</v>
      </c>
      <c r="U384" s="30" t="s">
        <v>3016</v>
      </c>
      <c r="V384" s="16" t="s">
        <v>2685</v>
      </c>
      <c r="W384" s="33">
        <v>2012</v>
      </c>
      <c r="X384" t="s">
        <v>3016</v>
      </c>
      <c r="Y384" s="31">
        <v>41264</v>
      </c>
      <c r="Z384" s="31" t="str">
        <f t="shared" si="41"/>
        <v>US-2012-JH161805-41264</v>
      </c>
    </row>
    <row r="385" spans="1:26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 t="shared" si="35"/>
        <v>Dana Kaydos</v>
      </c>
      <c r="P385" s="13" t="str">
        <f t="shared" si="36"/>
        <v>ID</v>
      </c>
      <c r="Q385" s="13" t="str">
        <f t="shared" si="37"/>
        <v>2015</v>
      </c>
      <c r="R385" s="13" t="str">
        <f t="shared" si="38"/>
        <v>HIGH</v>
      </c>
      <c r="S385" s="13" t="str">
        <f t="shared" si="39"/>
        <v>office supplies</v>
      </c>
      <c r="T385" s="21" t="str">
        <f t="shared" si="40"/>
        <v>42315</v>
      </c>
      <c r="U385" s="30" t="s">
        <v>3017</v>
      </c>
      <c r="V385" s="19" t="s">
        <v>2705</v>
      </c>
      <c r="W385" s="33">
        <v>2015</v>
      </c>
      <c r="X385" t="s">
        <v>3017</v>
      </c>
      <c r="Y385" s="31">
        <v>42315</v>
      </c>
      <c r="Z385" s="31" t="str">
        <f t="shared" si="41"/>
        <v>ID-2015-DK1289559-42315</v>
      </c>
    </row>
    <row r="386" spans="1:26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 t="shared" ref="O386:O449" si="42">PROPER(D386)</f>
        <v>Karen Daniels</v>
      </c>
      <c r="P386" s="8" t="str">
        <f t="shared" ref="P386:P449" si="43">LEFT(A386,2)</f>
        <v>MX</v>
      </c>
      <c r="Q386" s="8" t="str">
        <f t="shared" ref="Q386:Q449" si="44">MID(A386,4,4)</f>
        <v>2015</v>
      </c>
      <c r="R386" s="8" t="str">
        <f t="shared" ref="R386:R449" si="45">UPPER(M386)</f>
        <v>CRITICAL</v>
      </c>
      <c r="S386" s="8" t="str">
        <f t="shared" ref="S386:S449" si="46">LOWER(G386)</f>
        <v xml:space="preserve"> furniture </v>
      </c>
      <c r="T386" s="18" t="str">
        <f t="shared" ref="T386:T449" si="47">RIGHT(A386,5)</f>
        <v>42330</v>
      </c>
      <c r="U386" s="30" t="s">
        <v>3018</v>
      </c>
      <c r="V386" s="16" t="s">
        <v>2695</v>
      </c>
      <c r="W386" s="33">
        <v>2015</v>
      </c>
      <c r="X386" t="s">
        <v>3018</v>
      </c>
      <c r="Y386" s="31">
        <v>42330</v>
      </c>
      <c r="Z386" s="31" t="str">
        <f t="shared" ref="Z386:Z449" si="48">TRIM(A386)</f>
        <v>MX-2015-KD1627018-42330</v>
      </c>
    </row>
    <row r="387" spans="1:26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 t="shared" si="42"/>
        <v>Hunter Lopez</v>
      </c>
      <c r="P387" s="13" t="str">
        <f t="shared" si="43"/>
        <v>IN</v>
      </c>
      <c r="Q387" s="13" t="str">
        <f t="shared" si="44"/>
        <v>2012</v>
      </c>
      <c r="R387" s="13" t="str">
        <f t="shared" si="45"/>
        <v>CRITICAL</v>
      </c>
      <c r="S387" s="13" t="str">
        <f t="shared" si="46"/>
        <v>technology</v>
      </c>
      <c r="T387" s="21" t="str">
        <f t="shared" si="47"/>
        <v>41237</v>
      </c>
      <c r="U387" s="30" t="s">
        <v>3019</v>
      </c>
      <c r="V387" s="19" t="s">
        <v>2681</v>
      </c>
      <c r="W387" s="33">
        <v>2012</v>
      </c>
      <c r="X387" t="s">
        <v>3019</v>
      </c>
      <c r="Y387" s="31">
        <v>41237</v>
      </c>
      <c r="Z387" s="31" t="str">
        <f t="shared" si="48"/>
        <v>IN-2012-HL150407-41237</v>
      </c>
    </row>
    <row r="388" spans="1:26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 t="shared" si="42"/>
        <v>Carol Triggs</v>
      </c>
      <c r="P388" s="8" t="str">
        <f t="shared" si="43"/>
        <v>IN</v>
      </c>
      <c r="Q388" s="8" t="str">
        <f t="shared" si="44"/>
        <v>2013</v>
      </c>
      <c r="R388" s="8" t="str">
        <f t="shared" si="45"/>
        <v>HIGH</v>
      </c>
      <c r="S388" s="8" t="str">
        <f t="shared" si="46"/>
        <v>technology</v>
      </c>
      <c r="T388" s="18" t="str">
        <f t="shared" si="47"/>
        <v>41496</v>
      </c>
      <c r="U388" s="30" t="s">
        <v>3020</v>
      </c>
      <c r="V388" s="16" t="s">
        <v>2681</v>
      </c>
      <c r="W388" s="33">
        <v>2013</v>
      </c>
      <c r="X388" t="s">
        <v>3020</v>
      </c>
      <c r="Y388" s="31">
        <v>41496</v>
      </c>
      <c r="Z388" s="31" t="str">
        <f t="shared" si="48"/>
        <v>IN-2013-CT1199566-41496</v>
      </c>
    </row>
    <row r="389" spans="1:26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 t="shared" si="42"/>
        <v>Georgia Rosenberg</v>
      </c>
      <c r="P389" s="13" t="str">
        <f t="shared" si="43"/>
        <v>LT</v>
      </c>
      <c r="Q389" s="13" t="str">
        <f t="shared" si="44"/>
        <v>2014</v>
      </c>
      <c r="R389" s="13" t="str">
        <f t="shared" si="45"/>
        <v>MEDIUM</v>
      </c>
      <c r="S389" s="13" t="str">
        <f t="shared" si="46"/>
        <v>technology</v>
      </c>
      <c r="T389" s="21" t="str">
        <f t="shared" si="47"/>
        <v>42003</v>
      </c>
      <c r="U389" s="30" t="s">
        <v>3021</v>
      </c>
      <c r="V389" s="19" t="s">
        <v>3022</v>
      </c>
      <c r="W389" s="33">
        <v>2014</v>
      </c>
      <c r="X389" t="s">
        <v>3021</v>
      </c>
      <c r="Y389" s="31">
        <v>42003</v>
      </c>
      <c r="Z389" s="31" t="str">
        <f t="shared" si="48"/>
        <v>LT-2014-GR456072-42003</v>
      </c>
    </row>
    <row r="390" spans="1:26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 t="shared" si="42"/>
        <v>Speros Goranitis</v>
      </c>
      <c r="P390" s="8" t="str">
        <f t="shared" si="43"/>
        <v>RO</v>
      </c>
      <c r="Q390" s="8" t="str">
        <f t="shared" si="44"/>
        <v>2013</v>
      </c>
      <c r="R390" s="8" t="str">
        <f t="shared" si="45"/>
        <v>HIGH</v>
      </c>
      <c r="S390" s="8" t="str">
        <f t="shared" si="46"/>
        <v>technology</v>
      </c>
      <c r="T390" s="18" t="str">
        <f t="shared" si="47"/>
        <v>41614</v>
      </c>
      <c r="U390" s="30" t="s">
        <v>3023</v>
      </c>
      <c r="V390" s="16" t="s">
        <v>3024</v>
      </c>
      <c r="W390" s="33">
        <v>2013</v>
      </c>
      <c r="X390" t="s">
        <v>3023</v>
      </c>
      <c r="Y390" s="31">
        <v>41614</v>
      </c>
      <c r="Z390" s="31" t="str">
        <f t="shared" si="48"/>
        <v>RO-2013-SG10605107-41614</v>
      </c>
    </row>
    <row r="391" spans="1:26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 t="shared" si="42"/>
        <v>Fred Hopkins</v>
      </c>
      <c r="P391" s="13" t="str">
        <f t="shared" si="43"/>
        <v>MX</v>
      </c>
      <c r="Q391" s="13" t="str">
        <f t="shared" si="44"/>
        <v>2013</v>
      </c>
      <c r="R391" s="13" t="str">
        <f t="shared" si="45"/>
        <v>HIGH</v>
      </c>
      <c r="S391" s="13" t="str">
        <f t="shared" si="46"/>
        <v>technology</v>
      </c>
      <c r="T391" s="21" t="str">
        <f t="shared" si="47"/>
        <v>41628</v>
      </c>
      <c r="U391" s="30" t="s">
        <v>3025</v>
      </c>
      <c r="V391" s="19" t="s">
        <v>2695</v>
      </c>
      <c r="W391" s="33">
        <v>2013</v>
      </c>
      <c r="X391" t="s">
        <v>3025</v>
      </c>
      <c r="Y391" s="31">
        <v>41628</v>
      </c>
      <c r="Z391" s="31" t="str">
        <f t="shared" si="48"/>
        <v>MX-2013-FH1436582-41628</v>
      </c>
    </row>
    <row r="392" spans="1:26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 t="shared" si="42"/>
        <v>Jane Waco</v>
      </c>
      <c r="P392" s="8" t="str">
        <f t="shared" si="43"/>
        <v>SG</v>
      </c>
      <c r="Q392" s="8" t="str">
        <f t="shared" si="44"/>
        <v>2015</v>
      </c>
      <c r="R392" s="8" t="str">
        <f t="shared" si="45"/>
        <v>MEIDUM</v>
      </c>
      <c r="S392" s="8" t="str">
        <f t="shared" si="46"/>
        <v>technology</v>
      </c>
      <c r="T392" s="18" t="str">
        <f t="shared" si="47"/>
        <v>42108</v>
      </c>
      <c r="U392" s="30" t="s">
        <v>3026</v>
      </c>
      <c r="V392" s="16" t="s">
        <v>3027</v>
      </c>
      <c r="W392" s="33">
        <v>2015</v>
      </c>
      <c r="X392" t="s">
        <v>3026</v>
      </c>
      <c r="Y392" s="31">
        <v>42108</v>
      </c>
      <c r="Z392" s="31" t="str">
        <f t="shared" si="48"/>
        <v>SG-2015-JW5220111-42108</v>
      </c>
    </row>
    <row r="393" spans="1:26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 t="shared" si="42"/>
        <v>Russell D'Ascenzo</v>
      </c>
      <c r="P393" s="13" t="str">
        <f t="shared" si="43"/>
        <v>ID</v>
      </c>
      <c r="Q393" s="13" t="str">
        <f t="shared" si="44"/>
        <v>2015</v>
      </c>
      <c r="R393" s="13" t="str">
        <f t="shared" si="45"/>
        <v>HIGH</v>
      </c>
      <c r="S393" s="13" t="str">
        <f t="shared" si="46"/>
        <v>office_supplies</v>
      </c>
      <c r="T393" s="21" t="str">
        <f t="shared" si="47"/>
        <v>42140</v>
      </c>
      <c r="U393" s="30" t="s">
        <v>3028</v>
      </c>
      <c r="V393" s="19" t="s">
        <v>2705</v>
      </c>
      <c r="W393" s="33">
        <v>2015</v>
      </c>
      <c r="X393" t="s">
        <v>3028</v>
      </c>
      <c r="Y393" s="31">
        <v>42140</v>
      </c>
      <c r="Z393" s="31" t="str">
        <f t="shared" si="48"/>
        <v>ID-2015-RD1993092-42140</v>
      </c>
    </row>
    <row r="394" spans="1:26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 t="shared" si="42"/>
        <v>Charles Sheldon</v>
      </c>
      <c r="P394" s="8" t="str">
        <f t="shared" si="43"/>
        <v>IN</v>
      </c>
      <c r="Q394" s="8" t="str">
        <f t="shared" si="44"/>
        <v>2014</v>
      </c>
      <c r="R394" s="8" t="str">
        <f t="shared" si="45"/>
        <v>MEDIUM</v>
      </c>
      <c r="S394" s="8" t="str">
        <f t="shared" si="46"/>
        <v>technology</v>
      </c>
      <c r="T394" s="18" t="str">
        <f t="shared" si="47"/>
        <v>41788</v>
      </c>
      <c r="U394" s="30" t="s">
        <v>3029</v>
      </c>
      <c r="V394" s="16" t="s">
        <v>2681</v>
      </c>
      <c r="W394" s="33">
        <v>2014</v>
      </c>
      <c r="X394" t="s">
        <v>3029</v>
      </c>
      <c r="Y394" s="31">
        <v>41788</v>
      </c>
      <c r="Z394" s="31" t="str">
        <f t="shared" si="48"/>
        <v>IN-2014-CS12175130-41788</v>
      </c>
    </row>
    <row r="395" spans="1:26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 t="shared" si="42"/>
        <v>Julia Dunbar</v>
      </c>
      <c r="P395" s="13" t="str">
        <f t="shared" si="43"/>
        <v>IT</v>
      </c>
      <c r="Q395" s="13" t="str">
        <f t="shared" si="44"/>
        <v>2013</v>
      </c>
      <c r="R395" s="13" t="str">
        <f t="shared" si="45"/>
        <v>CRITICAL</v>
      </c>
      <c r="S395" s="13" t="str">
        <f t="shared" si="46"/>
        <v>office supplies</v>
      </c>
      <c r="T395" s="21" t="str">
        <f t="shared" si="47"/>
        <v>41515</v>
      </c>
      <c r="U395" s="30" t="s">
        <v>3030</v>
      </c>
      <c r="V395" s="19" t="s">
        <v>2690</v>
      </c>
      <c r="W395" s="33">
        <v>2013</v>
      </c>
      <c r="X395" t="s">
        <v>3030</v>
      </c>
      <c r="Y395" s="31">
        <v>41515</v>
      </c>
      <c r="Z395" s="31" t="str">
        <f t="shared" si="48"/>
        <v>IT-2013-JD16060120-41515</v>
      </c>
    </row>
    <row r="396" spans="1:26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 t="shared" si="42"/>
        <v>Thomas Seio</v>
      </c>
      <c r="P396" s="8" t="str">
        <f t="shared" si="43"/>
        <v>IN</v>
      </c>
      <c r="Q396" s="8" t="str">
        <f t="shared" si="44"/>
        <v>2014</v>
      </c>
      <c r="R396" s="8" t="str">
        <f t="shared" si="45"/>
        <v>CRITICAL</v>
      </c>
      <c r="S396" s="8" t="str">
        <f t="shared" si="46"/>
        <v>furniture</v>
      </c>
      <c r="T396" s="18" t="str">
        <f t="shared" si="47"/>
        <v>41852</v>
      </c>
      <c r="U396" s="30" t="s">
        <v>3031</v>
      </c>
      <c r="V396" s="16" t="s">
        <v>2681</v>
      </c>
      <c r="W396" s="33">
        <v>2014</v>
      </c>
      <c r="X396" t="s">
        <v>3031</v>
      </c>
      <c r="Y396" s="31">
        <v>41852</v>
      </c>
      <c r="Z396" s="31" t="str">
        <f t="shared" si="48"/>
        <v>IN-2014-TS212057-41852</v>
      </c>
    </row>
    <row r="397" spans="1:26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 t="shared" si="42"/>
        <v>Adam Shillingsburg</v>
      </c>
      <c r="P397" s="13" t="str">
        <f t="shared" si="43"/>
        <v>CA</v>
      </c>
      <c r="Q397" s="13" t="str">
        <f t="shared" si="44"/>
        <v>2014</v>
      </c>
      <c r="R397" s="13" t="str">
        <f t="shared" si="45"/>
        <v>HIGH</v>
      </c>
      <c r="S397" s="13" t="str">
        <f t="shared" si="46"/>
        <v>office supplies</v>
      </c>
      <c r="T397" s="21" t="str">
        <f t="shared" si="47"/>
        <v>41812</v>
      </c>
      <c r="U397" s="30" t="s">
        <v>2742</v>
      </c>
      <c r="V397" s="19" t="s">
        <v>2683</v>
      </c>
      <c r="W397" s="33">
        <v>2014</v>
      </c>
      <c r="X397" t="s">
        <v>2742</v>
      </c>
      <c r="Y397" s="31">
        <v>41812</v>
      </c>
      <c r="Z397" s="31" t="str">
        <f t="shared" si="48"/>
        <v>CA-2014-AS10090140-41812</v>
      </c>
    </row>
    <row r="398" spans="1:26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 t="shared" si="42"/>
        <v>Pamela Stobb</v>
      </c>
      <c r="P398" s="8" t="str">
        <f t="shared" si="43"/>
        <v>IN</v>
      </c>
      <c r="Q398" s="8" t="str">
        <f t="shared" si="44"/>
        <v>2015</v>
      </c>
      <c r="R398" s="8" t="str">
        <f t="shared" si="45"/>
        <v>CRITICAL</v>
      </c>
      <c r="S398" s="8" t="str">
        <f t="shared" si="46"/>
        <v>furniture</v>
      </c>
      <c r="T398" s="18" t="str">
        <f t="shared" si="47"/>
        <v>42288</v>
      </c>
      <c r="U398" s="30" t="s">
        <v>3032</v>
      </c>
      <c r="V398" s="16" t="s">
        <v>2681</v>
      </c>
      <c r="W398" s="33">
        <v>2015</v>
      </c>
      <c r="X398" t="s">
        <v>3032</v>
      </c>
      <c r="Y398" s="31">
        <v>42288</v>
      </c>
      <c r="Z398" s="31" t="str">
        <f t="shared" si="48"/>
        <v>IN-2015-PS1876059-42288</v>
      </c>
    </row>
    <row r="399" spans="1:26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 t="shared" si="42"/>
        <v>Cynthia Arntzen</v>
      </c>
      <c r="P399" s="13" t="str">
        <f t="shared" si="43"/>
        <v>IN</v>
      </c>
      <c r="Q399" s="13" t="str">
        <f t="shared" si="44"/>
        <v>2014</v>
      </c>
      <c r="R399" s="13" t="str">
        <f t="shared" si="45"/>
        <v>MEDIUM</v>
      </c>
      <c r="S399" s="13" t="str">
        <f t="shared" si="46"/>
        <v>technology</v>
      </c>
      <c r="T399" s="21" t="str">
        <f t="shared" si="47"/>
        <v>41802</v>
      </c>
      <c r="U399" s="30" t="s">
        <v>3033</v>
      </c>
      <c r="V399" s="19" t="s">
        <v>2681</v>
      </c>
      <c r="W399" s="33">
        <v>2014</v>
      </c>
      <c r="X399" t="s">
        <v>3033</v>
      </c>
      <c r="Y399" s="31">
        <v>41802</v>
      </c>
      <c r="Z399" s="31" t="str">
        <f t="shared" si="48"/>
        <v>IN-2014-CA1277558-41802</v>
      </c>
    </row>
    <row r="400" spans="1:26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 t="shared" si="42"/>
        <v>Cynthia Delaney</v>
      </c>
      <c r="P400" s="8" t="str">
        <f t="shared" si="43"/>
        <v>ES</v>
      </c>
      <c r="Q400" s="8" t="str">
        <f t="shared" si="44"/>
        <v>2014</v>
      </c>
      <c r="R400" s="8" t="str">
        <f t="shared" si="45"/>
        <v>HIGH</v>
      </c>
      <c r="S400" s="8" t="str">
        <f t="shared" si="46"/>
        <v>furniture</v>
      </c>
      <c r="T400" s="18" t="str">
        <f t="shared" si="47"/>
        <v>41899</v>
      </c>
      <c r="U400" s="30" t="s">
        <v>3034</v>
      </c>
      <c r="V400" s="16" t="s">
        <v>2710</v>
      </c>
      <c r="W400" s="33">
        <v>2014</v>
      </c>
      <c r="X400" t="s">
        <v>3034</v>
      </c>
      <c r="Y400" s="31">
        <v>41899</v>
      </c>
      <c r="Z400" s="31" t="str">
        <f t="shared" si="48"/>
        <v>ES-2014-CD1279048-41899</v>
      </c>
    </row>
    <row r="401" spans="1:26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 t="shared" si="42"/>
        <v>Ken Brennan</v>
      </c>
      <c r="P401" s="13" t="str">
        <f t="shared" si="43"/>
        <v>IN</v>
      </c>
      <c r="Q401" s="13" t="str">
        <f t="shared" si="44"/>
        <v>2012</v>
      </c>
      <c r="R401" s="13" t="str">
        <f t="shared" si="45"/>
        <v>MEDIUM</v>
      </c>
      <c r="S401" s="13" t="str">
        <f t="shared" si="46"/>
        <v>furniture</v>
      </c>
      <c r="T401" s="21" t="str">
        <f t="shared" si="47"/>
        <v>41136</v>
      </c>
      <c r="U401" s="30" t="s">
        <v>3035</v>
      </c>
      <c r="V401" s="19" t="s">
        <v>2681</v>
      </c>
      <c r="W401" s="33">
        <v>2012</v>
      </c>
      <c r="X401" t="s">
        <v>3035</v>
      </c>
      <c r="Y401" s="31">
        <v>41136</v>
      </c>
      <c r="Z401" s="31" t="str">
        <f t="shared" si="48"/>
        <v>IN-2012-KB1660058-41136</v>
      </c>
    </row>
    <row r="402" spans="1:26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 t="shared" si="42"/>
        <v>Adam Shillingsburg</v>
      </c>
      <c r="P402" s="8" t="str">
        <f t="shared" si="43"/>
        <v>CA</v>
      </c>
      <c r="Q402" s="8" t="str">
        <f t="shared" si="44"/>
        <v>2015</v>
      </c>
      <c r="R402" s="8" t="str">
        <f t="shared" si="45"/>
        <v>HIGH</v>
      </c>
      <c r="S402" s="8" t="str">
        <f t="shared" si="46"/>
        <v>office supplies</v>
      </c>
      <c r="T402" s="18" t="str">
        <f t="shared" si="47"/>
        <v>42096</v>
      </c>
      <c r="U402" s="30" t="s">
        <v>2742</v>
      </c>
      <c r="V402" s="16" t="s">
        <v>2683</v>
      </c>
      <c r="W402" s="33">
        <v>2015</v>
      </c>
      <c r="X402" t="s">
        <v>2742</v>
      </c>
      <c r="Y402" s="31">
        <v>42096</v>
      </c>
      <c r="Z402" s="31" t="str">
        <f t="shared" si="48"/>
        <v>CA-2015-AS10090140-42096</v>
      </c>
    </row>
    <row r="403" spans="1:26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 t="shared" si="42"/>
        <v>Maureen Gnade</v>
      </c>
      <c r="P403" s="13" t="str">
        <f t="shared" si="43"/>
        <v>ES</v>
      </c>
      <c r="Q403" s="13" t="str">
        <f t="shared" si="44"/>
        <v>2015</v>
      </c>
      <c r="R403" s="13" t="str">
        <f t="shared" si="45"/>
        <v>HIGH</v>
      </c>
      <c r="S403" s="13" t="str">
        <f t="shared" si="46"/>
        <v>technology</v>
      </c>
      <c r="T403" s="21" t="str">
        <f t="shared" si="47"/>
        <v>42018</v>
      </c>
      <c r="U403" s="30" t="s">
        <v>3036</v>
      </c>
      <c r="V403" s="19" t="s">
        <v>2710</v>
      </c>
      <c r="W403" s="33">
        <v>2015</v>
      </c>
      <c r="X403" t="s">
        <v>3036</v>
      </c>
      <c r="Y403" s="31">
        <v>42018</v>
      </c>
      <c r="Z403" s="31" t="str">
        <f t="shared" si="48"/>
        <v>ES-2015-MG1769564-42018</v>
      </c>
    </row>
    <row r="404" spans="1:26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 t="shared" si="42"/>
        <v>Beth Paige</v>
      </c>
      <c r="P404" s="8" t="str">
        <f t="shared" si="43"/>
        <v>IN</v>
      </c>
      <c r="Q404" s="8" t="str">
        <f t="shared" si="44"/>
        <v>2015</v>
      </c>
      <c r="R404" s="8" t="str">
        <f t="shared" si="45"/>
        <v>CRITICAL</v>
      </c>
      <c r="S404" s="8" t="str">
        <f t="shared" si="46"/>
        <v>technology</v>
      </c>
      <c r="T404" s="18" t="str">
        <f t="shared" si="47"/>
        <v>42269</v>
      </c>
      <c r="U404" s="30" t="s">
        <v>3037</v>
      </c>
      <c r="V404" s="16" t="s">
        <v>2681</v>
      </c>
      <c r="W404" s="33">
        <v>2015</v>
      </c>
      <c r="X404" t="s">
        <v>3037</v>
      </c>
      <c r="Y404" s="31">
        <v>42269</v>
      </c>
      <c r="Z404" s="31" t="str">
        <f t="shared" si="48"/>
        <v>IN-2015-BP11290113-42269</v>
      </c>
    </row>
    <row r="405" spans="1:26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 t="shared" si="42"/>
        <v>Bryan Spruell</v>
      </c>
      <c r="P405" s="13" t="str">
        <f t="shared" si="43"/>
        <v>IN</v>
      </c>
      <c r="Q405" s="13" t="str">
        <f t="shared" si="44"/>
        <v>2015</v>
      </c>
      <c r="R405" s="13" t="str">
        <f t="shared" si="45"/>
        <v>MEDIUM</v>
      </c>
      <c r="S405" s="13" t="str">
        <f t="shared" si="46"/>
        <v>office supplies</v>
      </c>
      <c r="T405" s="21" t="str">
        <f t="shared" si="47"/>
        <v>42124</v>
      </c>
      <c r="U405" s="30" t="s">
        <v>3038</v>
      </c>
      <c r="V405" s="19" t="s">
        <v>2681</v>
      </c>
      <c r="W405" s="33">
        <v>2015</v>
      </c>
      <c r="X405" t="s">
        <v>3038</v>
      </c>
      <c r="Y405" s="31">
        <v>42124</v>
      </c>
      <c r="Z405" s="31" t="str">
        <f t="shared" si="48"/>
        <v>IN-2015-BS1180059-42124</v>
      </c>
    </row>
    <row r="406" spans="1:26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 t="shared" si="42"/>
        <v>Dianna Vittorini</v>
      </c>
      <c r="P406" s="8" t="str">
        <f t="shared" si="43"/>
        <v>MX</v>
      </c>
      <c r="Q406" s="8" t="str">
        <f t="shared" si="44"/>
        <v>2012</v>
      </c>
      <c r="R406" s="8" t="str">
        <f t="shared" si="45"/>
        <v>HIGH</v>
      </c>
      <c r="S406" s="8" t="str">
        <f t="shared" si="46"/>
        <v>furniture</v>
      </c>
      <c r="T406" s="18" t="str">
        <f t="shared" si="47"/>
        <v>41179</v>
      </c>
      <c r="U406" s="30" t="s">
        <v>3039</v>
      </c>
      <c r="V406" s="16" t="s">
        <v>2695</v>
      </c>
      <c r="W406" s="33">
        <v>2012</v>
      </c>
      <c r="X406" t="s">
        <v>3039</v>
      </c>
      <c r="Y406" s="31">
        <v>41179</v>
      </c>
      <c r="Z406" s="31" t="str">
        <f t="shared" si="48"/>
        <v>MX-2012-DV1346539-41179</v>
      </c>
    </row>
    <row r="407" spans="1:26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 t="shared" si="42"/>
        <v>Duane Benoit</v>
      </c>
      <c r="P407" s="13" t="str">
        <f t="shared" si="43"/>
        <v>RO</v>
      </c>
      <c r="Q407" s="13" t="str">
        <f t="shared" si="44"/>
        <v>2013</v>
      </c>
      <c r="R407" s="13" t="str">
        <f t="shared" si="45"/>
        <v>CRITICAL</v>
      </c>
      <c r="S407" s="13" t="str">
        <f t="shared" si="46"/>
        <v>furniture</v>
      </c>
      <c r="T407" s="21" t="str">
        <f t="shared" si="47"/>
        <v>41503</v>
      </c>
      <c r="U407" s="30" t="s">
        <v>3040</v>
      </c>
      <c r="V407" s="19" t="s">
        <v>3024</v>
      </c>
      <c r="W407" s="33">
        <v>2013</v>
      </c>
      <c r="X407" t="s">
        <v>3040</v>
      </c>
      <c r="Y407" s="31">
        <v>41503</v>
      </c>
      <c r="Z407" s="31" t="str">
        <f t="shared" si="48"/>
        <v>RO-2013-DB3660107-41503</v>
      </c>
    </row>
    <row r="408" spans="1:26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 t="shared" si="42"/>
        <v>Karl Braun#</v>
      </c>
      <c r="P408" s="8" t="str">
        <f t="shared" si="43"/>
        <v>IN</v>
      </c>
      <c r="Q408" s="8" t="str">
        <f t="shared" si="44"/>
        <v>2013</v>
      </c>
      <c r="R408" s="8" t="str">
        <f t="shared" si="45"/>
        <v>CRITICAL</v>
      </c>
      <c r="S408" s="8" t="str">
        <f t="shared" si="46"/>
        <v>technology</v>
      </c>
      <c r="T408" s="18" t="str">
        <f t="shared" si="47"/>
        <v>41495</v>
      </c>
      <c r="U408" s="30" t="s">
        <v>3041</v>
      </c>
      <c r="V408" s="16" t="s">
        <v>2681</v>
      </c>
      <c r="W408" s="33">
        <v>2013</v>
      </c>
      <c r="X408" t="s">
        <v>3041</v>
      </c>
      <c r="Y408" s="31">
        <v>41495</v>
      </c>
      <c r="Z408" s="31" t="str">
        <f t="shared" si="48"/>
        <v>IN-2013-KB1631578-41495</v>
      </c>
    </row>
    <row r="409" spans="1:26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 t="shared" si="42"/>
        <v>Charles Sheldon</v>
      </c>
      <c r="P409" s="13" t="str">
        <f t="shared" si="43"/>
        <v>ID</v>
      </c>
      <c r="Q409" s="13" t="str">
        <f t="shared" si="44"/>
        <v>2013</v>
      </c>
      <c r="R409" s="13" t="str">
        <f t="shared" si="45"/>
        <v>HIGH</v>
      </c>
      <c r="S409" s="13" t="str">
        <f t="shared" si="46"/>
        <v>technology</v>
      </c>
      <c r="T409" s="21" t="str">
        <f t="shared" si="47"/>
        <v>1473#</v>
      </c>
      <c r="U409" s="30" t="s">
        <v>3042</v>
      </c>
      <c r="V409" s="19" t="s">
        <v>2705</v>
      </c>
      <c r="W409" s="33">
        <v>2013</v>
      </c>
      <c r="X409" t="s">
        <v>3042</v>
      </c>
      <c r="Y409" s="31" t="s">
        <v>3043</v>
      </c>
      <c r="Z409" s="31" t="str">
        <f t="shared" si="48"/>
        <v>ID-2013-CS121757-41473#</v>
      </c>
    </row>
    <row r="410" spans="1:26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 t="shared" si="42"/>
        <v>Dario Medina</v>
      </c>
      <c r="P410" s="8" t="str">
        <f t="shared" si="43"/>
        <v>ES</v>
      </c>
      <c r="Q410" s="8" t="str">
        <f t="shared" si="44"/>
        <v>2014</v>
      </c>
      <c r="R410" s="8" t="str">
        <f t="shared" si="45"/>
        <v>HIGH</v>
      </c>
      <c r="S410" s="8" t="str">
        <f t="shared" si="46"/>
        <v>technology</v>
      </c>
      <c r="T410" s="18" t="str">
        <f t="shared" si="47"/>
        <v>42004</v>
      </c>
      <c r="U410" s="30" t="s">
        <v>3044</v>
      </c>
      <c r="V410" s="16" t="s">
        <v>2710</v>
      </c>
      <c r="W410" s="33">
        <v>2014</v>
      </c>
      <c r="X410" t="s">
        <v>3044</v>
      </c>
      <c r="Y410" s="31">
        <v>42004</v>
      </c>
      <c r="Z410" s="31" t="str">
        <f t="shared" si="48"/>
        <v>ES-2014-DM1295545-42004</v>
      </c>
    </row>
    <row r="411" spans="1:26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 t="shared" si="42"/>
        <v>Corey Catlett</v>
      </c>
      <c r="P411" s="13" t="str">
        <f t="shared" si="43"/>
        <v>IT</v>
      </c>
      <c r="Q411" s="13" t="str">
        <f t="shared" si="44"/>
        <v>2013</v>
      </c>
      <c r="R411" s="13" t="str">
        <f t="shared" si="45"/>
        <v>HIGH</v>
      </c>
      <c r="S411" s="13" t="str">
        <f t="shared" si="46"/>
        <v>office supplies</v>
      </c>
      <c r="T411" s="21" t="str">
        <f t="shared" si="47"/>
        <v>41289</v>
      </c>
      <c r="U411" s="30" t="s">
        <v>3045</v>
      </c>
      <c r="V411" s="19" t="s">
        <v>2690</v>
      </c>
      <c r="W411" s="33">
        <v>2013</v>
      </c>
      <c r="X411" t="s">
        <v>3045</v>
      </c>
      <c r="Y411" s="31">
        <v>41289</v>
      </c>
      <c r="Z411" s="31" t="str">
        <f t="shared" si="48"/>
        <v>IT-2013-CC1261048-41289</v>
      </c>
    </row>
    <row r="412" spans="1:26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 t="shared" si="42"/>
        <v>Trudy Glocke#</v>
      </c>
      <c r="P412" s="8" t="str">
        <f t="shared" si="43"/>
        <v>ES</v>
      </c>
      <c r="Q412" s="8" t="str">
        <f t="shared" si="44"/>
        <v>2013</v>
      </c>
      <c r="R412" s="8" t="str">
        <f t="shared" si="45"/>
        <v>HIGH</v>
      </c>
      <c r="S412" s="8" t="str">
        <f t="shared" si="46"/>
        <v>office supplies</v>
      </c>
      <c r="T412" s="18" t="str">
        <f t="shared" si="47"/>
        <v>41591</v>
      </c>
      <c r="U412" s="30" t="s">
        <v>3046</v>
      </c>
      <c r="V412" s="16" t="s">
        <v>2710</v>
      </c>
      <c r="W412" s="33">
        <v>2013</v>
      </c>
      <c r="X412" t="s">
        <v>3046</v>
      </c>
      <c r="Y412" s="31">
        <v>41591</v>
      </c>
      <c r="Z412" s="31" t="str">
        <f t="shared" si="48"/>
        <v>ES-2013-TG2164014-41591</v>
      </c>
    </row>
    <row r="413" spans="1:26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 t="shared" si="42"/>
        <v>Skye Norling</v>
      </c>
      <c r="P413" s="13" t="str">
        <f t="shared" si="43"/>
        <v>ID</v>
      </c>
      <c r="Q413" s="13" t="str">
        <f t="shared" si="44"/>
        <v>2014</v>
      </c>
      <c r="R413" s="13" t="str">
        <f t="shared" si="45"/>
        <v>MEDIUM</v>
      </c>
      <c r="S413" s="13" t="str">
        <f t="shared" si="46"/>
        <v>technology</v>
      </c>
      <c r="T413" s="21" t="str">
        <f t="shared" si="47"/>
        <v>41896</v>
      </c>
      <c r="U413" s="30" t="s">
        <v>3047</v>
      </c>
      <c r="V413" s="19" t="s">
        <v>2705</v>
      </c>
      <c r="W413" s="33">
        <v>2014</v>
      </c>
      <c r="X413" t="s">
        <v>3047</v>
      </c>
      <c r="Y413" s="31">
        <v>41896</v>
      </c>
      <c r="Z413" s="31" t="str">
        <f t="shared" si="48"/>
        <v>ID-2014-SN2056097-41896</v>
      </c>
    </row>
    <row r="414" spans="1:26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 t="shared" si="42"/>
        <v>Clay Cheatham</v>
      </c>
      <c r="P414" s="8" t="str">
        <f t="shared" si="43"/>
        <v>IN</v>
      </c>
      <c r="Q414" s="8" t="str">
        <f t="shared" si="44"/>
        <v>2015</v>
      </c>
      <c r="R414" s="8" t="str">
        <f t="shared" si="45"/>
        <v>CRITICAL</v>
      </c>
      <c r="S414" s="8" t="str">
        <f t="shared" si="46"/>
        <v>technology</v>
      </c>
      <c r="T414" s="18" t="str">
        <f t="shared" si="47"/>
        <v>42046</v>
      </c>
      <c r="U414" s="30" t="s">
        <v>3048</v>
      </c>
      <c r="V414" s="16" t="s">
        <v>2681</v>
      </c>
      <c r="W414" s="33">
        <v>2015</v>
      </c>
      <c r="X414" t="s">
        <v>3048</v>
      </c>
      <c r="Y414" s="31">
        <v>42046</v>
      </c>
      <c r="Z414" s="31" t="str">
        <f t="shared" si="48"/>
        <v>IN-2015-CC125507-42046</v>
      </c>
    </row>
    <row r="415" spans="1:26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 t="shared" si="42"/>
        <v>Stewart Visinsky</v>
      </c>
      <c r="P415" s="13" t="str">
        <f t="shared" si="43"/>
        <v>IN</v>
      </c>
      <c r="Q415" s="13" t="str">
        <f t="shared" si="44"/>
        <v>2015</v>
      </c>
      <c r="R415" s="13" t="str">
        <f t="shared" si="45"/>
        <v>HIGH</v>
      </c>
      <c r="S415" s="13" t="str">
        <f t="shared" si="46"/>
        <v>office_supplies</v>
      </c>
      <c r="T415" s="21" t="str">
        <f t="shared" si="47"/>
        <v>42110</v>
      </c>
      <c r="U415" s="30" t="s">
        <v>3049</v>
      </c>
      <c r="V415" s="19" t="s">
        <v>2681</v>
      </c>
      <c r="W415" s="33">
        <v>2015</v>
      </c>
      <c r="X415" t="s">
        <v>3049</v>
      </c>
      <c r="Y415" s="31">
        <v>42110</v>
      </c>
      <c r="Z415" s="31" t="str">
        <f t="shared" si="48"/>
        <v>IN-2015-SV2078559-42110</v>
      </c>
    </row>
    <row r="416" spans="1:26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 t="shared" si="42"/>
        <v>Alejandro Savely</v>
      </c>
      <c r="P416" s="8" t="str">
        <f t="shared" si="43"/>
        <v>IN</v>
      </c>
      <c r="Q416" s="8" t="str">
        <f t="shared" si="44"/>
        <v>2012</v>
      </c>
      <c r="R416" s="8" t="str">
        <f t="shared" si="45"/>
        <v>CRITICAL</v>
      </c>
      <c r="S416" s="8" t="str">
        <f t="shared" si="46"/>
        <v>furniture</v>
      </c>
      <c r="T416" s="18" t="str">
        <f t="shared" si="47"/>
        <v>41221</v>
      </c>
      <c r="U416" s="30" t="s">
        <v>3050</v>
      </c>
      <c r="V416" s="16" t="s">
        <v>2681</v>
      </c>
      <c r="W416" s="33">
        <v>2012</v>
      </c>
      <c r="X416" t="s">
        <v>3050</v>
      </c>
      <c r="Y416" s="31">
        <v>41221</v>
      </c>
      <c r="Z416" s="31" t="str">
        <f t="shared" si="48"/>
        <v>IN-2012-AS1028558-41221</v>
      </c>
    </row>
    <row r="417" spans="1:26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 t="shared" si="42"/>
        <v>Dave Brooks</v>
      </c>
      <c r="P417" s="13" t="str">
        <f t="shared" si="43"/>
        <v>IN</v>
      </c>
      <c r="Q417" s="13" t="str">
        <f t="shared" si="44"/>
        <v>2015</v>
      </c>
      <c r="R417" s="13" t="str">
        <f t="shared" si="45"/>
        <v>HIGH</v>
      </c>
      <c r="S417" s="13" t="str">
        <f t="shared" si="46"/>
        <v>technology</v>
      </c>
      <c r="T417" s="21" t="str">
        <f t="shared" si="47"/>
        <v>42353</v>
      </c>
      <c r="U417" s="30" t="s">
        <v>3051</v>
      </c>
      <c r="V417" s="19" t="s">
        <v>2681</v>
      </c>
      <c r="W417" s="33">
        <v>2015</v>
      </c>
      <c r="X417" t="s">
        <v>3051</v>
      </c>
      <c r="Y417" s="31">
        <v>42353</v>
      </c>
      <c r="Z417" s="31" t="str">
        <f t="shared" si="48"/>
        <v>IN-2015-DB1306027-42353</v>
      </c>
    </row>
    <row r="418" spans="1:26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 t="shared" si="42"/>
        <v xml:space="preserve"> Jane Waco </v>
      </c>
      <c r="P418" s="8" t="str">
        <f t="shared" si="43"/>
        <v>MZ</v>
      </c>
      <c r="Q418" s="8" t="str">
        <f t="shared" si="44"/>
        <v>2015</v>
      </c>
      <c r="R418" s="8" t="str">
        <f t="shared" si="45"/>
        <v>CRITICAL</v>
      </c>
      <c r="S418" s="8" t="str">
        <f t="shared" si="46"/>
        <v>office supplies</v>
      </c>
      <c r="T418" s="18" t="str">
        <f t="shared" si="47"/>
        <v>42183</v>
      </c>
      <c r="U418" s="30" t="s">
        <v>3052</v>
      </c>
      <c r="V418" s="16" t="s">
        <v>3053</v>
      </c>
      <c r="W418" s="33">
        <v>2015</v>
      </c>
      <c r="X418" t="s">
        <v>3052</v>
      </c>
      <c r="Y418" s="31">
        <v>42183</v>
      </c>
      <c r="Z418" s="31" t="str">
        <f t="shared" si="48"/>
        <v>MZ-2015-JW522087-42183</v>
      </c>
    </row>
    <row r="419" spans="1:26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 t="shared" si="42"/>
        <v>Elna Hernandez</v>
      </c>
      <c r="P419" s="13" t="str">
        <f t="shared" si="43"/>
        <v>MX</v>
      </c>
      <c r="Q419" s="13" t="str">
        <f t="shared" si="44"/>
        <v>2013</v>
      </c>
      <c r="R419" s="13" t="str">
        <f t="shared" si="45"/>
        <v>MEDIUM</v>
      </c>
      <c r="S419" s="13" t="str">
        <f t="shared" si="46"/>
        <v>office supplies</v>
      </c>
      <c r="T419" s="21" t="str">
        <f t="shared" si="47"/>
        <v>41489</v>
      </c>
      <c r="U419" s="30" t="s">
        <v>3054</v>
      </c>
      <c r="V419" s="19" t="s">
        <v>2695</v>
      </c>
      <c r="W419" s="33">
        <v>2013</v>
      </c>
      <c r="X419" t="s">
        <v>3054</v>
      </c>
      <c r="Y419" s="31">
        <v>41489</v>
      </c>
      <c r="Z419" s="31" t="str">
        <f t="shared" si="48"/>
        <v>MX-2013-LH1690018-41489</v>
      </c>
    </row>
    <row r="420" spans="1:26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 t="shared" si="42"/>
        <v>Bradley Talbott</v>
      </c>
      <c r="P420" s="8" t="str">
        <f t="shared" si="43"/>
        <v>IN</v>
      </c>
      <c r="Q420" s="8" t="str">
        <f t="shared" si="44"/>
        <v>2013</v>
      </c>
      <c r="R420" s="8" t="str">
        <f t="shared" si="45"/>
        <v>MEDIUM</v>
      </c>
      <c r="S420" s="8" t="str">
        <f t="shared" si="46"/>
        <v>furniture</v>
      </c>
      <c r="T420" s="18" t="str">
        <f t="shared" si="47"/>
        <v>41331</v>
      </c>
      <c r="U420" s="30" t="s">
        <v>3055</v>
      </c>
      <c r="V420" s="16" t="s">
        <v>2681</v>
      </c>
      <c r="W420" s="33">
        <v>2013</v>
      </c>
      <c r="X420" t="s">
        <v>3055</v>
      </c>
      <c r="Y420" s="31">
        <v>41331</v>
      </c>
      <c r="Z420" s="31" t="str">
        <f t="shared" si="48"/>
        <v>IN-2013-BT1153058-41331</v>
      </c>
    </row>
    <row r="421" spans="1:26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 t="shared" si="42"/>
        <v>Sarah Jordon</v>
      </c>
      <c r="P421" s="13" t="str">
        <f t="shared" si="43"/>
        <v>MX</v>
      </c>
      <c r="Q421" s="13" t="str">
        <f t="shared" si="44"/>
        <v>2015</v>
      </c>
      <c r="R421" s="13" t="str">
        <f t="shared" si="45"/>
        <v>HIGH</v>
      </c>
      <c r="S421" s="13" t="str">
        <f t="shared" si="46"/>
        <v>technology</v>
      </c>
      <c r="T421" s="21" t="str">
        <f t="shared" si="47"/>
        <v>42179</v>
      </c>
      <c r="U421" s="30" t="s">
        <v>3056</v>
      </c>
      <c r="V421" s="19" t="s">
        <v>2695</v>
      </c>
      <c r="W421" s="33">
        <v>2015</v>
      </c>
      <c r="X421" t="s">
        <v>3056</v>
      </c>
      <c r="Y421" s="31">
        <v>42179</v>
      </c>
      <c r="Z421" s="31" t="str">
        <f t="shared" si="48"/>
        <v>MX-2015-SJ2021582-42179</v>
      </c>
    </row>
    <row r="422" spans="1:26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 t="shared" si="42"/>
        <v>David Kendrick</v>
      </c>
      <c r="P422" s="8" t="str">
        <f t="shared" si="43"/>
        <v>ES</v>
      </c>
      <c r="Q422" s="8" t="str">
        <f t="shared" si="44"/>
        <v>2013</v>
      </c>
      <c r="R422" s="8" t="str">
        <f t="shared" si="45"/>
        <v>MEDIUM</v>
      </c>
      <c r="S422" s="8" t="str">
        <f t="shared" si="46"/>
        <v>technology</v>
      </c>
      <c r="T422" s="18" t="str">
        <f t="shared" si="47"/>
        <v>41386</v>
      </c>
      <c r="U422" s="30" t="s">
        <v>3057</v>
      </c>
      <c r="V422" s="16" t="s">
        <v>2710</v>
      </c>
      <c r="W422" s="33">
        <v>2013</v>
      </c>
      <c r="X422" t="s">
        <v>3057</v>
      </c>
      <c r="Y422" s="31">
        <v>41386</v>
      </c>
      <c r="Z422" s="31" t="str">
        <f t="shared" si="48"/>
        <v>ES-2013-DK1315048-41386</v>
      </c>
    </row>
    <row r="423" spans="1:26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 t="shared" si="42"/>
        <v>Rick Wilson</v>
      </c>
      <c r="P423" s="13" t="str">
        <f t="shared" si="43"/>
        <v>SF</v>
      </c>
      <c r="Q423" s="13" t="str">
        <f t="shared" si="44"/>
        <v>2014</v>
      </c>
      <c r="R423" s="13" t="str">
        <f t="shared" si="45"/>
        <v>HIGH</v>
      </c>
      <c r="S423" s="13" t="str">
        <f t="shared" si="46"/>
        <v>technology</v>
      </c>
      <c r="T423" s="21" t="str">
        <f t="shared" si="47"/>
        <v>41942</v>
      </c>
      <c r="U423" s="30" t="s">
        <v>3058</v>
      </c>
      <c r="V423" s="19" t="s">
        <v>2731</v>
      </c>
      <c r="W423" s="33">
        <v>2014</v>
      </c>
      <c r="X423" t="s">
        <v>3058</v>
      </c>
      <c r="Y423" s="31">
        <v>41942</v>
      </c>
      <c r="Z423" s="31" t="str">
        <f t="shared" si="48"/>
        <v>SF-2014-RW9540117-41942</v>
      </c>
    </row>
    <row r="424" spans="1:26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 t="shared" si="42"/>
        <v>Adrian Barton</v>
      </c>
      <c r="P424" s="8" t="str">
        <f t="shared" si="43"/>
        <v>CA</v>
      </c>
      <c r="Q424" s="8" t="str">
        <f t="shared" si="44"/>
        <v>2014</v>
      </c>
      <c r="R424" s="8" t="str">
        <f t="shared" si="45"/>
        <v>MEDIUM</v>
      </c>
      <c r="S424" s="8" t="str">
        <f t="shared" si="46"/>
        <v>office_supplies</v>
      </c>
      <c r="T424" s="18" t="str">
        <f t="shared" si="47"/>
        <v>41991</v>
      </c>
      <c r="U424" s="30" t="s">
        <v>2776</v>
      </c>
      <c r="V424" s="16" t="s">
        <v>2683</v>
      </c>
      <c r="W424" s="33">
        <v>2014</v>
      </c>
      <c r="X424" t="s">
        <v>2776</v>
      </c>
      <c r="Y424" s="31">
        <v>41991</v>
      </c>
      <c r="Z424" s="31" t="str">
        <f t="shared" si="48"/>
        <v>CA-2014-AB10105140-41991</v>
      </c>
    </row>
    <row r="425" spans="1:26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 t="shared" si="42"/>
        <v>Adrian Barton</v>
      </c>
      <c r="P425" s="13" t="str">
        <f t="shared" si="43"/>
        <v>CA</v>
      </c>
      <c r="Q425" s="13" t="str">
        <f t="shared" si="44"/>
        <v>2015</v>
      </c>
      <c r="R425" s="13" t="str">
        <f t="shared" si="45"/>
        <v>MEDIUM</v>
      </c>
      <c r="S425" s="13" t="str">
        <f t="shared" si="46"/>
        <v>furniture</v>
      </c>
      <c r="T425" s="21" t="str">
        <f t="shared" si="47"/>
        <v>42328</v>
      </c>
      <c r="U425" s="30" t="s">
        <v>2776</v>
      </c>
      <c r="V425" s="19" t="s">
        <v>2683</v>
      </c>
      <c r="W425" s="33">
        <v>2015</v>
      </c>
      <c r="X425" t="s">
        <v>2776</v>
      </c>
      <c r="Y425" s="31">
        <v>42328</v>
      </c>
      <c r="Z425" s="31" t="str">
        <f t="shared" si="48"/>
        <v>CA-2015-AB10105140-42328</v>
      </c>
    </row>
    <row r="426" spans="1:26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 t="shared" si="42"/>
        <v>Caroline Jumper</v>
      </c>
      <c r="P426" s="8" t="str">
        <f t="shared" si="43"/>
        <v>IN</v>
      </c>
      <c r="Q426" s="8" t="str">
        <f t="shared" si="44"/>
        <v>2014</v>
      </c>
      <c r="R426" s="8" t="str">
        <f t="shared" si="45"/>
        <v>CRITICAL</v>
      </c>
      <c r="S426" s="8" t="str">
        <f t="shared" si="46"/>
        <v>technology</v>
      </c>
      <c r="T426" s="18" t="str">
        <f t="shared" si="47"/>
        <v>41810</v>
      </c>
      <c r="U426" s="30" t="s">
        <v>3059</v>
      </c>
      <c r="V426" s="16" t="s">
        <v>2681</v>
      </c>
      <c r="W426" s="33">
        <v>2014</v>
      </c>
      <c r="X426" t="s">
        <v>3059</v>
      </c>
      <c r="Y426" s="31">
        <v>41810</v>
      </c>
      <c r="Z426" s="31" t="str">
        <f t="shared" si="48"/>
        <v>IN-2014-CJ1201027-41810</v>
      </c>
    </row>
    <row r="427" spans="1:26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 t="shared" si="42"/>
        <v>Brenda Bowman</v>
      </c>
      <c r="P427" s="13" t="str">
        <f t="shared" si="43"/>
        <v>ES</v>
      </c>
      <c r="Q427" s="13" t="str">
        <f t="shared" si="44"/>
        <v>2015</v>
      </c>
      <c r="R427" s="13" t="str">
        <f t="shared" si="45"/>
        <v>HIHG</v>
      </c>
      <c r="S427" s="13" t="str">
        <f t="shared" si="46"/>
        <v>furniture</v>
      </c>
      <c r="T427" s="21" t="str">
        <f t="shared" si="47"/>
        <v>42336</v>
      </c>
      <c r="U427" s="30" t="s">
        <v>3060</v>
      </c>
      <c r="V427" s="19" t="s">
        <v>2710</v>
      </c>
      <c r="W427" s="33">
        <v>2015</v>
      </c>
      <c r="X427" t="s">
        <v>3060</v>
      </c>
      <c r="Y427" s="31">
        <v>42336</v>
      </c>
      <c r="Z427" s="31" t="str">
        <f t="shared" si="48"/>
        <v>ES-2015-BB1154548-42336</v>
      </c>
    </row>
    <row r="428" spans="1:26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 t="shared" si="42"/>
        <v>Susan Pistek</v>
      </c>
      <c r="P428" s="8" t="str">
        <f t="shared" si="43"/>
        <v>IN</v>
      </c>
      <c r="Q428" s="8" t="str">
        <f t="shared" si="44"/>
        <v>2014</v>
      </c>
      <c r="R428" s="8" t="str">
        <f t="shared" si="45"/>
        <v>MEDIUM</v>
      </c>
      <c r="S428" s="8" t="str">
        <f t="shared" si="46"/>
        <v>technology</v>
      </c>
      <c r="T428" s="18" t="str">
        <f t="shared" si="47"/>
        <v>41808</v>
      </c>
      <c r="U428" s="30" t="s">
        <v>3061</v>
      </c>
      <c r="V428" s="16" t="s">
        <v>2681</v>
      </c>
      <c r="W428" s="33">
        <v>2014</v>
      </c>
      <c r="X428" t="s">
        <v>3061</v>
      </c>
      <c r="Y428" s="31">
        <v>41808</v>
      </c>
      <c r="Z428" s="31" t="str">
        <f t="shared" si="48"/>
        <v>IN-2014-SP20920130-41808</v>
      </c>
    </row>
    <row r="429" spans="1:26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 t="shared" si="42"/>
        <v>Nick Zandusky</v>
      </c>
      <c r="P429" s="13" t="str">
        <f t="shared" si="43"/>
        <v>IN</v>
      </c>
      <c r="Q429" s="13" t="str">
        <f t="shared" si="44"/>
        <v>2013</v>
      </c>
      <c r="R429" s="13" t="str">
        <f t="shared" si="45"/>
        <v>HIGH</v>
      </c>
      <c r="S429" s="13" t="str">
        <f t="shared" si="46"/>
        <v>technology</v>
      </c>
      <c r="T429" s="21" t="str">
        <f t="shared" si="47"/>
        <v>1398#</v>
      </c>
      <c r="U429" s="30" t="s">
        <v>3062</v>
      </c>
      <c r="V429" s="19" t="s">
        <v>2681</v>
      </c>
      <c r="W429" s="33">
        <v>2013</v>
      </c>
      <c r="X429" t="s">
        <v>3062</v>
      </c>
      <c r="Y429" s="31" t="s">
        <v>3063</v>
      </c>
      <c r="Z429" s="31" t="str">
        <f t="shared" si="48"/>
        <v>IN-2013-NZ1856558-41398#</v>
      </c>
    </row>
    <row r="430" spans="1:26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 t="shared" si="42"/>
        <v>Bill Stewart</v>
      </c>
      <c r="P430" s="8" t="str">
        <f t="shared" si="43"/>
        <v>ID</v>
      </c>
      <c r="Q430" s="8" t="str">
        <f t="shared" si="44"/>
        <v>2013</v>
      </c>
      <c r="R430" s="8" t="str">
        <f t="shared" si="45"/>
        <v>MEDIUM</v>
      </c>
      <c r="S430" s="8" t="str">
        <f t="shared" si="46"/>
        <v>technology</v>
      </c>
      <c r="T430" s="18" t="str">
        <f t="shared" si="47"/>
        <v>41577</v>
      </c>
      <c r="U430" s="30" t="s">
        <v>3064</v>
      </c>
      <c r="V430" s="16" t="s">
        <v>2705</v>
      </c>
      <c r="W430" s="33">
        <v>2013</v>
      </c>
      <c r="X430" t="s">
        <v>3064</v>
      </c>
      <c r="Y430" s="31">
        <v>41577</v>
      </c>
      <c r="Z430" s="31" t="str">
        <f t="shared" si="48"/>
        <v>ID-2013-BS1138059-41577</v>
      </c>
    </row>
    <row r="431" spans="1:26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 t="shared" si="42"/>
        <v>Ed Ludwig</v>
      </c>
      <c r="P431" s="13" t="str">
        <f t="shared" si="43"/>
        <v>IN</v>
      </c>
      <c r="Q431" s="13" t="str">
        <f t="shared" si="44"/>
        <v>2014</v>
      </c>
      <c r="R431" s="13" t="str">
        <f t="shared" si="45"/>
        <v>MEDIUM</v>
      </c>
      <c r="S431" s="13" t="str">
        <f t="shared" si="46"/>
        <v>furniture</v>
      </c>
      <c r="T431" s="21" t="str">
        <f t="shared" si="47"/>
        <v>41943</v>
      </c>
      <c r="U431" s="30" t="s">
        <v>3065</v>
      </c>
      <c r="V431" s="19" t="s">
        <v>2681</v>
      </c>
      <c r="W431" s="33">
        <v>2014</v>
      </c>
      <c r="X431" t="s">
        <v>3065</v>
      </c>
      <c r="Y431" s="31">
        <v>41943</v>
      </c>
      <c r="Z431" s="31" t="str">
        <f t="shared" si="48"/>
        <v>IN-2014-EL137357-41943</v>
      </c>
    </row>
    <row r="432" spans="1:26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 t="shared" si="42"/>
        <v>Frank Hawley</v>
      </c>
      <c r="P432" s="8" t="str">
        <f t="shared" si="43"/>
        <v>IN</v>
      </c>
      <c r="Q432" s="8" t="str">
        <f t="shared" si="44"/>
        <v>2014</v>
      </c>
      <c r="R432" s="8" t="str">
        <f t="shared" si="45"/>
        <v>MEDIUM</v>
      </c>
      <c r="S432" s="8" t="str">
        <f t="shared" si="46"/>
        <v>furniture</v>
      </c>
      <c r="T432" s="18" t="str">
        <f t="shared" si="47"/>
        <v>41991</v>
      </c>
      <c r="U432" s="30" t="s">
        <v>3066</v>
      </c>
      <c r="V432" s="16" t="s">
        <v>2681</v>
      </c>
      <c r="W432" s="33">
        <v>2014</v>
      </c>
      <c r="X432" t="s">
        <v>3066</v>
      </c>
      <c r="Y432" s="31">
        <v>41991</v>
      </c>
      <c r="Z432" s="31" t="str">
        <f t="shared" si="48"/>
        <v>IN-2014-FH1427559-41991</v>
      </c>
    </row>
    <row r="433" spans="1:26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 t="shared" si="42"/>
        <v>Tom Stivers</v>
      </c>
      <c r="P433" s="13" t="str">
        <f t="shared" si="43"/>
        <v>MW</v>
      </c>
      <c r="Q433" s="13" t="str">
        <f t="shared" si="44"/>
        <v>2015</v>
      </c>
      <c r="R433" s="13" t="str">
        <f t="shared" si="45"/>
        <v>MEDIUM</v>
      </c>
      <c r="S433" s="13" t="str">
        <f t="shared" si="46"/>
        <v>office supplies</v>
      </c>
      <c r="T433" s="21" t="str">
        <f t="shared" si="47"/>
        <v>42220</v>
      </c>
      <c r="U433" s="30" t="s">
        <v>3067</v>
      </c>
      <c r="V433" s="19" t="s">
        <v>3068</v>
      </c>
      <c r="W433" s="33">
        <v>2015</v>
      </c>
      <c r="X433" t="s">
        <v>3067</v>
      </c>
      <c r="Y433" s="31">
        <v>42220</v>
      </c>
      <c r="Z433" s="31" t="str">
        <f t="shared" si="48"/>
        <v>MW-2015-TS1143085-42220</v>
      </c>
    </row>
    <row r="434" spans="1:26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 t="shared" si="42"/>
        <v>Candace Mcmahon</v>
      </c>
      <c r="P434" s="8" t="str">
        <f t="shared" si="43"/>
        <v>IN</v>
      </c>
      <c r="Q434" s="8" t="str">
        <f t="shared" si="44"/>
        <v>2014</v>
      </c>
      <c r="R434" s="8" t="str">
        <f t="shared" si="45"/>
        <v>MEDIUM</v>
      </c>
      <c r="S434" s="8" t="str">
        <f t="shared" si="46"/>
        <v>technology</v>
      </c>
      <c r="T434" s="18" t="str">
        <f t="shared" si="47"/>
        <v>41870</v>
      </c>
      <c r="U434" s="30" t="s">
        <v>3069</v>
      </c>
      <c r="V434" s="16" t="s">
        <v>2681</v>
      </c>
      <c r="W434" s="33">
        <v>2014</v>
      </c>
      <c r="X434" t="s">
        <v>3069</v>
      </c>
      <c r="Y434" s="31">
        <v>41870</v>
      </c>
      <c r="Z434" s="31" t="str">
        <f t="shared" si="48"/>
        <v>IN-2014-CM1181597-41870</v>
      </c>
    </row>
    <row r="435" spans="1:26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 t="shared" si="42"/>
        <v>Kristina Nunn</v>
      </c>
      <c r="P435" s="13" t="str">
        <f t="shared" si="43"/>
        <v>IR</v>
      </c>
      <c r="Q435" s="13" t="str">
        <f t="shared" si="44"/>
        <v>2013</v>
      </c>
      <c r="R435" s="13" t="str">
        <f t="shared" si="45"/>
        <v>LOW</v>
      </c>
      <c r="S435" s="13" t="str">
        <f t="shared" si="46"/>
        <v>office supplies</v>
      </c>
      <c r="T435" s="21" t="str">
        <f t="shared" si="47"/>
        <v>41508</v>
      </c>
      <c r="U435" s="30" t="s">
        <v>3070</v>
      </c>
      <c r="V435" s="19" t="s">
        <v>2781</v>
      </c>
      <c r="W435" s="33">
        <v>2013</v>
      </c>
      <c r="X435" t="s">
        <v>3070</v>
      </c>
      <c r="Y435" s="31">
        <v>41508</v>
      </c>
      <c r="Z435" s="31" t="str">
        <f t="shared" si="48"/>
        <v>IR-2013-KN670560-41508</v>
      </c>
    </row>
    <row r="436" spans="1:26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 t="shared" si="42"/>
        <v>Gary Mcgarr</v>
      </c>
      <c r="P436" s="8" t="str">
        <f t="shared" si="43"/>
        <v>IT</v>
      </c>
      <c r="Q436" s="8" t="str">
        <f t="shared" si="44"/>
        <v>2013</v>
      </c>
      <c r="R436" s="8" t="str">
        <f t="shared" si="45"/>
        <v>HIGH</v>
      </c>
      <c r="S436" s="8" t="str">
        <f t="shared" si="46"/>
        <v>furniture</v>
      </c>
      <c r="T436" s="18" t="str">
        <f t="shared" si="47"/>
        <v>41347</v>
      </c>
      <c r="U436" s="30" t="s">
        <v>3071</v>
      </c>
      <c r="V436" s="16" t="s">
        <v>2690</v>
      </c>
      <c r="W436" s="33">
        <v>2013</v>
      </c>
      <c r="X436" t="s">
        <v>3071</v>
      </c>
      <c r="Y436" s="31">
        <v>41347</v>
      </c>
      <c r="Z436" s="31" t="str">
        <f t="shared" si="48"/>
        <v>IT-2013-GM1444091-41347</v>
      </c>
    </row>
    <row r="437" spans="1:26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 t="shared" si="42"/>
        <v>Jason Fortune-</v>
      </c>
      <c r="P437" s="13" t="str">
        <f t="shared" si="43"/>
        <v>MX</v>
      </c>
      <c r="Q437" s="13" t="str">
        <f t="shared" si="44"/>
        <v>2013</v>
      </c>
      <c r="R437" s="13" t="str">
        <f t="shared" si="45"/>
        <v>HGIH</v>
      </c>
      <c r="S437" s="13" t="str">
        <f t="shared" si="46"/>
        <v>furniture</v>
      </c>
      <c r="T437" s="21" t="str">
        <f t="shared" si="47"/>
        <v>41564</v>
      </c>
      <c r="U437" s="30" t="s">
        <v>3072</v>
      </c>
      <c r="V437" s="19" t="s">
        <v>2695</v>
      </c>
      <c r="W437" s="33">
        <v>2013</v>
      </c>
      <c r="X437" t="s">
        <v>3072</v>
      </c>
      <c r="Y437" s="31">
        <v>41564</v>
      </c>
      <c r="Z437" s="31" t="str">
        <f t="shared" si="48"/>
        <v>MX-2013-JF1529531-41564</v>
      </c>
    </row>
    <row r="438" spans="1:26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 t="shared" si="42"/>
        <v>Michael Dominguez</v>
      </c>
      <c r="P438" s="8" t="str">
        <f t="shared" si="43"/>
        <v>IN</v>
      </c>
      <c r="Q438" s="8" t="str">
        <f t="shared" si="44"/>
        <v>2015</v>
      </c>
      <c r="R438" s="8" t="str">
        <f t="shared" si="45"/>
        <v>HIGH</v>
      </c>
      <c r="S438" s="8" t="str">
        <f t="shared" si="46"/>
        <v>technology</v>
      </c>
      <c r="T438" s="18" t="str">
        <f t="shared" si="47"/>
        <v>42171</v>
      </c>
      <c r="U438" s="30" t="s">
        <v>3073</v>
      </c>
      <c r="V438" s="16" t="s">
        <v>2681</v>
      </c>
      <c r="W438" s="33">
        <v>2015</v>
      </c>
      <c r="X438" t="s">
        <v>3073</v>
      </c>
      <c r="Y438" s="31">
        <v>42171</v>
      </c>
      <c r="Z438" s="31" t="str">
        <f t="shared" si="48"/>
        <v>IN-2015-MD178607-42171</v>
      </c>
    </row>
    <row r="439" spans="1:26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 t="shared" si="42"/>
        <v>John Murray</v>
      </c>
      <c r="P439" s="13" t="str">
        <f t="shared" si="43"/>
        <v>MX</v>
      </c>
      <c r="Q439" s="13" t="str">
        <f t="shared" si="44"/>
        <v>2015</v>
      </c>
      <c r="R439" s="13" t="str">
        <f t="shared" si="45"/>
        <v>HIGH</v>
      </c>
      <c r="S439" s="13" t="str">
        <f t="shared" si="46"/>
        <v>furniture</v>
      </c>
      <c r="T439" s="21" t="str">
        <f t="shared" si="47"/>
        <v>42137</v>
      </c>
      <c r="U439" s="30" t="s">
        <v>3074</v>
      </c>
      <c r="V439" s="19" t="s">
        <v>2695</v>
      </c>
      <c r="W439" s="33">
        <v>2015</v>
      </c>
      <c r="X439" t="s">
        <v>3074</v>
      </c>
      <c r="Y439" s="31">
        <v>42137</v>
      </c>
      <c r="Z439" s="31" t="str">
        <f t="shared" si="48"/>
        <v>MX-2015-JM1586582-42137</v>
      </c>
    </row>
    <row r="440" spans="1:26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 t="shared" si="42"/>
        <v>Juliana Krohn</v>
      </c>
      <c r="P440" s="8" t="str">
        <f t="shared" si="43"/>
        <v>IN</v>
      </c>
      <c r="Q440" s="8" t="str">
        <f t="shared" si="44"/>
        <v>2015</v>
      </c>
      <c r="R440" s="8" t="str">
        <f t="shared" si="45"/>
        <v>HIGH</v>
      </c>
      <c r="S440" s="8" t="str">
        <f t="shared" si="46"/>
        <v>office supplies#</v>
      </c>
      <c r="T440" s="18" t="str">
        <f t="shared" si="47"/>
        <v>42288</v>
      </c>
      <c r="U440" s="30" t="s">
        <v>3075</v>
      </c>
      <c r="V440" s="16" t="s">
        <v>2681</v>
      </c>
      <c r="W440" s="33">
        <v>2015</v>
      </c>
      <c r="X440" t="s">
        <v>3075</v>
      </c>
      <c r="Y440" s="31">
        <v>42288</v>
      </c>
      <c r="Z440" s="31" t="str">
        <f t="shared" si="48"/>
        <v>IN-2015-JK1609058-42288</v>
      </c>
    </row>
    <row r="441" spans="1:26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 t="shared" si="42"/>
        <v>Sean Miller</v>
      </c>
      <c r="P441" s="13" t="str">
        <f t="shared" si="43"/>
        <v>MX</v>
      </c>
      <c r="Q441" s="13" t="str">
        <f t="shared" si="44"/>
        <v>2012</v>
      </c>
      <c r="R441" s="13" t="str">
        <f t="shared" si="45"/>
        <v>CRITICAL</v>
      </c>
      <c r="S441" s="13" t="str">
        <f t="shared" si="46"/>
        <v>office supplies</v>
      </c>
      <c r="T441" s="21" t="str">
        <f t="shared" si="47"/>
        <v>41234</v>
      </c>
      <c r="U441" s="30" t="s">
        <v>3076</v>
      </c>
      <c r="V441" s="19" t="s">
        <v>2695</v>
      </c>
      <c r="W441" s="33">
        <v>2012</v>
      </c>
      <c r="X441" t="s">
        <v>3076</v>
      </c>
      <c r="Y441" s="31">
        <v>41234</v>
      </c>
      <c r="Z441" s="31" t="str">
        <f t="shared" si="48"/>
        <v>MX-2012-SM2032036-41234</v>
      </c>
    </row>
    <row r="442" spans="1:26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 t="shared" si="42"/>
        <v>Duane Huffman</v>
      </c>
      <c r="P442" s="8" t="str">
        <f t="shared" si="43"/>
        <v>MA</v>
      </c>
      <c r="Q442" s="8" t="str">
        <f t="shared" si="44"/>
        <v>2014</v>
      </c>
      <c r="R442" s="8" t="str">
        <f t="shared" si="45"/>
        <v>RCITICAL</v>
      </c>
      <c r="S442" s="8" t="str">
        <f t="shared" si="46"/>
        <v>technology</v>
      </c>
      <c r="T442" s="18" t="str">
        <f t="shared" si="47"/>
        <v>41926</v>
      </c>
      <c r="U442" s="30" t="s">
        <v>3077</v>
      </c>
      <c r="V442" s="16" t="s">
        <v>3078</v>
      </c>
      <c r="W442" s="33">
        <v>2014</v>
      </c>
      <c r="X442" t="s">
        <v>3077</v>
      </c>
      <c r="Y442" s="31">
        <v>41926</v>
      </c>
      <c r="Z442" s="31" t="str">
        <f t="shared" si="48"/>
        <v>MA-2014-DH367577-41926</v>
      </c>
    </row>
    <row r="443" spans="1:26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 t="shared" si="42"/>
        <v>John Murray</v>
      </c>
      <c r="P443" s="13" t="str">
        <f t="shared" si="43"/>
        <v>ID</v>
      </c>
      <c r="Q443" s="13" t="str">
        <f t="shared" si="44"/>
        <v>2013</v>
      </c>
      <c r="R443" s="13" t="str">
        <f t="shared" si="45"/>
        <v xml:space="preserve"> CRITICAL </v>
      </c>
      <c r="S443" s="13" t="str">
        <f t="shared" si="46"/>
        <v>office supplies</v>
      </c>
      <c r="T443" s="21" t="str">
        <f t="shared" si="47"/>
        <v>41628</v>
      </c>
      <c r="U443" s="30" t="s">
        <v>3079</v>
      </c>
      <c r="V443" s="19" t="s">
        <v>2705</v>
      </c>
      <c r="W443" s="33">
        <v>2013</v>
      </c>
      <c r="X443" t="s">
        <v>3079</v>
      </c>
      <c r="Y443" s="31">
        <v>41628</v>
      </c>
      <c r="Z443" s="31" t="str">
        <f t="shared" si="48"/>
        <v>ID-2013-JM1586597-41628</v>
      </c>
    </row>
    <row r="444" spans="1:26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 t="shared" si="42"/>
        <v>Chad Mcguire</v>
      </c>
      <c r="P444" s="8" t="str">
        <f t="shared" si="43"/>
        <v>ES</v>
      </c>
      <c r="Q444" s="8" t="str">
        <f t="shared" si="44"/>
        <v>2013</v>
      </c>
      <c r="R444" s="8" t="str">
        <f t="shared" si="45"/>
        <v>HIGH#</v>
      </c>
      <c r="S444" s="8" t="str">
        <f t="shared" si="46"/>
        <v>technology</v>
      </c>
      <c r="T444" s="18" t="str">
        <f t="shared" si="47"/>
        <v>41489</v>
      </c>
      <c r="U444" s="30" t="s">
        <v>3080</v>
      </c>
      <c r="V444" s="16" t="s">
        <v>2710</v>
      </c>
      <c r="W444" s="33">
        <v>2013</v>
      </c>
      <c r="X444" t="s">
        <v>3080</v>
      </c>
      <c r="Y444" s="31">
        <v>41489</v>
      </c>
      <c r="Z444" s="31" t="str">
        <f t="shared" si="48"/>
        <v>ES-2013-CM1211564-41489</v>
      </c>
    </row>
    <row r="445" spans="1:26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 t="shared" si="42"/>
        <v>Fred Hopkins</v>
      </c>
      <c r="P445" s="13" t="str">
        <f t="shared" si="43"/>
        <v>MX</v>
      </c>
      <c r="Q445" s="13" t="str">
        <f t="shared" si="44"/>
        <v>2013</v>
      </c>
      <c r="R445" s="13" t="str">
        <f t="shared" si="45"/>
        <v>MEDIUM</v>
      </c>
      <c r="S445" s="13" t="str">
        <f t="shared" si="46"/>
        <v>technology</v>
      </c>
      <c r="T445" s="21" t="str">
        <f t="shared" si="47"/>
        <v>41558</v>
      </c>
      <c r="U445" s="30" t="s">
        <v>3025</v>
      </c>
      <c r="V445" s="19" t="s">
        <v>2695</v>
      </c>
      <c r="W445" s="33">
        <v>2013</v>
      </c>
      <c r="X445" t="s">
        <v>3025</v>
      </c>
      <c r="Y445" s="31">
        <v>41558</v>
      </c>
      <c r="Z445" s="31" t="str">
        <f t="shared" si="48"/>
        <v>MX-2013-FH1436582-41558</v>
      </c>
    </row>
    <row r="446" spans="1:26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 t="shared" si="42"/>
        <v>Andrew Gjertsen</v>
      </c>
      <c r="P446" s="8" t="str">
        <f t="shared" si="43"/>
        <v>IN</v>
      </c>
      <c r="Q446" s="8" t="str">
        <f t="shared" si="44"/>
        <v>2012</v>
      </c>
      <c r="R446" s="8" t="str">
        <f t="shared" si="45"/>
        <v>MEDIUM</v>
      </c>
      <c r="S446" s="8" t="str">
        <f t="shared" si="46"/>
        <v>technology</v>
      </c>
      <c r="T446" s="18" t="str">
        <f t="shared" si="47"/>
        <v>41248</v>
      </c>
      <c r="U446" s="30" t="s">
        <v>3081</v>
      </c>
      <c r="V446" s="16" t="s">
        <v>2681</v>
      </c>
      <c r="W446" s="33">
        <v>2012</v>
      </c>
      <c r="X446" t="s">
        <v>3081</v>
      </c>
      <c r="Y446" s="31">
        <v>41248</v>
      </c>
      <c r="Z446" s="31" t="str">
        <f t="shared" si="48"/>
        <v>IN-2012-AG1049527-41248</v>
      </c>
    </row>
    <row r="447" spans="1:26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 t="shared" si="42"/>
        <v>Arthur Gainer</v>
      </c>
      <c r="P447" s="13" t="str">
        <f t="shared" si="43"/>
        <v>MX</v>
      </c>
      <c r="Q447" s="13" t="str">
        <f t="shared" si="44"/>
        <v>2013</v>
      </c>
      <c r="R447" s="13" t="str">
        <f t="shared" si="45"/>
        <v>MEDIUM</v>
      </c>
      <c r="S447" s="13" t="str">
        <f t="shared" si="46"/>
        <v>office supplies</v>
      </c>
      <c r="T447" s="21" t="str">
        <f t="shared" si="47"/>
        <v>41398</v>
      </c>
      <c r="U447" s="30" t="s">
        <v>3082</v>
      </c>
      <c r="V447" s="19" t="s">
        <v>2695</v>
      </c>
      <c r="W447" s="33">
        <v>2013</v>
      </c>
      <c r="X447" t="s">
        <v>3082</v>
      </c>
      <c r="Y447" s="31">
        <v>41398</v>
      </c>
      <c r="Z447" s="31" t="str">
        <f t="shared" si="48"/>
        <v>MX-2013-AG1090082-41398</v>
      </c>
    </row>
    <row r="448" spans="1:26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 t="shared" si="42"/>
        <v>Jason Fortune-</v>
      </c>
      <c r="P448" s="8" t="str">
        <f t="shared" si="43"/>
        <v xml:space="preserve"> I</v>
      </c>
      <c r="Q448" s="8" t="str">
        <f t="shared" si="44"/>
        <v>-201</v>
      </c>
      <c r="R448" s="8" t="str">
        <f t="shared" si="45"/>
        <v>HIGH</v>
      </c>
      <c r="S448" s="8" t="str">
        <f t="shared" si="46"/>
        <v>office supplies</v>
      </c>
      <c r="T448" s="18" t="str">
        <f t="shared" si="47"/>
        <v xml:space="preserve">1668 </v>
      </c>
      <c r="U448" s="30" t="s">
        <v>3002</v>
      </c>
      <c r="V448" s="16" t="s">
        <v>3083</v>
      </c>
      <c r="W448" s="33">
        <v>2014</v>
      </c>
      <c r="X448" t="s">
        <v>3002</v>
      </c>
      <c r="Y448" s="31">
        <v>41668</v>
      </c>
      <c r="Z448" s="31" t="str">
        <f t="shared" si="48"/>
        <v>IT-2014-JF15295120-41668</v>
      </c>
    </row>
    <row r="449" spans="1:26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 t="shared" si="42"/>
        <v>Maribeth Schnelling</v>
      </c>
      <c r="P449" s="13" t="str">
        <f t="shared" si="43"/>
        <v>MX</v>
      </c>
      <c r="Q449" s="13" t="str">
        <f t="shared" si="44"/>
        <v>2014</v>
      </c>
      <c r="R449" s="13" t="str">
        <f t="shared" si="45"/>
        <v>HIGH</v>
      </c>
      <c r="S449" s="13" t="str">
        <f t="shared" si="46"/>
        <v>technology</v>
      </c>
      <c r="T449" s="21" t="str">
        <f t="shared" si="47"/>
        <v>41780</v>
      </c>
      <c r="U449" s="30" t="s">
        <v>3084</v>
      </c>
      <c r="V449" s="19" t="s">
        <v>2695</v>
      </c>
      <c r="W449" s="33">
        <v>2014</v>
      </c>
      <c r="X449" t="s">
        <v>3084</v>
      </c>
      <c r="Y449" s="31">
        <v>41780</v>
      </c>
      <c r="Z449" s="31" t="str">
        <f t="shared" si="48"/>
        <v>MX-2014-MS1736539-41780</v>
      </c>
    </row>
    <row r="450" spans="1:26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 t="shared" ref="O450:O513" si="49">PROPER(D450)</f>
        <v>Sarah Bern</v>
      </c>
      <c r="P450" s="8" t="str">
        <f t="shared" ref="P450:P513" si="50">LEFT(A450,2)</f>
        <v>IN</v>
      </c>
      <c r="Q450" s="8" t="str">
        <f t="shared" ref="Q450:Q513" si="51">MID(A450,4,4)</f>
        <v>2012</v>
      </c>
      <c r="R450" s="8" t="str">
        <f t="shared" ref="R450:R513" si="52">UPPER(M450)</f>
        <v>MEDIUM#</v>
      </c>
      <c r="S450" s="8" t="str">
        <f t="shared" ref="S450:S513" si="53">LOWER(G450)</f>
        <v>furniture</v>
      </c>
      <c r="T450" s="18" t="str">
        <f t="shared" ref="T450:T513" si="54">RIGHT(A450,5)</f>
        <v>41208</v>
      </c>
      <c r="U450" s="30" t="s">
        <v>3085</v>
      </c>
      <c r="V450" s="16" t="s">
        <v>2681</v>
      </c>
      <c r="W450" s="33">
        <v>2012</v>
      </c>
      <c r="X450" t="s">
        <v>3085</v>
      </c>
      <c r="Y450" s="31">
        <v>41208</v>
      </c>
      <c r="Z450" s="31" t="str">
        <f t="shared" ref="Z450:Z513" si="55">TRIM(A450)</f>
        <v>IN-2012-SB2017027-41208</v>
      </c>
    </row>
    <row r="451" spans="1:26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 t="shared" si="49"/>
        <v>Adrian Barton</v>
      </c>
      <c r="P451" s="13" t="str">
        <f t="shared" si="50"/>
        <v>CA</v>
      </c>
      <c r="Q451" s="13" t="str">
        <f t="shared" si="51"/>
        <v>2013</v>
      </c>
      <c r="R451" s="13" t="str">
        <f t="shared" si="52"/>
        <v>MEDIUM</v>
      </c>
      <c r="S451" s="13" t="str">
        <f t="shared" si="53"/>
        <v>office supplies</v>
      </c>
      <c r="T451" s="21" t="str">
        <f t="shared" si="54"/>
        <v>41585</v>
      </c>
      <c r="U451" s="30" t="s">
        <v>2776</v>
      </c>
      <c r="V451" s="19" t="s">
        <v>2683</v>
      </c>
      <c r="W451" s="33">
        <v>2013</v>
      </c>
      <c r="X451" t="s">
        <v>2776</v>
      </c>
      <c r="Y451" s="31">
        <v>41585</v>
      </c>
      <c r="Z451" s="31" t="str">
        <f t="shared" si="55"/>
        <v>CA-2013-AB10105140-41585</v>
      </c>
    </row>
    <row r="452" spans="1:26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 t="shared" si="49"/>
        <v>Becky Castell</v>
      </c>
      <c r="P452" s="8" t="str">
        <f t="shared" si="50"/>
        <v>IN</v>
      </c>
      <c r="Q452" s="8" t="str">
        <f t="shared" si="51"/>
        <v>2013</v>
      </c>
      <c r="R452" s="8" t="str">
        <f t="shared" si="52"/>
        <v>MEDIUM</v>
      </c>
      <c r="S452" s="8" t="str">
        <f t="shared" si="53"/>
        <v>technology</v>
      </c>
      <c r="T452" s="18" t="str">
        <f t="shared" si="54"/>
        <v>41401</v>
      </c>
      <c r="U452" s="30" t="s">
        <v>3086</v>
      </c>
      <c r="V452" s="16" t="s">
        <v>2681</v>
      </c>
      <c r="W452" s="33">
        <v>2013</v>
      </c>
      <c r="X452" t="s">
        <v>3086</v>
      </c>
      <c r="Y452" s="31">
        <v>41401</v>
      </c>
      <c r="Z452" s="31" t="str">
        <f t="shared" si="55"/>
        <v>IN-2013-BC1112592-41401</v>
      </c>
    </row>
    <row r="453" spans="1:26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 t="shared" si="49"/>
        <v>Nicole Fjeld</v>
      </c>
      <c r="P453" s="13" t="str">
        <f t="shared" si="50"/>
        <v>IN</v>
      </c>
      <c r="Q453" s="13" t="str">
        <f t="shared" si="51"/>
        <v>2012</v>
      </c>
      <c r="R453" s="13" t="str">
        <f t="shared" si="52"/>
        <v>MEDIUM</v>
      </c>
      <c r="S453" s="13" t="str">
        <f t="shared" si="53"/>
        <v>technology</v>
      </c>
      <c r="T453" s="21" t="str">
        <f t="shared" si="54"/>
        <v>40916</v>
      </c>
      <c r="U453" s="30" t="s">
        <v>3087</v>
      </c>
      <c r="V453" s="19" t="s">
        <v>2681</v>
      </c>
      <c r="W453" s="33">
        <v>2012</v>
      </c>
      <c r="X453" t="s">
        <v>3087</v>
      </c>
      <c r="Y453" s="31">
        <v>40916</v>
      </c>
      <c r="Z453" s="31" t="str">
        <f t="shared" si="55"/>
        <v>IN-2012-NF1859527-40916</v>
      </c>
    </row>
    <row r="454" spans="1:26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 t="shared" si="49"/>
        <v>Rob Dowd</v>
      </c>
      <c r="P454" s="8" t="str">
        <f t="shared" si="50"/>
        <v>ES</v>
      </c>
      <c r="Q454" s="8" t="str">
        <f t="shared" si="51"/>
        <v>2015</v>
      </c>
      <c r="R454" s="8" t="str">
        <f t="shared" si="52"/>
        <v>HIGH</v>
      </c>
      <c r="S454" s="8" t="str">
        <f t="shared" si="53"/>
        <v>technology</v>
      </c>
      <c r="T454" s="18" t="str">
        <f t="shared" si="54"/>
        <v>42007</v>
      </c>
      <c r="U454" s="30" t="s">
        <v>3088</v>
      </c>
      <c r="V454" s="16" t="s">
        <v>2710</v>
      </c>
      <c r="W454" s="33">
        <v>2015</v>
      </c>
      <c r="X454" t="s">
        <v>3088</v>
      </c>
      <c r="Y454" s="31">
        <v>42007</v>
      </c>
      <c r="Z454" s="31" t="str">
        <f t="shared" si="55"/>
        <v>ES-2015-RD19585120-42007</v>
      </c>
    </row>
    <row r="455" spans="1:26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 t="shared" si="49"/>
        <v>Adrian Hane</v>
      </c>
      <c r="P455" s="13" t="str">
        <f t="shared" si="50"/>
        <v>CA</v>
      </c>
      <c r="Q455" s="13" t="str">
        <f t="shared" si="51"/>
        <v>2015</v>
      </c>
      <c r="R455" s="13" t="str">
        <f t="shared" si="52"/>
        <v>LOW</v>
      </c>
      <c r="S455" s="13" t="str">
        <f t="shared" si="53"/>
        <v>technology</v>
      </c>
      <c r="T455" s="21" t="str">
        <f t="shared" si="54"/>
        <v>42234</v>
      </c>
      <c r="U455" s="30" t="s">
        <v>2818</v>
      </c>
      <c r="V455" s="19" t="s">
        <v>2683</v>
      </c>
      <c r="W455" s="33">
        <v>2015</v>
      </c>
      <c r="X455" t="s">
        <v>2818</v>
      </c>
      <c r="Y455" s="31">
        <v>42234</v>
      </c>
      <c r="Z455" s="31" t="str">
        <f t="shared" si="55"/>
        <v>CA-2015-AH10120140-42234</v>
      </c>
    </row>
    <row r="456" spans="1:26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 t="shared" si="49"/>
        <v>Michael Dominguez</v>
      </c>
      <c r="P456" s="8" t="str">
        <f t="shared" si="50"/>
        <v>UP</v>
      </c>
      <c r="Q456" s="8" t="str">
        <f t="shared" si="51"/>
        <v>2014</v>
      </c>
      <c r="R456" s="8" t="str">
        <f t="shared" si="52"/>
        <v>HIGH</v>
      </c>
      <c r="S456" s="8" t="str">
        <f t="shared" si="53"/>
        <v>office supplies</v>
      </c>
      <c r="T456" s="18" t="str">
        <f t="shared" si="54"/>
        <v>41810</v>
      </c>
      <c r="U456" s="30" t="s">
        <v>3089</v>
      </c>
      <c r="V456" s="16" t="s">
        <v>2762</v>
      </c>
      <c r="W456" s="33">
        <v>2014</v>
      </c>
      <c r="X456" t="s">
        <v>3089</v>
      </c>
      <c r="Y456" s="31">
        <v>41810</v>
      </c>
      <c r="Z456" s="31" t="str">
        <f t="shared" si="55"/>
        <v>UP-2014-MD7860137-41810</v>
      </c>
    </row>
    <row r="457" spans="1:26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 t="shared" si="49"/>
        <v>Charles Crestani</v>
      </c>
      <c r="P457" s="13" t="str">
        <f t="shared" si="50"/>
        <v>ES</v>
      </c>
      <c r="Q457" s="13" t="str">
        <f t="shared" si="51"/>
        <v>2015</v>
      </c>
      <c r="R457" s="13" t="str">
        <f t="shared" si="52"/>
        <v>MEDIUM#</v>
      </c>
      <c r="S457" s="13" t="str">
        <f t="shared" si="53"/>
        <v>technology</v>
      </c>
      <c r="T457" s="21" t="str">
        <f t="shared" si="54"/>
        <v>42118</v>
      </c>
      <c r="U457" s="30" t="s">
        <v>3090</v>
      </c>
      <c r="V457" s="19" t="s">
        <v>2710</v>
      </c>
      <c r="W457" s="33">
        <v>2015</v>
      </c>
      <c r="X457" t="s">
        <v>3090</v>
      </c>
      <c r="Y457" s="31">
        <v>42118</v>
      </c>
      <c r="Z457" s="31" t="str">
        <f t="shared" si="55"/>
        <v>ES-2015-CC1214548-42118</v>
      </c>
    </row>
    <row r="458" spans="1:26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 t="shared" si="49"/>
        <v>Xylona Preis</v>
      </c>
      <c r="P458" s="8" t="str">
        <f t="shared" si="50"/>
        <v>MX</v>
      </c>
      <c r="Q458" s="8" t="str">
        <f t="shared" si="51"/>
        <v>2012</v>
      </c>
      <c r="R458" s="8" t="str">
        <f t="shared" si="52"/>
        <v>HIGH</v>
      </c>
      <c r="S458" s="8" t="str">
        <f t="shared" si="53"/>
        <v>furniture</v>
      </c>
      <c r="T458" s="18" t="str">
        <f t="shared" si="54"/>
        <v>41032</v>
      </c>
      <c r="U458" s="30" t="s">
        <v>3091</v>
      </c>
      <c r="V458" s="16" t="s">
        <v>2695</v>
      </c>
      <c r="W458" s="33">
        <v>2012</v>
      </c>
      <c r="X458" t="s">
        <v>3091</v>
      </c>
      <c r="Y458" s="31">
        <v>41032</v>
      </c>
      <c r="Z458" s="31" t="str">
        <f t="shared" si="55"/>
        <v>MX-2012-XP2186539-41032</v>
      </c>
    </row>
    <row r="459" spans="1:26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 t="shared" si="49"/>
        <v>Maris Laware</v>
      </c>
      <c r="P459" s="13" t="str">
        <f t="shared" si="50"/>
        <v>MX</v>
      </c>
      <c r="Q459" s="13" t="str">
        <f t="shared" si="51"/>
        <v>2015</v>
      </c>
      <c r="R459" s="13" t="str">
        <f t="shared" si="52"/>
        <v>HIGH</v>
      </c>
      <c r="S459" s="13" t="str">
        <f t="shared" si="53"/>
        <v>furniture</v>
      </c>
      <c r="T459" s="21" t="str">
        <f t="shared" si="54"/>
        <v>42320</v>
      </c>
      <c r="U459" s="30" t="s">
        <v>3092</v>
      </c>
      <c r="V459" s="19" t="s">
        <v>2695</v>
      </c>
      <c r="W459" s="33">
        <v>2015</v>
      </c>
      <c r="X459" t="s">
        <v>3092</v>
      </c>
      <c r="Y459" s="31">
        <v>42320</v>
      </c>
      <c r="Z459" s="31" t="str">
        <f t="shared" si="55"/>
        <v>MX-2015-ML1741031-42320</v>
      </c>
    </row>
    <row r="460" spans="1:26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 t="shared" si="49"/>
        <v>Quincy Jones</v>
      </c>
      <c r="P460" s="8" t="str">
        <f t="shared" si="50"/>
        <v>IN</v>
      </c>
      <c r="Q460" s="8" t="str">
        <f t="shared" si="51"/>
        <v>2015</v>
      </c>
      <c r="R460" s="8" t="str">
        <f t="shared" si="52"/>
        <v>MEDIUM</v>
      </c>
      <c r="S460" s="8" t="str">
        <f t="shared" si="53"/>
        <v>technology</v>
      </c>
      <c r="T460" s="18" t="str">
        <f t="shared" si="54"/>
        <v>42283</v>
      </c>
      <c r="U460" s="30" t="s">
        <v>3093</v>
      </c>
      <c r="V460" s="16" t="s">
        <v>2681</v>
      </c>
      <c r="W460" s="33">
        <v>2015</v>
      </c>
      <c r="X460" t="s">
        <v>3093</v>
      </c>
      <c r="Y460" s="31">
        <v>42283</v>
      </c>
      <c r="Z460" s="31" t="str">
        <f t="shared" si="55"/>
        <v>IN-2015-QJ1925527-42283</v>
      </c>
    </row>
    <row r="461" spans="1:26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 t="shared" si="49"/>
        <v>Cathy Prescott</v>
      </c>
      <c r="P461" s="13" t="str">
        <f t="shared" si="50"/>
        <v>SF</v>
      </c>
      <c r="Q461" s="13" t="str">
        <f t="shared" si="51"/>
        <v>2013</v>
      </c>
      <c r="R461" s="13" t="str">
        <f t="shared" si="52"/>
        <v>CRITICAL</v>
      </c>
      <c r="S461" s="13" t="str">
        <f t="shared" si="53"/>
        <v>furniture</v>
      </c>
      <c r="T461" s="21" t="str">
        <f t="shared" si="54"/>
        <v>41506</v>
      </c>
      <c r="U461" s="30" t="s">
        <v>3094</v>
      </c>
      <c r="V461" s="19" t="s">
        <v>2731</v>
      </c>
      <c r="W461" s="33">
        <v>2013</v>
      </c>
      <c r="X461" t="s">
        <v>3094</v>
      </c>
      <c r="Y461" s="31">
        <v>41506</v>
      </c>
      <c r="Z461" s="31" t="str">
        <f t="shared" si="55"/>
        <v>SF-2013-CP2085117-41506</v>
      </c>
    </row>
    <row r="462" spans="1:26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 t="shared" si="49"/>
        <v>Erica Hernandez</v>
      </c>
      <c r="P462" s="8" t="str">
        <f t="shared" si="50"/>
        <v>IT</v>
      </c>
      <c r="Q462" s="8" t="str">
        <f t="shared" si="51"/>
        <v>2014</v>
      </c>
      <c r="R462" s="8" t="str">
        <f t="shared" si="52"/>
        <v>CRITICAL</v>
      </c>
      <c r="S462" s="8" t="str">
        <f t="shared" si="53"/>
        <v>office supplies</v>
      </c>
      <c r="T462" s="18" t="str">
        <f t="shared" si="54"/>
        <v>41992</v>
      </c>
      <c r="U462" s="30" t="s">
        <v>3095</v>
      </c>
      <c r="V462" s="16" t="s">
        <v>2690</v>
      </c>
      <c r="W462" s="33">
        <v>2014</v>
      </c>
      <c r="X462" t="s">
        <v>3095</v>
      </c>
      <c r="Y462" s="31">
        <v>41992</v>
      </c>
      <c r="Z462" s="31" t="str">
        <f t="shared" si="55"/>
        <v>IT-2014-EH14005120-41992</v>
      </c>
    </row>
    <row r="463" spans="1:26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 t="shared" si="49"/>
        <v>Jocasta Rupert</v>
      </c>
      <c r="P463" s="13" t="str">
        <f t="shared" si="50"/>
        <v>IN</v>
      </c>
      <c r="Q463" s="13" t="str">
        <f t="shared" si="51"/>
        <v>2013</v>
      </c>
      <c r="R463" s="13" t="str">
        <f t="shared" si="52"/>
        <v>MEDIUM</v>
      </c>
      <c r="S463" s="13" t="str">
        <f t="shared" si="53"/>
        <v>office supplies</v>
      </c>
      <c r="T463" s="21" t="str">
        <f t="shared" si="54"/>
        <v>41441</v>
      </c>
      <c r="U463" s="30" t="s">
        <v>3096</v>
      </c>
      <c r="V463" s="19" t="s">
        <v>2681</v>
      </c>
      <c r="W463" s="33">
        <v>2013</v>
      </c>
      <c r="X463" t="s">
        <v>3096</v>
      </c>
      <c r="Y463" s="31">
        <v>41441</v>
      </c>
      <c r="Z463" s="31" t="str">
        <f t="shared" si="55"/>
        <v>IN-2013-JR1570058-41441</v>
      </c>
    </row>
    <row r="464" spans="1:26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 t="shared" si="49"/>
        <v>Paul Lucas</v>
      </c>
      <c r="P464" s="8" t="str">
        <f t="shared" si="50"/>
        <v>IN</v>
      </c>
      <c r="Q464" s="8" t="str">
        <f t="shared" si="51"/>
        <v>2014</v>
      </c>
      <c r="R464" s="8" t="str">
        <f t="shared" si="52"/>
        <v>CRITICAL</v>
      </c>
      <c r="S464" s="8" t="str">
        <f t="shared" si="53"/>
        <v>office supplies</v>
      </c>
      <c r="T464" s="18" t="str">
        <f t="shared" si="54"/>
        <v>41871</v>
      </c>
      <c r="U464" s="30" t="s">
        <v>3097</v>
      </c>
      <c r="V464" s="16" t="s">
        <v>2681</v>
      </c>
      <c r="W464" s="33">
        <v>2014</v>
      </c>
      <c r="X464" t="s">
        <v>3097</v>
      </c>
      <c r="Y464" s="31">
        <v>41871</v>
      </c>
      <c r="Z464" s="31" t="str">
        <f t="shared" si="55"/>
        <v>IN-2014-PL1892588-41871</v>
      </c>
    </row>
    <row r="465" spans="1:26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 t="shared" si="49"/>
        <v>Sanjit Chand</v>
      </c>
      <c r="P465" s="13" t="str">
        <f t="shared" si="50"/>
        <v>ES</v>
      </c>
      <c r="Q465" s="13" t="str">
        <f t="shared" si="51"/>
        <v>2014</v>
      </c>
      <c r="R465" s="13" t="str">
        <f t="shared" si="52"/>
        <v>HIGH</v>
      </c>
      <c r="S465" s="13" t="str">
        <f t="shared" si="53"/>
        <v>technology</v>
      </c>
      <c r="T465" s="21" t="str">
        <f t="shared" si="54"/>
        <v>41991</v>
      </c>
      <c r="U465" s="30" t="s">
        <v>3098</v>
      </c>
      <c r="V465" s="19" t="s">
        <v>2710</v>
      </c>
      <c r="W465" s="33">
        <v>2014</v>
      </c>
      <c r="X465" t="s">
        <v>3098</v>
      </c>
      <c r="Y465" s="31">
        <v>41991</v>
      </c>
      <c r="Z465" s="31" t="str">
        <f t="shared" si="55"/>
        <v>ES-2014-SC2009545-41991</v>
      </c>
    </row>
    <row r="466" spans="1:26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 t="shared" si="49"/>
        <v>Guy Phonely</v>
      </c>
      <c r="P466" s="8" t="str">
        <f t="shared" si="50"/>
        <v>MO</v>
      </c>
      <c r="Q466" s="8" t="str">
        <f t="shared" si="51"/>
        <v>2014</v>
      </c>
      <c r="R466" s="8" t="str">
        <f t="shared" si="52"/>
        <v>CRITICAL</v>
      </c>
      <c r="S466" s="8" t="str">
        <f t="shared" si="53"/>
        <v>technology</v>
      </c>
      <c r="T466" s="18" t="str">
        <f t="shared" si="54"/>
        <v>41678</v>
      </c>
      <c r="U466" s="30" t="s">
        <v>3099</v>
      </c>
      <c r="V466" s="16" t="s">
        <v>2698</v>
      </c>
      <c r="W466" s="33">
        <v>2014</v>
      </c>
      <c r="X466" t="s">
        <v>3099</v>
      </c>
      <c r="Y466" s="31">
        <v>41678</v>
      </c>
      <c r="Z466" s="31" t="str">
        <f t="shared" si="55"/>
        <v>MO-2014-GP474086-41678</v>
      </c>
    </row>
    <row r="467" spans="1:26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 t="shared" si="49"/>
        <v>Charles Mccrossin</v>
      </c>
      <c r="P467" s="13" t="str">
        <f t="shared" si="50"/>
        <v>IN</v>
      </c>
      <c r="Q467" s="13" t="str">
        <f t="shared" si="51"/>
        <v>2013</v>
      </c>
      <c r="R467" s="13" t="str">
        <f t="shared" si="52"/>
        <v>MEDIUM</v>
      </c>
      <c r="S467" s="13" t="str">
        <f t="shared" si="53"/>
        <v>technology</v>
      </c>
      <c r="T467" s="21" t="str">
        <f t="shared" si="54"/>
        <v>41506</v>
      </c>
      <c r="U467" s="30" t="s">
        <v>3100</v>
      </c>
      <c r="V467" s="19" t="s">
        <v>2681</v>
      </c>
      <c r="W467" s="33">
        <v>2013</v>
      </c>
      <c r="X467" t="s">
        <v>3100</v>
      </c>
      <c r="Y467" s="31">
        <v>41506</v>
      </c>
      <c r="Z467" s="31" t="str">
        <f t="shared" si="55"/>
        <v>IN-2013-CM1216027-41506</v>
      </c>
    </row>
    <row r="468" spans="1:26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 t="shared" si="49"/>
        <v xml:space="preserve"> Daniel Lacy </v>
      </c>
      <c r="P468" s="8" t="str">
        <f t="shared" si="50"/>
        <v>IN</v>
      </c>
      <c r="Q468" s="8" t="str">
        <f t="shared" si="51"/>
        <v>2013</v>
      </c>
      <c r="R468" s="8" t="str">
        <f t="shared" si="52"/>
        <v>HIGH</v>
      </c>
      <c r="S468" s="8" t="str">
        <f t="shared" si="53"/>
        <v>technology</v>
      </c>
      <c r="T468" s="18" t="str">
        <f t="shared" si="54"/>
        <v>41418</v>
      </c>
      <c r="U468" s="30" t="s">
        <v>3101</v>
      </c>
      <c r="V468" s="16" t="s">
        <v>2681</v>
      </c>
      <c r="W468" s="33">
        <v>2013</v>
      </c>
      <c r="X468" t="s">
        <v>3101</v>
      </c>
      <c r="Y468" s="31">
        <v>41418</v>
      </c>
      <c r="Z468" s="31" t="str">
        <f t="shared" si="55"/>
        <v>IN-2013-DL129257-41418</v>
      </c>
    </row>
    <row r="469" spans="1:26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 t="shared" si="49"/>
        <v>Cari Macintyre</v>
      </c>
      <c r="P469" s="13" t="str">
        <f t="shared" si="50"/>
        <v>ES</v>
      </c>
      <c r="Q469" s="13" t="str">
        <f t="shared" si="51"/>
        <v>2014</v>
      </c>
      <c r="R469" s="13" t="str">
        <f t="shared" si="52"/>
        <v>HIGH</v>
      </c>
      <c r="S469" s="13" t="str">
        <f t="shared" si="53"/>
        <v>technology</v>
      </c>
      <c r="T469" s="21" t="str">
        <f t="shared" si="54"/>
        <v>41773</v>
      </c>
      <c r="U469" s="30" t="s">
        <v>3102</v>
      </c>
      <c r="V469" s="19" t="s">
        <v>2710</v>
      </c>
      <c r="W469" s="33">
        <v>2014</v>
      </c>
      <c r="X469" t="s">
        <v>3102</v>
      </c>
      <c r="Y469" s="31">
        <v>41773</v>
      </c>
      <c r="Z469" s="31" t="str">
        <f t="shared" si="55"/>
        <v>ES-2014-CM1183045-41773</v>
      </c>
    </row>
    <row r="470" spans="1:26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 t="shared" si="49"/>
        <v>Cindy Schnelling</v>
      </c>
      <c r="P470" s="8" t="str">
        <f t="shared" si="50"/>
        <v>MX</v>
      </c>
      <c r="Q470" s="8" t="str">
        <f t="shared" si="51"/>
        <v>2014</v>
      </c>
      <c r="R470" s="8" t="str">
        <f t="shared" si="52"/>
        <v>HIGH</v>
      </c>
      <c r="S470" s="8" t="str">
        <f t="shared" si="53"/>
        <v>furniture</v>
      </c>
      <c r="T470" s="18" t="str">
        <f t="shared" si="54"/>
        <v>41763</v>
      </c>
      <c r="U470" s="30" t="s">
        <v>3103</v>
      </c>
      <c r="V470" s="16" t="s">
        <v>2695</v>
      </c>
      <c r="W470" s="33">
        <v>2014</v>
      </c>
      <c r="X470" t="s">
        <v>3103</v>
      </c>
      <c r="Y470" s="31">
        <v>41763</v>
      </c>
      <c r="Z470" s="31" t="str">
        <f t="shared" si="55"/>
        <v>MX-2014-CS1249082-41763</v>
      </c>
    </row>
    <row r="471" spans="1:26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 t="shared" si="49"/>
        <v>Matthew Clasen</v>
      </c>
      <c r="P471" s="13" t="str">
        <f t="shared" si="50"/>
        <v>MX</v>
      </c>
      <c r="Q471" s="13" t="str">
        <f t="shared" si="51"/>
        <v>2015</v>
      </c>
      <c r="R471" s="13" t="str">
        <f t="shared" si="52"/>
        <v>MEDIUM</v>
      </c>
      <c r="S471" s="13" t="str">
        <f t="shared" si="53"/>
        <v>technology</v>
      </c>
      <c r="T471" s="21" t="str">
        <f t="shared" si="54"/>
        <v>42340</v>
      </c>
      <c r="U471" s="30" t="s">
        <v>3104</v>
      </c>
      <c r="V471" s="19" t="s">
        <v>2695</v>
      </c>
      <c r="W471" s="33">
        <v>2015</v>
      </c>
      <c r="X471" t="s">
        <v>3104</v>
      </c>
      <c r="Y471" s="31">
        <v>42340</v>
      </c>
      <c r="Z471" s="31" t="str">
        <f t="shared" si="55"/>
        <v>MX-2015-MC1763536-42340</v>
      </c>
    </row>
    <row r="472" spans="1:26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 t="shared" si="49"/>
        <v>Valerie Takahito</v>
      </c>
      <c r="P472" s="8" t="str">
        <f t="shared" si="50"/>
        <v>MX</v>
      </c>
      <c r="Q472" s="8" t="str">
        <f t="shared" si="51"/>
        <v>2015</v>
      </c>
      <c r="R472" s="8" t="str">
        <f t="shared" si="52"/>
        <v>MEDIUM</v>
      </c>
      <c r="S472" s="8" t="str">
        <f t="shared" si="53"/>
        <v>technology</v>
      </c>
      <c r="T472" s="18" t="str">
        <f t="shared" si="54"/>
        <v>42012</v>
      </c>
      <c r="U472" s="30" t="s">
        <v>3105</v>
      </c>
      <c r="V472" s="16" t="s">
        <v>2695</v>
      </c>
      <c r="W472" s="33">
        <v>2015</v>
      </c>
      <c r="X472" t="s">
        <v>3105</v>
      </c>
      <c r="Y472" s="31">
        <v>42012</v>
      </c>
      <c r="Z472" s="31" t="str">
        <f t="shared" si="55"/>
        <v>MX-2015-VT2170018-42012</v>
      </c>
    </row>
    <row r="473" spans="1:26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 t="shared" si="49"/>
        <v>Adrian Hane</v>
      </c>
      <c r="P473" s="13" t="str">
        <f t="shared" si="50"/>
        <v>CA</v>
      </c>
      <c r="Q473" s="13" t="str">
        <f t="shared" si="51"/>
        <v>2014</v>
      </c>
      <c r="R473" s="13" t="str">
        <f t="shared" si="52"/>
        <v>MEDIUM</v>
      </c>
      <c r="S473" s="13" t="str">
        <f t="shared" si="53"/>
        <v>technology</v>
      </c>
      <c r="T473" s="21" t="str">
        <f t="shared" si="54"/>
        <v>41821</v>
      </c>
      <c r="U473" s="30" t="s">
        <v>2818</v>
      </c>
      <c r="V473" s="19" t="s">
        <v>2683</v>
      </c>
      <c r="W473" s="33">
        <v>2014</v>
      </c>
      <c r="X473" t="s">
        <v>2818</v>
      </c>
      <c r="Y473" s="31">
        <v>41821</v>
      </c>
      <c r="Z473" s="31" t="str">
        <f t="shared" si="55"/>
        <v>CA-2014-AH10120140-41821</v>
      </c>
    </row>
    <row r="474" spans="1:26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 t="shared" si="49"/>
        <v>Carlos Daly</v>
      </c>
      <c r="P474" s="8" t="str">
        <f t="shared" si="50"/>
        <v>IN</v>
      </c>
      <c r="Q474" s="8" t="str">
        <f t="shared" si="51"/>
        <v>2012</v>
      </c>
      <c r="R474" s="8" t="str">
        <f t="shared" si="52"/>
        <v>MEDIUM</v>
      </c>
      <c r="S474" s="8" t="str">
        <f t="shared" si="53"/>
        <v>furniture</v>
      </c>
      <c r="T474" s="18" t="str">
        <f t="shared" si="54"/>
        <v>40979</v>
      </c>
      <c r="U474" s="30" t="s">
        <v>3106</v>
      </c>
      <c r="V474" s="16" t="s">
        <v>2681</v>
      </c>
      <c r="W474" s="33">
        <v>2012</v>
      </c>
      <c r="X474" t="s">
        <v>3106</v>
      </c>
      <c r="Y474" s="31">
        <v>40979</v>
      </c>
      <c r="Z474" s="31" t="str">
        <f t="shared" si="55"/>
        <v>IN-2012-CD1192027-40979</v>
      </c>
    </row>
    <row r="475" spans="1:26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 t="shared" si="49"/>
        <v xml:space="preserve"> Tom Ashbrook </v>
      </c>
      <c r="P475" s="13" t="str">
        <f t="shared" si="50"/>
        <v>ID</v>
      </c>
      <c r="Q475" s="13" t="str">
        <f t="shared" si="51"/>
        <v>2014</v>
      </c>
      <c r="R475" s="13" t="str">
        <f t="shared" si="52"/>
        <v>LOW</v>
      </c>
      <c r="S475" s="13" t="str">
        <f t="shared" si="53"/>
        <v>office supplies</v>
      </c>
      <c r="T475" s="21" t="str">
        <f t="shared" si="54"/>
        <v>41654</v>
      </c>
      <c r="U475" s="30" t="s">
        <v>3107</v>
      </c>
      <c r="V475" s="19" t="s">
        <v>2705</v>
      </c>
      <c r="W475" s="33">
        <v>2014</v>
      </c>
      <c r="X475" t="s">
        <v>3107</v>
      </c>
      <c r="Y475" s="31">
        <v>41654</v>
      </c>
      <c r="Z475" s="31" t="str">
        <f t="shared" si="55"/>
        <v>ID-2014-TA21385102-41654</v>
      </c>
    </row>
    <row r="476" spans="1:26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 t="shared" si="49"/>
        <v>Denny Joy</v>
      </c>
      <c r="P476" s="8" t="str">
        <f t="shared" si="50"/>
        <v>ES</v>
      </c>
      <c r="Q476" s="8" t="str">
        <f t="shared" si="51"/>
        <v>2012</v>
      </c>
      <c r="R476" s="8" t="str">
        <f t="shared" si="52"/>
        <v>CRITICAL</v>
      </c>
      <c r="S476" s="8" t="str">
        <f t="shared" si="53"/>
        <v>technology</v>
      </c>
      <c r="T476" s="18" t="str">
        <f t="shared" si="54"/>
        <v>41231</v>
      </c>
      <c r="U476" s="30" t="s">
        <v>3108</v>
      </c>
      <c r="V476" s="16" t="s">
        <v>2710</v>
      </c>
      <c r="W476" s="33">
        <v>2012</v>
      </c>
      <c r="X476" t="s">
        <v>3108</v>
      </c>
      <c r="Y476" s="31">
        <v>41231</v>
      </c>
      <c r="Z476" s="31" t="str">
        <f t="shared" si="55"/>
        <v>ES-2012-DJ88887148-41231</v>
      </c>
    </row>
    <row r="477" spans="1:26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 t="shared" si="49"/>
        <v>Andrew Roberts</v>
      </c>
      <c r="P477" s="13" t="str">
        <f t="shared" si="50"/>
        <v>ES</v>
      </c>
      <c r="Q477" s="13" t="str">
        <f t="shared" si="51"/>
        <v>2013</v>
      </c>
      <c r="R477" s="13" t="str">
        <f t="shared" si="52"/>
        <v>HIGH</v>
      </c>
      <c r="S477" s="13" t="str">
        <f t="shared" si="53"/>
        <v>furniture</v>
      </c>
      <c r="T477" s="21" t="str">
        <f t="shared" si="54"/>
        <v>41441</v>
      </c>
      <c r="U477" s="30" t="s">
        <v>3109</v>
      </c>
      <c r="V477" s="19" t="s">
        <v>2710</v>
      </c>
      <c r="W477" s="33">
        <v>2013</v>
      </c>
      <c r="X477" t="s">
        <v>3109</v>
      </c>
      <c r="Y477" s="31">
        <v>41441</v>
      </c>
      <c r="Z477" s="31" t="str">
        <f t="shared" si="55"/>
        <v>ES-2013-AR1051064-41441</v>
      </c>
    </row>
    <row r="478" spans="1:26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 t="shared" si="49"/>
        <v>Jonathan Howell</v>
      </c>
      <c r="P478" s="8" t="str">
        <f t="shared" si="50"/>
        <v>IN</v>
      </c>
      <c r="Q478" s="8" t="str">
        <f t="shared" si="51"/>
        <v>2014</v>
      </c>
      <c r="R478" s="8" t="str">
        <f t="shared" si="52"/>
        <v>MEDIUM</v>
      </c>
      <c r="S478" s="8" t="str">
        <f t="shared" si="53"/>
        <v>furniture</v>
      </c>
      <c r="T478" s="18" t="str">
        <f t="shared" si="54"/>
        <v>41831</v>
      </c>
      <c r="U478" s="30" t="s">
        <v>3110</v>
      </c>
      <c r="V478" s="16" t="s">
        <v>2681</v>
      </c>
      <c r="W478" s="33">
        <v>2014</v>
      </c>
      <c r="X478" t="s">
        <v>3110</v>
      </c>
      <c r="Y478" s="31">
        <v>41831</v>
      </c>
      <c r="Z478" s="31" t="str">
        <f t="shared" si="55"/>
        <v>IN-2014-JH1591066-41831</v>
      </c>
    </row>
    <row r="479" spans="1:26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 t="shared" si="49"/>
        <v>Chris Mcafee</v>
      </c>
      <c r="P479" s="13" t="str">
        <f t="shared" si="50"/>
        <v>ES</v>
      </c>
      <c r="Q479" s="13" t="str">
        <f t="shared" si="51"/>
        <v>2015</v>
      </c>
      <c r="R479" s="13" t="str">
        <f t="shared" si="52"/>
        <v>HIGH</v>
      </c>
      <c r="S479" s="13" t="str">
        <f t="shared" si="53"/>
        <v>technology</v>
      </c>
      <c r="T479" s="21" t="str">
        <f t="shared" si="54"/>
        <v>42221</v>
      </c>
      <c r="U479" s="30" t="s">
        <v>3111</v>
      </c>
      <c r="V479" s="19" t="s">
        <v>2710</v>
      </c>
      <c r="W479" s="33">
        <v>2015</v>
      </c>
      <c r="X479" t="s">
        <v>3111</v>
      </c>
      <c r="Y479" s="31">
        <v>42221</v>
      </c>
      <c r="Z479" s="31" t="str">
        <f t="shared" si="55"/>
        <v>ES-2015-CM12235139-42221</v>
      </c>
    </row>
    <row r="480" spans="1:26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 t="shared" si="49"/>
        <v>Neoma Murray</v>
      </c>
      <c r="P480" s="8" t="str">
        <f t="shared" si="50"/>
        <v>ES</v>
      </c>
      <c r="Q480" s="8" t="str">
        <f t="shared" si="51"/>
        <v>2013</v>
      </c>
      <c r="R480" s="8" t="str">
        <f t="shared" si="52"/>
        <v>CRITICAL</v>
      </c>
      <c r="S480" s="8" t="str">
        <f t="shared" si="53"/>
        <v>office supplies</v>
      </c>
      <c r="T480" s="18" t="str">
        <f t="shared" si="54"/>
        <v>41634</v>
      </c>
      <c r="U480" s="30" t="s">
        <v>3112</v>
      </c>
      <c r="V480" s="16" t="s">
        <v>2710</v>
      </c>
      <c r="W480" s="33">
        <v>2013</v>
      </c>
      <c r="X480" t="s">
        <v>3112</v>
      </c>
      <c r="Y480" s="31">
        <v>41634</v>
      </c>
      <c r="Z480" s="31" t="str">
        <f t="shared" si="55"/>
        <v>ES-2013-NM18520120-41634</v>
      </c>
    </row>
    <row r="481" spans="1:26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 t="shared" si="49"/>
        <v>Carl Ludwig</v>
      </c>
      <c r="P481" s="13" t="str">
        <f t="shared" si="50"/>
        <v>US</v>
      </c>
      <c r="Q481" s="13" t="str">
        <f t="shared" si="51"/>
        <v>2013</v>
      </c>
      <c r="R481" s="13" t="str">
        <f t="shared" si="52"/>
        <v>CRITICAL</v>
      </c>
      <c r="S481" s="13" t="str">
        <f t="shared" si="53"/>
        <v>technology</v>
      </c>
      <c r="T481" s="21" t="str">
        <f t="shared" si="54"/>
        <v>41459</v>
      </c>
      <c r="U481" s="30" t="s">
        <v>3113</v>
      </c>
      <c r="V481" s="19" t="s">
        <v>2685</v>
      </c>
      <c r="W481" s="33">
        <v>2013</v>
      </c>
      <c r="X481" t="s">
        <v>3113</v>
      </c>
      <c r="Y481" s="31">
        <v>41459</v>
      </c>
      <c r="Z481" s="31" t="str">
        <f t="shared" si="55"/>
        <v>US-2013-CL1189018-41459</v>
      </c>
    </row>
    <row r="482" spans="1:26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 t="shared" si="49"/>
        <v>Christina Anderson</v>
      </c>
      <c r="P482" s="8" t="str">
        <f t="shared" si="50"/>
        <v>ES</v>
      </c>
      <c r="Q482" s="8" t="str">
        <f t="shared" si="51"/>
        <v>2013</v>
      </c>
      <c r="R482" s="8" t="str">
        <f t="shared" si="52"/>
        <v>HIGH</v>
      </c>
      <c r="S482" s="8" t="str">
        <f t="shared" si="53"/>
        <v>furniture</v>
      </c>
      <c r="T482" s="18" t="str">
        <f t="shared" si="54"/>
        <v>41506</v>
      </c>
      <c r="U482" s="30" t="s">
        <v>3114</v>
      </c>
      <c r="V482" s="16" t="s">
        <v>2710</v>
      </c>
      <c r="W482" s="33">
        <v>2013</v>
      </c>
      <c r="X482" t="s">
        <v>3114</v>
      </c>
      <c r="Y482" s="31">
        <v>41506</v>
      </c>
      <c r="Z482" s="31" t="str">
        <f t="shared" si="55"/>
        <v>ES-2013-CA12265139-41506</v>
      </c>
    </row>
    <row r="483" spans="1:26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 t="shared" si="49"/>
        <v>Adrian Shami</v>
      </c>
      <c r="P483" s="13" t="str">
        <f t="shared" si="50"/>
        <v>CA</v>
      </c>
      <c r="Q483" s="13" t="str">
        <f t="shared" si="51"/>
        <v>2013</v>
      </c>
      <c r="R483" s="13" t="str">
        <f t="shared" si="52"/>
        <v>MEIDUM</v>
      </c>
      <c r="S483" s="13" t="str">
        <f t="shared" si="53"/>
        <v>office supplies</v>
      </c>
      <c r="T483" s="21" t="str">
        <f t="shared" si="54"/>
        <v>41403</v>
      </c>
      <c r="U483" s="30" t="s">
        <v>3115</v>
      </c>
      <c r="V483" s="19" t="s">
        <v>2683</v>
      </c>
      <c r="W483" s="33">
        <v>2013</v>
      </c>
      <c r="X483" t="s">
        <v>3115</v>
      </c>
      <c r="Y483" s="31">
        <v>41403</v>
      </c>
      <c r="Z483" s="31" t="str">
        <f t="shared" si="55"/>
        <v>CA-2013-AS13523-41403</v>
      </c>
    </row>
    <row r="484" spans="1:26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 t="shared" si="49"/>
        <v>Neil Franzã¶Sisch</v>
      </c>
      <c r="P484" s="8" t="str">
        <f t="shared" si="50"/>
        <v>ES</v>
      </c>
      <c r="Q484" s="8" t="str">
        <f t="shared" si="51"/>
        <v>2015</v>
      </c>
      <c r="R484" s="8" t="str">
        <f t="shared" si="52"/>
        <v>CRITICAL</v>
      </c>
      <c r="S484" s="8" t="str">
        <f t="shared" si="53"/>
        <v>technology</v>
      </c>
      <c r="T484" s="18" t="str">
        <f t="shared" si="54"/>
        <v>42248</v>
      </c>
      <c r="U484" s="30" t="s">
        <v>2719</v>
      </c>
      <c r="V484" s="16" t="s">
        <v>2710</v>
      </c>
      <c r="W484" s="33">
        <v>2015</v>
      </c>
      <c r="X484" t="s">
        <v>2719</v>
      </c>
      <c r="Y484" s="31">
        <v>42248</v>
      </c>
      <c r="Z484" s="31" t="str">
        <f t="shared" si="55"/>
        <v>ES-2015-NF1847548-42248</v>
      </c>
    </row>
    <row r="485" spans="1:26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 t="shared" si="49"/>
        <v>John Huston#</v>
      </c>
      <c r="P485" s="13" t="str">
        <f t="shared" si="50"/>
        <v>ES</v>
      </c>
      <c r="Q485" s="13" t="str">
        <f t="shared" si="51"/>
        <v>2013</v>
      </c>
      <c r="R485" s="13" t="str">
        <f t="shared" si="52"/>
        <v>HIGH</v>
      </c>
      <c r="S485" s="13" t="str">
        <f t="shared" si="53"/>
        <v xml:space="preserve"> technology </v>
      </c>
      <c r="T485" s="21" t="str">
        <f t="shared" si="54"/>
        <v>41306</v>
      </c>
      <c r="U485" s="30" t="s">
        <v>2709</v>
      </c>
      <c r="V485" s="19" t="s">
        <v>2710</v>
      </c>
      <c r="W485" s="33">
        <v>2013</v>
      </c>
      <c r="X485" t="s">
        <v>2709</v>
      </c>
      <c r="Y485" s="31">
        <v>41306</v>
      </c>
      <c r="Z485" s="31" t="str">
        <f t="shared" si="55"/>
        <v>ES-2013-JH1582048-41306</v>
      </c>
    </row>
    <row r="486" spans="1:26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 t="shared" si="49"/>
        <v>Filia Mcadams</v>
      </c>
      <c r="P486" s="8" t="str">
        <f t="shared" si="50"/>
        <v>ES</v>
      </c>
      <c r="Q486" s="8" t="str">
        <f t="shared" si="51"/>
        <v>2014</v>
      </c>
      <c r="R486" s="8" t="str">
        <f t="shared" si="52"/>
        <v>MEDIUM</v>
      </c>
      <c r="S486" s="8" t="str">
        <f t="shared" si="53"/>
        <v>technology</v>
      </c>
      <c r="T486" s="18" t="str">
        <f t="shared" si="54"/>
        <v>41804</v>
      </c>
      <c r="U486" s="30" t="s">
        <v>3116</v>
      </c>
      <c r="V486" s="16" t="s">
        <v>2710</v>
      </c>
      <c r="W486" s="33">
        <v>2014</v>
      </c>
      <c r="X486" t="s">
        <v>3116</v>
      </c>
      <c r="Y486" s="31">
        <v>41804</v>
      </c>
      <c r="Z486" s="31" t="str">
        <f t="shared" si="55"/>
        <v>ES-2014-FM1421564-41804</v>
      </c>
    </row>
    <row r="487" spans="1:26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 t="shared" si="49"/>
        <v>Aimee Bixby</v>
      </c>
      <c r="P487" s="13" t="str">
        <f t="shared" si="50"/>
        <v>CA</v>
      </c>
      <c r="Q487" s="13" t="str">
        <f t="shared" si="51"/>
        <v>2012</v>
      </c>
      <c r="R487" s="13" t="str">
        <f t="shared" si="52"/>
        <v>MEDIUM</v>
      </c>
      <c r="S487" s="13" t="str">
        <f t="shared" si="53"/>
        <v>office supplies</v>
      </c>
      <c r="T487" s="21" t="str">
        <f t="shared" si="54"/>
        <v>40972</v>
      </c>
      <c r="U487" s="30" t="s">
        <v>2845</v>
      </c>
      <c r="V487" s="19" t="s">
        <v>2683</v>
      </c>
      <c r="W487" s="33">
        <v>2012</v>
      </c>
      <c r="X487" t="s">
        <v>2845</v>
      </c>
      <c r="Y487" s="31">
        <v>40972</v>
      </c>
      <c r="Z487" s="31" t="str">
        <f t="shared" si="55"/>
        <v>CA-2012-AB10150140-40972</v>
      </c>
    </row>
    <row r="488" spans="1:26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 t="shared" si="49"/>
        <v>Phillina Ober</v>
      </c>
      <c r="P488" s="8" t="str">
        <f t="shared" si="50"/>
        <v>IN</v>
      </c>
      <c r="Q488" s="8" t="str">
        <f t="shared" si="51"/>
        <v>2012</v>
      </c>
      <c r="R488" s="8" t="str">
        <f t="shared" si="52"/>
        <v>HGIH</v>
      </c>
      <c r="S488" s="8" t="str">
        <f t="shared" si="53"/>
        <v>furniture</v>
      </c>
      <c r="T488" s="18" t="str">
        <f t="shared" si="54"/>
        <v>41200</v>
      </c>
      <c r="U488" s="30" t="s">
        <v>3117</v>
      </c>
      <c r="V488" s="16" t="s">
        <v>2681</v>
      </c>
      <c r="W488" s="33">
        <v>2012</v>
      </c>
      <c r="X488" t="s">
        <v>3117</v>
      </c>
      <c r="Y488" s="31">
        <v>41200</v>
      </c>
      <c r="Z488" s="31" t="str">
        <f t="shared" si="55"/>
        <v>IN-2012-PO1919527-41200</v>
      </c>
    </row>
    <row r="489" spans="1:26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 t="shared" si="49"/>
        <v>Katherine Ducich</v>
      </c>
      <c r="P489" s="13" t="str">
        <f t="shared" si="50"/>
        <v>IN</v>
      </c>
      <c r="Q489" s="13" t="str">
        <f t="shared" si="51"/>
        <v>2015</v>
      </c>
      <c r="R489" s="13" t="str">
        <f t="shared" si="52"/>
        <v>MEDIUM</v>
      </c>
      <c r="S489" s="13" t="str">
        <f t="shared" si="53"/>
        <v>furniture</v>
      </c>
      <c r="T489" s="21" t="str">
        <f t="shared" si="54"/>
        <v>42029</v>
      </c>
      <c r="U489" s="30" t="s">
        <v>3118</v>
      </c>
      <c r="V489" s="19" t="s">
        <v>2681</v>
      </c>
      <c r="W489" s="33">
        <v>2015</v>
      </c>
      <c r="X489" t="s">
        <v>3118</v>
      </c>
      <c r="Y489" s="31">
        <v>42029</v>
      </c>
      <c r="Z489" s="31" t="str">
        <f t="shared" si="55"/>
        <v>IN-2015-KD1634558-42029</v>
      </c>
    </row>
    <row r="490" spans="1:26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 t="shared" si="49"/>
        <v>Denny Joy</v>
      </c>
      <c r="P490" s="8" t="str">
        <f t="shared" si="50"/>
        <v>ES</v>
      </c>
      <c r="Q490" s="8" t="str">
        <f t="shared" si="51"/>
        <v>2015</v>
      </c>
      <c r="R490" s="8" t="str">
        <f t="shared" si="52"/>
        <v>HIGH</v>
      </c>
      <c r="S490" s="8" t="str">
        <f t="shared" si="53"/>
        <v>technology</v>
      </c>
      <c r="T490" s="18" t="str">
        <f t="shared" si="54"/>
        <v>42035</v>
      </c>
      <c r="U490" s="30" t="s">
        <v>3119</v>
      </c>
      <c r="V490" s="16" t="s">
        <v>2710</v>
      </c>
      <c r="W490" s="33">
        <v>2015</v>
      </c>
      <c r="X490" t="s">
        <v>3119</v>
      </c>
      <c r="Y490" s="31">
        <v>42035</v>
      </c>
      <c r="Z490" s="31" t="str">
        <f t="shared" si="55"/>
        <v>ES-2015-DJ1342045-42035</v>
      </c>
    </row>
    <row r="491" spans="1:26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 t="shared" si="49"/>
        <v>Hilary Holden</v>
      </c>
      <c r="P491" s="13" t="str">
        <f t="shared" si="50"/>
        <v>TZ</v>
      </c>
      <c r="Q491" s="13" t="str">
        <f t="shared" si="51"/>
        <v>2014</v>
      </c>
      <c r="R491" s="13" t="str">
        <f t="shared" si="52"/>
        <v>CRITICAL</v>
      </c>
      <c r="S491" s="13" t="str">
        <f t="shared" si="53"/>
        <v>office supplies</v>
      </c>
      <c r="T491" s="21" t="str">
        <f t="shared" si="54"/>
        <v>41906</v>
      </c>
      <c r="U491" s="30" t="s">
        <v>3120</v>
      </c>
      <c r="V491" s="19" t="s">
        <v>2943</v>
      </c>
      <c r="W491" s="33">
        <v>2014</v>
      </c>
      <c r="X491" t="s">
        <v>3120</v>
      </c>
      <c r="Y491" s="31">
        <v>41906</v>
      </c>
      <c r="Z491" s="31" t="str">
        <f t="shared" si="55"/>
        <v>TZ-2014-HH5010129-41906</v>
      </c>
    </row>
    <row r="492" spans="1:26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 t="shared" si="49"/>
        <v>Natalie Fritzler</v>
      </c>
      <c r="P492" s="8" t="str">
        <f t="shared" si="50"/>
        <v>MX</v>
      </c>
      <c r="Q492" s="8" t="str">
        <f t="shared" si="51"/>
        <v>2015</v>
      </c>
      <c r="R492" s="8" t="str">
        <f t="shared" si="52"/>
        <v>HIGH</v>
      </c>
      <c r="S492" s="8" t="str">
        <f t="shared" si="53"/>
        <v>furniture</v>
      </c>
      <c r="T492" s="18" t="str">
        <f t="shared" si="54"/>
        <v>42087</v>
      </c>
      <c r="U492" s="30" t="s">
        <v>3121</v>
      </c>
      <c r="V492" s="16" t="s">
        <v>2695</v>
      </c>
      <c r="W492" s="33">
        <v>2015</v>
      </c>
      <c r="X492" t="s">
        <v>3121</v>
      </c>
      <c r="Y492" s="31">
        <v>42087</v>
      </c>
      <c r="Z492" s="31" t="str">
        <f t="shared" si="55"/>
        <v>MX-2015-NF1838582-42087</v>
      </c>
    </row>
    <row r="493" spans="1:26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 t="shared" si="49"/>
        <v>Art Ferguson</v>
      </c>
      <c r="P493" s="13" t="str">
        <f t="shared" si="50"/>
        <v>ES</v>
      </c>
      <c r="Q493" s="13" t="str">
        <f t="shared" si="51"/>
        <v>2015</v>
      </c>
      <c r="R493" s="13" t="str">
        <f t="shared" si="52"/>
        <v>HIGH</v>
      </c>
      <c r="S493" s="13" t="str">
        <f t="shared" si="53"/>
        <v>furniture</v>
      </c>
      <c r="T493" s="21" t="str">
        <f t="shared" si="54"/>
        <v>42169</v>
      </c>
      <c r="U493" s="30" t="s">
        <v>3122</v>
      </c>
      <c r="V493" s="19" t="s">
        <v>2710</v>
      </c>
      <c r="W493" s="33">
        <v>2015</v>
      </c>
      <c r="X493" t="s">
        <v>3122</v>
      </c>
      <c r="Y493" s="31">
        <v>42169</v>
      </c>
      <c r="Z493" s="31" t="str">
        <f t="shared" si="55"/>
        <v>ES-2015-AF1087048-42169</v>
      </c>
    </row>
    <row r="494" spans="1:26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 t="shared" si="49"/>
        <v>Alejandro Savely</v>
      </c>
      <c r="P494" s="8" t="str">
        <f t="shared" si="50"/>
        <v>RS</v>
      </c>
      <c r="Q494" s="8" t="str">
        <f t="shared" si="51"/>
        <v>2012</v>
      </c>
      <c r="R494" s="8" t="str">
        <f t="shared" si="52"/>
        <v>CRITICAL</v>
      </c>
      <c r="S494" s="8" t="str">
        <f t="shared" si="53"/>
        <v>furniture</v>
      </c>
      <c r="T494" s="18" t="str">
        <f t="shared" si="54"/>
        <v>41137</v>
      </c>
      <c r="U494" s="30" t="s">
        <v>3123</v>
      </c>
      <c r="V494" s="16" t="s">
        <v>2824</v>
      </c>
      <c r="W494" s="33">
        <v>2012</v>
      </c>
      <c r="X494" t="s">
        <v>3123</v>
      </c>
      <c r="Y494" s="31">
        <v>41137</v>
      </c>
      <c r="Z494" s="31" t="str">
        <f t="shared" si="55"/>
        <v>RS-2012-AS285108-41137</v>
      </c>
    </row>
    <row r="495" spans="1:26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 t="shared" si="49"/>
        <v>Maria Bertelson</v>
      </c>
      <c r="P495" s="13" t="str">
        <f t="shared" si="50"/>
        <v>CG</v>
      </c>
      <c r="Q495" s="13" t="str">
        <f t="shared" si="51"/>
        <v>2014</v>
      </c>
      <c r="R495" s="13" t="str">
        <f t="shared" si="52"/>
        <v>MEDIUM</v>
      </c>
      <c r="S495" s="13" t="str">
        <f t="shared" si="53"/>
        <v>furniture</v>
      </c>
      <c r="T495" s="21" t="str">
        <f t="shared" si="54"/>
        <v>41688</v>
      </c>
      <c r="U495" s="30" t="s">
        <v>3124</v>
      </c>
      <c r="V495" s="19" t="s">
        <v>2837</v>
      </c>
      <c r="W495" s="33">
        <v>2014</v>
      </c>
      <c r="X495" t="s">
        <v>3124</v>
      </c>
      <c r="Y495" s="31">
        <v>41688</v>
      </c>
      <c r="Z495" s="31" t="str">
        <f t="shared" si="55"/>
        <v>CG-2014-MB730533-41688</v>
      </c>
    </row>
    <row r="496" spans="1:26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 t="shared" si="49"/>
        <v>Alan Barnes</v>
      </c>
      <c r="P496" s="8" t="str">
        <f t="shared" si="50"/>
        <v>CA</v>
      </c>
      <c r="Q496" s="8" t="str">
        <f t="shared" si="51"/>
        <v>2014</v>
      </c>
      <c r="R496" s="8" t="str">
        <f t="shared" si="52"/>
        <v>HIGH</v>
      </c>
      <c r="S496" s="8" t="str">
        <f t="shared" si="53"/>
        <v>office supplies</v>
      </c>
      <c r="T496" s="18" t="str">
        <f t="shared" si="54"/>
        <v>41660</v>
      </c>
      <c r="U496" s="30" t="s">
        <v>3125</v>
      </c>
      <c r="V496" s="16" t="s">
        <v>2683</v>
      </c>
      <c r="W496" s="33">
        <v>2014</v>
      </c>
      <c r="X496" t="s">
        <v>3125</v>
      </c>
      <c r="Y496" s="31">
        <v>41660</v>
      </c>
      <c r="Z496" s="31" t="str">
        <f t="shared" si="55"/>
        <v>CA-2014-AB16523-41660</v>
      </c>
    </row>
    <row r="497" spans="1:26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 t="shared" si="49"/>
        <v>Andy Gerbode</v>
      </c>
      <c r="P497" s="13" t="str">
        <f t="shared" si="50"/>
        <v>IR</v>
      </c>
      <c r="Q497" s="13" t="str">
        <f t="shared" si="51"/>
        <v>2014</v>
      </c>
      <c r="R497" s="13" t="str">
        <f t="shared" si="52"/>
        <v>HIGH</v>
      </c>
      <c r="S497" s="13" t="str">
        <f t="shared" si="53"/>
        <v>technology</v>
      </c>
      <c r="T497" s="21" t="str">
        <f t="shared" si="54"/>
        <v>41641</v>
      </c>
      <c r="U497" s="30" t="s">
        <v>3126</v>
      </c>
      <c r="V497" s="19" t="s">
        <v>2781</v>
      </c>
      <c r="W497" s="33">
        <v>2014</v>
      </c>
      <c r="X497" t="s">
        <v>3126</v>
      </c>
      <c r="Y497" s="31">
        <v>41641</v>
      </c>
      <c r="Z497" s="31" t="str">
        <f t="shared" si="55"/>
        <v>IR-2014-AG52560-41641</v>
      </c>
    </row>
    <row r="498" spans="1:26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 t="shared" si="49"/>
        <v>Frank Carlisle</v>
      </c>
      <c r="P498" s="8" t="str">
        <f t="shared" si="50"/>
        <v>IN</v>
      </c>
      <c r="Q498" s="8" t="str">
        <f t="shared" si="51"/>
        <v>2015</v>
      </c>
      <c r="R498" s="8" t="str">
        <f t="shared" si="52"/>
        <v>HIGH</v>
      </c>
      <c r="S498" s="8" t="str">
        <f t="shared" si="53"/>
        <v>technology</v>
      </c>
      <c r="T498" s="18" t="str">
        <f t="shared" si="54"/>
        <v>42326</v>
      </c>
      <c r="U498" s="30" t="s">
        <v>3127</v>
      </c>
      <c r="V498" s="16" t="s">
        <v>2681</v>
      </c>
      <c r="W498" s="33">
        <v>2015</v>
      </c>
      <c r="X498" t="s">
        <v>3127</v>
      </c>
      <c r="Y498" s="31">
        <v>42326</v>
      </c>
      <c r="Z498" s="31" t="str">
        <f t="shared" si="55"/>
        <v>IN-2015-FC142457-42326</v>
      </c>
    </row>
    <row r="499" spans="1:26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 t="shared" si="49"/>
        <v>Tiffany House</v>
      </c>
      <c r="P499" s="13" t="str">
        <f t="shared" si="50"/>
        <v>ID</v>
      </c>
      <c r="Q499" s="13" t="str">
        <f t="shared" si="51"/>
        <v>2015</v>
      </c>
      <c r="R499" s="13" t="str">
        <f t="shared" si="52"/>
        <v>MEDIUM</v>
      </c>
      <c r="S499" s="13" t="str">
        <f t="shared" si="53"/>
        <v>technology</v>
      </c>
      <c r="T499" s="21" t="str">
        <f t="shared" si="54"/>
        <v>42175</v>
      </c>
      <c r="U499" s="30" t="s">
        <v>3128</v>
      </c>
      <c r="V499" s="19" t="s">
        <v>2705</v>
      </c>
      <c r="W499" s="33">
        <v>2015</v>
      </c>
      <c r="X499" t="s">
        <v>3128</v>
      </c>
      <c r="Y499" s="31">
        <v>42175</v>
      </c>
      <c r="Z499" s="31" t="str">
        <f t="shared" si="55"/>
        <v>ID-2015-TH212357-42175</v>
      </c>
    </row>
    <row r="500" spans="1:26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 t="shared" si="49"/>
        <v>Tamara Willingham</v>
      </c>
      <c r="P500" s="8" t="str">
        <f t="shared" si="50"/>
        <v>IN</v>
      </c>
      <c r="Q500" s="8" t="str">
        <f t="shared" si="51"/>
        <v>2014</v>
      </c>
      <c r="R500" s="8" t="str">
        <f t="shared" si="52"/>
        <v>MEDIUM</v>
      </c>
      <c r="S500" s="8" t="str">
        <f t="shared" si="53"/>
        <v>technology</v>
      </c>
      <c r="T500" s="18" t="str">
        <f t="shared" si="54"/>
        <v>41780</v>
      </c>
      <c r="U500" s="30" t="s">
        <v>3129</v>
      </c>
      <c r="V500" s="16" t="s">
        <v>2681</v>
      </c>
      <c r="W500" s="33">
        <v>2014</v>
      </c>
      <c r="X500" t="s">
        <v>3129</v>
      </c>
      <c r="Y500" s="31">
        <v>41780</v>
      </c>
      <c r="Z500" s="31" t="str">
        <f t="shared" si="55"/>
        <v>IN-2014-TW2102527-41780</v>
      </c>
    </row>
    <row r="501" spans="1:26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 t="shared" si="49"/>
        <v>Liz Thompson</v>
      </c>
      <c r="P501" s="13" t="str">
        <f t="shared" si="50"/>
        <v>SF</v>
      </c>
      <c r="Q501" s="13" t="str">
        <f t="shared" si="51"/>
        <v>2015</v>
      </c>
      <c r="R501" s="13" t="str">
        <f t="shared" si="52"/>
        <v>HIGH</v>
      </c>
      <c r="S501" s="13" t="str">
        <f t="shared" si="53"/>
        <v>technology</v>
      </c>
      <c r="T501" s="21" t="str">
        <f t="shared" si="54"/>
        <v>42280</v>
      </c>
      <c r="U501" s="30" t="s">
        <v>3130</v>
      </c>
      <c r="V501" s="19" t="s">
        <v>2731</v>
      </c>
      <c r="W501" s="33">
        <v>2015</v>
      </c>
      <c r="X501" t="s">
        <v>3130</v>
      </c>
      <c r="Y501" s="31">
        <v>42280</v>
      </c>
      <c r="Z501" s="31" t="str">
        <f t="shared" si="55"/>
        <v>SF-2015-LT7110117-42280</v>
      </c>
    </row>
    <row r="502" spans="1:26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 t="shared" si="49"/>
        <v>Katherine Nockton</v>
      </c>
      <c r="P502" s="8" t="str">
        <f t="shared" si="50"/>
        <v>IT</v>
      </c>
      <c r="Q502" s="8" t="str">
        <f t="shared" si="51"/>
        <v>2012</v>
      </c>
      <c r="R502" s="8" t="str">
        <f t="shared" si="52"/>
        <v>MEDIUM</v>
      </c>
      <c r="S502" s="8" t="str">
        <f t="shared" si="53"/>
        <v>furniture</v>
      </c>
      <c r="T502" s="18" t="str">
        <f t="shared" si="54"/>
        <v>41268</v>
      </c>
      <c r="U502" s="30" t="s">
        <v>3131</v>
      </c>
      <c r="V502" s="16" t="s">
        <v>2690</v>
      </c>
      <c r="W502" s="33">
        <v>2012</v>
      </c>
      <c r="X502" t="s">
        <v>3131</v>
      </c>
      <c r="Y502" s="31">
        <v>41268</v>
      </c>
      <c r="Z502" s="31" t="str">
        <f t="shared" si="55"/>
        <v>IT-2012-KN16390139-41268</v>
      </c>
    </row>
    <row r="503" spans="1:26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 t="shared" si="49"/>
        <v>Harold Dahlen</v>
      </c>
      <c r="P503" s="13" t="str">
        <f t="shared" si="50"/>
        <v>ES</v>
      </c>
      <c r="Q503" s="13" t="str">
        <f t="shared" si="51"/>
        <v>2015</v>
      </c>
      <c r="R503" s="13" t="str">
        <f t="shared" si="52"/>
        <v>LOW</v>
      </c>
      <c r="S503" s="13" t="str">
        <f t="shared" si="53"/>
        <v>furniture</v>
      </c>
      <c r="T503" s="21" t="str">
        <f t="shared" si="54"/>
        <v>42271</v>
      </c>
      <c r="U503" s="30" t="s">
        <v>3132</v>
      </c>
      <c r="V503" s="19" t="s">
        <v>2710</v>
      </c>
      <c r="W503" s="33">
        <v>2015</v>
      </c>
      <c r="X503" t="s">
        <v>3132</v>
      </c>
      <c r="Y503" s="31">
        <v>42271</v>
      </c>
      <c r="Z503" s="31" t="str">
        <f t="shared" si="55"/>
        <v>ES-2015-HD1478548-42271</v>
      </c>
    </row>
    <row r="504" spans="1:26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 t="shared" si="49"/>
        <v>Brad Eason</v>
      </c>
      <c r="P504" s="8" t="str">
        <f t="shared" si="50"/>
        <v>ID</v>
      </c>
      <c r="Q504" s="8" t="str">
        <f t="shared" si="51"/>
        <v>2015</v>
      </c>
      <c r="R504" s="8" t="str">
        <f t="shared" si="52"/>
        <v>HIGH</v>
      </c>
      <c r="S504" s="8" t="str">
        <f t="shared" si="53"/>
        <v>furniture</v>
      </c>
      <c r="T504" s="18" t="str">
        <f t="shared" si="54"/>
        <v>42242</v>
      </c>
      <c r="U504" s="30" t="s">
        <v>3133</v>
      </c>
      <c r="V504" s="16" t="s">
        <v>2705</v>
      </c>
      <c r="W504" s="33">
        <v>2015</v>
      </c>
      <c r="X504" t="s">
        <v>3133</v>
      </c>
      <c r="Y504" s="31">
        <v>42242</v>
      </c>
      <c r="Z504" s="31" t="str">
        <f t="shared" si="55"/>
        <v>ID-2015-BE114557-42242</v>
      </c>
    </row>
    <row r="505" spans="1:26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 t="shared" si="49"/>
        <v>Cyra Reiten</v>
      </c>
      <c r="P505" s="13" t="str">
        <f t="shared" si="50"/>
        <v>MX</v>
      </c>
      <c r="Q505" s="13" t="str">
        <f t="shared" si="51"/>
        <v>2013</v>
      </c>
      <c r="R505" s="13" t="str">
        <f t="shared" si="52"/>
        <v>MEDIUM</v>
      </c>
      <c r="S505" s="13" t="str">
        <f t="shared" si="53"/>
        <v>technology</v>
      </c>
      <c r="T505" s="21" t="str">
        <f t="shared" si="54"/>
        <v>41543</v>
      </c>
      <c r="U505" s="30" t="s">
        <v>3134</v>
      </c>
      <c r="V505" s="19" t="s">
        <v>2695</v>
      </c>
      <c r="W505" s="33">
        <v>2013</v>
      </c>
      <c r="X505" t="s">
        <v>3134</v>
      </c>
      <c r="Y505" s="31">
        <v>41543</v>
      </c>
      <c r="Z505" s="31" t="str">
        <f t="shared" si="55"/>
        <v>MX-2013-CR1282051-41543</v>
      </c>
    </row>
    <row r="506" spans="1:26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 t="shared" si="49"/>
        <v>Harry Marie</v>
      </c>
      <c r="P506" s="8" t="str">
        <f t="shared" si="50"/>
        <v>ES</v>
      </c>
      <c r="Q506" s="8" t="str">
        <f t="shared" si="51"/>
        <v>2015</v>
      </c>
      <c r="R506" s="8" t="str">
        <f t="shared" si="52"/>
        <v>CRITICAL</v>
      </c>
      <c r="S506" s="8" t="str">
        <f t="shared" si="53"/>
        <v>technology</v>
      </c>
      <c r="T506" s="18" t="str">
        <f t="shared" si="54"/>
        <v>42368</v>
      </c>
      <c r="U506" s="30" t="s">
        <v>3135</v>
      </c>
      <c r="V506" s="16" t="s">
        <v>2710</v>
      </c>
      <c r="W506" s="33">
        <v>2015</v>
      </c>
      <c r="X506" t="s">
        <v>3135</v>
      </c>
      <c r="Y506" s="31">
        <v>42368</v>
      </c>
      <c r="Z506" s="31" t="str">
        <f t="shared" si="55"/>
        <v>ES-2015-HM14860125-42368</v>
      </c>
    </row>
    <row r="507" spans="1:26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 t="shared" si="49"/>
        <v>Charlotte Melton</v>
      </c>
      <c r="P507" s="13" t="str">
        <f t="shared" si="50"/>
        <v>ES</v>
      </c>
      <c r="Q507" s="13" t="str">
        <f t="shared" si="51"/>
        <v>2015</v>
      </c>
      <c r="R507" s="13" t="str">
        <f t="shared" si="52"/>
        <v>MEDIUM</v>
      </c>
      <c r="S507" s="13" t="str">
        <f t="shared" si="53"/>
        <v>furniture</v>
      </c>
      <c r="T507" s="21" t="str">
        <f t="shared" si="54"/>
        <v>42094</v>
      </c>
      <c r="U507" s="30" t="s">
        <v>3136</v>
      </c>
      <c r="V507" s="19" t="s">
        <v>2710</v>
      </c>
      <c r="W507" s="33">
        <v>2015</v>
      </c>
      <c r="X507" t="s">
        <v>3136</v>
      </c>
      <c r="Y507" s="31">
        <v>42094</v>
      </c>
      <c r="Z507" s="31" t="str">
        <f t="shared" si="55"/>
        <v>ES-2015-CM1219045-42094</v>
      </c>
    </row>
    <row r="508" spans="1:26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 t="shared" si="49"/>
        <v>Sarah Brown</v>
      </c>
      <c r="P508" s="8" t="str">
        <f t="shared" si="50"/>
        <v>MX</v>
      </c>
      <c r="Q508" s="8" t="str">
        <f t="shared" si="51"/>
        <v>2015</v>
      </c>
      <c r="R508" s="8" t="str">
        <f t="shared" si="52"/>
        <v>MEDIUM</v>
      </c>
      <c r="S508" s="8" t="str">
        <f t="shared" si="53"/>
        <v>office supplies</v>
      </c>
      <c r="T508" s="18" t="str">
        <f t="shared" si="54"/>
        <v>42245</v>
      </c>
      <c r="U508" s="30" t="s">
        <v>3137</v>
      </c>
      <c r="V508" s="16" t="s">
        <v>2695</v>
      </c>
      <c r="W508" s="33">
        <v>2015</v>
      </c>
      <c r="X508" t="s">
        <v>3137</v>
      </c>
      <c r="Y508" s="31">
        <v>42245</v>
      </c>
      <c r="Z508" s="31" t="str">
        <f t="shared" si="55"/>
        <v>MX-2015-SB2018518-42245</v>
      </c>
    </row>
    <row r="509" spans="1:26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 t="shared" si="49"/>
        <v>Jennifer Ferguson</v>
      </c>
      <c r="P509" s="13" t="str">
        <f t="shared" si="50"/>
        <v>ES</v>
      </c>
      <c r="Q509" s="13" t="str">
        <f t="shared" si="51"/>
        <v>2015</v>
      </c>
      <c r="R509" s="13" t="str">
        <f t="shared" si="52"/>
        <v>MEDIUM</v>
      </c>
      <c r="S509" s="13" t="str">
        <f t="shared" si="53"/>
        <v>technology</v>
      </c>
      <c r="T509" s="21" t="str">
        <f t="shared" si="54"/>
        <v>42132</v>
      </c>
      <c r="U509" s="30" t="s">
        <v>3138</v>
      </c>
      <c r="V509" s="19" t="s">
        <v>2710</v>
      </c>
      <c r="W509" s="33">
        <v>2015</v>
      </c>
      <c r="X509" t="s">
        <v>3138</v>
      </c>
      <c r="Y509" s="31">
        <v>42132</v>
      </c>
      <c r="Z509" s="31" t="str">
        <f t="shared" si="55"/>
        <v>ES-2015-JF15415139-42132</v>
      </c>
    </row>
    <row r="510" spans="1:26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 t="shared" si="49"/>
        <v>Michelle Tran</v>
      </c>
      <c r="P510" s="8" t="str">
        <f t="shared" si="50"/>
        <v>NI</v>
      </c>
      <c r="Q510" s="8" t="str">
        <f t="shared" si="51"/>
        <v>2014</v>
      </c>
      <c r="R510" s="8" t="str">
        <f t="shared" si="52"/>
        <v>MEDIUM</v>
      </c>
      <c r="S510" s="8" t="str">
        <f t="shared" si="53"/>
        <v>furniture</v>
      </c>
      <c r="T510" s="18" t="str">
        <f t="shared" si="54"/>
        <v>41870</v>
      </c>
      <c r="U510" s="30" t="s">
        <v>3139</v>
      </c>
      <c r="V510" s="16" t="s">
        <v>3140</v>
      </c>
      <c r="W510" s="33">
        <v>2014</v>
      </c>
      <c r="X510" t="s">
        <v>3139</v>
      </c>
      <c r="Y510" s="31">
        <v>41870</v>
      </c>
      <c r="Z510" s="31" t="str">
        <f t="shared" si="55"/>
        <v>NI-2014-MT807095-41870</v>
      </c>
    </row>
    <row r="511" spans="1:26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 t="shared" si="49"/>
        <v>Erica Smith</v>
      </c>
      <c r="P511" s="13" t="str">
        <f t="shared" si="50"/>
        <v>ES</v>
      </c>
      <c r="Q511" s="13" t="str">
        <f t="shared" si="51"/>
        <v>2014</v>
      </c>
      <c r="R511" s="13" t="str">
        <f t="shared" si="52"/>
        <v>HIGH</v>
      </c>
      <c r="S511" s="13" t="str">
        <f t="shared" si="53"/>
        <v>furniture</v>
      </c>
      <c r="T511" s="21" t="str">
        <f t="shared" si="54"/>
        <v>41817</v>
      </c>
      <c r="U511" s="30" t="s">
        <v>3141</v>
      </c>
      <c r="V511" s="19" t="s">
        <v>2710</v>
      </c>
      <c r="W511" s="33">
        <v>2014</v>
      </c>
      <c r="X511" t="s">
        <v>3141</v>
      </c>
      <c r="Y511" s="31">
        <v>41817</v>
      </c>
      <c r="Z511" s="31" t="str">
        <f t="shared" si="55"/>
        <v>ES-2014-ES14020120-41817</v>
      </c>
    </row>
    <row r="512" spans="1:26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 t="shared" si="49"/>
        <v>Eugene Hildebrand</v>
      </c>
      <c r="P512" s="8" t="str">
        <f t="shared" si="50"/>
        <v>TU</v>
      </c>
      <c r="Q512" s="8" t="str">
        <f t="shared" si="51"/>
        <v>2015</v>
      </c>
      <c r="R512" s="8" t="str">
        <f t="shared" si="52"/>
        <v>HIGH</v>
      </c>
      <c r="S512" s="8" t="str">
        <f t="shared" si="53"/>
        <v>furniture</v>
      </c>
      <c r="T512" s="18" t="str">
        <f t="shared" si="54"/>
        <v>42068</v>
      </c>
      <c r="U512" s="30" t="s">
        <v>3142</v>
      </c>
      <c r="V512" s="16" t="s">
        <v>3143</v>
      </c>
      <c r="W512" s="33">
        <v>2015</v>
      </c>
      <c r="X512" t="s">
        <v>3142</v>
      </c>
      <c r="Y512" s="31">
        <v>42068</v>
      </c>
      <c r="Z512" s="31" t="str">
        <f t="shared" si="55"/>
        <v>TU-2015-EH4125134-42068</v>
      </c>
    </row>
    <row r="513" spans="1:26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 t="shared" si="49"/>
        <v>Irene Maddox</v>
      </c>
      <c r="P513" s="13" t="str">
        <f t="shared" si="50"/>
        <v>IN</v>
      </c>
      <c r="Q513" s="13" t="str">
        <f t="shared" si="51"/>
        <v>2015</v>
      </c>
      <c r="R513" s="13" t="str">
        <f t="shared" si="52"/>
        <v>MEDIUM</v>
      </c>
      <c r="S513" s="13" t="str">
        <f t="shared" si="53"/>
        <v>technology</v>
      </c>
      <c r="T513" s="21" t="str">
        <f t="shared" si="54"/>
        <v>42157</v>
      </c>
      <c r="U513" s="30" t="s">
        <v>3144</v>
      </c>
      <c r="V513" s="19" t="s">
        <v>2681</v>
      </c>
      <c r="W513" s="33">
        <v>2015</v>
      </c>
      <c r="X513" t="s">
        <v>3144</v>
      </c>
      <c r="Y513" s="31">
        <v>42157</v>
      </c>
      <c r="Z513" s="31" t="str">
        <f t="shared" si="55"/>
        <v>IN-2015-IM1507059-42157</v>
      </c>
    </row>
    <row r="514" spans="1:26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 t="shared" ref="O514:O568" si="56">PROPER(D514)</f>
        <v>Dianna Arnett</v>
      </c>
      <c r="P514" s="8" t="str">
        <f t="shared" ref="P514:P568" si="57">LEFT(A514,2)</f>
        <v>US</v>
      </c>
      <c r="Q514" s="8" t="str">
        <f t="shared" ref="Q514:Q568" si="58">MID(A514,4,4)</f>
        <v>2014</v>
      </c>
      <c r="R514" s="8" t="str">
        <f t="shared" ref="R514:R568" si="59">UPPER(M514)</f>
        <v>MEDIUM#</v>
      </c>
      <c r="S514" s="8" t="str">
        <f t="shared" ref="S514:S568" si="60">LOWER(G514)</f>
        <v>office supplies</v>
      </c>
      <c r="T514" s="18" t="str">
        <f t="shared" ref="T514:T568" si="61">RIGHT(A514,5)</f>
        <v>41795</v>
      </c>
      <c r="U514" s="30" t="s">
        <v>3145</v>
      </c>
      <c r="V514" s="16" t="s">
        <v>2685</v>
      </c>
      <c r="W514" s="33">
        <v>2014</v>
      </c>
      <c r="X514" t="s">
        <v>3145</v>
      </c>
      <c r="Y514" s="31">
        <v>41795</v>
      </c>
      <c r="Z514" s="31" t="str">
        <f t="shared" ref="Z514:Z577" si="62">TRIM(A514)</f>
        <v>US-2014-DA1345055-41795</v>
      </c>
    </row>
    <row r="515" spans="1:26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 t="shared" si="56"/>
        <v>Dave Brooks</v>
      </c>
      <c r="P515" s="13" t="str">
        <f t="shared" si="57"/>
        <v>ES</v>
      </c>
      <c r="Q515" s="13" t="str">
        <f t="shared" si="58"/>
        <v>2014</v>
      </c>
      <c r="R515" s="13" t="str">
        <f t="shared" si="59"/>
        <v>HIGH</v>
      </c>
      <c r="S515" s="13" t="str">
        <f t="shared" si="60"/>
        <v>tecnhology</v>
      </c>
      <c r="T515" s="21" t="str">
        <f t="shared" si="61"/>
        <v>41928</v>
      </c>
      <c r="U515" s="30" t="s">
        <v>3146</v>
      </c>
      <c r="V515" s="19" t="s">
        <v>2710</v>
      </c>
      <c r="W515" s="33">
        <v>2014</v>
      </c>
      <c r="X515" t="s">
        <v>3146</v>
      </c>
      <c r="Y515" s="31">
        <v>41928</v>
      </c>
      <c r="Z515" s="31" t="str">
        <f t="shared" si="62"/>
        <v>ES-2014-DB1306045-41928</v>
      </c>
    </row>
    <row r="516" spans="1:26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 t="shared" si="56"/>
        <v>Tamara Chand</v>
      </c>
      <c r="P516" s="8" t="str">
        <f t="shared" si="57"/>
        <v>ES</v>
      </c>
      <c r="Q516" s="8" t="str">
        <f t="shared" si="58"/>
        <v>2013</v>
      </c>
      <c r="R516" s="8" t="str">
        <f t="shared" si="59"/>
        <v>MEDIUM</v>
      </c>
      <c r="S516" s="8" t="str">
        <f t="shared" si="60"/>
        <v>furniture</v>
      </c>
      <c r="T516" s="18" t="str">
        <f t="shared" si="61"/>
        <v>41588</v>
      </c>
      <c r="U516" s="30" t="s">
        <v>3147</v>
      </c>
      <c r="V516" s="16" t="s">
        <v>2710</v>
      </c>
      <c r="W516" s="33">
        <v>2013</v>
      </c>
      <c r="X516" t="s">
        <v>3147</v>
      </c>
      <c r="Y516" s="31">
        <v>41588</v>
      </c>
      <c r="Z516" s="31" t="str">
        <f t="shared" si="62"/>
        <v>ES-2013-TC2098045-41588</v>
      </c>
    </row>
    <row r="517" spans="1:26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 t="shared" si="56"/>
        <v>Cari Macintyre</v>
      </c>
      <c r="P517" s="13" t="str">
        <f t="shared" si="57"/>
        <v>SF</v>
      </c>
      <c r="Q517" s="13" t="str">
        <f t="shared" si="58"/>
        <v>2013</v>
      </c>
      <c r="R517" s="13" t="str">
        <f t="shared" si="59"/>
        <v>MEDIUM</v>
      </c>
      <c r="S517" s="13" t="str">
        <f t="shared" si="60"/>
        <v>furniture</v>
      </c>
      <c r="T517" s="21" t="str">
        <f t="shared" si="61"/>
        <v>41389</v>
      </c>
      <c r="U517" s="30" t="s">
        <v>3148</v>
      </c>
      <c r="V517" s="19" t="s">
        <v>2731</v>
      </c>
      <c r="W517" s="33">
        <v>2013</v>
      </c>
      <c r="X517" t="s">
        <v>3148</v>
      </c>
      <c r="Y517" s="31">
        <v>41389</v>
      </c>
      <c r="Z517" s="31" t="str">
        <f t="shared" si="62"/>
        <v>SF-2013-CM1830117-41389</v>
      </c>
    </row>
    <row r="518" spans="1:26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 t="shared" si="56"/>
        <v>Meg O'Connel</v>
      </c>
      <c r="P518" s="8" t="str">
        <f t="shared" si="57"/>
        <v>MX</v>
      </c>
      <c r="Q518" s="8" t="str">
        <f t="shared" si="58"/>
        <v>2013</v>
      </c>
      <c r="R518" s="8" t="str">
        <f t="shared" si="59"/>
        <v>EMDIUM</v>
      </c>
      <c r="S518" s="8" t="str">
        <f t="shared" si="60"/>
        <v>technology</v>
      </c>
      <c r="T518" s="18" t="str">
        <f t="shared" si="61"/>
        <v>41382</v>
      </c>
      <c r="U518" s="30" t="s">
        <v>3149</v>
      </c>
      <c r="V518" s="16" t="s">
        <v>2695</v>
      </c>
      <c r="W518" s="33">
        <v>2013</v>
      </c>
      <c r="X518" t="s">
        <v>3149</v>
      </c>
      <c r="Y518" s="31">
        <v>41382</v>
      </c>
      <c r="Z518" s="31" t="str">
        <f t="shared" si="62"/>
        <v>MX-2013-MO1780051-41382</v>
      </c>
    </row>
    <row r="519" spans="1:26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 t="shared" si="56"/>
        <v>Henry Goldwyn</v>
      </c>
      <c r="P519" s="13" t="str">
        <f t="shared" si="57"/>
        <v xml:space="preserve"> I</v>
      </c>
      <c r="Q519" s="13" t="str">
        <f t="shared" si="58"/>
        <v>-201</v>
      </c>
      <c r="R519" s="13" t="str">
        <f t="shared" si="59"/>
        <v>HIGH</v>
      </c>
      <c r="S519" s="13" t="str">
        <f t="shared" si="60"/>
        <v>office_supplies</v>
      </c>
      <c r="T519" s="21" t="str">
        <f t="shared" si="61"/>
        <v xml:space="preserve">2230 </v>
      </c>
      <c r="U519" s="30" t="s">
        <v>3150</v>
      </c>
      <c r="V519" s="19" t="s">
        <v>2839</v>
      </c>
      <c r="W519" s="33">
        <v>2015</v>
      </c>
      <c r="X519" t="s">
        <v>3150</v>
      </c>
      <c r="Y519" s="31">
        <v>42230</v>
      </c>
      <c r="Z519" s="31" t="str">
        <f t="shared" si="62"/>
        <v>ID-2015-HG1496597-42230</v>
      </c>
    </row>
    <row r="520" spans="1:26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 t="shared" si="56"/>
        <v>Debra Catini</v>
      </c>
      <c r="P520" s="8" t="str">
        <f t="shared" si="57"/>
        <v>MX</v>
      </c>
      <c r="Q520" s="8" t="str">
        <f t="shared" si="58"/>
        <v>2014</v>
      </c>
      <c r="R520" s="8" t="str">
        <f t="shared" si="59"/>
        <v>MEDIUM</v>
      </c>
      <c r="S520" s="8" t="str">
        <f t="shared" si="60"/>
        <v>technology</v>
      </c>
      <c r="T520" s="18" t="str">
        <f t="shared" si="61"/>
        <v>41885</v>
      </c>
      <c r="U520" s="30" t="s">
        <v>3151</v>
      </c>
      <c r="V520" s="16" t="s">
        <v>2695</v>
      </c>
      <c r="W520" s="33">
        <v>2014</v>
      </c>
      <c r="X520" t="s">
        <v>3151</v>
      </c>
      <c r="Y520" s="31">
        <v>41885</v>
      </c>
      <c r="Z520" s="31" t="str">
        <f t="shared" si="62"/>
        <v>MX-2014-DC1328551-41885</v>
      </c>
    </row>
    <row r="521" spans="1:26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 t="shared" si="56"/>
        <v>Tiffany House</v>
      </c>
      <c r="P521" s="13" t="str">
        <f t="shared" si="57"/>
        <v>ES</v>
      </c>
      <c r="Q521" s="13" t="str">
        <f t="shared" si="58"/>
        <v>2014</v>
      </c>
      <c r="R521" s="13" t="str">
        <f t="shared" si="59"/>
        <v>MEDIUM</v>
      </c>
      <c r="S521" s="13" t="str">
        <f t="shared" si="60"/>
        <v>technology</v>
      </c>
      <c r="T521" s="21" t="str">
        <f t="shared" si="61"/>
        <v>41814</v>
      </c>
      <c r="U521" s="30" t="s">
        <v>3152</v>
      </c>
      <c r="V521" s="19" t="s">
        <v>2710</v>
      </c>
      <c r="W521" s="33">
        <v>2014</v>
      </c>
      <c r="X521" t="s">
        <v>3152</v>
      </c>
      <c r="Y521" s="31">
        <v>41814</v>
      </c>
      <c r="Z521" s="31" t="str">
        <f t="shared" si="62"/>
        <v>ES-2014-TH21235125-41814</v>
      </c>
    </row>
    <row r="522" spans="1:26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 t="shared" si="56"/>
        <v>Jay Kimmel</v>
      </c>
      <c r="P522" s="8" t="str">
        <f t="shared" si="57"/>
        <v>MX</v>
      </c>
      <c r="Q522" s="8" t="str">
        <f t="shared" si="58"/>
        <v>2015</v>
      </c>
      <c r="R522" s="8" t="str">
        <f t="shared" si="59"/>
        <v>CRITICAL</v>
      </c>
      <c r="S522" s="8" t="str">
        <f t="shared" si="60"/>
        <v>technology</v>
      </c>
      <c r="T522" s="18" t="str">
        <f t="shared" si="61"/>
        <v>42132</v>
      </c>
      <c r="U522" s="30" t="s">
        <v>3153</v>
      </c>
      <c r="V522" s="16" t="s">
        <v>2695</v>
      </c>
      <c r="W522" s="33">
        <v>2015</v>
      </c>
      <c r="X522" t="s">
        <v>3153</v>
      </c>
      <c r="Y522" s="31">
        <v>42132</v>
      </c>
      <c r="Z522" s="31" t="str">
        <f t="shared" si="62"/>
        <v>MX-2015-JK15370100-42132</v>
      </c>
    </row>
    <row r="523" spans="1:26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 t="shared" si="56"/>
        <v>Alan Barnes</v>
      </c>
      <c r="P523" s="13" t="str">
        <f t="shared" si="57"/>
        <v>CA</v>
      </c>
      <c r="Q523" s="13" t="str">
        <f t="shared" si="58"/>
        <v>2015</v>
      </c>
      <c r="R523" s="13" t="str">
        <f t="shared" si="59"/>
        <v>MEDIUM</v>
      </c>
      <c r="S523" s="13" t="str">
        <f t="shared" si="60"/>
        <v>office supplies</v>
      </c>
      <c r="T523" s="21" t="str">
        <f t="shared" si="61"/>
        <v>42344</v>
      </c>
      <c r="U523" s="30" t="s">
        <v>2865</v>
      </c>
      <c r="V523" s="19" t="s">
        <v>2683</v>
      </c>
      <c r="W523" s="33">
        <v>2015</v>
      </c>
      <c r="X523" t="s">
        <v>2865</v>
      </c>
      <c r="Y523" s="31">
        <v>42344</v>
      </c>
      <c r="Z523" s="31" t="str">
        <f t="shared" si="62"/>
        <v>CA-2015-AB10165140-42344</v>
      </c>
    </row>
    <row r="524" spans="1:26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 t="shared" si="56"/>
        <v>Cathy Hwang</v>
      </c>
      <c r="P524" s="8" t="str">
        <f t="shared" si="57"/>
        <v>IR</v>
      </c>
      <c r="Q524" s="8" t="str">
        <f t="shared" si="58"/>
        <v>2015</v>
      </c>
      <c r="R524" s="8" t="str">
        <f t="shared" si="59"/>
        <v>HIGH</v>
      </c>
      <c r="S524" s="8" t="str">
        <f t="shared" si="60"/>
        <v>furniture</v>
      </c>
      <c r="T524" s="18" t="str">
        <f t="shared" si="61"/>
        <v>42048</v>
      </c>
      <c r="U524" s="30" t="s">
        <v>3154</v>
      </c>
      <c r="V524" s="16" t="s">
        <v>2781</v>
      </c>
      <c r="W524" s="33">
        <v>2015</v>
      </c>
      <c r="X524" t="s">
        <v>3154</v>
      </c>
      <c r="Y524" s="31">
        <v>42048</v>
      </c>
      <c r="Z524" s="31" t="str">
        <f t="shared" si="62"/>
        <v>IR-2015-CH207060-42048</v>
      </c>
    </row>
    <row r="525" spans="1:26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 t="shared" si="56"/>
        <v>Denny Ordway</v>
      </c>
      <c r="P525" s="13" t="str">
        <f t="shared" si="57"/>
        <v>IN</v>
      </c>
      <c r="Q525" s="13" t="str">
        <f t="shared" si="58"/>
        <v>2015</v>
      </c>
      <c r="R525" s="13" t="str">
        <f t="shared" si="59"/>
        <v>MEDIUM</v>
      </c>
      <c r="S525" s="13" t="str">
        <f t="shared" si="60"/>
        <v>furniture</v>
      </c>
      <c r="T525" s="21" t="str">
        <f t="shared" si="61"/>
        <v>42141</v>
      </c>
      <c r="U525" s="30" t="s">
        <v>3155</v>
      </c>
      <c r="V525" s="19" t="s">
        <v>2681</v>
      </c>
      <c r="W525" s="33">
        <v>2015</v>
      </c>
      <c r="X525" t="s">
        <v>3155</v>
      </c>
      <c r="Y525" s="31">
        <v>42141</v>
      </c>
      <c r="Z525" s="31" t="str">
        <f t="shared" si="62"/>
        <v>IN-2015-DO1343558-42141</v>
      </c>
    </row>
    <row r="526" spans="1:26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 t="shared" si="56"/>
        <v>Susan Gilcrest</v>
      </c>
      <c r="P526" s="8" t="str">
        <f t="shared" si="57"/>
        <v>MX</v>
      </c>
      <c r="Q526" s="8" t="str">
        <f t="shared" si="58"/>
        <v>2014</v>
      </c>
      <c r="R526" s="8" t="str">
        <f t="shared" si="59"/>
        <v>HIGH</v>
      </c>
      <c r="S526" s="8" t="str">
        <f t="shared" si="60"/>
        <v>technology</v>
      </c>
      <c r="T526" s="18" t="str">
        <f t="shared" si="61"/>
        <v>41752</v>
      </c>
      <c r="U526" s="30" t="s">
        <v>3156</v>
      </c>
      <c r="V526" s="16" t="s">
        <v>2695</v>
      </c>
      <c r="W526" s="33">
        <v>2014</v>
      </c>
      <c r="X526" t="s">
        <v>3156</v>
      </c>
      <c r="Y526" s="31">
        <v>41752</v>
      </c>
      <c r="Z526" s="31" t="str">
        <f t="shared" si="62"/>
        <v>MX-2014-SG2089051-41752</v>
      </c>
    </row>
    <row r="527" spans="1:26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 t="shared" si="56"/>
        <v>Vivek Grady</v>
      </c>
      <c r="P527" s="13" t="str">
        <f t="shared" si="57"/>
        <v>IN</v>
      </c>
      <c r="Q527" s="13" t="str">
        <f t="shared" si="58"/>
        <v>2015</v>
      </c>
      <c r="R527" s="13" t="str">
        <f t="shared" si="59"/>
        <v>MEDIUM</v>
      </c>
      <c r="S527" s="13" t="str">
        <f t="shared" si="60"/>
        <v>furniture</v>
      </c>
      <c r="T527" s="21" t="str">
        <f t="shared" si="61"/>
        <v>42273</v>
      </c>
      <c r="U527" s="30" t="s">
        <v>2962</v>
      </c>
      <c r="V527" s="19" t="s">
        <v>2681</v>
      </c>
      <c r="W527" s="33">
        <v>2015</v>
      </c>
      <c r="X527" t="s">
        <v>2962</v>
      </c>
      <c r="Y527" s="31">
        <v>42273</v>
      </c>
      <c r="Z527" s="31" t="str">
        <f t="shared" si="62"/>
        <v>IN-2015-VG2180558-42273</v>
      </c>
    </row>
    <row r="528" spans="1:26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 t="shared" si="56"/>
        <v>Theresa Coyne</v>
      </c>
      <c r="P528" s="8" t="str">
        <f t="shared" si="57"/>
        <v>RS</v>
      </c>
      <c r="Q528" s="8" t="str">
        <f t="shared" si="58"/>
        <v>2015</v>
      </c>
      <c r="R528" s="8" t="str">
        <f t="shared" si="59"/>
        <v>HIGH</v>
      </c>
      <c r="S528" s="8" t="str">
        <f t="shared" si="60"/>
        <v>technology</v>
      </c>
      <c r="T528" s="18" t="str">
        <f t="shared" si="61"/>
        <v>42178</v>
      </c>
      <c r="U528" s="30" t="s">
        <v>3157</v>
      </c>
      <c r="V528" s="16" t="s">
        <v>2824</v>
      </c>
      <c r="W528" s="33">
        <v>2015</v>
      </c>
      <c r="X528" t="s">
        <v>3157</v>
      </c>
      <c r="Y528" s="31">
        <v>42178</v>
      </c>
      <c r="Z528" s="31" t="str">
        <f t="shared" si="62"/>
        <v>RS-2015-TC11145108-42178</v>
      </c>
    </row>
    <row r="529" spans="1:26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 t="shared" si="56"/>
        <v>Denise Monton</v>
      </c>
      <c r="P529" s="13" t="str">
        <f t="shared" si="57"/>
        <v>IN</v>
      </c>
      <c r="Q529" s="13" t="str">
        <f t="shared" si="58"/>
        <v>2015</v>
      </c>
      <c r="R529" s="13" t="str">
        <f t="shared" si="59"/>
        <v>MEDIUM</v>
      </c>
      <c r="S529" s="13" t="str">
        <f t="shared" si="60"/>
        <v>technology</v>
      </c>
      <c r="T529" s="21" t="str">
        <f t="shared" si="61"/>
        <v>42182</v>
      </c>
      <c r="U529" s="30" t="s">
        <v>3158</v>
      </c>
      <c r="V529" s="19" t="s">
        <v>2681</v>
      </c>
      <c r="W529" s="33">
        <v>2015</v>
      </c>
      <c r="X529" t="s">
        <v>3158</v>
      </c>
      <c r="Y529" s="31">
        <v>42182</v>
      </c>
      <c r="Z529" s="31" t="str">
        <f t="shared" si="62"/>
        <v>IN-2015-DM1334558-42182</v>
      </c>
    </row>
    <row r="530" spans="1:26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 t="shared" si="56"/>
        <v xml:space="preserve"> Barry Gonzalez </v>
      </c>
      <c r="P530" s="8" t="str">
        <f t="shared" si="57"/>
        <v>ES</v>
      </c>
      <c r="Q530" s="8" t="str">
        <f t="shared" si="58"/>
        <v>2015</v>
      </c>
      <c r="R530" s="8" t="str">
        <f t="shared" si="59"/>
        <v>MEDIUM</v>
      </c>
      <c r="S530" s="8" t="str">
        <f t="shared" si="60"/>
        <v>furniture</v>
      </c>
      <c r="T530" s="18" t="str">
        <f t="shared" si="61"/>
        <v>42251</v>
      </c>
      <c r="U530" s="30" t="s">
        <v>3159</v>
      </c>
      <c r="V530" s="16" t="s">
        <v>2710</v>
      </c>
      <c r="W530" s="33">
        <v>2015</v>
      </c>
      <c r="X530" t="s">
        <v>3159</v>
      </c>
      <c r="Y530" s="31">
        <v>42251</v>
      </c>
      <c r="Z530" s="31" t="str">
        <f t="shared" si="62"/>
        <v>ES-2015-BG1103564-42251</v>
      </c>
    </row>
    <row r="531" spans="1:26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 t="shared" si="56"/>
        <v>Alan Dominguez</v>
      </c>
      <c r="P531" s="13" t="str">
        <f t="shared" si="57"/>
        <v>CA</v>
      </c>
      <c r="Q531" s="13" t="str">
        <f t="shared" si="58"/>
        <v>2013</v>
      </c>
      <c r="R531" s="13" t="str">
        <f t="shared" si="59"/>
        <v>HIGH</v>
      </c>
      <c r="S531" s="13" t="str">
        <f t="shared" si="60"/>
        <v>furniture</v>
      </c>
      <c r="T531" s="21" t="str">
        <f t="shared" si="61"/>
        <v>41439</v>
      </c>
      <c r="U531" s="30" t="s">
        <v>2894</v>
      </c>
      <c r="V531" s="19" t="s">
        <v>2683</v>
      </c>
      <c r="W531" s="33">
        <v>2013</v>
      </c>
      <c r="X531" t="s">
        <v>2894</v>
      </c>
      <c r="Y531" s="31">
        <v>41439</v>
      </c>
      <c r="Z531" s="31" t="str">
        <f t="shared" si="62"/>
        <v>CA-2013-AD10180140-41439</v>
      </c>
    </row>
    <row r="532" spans="1:26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 t="shared" si="56"/>
        <v>Michael Granlund</v>
      </c>
      <c r="P532" s="8" t="str">
        <f t="shared" si="57"/>
        <v>IN</v>
      </c>
      <c r="Q532" s="8" t="str">
        <f t="shared" si="58"/>
        <v>2015</v>
      </c>
      <c r="R532" s="8" t="str">
        <f t="shared" si="59"/>
        <v>HIGH</v>
      </c>
      <c r="S532" s="8" t="str">
        <f t="shared" si="60"/>
        <v>office supplies</v>
      </c>
      <c r="T532" s="18" t="str">
        <f t="shared" si="61"/>
        <v>42022</v>
      </c>
      <c r="U532" s="30" t="s">
        <v>3160</v>
      </c>
      <c r="V532" s="16" t="s">
        <v>2681</v>
      </c>
      <c r="W532" s="33">
        <v>2015</v>
      </c>
      <c r="X532" t="s">
        <v>3160</v>
      </c>
      <c r="Y532" s="31">
        <v>42022</v>
      </c>
      <c r="Z532" s="31" t="str">
        <f t="shared" si="62"/>
        <v>IN-2015-MG1789097-42022</v>
      </c>
    </row>
    <row r="533" spans="1:26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 t="shared" si="56"/>
        <v>Magdelene Morse</v>
      </c>
      <c r="P533" s="13" t="str">
        <f t="shared" si="57"/>
        <v>ID</v>
      </c>
      <c r="Q533" s="13" t="str">
        <f t="shared" si="58"/>
        <v>2015</v>
      </c>
      <c r="R533" s="13" t="str">
        <f t="shared" si="59"/>
        <v>MEDIUM</v>
      </c>
      <c r="S533" s="13" t="str">
        <f t="shared" si="60"/>
        <v>furniture</v>
      </c>
      <c r="T533" s="21" t="str">
        <f t="shared" si="61"/>
        <v>42181</v>
      </c>
      <c r="U533" s="30" t="s">
        <v>3161</v>
      </c>
      <c r="V533" s="19" t="s">
        <v>2705</v>
      </c>
      <c r="W533" s="33">
        <v>2015</v>
      </c>
      <c r="X533" t="s">
        <v>3161</v>
      </c>
      <c r="Y533" s="31">
        <v>42181</v>
      </c>
      <c r="Z533" s="31" t="str">
        <f t="shared" si="62"/>
        <v>ID-2015-MM1726078-42181</v>
      </c>
    </row>
    <row r="534" spans="1:26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 t="shared" si="56"/>
        <v>Christopher Conant</v>
      </c>
      <c r="P534" s="8" t="str">
        <f t="shared" si="57"/>
        <v>IN</v>
      </c>
      <c r="Q534" s="8" t="str">
        <f t="shared" si="58"/>
        <v>2013</v>
      </c>
      <c r="R534" s="8" t="str">
        <f t="shared" si="59"/>
        <v>MEDIUM</v>
      </c>
      <c r="S534" s="8" t="str">
        <f t="shared" si="60"/>
        <v>technology</v>
      </c>
      <c r="T534" s="18" t="str">
        <f t="shared" si="61"/>
        <v>41462</v>
      </c>
      <c r="U534" s="30" t="s">
        <v>3162</v>
      </c>
      <c r="V534" s="16" t="s">
        <v>2681</v>
      </c>
      <c r="W534" s="33">
        <v>2013</v>
      </c>
      <c r="X534" t="s">
        <v>3162</v>
      </c>
      <c r="Y534" s="31">
        <v>41462</v>
      </c>
      <c r="Z534" s="31" t="str">
        <f t="shared" si="62"/>
        <v>IN-2013-CC1237011-41462</v>
      </c>
    </row>
    <row r="535" spans="1:26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 t="shared" si="56"/>
        <v>Cassandra Brandow</v>
      </c>
      <c r="P535" s="13" t="str">
        <f t="shared" si="57"/>
        <v>ID</v>
      </c>
      <c r="Q535" s="13" t="str">
        <f t="shared" si="58"/>
        <v>2013</v>
      </c>
      <c r="R535" s="13" t="str">
        <f t="shared" si="59"/>
        <v>HIGH</v>
      </c>
      <c r="S535" s="13" t="str">
        <f t="shared" si="60"/>
        <v>office supplies</v>
      </c>
      <c r="T535" s="21" t="str">
        <f t="shared" si="61"/>
        <v>41615</v>
      </c>
      <c r="U535" s="30" t="s">
        <v>3163</v>
      </c>
      <c r="V535" s="19" t="s">
        <v>2705</v>
      </c>
      <c r="W535" s="33">
        <v>2013</v>
      </c>
      <c r="X535" t="s">
        <v>3163</v>
      </c>
      <c r="Y535" s="31">
        <v>41615</v>
      </c>
      <c r="Z535" s="31" t="str">
        <f t="shared" si="62"/>
        <v>ID-2013-CB1202559-41615</v>
      </c>
    </row>
    <row r="536" spans="1:26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 t="shared" si="56"/>
        <v>Shirley Jackson</v>
      </c>
      <c r="P536" s="8" t="str">
        <f t="shared" si="57"/>
        <v>MX</v>
      </c>
      <c r="Q536" s="8" t="str">
        <f t="shared" si="58"/>
        <v>2014</v>
      </c>
      <c r="R536" s="8" t="str">
        <f t="shared" si="59"/>
        <v>LOW</v>
      </c>
      <c r="S536" s="8" t="str">
        <f t="shared" si="60"/>
        <v>furniture</v>
      </c>
      <c r="T536" s="18" t="str">
        <f t="shared" si="61"/>
        <v>41962</v>
      </c>
      <c r="U536" s="30" t="s">
        <v>3164</v>
      </c>
      <c r="V536" s="16" t="s">
        <v>2695</v>
      </c>
      <c r="W536" s="33">
        <v>2014</v>
      </c>
      <c r="X536" t="s">
        <v>3164</v>
      </c>
      <c r="Y536" s="31">
        <v>41962</v>
      </c>
      <c r="Z536" s="31" t="str">
        <f t="shared" si="62"/>
        <v>MX-2014-SJ2050051-41962</v>
      </c>
    </row>
    <row r="537" spans="1:26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 t="shared" si="56"/>
        <v>Michael Chen</v>
      </c>
      <c r="P537" s="13" t="str">
        <f t="shared" si="57"/>
        <v>IT</v>
      </c>
      <c r="Q537" s="13" t="str">
        <f t="shared" si="58"/>
        <v>2015</v>
      </c>
      <c r="R537" s="13" t="str">
        <f t="shared" si="59"/>
        <v>HIGH</v>
      </c>
      <c r="S537" s="13" t="str">
        <f t="shared" si="60"/>
        <v>office suppiles</v>
      </c>
      <c r="T537" s="21" t="str">
        <f t="shared" si="61"/>
        <v>42249</v>
      </c>
      <c r="U537" s="30" t="s">
        <v>3165</v>
      </c>
      <c r="V537" s="19" t="s">
        <v>2690</v>
      </c>
      <c r="W537" s="33">
        <v>2015</v>
      </c>
      <c r="X537" t="s">
        <v>3165</v>
      </c>
      <c r="Y537" s="31">
        <v>42249</v>
      </c>
      <c r="Z537" s="31" t="str">
        <f t="shared" si="62"/>
        <v>IT-2015-MC1784545-42249</v>
      </c>
    </row>
    <row r="538" spans="1:26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 t="shared" si="56"/>
        <v>Vivek Gonzalez</v>
      </c>
      <c r="P538" s="8" t="str">
        <f t="shared" si="57"/>
        <v>US</v>
      </c>
      <c r="Q538" s="8" t="str">
        <f t="shared" si="58"/>
        <v>2014</v>
      </c>
      <c r="R538" s="8" t="str">
        <f t="shared" si="59"/>
        <v>HIGH</v>
      </c>
      <c r="S538" s="8" t="str">
        <f t="shared" si="60"/>
        <v>furniture</v>
      </c>
      <c r="T538" s="18" t="str">
        <f t="shared" si="61"/>
        <v>1800#</v>
      </c>
      <c r="U538" s="30" t="s">
        <v>3166</v>
      </c>
      <c r="V538" s="16" t="s">
        <v>2685</v>
      </c>
      <c r="W538" s="33">
        <v>2014</v>
      </c>
      <c r="X538" t="s">
        <v>3166</v>
      </c>
      <c r="Y538" s="31" t="s">
        <v>3167</v>
      </c>
      <c r="Z538" s="31" t="str">
        <f t="shared" si="62"/>
        <v>US-2014-VG217905-41800#</v>
      </c>
    </row>
    <row r="539" spans="1:26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 t="shared" si="56"/>
        <v>Shahid Shariari</v>
      </c>
      <c r="P539" s="13" t="str">
        <f t="shared" si="57"/>
        <v>ES</v>
      </c>
      <c r="Q539" s="13" t="str">
        <f t="shared" si="58"/>
        <v>2014</v>
      </c>
      <c r="R539" s="13" t="str">
        <f t="shared" si="59"/>
        <v>MEDIUM</v>
      </c>
      <c r="S539" s="13" t="str">
        <f t="shared" si="60"/>
        <v>technology</v>
      </c>
      <c r="T539" s="21" t="str">
        <f t="shared" si="61"/>
        <v>41999</v>
      </c>
      <c r="U539" s="30" t="s">
        <v>3168</v>
      </c>
      <c r="V539" s="19" t="s">
        <v>2710</v>
      </c>
      <c r="W539" s="33">
        <v>2014</v>
      </c>
      <c r="X539" t="s">
        <v>3168</v>
      </c>
      <c r="Y539" s="31">
        <v>41999</v>
      </c>
      <c r="Z539" s="31" t="str">
        <f t="shared" si="62"/>
        <v>ES-2014-SS2041045-41999</v>
      </c>
    </row>
    <row r="540" spans="1:26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 t="shared" si="56"/>
        <v>Alan Haines</v>
      </c>
      <c r="P540" s="8" t="str">
        <f t="shared" si="57"/>
        <v>CA</v>
      </c>
      <c r="Q540" s="8" t="str">
        <f t="shared" si="58"/>
        <v>2014</v>
      </c>
      <c r="R540" s="8" t="str">
        <f t="shared" si="59"/>
        <v>MEDIUM</v>
      </c>
      <c r="S540" s="8" t="str">
        <f t="shared" si="60"/>
        <v>office supplies</v>
      </c>
      <c r="T540" s="18" t="str">
        <f t="shared" si="61"/>
        <v>1992#</v>
      </c>
      <c r="U540" s="30" t="s">
        <v>2910</v>
      </c>
      <c r="V540" s="16" t="s">
        <v>2683</v>
      </c>
      <c r="W540" s="33">
        <v>2014</v>
      </c>
      <c r="X540" t="s">
        <v>2910</v>
      </c>
      <c r="Y540" s="31" t="s">
        <v>3169</v>
      </c>
      <c r="Z540" s="31" t="str">
        <f t="shared" si="62"/>
        <v>CA-2014-AH10195140-41992#</v>
      </c>
    </row>
    <row r="541" spans="1:26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 t="shared" si="56"/>
        <v>Peter Fuller</v>
      </c>
      <c r="P541" s="13" t="str">
        <f t="shared" si="57"/>
        <v>IN</v>
      </c>
      <c r="Q541" s="13" t="str">
        <f t="shared" si="58"/>
        <v>2014</v>
      </c>
      <c r="R541" s="13" t="str">
        <f t="shared" si="59"/>
        <v>MEDIUM</v>
      </c>
      <c r="S541" s="13" t="str">
        <f t="shared" si="60"/>
        <v>furniture</v>
      </c>
      <c r="T541" s="21" t="str">
        <f t="shared" si="61"/>
        <v>41916</v>
      </c>
      <c r="U541" s="30" t="s">
        <v>2953</v>
      </c>
      <c r="V541" s="19" t="s">
        <v>2681</v>
      </c>
      <c r="W541" s="33">
        <v>2014</v>
      </c>
      <c r="X541" t="s">
        <v>2953</v>
      </c>
      <c r="Y541" s="31">
        <v>41916</v>
      </c>
      <c r="Z541" s="31" t="str">
        <f t="shared" si="62"/>
        <v>IN-2014-PF1912027-41916</v>
      </c>
    </row>
    <row r="542" spans="1:26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 t="shared" si="56"/>
        <v>Alan Haines</v>
      </c>
      <c r="P542" s="8" t="str">
        <f t="shared" si="57"/>
        <v>CA</v>
      </c>
      <c r="Q542" s="8" t="str">
        <f t="shared" si="58"/>
        <v>2012</v>
      </c>
      <c r="R542" s="8" t="str">
        <f t="shared" si="59"/>
        <v>MEDIUM</v>
      </c>
      <c r="S542" s="8" t="str">
        <f t="shared" si="60"/>
        <v>office supplies</v>
      </c>
      <c r="T542" s="18" t="str">
        <f t="shared" si="61"/>
        <v>41129</v>
      </c>
      <c r="U542" s="30" t="s">
        <v>3170</v>
      </c>
      <c r="V542" s="16" t="s">
        <v>2683</v>
      </c>
      <c r="W542" s="33">
        <v>2012</v>
      </c>
      <c r="X542" t="s">
        <v>3170</v>
      </c>
      <c r="Y542" s="31">
        <v>41129</v>
      </c>
      <c r="Z542" s="31" t="str">
        <f t="shared" si="62"/>
        <v>CA-2012-AH19523-41129</v>
      </c>
    </row>
    <row r="543" spans="1:26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 t="shared" si="56"/>
        <v>Andy Gerbode</v>
      </c>
      <c r="P543" s="13" t="str">
        <f t="shared" si="57"/>
        <v>US</v>
      </c>
      <c r="Q543" s="13" t="str">
        <f t="shared" si="58"/>
        <v>2015</v>
      </c>
      <c r="R543" s="13" t="str">
        <f t="shared" si="59"/>
        <v>HIGH</v>
      </c>
      <c r="S543" s="13" t="str">
        <f t="shared" si="60"/>
        <v>furniture</v>
      </c>
      <c r="T543" s="21" t="str">
        <f t="shared" si="61"/>
        <v>42355</v>
      </c>
      <c r="U543" s="30" t="s">
        <v>3171</v>
      </c>
      <c r="V543" s="19" t="s">
        <v>2685</v>
      </c>
      <c r="W543" s="33">
        <v>2015</v>
      </c>
      <c r="X543" t="s">
        <v>3171</v>
      </c>
      <c r="Y543" s="31">
        <v>42355</v>
      </c>
      <c r="Z543" s="31" t="str">
        <f t="shared" si="62"/>
        <v>US-2015-AG1052582-42355</v>
      </c>
    </row>
    <row r="544" spans="1:26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 t="shared" si="56"/>
        <v>Aaron Bergman</v>
      </c>
      <c r="P544" s="8" t="str">
        <f t="shared" si="57"/>
        <v>ES</v>
      </c>
      <c r="Q544" s="8" t="str">
        <f t="shared" si="58"/>
        <v>2014</v>
      </c>
      <c r="R544" s="8" t="str">
        <f t="shared" si="59"/>
        <v>CRITICAL</v>
      </c>
      <c r="S544" s="8" t="str">
        <f t="shared" si="60"/>
        <v>technology</v>
      </c>
      <c r="T544" s="18" t="str">
        <f t="shared" si="61"/>
        <v>41930</v>
      </c>
      <c r="U544" s="30" t="s">
        <v>3172</v>
      </c>
      <c r="V544" s="16" t="s">
        <v>2710</v>
      </c>
      <c r="W544" s="33">
        <v>2014</v>
      </c>
      <c r="X544" t="s">
        <v>3172</v>
      </c>
      <c r="Y544" s="31">
        <v>41930</v>
      </c>
      <c r="Z544" s="31" t="str">
        <f t="shared" si="62"/>
        <v>ES-2014-AB1001545-41930</v>
      </c>
    </row>
    <row r="545" spans="1:26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 t="shared" si="56"/>
        <v>Denny Ordway</v>
      </c>
      <c r="P545" s="13" t="str">
        <f t="shared" si="57"/>
        <v>BN</v>
      </c>
      <c r="Q545" s="13" t="str">
        <f t="shared" si="58"/>
        <v>2012</v>
      </c>
      <c r="R545" s="13" t="str">
        <f t="shared" si="59"/>
        <v>HIGH</v>
      </c>
      <c r="S545" s="13" t="str">
        <f t="shared" si="60"/>
        <v>technology</v>
      </c>
      <c r="T545" s="21" t="str">
        <f t="shared" si="61"/>
        <v>41172</v>
      </c>
      <c r="U545" s="30" t="s">
        <v>3173</v>
      </c>
      <c r="V545" s="19" t="s">
        <v>3174</v>
      </c>
      <c r="W545" s="33">
        <v>2012</v>
      </c>
      <c r="X545" t="s">
        <v>3173</v>
      </c>
      <c r="Y545" s="31">
        <v>41172</v>
      </c>
      <c r="Z545" s="31" t="str">
        <f t="shared" si="62"/>
        <v>BN-2012-DO343515-41172</v>
      </c>
    </row>
    <row r="546" spans="1:26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 t="shared" si="56"/>
        <v>Neola Schneider</v>
      </c>
      <c r="P546" s="8" t="str">
        <f t="shared" si="57"/>
        <v>MX</v>
      </c>
      <c r="Q546" s="8" t="str">
        <f t="shared" si="58"/>
        <v>2012</v>
      </c>
      <c r="R546" s="8" t="str">
        <f t="shared" si="59"/>
        <v>MEDIUM</v>
      </c>
      <c r="S546" s="8" t="str">
        <f t="shared" si="60"/>
        <v>technology</v>
      </c>
      <c r="T546" s="18" t="str">
        <f t="shared" si="61"/>
        <v>41223</v>
      </c>
      <c r="U546" s="30" t="s">
        <v>3175</v>
      </c>
      <c r="V546" s="16" t="s">
        <v>2695</v>
      </c>
      <c r="W546" s="33">
        <v>2012</v>
      </c>
      <c r="X546" t="s">
        <v>3175</v>
      </c>
      <c r="Y546" s="31">
        <v>41223</v>
      </c>
      <c r="Z546" s="31" t="str">
        <f t="shared" si="62"/>
        <v>MX-2012-NS1850582-41223</v>
      </c>
    </row>
    <row r="547" spans="1:26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 t="shared" si="56"/>
        <v>Tom Stivers</v>
      </c>
      <c r="P547" s="13" t="str">
        <f t="shared" si="57"/>
        <v>IT</v>
      </c>
      <c r="Q547" s="13" t="str">
        <f t="shared" si="58"/>
        <v>2013</v>
      </c>
      <c r="R547" s="13" t="str">
        <f t="shared" si="59"/>
        <v>HIGH</v>
      </c>
      <c r="S547" s="13" t="str">
        <f t="shared" si="60"/>
        <v>technology</v>
      </c>
      <c r="T547" s="21" t="str">
        <f t="shared" si="61"/>
        <v>41346</v>
      </c>
      <c r="U547" s="30" t="s">
        <v>3176</v>
      </c>
      <c r="V547" s="19" t="s">
        <v>2690</v>
      </c>
      <c r="W547" s="33">
        <v>2013</v>
      </c>
      <c r="X547" t="s">
        <v>3176</v>
      </c>
      <c r="Y547" s="31">
        <v>41346</v>
      </c>
      <c r="Z547" s="31" t="str">
        <f t="shared" si="62"/>
        <v>IT-2013-TS2143045-41346</v>
      </c>
    </row>
    <row r="548" spans="1:26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 t="shared" si="56"/>
        <v>Alan Hwang</v>
      </c>
      <c r="P548" s="8" t="str">
        <f t="shared" si="57"/>
        <v>CA</v>
      </c>
      <c r="Q548" s="8" t="str">
        <f t="shared" si="58"/>
        <v>2015</v>
      </c>
      <c r="R548" s="8" t="str">
        <f t="shared" si="59"/>
        <v>LOW</v>
      </c>
      <c r="S548" s="8" t="str">
        <f t="shared" si="60"/>
        <v>office supplies</v>
      </c>
      <c r="T548" s="18" t="str">
        <f t="shared" si="61"/>
        <v>42363</v>
      </c>
      <c r="U548" s="30" t="s">
        <v>2917</v>
      </c>
      <c r="V548" s="16" t="s">
        <v>2683</v>
      </c>
      <c r="W548" s="33">
        <v>2015</v>
      </c>
      <c r="X548" t="s">
        <v>2917</v>
      </c>
      <c r="Y548" s="31">
        <v>42363</v>
      </c>
      <c r="Z548" s="31" t="str">
        <f t="shared" si="62"/>
        <v>CA-2015-AH10210140-42363</v>
      </c>
    </row>
    <row r="549" spans="1:26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 t="shared" si="56"/>
        <v>Annie Zypern</v>
      </c>
      <c r="P549" s="13" t="str">
        <f t="shared" si="57"/>
        <v>MX</v>
      </c>
      <c r="Q549" s="13" t="str">
        <f t="shared" si="58"/>
        <v>2012</v>
      </c>
      <c r="R549" s="13" t="str">
        <f t="shared" si="59"/>
        <v>MEDIUM</v>
      </c>
      <c r="S549" s="13" t="str">
        <f t="shared" si="60"/>
        <v>furniture</v>
      </c>
      <c r="T549" s="21" t="str">
        <f t="shared" si="61"/>
        <v>41271</v>
      </c>
      <c r="U549" s="30" t="s">
        <v>3177</v>
      </c>
      <c r="V549" s="19" t="s">
        <v>2695</v>
      </c>
      <c r="W549" s="33">
        <v>2012</v>
      </c>
      <c r="X549" t="s">
        <v>3177</v>
      </c>
      <c r="Y549" s="31">
        <v>41271</v>
      </c>
      <c r="Z549" s="31" t="str">
        <f t="shared" si="62"/>
        <v>MX-2012-AZ1075093-41271</v>
      </c>
    </row>
    <row r="550" spans="1:26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 t="shared" si="56"/>
        <v>Alan Hwang</v>
      </c>
      <c r="P550" s="8" t="str">
        <f t="shared" si="57"/>
        <v>US</v>
      </c>
      <c r="Q550" s="8" t="str">
        <f t="shared" si="58"/>
        <v>2015</v>
      </c>
      <c r="R550" s="8" t="str">
        <f t="shared" si="59"/>
        <v>HIGH</v>
      </c>
      <c r="S550" s="8" t="str">
        <f t="shared" si="60"/>
        <v>office supplies</v>
      </c>
      <c r="T550" s="18" t="str">
        <f t="shared" si="61"/>
        <v>42291</v>
      </c>
      <c r="U550" s="30" t="s">
        <v>2917</v>
      </c>
      <c r="V550" s="16" t="s">
        <v>2685</v>
      </c>
      <c r="W550" s="33">
        <v>2015</v>
      </c>
      <c r="X550" t="s">
        <v>2917</v>
      </c>
      <c r="Y550" s="31">
        <v>42291</v>
      </c>
      <c r="Z550" s="31" t="str">
        <f t="shared" si="62"/>
        <v>US-2015-AH10210140-42291</v>
      </c>
    </row>
    <row r="551" spans="1:26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 t="shared" si="56"/>
        <v>Sung Pak</v>
      </c>
      <c r="P551" s="13" t="str">
        <f t="shared" si="57"/>
        <v>IT</v>
      </c>
      <c r="Q551" s="13" t="str">
        <f t="shared" si="58"/>
        <v>2014</v>
      </c>
      <c r="R551" s="13" t="str">
        <f t="shared" si="59"/>
        <v>MEDIUM</v>
      </c>
      <c r="S551" s="13" t="str">
        <f t="shared" si="60"/>
        <v>furniture</v>
      </c>
      <c r="T551" s="21" t="str">
        <f t="shared" si="61"/>
        <v>41956</v>
      </c>
      <c r="U551" s="30" t="s">
        <v>3178</v>
      </c>
      <c r="V551" s="19" t="s">
        <v>2690</v>
      </c>
      <c r="W551" s="33">
        <v>2014</v>
      </c>
      <c r="X551" t="s">
        <v>3178</v>
      </c>
      <c r="Y551" s="31">
        <v>41956</v>
      </c>
      <c r="Z551" s="31" t="str">
        <f t="shared" si="62"/>
        <v>IT-2014-SP2086045-41956</v>
      </c>
    </row>
    <row r="552" spans="1:26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 t="shared" si="56"/>
        <v>Kalyca Meade</v>
      </c>
      <c r="P552" s="8" t="str">
        <f t="shared" si="57"/>
        <v>ID</v>
      </c>
      <c r="Q552" s="8" t="str">
        <f t="shared" si="58"/>
        <v>2013</v>
      </c>
      <c r="R552" s="8" t="str">
        <f t="shared" si="59"/>
        <v>HIGH</v>
      </c>
      <c r="S552" s="8" t="str">
        <f t="shared" si="60"/>
        <v>technology</v>
      </c>
      <c r="T552" s="18" t="str">
        <f t="shared" si="61"/>
        <v>41501</v>
      </c>
      <c r="U552" s="30" t="s">
        <v>3179</v>
      </c>
      <c r="V552" s="16" t="s">
        <v>2705</v>
      </c>
      <c r="W552" s="33">
        <v>2013</v>
      </c>
      <c r="X552" t="s">
        <v>3179</v>
      </c>
      <c r="Y552" s="31">
        <v>41501</v>
      </c>
      <c r="Z552" s="31" t="str">
        <f t="shared" si="62"/>
        <v>ID-2013-KM162257-41501</v>
      </c>
    </row>
    <row r="553" spans="1:26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 t="shared" si="56"/>
        <v>Benjamin Venier</v>
      </c>
      <c r="P553" s="13" t="str">
        <f t="shared" si="57"/>
        <v>ES</v>
      </c>
      <c r="Q553" s="13" t="str">
        <f t="shared" si="58"/>
        <v>2014</v>
      </c>
      <c r="R553" s="13" t="str">
        <f t="shared" si="59"/>
        <v>MEDIUM</v>
      </c>
      <c r="S553" s="13" t="str">
        <f t="shared" si="60"/>
        <v>technology</v>
      </c>
      <c r="T553" s="21" t="str">
        <f t="shared" si="61"/>
        <v>41688</v>
      </c>
      <c r="U553" s="30" t="s">
        <v>3180</v>
      </c>
      <c r="V553" s="19" t="s">
        <v>2710</v>
      </c>
      <c r="W553" s="33">
        <v>2014</v>
      </c>
      <c r="X553" t="s">
        <v>3180</v>
      </c>
      <c r="Y553" s="31">
        <v>41688</v>
      </c>
      <c r="Z553" s="31" t="str">
        <f t="shared" si="62"/>
        <v>ES-2014-BV11245120-41688</v>
      </c>
    </row>
    <row r="554" spans="1:26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 t="shared" si="56"/>
        <v>Ken Black</v>
      </c>
      <c r="P554" s="8" t="str">
        <f t="shared" si="57"/>
        <v>ES</v>
      </c>
      <c r="Q554" s="8" t="str">
        <f t="shared" si="58"/>
        <v>2015</v>
      </c>
      <c r="R554" s="8" t="str">
        <f t="shared" si="59"/>
        <v>LOW</v>
      </c>
      <c r="S554" s="8" t="str">
        <f t="shared" si="60"/>
        <v>technology</v>
      </c>
      <c r="T554" s="18" t="str">
        <f t="shared" si="61"/>
        <v>42276</v>
      </c>
      <c r="U554" s="30" t="s">
        <v>3181</v>
      </c>
      <c r="V554" s="16" t="s">
        <v>2710</v>
      </c>
      <c r="W554" s="33">
        <v>2015</v>
      </c>
      <c r="X554" t="s">
        <v>3181</v>
      </c>
      <c r="Y554" s="31">
        <v>42276</v>
      </c>
      <c r="Z554" s="31" t="str">
        <f t="shared" si="62"/>
        <v>ES-2015-KB1658548-42276</v>
      </c>
    </row>
    <row r="555" spans="1:26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 t="shared" si="56"/>
        <v>Eugene Moren</v>
      </c>
      <c r="P555" s="13" t="str">
        <f t="shared" si="57"/>
        <v>IN</v>
      </c>
      <c r="Q555" s="13" t="str">
        <f t="shared" si="58"/>
        <v>2015</v>
      </c>
      <c r="R555" s="13" t="str">
        <f t="shared" si="59"/>
        <v>HIGH</v>
      </c>
      <c r="S555" s="13" t="str">
        <f t="shared" si="60"/>
        <v>furniture</v>
      </c>
      <c r="T555" s="21" t="str">
        <f t="shared" si="61"/>
        <v>42194</v>
      </c>
      <c r="U555" s="30" t="s">
        <v>3182</v>
      </c>
      <c r="V555" s="19" t="s">
        <v>2681</v>
      </c>
      <c r="W555" s="33">
        <v>2015</v>
      </c>
      <c r="X555" t="s">
        <v>3182</v>
      </c>
      <c r="Y555" s="31">
        <v>42194</v>
      </c>
      <c r="Z555" s="31" t="str">
        <f t="shared" si="62"/>
        <v>IN-2015-EM1414058-42194</v>
      </c>
    </row>
    <row r="556" spans="1:26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 t="shared" si="56"/>
        <v>Chad Mcguire</v>
      </c>
      <c r="P556" s="8" t="str">
        <f t="shared" si="57"/>
        <v>IN</v>
      </c>
      <c r="Q556" s="8" t="str">
        <f t="shared" si="58"/>
        <v>2014</v>
      </c>
      <c r="R556" s="8" t="str">
        <f t="shared" si="59"/>
        <v>MEDIUM</v>
      </c>
      <c r="S556" s="8" t="str">
        <f t="shared" si="60"/>
        <v>furniture</v>
      </c>
      <c r="T556" s="18" t="str">
        <f t="shared" si="61"/>
        <v>41783</v>
      </c>
      <c r="U556" s="30" t="s">
        <v>3183</v>
      </c>
      <c r="V556" s="16" t="s">
        <v>2681</v>
      </c>
      <c r="W556" s="33">
        <v>2014</v>
      </c>
      <c r="X556" t="s">
        <v>3183</v>
      </c>
      <c r="Y556" s="31">
        <v>41783</v>
      </c>
      <c r="Z556" s="31" t="str">
        <f t="shared" si="62"/>
        <v>IN-2014-CM1211578-41783</v>
      </c>
    </row>
    <row r="557" spans="1:26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 t="shared" si="56"/>
        <v>Aimee Bixby</v>
      </c>
      <c r="P557" s="13" t="str">
        <f t="shared" si="57"/>
        <v>ES</v>
      </c>
      <c r="Q557" s="13" t="str">
        <f t="shared" si="58"/>
        <v>2013</v>
      </c>
      <c r="R557" s="13" t="str">
        <f t="shared" si="59"/>
        <v>HIGH</v>
      </c>
      <c r="S557" s="13" t="str">
        <f t="shared" si="60"/>
        <v>technology</v>
      </c>
      <c r="T557" s="21" t="str">
        <f t="shared" si="61"/>
        <v>41537</v>
      </c>
      <c r="U557" s="30" t="s">
        <v>3184</v>
      </c>
      <c r="V557" s="19" t="s">
        <v>2710</v>
      </c>
      <c r="W557" s="33">
        <v>2013</v>
      </c>
      <c r="X557" t="s">
        <v>3184</v>
      </c>
      <c r="Y557" s="31">
        <v>41537</v>
      </c>
      <c r="Z557" s="31" t="str">
        <f t="shared" si="62"/>
        <v>ES-2013-AB10150139-41537</v>
      </c>
    </row>
    <row r="558" spans="1:26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 t="shared" si="56"/>
        <v>Alejandro Savely</v>
      </c>
      <c r="P558" s="8" t="str">
        <f t="shared" si="57"/>
        <v>I-</v>
      </c>
      <c r="Q558" s="8" t="str">
        <f t="shared" si="58"/>
        <v>2014</v>
      </c>
      <c r="R558" s="8" t="str">
        <f t="shared" si="59"/>
        <v>HIGH</v>
      </c>
      <c r="S558" s="8" t="str">
        <f t="shared" si="60"/>
        <v>technology</v>
      </c>
      <c r="T558" s="18" t="str">
        <f t="shared" si="61"/>
        <v>41972</v>
      </c>
      <c r="U558" s="30" t="s">
        <v>3185</v>
      </c>
      <c r="V558" s="16" t="s">
        <v>3186</v>
      </c>
      <c r="W558" s="33" t="s">
        <v>3187</v>
      </c>
      <c r="X558" t="s">
        <v>3185</v>
      </c>
      <c r="Y558" s="31">
        <v>41972</v>
      </c>
      <c r="Z558" s="31" t="str">
        <f t="shared" si="62"/>
        <v>I-R2014-AS28560-41972</v>
      </c>
    </row>
    <row r="559" spans="1:26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 t="shared" si="56"/>
        <v>Stuart Van</v>
      </c>
      <c r="P559" s="13" t="str">
        <f t="shared" si="57"/>
        <v>ID</v>
      </c>
      <c r="Q559" s="13" t="str">
        <f t="shared" si="58"/>
        <v>2014</v>
      </c>
      <c r="R559" s="13" t="str">
        <f t="shared" si="59"/>
        <v>MEDIUM</v>
      </c>
      <c r="S559" s="13" t="str">
        <f t="shared" si="60"/>
        <v>furniture</v>
      </c>
      <c r="T559" s="21" t="str">
        <f t="shared" si="61"/>
        <v>41679</v>
      </c>
      <c r="U559" s="30" t="s">
        <v>3188</v>
      </c>
      <c r="V559" s="19" t="s">
        <v>2705</v>
      </c>
      <c r="W559" s="33">
        <v>2014</v>
      </c>
      <c r="X559" t="s">
        <v>3188</v>
      </c>
      <c r="Y559" s="31">
        <v>41679</v>
      </c>
      <c r="Z559" s="31" t="str">
        <f t="shared" si="62"/>
        <v>ID-2014-SV208157-41679</v>
      </c>
    </row>
    <row r="560" spans="1:26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 t="shared" si="56"/>
        <v>Pamela Stobb</v>
      </c>
      <c r="P560" s="8" t="str">
        <f t="shared" si="57"/>
        <v>ES</v>
      </c>
      <c r="Q560" s="8" t="str">
        <f t="shared" si="58"/>
        <v>2015</v>
      </c>
      <c r="R560" s="8" t="str">
        <f t="shared" si="59"/>
        <v>MEDIUM</v>
      </c>
      <c r="S560" s="8" t="str">
        <f t="shared" si="60"/>
        <v>technology</v>
      </c>
      <c r="T560" s="18" t="str">
        <f t="shared" si="61"/>
        <v>42179</v>
      </c>
      <c r="U560" s="30" t="s">
        <v>3189</v>
      </c>
      <c r="V560" s="16" t="s">
        <v>2710</v>
      </c>
      <c r="W560" s="33">
        <v>2015</v>
      </c>
      <c r="X560" t="s">
        <v>3189</v>
      </c>
      <c r="Y560" s="31">
        <v>42179</v>
      </c>
      <c r="Z560" s="31" t="str">
        <f t="shared" si="62"/>
        <v>ES-2015-PS1876048-42179</v>
      </c>
    </row>
    <row r="561" spans="1:26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 t="shared" si="56"/>
        <v>Catherine Glotzbach</v>
      </c>
      <c r="P561" s="13" t="str">
        <f t="shared" si="57"/>
        <v>IN</v>
      </c>
      <c r="Q561" s="13" t="str">
        <f t="shared" si="58"/>
        <v>2015</v>
      </c>
      <c r="R561" s="13" t="str">
        <f t="shared" si="59"/>
        <v>CRITICAL</v>
      </c>
      <c r="S561" s="13" t="str">
        <f t="shared" si="60"/>
        <v>furniture</v>
      </c>
      <c r="T561" s="21" t="str">
        <f t="shared" si="61"/>
        <v>42032</v>
      </c>
      <c r="U561" s="30" t="s">
        <v>3190</v>
      </c>
      <c r="V561" s="19" t="s">
        <v>2681</v>
      </c>
      <c r="W561" s="33">
        <v>2015</v>
      </c>
      <c r="X561" t="s">
        <v>3190</v>
      </c>
      <c r="Y561" s="31">
        <v>42032</v>
      </c>
      <c r="Z561" s="31" t="str">
        <f t="shared" si="62"/>
        <v>IN-2015-CG1204092-42032</v>
      </c>
    </row>
    <row r="562" spans="1:26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 t="shared" si="56"/>
        <v>Clay Rozendal</v>
      </c>
      <c r="P562" s="8" t="str">
        <f t="shared" si="57"/>
        <v>ID</v>
      </c>
      <c r="Q562" s="8" t="str">
        <f t="shared" si="58"/>
        <v>2012</v>
      </c>
      <c r="R562" s="8" t="str">
        <f t="shared" si="59"/>
        <v>HIGH</v>
      </c>
      <c r="S562" s="8" t="str">
        <f t="shared" si="60"/>
        <v>technology</v>
      </c>
      <c r="T562" s="18" t="str">
        <f t="shared" si="61"/>
        <v>41132</v>
      </c>
      <c r="U562" s="30" t="s">
        <v>3191</v>
      </c>
      <c r="V562" s="16" t="s">
        <v>2705</v>
      </c>
      <c r="W562" s="33">
        <v>2012</v>
      </c>
      <c r="X562" t="s">
        <v>3191</v>
      </c>
      <c r="Y562" s="31">
        <v>41132</v>
      </c>
      <c r="Z562" s="31" t="str">
        <f t="shared" si="62"/>
        <v>ID-2012-CR12580144-41132</v>
      </c>
    </row>
    <row r="563" spans="1:26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 t="shared" si="56"/>
        <v>Cynthia Arntzen</v>
      </c>
      <c r="P563" s="13" t="str">
        <f t="shared" si="57"/>
        <v>IN</v>
      </c>
      <c r="Q563" s="13" t="str">
        <f t="shared" si="58"/>
        <v>2013</v>
      </c>
      <c r="R563" s="13" t="str">
        <f t="shared" si="59"/>
        <v>MEDIUM</v>
      </c>
      <c r="S563" s="13" t="str">
        <f t="shared" si="60"/>
        <v>furniture</v>
      </c>
      <c r="T563" s="21" t="str">
        <f t="shared" si="61"/>
        <v>41548</v>
      </c>
      <c r="U563" s="30" t="s">
        <v>3033</v>
      </c>
      <c r="V563" s="19" t="s">
        <v>2681</v>
      </c>
      <c r="W563" s="33">
        <v>2013</v>
      </c>
      <c r="X563" t="s">
        <v>3033</v>
      </c>
      <c r="Y563" s="31">
        <v>41548</v>
      </c>
      <c r="Z563" s="31" t="str">
        <f t="shared" si="62"/>
        <v>IN-2013-CA1277558-41548</v>
      </c>
    </row>
    <row r="564" spans="1:26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 t="shared" si="56"/>
        <v>Debra Catini</v>
      </c>
      <c r="P564" s="8" t="str">
        <f t="shared" si="57"/>
        <v>MX</v>
      </c>
      <c r="Q564" s="8" t="str">
        <f t="shared" si="58"/>
        <v>2015</v>
      </c>
      <c r="R564" s="8" t="str">
        <f t="shared" si="59"/>
        <v>HIGH</v>
      </c>
      <c r="S564" s="8" t="str">
        <f t="shared" si="60"/>
        <v>furniture</v>
      </c>
      <c r="T564" s="18" t="str">
        <f t="shared" si="61"/>
        <v>42091</v>
      </c>
      <c r="U564" s="30" t="s">
        <v>3192</v>
      </c>
      <c r="V564" s="16" t="s">
        <v>2695</v>
      </c>
      <c r="W564" s="33">
        <v>2015</v>
      </c>
      <c r="X564" t="s">
        <v>3192</v>
      </c>
      <c r="Y564" s="31">
        <v>42091</v>
      </c>
      <c r="Z564" s="31" t="str">
        <f t="shared" si="62"/>
        <v>MX-2015-DC1328582-42091</v>
      </c>
    </row>
    <row r="565" spans="1:26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 t="shared" si="56"/>
        <v>Joel Eaton</v>
      </c>
      <c r="P565" s="13" t="str">
        <f t="shared" si="57"/>
        <v>MX</v>
      </c>
      <c r="Q565" s="13" t="str">
        <f t="shared" si="58"/>
        <v>2015</v>
      </c>
      <c r="R565" s="13" t="str">
        <f t="shared" si="59"/>
        <v>HIGH</v>
      </c>
      <c r="S565" s="13" t="str">
        <f t="shared" si="60"/>
        <v>furniture</v>
      </c>
      <c r="T565" s="21" t="str">
        <f t="shared" si="61"/>
        <v>42255</v>
      </c>
      <c r="U565" s="30" t="s">
        <v>3193</v>
      </c>
      <c r="V565" s="19" t="s">
        <v>2695</v>
      </c>
      <c r="W565" s="33">
        <v>2015</v>
      </c>
      <c r="X565" t="s">
        <v>3193</v>
      </c>
      <c r="Y565" s="31">
        <v>42255</v>
      </c>
      <c r="Z565" s="31" t="str">
        <f t="shared" si="62"/>
        <v>MX-2015-JE1574531-42255</v>
      </c>
    </row>
    <row r="566" spans="1:26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 t="shared" si="56"/>
        <v>Luke Schmidt</v>
      </c>
      <c r="P566" s="8" t="str">
        <f t="shared" si="57"/>
        <v>MX</v>
      </c>
      <c r="Q566" s="8" t="str">
        <f t="shared" si="58"/>
        <v>2015</v>
      </c>
      <c r="R566" s="8" t="str">
        <f t="shared" si="59"/>
        <v>HIGH</v>
      </c>
      <c r="S566" s="8" t="str">
        <f t="shared" si="60"/>
        <v>furniture</v>
      </c>
      <c r="T566" s="18" t="str">
        <f t="shared" si="61"/>
        <v>42294</v>
      </c>
      <c r="U566" s="30" t="s">
        <v>3194</v>
      </c>
      <c r="V566" s="16" t="s">
        <v>2695</v>
      </c>
      <c r="W566" s="33">
        <v>2015</v>
      </c>
      <c r="X566" t="s">
        <v>3194</v>
      </c>
      <c r="Y566" s="31">
        <v>42294</v>
      </c>
      <c r="Z566" s="31" t="str">
        <f t="shared" si="62"/>
        <v>MX-2015-LS1720080-42294</v>
      </c>
    </row>
    <row r="567" spans="1:26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 t="shared" si="56"/>
        <v>Melanie Seite</v>
      </c>
      <c r="P567" s="13" t="str">
        <f t="shared" si="57"/>
        <v>IT</v>
      </c>
      <c r="Q567" s="13" t="str">
        <f t="shared" si="58"/>
        <v>2012</v>
      </c>
      <c r="R567" s="13" t="str">
        <f t="shared" si="59"/>
        <v>CRITICAL</v>
      </c>
      <c r="S567" s="13" t="str">
        <f t="shared" si="60"/>
        <v>technology</v>
      </c>
      <c r="T567" s="21" t="str">
        <f t="shared" si="61"/>
        <v>41103</v>
      </c>
      <c r="U567" s="30" t="s">
        <v>2763</v>
      </c>
      <c r="V567" s="19" t="s">
        <v>2690</v>
      </c>
      <c r="W567" s="33">
        <v>2012</v>
      </c>
      <c r="X567" t="s">
        <v>2763</v>
      </c>
      <c r="Y567" s="31">
        <v>41103</v>
      </c>
      <c r="Z567" s="31" t="str">
        <f t="shared" si="62"/>
        <v>IT-2012-MS17830139-41103</v>
      </c>
    </row>
    <row r="568" spans="1:26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 t="shared" si="56"/>
        <v>Jennifer Ferguson</v>
      </c>
      <c r="P568" s="8" t="str">
        <f t="shared" si="57"/>
        <v>IN</v>
      </c>
      <c r="Q568" s="8" t="str">
        <f t="shared" si="58"/>
        <v>2015</v>
      </c>
      <c r="R568" s="8" t="str">
        <f t="shared" si="59"/>
        <v>MEDIUM</v>
      </c>
      <c r="S568" s="8" t="str">
        <f t="shared" si="60"/>
        <v>furniture</v>
      </c>
      <c r="T568" s="18" t="str">
        <f t="shared" si="61"/>
        <v>42095</v>
      </c>
      <c r="U568" s="30" t="s">
        <v>3195</v>
      </c>
      <c r="V568" s="16" t="s">
        <v>2681</v>
      </c>
      <c r="W568" s="33">
        <v>2015</v>
      </c>
      <c r="X568" t="s">
        <v>3195</v>
      </c>
      <c r="Y568" s="31">
        <v>42095</v>
      </c>
      <c r="Z568" s="31" t="str">
        <f t="shared" si="62"/>
        <v>IN-2015-JF1541527-42095</v>
      </c>
    </row>
    <row r="569" spans="1:26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4"/>
      <c r="V569" s="22"/>
      <c r="Z569" s="31" t="str">
        <f t="shared" si="62"/>
        <v/>
      </c>
    </row>
    <row r="570" spans="1:26">
      <c r="Z570" s="31" t="str">
        <f t="shared" si="62"/>
        <v/>
      </c>
    </row>
    <row r="571" spans="1:26">
      <c r="Z571" s="31" t="str">
        <f t="shared" si="62"/>
        <v/>
      </c>
    </row>
    <row r="572" spans="1:26">
      <c r="Z572" s="31" t="str">
        <f t="shared" si="62"/>
        <v/>
      </c>
    </row>
    <row r="573" spans="1:26">
      <c r="Z573" s="31" t="str">
        <f t="shared" si="62"/>
        <v/>
      </c>
    </row>
    <row r="574" spans="1:26">
      <c r="Z574" s="31" t="str">
        <f t="shared" si="62"/>
        <v/>
      </c>
    </row>
    <row r="575" spans="1:26">
      <c r="Z575" s="31" t="str">
        <f t="shared" si="62"/>
        <v/>
      </c>
    </row>
    <row r="576" spans="1:26">
      <c r="Z576" s="31" t="str">
        <f t="shared" si="62"/>
        <v/>
      </c>
    </row>
    <row r="577" spans="26:26">
      <c r="Z577" s="31" t="str">
        <f t="shared" si="62"/>
        <v/>
      </c>
    </row>
    <row r="578" spans="26:26">
      <c r="Z578" s="31" t="str">
        <f t="shared" ref="Z578:Z641" si="63">TRIM(A578)</f>
        <v/>
      </c>
    </row>
    <row r="579" spans="26:26">
      <c r="Z579" s="31" t="str">
        <f t="shared" si="63"/>
        <v/>
      </c>
    </row>
    <row r="580" spans="26:26">
      <c r="Z580" s="31" t="str">
        <f t="shared" si="63"/>
        <v/>
      </c>
    </row>
    <row r="581" spans="26:26">
      <c r="Z581" s="31" t="str">
        <f t="shared" si="63"/>
        <v/>
      </c>
    </row>
    <row r="582" spans="26:26">
      <c r="Z582" s="31" t="str">
        <f t="shared" si="63"/>
        <v/>
      </c>
    </row>
    <row r="583" spans="26:26">
      <c r="Z583" s="31" t="str">
        <f t="shared" si="63"/>
        <v/>
      </c>
    </row>
    <row r="584" spans="26:26">
      <c r="Z584" s="31" t="str">
        <f t="shared" si="63"/>
        <v/>
      </c>
    </row>
    <row r="585" spans="26:26">
      <c r="Z585" s="31" t="str">
        <f t="shared" si="63"/>
        <v/>
      </c>
    </row>
    <row r="586" spans="26:26">
      <c r="Z586" s="31" t="str">
        <f t="shared" si="63"/>
        <v/>
      </c>
    </row>
    <row r="587" spans="26:26">
      <c r="Z587" s="31" t="str">
        <f t="shared" si="63"/>
        <v/>
      </c>
    </row>
    <row r="588" spans="26:26">
      <c r="Z588" s="31" t="str">
        <f t="shared" si="63"/>
        <v/>
      </c>
    </row>
    <row r="589" spans="26:26">
      <c r="Z589" s="31" t="str">
        <f t="shared" si="63"/>
        <v/>
      </c>
    </row>
    <row r="590" spans="26:26">
      <c r="Z590" s="31" t="str">
        <f t="shared" si="63"/>
        <v/>
      </c>
    </row>
    <row r="591" spans="26:26">
      <c r="Z591" s="31" t="str">
        <f t="shared" si="63"/>
        <v/>
      </c>
    </row>
    <row r="592" spans="26:26">
      <c r="Z592" s="31" t="str">
        <f t="shared" si="63"/>
        <v/>
      </c>
    </row>
    <row r="593" spans="26:26">
      <c r="Z593" s="31" t="str">
        <f t="shared" si="63"/>
        <v/>
      </c>
    </row>
    <row r="594" spans="26:26">
      <c r="Z594" s="31" t="str">
        <f t="shared" si="63"/>
        <v/>
      </c>
    </row>
    <row r="595" spans="26:26">
      <c r="Z595" s="31" t="str">
        <f t="shared" si="63"/>
        <v/>
      </c>
    </row>
    <row r="596" spans="26:26">
      <c r="Z596" s="31" t="str">
        <f t="shared" si="63"/>
        <v/>
      </c>
    </row>
    <row r="597" spans="26:26">
      <c r="Z597" s="31" t="str">
        <f t="shared" si="63"/>
        <v/>
      </c>
    </row>
    <row r="598" spans="26:26">
      <c r="Z598" s="31" t="str">
        <f t="shared" si="63"/>
        <v/>
      </c>
    </row>
    <row r="599" spans="26:26">
      <c r="Z599" s="31" t="str">
        <f t="shared" si="63"/>
        <v/>
      </c>
    </row>
    <row r="600" spans="26:26">
      <c r="Z600" s="31" t="str">
        <f t="shared" si="63"/>
        <v/>
      </c>
    </row>
    <row r="601" spans="26:26">
      <c r="Z601" s="31" t="str">
        <f t="shared" si="63"/>
        <v/>
      </c>
    </row>
    <row r="602" spans="26:26">
      <c r="Z602" s="31" t="str">
        <f t="shared" si="63"/>
        <v/>
      </c>
    </row>
    <row r="603" spans="26:26">
      <c r="Z603" s="31" t="str">
        <f t="shared" si="63"/>
        <v/>
      </c>
    </row>
    <row r="604" spans="26:26">
      <c r="Z604" s="31" t="str">
        <f t="shared" si="63"/>
        <v/>
      </c>
    </row>
    <row r="605" spans="26:26">
      <c r="Z605" s="31" t="str">
        <f t="shared" si="63"/>
        <v/>
      </c>
    </row>
    <row r="606" spans="26:26">
      <c r="Z606" s="31" t="str">
        <f t="shared" si="63"/>
        <v/>
      </c>
    </row>
    <row r="607" spans="26:26">
      <c r="Z607" s="31" t="str">
        <f t="shared" si="63"/>
        <v/>
      </c>
    </row>
    <row r="608" spans="26:26">
      <c r="Z608" s="31" t="str">
        <f t="shared" si="63"/>
        <v/>
      </c>
    </row>
    <row r="609" spans="26:26">
      <c r="Z609" s="31" t="str">
        <f t="shared" si="63"/>
        <v/>
      </c>
    </row>
    <row r="610" spans="26:26">
      <c r="Z610" s="31" t="str">
        <f t="shared" si="63"/>
        <v/>
      </c>
    </row>
    <row r="611" spans="26:26">
      <c r="Z611" s="31" t="str">
        <f t="shared" si="63"/>
        <v/>
      </c>
    </row>
    <row r="612" spans="26:26">
      <c r="Z612" s="31" t="str">
        <f t="shared" si="63"/>
        <v/>
      </c>
    </row>
    <row r="613" spans="26:26">
      <c r="Z613" s="31" t="str">
        <f t="shared" si="63"/>
        <v/>
      </c>
    </row>
    <row r="614" spans="26:26">
      <c r="Z614" s="31" t="str">
        <f t="shared" si="63"/>
        <v/>
      </c>
    </row>
    <row r="615" spans="26:26">
      <c r="Z615" s="31" t="str">
        <f t="shared" si="63"/>
        <v/>
      </c>
    </row>
    <row r="616" spans="26:26">
      <c r="Z616" s="31" t="str">
        <f t="shared" si="63"/>
        <v/>
      </c>
    </row>
    <row r="617" spans="26:26">
      <c r="Z617" s="31" t="str">
        <f t="shared" si="63"/>
        <v/>
      </c>
    </row>
    <row r="618" spans="26:26">
      <c r="Z618" s="31" t="str">
        <f t="shared" si="63"/>
        <v/>
      </c>
    </row>
    <row r="619" spans="26:26">
      <c r="Z619" s="31" t="str">
        <f t="shared" si="63"/>
        <v/>
      </c>
    </row>
    <row r="620" spans="26:26">
      <c r="Z620" s="31" t="str">
        <f t="shared" si="63"/>
        <v/>
      </c>
    </row>
    <row r="621" spans="26:26">
      <c r="Z621" s="31" t="str">
        <f t="shared" si="63"/>
        <v/>
      </c>
    </row>
    <row r="622" spans="26:26">
      <c r="Z622" s="31" t="str">
        <f t="shared" si="63"/>
        <v/>
      </c>
    </row>
    <row r="623" spans="26:26">
      <c r="Z623" s="31" t="str">
        <f t="shared" si="63"/>
        <v/>
      </c>
    </row>
    <row r="624" spans="26:26">
      <c r="Z624" s="31" t="str">
        <f t="shared" si="63"/>
        <v/>
      </c>
    </row>
    <row r="625" spans="26:26">
      <c r="Z625" s="31" t="str">
        <f t="shared" si="63"/>
        <v/>
      </c>
    </row>
    <row r="626" spans="26:26">
      <c r="Z626" s="31" t="str">
        <f t="shared" si="63"/>
        <v/>
      </c>
    </row>
    <row r="627" spans="26:26">
      <c r="Z627" s="31" t="str">
        <f t="shared" si="63"/>
        <v/>
      </c>
    </row>
    <row r="628" spans="26:26">
      <c r="Z628" s="31" t="str">
        <f t="shared" si="63"/>
        <v/>
      </c>
    </row>
    <row r="629" spans="26:26">
      <c r="Z629" s="31" t="str">
        <f t="shared" si="63"/>
        <v/>
      </c>
    </row>
    <row r="630" spans="26:26">
      <c r="Z630" s="31" t="str">
        <f t="shared" si="63"/>
        <v/>
      </c>
    </row>
    <row r="631" spans="26:26">
      <c r="Z631" s="31" t="str">
        <f t="shared" si="63"/>
        <v/>
      </c>
    </row>
    <row r="632" spans="26:26">
      <c r="Z632" s="31" t="str">
        <f t="shared" si="63"/>
        <v/>
      </c>
    </row>
    <row r="633" spans="26:26">
      <c r="Z633" s="31" t="str">
        <f t="shared" si="63"/>
        <v/>
      </c>
    </row>
    <row r="634" spans="26:26">
      <c r="Z634" s="31" t="str">
        <f t="shared" si="63"/>
        <v/>
      </c>
    </row>
    <row r="635" spans="26:26">
      <c r="Z635" s="31" t="str">
        <f t="shared" si="63"/>
        <v/>
      </c>
    </row>
    <row r="636" spans="26:26">
      <c r="Z636" s="31" t="str">
        <f t="shared" si="63"/>
        <v/>
      </c>
    </row>
    <row r="637" spans="26:26">
      <c r="Z637" s="31" t="str">
        <f t="shared" si="63"/>
        <v/>
      </c>
    </row>
    <row r="638" spans="26:26">
      <c r="Z638" s="31" t="str">
        <f t="shared" si="63"/>
        <v/>
      </c>
    </row>
    <row r="639" spans="26:26">
      <c r="Z639" s="31" t="str">
        <f t="shared" si="63"/>
        <v/>
      </c>
    </row>
    <row r="640" spans="26:26">
      <c r="Z640" s="31" t="str">
        <f t="shared" si="63"/>
        <v/>
      </c>
    </row>
    <row r="641" spans="26:26">
      <c r="Z641" s="31" t="str">
        <f t="shared" si="63"/>
        <v/>
      </c>
    </row>
    <row r="642" spans="26:26">
      <c r="Z642" s="31" t="str">
        <f t="shared" ref="Z642:Z705" si="64">TRIM(A642)</f>
        <v/>
      </c>
    </row>
    <row r="643" spans="26:26">
      <c r="Z643" s="31" t="str">
        <f t="shared" si="64"/>
        <v/>
      </c>
    </row>
    <row r="644" spans="26:26">
      <c r="Z644" s="31" t="str">
        <f t="shared" si="64"/>
        <v/>
      </c>
    </row>
    <row r="645" spans="26:26">
      <c r="Z645" s="31" t="str">
        <f t="shared" si="64"/>
        <v/>
      </c>
    </row>
    <row r="646" spans="26:26">
      <c r="Z646" s="31" t="str">
        <f t="shared" si="64"/>
        <v/>
      </c>
    </row>
    <row r="647" spans="26:26">
      <c r="Z647" s="31" t="str">
        <f t="shared" si="64"/>
        <v/>
      </c>
    </row>
    <row r="648" spans="26:26">
      <c r="Z648" s="31" t="str">
        <f t="shared" si="64"/>
        <v/>
      </c>
    </row>
    <row r="649" spans="26:26">
      <c r="Z649" s="31" t="str">
        <f t="shared" si="64"/>
        <v/>
      </c>
    </row>
    <row r="650" spans="26:26">
      <c r="Z650" s="31" t="str">
        <f t="shared" si="64"/>
        <v/>
      </c>
    </row>
    <row r="651" spans="26:26">
      <c r="Z651" s="31" t="str">
        <f t="shared" si="64"/>
        <v/>
      </c>
    </row>
    <row r="652" spans="26:26">
      <c r="Z652" s="31" t="str">
        <f t="shared" si="64"/>
        <v/>
      </c>
    </row>
    <row r="653" spans="26:26">
      <c r="Z653" s="31" t="str">
        <f t="shared" si="64"/>
        <v/>
      </c>
    </row>
    <row r="654" spans="26:26">
      <c r="Z654" s="31" t="str">
        <f t="shared" si="64"/>
        <v/>
      </c>
    </row>
    <row r="655" spans="26:26">
      <c r="Z655" s="31" t="str">
        <f t="shared" si="64"/>
        <v/>
      </c>
    </row>
    <row r="656" spans="26:26">
      <c r="Z656" s="31" t="str">
        <f t="shared" si="64"/>
        <v/>
      </c>
    </row>
    <row r="657" spans="26:26">
      <c r="Z657" s="31" t="str">
        <f t="shared" si="64"/>
        <v/>
      </c>
    </row>
    <row r="658" spans="26:26">
      <c r="Z658" s="31" t="str">
        <f t="shared" si="64"/>
        <v/>
      </c>
    </row>
    <row r="659" spans="26:26">
      <c r="Z659" s="31" t="str">
        <f t="shared" si="64"/>
        <v/>
      </c>
    </row>
    <row r="660" spans="26:26">
      <c r="Z660" s="31" t="str">
        <f t="shared" si="64"/>
        <v/>
      </c>
    </row>
    <row r="661" spans="26:26">
      <c r="Z661" s="31" t="str">
        <f t="shared" si="64"/>
        <v/>
      </c>
    </row>
    <row r="662" spans="26:26">
      <c r="Z662" s="31" t="str">
        <f t="shared" si="64"/>
        <v/>
      </c>
    </row>
    <row r="663" spans="26:26">
      <c r="Z663" s="31" t="str">
        <f t="shared" si="64"/>
        <v/>
      </c>
    </row>
    <row r="664" spans="26:26">
      <c r="Z664" s="31" t="str">
        <f t="shared" si="64"/>
        <v/>
      </c>
    </row>
    <row r="665" spans="26:26">
      <c r="Z665" s="31" t="str">
        <f t="shared" si="64"/>
        <v/>
      </c>
    </row>
    <row r="666" spans="26:26">
      <c r="Z666" s="31" t="str">
        <f t="shared" si="64"/>
        <v/>
      </c>
    </row>
    <row r="667" spans="26:26">
      <c r="Z667" s="31" t="str">
        <f t="shared" si="64"/>
        <v/>
      </c>
    </row>
    <row r="668" spans="26:26">
      <c r="Z668" s="31" t="str">
        <f t="shared" si="64"/>
        <v/>
      </c>
    </row>
    <row r="669" spans="26:26">
      <c r="Z669" s="31" t="str">
        <f t="shared" si="64"/>
        <v/>
      </c>
    </row>
    <row r="670" spans="26:26">
      <c r="Z670" s="31" t="str">
        <f t="shared" si="64"/>
        <v/>
      </c>
    </row>
    <row r="671" spans="26:26">
      <c r="Z671" s="31" t="str">
        <f t="shared" si="64"/>
        <v/>
      </c>
    </row>
    <row r="672" spans="26:26">
      <c r="Z672" s="31" t="str">
        <f t="shared" si="64"/>
        <v/>
      </c>
    </row>
    <row r="673" spans="26:26">
      <c r="Z673" s="31" t="str">
        <f t="shared" si="64"/>
        <v/>
      </c>
    </row>
    <row r="674" spans="26:26">
      <c r="Z674" s="31" t="str">
        <f t="shared" si="64"/>
        <v/>
      </c>
    </row>
    <row r="675" spans="26:26">
      <c r="Z675" s="31" t="str">
        <f t="shared" si="64"/>
        <v/>
      </c>
    </row>
    <row r="676" spans="26:26">
      <c r="Z676" s="31" t="str">
        <f t="shared" si="64"/>
        <v/>
      </c>
    </row>
    <row r="677" spans="26:26">
      <c r="Z677" s="31" t="str">
        <f t="shared" si="64"/>
        <v/>
      </c>
    </row>
    <row r="678" spans="26:26">
      <c r="Z678" s="31" t="str">
        <f t="shared" si="64"/>
        <v/>
      </c>
    </row>
    <row r="679" spans="26:26">
      <c r="Z679" s="31" t="str">
        <f t="shared" si="64"/>
        <v/>
      </c>
    </row>
    <row r="680" spans="26:26">
      <c r="Z680" s="31" t="str">
        <f t="shared" si="64"/>
        <v/>
      </c>
    </row>
    <row r="681" spans="26:26">
      <c r="Z681" s="31" t="str">
        <f t="shared" si="64"/>
        <v/>
      </c>
    </row>
    <row r="682" spans="26:26">
      <c r="Z682" s="31" t="str">
        <f t="shared" si="64"/>
        <v/>
      </c>
    </row>
    <row r="683" spans="26:26">
      <c r="Z683" s="31" t="str">
        <f t="shared" si="64"/>
        <v/>
      </c>
    </row>
    <row r="684" spans="26:26">
      <c r="Z684" s="31" t="str">
        <f t="shared" si="64"/>
        <v/>
      </c>
    </row>
    <row r="685" spans="26:26">
      <c r="Z685" s="31" t="str">
        <f t="shared" si="64"/>
        <v/>
      </c>
    </row>
    <row r="686" spans="26:26">
      <c r="Z686" s="31" t="str">
        <f t="shared" si="64"/>
        <v/>
      </c>
    </row>
    <row r="687" spans="26:26">
      <c r="Z687" s="31" t="str">
        <f t="shared" si="64"/>
        <v/>
      </c>
    </row>
    <row r="688" spans="26:26">
      <c r="Z688" s="31" t="str">
        <f t="shared" si="64"/>
        <v/>
      </c>
    </row>
    <row r="689" spans="26:26">
      <c r="Z689" s="31" t="str">
        <f t="shared" si="64"/>
        <v/>
      </c>
    </row>
    <row r="690" spans="26:26">
      <c r="Z690" s="31" t="str">
        <f t="shared" si="64"/>
        <v/>
      </c>
    </row>
    <row r="691" spans="26:26">
      <c r="Z691" s="31" t="str">
        <f t="shared" si="64"/>
        <v/>
      </c>
    </row>
    <row r="692" spans="26:26">
      <c r="Z692" s="31" t="str">
        <f t="shared" si="64"/>
        <v/>
      </c>
    </row>
    <row r="693" spans="26:26">
      <c r="Z693" s="31" t="str">
        <f t="shared" si="64"/>
        <v/>
      </c>
    </row>
    <row r="694" spans="26:26">
      <c r="Z694" s="31" t="str">
        <f t="shared" si="64"/>
        <v/>
      </c>
    </row>
    <row r="695" spans="26:26">
      <c r="Z695" s="31" t="str">
        <f t="shared" si="64"/>
        <v/>
      </c>
    </row>
    <row r="696" spans="26:26">
      <c r="Z696" s="31" t="str">
        <f t="shared" si="64"/>
        <v/>
      </c>
    </row>
    <row r="697" spans="26:26">
      <c r="Z697" s="31" t="str">
        <f t="shared" si="64"/>
        <v/>
      </c>
    </row>
    <row r="698" spans="26:26">
      <c r="Z698" s="31" t="str">
        <f t="shared" si="64"/>
        <v/>
      </c>
    </row>
    <row r="699" spans="26:26">
      <c r="Z699" s="31" t="str">
        <f t="shared" si="64"/>
        <v/>
      </c>
    </row>
    <row r="700" spans="26:26">
      <c r="Z700" s="31" t="str">
        <f t="shared" si="64"/>
        <v/>
      </c>
    </row>
    <row r="701" spans="26:26">
      <c r="Z701" s="31" t="str">
        <f t="shared" si="64"/>
        <v/>
      </c>
    </row>
    <row r="702" spans="26:26">
      <c r="Z702" s="31" t="str">
        <f t="shared" si="64"/>
        <v/>
      </c>
    </row>
    <row r="703" spans="26:26">
      <c r="Z703" s="31" t="str">
        <f t="shared" si="64"/>
        <v/>
      </c>
    </row>
    <row r="704" spans="26:26">
      <c r="Z704" s="31" t="str">
        <f t="shared" si="64"/>
        <v/>
      </c>
    </row>
    <row r="705" spans="26:26">
      <c r="Z705" s="31" t="str">
        <f t="shared" si="64"/>
        <v/>
      </c>
    </row>
    <row r="706" spans="26:26">
      <c r="Z706" s="31" t="str">
        <f t="shared" ref="Z706:Z769" si="65">TRIM(A706)</f>
        <v/>
      </c>
    </row>
    <row r="707" spans="26:26">
      <c r="Z707" s="31" t="str">
        <f t="shared" si="65"/>
        <v/>
      </c>
    </row>
    <row r="708" spans="26:26">
      <c r="Z708" s="31" t="str">
        <f t="shared" si="65"/>
        <v/>
      </c>
    </row>
    <row r="709" spans="26:26">
      <c r="Z709" s="31" t="str">
        <f t="shared" si="65"/>
        <v/>
      </c>
    </row>
    <row r="710" spans="26:26">
      <c r="Z710" s="31" t="str">
        <f t="shared" si="65"/>
        <v/>
      </c>
    </row>
    <row r="711" spans="26:26">
      <c r="Z711" s="31" t="str">
        <f t="shared" si="65"/>
        <v/>
      </c>
    </row>
    <row r="712" spans="26:26">
      <c r="Z712" s="31" t="str">
        <f t="shared" si="65"/>
        <v/>
      </c>
    </row>
    <row r="713" spans="26:26">
      <c r="Z713" s="31" t="str">
        <f t="shared" si="65"/>
        <v/>
      </c>
    </row>
    <row r="714" spans="26:26">
      <c r="Z714" s="31" t="str">
        <f t="shared" si="65"/>
        <v/>
      </c>
    </row>
    <row r="715" spans="26:26">
      <c r="Z715" s="31" t="str">
        <f t="shared" si="65"/>
        <v/>
      </c>
    </row>
    <row r="716" spans="26:26">
      <c r="Z716" s="31" t="str">
        <f t="shared" si="65"/>
        <v/>
      </c>
    </row>
    <row r="717" spans="26:26">
      <c r="Z717" s="31" t="str">
        <f t="shared" si="65"/>
        <v/>
      </c>
    </row>
    <row r="718" spans="26:26">
      <c r="Z718" s="31" t="str">
        <f t="shared" si="65"/>
        <v/>
      </c>
    </row>
    <row r="719" spans="26:26">
      <c r="Z719" s="31" t="str">
        <f t="shared" si="65"/>
        <v/>
      </c>
    </row>
    <row r="720" spans="26:26">
      <c r="Z720" s="31" t="str">
        <f t="shared" si="65"/>
        <v/>
      </c>
    </row>
    <row r="721" spans="26:26">
      <c r="Z721" s="31" t="str">
        <f t="shared" si="65"/>
        <v/>
      </c>
    </row>
    <row r="722" spans="26:26">
      <c r="Z722" s="31" t="str">
        <f t="shared" si="65"/>
        <v/>
      </c>
    </row>
    <row r="723" spans="26:26">
      <c r="Z723" s="31" t="str">
        <f t="shared" si="65"/>
        <v/>
      </c>
    </row>
    <row r="724" spans="26:26">
      <c r="Z724" s="31" t="str">
        <f t="shared" si="65"/>
        <v/>
      </c>
    </row>
    <row r="725" spans="26:26">
      <c r="Z725" s="31" t="str">
        <f t="shared" si="65"/>
        <v/>
      </c>
    </row>
    <row r="726" spans="26:26">
      <c r="Z726" s="31" t="str">
        <f t="shared" si="65"/>
        <v/>
      </c>
    </row>
    <row r="727" spans="26:26">
      <c r="Z727" s="31" t="str">
        <f t="shared" si="65"/>
        <v/>
      </c>
    </row>
    <row r="728" spans="26:26">
      <c r="Z728" s="31" t="str">
        <f t="shared" si="65"/>
        <v/>
      </c>
    </row>
    <row r="729" spans="26:26">
      <c r="Z729" s="31" t="str">
        <f t="shared" si="65"/>
        <v/>
      </c>
    </row>
    <row r="730" spans="26:26">
      <c r="Z730" s="31" t="str">
        <f t="shared" si="65"/>
        <v/>
      </c>
    </row>
    <row r="731" spans="26:26">
      <c r="Z731" s="31" t="str">
        <f t="shared" si="65"/>
        <v/>
      </c>
    </row>
    <row r="732" spans="26:26">
      <c r="Z732" s="31" t="str">
        <f t="shared" si="65"/>
        <v/>
      </c>
    </row>
    <row r="733" spans="26:26">
      <c r="Z733" s="31" t="str">
        <f t="shared" si="65"/>
        <v/>
      </c>
    </row>
    <row r="734" spans="26:26">
      <c r="Z734" s="31" t="str">
        <f t="shared" si="65"/>
        <v/>
      </c>
    </row>
    <row r="735" spans="26:26">
      <c r="Z735" s="31" t="str">
        <f t="shared" si="65"/>
        <v/>
      </c>
    </row>
    <row r="736" spans="26:26">
      <c r="Z736" s="31" t="str">
        <f t="shared" si="65"/>
        <v/>
      </c>
    </row>
    <row r="737" spans="26:26">
      <c r="Z737" s="31" t="str">
        <f t="shared" si="65"/>
        <v/>
      </c>
    </row>
    <row r="738" spans="26:26">
      <c r="Z738" s="31" t="str">
        <f t="shared" si="65"/>
        <v/>
      </c>
    </row>
    <row r="739" spans="26:26">
      <c r="Z739" s="31" t="str">
        <f t="shared" si="65"/>
        <v/>
      </c>
    </row>
    <row r="740" spans="26:26">
      <c r="Z740" s="31" t="str">
        <f t="shared" si="65"/>
        <v/>
      </c>
    </row>
    <row r="741" spans="26:26">
      <c r="Z741" s="31" t="str">
        <f t="shared" si="65"/>
        <v/>
      </c>
    </row>
    <row r="742" spans="26:26">
      <c r="Z742" s="31" t="str">
        <f t="shared" si="65"/>
        <v/>
      </c>
    </row>
    <row r="743" spans="26:26">
      <c r="Z743" s="31" t="str">
        <f t="shared" si="65"/>
        <v/>
      </c>
    </row>
    <row r="744" spans="26:26">
      <c r="Z744" s="31" t="str">
        <f t="shared" si="65"/>
        <v/>
      </c>
    </row>
    <row r="745" spans="26:26">
      <c r="Z745" s="31" t="str">
        <f t="shared" si="65"/>
        <v/>
      </c>
    </row>
    <row r="746" spans="26:26">
      <c r="Z746" s="31" t="str">
        <f t="shared" si="65"/>
        <v/>
      </c>
    </row>
    <row r="747" spans="26:26">
      <c r="Z747" s="31" t="str">
        <f t="shared" si="65"/>
        <v/>
      </c>
    </row>
    <row r="748" spans="26:26">
      <c r="Z748" s="31" t="str">
        <f t="shared" si="65"/>
        <v/>
      </c>
    </row>
    <row r="749" spans="26:26">
      <c r="Z749" s="31" t="str">
        <f t="shared" si="65"/>
        <v/>
      </c>
    </row>
    <row r="750" spans="26:26">
      <c r="Z750" s="31" t="str">
        <f t="shared" si="65"/>
        <v/>
      </c>
    </row>
    <row r="751" spans="26:26">
      <c r="Z751" s="31" t="str">
        <f t="shared" si="65"/>
        <v/>
      </c>
    </row>
    <row r="752" spans="26:26">
      <c r="Z752" s="31" t="str">
        <f t="shared" si="65"/>
        <v/>
      </c>
    </row>
    <row r="753" spans="26:26">
      <c r="Z753" s="31" t="str">
        <f t="shared" si="65"/>
        <v/>
      </c>
    </row>
    <row r="754" spans="26:26">
      <c r="Z754" s="31" t="str">
        <f t="shared" si="65"/>
        <v/>
      </c>
    </row>
    <row r="755" spans="26:26">
      <c r="Z755" s="31" t="str">
        <f t="shared" si="65"/>
        <v/>
      </c>
    </row>
    <row r="756" spans="26:26">
      <c r="Z756" s="31" t="str">
        <f t="shared" si="65"/>
        <v/>
      </c>
    </row>
    <row r="757" spans="26:26">
      <c r="Z757" s="31" t="str">
        <f t="shared" si="65"/>
        <v/>
      </c>
    </row>
    <row r="758" spans="26:26">
      <c r="Z758" s="31" t="str">
        <f t="shared" si="65"/>
        <v/>
      </c>
    </row>
    <row r="759" spans="26:26">
      <c r="Z759" s="31" t="str">
        <f t="shared" si="65"/>
        <v/>
      </c>
    </row>
    <row r="760" spans="26:26">
      <c r="Z760" s="31" t="str">
        <f t="shared" si="65"/>
        <v/>
      </c>
    </row>
    <row r="761" spans="26:26">
      <c r="Z761" s="31" t="str">
        <f t="shared" si="65"/>
        <v/>
      </c>
    </row>
    <row r="762" spans="26:26">
      <c r="Z762" s="31" t="str">
        <f t="shared" si="65"/>
        <v/>
      </c>
    </row>
    <row r="763" spans="26:26">
      <c r="Z763" s="31" t="str">
        <f t="shared" si="65"/>
        <v/>
      </c>
    </row>
    <row r="764" spans="26:26">
      <c r="Z764" s="31" t="str">
        <f t="shared" si="65"/>
        <v/>
      </c>
    </row>
    <row r="765" spans="26:26">
      <c r="Z765" s="31" t="str">
        <f t="shared" si="65"/>
        <v/>
      </c>
    </row>
    <row r="766" spans="26:26">
      <c r="Z766" s="31" t="str">
        <f t="shared" si="65"/>
        <v/>
      </c>
    </row>
    <row r="767" spans="26:26">
      <c r="Z767" s="31" t="str">
        <f t="shared" si="65"/>
        <v/>
      </c>
    </row>
    <row r="768" spans="26:26">
      <c r="Z768" s="31" t="str">
        <f t="shared" si="65"/>
        <v/>
      </c>
    </row>
    <row r="769" spans="26:26">
      <c r="Z769" s="31" t="str">
        <f t="shared" si="65"/>
        <v/>
      </c>
    </row>
    <row r="770" spans="26:26">
      <c r="Z770" s="31" t="str">
        <f t="shared" ref="Z770:Z833" si="66">TRIM(A770)</f>
        <v/>
      </c>
    </row>
    <row r="771" spans="26:26">
      <c r="Z771" s="31" t="str">
        <f t="shared" si="66"/>
        <v/>
      </c>
    </row>
    <row r="772" spans="26:26">
      <c r="Z772" s="31" t="str">
        <f t="shared" si="66"/>
        <v/>
      </c>
    </row>
    <row r="773" spans="26:26">
      <c r="Z773" s="31" t="str">
        <f t="shared" si="66"/>
        <v/>
      </c>
    </row>
    <row r="774" spans="26:26">
      <c r="Z774" s="31" t="str">
        <f t="shared" si="66"/>
        <v/>
      </c>
    </row>
    <row r="775" spans="26:26">
      <c r="Z775" s="31" t="str">
        <f t="shared" si="66"/>
        <v/>
      </c>
    </row>
    <row r="776" spans="26:26">
      <c r="Z776" s="31" t="str">
        <f t="shared" si="66"/>
        <v/>
      </c>
    </row>
    <row r="777" spans="26:26">
      <c r="Z777" s="31" t="str">
        <f t="shared" si="66"/>
        <v/>
      </c>
    </row>
    <row r="778" spans="26:26">
      <c r="Z778" s="31" t="str">
        <f t="shared" si="66"/>
        <v/>
      </c>
    </row>
    <row r="779" spans="26:26">
      <c r="Z779" s="31" t="str">
        <f t="shared" si="66"/>
        <v/>
      </c>
    </row>
    <row r="780" spans="26:26">
      <c r="Z780" s="31" t="str">
        <f t="shared" si="66"/>
        <v/>
      </c>
    </row>
    <row r="781" spans="26:26">
      <c r="Z781" s="31" t="str">
        <f t="shared" si="66"/>
        <v/>
      </c>
    </row>
    <row r="782" spans="26:26">
      <c r="Z782" s="31" t="str">
        <f t="shared" si="66"/>
        <v/>
      </c>
    </row>
    <row r="783" spans="26:26">
      <c r="Z783" s="31" t="str">
        <f t="shared" si="66"/>
        <v/>
      </c>
    </row>
    <row r="784" spans="26:26">
      <c r="Z784" s="31" t="str">
        <f t="shared" si="66"/>
        <v/>
      </c>
    </row>
    <row r="785" spans="26:26">
      <c r="Z785" s="31" t="str">
        <f t="shared" si="66"/>
        <v/>
      </c>
    </row>
    <row r="786" spans="26:26">
      <c r="Z786" s="31" t="str">
        <f t="shared" si="66"/>
        <v/>
      </c>
    </row>
    <row r="787" spans="26:26">
      <c r="Z787" s="31" t="str">
        <f t="shared" si="66"/>
        <v/>
      </c>
    </row>
    <row r="788" spans="26:26">
      <c r="Z788" s="31" t="str">
        <f t="shared" si="66"/>
        <v/>
      </c>
    </row>
    <row r="789" spans="26:26">
      <c r="Z789" s="31" t="str">
        <f t="shared" si="66"/>
        <v/>
      </c>
    </row>
    <row r="790" spans="26:26">
      <c r="Z790" s="31" t="str">
        <f t="shared" si="66"/>
        <v/>
      </c>
    </row>
    <row r="791" spans="26:26">
      <c r="Z791" s="31" t="str">
        <f t="shared" si="66"/>
        <v/>
      </c>
    </row>
    <row r="792" spans="26:26">
      <c r="Z792" s="31" t="str">
        <f t="shared" si="66"/>
        <v/>
      </c>
    </row>
    <row r="793" spans="26:26">
      <c r="Z793" s="31" t="str">
        <f t="shared" si="66"/>
        <v/>
      </c>
    </row>
    <row r="794" spans="26:26">
      <c r="Z794" s="31" t="str">
        <f t="shared" si="66"/>
        <v/>
      </c>
    </row>
    <row r="795" spans="26:26">
      <c r="Z795" s="31" t="str">
        <f t="shared" si="66"/>
        <v/>
      </c>
    </row>
    <row r="796" spans="26:26">
      <c r="Z796" s="31" t="str">
        <f t="shared" si="66"/>
        <v/>
      </c>
    </row>
    <row r="797" spans="26:26">
      <c r="Z797" s="31" t="str">
        <f t="shared" si="66"/>
        <v/>
      </c>
    </row>
    <row r="798" spans="26:26">
      <c r="Z798" s="31" t="str">
        <f t="shared" si="66"/>
        <v/>
      </c>
    </row>
    <row r="799" spans="26:26">
      <c r="Z799" s="31" t="str">
        <f t="shared" si="66"/>
        <v/>
      </c>
    </row>
    <row r="800" spans="26:26">
      <c r="Z800" s="31" t="str">
        <f t="shared" si="66"/>
        <v/>
      </c>
    </row>
    <row r="801" spans="26:26">
      <c r="Z801" s="31" t="str">
        <f t="shared" si="66"/>
        <v/>
      </c>
    </row>
    <row r="802" spans="26:26">
      <c r="Z802" s="31" t="str">
        <f t="shared" si="66"/>
        <v/>
      </c>
    </row>
    <row r="803" spans="26:26">
      <c r="Z803" s="31" t="str">
        <f t="shared" si="66"/>
        <v/>
      </c>
    </row>
    <row r="804" spans="26:26">
      <c r="Z804" s="31" t="str">
        <f t="shared" si="66"/>
        <v/>
      </c>
    </row>
    <row r="805" spans="26:26">
      <c r="Z805" s="31" t="str">
        <f t="shared" si="66"/>
        <v/>
      </c>
    </row>
    <row r="806" spans="26:26">
      <c r="Z806" s="31" t="str">
        <f t="shared" si="66"/>
        <v/>
      </c>
    </row>
    <row r="807" spans="26:26">
      <c r="Z807" s="31" t="str">
        <f t="shared" si="66"/>
        <v/>
      </c>
    </row>
    <row r="808" spans="26:26">
      <c r="Z808" s="31" t="str">
        <f t="shared" si="66"/>
        <v/>
      </c>
    </row>
    <row r="809" spans="26:26">
      <c r="Z809" s="31" t="str">
        <f t="shared" si="66"/>
        <v/>
      </c>
    </row>
    <row r="810" spans="26:26">
      <c r="Z810" s="31" t="str">
        <f t="shared" si="66"/>
        <v/>
      </c>
    </row>
    <row r="811" spans="26:26">
      <c r="Z811" s="31" t="str">
        <f t="shared" si="66"/>
        <v/>
      </c>
    </row>
    <row r="812" spans="26:26">
      <c r="Z812" s="31" t="str">
        <f t="shared" si="66"/>
        <v/>
      </c>
    </row>
    <row r="813" spans="26:26">
      <c r="Z813" s="31" t="str">
        <f t="shared" si="66"/>
        <v/>
      </c>
    </row>
    <row r="814" spans="26:26">
      <c r="Z814" s="31" t="str">
        <f t="shared" si="66"/>
        <v/>
      </c>
    </row>
    <row r="815" spans="26:26">
      <c r="Z815" s="31" t="str">
        <f t="shared" si="66"/>
        <v/>
      </c>
    </row>
    <row r="816" spans="26:26">
      <c r="Z816" s="31" t="str">
        <f t="shared" si="66"/>
        <v/>
      </c>
    </row>
    <row r="817" spans="26:26">
      <c r="Z817" s="31" t="str">
        <f t="shared" si="66"/>
        <v/>
      </c>
    </row>
    <row r="818" spans="26:26">
      <c r="Z818" s="31" t="str">
        <f t="shared" si="66"/>
        <v/>
      </c>
    </row>
    <row r="819" spans="26:26">
      <c r="Z819" s="31" t="str">
        <f t="shared" si="66"/>
        <v/>
      </c>
    </row>
    <row r="820" spans="26:26">
      <c r="Z820" s="31" t="str">
        <f t="shared" si="66"/>
        <v/>
      </c>
    </row>
    <row r="821" spans="26:26">
      <c r="Z821" s="31" t="str">
        <f t="shared" si="66"/>
        <v/>
      </c>
    </row>
    <row r="822" spans="26:26">
      <c r="Z822" s="31" t="str">
        <f t="shared" si="66"/>
        <v/>
      </c>
    </row>
    <row r="823" spans="26:26">
      <c r="Z823" s="31" t="str">
        <f t="shared" si="66"/>
        <v/>
      </c>
    </row>
    <row r="824" spans="26:26">
      <c r="Z824" s="31" t="str">
        <f t="shared" si="66"/>
        <v/>
      </c>
    </row>
    <row r="825" spans="26:26">
      <c r="Z825" s="31" t="str">
        <f t="shared" si="66"/>
        <v/>
      </c>
    </row>
    <row r="826" spans="26:26">
      <c r="Z826" s="31" t="str">
        <f t="shared" si="66"/>
        <v/>
      </c>
    </row>
    <row r="827" spans="26:26">
      <c r="Z827" s="31" t="str">
        <f t="shared" si="66"/>
        <v/>
      </c>
    </row>
    <row r="828" spans="26:26">
      <c r="Z828" s="31" t="str">
        <f t="shared" si="66"/>
        <v/>
      </c>
    </row>
    <row r="829" spans="26:26">
      <c r="Z829" s="31" t="str">
        <f t="shared" si="66"/>
        <v/>
      </c>
    </row>
    <row r="830" spans="26:26">
      <c r="Z830" s="31" t="str">
        <f t="shared" si="66"/>
        <v/>
      </c>
    </row>
    <row r="831" spans="26:26">
      <c r="Z831" s="31" t="str">
        <f t="shared" si="66"/>
        <v/>
      </c>
    </row>
    <row r="832" spans="26:26">
      <c r="Z832" s="31" t="str">
        <f t="shared" si="66"/>
        <v/>
      </c>
    </row>
    <row r="833" spans="26:26">
      <c r="Z833" s="31" t="str">
        <f t="shared" si="66"/>
        <v/>
      </c>
    </row>
    <row r="834" spans="26:26">
      <c r="Z834" s="31" t="str">
        <f t="shared" ref="Z834:Z879" si="67">TRIM(A834)</f>
        <v/>
      </c>
    </row>
    <row r="835" spans="26:26">
      <c r="Z835" s="31" t="str">
        <f t="shared" si="67"/>
        <v/>
      </c>
    </row>
    <row r="836" spans="26:26">
      <c r="Z836" s="31" t="str">
        <f t="shared" si="67"/>
        <v/>
      </c>
    </row>
    <row r="837" spans="26:26">
      <c r="Z837" s="31" t="str">
        <f t="shared" si="67"/>
        <v/>
      </c>
    </row>
    <row r="838" spans="26:26">
      <c r="Z838" s="31" t="str">
        <f t="shared" si="67"/>
        <v/>
      </c>
    </row>
    <row r="839" spans="26:26">
      <c r="Z839" s="31" t="str">
        <f t="shared" si="67"/>
        <v/>
      </c>
    </row>
    <row r="840" spans="26:26">
      <c r="Z840" s="31" t="str">
        <f t="shared" si="67"/>
        <v/>
      </c>
    </row>
    <row r="841" spans="26:26">
      <c r="Z841" s="31" t="str">
        <f t="shared" si="67"/>
        <v/>
      </c>
    </row>
    <row r="842" spans="26:26">
      <c r="Z842" s="31" t="str">
        <f t="shared" si="67"/>
        <v/>
      </c>
    </row>
    <row r="843" spans="26:26">
      <c r="Z843" s="31" t="str">
        <f t="shared" si="67"/>
        <v/>
      </c>
    </row>
    <row r="844" spans="26:26">
      <c r="Z844" s="31" t="str">
        <f t="shared" si="67"/>
        <v/>
      </c>
    </row>
    <row r="845" spans="26:26">
      <c r="Z845" s="31" t="str">
        <f t="shared" si="67"/>
        <v/>
      </c>
    </row>
    <row r="846" spans="26:26">
      <c r="Z846" s="31" t="str">
        <f t="shared" si="67"/>
        <v/>
      </c>
    </row>
    <row r="847" spans="26:26">
      <c r="Z847" s="31" t="str">
        <f t="shared" si="67"/>
        <v/>
      </c>
    </row>
    <row r="848" spans="26:26">
      <c r="Z848" s="31" t="str">
        <f t="shared" si="67"/>
        <v/>
      </c>
    </row>
    <row r="849" spans="26:26">
      <c r="Z849" s="31" t="str">
        <f t="shared" si="67"/>
        <v/>
      </c>
    </row>
    <row r="850" spans="26:26">
      <c r="Z850" s="31" t="str">
        <f t="shared" si="67"/>
        <v/>
      </c>
    </row>
    <row r="851" spans="26:26">
      <c r="Z851" s="31" t="str">
        <f t="shared" si="67"/>
        <v/>
      </c>
    </row>
    <row r="852" spans="26:26">
      <c r="Z852" s="31" t="str">
        <f t="shared" si="67"/>
        <v/>
      </c>
    </row>
    <row r="853" spans="26:26">
      <c r="Z853" s="31" t="str">
        <f t="shared" si="67"/>
        <v/>
      </c>
    </row>
    <row r="854" spans="26:26">
      <c r="Z854" s="31" t="str">
        <f t="shared" si="67"/>
        <v/>
      </c>
    </row>
    <row r="855" spans="26:26">
      <c r="Z855" s="31" t="str">
        <f t="shared" si="67"/>
        <v/>
      </c>
    </row>
    <row r="856" spans="26:26">
      <c r="Z856" s="31" t="str">
        <f t="shared" si="67"/>
        <v/>
      </c>
    </row>
    <row r="857" spans="26:26">
      <c r="Z857" s="31" t="str">
        <f t="shared" si="67"/>
        <v/>
      </c>
    </row>
    <row r="858" spans="26:26">
      <c r="Z858" s="31" t="str">
        <f t="shared" si="67"/>
        <v/>
      </c>
    </row>
    <row r="859" spans="26:26">
      <c r="Z859" s="31" t="str">
        <f t="shared" si="67"/>
        <v/>
      </c>
    </row>
    <row r="860" spans="26:26">
      <c r="Z860" s="31" t="str">
        <f t="shared" si="67"/>
        <v/>
      </c>
    </row>
    <row r="861" spans="26:26">
      <c r="Z861" s="31" t="str">
        <f t="shared" si="67"/>
        <v/>
      </c>
    </row>
    <row r="862" spans="26:26">
      <c r="Z862" s="31" t="str">
        <f t="shared" si="67"/>
        <v/>
      </c>
    </row>
    <row r="863" spans="26:26">
      <c r="Z863" s="31" t="str">
        <f t="shared" si="67"/>
        <v/>
      </c>
    </row>
    <row r="864" spans="26:26">
      <c r="Z864" s="31" t="str">
        <f t="shared" si="67"/>
        <v/>
      </c>
    </row>
    <row r="865" spans="26:26">
      <c r="Z865" s="31" t="str">
        <f t="shared" si="67"/>
        <v/>
      </c>
    </row>
    <row r="866" spans="26:26">
      <c r="Z866" s="31" t="str">
        <f t="shared" si="67"/>
        <v/>
      </c>
    </row>
    <row r="867" spans="26:26">
      <c r="Z867" s="31" t="str">
        <f t="shared" si="67"/>
        <v/>
      </c>
    </row>
    <row r="868" spans="26:26">
      <c r="Z868" s="31" t="str">
        <f t="shared" si="67"/>
        <v/>
      </c>
    </row>
    <row r="869" spans="26:26">
      <c r="Z869" s="31" t="str">
        <f t="shared" si="67"/>
        <v/>
      </c>
    </row>
    <row r="870" spans="26:26">
      <c r="Z870" s="31" t="str">
        <f t="shared" si="67"/>
        <v/>
      </c>
    </row>
    <row r="871" spans="26:26">
      <c r="Z871" s="31" t="str">
        <f t="shared" si="67"/>
        <v/>
      </c>
    </row>
    <row r="872" spans="26:26">
      <c r="Z872" s="31" t="str">
        <f t="shared" si="67"/>
        <v/>
      </c>
    </row>
    <row r="873" spans="26:26">
      <c r="Z873" s="31" t="str">
        <f t="shared" si="67"/>
        <v/>
      </c>
    </row>
    <row r="874" spans="26:26">
      <c r="Z874" s="31" t="str">
        <f t="shared" si="67"/>
        <v/>
      </c>
    </row>
    <row r="875" spans="26:26">
      <c r="Z875" s="31" t="str">
        <f t="shared" si="67"/>
        <v/>
      </c>
    </row>
    <row r="876" spans="26:26">
      <c r="Z876" s="31" t="str">
        <f t="shared" si="67"/>
        <v/>
      </c>
    </row>
    <row r="877" spans="26:26">
      <c r="Z877" s="31" t="str">
        <f t="shared" si="67"/>
        <v/>
      </c>
    </row>
    <row r="878" spans="26:26">
      <c r="Z878" s="31" t="str">
        <f t="shared" si="67"/>
        <v/>
      </c>
    </row>
    <row r="879" spans="26:26">
      <c r="Z879" s="31" t="str">
        <f t="shared" si="67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5995-54CF-4975-8091-0416FAF0A373}">
  <dimension ref="C3:L9"/>
  <sheetViews>
    <sheetView tabSelected="1" workbookViewId="0">
      <selection activeCell="C12" sqref="C12"/>
    </sheetView>
  </sheetViews>
  <sheetFormatPr defaultRowHeight="15"/>
  <sheetData>
    <row r="3" spans="3:12"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3:12" ht="18.75">
      <c r="C4" s="36" t="s">
        <v>3196</v>
      </c>
      <c r="D4" s="36"/>
      <c r="E4" s="36"/>
      <c r="F4" s="36"/>
      <c r="G4" s="36"/>
      <c r="H4" s="36"/>
      <c r="I4" s="36"/>
      <c r="J4" s="36"/>
      <c r="K4" s="36"/>
      <c r="L4" s="35"/>
    </row>
    <row r="5" spans="3:12" ht="18.75">
      <c r="C5" s="36" t="s">
        <v>3197</v>
      </c>
      <c r="D5" s="36"/>
      <c r="E5" s="36"/>
      <c r="F5" s="36"/>
      <c r="G5" s="36"/>
      <c r="H5" s="36"/>
      <c r="I5" s="36"/>
      <c r="J5" s="36"/>
      <c r="K5" s="36"/>
      <c r="L5" s="35"/>
    </row>
    <row r="6" spans="3:12" ht="18.75">
      <c r="C6" s="36" t="s">
        <v>3198</v>
      </c>
      <c r="D6" s="36"/>
      <c r="E6" s="36"/>
      <c r="F6" s="36"/>
      <c r="G6" s="36"/>
      <c r="H6" s="36"/>
      <c r="I6" s="36"/>
      <c r="J6" s="36"/>
      <c r="K6" s="36"/>
      <c r="L6" s="35"/>
    </row>
    <row r="7" spans="3:12" ht="18.75">
      <c r="C7" s="36" t="s">
        <v>3199</v>
      </c>
      <c r="D7" s="36"/>
      <c r="E7" s="36"/>
      <c r="F7" s="36"/>
      <c r="G7" s="36"/>
      <c r="H7" s="36"/>
      <c r="I7" s="36"/>
      <c r="J7" s="36"/>
      <c r="K7" s="36"/>
      <c r="L7" s="35"/>
    </row>
    <row r="8" spans="3:12" ht="18.75">
      <c r="C8" s="36"/>
      <c r="D8" s="36"/>
      <c r="E8" s="36"/>
      <c r="F8" s="36"/>
      <c r="G8" s="36"/>
      <c r="H8" s="36"/>
      <c r="I8" s="36"/>
      <c r="J8" s="36"/>
      <c r="K8" s="36"/>
      <c r="L8" s="35"/>
    </row>
    <row r="9" spans="3:12">
      <c r="C9" s="35"/>
      <c r="D9" s="35"/>
      <c r="E9" s="35"/>
      <c r="F9" s="35"/>
      <c r="G9" s="35"/>
      <c r="H9" s="35"/>
      <c r="I9" s="35"/>
      <c r="J9" s="35"/>
      <c r="K9" s="35"/>
      <c r="L9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2026-07-24T10:40:14Z</dcterms:modified>
  <cp:category/>
  <cp:contentStatus/>
</cp:coreProperties>
</file>